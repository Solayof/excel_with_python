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345" windowHeight="6795" tabRatio="682" firstSheet="0" activeTab="1" autoFilterDateGrouping="1"/>
  </bookViews>
  <sheets>
    <sheet name="Instructions" sheetId="1" state="visible" r:id="rId1"/>
    <sheet name="Report Card" sheetId="2" state="visible" r:id="rId2"/>
    <sheet name="Db" sheetId="3" state="visible" r:id="rId3"/>
    <sheet name="Tutor's Comment" sheetId="4" state="visible" r:id="rId4"/>
  </sheets>
  <definedNames>
    <definedName name="_xlnm.Print_Area" localSheetId="1">'Report Card'!$B$5:$L$45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409]mmmm\ d\,\ yyyy;@"/>
  </numFmts>
  <fonts count="5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Arial Black"/>
      <charset val="134"/>
      <b val="1"/>
      <sz val="11"/>
    </font>
    <font>
      <name val="Arial Black"/>
      <charset val="134"/>
      <b val="1"/>
      <sz val="10"/>
    </font>
    <font>
      <name val="Arial Rounded MT Bold"/>
      <charset val="134"/>
      <b val="1"/>
      <sz val="12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color theme="1"/>
      <sz val="18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4"/>
      <scheme val="minor"/>
    </font>
    <font>
      <name val="Calibri"/>
      <charset val="134"/>
      <color theme="1"/>
      <sz val="16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9" tint="-0.249977111117893"/>
      <sz val="26"/>
      <scheme val="minor"/>
    </font>
    <font>
      <name val="Calibri"/>
      <charset val="134"/>
      <b val="1"/>
      <color rgb="FF7030A0"/>
      <sz val="24"/>
      <scheme val="minor"/>
    </font>
    <font>
      <name val="Calibri"/>
      <charset val="134"/>
      <b val="1"/>
      <color rgb="FF002060"/>
      <sz val="18"/>
      <scheme val="minor"/>
    </font>
    <font>
      <name val="Calibri"/>
      <charset val="134"/>
      <b val="1"/>
      <color rgb="FF7030A0"/>
      <sz val="20"/>
      <scheme val="minor"/>
    </font>
    <font>
      <name val="Calibri"/>
      <charset val="134"/>
      <b val="1"/>
      <color rgb="FF7030A0"/>
      <sz val="18"/>
      <scheme val="minor"/>
    </font>
    <font>
      <name val="Calibri"/>
      <charset val="134"/>
      <b val="1"/>
      <color rgb="FF212529"/>
      <sz val="16"/>
      <scheme val="minor"/>
    </font>
    <font>
      <name val="Calibri"/>
      <charset val="134"/>
      <b val="1"/>
      <color rgb="FF7030A0"/>
      <sz val="18"/>
    </font>
    <font>
      <name val="Copperplate Gothic Light"/>
      <charset val="134"/>
      <b val="1"/>
      <color rgb="FF212529"/>
      <sz val="18"/>
    </font>
    <font>
      <name val="Calibri"/>
      <charset val="134"/>
      <b val="1"/>
      <color rgb="FF212529"/>
      <sz val="14"/>
      <scheme val="minor"/>
    </font>
    <font>
      <name val="Calibri"/>
      <charset val="134"/>
      <sz val="14"/>
      <scheme val="minor"/>
    </font>
    <font>
      <name val="Tahoma"/>
      <charset val="134"/>
      <sz val="14"/>
    </font>
    <font>
      <name val="Calibri"/>
      <charset val="134"/>
      <sz val="16"/>
      <scheme val="minor"/>
    </font>
    <font>
      <name val="Batang"/>
      <charset val="134"/>
      <b val="1"/>
      <sz val="20"/>
    </font>
    <font>
      <name val="Time New Roman"/>
      <charset val="134"/>
      <b val="1"/>
      <color rgb="FF212529"/>
      <sz val="12"/>
    </font>
    <font>
      <name val="Copperplate Gothic Light"/>
      <charset val="134"/>
      <b val="1"/>
      <color rgb="FF212529"/>
      <sz val="14"/>
    </font>
    <font>
      <name val="Copperplate Gothic Light"/>
      <charset val="134"/>
      <b val="1"/>
      <color rgb="FF212529"/>
      <sz val="20"/>
    </font>
    <font>
      <name val="Candara"/>
      <charset val="134"/>
      <b val="1"/>
      <color rgb="FF212529"/>
      <sz val="14"/>
    </font>
    <font>
      <name val="Candara"/>
      <charset val="134"/>
      <b val="1"/>
      <color theme="1"/>
      <sz val="14"/>
    </font>
    <font>
      <name val="Batang"/>
      <charset val="129"/>
      <color rgb="FF212529"/>
      <sz val="13.5"/>
    </font>
    <font>
      <name val="Batang"/>
      <charset val="129"/>
      <color rgb="FF212529"/>
      <sz val="14"/>
    </font>
    <font>
      <name val="Batang"/>
      <charset val="129"/>
      <color rgb="FF212529"/>
      <sz val="16"/>
    </font>
    <font>
      <name val="Batang"/>
      <charset val="129"/>
      <b val="1"/>
      <color rgb="FF212529"/>
      <sz val="12"/>
    </font>
    <font>
      <name val="Batang"/>
      <charset val="129"/>
      <color rgb="FF212529"/>
      <sz val="18"/>
    </font>
    <font>
      <name val="Calibri"/>
      <charset val="134"/>
      <b val="1"/>
      <color theme="1"/>
      <sz val="20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0" tint="-0.1499069185460982"/>
      <sz val="11"/>
      <scheme val="minor"/>
    </font>
    <font>
      <name val="Calibri"/>
      <charset val="134"/>
      <b val="1"/>
      <sz val="14"/>
      <scheme val="minor"/>
    </font>
    <font>
      <name val="Calibri"/>
      <charset val="134"/>
      <b val="1"/>
      <sz val="16"/>
      <scheme val="minor"/>
    </font>
    <font>
      <name val="Batang"/>
      <charset val="134"/>
      <b val="1"/>
      <color rgb="FF212529"/>
      <sz val="20"/>
    </font>
    <font>
      <name val="Time New Roman"/>
      <charset val="134"/>
      <b val="1"/>
      <sz val="22"/>
    </font>
    <font>
      <name val="Calibri"/>
      <charset val="134"/>
      <b val="1"/>
      <sz val="24"/>
      <scheme val="minor"/>
    </font>
    <font>
      <name val="Batang"/>
      <charset val="134"/>
      <b val="1"/>
      <color theme="1"/>
      <sz val="16"/>
    </font>
    <font>
      <name val="Calibri"/>
      <charset val="134"/>
      <b val="1"/>
      <color theme="1"/>
      <sz val="22"/>
      <scheme val="minor"/>
    </font>
    <font>
      <name val="Batang"/>
      <charset val="134"/>
      <b val="1"/>
      <color rgb="FF212529"/>
      <sz val="22"/>
    </font>
    <font>
      <name val="Batang"/>
      <charset val="129"/>
      <b val="1"/>
      <color rgb="FF212529"/>
      <sz val="16"/>
    </font>
    <font>
      <name val="Batang"/>
      <charset val="129"/>
      <b val="1"/>
      <color rgb="FF212529"/>
      <sz val="22"/>
    </font>
    <font>
      <name val="Batang"/>
      <charset val="134"/>
      <b val="1"/>
      <color rgb="FF212529"/>
      <sz val="16"/>
    </font>
    <font>
      <name val="Calibri"/>
      <charset val="134"/>
      <color theme="1"/>
      <sz val="22"/>
      <scheme val="minor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53" fillId="0" borderId="0"/>
    <xf numFmtId="9" fontId="53" fillId="0" borderId="0"/>
  </cellStyleXfs>
  <cellXfs count="20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left" wrapText="1"/>
      <protection locked="0" hidden="0"/>
    </xf>
    <xf numFmtId="0" fontId="2" fillId="4" borderId="2" applyAlignment="1" applyProtection="1" pivotButton="0" quotePrefix="0" xfId="0">
      <alignment horizontal="center" vertical="center" wrapText="1"/>
      <protection locked="0" hidden="0"/>
    </xf>
    <xf numFmtId="9" fontId="2" fillId="4" borderId="2" applyAlignment="1" applyProtection="1" pivotButton="0" quotePrefix="0" xfId="1">
      <alignment horizontal="center" vertical="center" wrapText="1"/>
      <protection locked="0" hidden="0"/>
    </xf>
    <xf numFmtId="0" fontId="2" fillId="4" borderId="2" applyAlignment="1" applyProtection="1" pivotButton="0" quotePrefix="0" xfId="1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9" fontId="53" fillId="0" borderId="2" applyAlignment="1" applyProtection="1" pivotButton="0" quotePrefix="0" xfId="1">
      <alignment horizontal="left"/>
      <protection locked="0" hidden="0"/>
    </xf>
    <xf numFmtId="1" fontId="53" fillId="0" borderId="2" applyAlignment="1" applyProtection="1" pivotButton="0" quotePrefix="0" xfId="1">
      <alignment horizontal="center"/>
      <protection locked="0" hidden="0"/>
    </xf>
    <xf numFmtId="0" fontId="53" fillId="0" borderId="2" applyAlignment="1" applyProtection="1" pivotButton="0" quotePrefix="0" xfId="1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3" fillId="4" borderId="2" applyAlignment="1" applyProtection="1" pivotButton="0" quotePrefix="0" xfId="1">
      <alignment horizontal="center" vertical="center" wrapText="1"/>
      <protection locked="0" hidden="0"/>
    </xf>
    <xf numFmtId="0" fontId="3" fillId="4" borderId="4" applyAlignment="1" applyProtection="1" pivotButton="0" quotePrefix="0" xfId="1">
      <alignment horizontal="center" vertical="center" wrapText="1"/>
      <protection locked="0" hidden="0"/>
    </xf>
    <xf numFmtId="0" fontId="3" fillId="4" borderId="3" applyAlignment="1" applyProtection="1" pivotButton="0" quotePrefix="0" xfId="1">
      <alignment horizontal="center" vertical="center" wrapText="1"/>
      <protection locked="0" hidden="0"/>
    </xf>
    <xf numFmtId="0" fontId="53" fillId="0" borderId="2" applyAlignment="1" pivotButton="0" quotePrefix="0" xfId="1">
      <alignment horizontal="center"/>
    </xf>
    <xf numFmtId="0" fontId="53" fillId="6" borderId="2" applyAlignment="1" pivotButton="0" quotePrefix="0" xfId="1">
      <alignment horizontal="center"/>
    </xf>
    <xf numFmtId="0" fontId="53" fillId="6" borderId="2" applyAlignment="1" applyProtection="1" pivotButton="0" quotePrefix="0" xfId="1">
      <alignment horizontal="center"/>
      <protection locked="0" hidden="0"/>
    </xf>
    <xf numFmtId="9" fontId="53" fillId="7" borderId="2" applyAlignment="1" pivotButton="0" quotePrefix="0" xfId="1">
      <alignment horizontal="center"/>
    </xf>
    <xf numFmtId="0" fontId="53" fillId="6" borderId="2" applyAlignment="1" applyProtection="1" pivotButton="0" quotePrefix="0" xfId="1">
      <alignment horizont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0" fontId="0" fillId="2" borderId="0" applyAlignment="1" applyProtection="1" pivotButton="0" quotePrefix="0" xfId="0">
      <alignment horizontal="center" wrapText="1"/>
      <protection locked="0" hidden="0"/>
    </xf>
    <xf numFmtId="0" fontId="1" fillId="2" borderId="0" applyAlignment="1" applyProtection="1" pivotButton="0" quotePrefix="0" xfId="0">
      <alignment horizontal="center" wrapText="1"/>
      <protection locked="0" hidden="0"/>
    </xf>
    <xf numFmtId="9" fontId="0" fillId="2" borderId="2" applyAlignment="1" pivotButton="0" quotePrefix="0" xfId="0">
      <alignment horizontal="center"/>
    </xf>
    <xf numFmtId="0" fontId="0" fillId="3" borderId="0" applyAlignment="1" applyProtection="1" pivotButton="0" quotePrefix="0" xfId="0">
      <alignment horizontal="center" wrapText="1"/>
      <protection locked="0" hidden="0"/>
    </xf>
    <xf numFmtId="0" fontId="1" fillId="3" borderId="0" applyAlignment="1" applyProtection="1" pivotButton="0" quotePrefix="0" xfId="0">
      <alignment horizontal="center" wrapText="1"/>
      <protection locked="0" hidden="0"/>
    </xf>
    <xf numFmtId="0" fontId="1" fillId="8" borderId="2" applyAlignment="1" applyProtection="1" pivotButton="0" quotePrefix="0" xfId="0">
      <alignment wrapText="1"/>
      <protection locked="0" hidden="0"/>
    </xf>
    <xf numFmtId="0" fontId="1" fillId="8" borderId="2" applyAlignment="1" applyProtection="1" pivotButton="0" quotePrefix="0" xfId="0">
      <alignment horizontal="center" wrapText="1"/>
      <protection locked="0" hidden="0"/>
    </xf>
    <xf numFmtId="0" fontId="0" fillId="3" borderId="2" applyAlignment="1" pivotButton="0" quotePrefix="0" xfId="0">
      <alignment horizontal="center"/>
    </xf>
    <xf numFmtId="0" fontId="1" fillId="0" borderId="2" applyAlignment="1" applyProtection="1" pivotButton="0" quotePrefix="0" xfId="0">
      <alignment wrapText="1"/>
      <protection locked="0" hidden="0"/>
    </xf>
    <xf numFmtId="0" fontId="5" fillId="9" borderId="7" applyAlignment="1" applyProtection="1" pivotButton="0" quotePrefix="0" xfId="0">
      <alignment wrapText="1"/>
      <protection locked="0" hidden="0"/>
    </xf>
    <xf numFmtId="0" fontId="5" fillId="9" borderId="8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1" fillId="8" borderId="9" applyAlignment="1" applyProtection="1" pivotButton="0" quotePrefix="0" xfId="0">
      <alignment horizontal="center" wrapText="1"/>
      <protection locked="0" hidden="0"/>
    </xf>
    <xf numFmtId="0" fontId="0" fillId="0" borderId="2" applyAlignment="1" applyProtection="1" pivotButton="0" quotePrefix="0" xfId="0">
      <alignment horizontal="center" wrapText="1"/>
      <protection locked="0" hidden="0"/>
    </xf>
    <xf numFmtId="0" fontId="7" fillId="10" borderId="10" applyAlignment="1" applyProtection="1" pivotButton="0" quotePrefix="0" xfId="0">
      <alignment horizontal="center" wrapText="1"/>
      <protection locked="0" hidden="0"/>
    </xf>
    <xf numFmtId="0" fontId="7" fillId="0" borderId="0" applyAlignment="1" applyProtection="1" pivotButton="0" quotePrefix="0" xfId="0">
      <alignment wrapText="1"/>
      <protection locked="0" hidden="0"/>
    </xf>
    <xf numFmtId="0" fontId="7" fillId="0" borderId="0" applyAlignment="1" pivotButton="0" quotePrefix="0" xfId="0">
      <alignment wrapText="1"/>
    </xf>
    <xf numFmtId="0" fontId="1" fillId="8" borderId="6" applyAlignment="1" applyProtection="1" pivotButton="0" quotePrefix="0" xfId="0">
      <alignment horizontal="center" wrapText="1"/>
      <protection locked="0" hidden="0"/>
    </xf>
    <xf numFmtId="0" fontId="8" fillId="4" borderId="1" applyAlignment="1" applyProtection="1" pivotButton="0" quotePrefix="0" xfId="0">
      <alignment horizontal="center" wrapText="1"/>
      <protection locked="0" hidden="0"/>
    </xf>
    <xf numFmtId="0" fontId="9" fillId="0" borderId="11" applyAlignment="1" applyProtection="1" pivotButton="0" quotePrefix="0" xfId="0">
      <alignment horizontal="center" wrapText="1"/>
      <protection locked="0" hidden="0"/>
    </xf>
    <xf numFmtId="0" fontId="9" fillId="0" borderId="1" applyAlignment="1" applyProtection="1" pivotButton="0" quotePrefix="0" xfId="0">
      <alignment horizontal="center" wrapText="1"/>
      <protection locked="0" hidden="0"/>
    </xf>
    <xf numFmtId="0" fontId="1" fillId="0" borderId="6" applyAlignment="1" applyProtection="1" pivotButton="0" quotePrefix="0" xfId="0">
      <alignment wrapText="1"/>
      <protection locked="0" hidden="0"/>
    </xf>
    <xf numFmtId="0" fontId="1" fillId="0" borderId="1" applyAlignment="1" applyProtection="1" pivotButton="0" quotePrefix="0" xfId="0">
      <alignment wrapText="1"/>
      <protection locked="0" hidden="0"/>
    </xf>
    <xf numFmtId="0" fontId="1" fillId="0" borderId="11" applyAlignment="1" applyProtection="1" pivotButton="0" quotePrefix="0" xfId="0">
      <alignment wrapText="1"/>
      <protection locked="0" hidden="0"/>
    </xf>
    <xf numFmtId="0" fontId="10" fillId="0" borderId="1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0" fillId="11" borderId="0" applyProtection="1" pivotButton="0" quotePrefix="0" xfId="0">
      <protection locked="0" hidden="0"/>
    </xf>
    <xf numFmtId="0" fontId="12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10" fillId="11" borderId="0" applyAlignment="1" applyProtection="1" pivotButton="0" quotePrefix="0" xfId="0">
      <alignment horizontal="center"/>
      <protection locked="0" hidden="0"/>
    </xf>
    <xf numFmtId="0" fontId="10" fillId="12" borderId="0" applyAlignment="1" applyProtection="1" pivotButton="0" quotePrefix="0" xfId="0">
      <alignment horizontal="center"/>
      <protection locked="0" hidden="0"/>
    </xf>
    <xf numFmtId="0" fontId="17" fillId="9" borderId="1" applyAlignment="1" applyProtection="1" pivotButton="0" quotePrefix="0" xfId="0">
      <alignment horizontal="center" vertical="center"/>
      <protection locked="0" hidden="0"/>
    </xf>
    <xf numFmtId="0" fontId="5" fillId="8" borderId="11" applyAlignment="1" applyProtection="1" pivotButton="0" quotePrefix="0" xfId="0">
      <alignment horizontal="center" vertical="center" wrapText="1"/>
      <protection locked="0" hidden="0"/>
    </xf>
    <xf numFmtId="0" fontId="18" fillId="0" borderId="13" applyAlignment="1" pivotButton="0" quotePrefix="0" xfId="0">
      <alignment horizontal="center" vertical="center"/>
    </xf>
    <xf numFmtId="0" fontId="5" fillId="8" borderId="11" applyAlignment="1" applyProtection="1" pivotButton="0" quotePrefix="0" xfId="0">
      <alignment horizontal="center" vertical="center"/>
      <protection locked="0" hidden="0"/>
    </xf>
    <xf numFmtId="0" fontId="18" fillId="9" borderId="16" applyAlignment="1" pivotButton="0" quotePrefix="0" xfId="0">
      <alignment horizontal="center" vertical="center"/>
    </xf>
    <xf numFmtId="0" fontId="19" fillId="8" borderId="17" applyAlignment="1" applyProtection="1" pivotButton="0" quotePrefix="0" xfId="0">
      <alignment horizontal="center" vertical="center" wrapText="1"/>
      <protection locked="0" hidden="0"/>
    </xf>
    <xf numFmtId="0" fontId="20" fillId="9" borderId="18" applyAlignment="1" pivotButton="0" quotePrefix="0" xfId="0">
      <alignment horizontal="center" vertical="center" wrapText="1"/>
    </xf>
    <xf numFmtId="0" fontId="5" fillId="8" borderId="19" applyAlignment="1" applyProtection="1" pivotButton="0" quotePrefix="0" xfId="0">
      <alignment horizontal="center" vertical="center" wrapText="1"/>
      <protection locked="0" hidden="0"/>
    </xf>
    <xf numFmtId="0" fontId="20" fillId="9" borderId="16" applyAlignment="1" pivotButton="0" quotePrefix="0" xfId="0">
      <alignment horizontal="center" vertical="center" wrapText="1"/>
    </xf>
    <xf numFmtId="0" fontId="19" fillId="9" borderId="1" applyAlignment="1" applyProtection="1" pivotButton="0" quotePrefix="0" xfId="0">
      <alignment horizontal="center" vertical="center" wrapText="1"/>
      <protection locked="0" hidden="0"/>
    </xf>
    <xf numFmtId="0" fontId="12" fillId="12" borderId="0" applyProtection="1" pivotButton="0" quotePrefix="0" xfId="0">
      <protection locked="0" hidden="0"/>
    </xf>
    <xf numFmtId="9" fontId="19" fillId="13" borderId="1" applyAlignment="1" applyProtection="1" pivotButton="0" quotePrefix="0" xfId="0">
      <alignment horizontal="center" vertical="center" wrapText="1"/>
      <protection locked="0" hidden="0"/>
    </xf>
    <xf numFmtId="0" fontId="22" fillId="13" borderId="1" applyAlignment="1" applyProtection="1" pivotButton="0" quotePrefix="0" xfId="0">
      <alignment horizontal="center" vertical="center" wrapText="1"/>
      <protection locked="0" hidden="0"/>
    </xf>
    <xf numFmtId="0" fontId="23" fillId="0" borderId="1" applyAlignment="1" applyProtection="1" pivotButton="0" quotePrefix="0" xfId="0">
      <alignment horizontal="center" vertical="center"/>
      <protection locked="0" hidden="0"/>
    </xf>
    <xf numFmtId="0" fontId="24" fillId="9" borderId="1" applyAlignment="1" pivotButton="0" quotePrefix="0" xfId="1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7" fillId="0" borderId="1" applyAlignment="1" applyProtection="1" pivotButton="0" quotePrefix="0" xfId="0">
      <alignment vertical="center" wrapText="1"/>
      <protection locked="0" hidden="0"/>
    </xf>
    <xf numFmtId="0" fontId="30" fillId="0" borderId="11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vertical="center"/>
      <protection locked="0" hidden="0"/>
    </xf>
    <xf numFmtId="0" fontId="34" fillId="0" borderId="11" applyAlignment="1" pivotButton="0" quotePrefix="0" xfId="0">
      <alignment horizontal="center" vertical="center" wrapText="1"/>
    </xf>
    <xf numFmtId="0" fontId="35" fillId="0" borderId="11" applyAlignment="1" applyProtection="1" pivotButton="0" quotePrefix="0" xfId="0">
      <alignment horizontal="center" vertical="center" wrapText="1"/>
      <protection locked="0" hidden="0"/>
    </xf>
    <xf numFmtId="0" fontId="33" fillId="0" borderId="11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36" fillId="0" borderId="11" applyAlignment="1" pivotButton="0" quotePrefix="0" xfId="0">
      <alignment horizontal="center" vertical="center" wrapText="1"/>
    </xf>
    <xf numFmtId="0" fontId="13" fillId="12" borderId="0" applyProtection="1" pivotButton="0" quotePrefix="0" xfId="0">
      <protection locked="0" hidden="0"/>
    </xf>
    <xf numFmtId="0" fontId="38" fillId="0" borderId="14" applyAlignment="1" applyProtection="1" pivotButton="0" quotePrefix="0" xfId="0">
      <alignment vertical="center"/>
      <protection locked="0" hidden="0"/>
    </xf>
    <xf numFmtId="0" fontId="11" fillId="12" borderId="0" applyAlignment="1" applyProtection="1" pivotButton="0" quotePrefix="0" xfId="0">
      <alignment horizontal="center"/>
      <protection locked="0" hidden="0"/>
    </xf>
    <xf numFmtId="0" fontId="39" fillId="12" borderId="0" applyAlignment="1" pivotButton="0" quotePrefix="0" xfId="0">
      <alignment horizontal="center"/>
    </xf>
    <xf numFmtId="0" fontId="0" fillId="12" borderId="0" applyAlignment="1" applyProtection="1" pivotButton="0" quotePrefix="0" xfId="0">
      <alignment horizontal="left"/>
      <protection locked="0" hidden="0"/>
    </xf>
    <xf numFmtId="0" fontId="41" fillId="14" borderId="25" applyAlignment="1" applyProtection="1" pivotButton="0" quotePrefix="0" xfId="0">
      <alignment horizontal="center" vertical="center"/>
      <protection locked="0" hidden="0"/>
    </xf>
    <xf numFmtId="0" fontId="18" fillId="0" borderId="15" applyAlignment="1" pivotButton="0" quotePrefix="0" xfId="0">
      <alignment horizontal="center" vertical="center" wrapText="1"/>
    </xf>
    <xf numFmtId="0" fontId="5" fillId="8" borderId="17" applyAlignment="1" applyProtection="1" pivotButton="0" quotePrefix="0" xfId="0">
      <alignment horizontal="center" vertical="center"/>
      <protection locked="0" hidden="0"/>
    </xf>
    <xf numFmtId="0" fontId="18" fillId="0" borderId="15" applyAlignment="1" pivotButton="0" quotePrefix="0" xfId="0">
      <alignment horizontal="center" vertical="center"/>
    </xf>
    <xf numFmtId="0" fontId="41" fillId="8" borderId="17" applyAlignment="1" applyProtection="1" pivotButton="0" quotePrefix="0" xfId="0">
      <alignment horizontal="center" vertical="center" wrapText="1"/>
      <protection locked="0" hidden="0"/>
    </xf>
    <xf numFmtId="0" fontId="20" fillId="9" borderId="15" applyAlignment="1" pivotButton="0" quotePrefix="0" xfId="0">
      <alignment horizontal="center" vertical="center" wrapText="1"/>
    </xf>
    <xf numFmtId="0" fontId="0" fillId="12" borderId="0" applyProtection="1" pivotButton="0" quotePrefix="0" xfId="0">
      <protection locked="0" hidden="0"/>
    </xf>
    <xf numFmtId="0" fontId="41" fillId="8" borderId="19" applyAlignment="1" applyProtection="1" pivotButton="0" quotePrefix="0" xfId="0">
      <alignment horizontal="center" vertical="center" wrapText="1"/>
      <protection locked="0" hidden="0"/>
    </xf>
    <xf numFmtId="0" fontId="41" fillId="8" borderId="11" applyAlignment="1" applyProtection="1" pivotButton="0" quotePrefix="0" xfId="0">
      <alignment horizontal="center" vertical="center" wrapText="1"/>
      <protection locked="0" hidden="0"/>
    </xf>
    <xf numFmtId="0" fontId="0" fillId="12" borderId="26" applyProtection="1" pivotButton="0" quotePrefix="0" xfId="0">
      <protection locked="0" hidden="0"/>
    </xf>
    <xf numFmtId="0" fontId="10" fillId="12" borderId="0" applyProtection="1" pivotButton="0" quotePrefix="0" xfId="0">
      <protection locked="0" hidden="0"/>
    </xf>
    <xf numFmtId="0" fontId="25" fillId="0" borderId="1" applyAlignment="1" pivotButton="0" quotePrefix="0" xfId="0">
      <alignment horizontal="center" vertical="center" wrapText="1"/>
    </xf>
    <xf numFmtId="0" fontId="42" fillId="0" borderId="15" applyAlignment="1" pivotButton="0" quotePrefix="0" xfId="0">
      <alignment horizontal="center" vertical="center" wrapText="1"/>
    </xf>
    <xf numFmtId="0" fontId="43" fillId="0" borderId="1" applyAlignment="1" applyProtection="1" pivotButton="0" quotePrefix="0" xfId="0">
      <alignment horizontal="center" vertical="center"/>
      <protection locked="0" hidden="0"/>
    </xf>
    <xf numFmtId="0" fontId="44" fillId="0" borderId="1" applyAlignment="1" pivotButton="0" quotePrefix="0" xfId="0">
      <alignment horizontal="center" vertical="center" wrapText="1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31" fillId="0" borderId="28" applyAlignment="1" applyProtection="1" pivotButton="0" quotePrefix="0" xfId="0">
      <alignment horizontal="center" vertical="center"/>
      <protection locked="0" hidden="0"/>
    </xf>
    <xf numFmtId="0" fontId="45" fillId="0" borderId="29" applyAlignment="1" applyProtection="1" pivotButton="0" quotePrefix="0" xfId="0">
      <alignment horizontal="center" vertical="center" wrapText="1"/>
      <protection locked="0" hidden="0"/>
    </xf>
    <xf numFmtId="0" fontId="46" fillId="0" borderId="30" applyAlignment="1" applyProtection="1" pivotButton="0" quotePrefix="0" xfId="0">
      <alignment horizontal="center" vertical="center"/>
      <protection locked="0" hidden="0"/>
    </xf>
    <xf numFmtId="0" fontId="29" fillId="0" borderId="31" applyAlignment="1" applyProtection="1" pivotButton="0" quotePrefix="0" xfId="0">
      <alignment vertical="center" wrapText="1"/>
      <protection locked="0" hidden="0"/>
    </xf>
    <xf numFmtId="0" fontId="35" fillId="0" borderId="32" applyAlignment="1" applyProtection="1" pivotButton="0" quotePrefix="0" xfId="0">
      <alignment horizontal="center" vertical="center" wrapText="1"/>
      <protection locked="0" hidden="0"/>
    </xf>
    <xf numFmtId="0" fontId="48" fillId="0" borderId="33" applyAlignment="1" applyProtection="1" pivotButton="0" quotePrefix="0" xfId="0">
      <alignment horizontal="center" vertical="center" wrapText="1"/>
      <protection locked="0" hidden="0"/>
    </xf>
    <xf numFmtId="0" fontId="49" fillId="0" borderId="34" applyAlignment="1" pivotButton="0" quotePrefix="0" xfId="0">
      <alignment horizontal="center" vertical="center" wrapText="1"/>
    </xf>
    <xf numFmtId="0" fontId="0" fillId="12" borderId="0" applyAlignment="1" applyProtection="1" pivotButton="0" quotePrefix="0" xfId="0">
      <alignment horizontal="center"/>
      <protection locked="0" hidden="0"/>
    </xf>
    <xf numFmtId="0" fontId="6" fillId="0" borderId="11" applyAlignment="1" applyProtection="1" pivotButton="0" quotePrefix="0" xfId="0">
      <alignment vertical="center" wrapText="1"/>
      <protection locked="0" hidden="0"/>
    </xf>
    <xf numFmtId="0" fontId="13" fillId="12" borderId="0" applyAlignment="1" applyProtection="1" pivotButton="0" quotePrefix="0" xfId="0">
      <alignment horizontal="center"/>
      <protection locked="0" hidden="0"/>
    </xf>
    <xf numFmtId="0" fontId="52" fillId="12" borderId="0" applyAlignment="1" applyProtection="1" pivotButton="0" quotePrefix="0" xfId="0">
      <alignment horizontal="center"/>
      <protection locked="0" hidden="0"/>
    </xf>
    <xf numFmtId="0" fontId="1" fillId="12" borderId="0" applyProtection="1" pivotButton="0" quotePrefix="0" xfId="0">
      <protection locked="0" hidden="0"/>
    </xf>
    <xf numFmtId="0" fontId="0" fillId="15" borderId="0" pivotButton="0" quotePrefix="0" xfId="0"/>
    <xf numFmtId="0" fontId="0" fillId="9" borderId="0" pivotButton="0" quotePrefix="0" xfId="0"/>
    <xf numFmtId="164" fontId="53" fillId="0" borderId="2" applyAlignment="1" applyProtection="1" pivotButton="0" quotePrefix="0" xfId="1">
      <alignment horizontal="center"/>
      <protection locked="0" hidden="0"/>
    </xf>
    <xf numFmtId="0" fontId="19" fillId="8" borderId="11" applyAlignment="1" applyProtection="1" pivotButton="0" quotePrefix="0" xfId="0">
      <alignment horizontal="center" vertical="center" wrapText="1"/>
      <protection locked="0" hidden="0"/>
    </xf>
    <xf numFmtId="0" fontId="33" fillId="0" borderId="1" applyAlignment="1" pivotButton="0" quotePrefix="0" xfId="0">
      <alignment horizontal="center" vertical="center" wrapText="1"/>
    </xf>
    <xf numFmtId="0" fontId="35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1" applyAlignment="1" applyProtection="1" pivotButton="0" quotePrefix="0" xfId="0">
      <alignment horizontal="left" vertical="center" wrapText="1"/>
      <protection locked="0" hidden="0"/>
    </xf>
    <xf numFmtId="0" fontId="32" fillId="0" borderId="1" applyAlignment="1" pivotButton="0" quotePrefix="0" xfId="0">
      <alignment horizontal="center" vertical="center" wrapText="1"/>
    </xf>
    <xf numFmtId="0" fontId="30" fillId="0" borderId="1" applyAlignment="1" applyProtection="1" pivotButton="0" quotePrefix="0" xfId="0">
      <alignment horizontal="center" vertical="center" wrapText="1"/>
      <protection locked="0" hidden="0"/>
    </xf>
    <xf numFmtId="0" fontId="35" fillId="0" borderId="22" applyAlignment="1" applyProtection="1" pivotButton="0" quotePrefix="0" xfId="0">
      <alignment horizontal="center" vertical="center" wrapText="1"/>
      <protection locked="0" hidden="0"/>
    </xf>
    <xf numFmtId="0" fontId="0" fillId="0" borderId="36" applyProtection="1" pivotButton="0" quotePrefix="0" xfId="0">
      <protection locked="0" hidden="0"/>
    </xf>
    <xf numFmtId="0" fontId="22" fillId="13" borderId="1" applyAlignment="1" applyProtection="1" pivotButton="0" quotePrefix="0" xfId="0">
      <alignment horizontal="center"/>
      <protection locked="0" hidden="0"/>
    </xf>
    <xf numFmtId="0" fontId="0" fillId="0" borderId="20" applyProtection="1" pivotButton="0" quotePrefix="0" xfId="0">
      <protection locked="0" hidden="0"/>
    </xf>
    <xf numFmtId="0" fontId="19" fillId="13" borderId="1" applyAlignment="1" applyProtection="1" pivotButton="0" quotePrefix="0" xfId="0">
      <alignment horizontal="center"/>
      <protection locked="0" hidden="0"/>
    </xf>
    <xf numFmtId="0" fontId="22" fillId="8" borderId="11" applyAlignment="1" applyProtection="1" pivotButton="0" quotePrefix="0" xfId="0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22" fillId="8" borderId="17" applyAlignment="1" applyProtection="1" pivotButton="0" quotePrefix="0" xfId="0">
      <alignment horizontal="right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5" fillId="0" borderId="12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4" pivotButton="0" quotePrefix="0" xfId="0"/>
    <xf numFmtId="0" fontId="36" fillId="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45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33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33" fillId="0" borderId="37" applyAlignment="1" pivotButton="0" quotePrefix="0" xfId="0">
      <alignment horizontal="center" vertical="center" wrapText="1"/>
    </xf>
    <xf numFmtId="0" fontId="0" fillId="0" borderId="35" pivotButton="0" quotePrefix="0" xfId="0"/>
    <xf numFmtId="0" fontId="15" fillId="0" borderId="1" applyAlignment="1" applyProtection="1" pivotButton="0" quotePrefix="0" xfId="0">
      <alignment horizontal="center"/>
      <protection locked="0" hidden="0"/>
    </xf>
    <xf numFmtId="0" fontId="22" fillId="13" borderId="1" applyAlignment="1" applyProtection="1" pivotButton="0" quotePrefix="0" xfId="0">
      <alignment horizontal="left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19" fillId="13" borderId="1" applyAlignment="1" applyProtection="1" pivotButton="0" quotePrefix="0" xfId="0">
      <alignment horizontal="center" vertical="center" wrapText="1"/>
      <protection locked="0" hidden="0"/>
    </xf>
    <xf numFmtId="0" fontId="6" fillId="0" borderId="12" applyAlignment="1" applyProtection="1" pivotButton="0" quotePrefix="0" xfId="0">
      <alignment horizontal="left" vertical="center" wrapText="1"/>
      <protection locked="0" hidden="0"/>
    </xf>
    <xf numFmtId="0" fontId="0" fillId="0" borderId="24" applyProtection="1" pivotButton="0" quotePrefix="0" xfId="0">
      <protection locked="0" hidden="0"/>
    </xf>
    <xf numFmtId="0" fontId="22" fillId="13" borderId="1" applyAlignment="1" applyProtection="1" pivotButton="0" quotePrefix="0" xfId="0">
      <alignment horizontal="center" wrapText="1"/>
      <protection locked="0" hidden="0"/>
    </xf>
    <xf numFmtId="0" fontId="50" fillId="0" borderId="37" applyAlignment="1" applyProtection="1" pivotButton="0" quotePrefix="0" xfId="0">
      <alignment horizontal="center" vertical="center" wrapText="1"/>
      <protection locked="0" hidden="0"/>
    </xf>
    <xf numFmtId="0" fontId="18" fillId="0" borderId="16" applyAlignment="1" pivotButton="0" quotePrefix="0" xfId="0">
      <alignment horizontal="center" vertical="center"/>
    </xf>
    <xf numFmtId="0" fontId="47" fillId="0" borderId="37" applyAlignment="1" pivotButton="0" quotePrefix="0" xfId="0">
      <alignment horizontal="center" vertical="center" wrapText="1"/>
    </xf>
    <xf numFmtId="0" fontId="0" fillId="0" borderId="20" pivotButton="0" quotePrefix="0" xfId="0"/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47" fillId="0" borderId="1" applyAlignment="1" pivotButton="0" quotePrefix="0" xfId="0">
      <alignment horizontal="center" vertical="center" wrapText="1"/>
    </xf>
    <xf numFmtId="0" fontId="35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center"/>
      <protection locked="0" hidden="0"/>
    </xf>
    <xf numFmtId="0" fontId="30" fillId="0" borderId="1" applyAlignment="1" applyProtection="1" pivotButton="0" quotePrefix="0" xfId="0">
      <alignment horizontal="center" vertical="center" wrapText="1"/>
      <protection locked="0" hidden="0"/>
    </xf>
    <xf numFmtId="0" fontId="38" fillId="0" borderId="1" applyAlignment="1" pivotButton="0" quotePrefix="0" xfId="0">
      <alignment horizontal="center" vertical="center"/>
    </xf>
    <xf numFmtId="0" fontId="5" fillId="8" borderId="11" applyAlignment="1" applyProtection="1" pivotButton="0" quotePrefix="0" xfId="0">
      <alignment horizont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19" fillId="8" borderId="11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34" fillId="0" borderId="1" applyAlignment="1" pivotButton="0" quotePrefix="0" xfId="0">
      <alignment horizontal="center" vertical="center" wrapText="1"/>
    </xf>
    <xf numFmtId="0" fontId="14" fillId="0" borderId="1" applyAlignment="1" applyProtection="1" pivotButton="0" quotePrefix="0" xfId="0">
      <alignment horizontal="center" wrapText="1"/>
      <protection locked="0" hidden="0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40" fillId="0" borderId="1" applyAlignment="1" applyProtection="1" pivotButton="0" quotePrefix="0" xfId="0">
      <alignment horizontal="center" wrapText="1"/>
      <protection locked="0" hidden="0"/>
    </xf>
    <xf numFmtId="0" fontId="0" fillId="0" borderId="38" applyProtection="1" pivotButton="0" quotePrefix="0" xfId="0">
      <protection locked="0" hidden="0"/>
    </xf>
    <xf numFmtId="0" fontId="32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center" vertical="center"/>
    </xf>
    <xf numFmtId="0" fontId="29" fillId="0" borderId="19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2" fillId="5" borderId="4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4" fillId="5" borderId="41" applyAlignment="1" applyProtection="1" pivotButton="0" quotePrefix="0" xfId="0">
      <alignment horizontal="center" vertical="center" wrapText="1"/>
      <protection locked="0" hidden="0"/>
    </xf>
    <xf numFmtId="0" fontId="4" fillId="4" borderId="41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applyProtection="1" pivotButton="0" quotePrefix="0" xfId="0">
      <alignment horizontal="center" wrapText="1"/>
      <protection locked="0" hidden="0"/>
    </xf>
    <xf numFmtId="0" fontId="0" fillId="0" borderId="7" applyProtection="1" pivotButton="0" quotePrefix="0" xfId="0">
      <protection locked="0" hidden="0"/>
    </xf>
    <xf numFmtId="0" fontId="6" fillId="4" borderId="2" applyAlignment="1" applyProtection="1" pivotButton="0" quotePrefix="0" xfId="0">
      <alignment horizontal="center" wrapText="1"/>
      <protection locked="0" hidden="0"/>
    </xf>
    <xf numFmtId="0" fontId="0" fillId="0" borderId="8" applyProtection="1" pivotButton="0" quotePrefix="0" xfId="0">
      <protection locked="0" hidden="0"/>
    </xf>
    <xf numFmtId="0" fontId="4" fillId="4" borderId="41" applyAlignment="1" applyProtection="1" pivotButton="0" quotePrefix="0" xfId="0">
      <alignment horizontal="center" vertical="center"/>
      <protection locked="0" hidden="0"/>
    </xf>
    <xf numFmtId="0" fontId="4" fillId="5" borderId="41" applyAlignment="1" applyProtection="1" pivotButton="0" quotePrefix="0" xfId="0">
      <alignment horizontal="center" vertical="center"/>
      <protection locked="0" hidden="0"/>
    </xf>
    <xf numFmtId="0" fontId="2" fillId="4" borderId="41" applyAlignment="1" applyProtection="1" pivotButton="0" quotePrefix="0" xfId="1">
      <alignment horizontal="center" vertical="center" wrapText="1"/>
      <protection locked="0" hidden="0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Relationship Type="http://schemas.openxmlformats.org/officeDocument/2006/relationships/image" Target="/xl/media/image4.jpeg" Id="rId3" /><Relationship Type="http://schemas.openxmlformats.org/officeDocument/2006/relationships/image" Target="/xl/media/image5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107950</colOff>
      <row>3</row>
      <rowOff>139700</rowOff>
    </from>
    <to>
      <col>4</col>
      <colOff>495300</colOff>
      <row>8</row>
      <rowOff>127000</rowOff>
    </to>
    <pic>
      <nvPicPr>
        <cNvPr id="2" name="Picture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1993900" y="692150"/>
          <a:ext cx="1016000" cy="908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338464</colOff>
      <row>4</row>
      <rowOff>84666</rowOff>
    </from>
    <to>
      <col>2</col>
      <colOff>1244599</colOff>
      <row>6</row>
      <rowOff>111971</rowOff>
    </to>
    <pic>
      <nvPicPr>
        <cNvPr id="1143" name="Picture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948055" y="1033780"/>
          <a:ext cx="1470660" cy="125920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7</col>
      <colOff>287663</colOff>
      <row>44</row>
      <rowOff>59266</rowOff>
    </from>
    <to>
      <col>7</col>
      <colOff>1134827</colOff>
      <row>44</row>
      <rowOff>780838</rowOff>
    </to>
    <pic>
      <nvPicPr>
        <cNvPr id="4" name="Picture 4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>
        <a:xfrm>
          <a:off x="8504555" y="18883630"/>
          <a:ext cx="847090" cy="7213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11</col>
      <colOff>1</colOff>
      <row>4</row>
      <rowOff>0</rowOff>
    </from>
    <to>
      <col>12</col>
      <colOff>1</colOff>
      <row>7</row>
      <rowOff>0</rowOff>
    </to>
    <pic>
      <nvPicPr>
        <cNvPr id="2" name="Picture 1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12661901" y="965200"/>
          <a:ext cx="1435100" cy="1536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876300</colOff>
      <row>43</row>
      <rowOff>25400</rowOff>
    </from>
    <to>
      <col>6</col>
      <colOff>850901</colOff>
      <row>43</row>
      <rowOff>736599</rowOff>
    </to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6388100" y="18161000"/>
          <a:ext cx="1143001" cy="71119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R78"/>
  <sheetViews>
    <sheetView showGridLines="0" topLeftCell="A2" workbookViewId="0">
      <selection activeCell="E77" sqref="E77"/>
    </sheetView>
  </sheetViews>
  <sheetFormatPr baseColWidth="8" defaultColWidth="9" defaultRowHeight="15"/>
  <sheetData>
    <row r="3"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126" t="n"/>
      <c r="Q3" s="126" t="n"/>
      <c r="R3" s="126" t="n"/>
    </row>
    <row r="4">
      <c r="C4" s="126" t="n"/>
      <c r="R4" s="126" t="n"/>
    </row>
    <row r="5">
      <c r="C5" s="126" t="n"/>
      <c r="R5" s="126" t="n"/>
    </row>
    <row r="6">
      <c r="C6" s="126" t="n"/>
      <c r="R6" s="126" t="n"/>
    </row>
    <row r="7">
      <c r="C7" s="126" t="n"/>
      <c r="R7" s="126" t="n"/>
    </row>
    <row r="8">
      <c r="C8" s="126" t="n"/>
      <c r="R8" s="126" t="n"/>
    </row>
    <row r="9">
      <c r="C9" s="126" t="n"/>
      <c r="R9" s="126" t="n"/>
    </row>
    <row r="10">
      <c r="C10" s="126" t="n"/>
      <c r="R10" s="126" t="n"/>
    </row>
    <row r="11">
      <c r="C11" s="126" t="n"/>
      <c r="R11" s="126" t="n"/>
    </row>
    <row r="12">
      <c r="C12" s="126" t="n"/>
      <c r="R12" s="126" t="n"/>
    </row>
    <row r="13">
      <c r="C13" s="126" t="n"/>
      <c r="R13" s="126" t="n"/>
    </row>
    <row r="14">
      <c r="C14" s="126" t="n"/>
      <c r="R14" s="126" t="n"/>
    </row>
    <row r="15">
      <c r="C15" s="126" t="n"/>
      <c r="R15" s="126" t="n"/>
    </row>
    <row r="16">
      <c r="C16" s="126" t="n"/>
      <c r="R16" s="126" t="n"/>
    </row>
    <row r="17">
      <c r="C17" s="126" t="n"/>
      <c r="R17" s="126" t="n"/>
    </row>
    <row r="18">
      <c r="C18" s="126" t="n"/>
      <c r="R18" s="126" t="n"/>
    </row>
    <row r="19">
      <c r="C19" s="126" t="n"/>
      <c r="R19" s="126" t="n"/>
    </row>
    <row r="20">
      <c r="C20" s="126" t="n"/>
      <c r="R20" s="126" t="n"/>
    </row>
    <row r="21">
      <c r="C21" s="126" t="n"/>
      <c r="R21" s="126" t="n"/>
    </row>
    <row r="22">
      <c r="C22" s="126" t="n"/>
      <c r="R22" s="126" t="n"/>
    </row>
    <row r="23">
      <c r="C23" s="126" t="n"/>
      <c r="R23" s="126" t="n"/>
    </row>
    <row r="24">
      <c r="C24" s="126" t="n"/>
      <c r="R24" s="126" t="n"/>
    </row>
    <row r="25">
      <c r="C25" s="126" t="n"/>
      <c r="R25" s="126" t="n"/>
    </row>
    <row r="26">
      <c r="C26" s="126" t="n"/>
      <c r="R26" s="126" t="n"/>
    </row>
    <row r="27">
      <c r="C27" s="126" t="n"/>
      <c r="R27" s="126" t="n"/>
    </row>
    <row r="28">
      <c r="C28" s="126" t="n"/>
      <c r="R28" s="126" t="n"/>
    </row>
    <row r="29">
      <c r="C29" s="126" t="n"/>
      <c r="R29" s="126" t="n"/>
    </row>
    <row r="30">
      <c r="C30" s="126" t="n"/>
      <c r="R30" s="126" t="n"/>
    </row>
    <row r="31">
      <c r="C31" s="126" t="n"/>
      <c r="R31" s="126" t="n"/>
    </row>
    <row r="32">
      <c r="C32" s="126" t="n"/>
      <c r="R32" s="126" t="n"/>
    </row>
    <row r="33">
      <c r="C33" s="126" t="n"/>
      <c r="R33" s="126" t="n"/>
    </row>
    <row r="34">
      <c r="C34" s="126" t="n"/>
      <c r="R34" s="126" t="n"/>
    </row>
    <row r="35">
      <c r="C35" s="126" t="n"/>
      <c r="R35" s="126" t="n"/>
    </row>
    <row r="36">
      <c r="C36" s="126" t="n"/>
      <c r="R36" s="126" t="n"/>
    </row>
    <row r="37">
      <c r="C37" s="126" t="n"/>
      <c r="R37" s="126" t="n"/>
    </row>
    <row r="38">
      <c r="C38" s="126" t="n"/>
      <c r="R38" s="126" t="n"/>
    </row>
    <row r="39">
      <c r="C39" s="126" t="n"/>
      <c r="R39" s="126" t="n"/>
    </row>
    <row r="40">
      <c r="C40" s="126" t="n"/>
      <c r="R40" s="126" t="n"/>
    </row>
    <row r="41">
      <c r="C41" s="126" t="n"/>
      <c r="R41" s="126" t="n"/>
    </row>
    <row r="42">
      <c r="C42" s="126" t="n"/>
      <c r="R42" s="126" t="n"/>
    </row>
    <row r="43">
      <c r="C43" s="126" t="n"/>
      <c r="R43" s="126" t="n"/>
    </row>
    <row r="44">
      <c r="C44" s="126" t="n"/>
      <c r="R44" s="126" t="n"/>
    </row>
    <row r="45">
      <c r="C45" s="126" t="n"/>
      <c r="R45" s="126" t="n"/>
    </row>
    <row r="46">
      <c r="C46" s="126" t="n"/>
      <c r="R46" s="126" t="n"/>
    </row>
    <row r="47">
      <c r="C47" s="126" t="n"/>
      <c r="R47" s="126" t="n"/>
    </row>
    <row r="48">
      <c r="C48" s="126" t="n"/>
      <c r="R48" s="126" t="n"/>
    </row>
    <row r="49">
      <c r="C49" s="126" t="n"/>
      <c r="R49" s="126" t="n"/>
    </row>
    <row r="50">
      <c r="C50" s="126" t="n"/>
      <c r="R50" s="126" t="n"/>
    </row>
    <row r="51">
      <c r="C51" s="126" t="n"/>
      <c r="R51" s="126" t="n"/>
    </row>
    <row r="52">
      <c r="C52" s="126" t="n"/>
      <c r="R52" s="126" t="n"/>
    </row>
    <row r="53">
      <c r="C53" s="126" t="n"/>
      <c r="D53" s="127" t="n"/>
      <c r="E53" s="127" t="n"/>
      <c r="F53" s="127" t="n"/>
      <c r="G53" s="127" t="n"/>
      <c r="H53" s="127" t="n"/>
      <c r="I53" s="127" t="n"/>
      <c r="J53" s="127" t="n"/>
      <c r="K53" s="127" t="n"/>
      <c r="L53" s="127" t="n"/>
      <c r="M53" s="127" t="n"/>
      <c r="N53" s="127" t="n"/>
      <c r="O53" s="127" t="n"/>
      <c r="P53" s="127" t="n"/>
      <c r="Q53" s="127" t="n"/>
      <c r="R53" s="126" t="n"/>
    </row>
    <row r="54">
      <c r="C54" s="126" t="n"/>
      <c r="R54" s="126" t="n"/>
    </row>
    <row r="55">
      <c r="C55" s="126" t="n"/>
      <c r="R55" s="126" t="n"/>
    </row>
    <row r="56">
      <c r="C56" s="126" t="n"/>
      <c r="R56" s="126" t="n"/>
    </row>
    <row r="57">
      <c r="C57" s="126" t="n"/>
      <c r="R57" s="126" t="n"/>
    </row>
    <row r="58">
      <c r="C58" s="126" t="n"/>
      <c r="R58" s="126" t="n"/>
    </row>
    <row r="59">
      <c r="C59" s="126" t="n"/>
      <c r="R59" s="126" t="n"/>
    </row>
    <row r="60">
      <c r="C60" s="126" t="n"/>
      <c r="R60" s="126" t="n"/>
    </row>
    <row r="61">
      <c r="C61" s="126" t="n"/>
      <c r="R61" s="126" t="n"/>
    </row>
    <row r="62">
      <c r="C62" s="126" t="n"/>
      <c r="R62" s="126" t="n"/>
    </row>
    <row r="63">
      <c r="C63" s="126" t="n"/>
      <c r="R63" s="126" t="n"/>
    </row>
    <row r="64">
      <c r="C64" s="126" t="n"/>
      <c r="R64" s="126" t="n"/>
    </row>
    <row r="65">
      <c r="C65" s="126" t="n"/>
      <c r="R65" s="126" t="n"/>
    </row>
    <row r="66">
      <c r="C66" s="126" t="n"/>
      <c r="R66" s="126" t="n"/>
    </row>
    <row r="67">
      <c r="C67" s="126" t="n"/>
      <c r="R67" s="126" t="n"/>
    </row>
    <row r="68">
      <c r="C68" s="126" t="n"/>
      <c r="R68" s="126" t="n"/>
    </row>
    <row r="69">
      <c r="C69" s="126" t="n"/>
      <c r="R69" s="126" t="n"/>
    </row>
    <row r="70">
      <c r="C70" s="126" t="n"/>
      <c r="R70" s="126" t="n"/>
    </row>
    <row r="71">
      <c r="C71" s="126" t="n"/>
      <c r="R71" s="126" t="n"/>
    </row>
    <row r="72">
      <c r="C72" s="126" t="n"/>
      <c r="R72" s="126" t="n"/>
    </row>
    <row r="73">
      <c r="C73" s="126" t="n"/>
      <c r="D73" s="127" t="n"/>
      <c r="E73" s="127" t="n"/>
      <c r="F73" s="127" t="n"/>
      <c r="G73" s="127" t="n"/>
      <c r="H73" s="127" t="n"/>
      <c r="I73" s="127" t="n"/>
      <c r="J73" s="127" t="n"/>
      <c r="K73" s="127" t="n"/>
      <c r="L73" s="127" t="n"/>
      <c r="M73" s="127" t="n"/>
      <c r="N73" s="127" t="n"/>
      <c r="O73" s="127" t="n"/>
      <c r="P73" s="127" t="n"/>
      <c r="Q73" s="127" t="n"/>
      <c r="R73" s="126" t="n"/>
    </row>
    <row r="74">
      <c r="C74" s="126" t="n"/>
      <c r="R74" s="126" t="n"/>
    </row>
    <row r="75">
      <c r="C75" s="126" t="n"/>
      <c r="D75" s="127" t="n"/>
      <c r="E75" s="127" t="n"/>
      <c r="F75" s="127" t="n"/>
      <c r="G75" s="127" t="n"/>
      <c r="H75" s="127" t="n"/>
      <c r="I75" s="127" t="n"/>
      <c r="J75" s="127" t="n"/>
      <c r="K75" s="127" t="n"/>
      <c r="L75" s="127" t="n"/>
      <c r="M75" s="127" t="n"/>
      <c r="N75" s="127" t="n"/>
      <c r="O75" s="127" t="n"/>
      <c r="P75" s="127" t="n"/>
      <c r="Q75" s="127" t="n"/>
      <c r="R75" s="126" t="n"/>
    </row>
    <row r="76">
      <c r="C76" s="126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6" t="n"/>
    </row>
    <row r="77">
      <c r="C77" s="126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6" t="n"/>
    </row>
    <row r="78">
      <c r="C78" s="126" t="n"/>
      <c r="D78" s="126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X486"/>
  <sheetViews>
    <sheetView tabSelected="1" topLeftCell="A40" zoomScale="75" zoomScaleNormal="75" workbookViewId="0">
      <selection activeCell="I51" sqref="I51"/>
    </sheetView>
  </sheetViews>
  <sheetFormatPr baseColWidth="8" defaultColWidth="8.7109375" defaultRowHeight="18.75"/>
  <cols>
    <col width="8.7109375" customWidth="1" style="104" min="1" max="1"/>
    <col width="8.140625" customWidth="1" style="61" min="2" max="2"/>
    <col width="25.140625" customWidth="1" style="62" min="3" max="3"/>
    <col width="19.140625" customWidth="1" style="62" min="4" max="4"/>
    <col width="21.28515625" customWidth="1" style="62" min="5" max="5"/>
    <col width="17.5703125" customWidth="1" style="62" min="6" max="7"/>
    <col width="21.28515625" customWidth="1" style="62" min="8" max="8"/>
    <col width="17" customWidth="1" style="62" min="9" max="9"/>
    <col width="17.7109375" customWidth="1" style="62" min="10" max="10"/>
    <col width="16.140625" customWidth="1" style="62" min="11" max="11"/>
    <col width="21.5703125" customWidth="1" style="62" min="12" max="12"/>
    <col width="8.7109375" customWidth="1" style="104" min="13" max="13"/>
    <col width="8.7109375" customWidth="1" style="62" min="14" max="61"/>
    <col width="16" customWidth="1" style="62" min="62" max="62"/>
    <col width="15.140625" customWidth="1" style="62" min="63" max="63"/>
    <col width="8.7109375" customWidth="1" style="62" min="64" max="66"/>
    <col width="8.7109375" customWidth="1" style="62" min="67" max="16384"/>
  </cols>
  <sheetData>
    <row r="1" customFormat="1" s="58">
      <c r="B1" s="63" t="n"/>
    </row>
    <row r="2" customFormat="1" s="58">
      <c r="B2" s="63" t="n"/>
    </row>
    <row r="3" customFormat="1" s="104">
      <c r="B3" s="64" t="n"/>
    </row>
    <row r="4" ht="19.35" customFormat="1" customHeight="1" s="104">
      <c r="B4" s="64" t="n"/>
    </row>
    <row r="5" ht="64.5" customHeight="1" s="6">
      <c r="B5" s="180" t="n"/>
      <c r="C5" s="162" t="n"/>
      <c r="D5" s="186" t="inlineStr">
        <is>
          <t>OYO STATE MINISTRY OF EDUCATION, SCIENCE AND TECHNOLOGY</t>
        </is>
      </c>
      <c r="E5" s="141" t="n"/>
      <c r="F5" s="141" t="n"/>
      <c r="G5" s="141" t="n"/>
      <c r="H5" s="141" t="n"/>
      <c r="I5" s="141" t="n"/>
      <c r="J5" s="141" t="n"/>
      <c r="K5" s="151" t="n"/>
      <c r="L5" s="188" t="inlineStr">
        <is>
          <t>Insert School Logo</t>
        </is>
      </c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</row>
    <row r="6" ht="32.45" customHeight="1" s="6">
      <c r="B6" s="181" t="n"/>
      <c r="C6" s="182" t="n"/>
      <c r="D6" s="157" t="inlineStr">
        <is>
          <t>COMPREHENSIVE HIGH SCHOOL, IGBOPE</t>
        </is>
      </c>
      <c r="E6" s="141" t="n"/>
      <c r="F6" s="141" t="n"/>
      <c r="G6" s="141" t="n"/>
      <c r="H6" s="141" t="n"/>
      <c r="I6" s="141" t="n"/>
      <c r="J6" s="141" t="n"/>
      <c r="K6" s="151" t="n"/>
      <c r="L6" s="189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104" t="n"/>
      <c r="AJ6" s="104" t="n"/>
      <c r="AK6" s="104" t="n"/>
      <c r="AL6" s="104" t="n"/>
      <c r="AM6" s="104" t="n"/>
      <c r="AN6" s="104" t="n"/>
      <c r="AO6" s="104" t="n"/>
      <c r="AP6" s="104" t="n"/>
      <c r="AQ6" s="104" t="n"/>
      <c r="AR6" s="104" t="n"/>
      <c r="AS6" s="104" t="n"/>
      <c r="AT6" s="104" t="n"/>
      <c r="AU6" s="104" t="n"/>
      <c r="AV6" s="104" t="n"/>
      <c r="AW6" s="104" t="n"/>
      <c r="AX6" s="104" t="n"/>
      <c r="AY6" s="104" t="n"/>
      <c r="AZ6" s="104" t="n"/>
      <c r="BA6" s="104" t="n"/>
      <c r="BB6" s="104" t="n"/>
      <c r="BC6" s="104" t="n"/>
      <c r="BD6" s="104" t="n"/>
      <c r="BE6" s="104" t="n"/>
      <c r="BF6" s="104" t="n"/>
      <c r="BG6" s="104" t="n"/>
      <c r="BH6" s="104" t="n"/>
      <c r="BI6" s="104" t="n"/>
      <c r="BJ6" s="104" t="n"/>
      <c r="BK6" s="104" t="n"/>
      <c r="BL6" s="104" t="n"/>
      <c r="BM6" s="104" t="n"/>
      <c r="BN6" s="104" t="n"/>
      <c r="BO6" s="104" t="n"/>
      <c r="BP6" s="104" t="n"/>
      <c r="BQ6" s="104" t="n"/>
      <c r="BR6" s="104" t="n"/>
      <c r="BS6" s="104" t="n"/>
      <c r="BT6" s="104" t="n"/>
      <c r="BU6" s="104" t="n"/>
      <c r="BV6" s="104" t="n"/>
      <c r="BW6" s="104" t="n"/>
      <c r="BX6" s="104" t="n"/>
    </row>
    <row r="7" ht="24" customHeight="1" s="6">
      <c r="B7" s="183" t="n"/>
      <c r="C7" s="184" t="n"/>
      <c r="D7" s="173" t="inlineStr">
        <is>
          <t>STUDENT REPORT CARD</t>
        </is>
      </c>
      <c r="E7" s="141" t="n"/>
      <c r="F7" s="141" t="n"/>
      <c r="G7" s="141" t="n"/>
      <c r="H7" s="141" t="n"/>
      <c r="I7" s="141" t="n"/>
      <c r="J7" s="141" t="n"/>
      <c r="K7" s="151" t="n"/>
      <c r="L7" s="138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4" t="n"/>
      <c r="AH7" s="104" t="n"/>
      <c r="AI7" s="104" t="n"/>
      <c r="AJ7" s="104" t="n"/>
      <c r="AK7" s="104" t="n"/>
      <c r="AL7" s="104" t="n"/>
      <c r="AM7" s="104" t="n"/>
      <c r="AN7" s="104" t="n"/>
      <c r="AO7" s="104" t="n"/>
      <c r="AP7" s="104" t="n"/>
      <c r="AQ7" s="104" t="n"/>
      <c r="AR7" s="104" t="n"/>
      <c r="AS7" s="104" t="n"/>
      <c r="AT7" s="104" t="n"/>
      <c r="AU7" s="104" t="n"/>
      <c r="AV7" s="104" t="n"/>
      <c r="AW7" s="104" t="n"/>
      <c r="AX7" s="104" t="n"/>
      <c r="AY7" s="104" t="n"/>
      <c r="AZ7" s="104" t="n"/>
      <c r="BA7" s="104" t="n"/>
      <c r="BB7" s="104" t="n"/>
      <c r="BC7" s="104" t="n"/>
      <c r="BD7" s="104" t="n"/>
      <c r="BE7" s="104" t="n"/>
      <c r="BF7" s="104" t="n"/>
      <c r="BG7" s="104" t="n"/>
      <c r="BH7" s="104" t="n"/>
      <c r="BI7" s="104" t="n"/>
      <c r="BJ7" s="104" t="n"/>
      <c r="BK7" s="104" t="n"/>
      <c r="BL7" s="104" t="n"/>
      <c r="BM7" s="104" t="n"/>
      <c r="BN7" s="104" t="n"/>
      <c r="BO7" s="104" t="n"/>
      <c r="BP7" s="104" t="n"/>
      <c r="BQ7" s="104" t="n"/>
      <c r="BR7" s="104" t="n"/>
      <c r="BS7" s="104" t="n"/>
      <c r="BT7" s="104" t="n"/>
      <c r="BU7" s="104" t="n"/>
      <c r="BV7" s="104" t="n"/>
      <c r="BW7" s="104" t="n"/>
      <c r="BX7" s="104" t="n"/>
    </row>
    <row r="8" ht="35.1" customHeight="1" s="6">
      <c r="B8" s="65" t="n">
        <v>19</v>
      </c>
      <c r="C8" s="66" t="inlineStr">
        <is>
          <t xml:space="preserve">Student Name:                                                                                                                                                                                                     </t>
        </is>
      </c>
      <c r="D8" s="165">
        <f>VLOOKUP(B8,Db!A4:B503,2,0)</f>
        <v/>
      </c>
      <c r="E8" s="154" t="n"/>
      <c r="F8" s="148" t="n"/>
      <c r="G8" s="68" t="inlineStr">
        <is>
          <t>Gender</t>
        </is>
      </c>
      <c r="H8" s="67">
        <f>VLOOKUP(B8,Db!A4:E503,4,0)</f>
        <v/>
      </c>
      <c r="I8" s="98" t="inlineStr">
        <is>
          <t>Adm. No.</t>
        </is>
      </c>
      <c r="J8" s="99">
        <f>VLOOKUP(B8,Db!A4:C503,3,0)</f>
        <v/>
      </c>
      <c r="K8" s="100" t="inlineStr">
        <is>
          <t xml:space="preserve">Class: </t>
        </is>
      </c>
      <c r="L8" s="101">
        <f>VLOOKUP(B8,Db!A4:E503,5,0)</f>
        <v/>
      </c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  <c r="AI8" s="104" t="n"/>
      <c r="AJ8" s="104" t="n"/>
      <c r="AK8" s="104" t="n"/>
      <c r="AL8" s="104" t="n"/>
      <c r="AM8" s="104" t="n"/>
      <c r="AN8" s="104" t="n"/>
      <c r="AO8" s="104" t="n"/>
      <c r="AP8" s="104" t="n"/>
      <c r="AQ8" s="104" t="n"/>
      <c r="AR8" s="104" t="n"/>
      <c r="AS8" s="104" t="n"/>
      <c r="AT8" s="104" t="n"/>
      <c r="AU8" s="104" t="n"/>
      <c r="AV8" s="104" t="n"/>
      <c r="AW8" s="104" t="n"/>
      <c r="AX8" s="104" t="n"/>
      <c r="AY8" s="104" t="n"/>
      <c r="AZ8" s="104" t="n"/>
      <c r="BA8" s="104" t="n"/>
      <c r="BB8" s="104" t="n"/>
      <c r="BC8" s="104" t="n"/>
      <c r="BD8" s="104" t="n"/>
      <c r="BE8" s="104" t="n"/>
      <c r="BF8" s="104" t="n"/>
      <c r="BG8" s="104" t="n"/>
      <c r="BH8" s="104" t="n"/>
      <c r="BI8" s="104" t="n"/>
      <c r="BJ8" s="104" t="n"/>
      <c r="BK8" s="104" t="n"/>
      <c r="BL8" s="104" t="n"/>
      <c r="BM8" s="104" t="n"/>
      <c r="BN8" s="104" t="n"/>
      <c r="BO8" s="104" t="n"/>
      <c r="BP8" s="104" t="n"/>
      <c r="BQ8" s="104" t="n"/>
      <c r="BR8" s="104" t="n"/>
      <c r="BS8" s="104" t="n"/>
      <c r="BT8" s="104" t="n"/>
      <c r="BU8" s="104" t="n"/>
      <c r="BV8" s="104" t="n"/>
      <c r="BW8" s="104" t="n"/>
      <c r="BX8" s="104" t="n"/>
    </row>
    <row r="9" ht="64.5" customHeight="1" s="6">
      <c r="B9" s="178" t="inlineStr">
        <is>
          <t>Number of Subjects Offered:</t>
        </is>
      </c>
      <c r="C9" s="141" t="n"/>
      <c r="D9" s="69">
        <f>COUNTIF(D14:D30,"=100")</f>
        <v/>
      </c>
      <c r="E9" s="70" t="inlineStr">
        <is>
          <t xml:space="preserve">Number Passed: </t>
        </is>
      </c>
      <c r="F9" s="69">
        <f>COUNTIF(J14:J30,"&gt;=40")</f>
        <v/>
      </c>
      <c r="G9" s="70" t="inlineStr">
        <is>
          <t>Number Failed:</t>
        </is>
      </c>
      <c r="H9" s="71">
        <f>D9-F9</f>
        <v/>
      </c>
      <c r="I9" s="178" t="inlineStr">
        <is>
          <t>Number of Students in Class:</t>
        </is>
      </c>
      <c r="J9" s="69">
        <f>VLOOKUP(B8,Db!A4:F503,6,0)</f>
        <v/>
      </c>
      <c r="K9" s="102" t="inlineStr">
        <is>
          <t>Class Position</t>
        </is>
      </c>
      <c r="L9" s="103">
        <f>VLOOKUP(B8,Db!A4:DI503,113,0)</f>
        <v/>
      </c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4" t="n"/>
      <c r="AH9" s="104" t="n"/>
      <c r="AI9" s="104" t="n"/>
      <c r="AJ9" s="104" t="n"/>
      <c r="AK9" s="104" t="n"/>
      <c r="AL9" s="104" t="n"/>
      <c r="AM9" s="104" t="n"/>
      <c r="AN9" s="104" t="n"/>
      <c r="AO9" s="104" t="n"/>
      <c r="AP9" s="104" t="n"/>
      <c r="AQ9" s="104" t="n"/>
      <c r="AR9" s="104" t="n"/>
      <c r="AS9" s="104" t="n"/>
      <c r="AT9" s="104" t="n"/>
      <c r="AU9" s="104" t="n"/>
      <c r="AV9" s="104" t="n"/>
      <c r="AW9" s="104" t="n"/>
      <c r="AX9" s="104" t="n"/>
      <c r="AY9" s="104" t="n"/>
      <c r="AZ9" s="104" t="n"/>
      <c r="BA9" s="104" t="n"/>
      <c r="BB9" s="104" t="n"/>
      <c r="BC9" s="104" t="n"/>
      <c r="BD9" s="104" t="n"/>
      <c r="BE9" s="104" t="n"/>
      <c r="BF9" s="104" t="n"/>
      <c r="BG9" s="104" t="n"/>
      <c r="BH9" s="104" t="n"/>
      <c r="BI9" s="104" t="n"/>
      <c r="BJ9" s="104" t="n"/>
      <c r="BK9" s="104" t="n"/>
      <c r="BL9" s="104" t="n"/>
      <c r="BM9" s="104" t="n"/>
      <c r="BN9" s="104" t="n"/>
      <c r="BO9" s="104" t="n"/>
      <c r="BP9" s="104" t="n"/>
      <c r="BQ9" s="104" t="n"/>
      <c r="BR9" s="104" t="n"/>
      <c r="BS9" s="104" t="n"/>
      <c r="BT9" s="104" t="n"/>
      <c r="BU9" s="104" t="n"/>
      <c r="BV9" s="104" t="n"/>
      <c r="BW9" s="104" t="n"/>
      <c r="BX9" s="104" t="n"/>
    </row>
    <row r="10" ht="42.6" customHeight="1" s="6">
      <c r="B10" s="176" t="inlineStr">
        <is>
          <t xml:space="preserve">No of Times School Opened: </t>
        </is>
      </c>
      <c r="C10" s="141" t="n"/>
      <c r="D10" s="69">
        <f>VLOOKUP(B8,Db!A4:G503,7,0)</f>
        <v/>
      </c>
      <c r="E10" s="72" t="inlineStr">
        <is>
          <t xml:space="preserve">No of Times Present: </t>
        </is>
      </c>
      <c r="F10" s="73">
        <f>VLOOKUP(B8,Db!A4:H503,8,0)</f>
        <v/>
      </c>
      <c r="G10" s="72" t="inlineStr">
        <is>
          <t xml:space="preserve">No of Times Absent: </t>
        </is>
      </c>
      <c r="H10" s="73">
        <f>VLOOKUP(B8,Db!A4:I503,9,0)</f>
        <v/>
      </c>
      <c r="I10" s="105" t="inlineStr">
        <is>
          <t>Academic Session:</t>
        </is>
      </c>
      <c r="J10" s="69">
        <f>VLOOKUP(B8,Db!A4:DR503,122,0)</f>
        <v/>
      </c>
      <c r="K10" s="106" t="inlineStr">
        <is>
          <t>Term:</t>
        </is>
      </c>
      <c r="L10" s="69">
        <f>VLOOKUP(B8,Db!A4:DS503,123,0)</f>
        <v/>
      </c>
      <c r="M10" s="107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104" t="n"/>
      <c r="AJ10" s="104" t="n"/>
      <c r="AK10" s="104" t="n"/>
      <c r="AL10" s="104" t="n"/>
      <c r="AM10" s="104" t="n"/>
      <c r="AN10" s="104" t="n"/>
      <c r="AO10" s="104" t="n"/>
      <c r="AP10" s="104" t="n"/>
      <c r="AQ10" s="104" t="n"/>
      <c r="AR10" s="104" t="n"/>
      <c r="AS10" s="104" t="n"/>
      <c r="AT10" s="104" t="n"/>
      <c r="AU10" s="104" t="n"/>
      <c r="AV10" s="104" t="n"/>
      <c r="AW10" s="104" t="n"/>
      <c r="AX10" s="104" t="n"/>
      <c r="AY10" s="104" t="n"/>
      <c r="AZ10" s="104" t="n"/>
      <c r="BA10" s="104" t="n"/>
      <c r="BB10" s="104" t="n"/>
      <c r="BC10" s="104" t="n"/>
      <c r="BD10" s="104" t="n"/>
      <c r="BE10" s="104" t="n"/>
      <c r="BF10" s="104" t="n"/>
      <c r="BG10" s="104" t="n"/>
      <c r="BH10" s="104" t="n"/>
      <c r="BI10" s="104" t="n"/>
      <c r="BJ10" s="104" t="n"/>
      <c r="BK10" s="104" t="n"/>
      <c r="BL10" s="104" t="n"/>
      <c r="BM10" s="104" t="n"/>
      <c r="BN10" s="104" t="n"/>
      <c r="BO10" s="104" t="n"/>
      <c r="BP10" s="104" t="n"/>
      <c r="BQ10" s="104" t="n"/>
      <c r="BR10" s="104" t="n"/>
      <c r="BS10" s="104" t="n"/>
      <c r="BT10" s="104" t="n"/>
      <c r="BU10" s="104" t="n"/>
      <c r="BV10" s="104" t="n"/>
      <c r="BW10" s="104" t="n"/>
      <c r="BX10" s="104" t="n"/>
    </row>
    <row r="11" ht="30.6" customHeight="1" s="6">
      <c r="B11" s="159" t="inlineStr">
        <is>
          <t>COGNITIVE (ACADEMIC PERFORMANCE)</t>
        </is>
      </c>
      <c r="C11" s="141" t="n"/>
      <c r="D11" s="141" t="n"/>
      <c r="E11" s="141" t="n"/>
      <c r="F11" s="141" t="n"/>
      <c r="G11" s="141" t="n"/>
      <c r="H11" s="141" t="n"/>
      <c r="I11" s="141" t="n"/>
      <c r="J11" s="141" t="n"/>
      <c r="K11" s="141" t="n"/>
      <c r="L11" s="151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  <c r="AI11" s="104" t="n"/>
      <c r="AJ11" s="104" t="n"/>
      <c r="AK11" s="104" t="n"/>
      <c r="AL11" s="104" t="n"/>
      <c r="AM11" s="104" t="n"/>
      <c r="AN11" s="104" t="n"/>
      <c r="AO11" s="104" t="n"/>
      <c r="AP11" s="104" t="n"/>
      <c r="AQ11" s="104" t="n"/>
      <c r="AR11" s="104" t="n"/>
      <c r="AS11" s="104" t="n"/>
      <c r="AT11" s="104" t="n"/>
      <c r="AU11" s="104" t="n"/>
      <c r="AV11" s="104" t="n"/>
      <c r="AW11" s="104" t="n"/>
      <c r="AX11" s="104" t="n"/>
      <c r="AY11" s="104" t="n"/>
      <c r="AZ11" s="104" t="n"/>
      <c r="BA11" s="104" t="n"/>
      <c r="BB11" s="104" t="n"/>
      <c r="BC11" s="104" t="n"/>
      <c r="BD11" s="104" t="n"/>
      <c r="BE11" s="104" t="n"/>
      <c r="BF11" s="104" t="n"/>
      <c r="BG11" s="104" t="n"/>
      <c r="BH11" s="104" t="n"/>
      <c r="BI11" s="104" t="n"/>
      <c r="BJ11" s="104" t="n"/>
      <c r="BK11" s="104" t="n"/>
      <c r="BL11" s="104" t="n"/>
      <c r="BM11" s="104" t="n"/>
      <c r="BN11" s="104" t="n"/>
      <c r="BO11" s="104" t="n"/>
      <c r="BP11" s="104" t="n"/>
      <c r="BQ11" s="104" t="n"/>
      <c r="BR11" s="104" t="n"/>
      <c r="BS11" s="104" t="n"/>
      <c r="BT11" s="104" t="n"/>
      <c r="BU11" s="104" t="n"/>
      <c r="BV11" s="104" t="n"/>
      <c r="BW11" s="104" t="n"/>
      <c r="BX11" s="104" t="n"/>
    </row>
    <row r="12" ht="54.95" customHeight="1" s="6">
      <c r="B12" s="137" t="inlineStr">
        <is>
          <t>S/NO</t>
        </is>
      </c>
      <c r="C12" s="158" t="inlineStr">
        <is>
          <t>Subject</t>
        </is>
      </c>
      <c r="D12" s="163" t="inlineStr">
        <is>
          <t>Marks Obtainable</t>
        </is>
      </c>
      <c r="E12" s="74" t="inlineStr">
        <is>
          <t xml:space="preserve">3rd Term C.A. </t>
        </is>
      </c>
      <c r="F12" s="74" t="inlineStr">
        <is>
          <t xml:space="preserve">3rd Term Exam </t>
        </is>
      </c>
      <c r="G12" s="159" t="inlineStr">
        <is>
          <t>Total Mark</t>
        </is>
      </c>
      <c r="H12" s="141" t="n"/>
      <c r="I12" s="141" t="n"/>
      <c r="J12" s="151" t="n"/>
      <c r="K12" s="160" t="inlineStr">
        <is>
          <t>Grade Obtained</t>
        </is>
      </c>
      <c r="L12" s="139" t="inlineStr">
        <is>
          <t>Remarks</t>
        </is>
      </c>
      <c r="N12" s="104" t="n"/>
      <c r="O12" s="108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  <c r="AI12" s="104" t="n"/>
      <c r="AJ12" s="104" t="n"/>
      <c r="AK12" s="104" t="n"/>
      <c r="AL12" s="104" t="n"/>
      <c r="AM12" s="104" t="n"/>
      <c r="AN12" s="104" t="n"/>
      <c r="AO12" s="104" t="n"/>
      <c r="AP12" s="104" t="n"/>
      <c r="AQ12" s="104" t="n"/>
      <c r="AR12" s="104" t="n"/>
      <c r="AS12" s="104" t="n"/>
      <c r="AT12" s="104" t="n"/>
      <c r="AU12" s="104" t="n"/>
      <c r="AV12" s="104" t="n"/>
      <c r="AW12" s="104" t="n"/>
      <c r="AX12" s="104" t="n"/>
      <c r="AY12" s="104" t="n"/>
      <c r="AZ12" s="104" t="n"/>
      <c r="BA12" s="104" t="n"/>
      <c r="BB12" s="104" t="n"/>
      <c r="BC12" s="104" t="n"/>
      <c r="BD12" s="104" t="n"/>
      <c r="BE12" s="104" t="n"/>
      <c r="BF12" s="104" t="n"/>
      <c r="BG12" s="104" t="n"/>
      <c r="BH12" s="104" t="n"/>
      <c r="BI12" s="104" t="n"/>
      <c r="BJ12" s="104" t="n"/>
      <c r="BK12" s="104" t="n"/>
      <c r="BL12" s="104" t="n"/>
      <c r="BM12" s="104" t="n"/>
      <c r="BN12" s="104" t="n"/>
      <c r="BO12" s="104" t="n"/>
      <c r="BP12" s="104" t="n"/>
      <c r="BQ12" s="104" t="n"/>
      <c r="BR12" s="104" t="n"/>
      <c r="BS12" s="104" t="n"/>
      <c r="BT12" s="104" t="n"/>
      <c r="BU12" s="104" t="n"/>
      <c r="BV12" s="104" t="n"/>
      <c r="BW12" s="104" t="n"/>
      <c r="BX12" s="104" t="n"/>
    </row>
    <row r="13" ht="38.45" customFormat="1" customHeight="1" s="59">
      <c r="A13" s="75" t="n"/>
      <c r="B13" s="138" t="n"/>
      <c r="C13" s="138" t="n"/>
      <c r="D13" s="138" t="n"/>
      <c r="E13" s="76" t="n">
        <v>0.3</v>
      </c>
      <c r="F13" s="76" t="n">
        <v>0.7</v>
      </c>
      <c r="G13" s="77" t="inlineStr">
        <is>
          <t>3rd Term Total (100%)</t>
        </is>
      </c>
      <c r="H13" s="77" t="inlineStr">
        <is>
          <t>2nd Term Total (100%)</t>
        </is>
      </c>
      <c r="I13" s="77" t="inlineStr">
        <is>
          <t>1st Term Total (100%)</t>
        </is>
      </c>
      <c r="J13" s="77" t="inlineStr">
        <is>
          <t>Average Score in %</t>
        </is>
      </c>
      <c r="K13" s="138" t="n"/>
      <c r="L13" s="138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  <c r="BI13" s="75" t="n"/>
      <c r="BJ13" s="75" t="n"/>
      <c r="BK13" s="75" t="n"/>
      <c r="BL13" s="75" t="n"/>
      <c r="BM13" s="75" t="n"/>
      <c r="BN13" s="75" t="n"/>
      <c r="BO13" s="75" t="n"/>
      <c r="BP13" s="75" t="n"/>
      <c r="BQ13" s="75" t="n"/>
      <c r="BR13" s="75" t="n"/>
      <c r="BS13" s="75" t="n"/>
      <c r="BT13" s="75" t="n"/>
      <c r="BU13" s="75" t="n"/>
      <c r="BV13" s="75" t="n"/>
      <c r="BW13" s="75" t="n"/>
      <c r="BX13" s="75" t="n"/>
    </row>
    <row r="14" ht="21.95" customHeight="1" s="6">
      <c r="B14" s="78" t="n">
        <v>1</v>
      </c>
      <c r="C14" s="79">
        <f>Db!J2</f>
        <v/>
      </c>
      <c r="D14" s="80">
        <f>IF(AND(G14=0,H14=0,I14=0),"--",100)</f>
        <v/>
      </c>
      <c r="E14" s="80">
        <f>VLOOKUP(B8,Db!A4:J503,10,0)</f>
        <v/>
      </c>
      <c r="F14" s="80">
        <f>VLOOKUP(B8,Db!A4:K503,11,0)</f>
        <v/>
      </c>
      <c r="G14" s="80">
        <f>VLOOKUP(B8,Db!A4:L503,12,0)</f>
        <v/>
      </c>
      <c r="H14" s="80">
        <f>VLOOKUP(B8,Db!A4:M503,13,0)</f>
        <v/>
      </c>
      <c r="I14" s="80">
        <f>VLOOKUP(B8,Db!A4:N503,14,0)</f>
        <v/>
      </c>
      <c r="J14" s="80">
        <f>VLOOKUP(B8,Db!A4:O503,15,0)</f>
        <v/>
      </c>
      <c r="K14" s="80">
        <f>IF(J14&gt;=70,"A",IF(J14&gt;=50,"C",IF(J14&gt;=40,"P",IF(J14&gt;=1,"F","NA"))))</f>
        <v/>
      </c>
      <c r="L14" s="109">
        <f>IF(K14="A","DISTINCTION",IF(K14="C","GOOD",IF(K14="P","PASS",IF(K14="F","FAIL",IF(K14="NA","NOT APPLICABLE","")))))</f>
        <v/>
      </c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4" t="n"/>
      <c r="AH14" s="104" t="n"/>
      <c r="AI14" s="104" t="n"/>
      <c r="AJ14" s="104" t="n"/>
      <c r="AK14" s="104" t="n"/>
      <c r="AL14" s="104" t="n"/>
      <c r="AM14" s="104" t="n"/>
      <c r="AN14" s="104" t="n"/>
      <c r="AO14" s="104" t="n"/>
      <c r="AP14" s="104" t="n"/>
      <c r="AQ14" s="104" t="n"/>
      <c r="AR14" s="104" t="n"/>
      <c r="AS14" s="104" t="n"/>
      <c r="AT14" s="104" t="n"/>
      <c r="AU14" s="104" t="n"/>
      <c r="AV14" s="104" t="n"/>
      <c r="AW14" s="104" t="n"/>
      <c r="AX14" s="104" t="n"/>
      <c r="AY14" s="104" t="n"/>
      <c r="AZ14" s="104" t="n"/>
      <c r="BA14" s="104" t="n"/>
      <c r="BB14" s="104" t="n"/>
      <c r="BC14" s="104" t="n"/>
      <c r="BD14" s="104" t="n"/>
      <c r="BE14" s="104" t="n"/>
      <c r="BF14" s="104" t="n"/>
      <c r="BG14" s="104" t="n"/>
      <c r="BH14" s="104" t="n"/>
      <c r="BI14" s="104" t="n"/>
      <c r="BJ14" s="104" t="n"/>
      <c r="BK14" s="104" t="n"/>
      <c r="BL14" s="104" t="n"/>
      <c r="BM14" s="104" t="n"/>
      <c r="BN14" s="104" t="n"/>
      <c r="BO14" s="104" t="n"/>
      <c r="BP14" s="104" t="n"/>
      <c r="BQ14" s="104" t="n"/>
      <c r="BR14" s="104" t="n"/>
      <c r="BS14" s="104" t="n"/>
      <c r="BT14" s="104" t="n"/>
      <c r="BU14" s="104" t="n"/>
      <c r="BV14" s="104" t="n"/>
      <c r="BW14" s="104" t="n"/>
      <c r="BX14" s="104" t="n"/>
    </row>
    <row r="15" ht="22.5" customHeight="1" s="6">
      <c r="B15" s="78" t="n">
        <v>2</v>
      </c>
      <c r="C15" s="79">
        <f>Db!P2</f>
        <v/>
      </c>
      <c r="D15" s="80">
        <f>IF(AND(G15=0,H15=0,I15=0),"--",100)</f>
        <v/>
      </c>
      <c r="E15" s="80">
        <f>VLOOKUP(B8,Db!A4:P503,16,0)</f>
        <v/>
      </c>
      <c r="F15" s="80">
        <f>VLOOKUP(B8,Db!A4:Q503,17,0)</f>
        <v/>
      </c>
      <c r="G15" s="80">
        <f>VLOOKUP(B8,Db!A4:R503,18,0)</f>
        <v/>
      </c>
      <c r="H15" s="80">
        <f>VLOOKUP(B8,Db!A4:S503,19,0)</f>
        <v/>
      </c>
      <c r="I15" s="80">
        <f>VLOOKUP(B8,Db!A4:T503,20,0)</f>
        <v/>
      </c>
      <c r="J15" s="80">
        <f>VLOOKUP(B8,Db!A4:U503,21,0)</f>
        <v/>
      </c>
      <c r="K15" s="80">
        <f>IF(J15&gt;=70,"A",IF(J15&gt;=50,"C",IF(J15&gt;=40,"P",IF(J15&gt;=1,"F","NA"))))</f>
        <v/>
      </c>
      <c r="L15" s="109">
        <f>IF(K15="A","DISTINCTION",IF(K15="C","GOOD",IF(K15="P","PASS",IF(K15="F","FAIL",IF(K15="NA","NOT APPLICABLE","")))))</f>
        <v/>
      </c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104" t="n"/>
      <c r="AJ15" s="104" t="n"/>
      <c r="AK15" s="104" t="n"/>
      <c r="AL15" s="104" t="n"/>
      <c r="AM15" s="104" t="n"/>
      <c r="AN15" s="104" t="n"/>
      <c r="AO15" s="104" t="n"/>
      <c r="AP15" s="104" t="n"/>
      <c r="AQ15" s="104" t="n"/>
      <c r="AR15" s="104" t="n"/>
      <c r="AS15" s="104" t="n"/>
      <c r="AT15" s="104" t="n"/>
      <c r="AU15" s="104" t="n"/>
      <c r="AV15" s="104" t="n"/>
      <c r="AW15" s="104" t="n"/>
      <c r="AX15" s="104" t="n"/>
      <c r="AY15" s="104" t="n"/>
      <c r="AZ15" s="104" t="n"/>
      <c r="BA15" s="104" t="n"/>
      <c r="BB15" s="104" t="n"/>
      <c r="BC15" s="104" t="n"/>
      <c r="BD15" s="104" t="n"/>
      <c r="BE15" s="104" t="n"/>
      <c r="BF15" s="104" t="n"/>
      <c r="BG15" s="104" t="n"/>
      <c r="BH15" s="104" t="n"/>
      <c r="BI15" s="104" t="n"/>
      <c r="BJ15" s="104" t="n"/>
      <c r="BK15" s="104" t="n"/>
      <c r="BL15" s="104" t="n"/>
      <c r="BM15" s="104" t="n"/>
      <c r="BN15" s="104" t="n"/>
      <c r="BO15" s="104" t="n"/>
      <c r="BP15" s="104" t="n"/>
      <c r="BQ15" s="104" t="n"/>
      <c r="BR15" s="104" t="n"/>
      <c r="BS15" s="104" t="n"/>
      <c r="BT15" s="104" t="n"/>
      <c r="BU15" s="104" t="n"/>
      <c r="BV15" s="104" t="n"/>
      <c r="BW15" s="104" t="n"/>
      <c r="BX15" s="104" t="n"/>
    </row>
    <row r="16" ht="22.5" customHeight="1" s="6">
      <c r="B16" s="78" t="n">
        <v>3</v>
      </c>
      <c r="C16" s="81">
        <f>Db!V2</f>
        <v/>
      </c>
      <c r="D16" s="80">
        <f>IF(AND(G16=0,H16=0,I16=0),"--",100)</f>
        <v/>
      </c>
      <c r="E16" s="80">
        <f>VLOOKUP(B8,Db!A4:V503,22,0)</f>
        <v/>
      </c>
      <c r="F16" s="80">
        <f>VLOOKUP(B8,Db!A4:W503,23,0)</f>
        <v/>
      </c>
      <c r="G16" s="80">
        <f>VLOOKUP(B8,Db!A4:X503,24,0)</f>
        <v/>
      </c>
      <c r="H16" s="80">
        <f>VLOOKUP(B8,Db!A4:Y503,25,0)</f>
        <v/>
      </c>
      <c r="I16" s="80">
        <f>VLOOKUP(B8,Db!A4:Z503,26,0)</f>
        <v/>
      </c>
      <c r="J16" s="80">
        <f>VLOOKUP(B8,Db!A4:AA503,27,0)</f>
        <v/>
      </c>
      <c r="K16" s="80">
        <f>IF(J16&gt;=70,"A",IF(J16&gt;=50,"C",IF(J16&gt;=40,"P",IF(J16&gt;=1,"F","NA"))))</f>
        <v/>
      </c>
      <c r="L16" s="109">
        <f>IF(K16="A","DISTINCTION",IF(K16="C","GOOD",IF(K16="P","PASS",IF(K16="F","FAIL",IF(K16="NA","NOT APPLICABLE","")))))</f>
        <v/>
      </c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104" t="n"/>
      <c r="AJ16" s="104" t="n"/>
      <c r="AK16" s="104" t="n"/>
      <c r="AL16" s="104" t="n"/>
      <c r="AM16" s="104" t="n"/>
      <c r="AN16" s="104" t="n"/>
      <c r="AO16" s="104" t="n"/>
      <c r="AP16" s="104" t="n"/>
      <c r="AQ16" s="104" t="n"/>
      <c r="AR16" s="104" t="n"/>
      <c r="AS16" s="104" t="n"/>
      <c r="AT16" s="104" t="n"/>
      <c r="AU16" s="104" t="n"/>
      <c r="AV16" s="104" t="n"/>
      <c r="AW16" s="104" t="n"/>
      <c r="AX16" s="104" t="n"/>
      <c r="AY16" s="104" t="n"/>
      <c r="AZ16" s="104" t="n"/>
      <c r="BA16" s="104" t="n"/>
      <c r="BB16" s="104" t="n"/>
      <c r="BC16" s="104" t="n"/>
      <c r="BD16" s="104" t="n"/>
      <c r="BE16" s="104" t="n"/>
      <c r="BF16" s="104" t="n"/>
      <c r="BG16" s="104" t="n"/>
      <c r="BH16" s="104" t="n"/>
      <c r="BI16" s="104" t="n"/>
      <c r="BJ16" s="104" t="n"/>
      <c r="BK16" s="104" t="n"/>
      <c r="BL16" s="104" t="n"/>
      <c r="BM16" s="104" t="n"/>
      <c r="BN16" s="104" t="n"/>
      <c r="BO16" s="104" t="n"/>
      <c r="BP16" s="104" t="n"/>
      <c r="BQ16" s="104" t="n"/>
      <c r="BR16" s="104" t="n"/>
      <c r="BS16" s="104" t="n"/>
      <c r="BT16" s="104" t="n"/>
      <c r="BU16" s="104" t="n"/>
      <c r="BV16" s="104" t="n"/>
      <c r="BW16" s="104" t="n"/>
      <c r="BX16" s="104" t="n"/>
    </row>
    <row r="17" ht="22.5" customHeight="1" s="6">
      <c r="B17" s="78" t="n">
        <v>4</v>
      </c>
      <c r="C17" s="81">
        <f>Db!AB2</f>
        <v/>
      </c>
      <c r="D17" s="80">
        <f>IF(AND(G17=0,H17=0,I17=0),"--",100)</f>
        <v/>
      </c>
      <c r="E17" s="80">
        <f>VLOOKUP(B8,Db!A4:AB503,28,0)</f>
        <v/>
      </c>
      <c r="F17" s="80">
        <f>VLOOKUP(B8,Db!A4:AC503,29,0)</f>
        <v/>
      </c>
      <c r="G17" s="80">
        <f>VLOOKUP(B8,Db!A4:AD503,30,0)</f>
        <v/>
      </c>
      <c r="H17" s="80">
        <f>VLOOKUP(B8,Db!A4:AE503,31,0)</f>
        <v/>
      </c>
      <c r="I17" s="80">
        <f>VLOOKUP(B8,Db!A4:AF503,32,0)</f>
        <v/>
      </c>
      <c r="J17" s="80">
        <f>VLOOKUP(B8,Db!A4:AG503,33,0)</f>
        <v/>
      </c>
      <c r="K17" s="80">
        <f>IF(J17&gt;=70,"A",IF(J17&gt;=50,"C",IF(J17&gt;=40,"P",IF(J17&gt;=1,"F","NA"))))</f>
        <v/>
      </c>
      <c r="L17" s="109">
        <f>IF(K17="A","DISTINCTION",IF(K17="C","GOOD",IF(K17="P","PASS",IF(K17="F","FAIL",IF(K17="NA","NOT APPLICABLE","")))))</f>
        <v/>
      </c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</row>
    <row r="18" ht="22.5" customHeight="1" s="6">
      <c r="B18" s="78" t="n">
        <v>5</v>
      </c>
      <c r="C18" s="81">
        <f>Db!AH2</f>
        <v/>
      </c>
      <c r="D18" s="80">
        <f>IF(AND(G18=0,H18=0,I18=0),"--",100)</f>
        <v/>
      </c>
      <c r="E18" s="80">
        <f>VLOOKUP(B8,Db!A4:AH503,34,0)</f>
        <v/>
      </c>
      <c r="F18" s="80">
        <f>VLOOKUP(B8,Db!A4:AI503,35,0)</f>
        <v/>
      </c>
      <c r="G18" s="80">
        <f>VLOOKUP(B8,Db!A4:AJ503,36,0)</f>
        <v/>
      </c>
      <c r="H18" s="80">
        <f>VLOOKUP(B8,Db!A4:AK503,37,0)</f>
        <v/>
      </c>
      <c r="I18" s="80">
        <f>VLOOKUP(B8,Db!A4:AL503,38,0)</f>
        <v/>
      </c>
      <c r="J18" s="80">
        <f>VLOOKUP(B8,Db!A4:AM503,39,0)</f>
        <v/>
      </c>
      <c r="K18" s="80">
        <f>IF(J18&gt;=70,"A",IF(J18&gt;=50,"C",IF(J18&gt;=40,"P",IF(J18&gt;=1,"F","NA"))))</f>
        <v/>
      </c>
      <c r="L18" s="109">
        <f>IF(K18="A","DISTINCTION",IF(K18="C","GOOD",IF(K18="P","PASS",IF(K18="F","FAIL",IF(K18="NA","NOT APPLICABLE","")))))</f>
        <v/>
      </c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  <c r="BX18" s="104" t="n"/>
    </row>
    <row r="19" ht="22.5" customHeight="1" s="6">
      <c r="B19" s="78" t="n">
        <v>6</v>
      </c>
      <c r="C19" s="82">
        <f>Db!AN2</f>
        <v/>
      </c>
      <c r="D19" s="80">
        <f>IF(AND(G19=0,H19=0,I19=0),"--",100)</f>
        <v/>
      </c>
      <c r="E19" s="80">
        <f>VLOOKUP(B8,Db!A4:AN503,40,0)</f>
        <v/>
      </c>
      <c r="F19" s="80">
        <f>VLOOKUP(B8,Db!A4:AO503,41,0)</f>
        <v/>
      </c>
      <c r="G19" s="80">
        <f>VLOOKUP(B8,Db!A4:AP503,42,0)</f>
        <v/>
      </c>
      <c r="H19" s="80">
        <f>VLOOKUP(B8,Db!A4:AQ503,43,0)</f>
        <v/>
      </c>
      <c r="I19" s="80">
        <f>VLOOKUP(B8,Db!A4:AR503,44,0)</f>
        <v/>
      </c>
      <c r="J19" s="80">
        <f>VLOOKUP(B8,Db!A4:AS503,45,0)</f>
        <v/>
      </c>
      <c r="K19" s="80">
        <f>IF(J19&gt;=70,"A",IF(J19&gt;=50,"C",IF(J19&gt;=40,"P",IF(J19&gt;=1,"F","NA"))))</f>
        <v/>
      </c>
      <c r="L19" s="109">
        <f>IF(K19="A","DISTINCTION",IF(K19="C","GOOD",IF(K19="P","PASS",IF(K19="F","FAIL",IF(K19="NA","NOT APPLICABLE","")))))</f>
        <v/>
      </c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  <c r="BX19" s="104" t="n"/>
    </row>
    <row r="20" ht="22.5" customHeight="1" s="6">
      <c r="B20" s="78" t="n">
        <v>7</v>
      </c>
      <c r="C20" s="82">
        <f>Db!AT2</f>
        <v/>
      </c>
      <c r="D20" s="80">
        <f>IF(AND(G20=0,H20=0,I20=0),"--",100)</f>
        <v/>
      </c>
      <c r="E20" s="80">
        <f>VLOOKUP(B8,Db!A4:AT503,46,0)</f>
        <v/>
      </c>
      <c r="F20" s="80">
        <f>VLOOKUP(B8,Db!A4:AU503,47,0)</f>
        <v/>
      </c>
      <c r="G20" s="80">
        <f>VLOOKUP(B8,Db!A4:AV503,48,0)</f>
        <v/>
      </c>
      <c r="H20" s="80">
        <f>VLOOKUP(B8,Db!A4:AW503,49,0)</f>
        <v/>
      </c>
      <c r="I20" s="80">
        <f>VLOOKUP(B8,Db!A4:AX503,50,0)</f>
        <v/>
      </c>
      <c r="J20" s="80">
        <f>VLOOKUP(B8,Db!A4:AY503,51,0)</f>
        <v/>
      </c>
      <c r="K20" s="80">
        <f>IF(J20&gt;=70,"A",IF(J20&gt;=50,"C",IF(J20&gt;=40,"P",IF(J20&gt;=1,"F","NA"))))</f>
        <v/>
      </c>
      <c r="L20" s="109">
        <f>IF(K20="A","DISTINCTION",IF(K20="C","GOOD",IF(K20="P","PASS",IF(K20="F","FAIL",IF(K20="NA","NOT APPLICABLE","")))))</f>
        <v/>
      </c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  <c r="BX20" s="104" t="n"/>
    </row>
    <row r="21" ht="22.5" customHeight="1" s="6">
      <c r="B21" s="78" t="n">
        <v>8</v>
      </c>
      <c r="C21" s="81">
        <f>Db!AZ2</f>
        <v/>
      </c>
      <c r="D21" s="80">
        <f>IF(AND(G21=0,H21=0,I21=0),"--",100)</f>
        <v/>
      </c>
      <c r="E21" s="80">
        <f>VLOOKUP(B8,Db!A4:AZ503,52,0)</f>
        <v/>
      </c>
      <c r="F21" s="80">
        <f>VLOOKUP(B8,Db!A4:BA503,53,0)</f>
        <v/>
      </c>
      <c r="G21" s="80">
        <f>VLOOKUP(B8,Db!A4:BB503,54,0)</f>
        <v/>
      </c>
      <c r="H21" s="80">
        <f>VLOOKUP(B8,Db!A4:BC503,55,0)</f>
        <v/>
      </c>
      <c r="I21" s="80">
        <f>VLOOKUP(B8,Db!A4:BD503,56,0)</f>
        <v/>
      </c>
      <c r="J21" s="80">
        <f>VLOOKUP(B8,Db!A4:BE503,57,0)</f>
        <v/>
      </c>
      <c r="K21" s="80">
        <f>IF(J21&gt;=70,"A",IF(J21&gt;=50,"C",IF(J21&gt;=40,"P",IF(J21&gt;=1,"F","NA"))))</f>
        <v/>
      </c>
      <c r="L21" s="109">
        <f>IF(K21="A","DISTINCTION",IF(K21="C","GOOD",IF(K21="P","PASS",IF(K21="F","FAIL",IF(K21="NA","NOT APPLICABLE","")))))</f>
        <v/>
      </c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  <c r="BX21" s="104" t="n"/>
    </row>
    <row r="22" ht="22.5" customHeight="1" s="6">
      <c r="B22" s="78" t="n">
        <v>9</v>
      </c>
      <c r="C22" s="83">
        <f>Db!BF2</f>
        <v/>
      </c>
      <c r="D22" s="80">
        <f>IF(AND(G22=0,H22=0,I22=0),"--",100)</f>
        <v/>
      </c>
      <c r="E22" s="80">
        <f>VLOOKUP(B8,Db!A4:BF503,58,0)</f>
        <v/>
      </c>
      <c r="F22" s="80">
        <f>VLOOKUP(B8,Db!A4:BG503,59,0)</f>
        <v/>
      </c>
      <c r="G22" s="80">
        <f>VLOOKUP(B8,Db!A4:BH503,60,0)</f>
        <v/>
      </c>
      <c r="H22" s="80">
        <f>VLOOKUP(B8,Db!A4:BI503,61,0)</f>
        <v/>
      </c>
      <c r="I22" s="80">
        <f>VLOOKUP(B8,Db!A4:BJ503,62,0)</f>
        <v/>
      </c>
      <c r="J22" s="80">
        <f>VLOOKUP(B8,Db!A4:BK503,63,0)</f>
        <v/>
      </c>
      <c r="K22" s="80">
        <f>IF(J22&gt;=70,"A",IF(J22&gt;=50,"C",IF(J22&gt;=40,"P",IF(J22&gt;=1,"F","NA"))))</f>
        <v/>
      </c>
      <c r="L22" s="109">
        <f>IF(K22="A","DISTINCTION",IF(K22="C","GOOD",IF(K22="P","PASS",IF(K22="F","FAIL",IF(K22="NA","NOT APPLICABLE","")))))</f>
        <v/>
      </c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  <c r="BX22" s="104" t="n"/>
    </row>
    <row r="23" ht="22.5" customHeight="1" s="6">
      <c r="B23" s="78" t="n">
        <v>10</v>
      </c>
      <c r="C23" s="83">
        <f>Db!BL2</f>
        <v/>
      </c>
      <c r="D23" s="80">
        <f>IF(AND(G23=0,H23=0,I23=0),"--",100)</f>
        <v/>
      </c>
      <c r="E23" s="80">
        <f>VLOOKUP(B8,Db!A4:BL503,64,0)</f>
        <v/>
      </c>
      <c r="F23" s="80">
        <f>VLOOKUP(B8,Db!A4:BM503,65,0)</f>
        <v/>
      </c>
      <c r="G23" s="80">
        <f>VLOOKUP(B8,Db!A4:BN503,66,0)</f>
        <v/>
      </c>
      <c r="H23" s="80">
        <f>VLOOKUP(B8,Db!A4:BO503,67,0)</f>
        <v/>
      </c>
      <c r="I23" s="80">
        <f>VLOOKUP(B8,Db!A4:BP503,68,0)</f>
        <v/>
      </c>
      <c r="J23" s="80">
        <f>VLOOKUP(B8,Db!A4:BQ503,69,0)</f>
        <v/>
      </c>
      <c r="K23" s="80">
        <f>IF(J23&gt;=70,"A",IF(J23&gt;=50,"C",IF(J23&gt;=40,"P",IF(J23&gt;=1,"F","NA"))))</f>
        <v/>
      </c>
      <c r="L23" s="109">
        <f>IF(K23="A","DISTINCTION",IF(K23="C","GOOD",IF(K23="P","PASS",IF(K23="F","FAIL",IF(K23="NA","NOT APPLICABLE","")))))</f>
        <v/>
      </c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  <c r="BX23" s="104" t="n"/>
    </row>
    <row r="24" ht="22.5" customHeight="1" s="6">
      <c r="B24" s="78" t="n">
        <v>11</v>
      </c>
      <c r="C24" s="83">
        <f>Db!BR2</f>
        <v/>
      </c>
      <c r="D24" s="80">
        <f>IF(AND(G24=0,H24=0,I24=0),"--",100)</f>
        <v/>
      </c>
      <c r="E24" s="80">
        <f>VLOOKUP(B8,Db!A4:BR503,70,0)</f>
        <v/>
      </c>
      <c r="F24" s="80">
        <f>VLOOKUP(B8,Db!A4:BS503,71,0)</f>
        <v/>
      </c>
      <c r="G24" s="80">
        <f>VLOOKUP(B8,Db!A4:BT503,72,0)</f>
        <v/>
      </c>
      <c r="H24" s="80">
        <f>VLOOKUP(B8,Db!A4:BU503,73,0)</f>
        <v/>
      </c>
      <c r="I24" s="80">
        <f>VLOOKUP(B8,Db!A4:BV503,74,0)</f>
        <v/>
      </c>
      <c r="J24" s="80">
        <f>VLOOKUP(B8,Db!A4:BW503,75,0)</f>
        <v/>
      </c>
      <c r="K24" s="80">
        <f>IF(J24&gt;=70,"A",IF(J24&gt;=50,"C",IF(J24&gt;=40,"P",IF(J24&gt;=1,"F","NA"))))</f>
        <v/>
      </c>
      <c r="L24" s="109">
        <f>IF(K24="A","DISTINCTION",IF(K24="C","GOOD",IF(K24="P","PASS",IF(K24="F","FAIL",IF(K24="NA","NOT APPLICABLE","")))))</f>
        <v/>
      </c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</row>
    <row r="25" ht="22.5" customHeight="1" s="6">
      <c r="B25" s="78" t="n">
        <v>12</v>
      </c>
      <c r="C25" s="83">
        <f>Db!BX2</f>
        <v/>
      </c>
      <c r="D25" s="80">
        <f>IF(AND(G25=0,H25=0,I25=0),"--",100)</f>
        <v/>
      </c>
      <c r="E25" s="80">
        <f>VLOOKUP(B8,Db!A4:BX503,76,0)</f>
        <v/>
      </c>
      <c r="F25" s="80">
        <f>VLOOKUP(B8,Db!A4:BY503,77,0)</f>
        <v/>
      </c>
      <c r="G25" s="80">
        <f>VLOOKUP(B8,Db!A4:BZ503,78,0)</f>
        <v/>
      </c>
      <c r="H25" s="80">
        <f>VLOOKUP(B8,Db!A4:CA503,79,0)</f>
        <v/>
      </c>
      <c r="I25" s="80">
        <f>VLOOKUP(B8,Db!A4:CB503,80,0)</f>
        <v/>
      </c>
      <c r="J25" s="80">
        <f>VLOOKUP(B8,Db!A4:CC503,81,0)</f>
        <v/>
      </c>
      <c r="K25" s="80">
        <f>IF(J25&gt;=70,"A",IF(J25&gt;=50,"C",IF(J25&gt;=40,"P",IF(J25&gt;=1,"F","NA"))))</f>
        <v/>
      </c>
      <c r="L25" s="109">
        <f>IF(K25="A","DISTINCTION",IF(K25="C","GOOD",IF(K25="P","PASS",IF(K25="F","FAIL",IF(K25="NA","NOT APPLICABLE","")))))</f>
        <v/>
      </c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  <c r="BX25" s="104" t="n"/>
    </row>
    <row r="26" ht="22.5" customHeight="1" s="6">
      <c r="B26" s="78" t="n">
        <v>13</v>
      </c>
      <c r="C26" s="83">
        <f>Db!CD2</f>
        <v/>
      </c>
      <c r="D26" s="80">
        <f>IF(AND(G26=0,H26=0,I26=0),"--",100)</f>
        <v/>
      </c>
      <c r="E26" s="80">
        <f>VLOOKUP(B8,Db!A4:CD503,82,0)</f>
        <v/>
      </c>
      <c r="F26" s="80">
        <f>VLOOKUP(B8,Db!A4:CE503,83,0)</f>
        <v/>
      </c>
      <c r="G26" s="80">
        <f>VLOOKUP(B8,Db!A4:CF503,84,0)</f>
        <v/>
      </c>
      <c r="H26" s="80">
        <f>VLOOKUP(B8,Db!A4:CG503,85,0)</f>
        <v/>
      </c>
      <c r="I26" s="80">
        <f>VLOOKUP(B8,Db!A4:CH503,86,0)</f>
        <v/>
      </c>
      <c r="J26" s="80">
        <f>VLOOKUP(B8,Db!A4:CI503,87,0)</f>
        <v/>
      </c>
      <c r="K26" s="80">
        <f>IF(J26&gt;=70,"A",IF(J26&gt;=50,"C",IF(J26&gt;=40,"P",IF(J26&gt;=1,"F","NA"))))</f>
        <v/>
      </c>
      <c r="L26" s="109">
        <f>IF(K26="A","DISTINCTION",IF(K26="C","GOOD",IF(K26="P","PASS",IF(K26="F","FAIL",IF(K26="NA","NOT APPLICABLE","")))))</f>
        <v/>
      </c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  <c r="BX26" s="104" t="n"/>
    </row>
    <row r="27" ht="22.5" customHeight="1" s="6">
      <c r="B27" s="78" t="n">
        <v>14</v>
      </c>
      <c r="C27" s="83">
        <f>Db!CJ2</f>
        <v/>
      </c>
      <c r="D27" s="80">
        <f>IF(AND(G27=0,H27=0,I27=0),"--",100)</f>
        <v/>
      </c>
      <c r="E27" s="80">
        <f>VLOOKUP(B8,Db!A4:CJ503,88,0)</f>
        <v/>
      </c>
      <c r="F27" s="80">
        <f>VLOOKUP(B8,Db!A4:CK503,89,0)</f>
        <v/>
      </c>
      <c r="G27" s="80">
        <f>VLOOKUP(B8,Db!A4:CL503,90,0)</f>
        <v/>
      </c>
      <c r="H27" s="80">
        <f>VLOOKUP(B8,Db!A4:CM503,91,0)</f>
        <v/>
      </c>
      <c r="I27" s="80">
        <f>VLOOKUP(B8,Db!A4:CN503,92,0)</f>
        <v/>
      </c>
      <c r="J27" s="80">
        <f>VLOOKUP(B8,Db!A4:CO503,93,0)</f>
        <v/>
      </c>
      <c r="K27" s="80">
        <f>IF(J27&gt;=70,"A",IF(J27&gt;=50,"C",IF(J27&gt;=40,"P",IF(J27&gt;=1,"F","NA"))))</f>
        <v/>
      </c>
      <c r="L27" s="109">
        <f>IF(K27="A","DISTINCTION",IF(K27="C","GOOD",IF(K27="P","PASS",IF(K27="F","FAIL",IF(K27="NA","NOT APPLICABLE","")))))</f>
        <v/>
      </c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  <c r="BX27" s="104" t="n"/>
    </row>
    <row r="28" ht="22.5" customHeight="1" s="6">
      <c r="B28" s="78" t="n">
        <v>15</v>
      </c>
      <c r="C28" s="83">
        <f>Db!CP2</f>
        <v/>
      </c>
      <c r="D28" s="80">
        <f>IF(AND(G28=0,H28=0,I28=0),"--",100)</f>
        <v/>
      </c>
      <c r="E28" s="80">
        <f>VLOOKUP(B8,Db!A4:CP503,94,0)</f>
        <v/>
      </c>
      <c r="F28" s="80">
        <f>VLOOKUP(B8,Db!A4:CQ503,95,0)</f>
        <v/>
      </c>
      <c r="G28" s="80">
        <f>VLOOKUP(B8,Db!A4:CR503,96,0)</f>
        <v/>
      </c>
      <c r="H28" s="80">
        <f>VLOOKUP(B8,Db!A4:CS503,97,0)</f>
        <v/>
      </c>
      <c r="I28" s="80">
        <f>VLOOKUP(B8,Db!A4:CT503,98,0)</f>
        <v/>
      </c>
      <c r="J28" s="80">
        <f>VLOOKUP(B8,Db!A4:CU503,99,0)</f>
        <v/>
      </c>
      <c r="K28" s="80">
        <f>IF(J28&gt;=70,"A",IF(J28&gt;=50,"C",IF(J28&gt;=40,"P",IF(J28&gt;=1,"F","NA"))))</f>
        <v/>
      </c>
      <c r="L28" s="109">
        <f>IF(K28="A","DISTINCTION",IF(K28="C","GOOD",IF(K28="P","PASS",IF(K28="F","FAIL",IF(K28="NA","NOT APPLICABLE","")))))</f>
        <v/>
      </c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  <c r="BX28" s="104" t="n"/>
    </row>
    <row r="29" ht="22.5" customHeight="1" s="6">
      <c r="B29" s="78" t="n">
        <v>16</v>
      </c>
      <c r="C29" s="83">
        <f>Db!CV2</f>
        <v/>
      </c>
      <c r="D29" s="80">
        <f>IF(AND(G29=0,H29=0,I29=0),"--",100)</f>
        <v/>
      </c>
      <c r="E29" s="80">
        <f>VLOOKUP(B8,Db!A4:CV503,100,0)</f>
        <v/>
      </c>
      <c r="F29" s="80">
        <f>VLOOKUP(B8,Db!A4:CW503,101,0)</f>
        <v/>
      </c>
      <c r="G29" s="80">
        <f>VLOOKUP(B8,Db!A4:CX503,102,0)</f>
        <v/>
      </c>
      <c r="H29" s="80">
        <f>VLOOKUP(B8,Db!A4:CY503,103,0)</f>
        <v/>
      </c>
      <c r="I29" s="80">
        <f>VLOOKUP(B8,Db!A4:CZ503,104,0)</f>
        <v/>
      </c>
      <c r="J29" s="80">
        <f>VLOOKUP(B8,Db!A4:DA503,105,0)</f>
        <v/>
      </c>
      <c r="K29" s="80">
        <f>IF(J29&gt;=70,"A",IF(J29&gt;=50,"C",IF(J29&gt;=40,"P",IF(J29&gt;=1,"F","NA"))))</f>
        <v/>
      </c>
      <c r="L29" s="109">
        <f>IF(K29="A","DISTINCTION",IF(K29="C","GOOD",IF(K29="P","PASS",IF(K29="F","FAIL",IF(K29="NA","NOT APPLICABLE","")))))</f>
        <v/>
      </c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  <c r="BX29" s="104" t="n"/>
    </row>
    <row r="30" ht="22.5" customHeight="1" s="6">
      <c r="B30" s="78" t="n">
        <v>17</v>
      </c>
      <c r="C30" s="83">
        <f>Db!DB2</f>
        <v/>
      </c>
      <c r="D30" s="80">
        <f>IF(AND(G30=0,H30=0,I30=0),"--",100)</f>
        <v/>
      </c>
      <c r="E30" s="80">
        <f>VLOOKUP(B8,Db!A4:DB503,106,0)</f>
        <v/>
      </c>
      <c r="F30" s="80">
        <f>VLOOKUP(B8,Db!A4:DC503,107,0)</f>
        <v/>
      </c>
      <c r="G30" s="80">
        <f>VLOOKUP(B8,Db!A4:DD503,108,0)</f>
        <v/>
      </c>
      <c r="H30" s="80">
        <f>VLOOKUP(B8,Db!A4:DE503,109,0)</f>
        <v/>
      </c>
      <c r="I30" s="80">
        <f>VLOOKUP(B8,Db!A4:DF503,110,0)</f>
        <v/>
      </c>
      <c r="J30" s="80">
        <f>VLOOKUP(B8,Db!A4:DG503,111,0)</f>
        <v/>
      </c>
      <c r="K30" s="80">
        <f>IF(J30&gt;=70,"A",IF(J30&gt;=50,"C",IF(J30&gt;=40,"P",IF(J30&gt;=1,"F","NA"))))</f>
        <v/>
      </c>
      <c r="L30" s="109">
        <f>IF(K30="A","DISTINCTION",IF(K30="C","GOOD",IF(K30="P","PASS",IF(K30="F","FAIL",IF(K30="NA","NOT APPLICABLE","")))))</f>
        <v/>
      </c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  <c r="BX30" s="104" t="n"/>
    </row>
    <row r="31" ht="33" customHeight="1" s="6">
      <c r="B31" s="140" t="inlineStr">
        <is>
          <t xml:space="preserve">TOTAL MARKS OBTAINABLE:                         </t>
        </is>
      </c>
      <c r="C31" s="141" t="n"/>
      <c r="D31" s="84">
        <f>SUM(D14:D30)</f>
        <v/>
      </c>
      <c r="E31" s="85" t="n"/>
      <c r="F31" s="85" t="n"/>
      <c r="G31" s="85" t="n"/>
      <c r="H31" s="142" t="inlineStr">
        <is>
          <t xml:space="preserve">TOTAL MARKS    OBTAINED:                                               </t>
        </is>
      </c>
      <c r="I31" s="143" t="n"/>
      <c r="J31" s="110">
        <f>SUM(J14:J30)</f>
        <v/>
      </c>
      <c r="K31" s="111" t="inlineStr">
        <is>
          <t>%</t>
        </is>
      </c>
      <c r="L31" s="112">
        <f>FLOOR(J31/D31*100,0.1)</f>
        <v/>
      </c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  <c r="BX31" s="104" t="n"/>
    </row>
    <row r="32" ht="48.6" customHeight="1" s="6">
      <c r="B32" s="187" t="inlineStr">
        <is>
          <t>GRADE INTERPRETATION :::      A: DISTINCTION               C: CREDIT               P: PASS               F: FAIL</t>
        </is>
      </c>
      <c r="C32" s="141" t="n"/>
      <c r="D32" s="141" t="n"/>
      <c r="E32" s="141" t="n"/>
      <c r="F32" s="141" t="n"/>
      <c r="G32" s="141" t="n"/>
      <c r="H32" s="141" t="n"/>
      <c r="I32" s="141" t="n"/>
      <c r="J32" s="141" t="n"/>
      <c r="K32" s="141" t="n"/>
      <c r="L32" s="151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  <c r="BX32" s="104" t="n"/>
    </row>
    <row r="33" ht="31.5" customHeight="1" s="6">
      <c r="B33" s="179" t="inlineStr">
        <is>
          <t>BEHAVIOURAL (AFFECTIVE DOMAIN)</t>
        </is>
      </c>
      <c r="C33" s="141" t="n"/>
      <c r="D33" s="141" t="n"/>
      <c r="E33" s="141" t="n"/>
      <c r="F33" s="141" t="n"/>
      <c r="G33" s="141" t="n"/>
      <c r="H33" s="141" t="n"/>
      <c r="I33" s="141" t="n"/>
      <c r="J33" s="141" t="n"/>
      <c r="K33" s="141" t="n"/>
      <c r="L33" s="151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  <c r="BX33" s="104" t="n"/>
    </row>
    <row r="34" ht="41.45" customHeight="1" s="6">
      <c r="B34" s="174" t="inlineStr">
        <is>
          <t>PUNCTUALITY</t>
        </is>
      </c>
      <c r="C34" s="151" t="n"/>
      <c r="D34" s="174" t="inlineStr">
        <is>
          <t>NEATNESS</t>
        </is>
      </c>
      <c r="E34" s="174" t="inlineStr">
        <is>
          <t>ATTENTIVENESS</t>
        </is>
      </c>
      <c r="F34" s="174" t="inlineStr">
        <is>
          <t>RELATIONSHIP WITH OTHERS</t>
        </is>
      </c>
      <c r="G34" s="86" t="inlineStr">
        <is>
          <t>POLITENESS</t>
        </is>
      </c>
      <c r="H34" s="87" t="inlineStr">
        <is>
          <t>RESPONSIVENESS</t>
        </is>
      </c>
      <c r="I34" s="113" t="inlineStr">
        <is>
          <t>COMMITMENT</t>
        </is>
      </c>
      <c r="J34" s="114" t="inlineStr">
        <is>
          <t>CONSISTENCY</t>
        </is>
      </c>
      <c r="K34" s="115" t="inlineStr">
        <is>
          <t xml:space="preserve">TOTAL SCORE </t>
        </is>
      </c>
      <c r="L34" s="116" t="n">
        <v>40</v>
      </c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  <c r="BX34" s="104" t="n"/>
    </row>
    <row r="35" ht="47.45" customHeight="1" s="6">
      <c r="B35" s="190">
        <f>VLOOKUP(B8,Db!A4:DJ503,114,0)</f>
        <v/>
      </c>
      <c r="C35" s="148" t="n"/>
      <c r="D35" s="190">
        <f>VLOOKUP(B8,Db!A4:DK503,115,0)</f>
        <v/>
      </c>
      <c r="E35" s="190">
        <f>VLOOKUP(B8,Db!A4:DL503,116,0)</f>
        <v/>
      </c>
      <c r="F35" s="190">
        <f>VLOOKUP(B8,Db!A4:DM503,117,0)</f>
        <v/>
      </c>
      <c r="G35" s="152">
        <f>VLOOKUP(B8,Db!A4:DN503,118,0)</f>
        <v/>
      </c>
      <c r="H35" s="190">
        <f>VLOOKUP(B8,Db!A4:DO503,119,0)</f>
        <v/>
      </c>
      <c r="I35" s="190">
        <f>VLOOKUP(B8,Db!A4:DP503,120,0)</f>
        <v/>
      </c>
      <c r="J35" s="190">
        <f>VLOOKUP(B8,Db!A4:DQ503,121,0)</f>
        <v/>
      </c>
      <c r="K35" s="149" t="inlineStr">
        <is>
          <t xml:space="preserve"> SCORE OBTAINED </t>
        </is>
      </c>
      <c r="L35" s="169">
        <f>SUM(B36:J36)</f>
        <v/>
      </c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  <c r="BX35" s="104" t="n"/>
    </row>
    <row r="36" ht="47.45" customHeight="1" s="6">
      <c r="B36" s="185">
        <f>IF(B35="EXCELLENT(5)",5,IF(B35="GOOD(4)",4,IF(B35="AVERAGE(3)",3,IF(B35="BELOW AVERAGE(2)",2,IF(B35="FAIR(1)",1,"--")))))</f>
        <v/>
      </c>
      <c r="C36" s="148" t="n"/>
      <c r="D36" s="88">
        <f>IF(D35="EXCELLENT(5)",5,IF(D35="GOOD(4)",4,IF(D35="AVERAGE(3)",3,IF(D35="BELOW AVERAGE(2)",2,IF(D35="FAIR(1)",1,"--")))))</f>
        <v/>
      </c>
      <c r="E36" s="88">
        <f>IF(E35="EXCELLENT(5)",5,IF(E35="GOOD(4)",4,IF(E35="AVERAGE(3)",3,IF(E35="BELOW AVERAGE(2)",2,IF(E35="FAIR(1)",1,"--")))))</f>
        <v/>
      </c>
      <c r="F36" s="88">
        <f>IF(F35="EXCELLENT(5)",5,IF(F35="GOOD(4)",4,IF(F35="AVERAGE(3)",3,IF(F35="BELOW AVERAGE(2)",2,IF(F35="FAIR(1)",1,"--")))))</f>
        <v/>
      </c>
      <c r="G36" s="88">
        <f>IF(G35="EXCELLENT(5)",5,IF(G35="GOOD(4)",4,IF(G35="AVERAGE(3)",3,IF(G35="BELOW AVERAGE(2)",2,IF(G35="FAIR(1)",1,"--")))))</f>
        <v/>
      </c>
      <c r="H36" s="88">
        <f>IF(H35="EXCELLENT(5)",5,IF(H35="GOOD(4)",4,IF(H35="AVERAGE(3)",3,IF(H35="BELOW AVERAGE(2)",2,IF(H35="FAIR(1)",1,"--")))))</f>
        <v/>
      </c>
      <c r="I36" s="88">
        <f>IF(I35="EXCELLENT(5)",5,IF(I35="GOOD(4)",4,IF(I35="AVERAGE(3)",3,IF(I35="BELOW AVERAGE(2)",2,IF(I35="FAIR(1)",1,"--")))))</f>
        <v/>
      </c>
      <c r="J36" s="88">
        <f>IF(J35="EXCELLENT(5)",5,IF(J35="GOOD(4)",4,IF(J35="AVERAGE(3)",3,IF(J35="BELOW AVERAGE(2)",2,IF(J35="FAIR(1)",1,"--")))))</f>
        <v/>
      </c>
      <c r="K36" s="138" t="n"/>
      <c r="L36" s="167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  <c r="BX36" s="104" t="n"/>
    </row>
    <row r="37" ht="33" customHeight="1" s="6">
      <c r="B37" s="192" t="inlineStr">
        <is>
          <t>PSYCHOMOTOR DOMAIN</t>
        </is>
      </c>
      <c r="C37" s="193" t="n"/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117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  <c r="BX37" s="104" t="n"/>
    </row>
    <row r="38" ht="58.5" customHeight="1" s="6">
      <c r="B38" s="170" t="inlineStr">
        <is>
          <t>CRAFTS/DRAWING &amp; PAINTING</t>
        </is>
      </c>
      <c r="C38" s="151" t="n"/>
      <c r="D38" s="170" t="inlineStr">
        <is>
          <t>TECHNICAL SKILLS</t>
        </is>
      </c>
      <c r="E38" s="89" t="inlineStr">
        <is>
          <t>ICT SKILLS</t>
        </is>
      </c>
      <c r="F38" s="89" t="inlineStr">
        <is>
          <t>GARDENING/    FARMING SKILLS</t>
        </is>
      </c>
      <c r="G38" s="89" t="inlineStr">
        <is>
          <t>GAMES &amp; SPORTS</t>
        </is>
      </c>
      <c r="H38" s="135" t="inlineStr">
        <is>
          <t>CREATIVITY &amp; INITIATIVE</t>
        </is>
      </c>
      <c r="I38" s="136" t="n"/>
      <c r="J38" s="118" t="inlineStr">
        <is>
          <t>VERBAL FLUENCY</t>
        </is>
      </c>
      <c r="K38" s="119" t="inlineStr">
        <is>
          <t xml:space="preserve">TOTAL SCORE </t>
        </is>
      </c>
      <c r="L38" s="120">
        <f>SUM(C49:I49)</f>
        <v/>
      </c>
      <c r="N38" s="104" t="n"/>
      <c r="O38" s="121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  <c r="BX38" s="104" t="n"/>
    </row>
    <row r="39" ht="43.5" customHeight="1" s="6">
      <c r="B39" s="152">
        <f>VLOOKUP(B8,Db!A4:DT503,124,0)</f>
        <v/>
      </c>
      <c r="C39" s="148" t="n"/>
      <c r="D39" s="152">
        <f>VLOOKUP(B8,Db!A4:DU503,125,0)</f>
        <v/>
      </c>
      <c r="E39" s="90">
        <f>VLOOKUP(B8,Db!A4:DV503,126,0)</f>
        <v/>
      </c>
      <c r="F39" s="90">
        <f>VLOOKUP(B8,Db!A4:DW503,127,0)</f>
        <v/>
      </c>
      <c r="G39" s="90">
        <f>VLOOKUP(B8,Db!A4:DX503,128,0)</f>
        <v/>
      </c>
      <c r="H39" s="155">
        <f>VLOOKUP(B8,Db!A4:DY503,129,0)</f>
        <v/>
      </c>
      <c r="I39" s="156" t="n"/>
      <c r="J39" s="91">
        <f>VLOOKUP(B8,Db!A4:DZ503,130,0)</f>
        <v/>
      </c>
      <c r="K39" s="164" t="inlineStr">
        <is>
          <t xml:space="preserve"> SCORE OBTAINED </t>
        </is>
      </c>
      <c r="L39" s="166">
        <f>SUM(B40:K40)</f>
        <v/>
      </c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  <c r="BX39" s="104" t="n"/>
    </row>
    <row r="40" ht="24" customHeight="1" s="6">
      <c r="B40" s="147">
        <f>IF(B39="EXCELLENT(5)",5,IF(B39="GOOD(4)",4,IF(B39="AVERAGE(3)",3,IF(B39="BELOW AVERAGE(2)",2,IF(B39="FAIR(1)",1,"--")))))</f>
        <v/>
      </c>
      <c r="C40" s="148" t="n"/>
      <c r="D40" s="92">
        <f>IF(D39="EXCELLENT(5)",5,IF(D39="GOOD(4)",4,IF(D39="AVERAGE(3)",3,IF(D39="BELOW AVERAGE(2)",2,IF(D39="FAIR(1)",1,"--")))))</f>
        <v/>
      </c>
      <c r="E40" s="92">
        <f>IF(E39="EXCELLENT(5)",5,IF(E39="GOOD(4)",4,IF(E39="AVERAGE(3)",3,IF(E39="BELOW AVERAGE(2)",2,IF(E39="FAIR(1)",1,"--")))))</f>
        <v/>
      </c>
      <c r="F40" s="92">
        <f>IF(F39="EXCELLENT(5)",5,IF(F39="GOOD(4)",4,IF(F39="AVERAGE(3)",3,IF(F39="BELOW AVERAGE(2)",2,IF(F39="FAIR(1)",1,"--")))))</f>
        <v/>
      </c>
      <c r="G40" s="92">
        <f>IF(G39="EXCELLENT(5)",5,IF(G39="GOOD(4)",4,IF(G39="AVERAGE(3)",3,IF(G39="BELOW AVERAGE(2)",2,IF(G39="FAIR(1)",1,"--")))))</f>
        <v/>
      </c>
      <c r="H40" s="147">
        <f>IF(H39="EXCELLENT(5)",5,IF(H39="GOOD(4)",4,IF(H39="AVERAGE(3)",3,IF(H39="BELOW AVERAGE(2)",2,IF(H39="FAIR(1)",1,"--")))))</f>
        <v/>
      </c>
      <c r="I40" s="148" t="n"/>
      <c r="J40" s="92">
        <f>IF(J39="EXCELLENT(5)",5,IF(J39="GOOD(4)",4,IF(J39="AVERAGE(3)",3,IF(J39="BELOW AVERAGE(2)",2,IF(J39="FAIR(1)",1,"--")))))</f>
        <v/>
      </c>
      <c r="K40" s="138" t="n"/>
      <c r="L40" s="167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  <c r="BX40" s="104" t="n"/>
    </row>
    <row r="41" ht="50.45" customHeight="1" s="6">
      <c r="B41" s="187" t="inlineStr">
        <is>
          <t>NON-COGNITIVE ASPECTS RATING KEYS: 5-Excellent        4-Good         3-Average         2-Below Average          1-Fair</t>
        </is>
      </c>
      <c r="C41" s="141" t="n"/>
      <c r="D41" s="141" t="n"/>
      <c r="E41" s="141" t="n"/>
      <c r="F41" s="141" t="n"/>
      <c r="G41" s="141" t="n"/>
      <c r="H41" s="141" t="n"/>
      <c r="I41" s="141" t="n"/>
      <c r="J41" s="141" t="n"/>
      <c r="K41" s="141" t="n"/>
      <c r="L41" s="151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  <c r="BX41" s="104" t="n"/>
    </row>
    <row r="42" ht="69.59999999999999" customFormat="1" customHeight="1" s="60">
      <c r="A42" s="93" t="n"/>
      <c r="B42" s="161" t="inlineStr">
        <is>
          <t xml:space="preserve"> Class Tutor's Comment:                          </t>
        </is>
      </c>
      <c r="C42" s="162" t="n"/>
      <c r="D42" s="144">
        <f>VLOOKUP(B8,Db!A4:EA503,131,0)</f>
        <v/>
      </c>
      <c r="E42" s="145" t="n"/>
      <c r="F42" s="145" t="n"/>
      <c r="G42" s="146" t="n"/>
      <c r="H42" s="171" t="inlineStr">
        <is>
          <t>Class Tutor's  Name:</t>
        </is>
      </c>
      <c r="I42" s="191">
        <f>VLOOKUP(B8,Db!A4:EC503,133,0)</f>
        <v/>
      </c>
      <c r="J42" s="154" t="n"/>
      <c r="K42" s="154" t="n"/>
      <c r="L42" s="148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93" t="n"/>
      <c r="AJ42" s="93" t="n"/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  <c r="BA42" s="93" t="n"/>
      <c r="BB42" s="93" t="n"/>
      <c r="BC42" s="93" t="n"/>
      <c r="BD42" s="93" t="n"/>
      <c r="BE42" s="93" t="n"/>
      <c r="BF42" s="93" t="n"/>
      <c r="BG42" s="93" t="n"/>
      <c r="BH42" s="93" t="n"/>
      <c r="BI42" s="93" t="n"/>
      <c r="BJ42" s="93" t="n"/>
      <c r="BK42" s="93" t="n"/>
      <c r="BL42" s="93" t="n"/>
      <c r="BM42" s="93" t="n"/>
      <c r="BN42" s="93" t="n"/>
      <c r="BO42" s="93" t="n"/>
      <c r="BP42" s="93" t="n"/>
      <c r="BQ42" s="93" t="n"/>
      <c r="BR42" s="93" t="n"/>
      <c r="BS42" s="93" t="n"/>
      <c r="BT42" s="93" t="n"/>
      <c r="BU42" s="93" t="n"/>
      <c r="BV42" s="93" t="n"/>
      <c r="BW42" s="93" t="n"/>
      <c r="BX42" s="93" t="n"/>
    </row>
    <row r="43" ht="48.95" customFormat="1" customHeight="1" s="60">
      <c r="A43" s="93" t="n"/>
      <c r="B43" s="150" t="inlineStr">
        <is>
          <t xml:space="preserve">Principal´s Comment: </t>
        </is>
      </c>
      <c r="C43" s="151" t="n"/>
      <c r="D43" s="153">
        <f>VLOOKUP(B8,Db!A4:EB503,132,0)</f>
        <v/>
      </c>
      <c r="E43" s="154" t="n"/>
      <c r="F43" s="154" t="n"/>
      <c r="G43" s="154" t="n"/>
      <c r="H43" s="154" t="n"/>
      <c r="I43" s="148" t="n"/>
      <c r="J43" s="122" t="inlineStr">
        <is>
          <t>Parent Signature:</t>
        </is>
      </c>
      <c r="K43" s="172" t="n"/>
      <c r="L43" s="151" t="n"/>
      <c r="M43" s="93" t="n"/>
      <c r="N43" s="12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n"/>
      <c r="AI43" s="93" t="n"/>
      <c r="AJ43" s="93" t="n"/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  <c r="BA43" s="93" t="n"/>
      <c r="BB43" s="93" t="n"/>
      <c r="BC43" s="93" t="n"/>
      <c r="BD43" s="93" t="n"/>
      <c r="BE43" s="93" t="n"/>
      <c r="BF43" s="93" t="n"/>
      <c r="BG43" s="93" t="n"/>
      <c r="BH43" s="93" t="n"/>
      <c r="BI43" s="93" t="n"/>
      <c r="BJ43" s="93" t="n"/>
      <c r="BK43" s="93" t="n"/>
      <c r="BL43" s="93" t="n"/>
      <c r="BM43" s="93" t="n"/>
      <c r="BN43" s="93" t="n"/>
      <c r="BO43" s="93" t="n"/>
      <c r="BP43" s="93" t="n"/>
      <c r="BQ43" s="93" t="n"/>
      <c r="BR43" s="93" t="n"/>
      <c r="BS43" s="93" t="n"/>
      <c r="BT43" s="93" t="n"/>
      <c r="BU43" s="93" t="n"/>
      <c r="BV43" s="93" t="n"/>
      <c r="BW43" s="93" t="n"/>
      <c r="BX43" s="93" t="n"/>
    </row>
    <row r="44" ht="60.95" customFormat="1" customHeight="1" s="60">
      <c r="A44" s="93" t="n"/>
      <c r="B44" s="171" t="inlineStr">
        <is>
          <t>Principal´s Signature/Stamp:</t>
        </is>
      </c>
      <c r="C44" s="141" t="n"/>
      <c r="D44" s="177" t="n"/>
      <c r="E44" s="141" t="n"/>
      <c r="F44" s="141" t="n"/>
      <c r="G44" s="141" t="n"/>
      <c r="H44" s="141" t="n"/>
      <c r="I44" s="141" t="n"/>
      <c r="J44" s="141" t="n"/>
      <c r="K44" s="141" t="n"/>
      <c r="L44" s="151" t="n"/>
      <c r="M44" s="93" t="n"/>
      <c r="N44" s="93" t="n"/>
      <c r="O44" s="93" t="n"/>
      <c r="P44" s="93" t="n"/>
      <c r="Q44" s="93" t="n"/>
      <c r="R44" s="93" t="n"/>
      <c r="S44" s="93" t="n"/>
      <c r="T44" s="93" t="n"/>
      <c r="U44" s="93" t="n"/>
      <c r="V44" s="93" t="n"/>
      <c r="W44" s="93" t="n"/>
      <c r="X44" s="93" t="n"/>
      <c r="Y44" s="93" t="n"/>
      <c r="Z44" s="93" t="n"/>
      <c r="AA44" s="93" t="n"/>
      <c r="AB44" s="93" t="n"/>
      <c r="AC44" s="93" t="n"/>
      <c r="AD44" s="93" t="n"/>
      <c r="AE44" s="93" t="n"/>
      <c r="AF44" s="93" t="n"/>
      <c r="AG44" s="93" t="n"/>
      <c r="AH44" s="93" t="n"/>
      <c r="AI44" s="93" t="n"/>
      <c r="AJ44" s="93" t="n"/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  <c r="BA44" s="93" t="n"/>
      <c r="BB44" s="93" t="n"/>
      <c r="BC44" s="93" t="n"/>
      <c r="BD44" s="93" t="n"/>
      <c r="BE44" s="93" t="n"/>
      <c r="BF44" s="93" t="n"/>
      <c r="BG44" s="93" t="n"/>
      <c r="BH44" s="93" t="n"/>
      <c r="BI44" s="93" t="n"/>
      <c r="BJ44" s="93" t="n"/>
      <c r="BK44" s="93" t="n"/>
      <c r="BL44" s="93" t="n"/>
      <c r="BM44" s="93" t="n"/>
      <c r="BN44" s="93" t="n"/>
      <c r="BO44" s="93" t="n"/>
      <c r="BP44" s="93" t="n"/>
      <c r="BQ44" s="93" t="n"/>
      <c r="BR44" s="93" t="n"/>
      <c r="BS44" s="93" t="n"/>
      <c r="BT44" s="93" t="n"/>
      <c r="BU44" s="93" t="n"/>
      <c r="BV44" s="93" t="n"/>
      <c r="BW44" s="93" t="n"/>
      <c r="BX44" s="93" t="n"/>
    </row>
    <row r="45" ht="66.95" customHeight="1" s="6">
      <c r="B45" s="175">
        <f>VLOOKUP(B8,Db!A4:ED503,134,0)</f>
        <v/>
      </c>
      <c r="C45" s="154" t="n"/>
      <c r="D45" s="154" t="n"/>
      <c r="E45" s="154" t="n"/>
      <c r="F45" s="154" t="n"/>
      <c r="G45" s="148" t="n"/>
      <c r="H45" s="94" t="n"/>
      <c r="I45" s="168" t="inlineStr">
        <is>
          <t>POWERED BY PLANNING, RESEARCH AND STATISTICS DEPARTMENT, EMIS UNIT</t>
        </is>
      </c>
      <c r="J45" s="141" t="n"/>
      <c r="K45" s="141" t="n"/>
      <c r="L45" s="151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  <c r="BX45" s="104" t="n"/>
    </row>
    <row r="46" ht="21.75" customFormat="1" customHeight="1" s="104">
      <c r="B46" s="95" t="n"/>
    </row>
    <row r="47" customFormat="1" s="104">
      <c r="B47" s="64" t="n"/>
    </row>
    <row r="48" customFormat="1" s="104">
      <c r="B48" s="64" t="n"/>
    </row>
    <row r="49" customFormat="1" s="104">
      <c r="B49" s="64" t="n"/>
      <c r="C49" s="96">
        <f>IF(B39="EXCELLENT(5)",5,IF(B39="GOOD(4)",5,IF(B39="AVERAGE(3)",5,IF(B39="BELOW AVERAGE(2)",5,IF(B39="FAIR(1)",5,0)))))</f>
        <v/>
      </c>
      <c r="D49" s="96">
        <f>IF(D39="EXCELLENT(5)",5,IF(D39="GOOD(4)",5,IF(D39="AVERAGE(3)",5,IF(D39="BELOW AVERAGE(2)",5,IF(D39="FAIR(1)",5,0)))))</f>
        <v/>
      </c>
      <c r="E49" s="96">
        <f>IF(E39="EXCELLENT(5)",5,IF(E39="GOOD(4)",5,IF(E39="AVERAGE(3)",5,IF(E39="BELOW AVERAGE(2)",5,IF(E39="FAIR(1)",5,0)))))</f>
        <v/>
      </c>
      <c r="F49" s="96">
        <f>IF(F39="EXCELLENT(5)",5,IF(F39="GOOD(4)",5,IF(F39="AVERAGE(3)",5,IF(F39="BELOW AVERAGE(2)",5,IF(F39="FAIR(1)",5,0)))))</f>
        <v/>
      </c>
      <c r="G49" s="96">
        <f>IF(G39="EXCELLENT(5)",5,IF(G39="GOOD(4)",5,IF(G39="AVERAGE(3)",5,IF(G39="BELOW AVERAGE(2)",5,IF(G39="FAIR(1)",5,0)))))</f>
        <v/>
      </c>
      <c r="H49" s="96">
        <f>IF(H39="EXCELLENT(5)",5,IF(H39="GOOD(4)",5,IF(H39="AVERAGE(3)",5,IF(H39="BELOW AVERAGE(2)",5,IF(H39="FAIR(1)",5,0)))))</f>
        <v/>
      </c>
      <c r="I49" s="96">
        <f>IF(J39="EXCELLENT(5)",5,IF(J39="GOOD(4)",5,IF(J39="AVERAGE(3)",5,IF(J39="BELOW AVERAGE(2)",5,IF(J39="FAIR(1)",5,0)))))</f>
        <v/>
      </c>
      <c r="J49" s="124" t="n"/>
      <c r="K49" s="121" t="n"/>
    </row>
    <row r="50" customFormat="1" s="104">
      <c r="B50" s="64" t="n"/>
    </row>
    <row r="51" customFormat="1" s="104">
      <c r="B51" s="64" t="n"/>
      <c r="H51" s="97" t="n"/>
    </row>
    <row r="52" customFormat="1" s="104">
      <c r="B52" s="64" t="n"/>
    </row>
    <row r="53">
      <c r="B53" s="6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  <c r="BX53" s="104" t="n"/>
    </row>
    <row r="54">
      <c r="B54" s="6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  <c r="BX54" s="104" t="n"/>
    </row>
    <row r="55">
      <c r="B55" s="6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</row>
    <row r="56">
      <c r="B56" s="6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  <c r="BX56" s="104" t="n"/>
    </row>
    <row r="57">
      <c r="B57" s="6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  <c r="BX57" s="104" t="n"/>
    </row>
    <row r="58">
      <c r="B58" s="6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  <c r="BX58" s="104" t="n"/>
    </row>
    <row r="59">
      <c r="B59" s="6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  <c r="BX59" s="104" t="n"/>
    </row>
    <row r="60">
      <c r="B60" s="6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  <c r="BX60" s="104" t="n"/>
    </row>
    <row r="61">
      <c r="B61" s="6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21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  <c r="BX61" s="104" t="n"/>
    </row>
    <row r="62">
      <c r="B62" s="6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  <c r="BX62" s="104" t="n"/>
    </row>
    <row r="63">
      <c r="B63" s="6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  <c r="BX63" s="104" t="n"/>
    </row>
    <row r="64">
      <c r="B64" s="6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  <c r="BX64" s="104" t="n"/>
    </row>
    <row r="65">
      <c r="B65" s="6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  <c r="BX65" s="104" t="n"/>
    </row>
    <row r="66">
      <c r="B66" s="6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  <c r="BX66" s="104" t="n"/>
    </row>
    <row r="67">
      <c r="B67" s="6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  <c r="BX67" s="104" t="n"/>
    </row>
    <row r="68">
      <c r="B68" s="6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  <c r="BX68" s="104" t="n"/>
    </row>
    <row r="69">
      <c r="B69" s="6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</row>
    <row r="70">
      <c r="B70" s="6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</row>
    <row r="71">
      <c r="B71" s="6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  <c r="BX71" s="104" t="n"/>
    </row>
    <row r="72">
      <c r="B72" s="6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  <c r="BX72" s="104" t="n"/>
    </row>
    <row r="73">
      <c r="B73" s="6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  <c r="BX73" s="104" t="n"/>
    </row>
    <row r="74">
      <c r="B74" s="6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  <c r="BX74" s="104" t="n"/>
    </row>
    <row r="75">
      <c r="B75" s="6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  <c r="BX75" s="104" t="n"/>
    </row>
    <row r="76">
      <c r="B76" s="6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  <c r="BX76" s="104" t="n"/>
    </row>
    <row r="77">
      <c r="B77" s="6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</row>
    <row r="78">
      <c r="B78" s="6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  <c r="BX78" s="104" t="n"/>
    </row>
    <row r="79">
      <c r="B79" s="6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  <c r="BX79" s="104" t="n"/>
    </row>
    <row r="80">
      <c r="B80" s="6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  <c r="BX80" s="104" t="n"/>
    </row>
    <row r="81">
      <c r="B81" s="6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  <c r="BX81" s="104" t="n"/>
    </row>
    <row r="82">
      <c r="B82" s="6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  <c r="BX82" s="104" t="n"/>
    </row>
    <row r="83">
      <c r="B83" s="6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  <c r="BX83" s="104" t="n"/>
    </row>
    <row r="84">
      <c r="B84" s="6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  <c r="BX84" s="104" t="n"/>
    </row>
    <row r="85">
      <c r="B85" s="6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  <c r="BX85" s="104" t="n"/>
    </row>
    <row r="86">
      <c r="B86" s="6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  <c r="BX86" s="104" t="n"/>
    </row>
    <row r="87">
      <c r="B87" s="6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  <c r="BX87" s="104" t="n"/>
    </row>
    <row r="88">
      <c r="B88" s="6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  <c r="BX88" s="104" t="n"/>
    </row>
    <row r="89">
      <c r="B89" s="6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  <c r="BX89" s="104" t="n"/>
    </row>
    <row r="90">
      <c r="B90" s="6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  <c r="BX90" s="104" t="n"/>
    </row>
    <row r="91">
      <c r="B91" s="6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  <c r="BX91" s="104" t="n"/>
    </row>
    <row r="92">
      <c r="B92" s="6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  <c r="BX92" s="104" t="n"/>
    </row>
    <row r="93">
      <c r="B93" s="6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  <c r="BX93" s="104" t="n"/>
    </row>
    <row r="94">
      <c r="B94" s="6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  <c r="BX94" s="104" t="n"/>
    </row>
    <row r="95">
      <c r="B95" s="6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  <c r="BX95" s="104" t="n"/>
    </row>
    <row r="96">
      <c r="B96" s="6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  <c r="BX96" s="104" t="n"/>
    </row>
    <row r="97">
      <c r="B97" s="6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4" t="n"/>
      <c r="AH97" s="104" t="n"/>
      <c r="AI97" s="104" t="n"/>
      <c r="AJ97" s="104" t="n"/>
      <c r="AK97" s="104" t="n"/>
      <c r="AL97" s="104" t="n"/>
      <c r="AM97" s="104" t="n"/>
      <c r="AN97" s="104" t="n"/>
      <c r="AO97" s="104" t="n"/>
      <c r="AP97" s="104" t="n"/>
      <c r="AQ97" s="104" t="n"/>
      <c r="AR97" s="104" t="n"/>
      <c r="AS97" s="104" t="n"/>
      <c r="AT97" s="104" t="n"/>
      <c r="AU97" s="104" t="n"/>
      <c r="AV97" s="104" t="n"/>
      <c r="AW97" s="104" t="n"/>
      <c r="AX97" s="104" t="n"/>
      <c r="AY97" s="104" t="n"/>
      <c r="AZ97" s="104" t="n"/>
      <c r="BA97" s="104" t="n"/>
      <c r="BB97" s="104" t="n"/>
      <c r="BC97" s="104" t="n"/>
      <c r="BD97" s="104" t="n"/>
      <c r="BE97" s="104" t="n"/>
      <c r="BF97" s="104" t="n"/>
      <c r="BG97" s="104" t="n"/>
      <c r="BH97" s="104" t="n"/>
      <c r="BI97" s="104" t="n"/>
      <c r="BJ97" s="104" t="n"/>
      <c r="BK97" s="104" t="n"/>
      <c r="BL97" s="104" t="n"/>
      <c r="BM97" s="104" t="n"/>
      <c r="BN97" s="104" t="n"/>
      <c r="BO97" s="104" t="n"/>
      <c r="BP97" s="104" t="n"/>
      <c r="BQ97" s="104" t="n"/>
      <c r="BR97" s="104" t="n"/>
      <c r="BS97" s="104" t="n"/>
      <c r="BT97" s="104" t="n"/>
      <c r="BU97" s="104" t="n"/>
      <c r="BV97" s="104" t="n"/>
      <c r="BW97" s="104" t="n"/>
      <c r="BX97" s="104" t="n"/>
    </row>
    <row r="98">
      <c r="B98" s="6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4" t="n"/>
      <c r="AH98" s="104" t="n"/>
      <c r="AI98" s="104" t="n"/>
      <c r="AJ98" s="104" t="n"/>
      <c r="AK98" s="104" t="n"/>
      <c r="AL98" s="104" t="n"/>
      <c r="AM98" s="104" t="n"/>
      <c r="AN98" s="104" t="n"/>
      <c r="AO98" s="104" t="n"/>
      <c r="AP98" s="104" t="n"/>
      <c r="AQ98" s="104" t="n"/>
      <c r="AR98" s="104" t="n"/>
      <c r="AS98" s="104" t="n"/>
      <c r="AT98" s="104" t="n"/>
      <c r="AU98" s="104" t="n"/>
      <c r="AV98" s="104" t="n"/>
      <c r="AW98" s="104" t="n"/>
      <c r="AX98" s="104" t="n"/>
      <c r="AY98" s="104" t="n"/>
      <c r="AZ98" s="104" t="n"/>
      <c r="BA98" s="104" t="n"/>
      <c r="BB98" s="104" t="n"/>
      <c r="BC98" s="104" t="n"/>
      <c r="BD98" s="104" t="n"/>
      <c r="BE98" s="104" t="n"/>
      <c r="BF98" s="104" t="n"/>
      <c r="BG98" s="104" t="n"/>
      <c r="BH98" s="104" t="n"/>
      <c r="BI98" s="104" t="n"/>
      <c r="BJ98" s="104" t="n"/>
      <c r="BK98" s="104" t="n"/>
      <c r="BL98" s="104" t="n"/>
      <c r="BM98" s="104" t="n"/>
      <c r="BN98" s="104" t="n"/>
      <c r="BO98" s="104" t="n"/>
      <c r="BP98" s="104" t="n"/>
      <c r="BQ98" s="104" t="n"/>
      <c r="BR98" s="104" t="n"/>
      <c r="BS98" s="104" t="n"/>
      <c r="BT98" s="104" t="n"/>
      <c r="BU98" s="104" t="n"/>
      <c r="BV98" s="104" t="n"/>
      <c r="BW98" s="104" t="n"/>
      <c r="BX98" s="104" t="n"/>
    </row>
    <row r="99">
      <c r="B99" s="6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4" t="n"/>
      <c r="AH99" s="104" t="n"/>
      <c r="AI99" s="104" t="n"/>
      <c r="AJ99" s="104" t="n"/>
      <c r="AK99" s="104" t="n"/>
      <c r="AL99" s="104" t="n"/>
      <c r="AM99" s="104" t="n"/>
      <c r="AN99" s="104" t="n"/>
      <c r="AO99" s="104" t="n"/>
      <c r="AP99" s="104" t="n"/>
      <c r="AQ99" s="104" t="n"/>
      <c r="AR99" s="104" t="n"/>
      <c r="AS99" s="104" t="n"/>
      <c r="AT99" s="104" t="n"/>
      <c r="AU99" s="104" t="n"/>
      <c r="AV99" s="104" t="n"/>
      <c r="AW99" s="104" t="n"/>
      <c r="AX99" s="104" t="n"/>
      <c r="AY99" s="104" t="n"/>
      <c r="AZ99" s="104" t="n"/>
      <c r="BA99" s="104" t="n"/>
      <c r="BB99" s="104" t="n"/>
      <c r="BC99" s="104" t="n"/>
      <c r="BD99" s="104" t="n"/>
      <c r="BE99" s="104" t="n"/>
      <c r="BF99" s="104" t="n"/>
      <c r="BG99" s="104" t="n"/>
      <c r="BH99" s="104" t="n"/>
      <c r="BI99" s="104" t="n"/>
      <c r="BJ99" s="104" t="n"/>
      <c r="BK99" s="104" t="n"/>
      <c r="BL99" s="104" t="n"/>
      <c r="BM99" s="104" t="n"/>
      <c r="BN99" s="104" t="n"/>
      <c r="BO99" s="104" t="n"/>
      <c r="BP99" s="104" t="n"/>
      <c r="BQ99" s="104" t="n"/>
      <c r="BR99" s="104" t="n"/>
      <c r="BS99" s="104" t="n"/>
      <c r="BT99" s="104" t="n"/>
      <c r="BU99" s="104" t="n"/>
      <c r="BV99" s="104" t="n"/>
      <c r="BW99" s="104" t="n"/>
      <c r="BX99" s="104" t="n"/>
    </row>
    <row r="100">
      <c r="B100" s="6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4" t="n"/>
      <c r="AH100" s="104" t="n"/>
      <c r="AI100" s="104" t="n"/>
      <c r="AJ100" s="104" t="n"/>
      <c r="AK100" s="104" t="n"/>
      <c r="AL100" s="104" t="n"/>
      <c r="AM100" s="104" t="n"/>
      <c r="AN100" s="104" t="n"/>
      <c r="AO100" s="104" t="n"/>
      <c r="AP100" s="104" t="n"/>
      <c r="AQ100" s="104" t="n"/>
      <c r="AR100" s="104" t="n"/>
      <c r="AS100" s="104" t="n"/>
      <c r="AT100" s="104" t="n"/>
      <c r="AU100" s="104" t="n"/>
      <c r="AV100" s="104" t="n"/>
      <c r="AW100" s="104" t="n"/>
      <c r="AX100" s="104" t="n"/>
      <c r="AY100" s="104" t="n"/>
      <c r="AZ100" s="104" t="n"/>
      <c r="BA100" s="104" t="n"/>
      <c r="BB100" s="104" t="n"/>
      <c r="BC100" s="104" t="n"/>
      <c r="BD100" s="104" t="n"/>
      <c r="BE100" s="104" t="n"/>
      <c r="BF100" s="104" t="n"/>
      <c r="BG100" s="104" t="n"/>
      <c r="BH100" s="104" t="n"/>
      <c r="BI100" s="104" t="n"/>
      <c r="BJ100" s="104" t="n"/>
      <c r="BK100" s="104" t="n"/>
      <c r="BL100" s="104" t="n"/>
      <c r="BM100" s="104" t="n"/>
      <c r="BN100" s="104" t="n"/>
      <c r="BO100" s="104" t="n"/>
      <c r="BP100" s="104" t="n"/>
      <c r="BQ100" s="104" t="n"/>
      <c r="BR100" s="104" t="n"/>
      <c r="BS100" s="104" t="n"/>
      <c r="BT100" s="104" t="n"/>
      <c r="BU100" s="104" t="n"/>
      <c r="BV100" s="104" t="n"/>
      <c r="BW100" s="104" t="n"/>
      <c r="BX100" s="104" t="n"/>
    </row>
    <row r="101">
      <c r="B101" s="6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G101" s="104" t="n"/>
      <c r="AH101" s="104" t="n"/>
      <c r="AI101" s="104" t="n"/>
      <c r="AJ101" s="104" t="n"/>
      <c r="AK101" s="104" t="n"/>
      <c r="AL101" s="104" t="n"/>
      <c r="AM101" s="104" t="n"/>
      <c r="AN101" s="104" t="n"/>
      <c r="AO101" s="104" t="n"/>
      <c r="AP101" s="104" t="n"/>
      <c r="AQ101" s="104" t="n"/>
      <c r="AR101" s="104" t="n"/>
      <c r="AS101" s="104" t="n"/>
      <c r="AT101" s="104" t="n"/>
      <c r="AU101" s="104" t="n"/>
      <c r="AV101" s="104" t="n"/>
      <c r="AW101" s="104" t="n"/>
      <c r="AX101" s="104" t="n"/>
      <c r="AY101" s="104" t="n"/>
      <c r="AZ101" s="104" t="n"/>
      <c r="BA101" s="104" t="n"/>
      <c r="BB101" s="104" t="n"/>
      <c r="BC101" s="104" t="n"/>
      <c r="BD101" s="104" t="n"/>
      <c r="BE101" s="104" t="n"/>
      <c r="BF101" s="104" t="n"/>
      <c r="BG101" s="104" t="n"/>
      <c r="BH101" s="104" t="n"/>
      <c r="BI101" s="104" t="n"/>
      <c r="BJ101" s="104" t="n"/>
      <c r="BK101" s="104" t="n"/>
      <c r="BL101" s="104" t="n"/>
      <c r="BM101" s="104" t="n"/>
      <c r="BN101" s="104" t="n"/>
      <c r="BO101" s="104" t="n"/>
      <c r="BP101" s="104" t="n"/>
      <c r="BQ101" s="104" t="n"/>
      <c r="BR101" s="104" t="n"/>
      <c r="BS101" s="104" t="n"/>
      <c r="BT101" s="104" t="n"/>
      <c r="BU101" s="104" t="n"/>
      <c r="BV101" s="104" t="n"/>
      <c r="BW101" s="104" t="n"/>
      <c r="BX101" s="104" t="n"/>
    </row>
    <row r="102">
      <c r="B102" s="6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4" t="n"/>
      <c r="AH102" s="104" t="n"/>
      <c r="AI102" s="104" t="n"/>
      <c r="AJ102" s="104" t="n"/>
      <c r="AK102" s="104" t="n"/>
      <c r="AL102" s="104" t="n"/>
      <c r="AM102" s="104" t="n"/>
      <c r="AN102" s="104" t="n"/>
      <c r="AO102" s="104" t="n"/>
      <c r="AP102" s="104" t="n"/>
      <c r="AQ102" s="104" t="n"/>
      <c r="AR102" s="104" t="n"/>
      <c r="AS102" s="104" t="n"/>
      <c r="AT102" s="104" t="n"/>
      <c r="AU102" s="104" t="n"/>
      <c r="AV102" s="104" t="n"/>
      <c r="AW102" s="104" t="n"/>
      <c r="AX102" s="104" t="n"/>
      <c r="AY102" s="104" t="n"/>
      <c r="AZ102" s="104" t="n"/>
      <c r="BA102" s="104" t="n"/>
      <c r="BB102" s="104" t="n"/>
      <c r="BC102" s="104" t="n"/>
      <c r="BD102" s="104" t="n"/>
      <c r="BE102" s="104" t="n"/>
      <c r="BF102" s="104" t="n"/>
      <c r="BG102" s="104" t="n"/>
      <c r="BH102" s="104" t="n"/>
      <c r="BI102" s="104" t="n"/>
      <c r="BJ102" s="104" t="n"/>
      <c r="BK102" s="104" t="n"/>
      <c r="BL102" s="104" t="n"/>
      <c r="BM102" s="104" t="n"/>
      <c r="BN102" s="104" t="n"/>
      <c r="BO102" s="104" t="n"/>
      <c r="BP102" s="104" t="n"/>
      <c r="BQ102" s="104" t="n"/>
      <c r="BR102" s="104" t="n"/>
      <c r="BS102" s="104" t="n"/>
      <c r="BT102" s="104" t="n"/>
      <c r="BU102" s="104" t="n"/>
      <c r="BV102" s="104" t="n"/>
      <c r="BW102" s="104" t="n"/>
      <c r="BX102" s="104" t="n"/>
    </row>
    <row r="103">
      <c r="B103" s="6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4" t="n"/>
      <c r="AH103" s="104" t="n"/>
      <c r="AI103" s="104" t="n"/>
      <c r="AJ103" s="104" t="n"/>
      <c r="AK103" s="104" t="n"/>
      <c r="AL103" s="104" t="n"/>
      <c r="AM103" s="104" t="n"/>
      <c r="AN103" s="104" t="n"/>
      <c r="AO103" s="104" t="n"/>
      <c r="AP103" s="104" t="n"/>
      <c r="AQ103" s="104" t="n"/>
      <c r="AR103" s="104" t="n"/>
      <c r="AS103" s="104" t="n"/>
      <c r="AT103" s="104" t="n"/>
      <c r="AU103" s="104" t="n"/>
      <c r="AV103" s="104" t="n"/>
      <c r="AW103" s="104" t="n"/>
      <c r="AX103" s="104" t="n"/>
      <c r="AY103" s="104" t="n"/>
      <c r="AZ103" s="104" t="n"/>
      <c r="BA103" s="104" t="n"/>
      <c r="BB103" s="104" t="n"/>
      <c r="BC103" s="104" t="n"/>
      <c r="BD103" s="104" t="n"/>
      <c r="BE103" s="104" t="n"/>
      <c r="BF103" s="104" t="n"/>
      <c r="BG103" s="104" t="n"/>
      <c r="BH103" s="104" t="n"/>
      <c r="BI103" s="104" t="n"/>
      <c r="BJ103" s="104" t="n"/>
      <c r="BK103" s="104" t="n"/>
      <c r="BL103" s="104" t="n"/>
      <c r="BM103" s="104" t="n"/>
      <c r="BN103" s="104" t="n"/>
      <c r="BO103" s="104" t="n"/>
      <c r="BP103" s="104" t="n"/>
      <c r="BQ103" s="104" t="n"/>
      <c r="BR103" s="104" t="n"/>
      <c r="BS103" s="104" t="n"/>
      <c r="BT103" s="104" t="n"/>
      <c r="BU103" s="104" t="n"/>
      <c r="BV103" s="104" t="n"/>
      <c r="BW103" s="104" t="n"/>
      <c r="BX103" s="104" t="n"/>
    </row>
    <row r="104">
      <c r="B104" s="6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G104" s="104" t="n"/>
      <c r="AH104" s="104" t="n"/>
      <c r="AI104" s="104" t="n"/>
      <c r="AJ104" s="104" t="n"/>
      <c r="AK104" s="104" t="n"/>
      <c r="AL104" s="104" t="n"/>
      <c r="AM104" s="104" t="n"/>
      <c r="AN104" s="104" t="n"/>
      <c r="AO104" s="104" t="n"/>
      <c r="AP104" s="104" t="n"/>
      <c r="AQ104" s="104" t="n"/>
      <c r="AR104" s="104" t="n"/>
      <c r="AS104" s="104" t="n"/>
      <c r="AT104" s="104" t="n"/>
      <c r="AU104" s="104" t="n"/>
      <c r="AV104" s="104" t="n"/>
      <c r="AW104" s="104" t="n"/>
      <c r="AX104" s="104" t="n"/>
      <c r="AY104" s="104" t="n"/>
      <c r="AZ104" s="104" t="n"/>
      <c r="BA104" s="104" t="n"/>
      <c r="BB104" s="104" t="n"/>
      <c r="BC104" s="104" t="n"/>
      <c r="BD104" s="104" t="n"/>
      <c r="BE104" s="104" t="n"/>
      <c r="BF104" s="104" t="n"/>
      <c r="BG104" s="104" t="n"/>
      <c r="BH104" s="104" t="n"/>
      <c r="BI104" s="104" t="n"/>
      <c r="BJ104" s="104" t="n"/>
      <c r="BK104" s="104" t="n"/>
      <c r="BL104" s="104" t="n"/>
      <c r="BM104" s="104" t="n"/>
      <c r="BN104" s="104" t="n"/>
      <c r="BO104" s="104" t="n"/>
      <c r="BP104" s="104" t="n"/>
      <c r="BQ104" s="104" t="n"/>
      <c r="BR104" s="104" t="n"/>
      <c r="BS104" s="104" t="n"/>
      <c r="BT104" s="104" t="n"/>
      <c r="BU104" s="104" t="n"/>
      <c r="BV104" s="104" t="n"/>
      <c r="BW104" s="104" t="n"/>
      <c r="BX104" s="104" t="n"/>
    </row>
    <row r="105">
      <c r="B105" s="6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4" t="n"/>
      <c r="AH105" s="104" t="n"/>
      <c r="AI105" s="104" t="n"/>
      <c r="AJ105" s="104" t="n"/>
      <c r="AK105" s="104" t="n"/>
      <c r="AL105" s="104" t="n"/>
      <c r="AM105" s="104" t="n"/>
      <c r="AN105" s="104" t="n"/>
      <c r="AO105" s="104" t="n"/>
      <c r="AP105" s="104" t="n"/>
      <c r="AQ105" s="104" t="n"/>
      <c r="AR105" s="104" t="n"/>
      <c r="AS105" s="104" t="n"/>
      <c r="AT105" s="104" t="n"/>
      <c r="AU105" s="104" t="n"/>
      <c r="AV105" s="104" t="n"/>
      <c r="AW105" s="104" t="n"/>
      <c r="AX105" s="104" t="n"/>
      <c r="AY105" s="104" t="n"/>
      <c r="AZ105" s="104" t="n"/>
      <c r="BA105" s="104" t="n"/>
      <c r="BB105" s="104" t="n"/>
      <c r="BC105" s="104" t="n"/>
      <c r="BD105" s="104" t="n"/>
      <c r="BE105" s="104" t="n"/>
      <c r="BF105" s="104" t="n"/>
      <c r="BG105" s="104" t="n"/>
      <c r="BH105" s="104" t="n"/>
      <c r="BI105" s="104" t="n"/>
      <c r="BJ105" s="104" t="n"/>
      <c r="BK105" s="104" t="n"/>
      <c r="BL105" s="104" t="n"/>
      <c r="BM105" s="104" t="n"/>
      <c r="BN105" s="104" t="n"/>
      <c r="BO105" s="104" t="n"/>
      <c r="BP105" s="104" t="n"/>
      <c r="BQ105" s="104" t="n"/>
      <c r="BR105" s="104" t="n"/>
      <c r="BS105" s="104" t="n"/>
      <c r="BT105" s="104" t="n"/>
      <c r="BU105" s="104" t="n"/>
      <c r="BV105" s="104" t="n"/>
      <c r="BW105" s="104" t="n"/>
      <c r="BX105" s="104" t="n"/>
    </row>
    <row r="106">
      <c r="B106" s="6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G106" s="104" t="n"/>
      <c r="AH106" s="104" t="n"/>
      <c r="AI106" s="104" t="n"/>
      <c r="AJ106" s="104" t="n"/>
      <c r="AK106" s="104" t="n"/>
      <c r="AL106" s="104" t="n"/>
      <c r="AM106" s="104" t="n"/>
      <c r="AN106" s="104" t="n"/>
      <c r="AO106" s="104" t="n"/>
      <c r="AP106" s="104" t="n"/>
      <c r="AQ106" s="104" t="n"/>
      <c r="AR106" s="104" t="n"/>
      <c r="AS106" s="104" t="n"/>
      <c r="AT106" s="104" t="n"/>
      <c r="AU106" s="104" t="n"/>
      <c r="AV106" s="104" t="n"/>
      <c r="AW106" s="104" t="n"/>
      <c r="AX106" s="104" t="n"/>
      <c r="AY106" s="104" t="n"/>
      <c r="AZ106" s="104" t="n"/>
      <c r="BA106" s="104" t="n"/>
      <c r="BB106" s="104" t="n"/>
      <c r="BC106" s="104" t="n"/>
      <c r="BD106" s="104" t="n"/>
      <c r="BE106" s="104" t="n"/>
      <c r="BF106" s="104" t="n"/>
      <c r="BG106" s="104" t="n"/>
      <c r="BH106" s="104" t="n"/>
      <c r="BI106" s="104" t="n"/>
      <c r="BJ106" s="104" t="n"/>
      <c r="BK106" s="104" t="n"/>
      <c r="BL106" s="104" t="n"/>
      <c r="BM106" s="104" t="n"/>
      <c r="BN106" s="104" t="n"/>
      <c r="BO106" s="104" t="n"/>
      <c r="BP106" s="104" t="n"/>
      <c r="BQ106" s="104" t="n"/>
      <c r="BR106" s="104" t="n"/>
      <c r="BS106" s="104" t="n"/>
      <c r="BT106" s="104" t="n"/>
      <c r="BU106" s="104" t="n"/>
      <c r="BV106" s="104" t="n"/>
      <c r="BW106" s="104" t="n"/>
      <c r="BX106" s="104" t="n"/>
    </row>
    <row r="107">
      <c r="B107" s="6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G107" s="104" t="n"/>
      <c r="AH107" s="104" t="n"/>
      <c r="AI107" s="104" t="n"/>
      <c r="AJ107" s="104" t="n"/>
      <c r="AK107" s="104" t="n"/>
      <c r="AL107" s="104" t="n"/>
      <c r="AM107" s="104" t="n"/>
      <c r="AN107" s="104" t="n"/>
      <c r="AO107" s="104" t="n"/>
      <c r="AP107" s="104" t="n"/>
      <c r="AQ107" s="104" t="n"/>
      <c r="AR107" s="104" t="n"/>
      <c r="AS107" s="104" t="n"/>
      <c r="AT107" s="104" t="n"/>
      <c r="AU107" s="104" t="n"/>
      <c r="AV107" s="104" t="n"/>
      <c r="AW107" s="104" t="n"/>
      <c r="AX107" s="104" t="n"/>
      <c r="AY107" s="104" t="n"/>
      <c r="AZ107" s="104" t="n"/>
      <c r="BA107" s="104" t="n"/>
      <c r="BB107" s="104" t="n"/>
      <c r="BC107" s="104" t="n"/>
      <c r="BD107" s="104" t="n"/>
      <c r="BE107" s="104" t="n"/>
      <c r="BF107" s="104" t="n"/>
      <c r="BG107" s="104" t="n"/>
      <c r="BH107" s="104" t="n"/>
      <c r="BI107" s="104" t="n"/>
      <c r="BJ107" s="104" t="n"/>
      <c r="BK107" s="104" t="n"/>
      <c r="BL107" s="104" t="n"/>
      <c r="BM107" s="104" t="n"/>
      <c r="BN107" s="104" t="n"/>
      <c r="BO107" s="104" t="n"/>
      <c r="BP107" s="104" t="n"/>
      <c r="BQ107" s="104" t="n"/>
      <c r="BR107" s="104" t="n"/>
      <c r="BS107" s="104" t="n"/>
      <c r="BT107" s="104" t="n"/>
      <c r="BU107" s="104" t="n"/>
      <c r="BV107" s="104" t="n"/>
      <c r="BW107" s="104" t="n"/>
      <c r="BX107" s="104" t="n"/>
    </row>
    <row r="108">
      <c r="B108" s="6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4" t="n"/>
      <c r="AH108" s="104" t="n"/>
      <c r="AI108" s="104" t="n"/>
      <c r="AJ108" s="104" t="n"/>
      <c r="AK108" s="104" t="n"/>
      <c r="AL108" s="104" t="n"/>
      <c r="AM108" s="104" t="n"/>
      <c r="AN108" s="104" t="n"/>
      <c r="AO108" s="104" t="n"/>
      <c r="AP108" s="104" t="n"/>
      <c r="AQ108" s="104" t="n"/>
      <c r="AR108" s="104" t="n"/>
      <c r="AS108" s="104" t="n"/>
      <c r="AT108" s="104" t="n"/>
      <c r="AU108" s="104" t="n"/>
      <c r="AV108" s="104" t="n"/>
      <c r="AW108" s="104" t="n"/>
      <c r="AX108" s="104" t="n"/>
      <c r="AY108" s="104" t="n"/>
      <c r="AZ108" s="104" t="n"/>
      <c r="BA108" s="104" t="n"/>
      <c r="BB108" s="104" t="n"/>
      <c r="BC108" s="104" t="n"/>
      <c r="BD108" s="104" t="n"/>
      <c r="BE108" s="104" t="n"/>
      <c r="BF108" s="104" t="n"/>
      <c r="BG108" s="104" t="n"/>
      <c r="BH108" s="104" t="n"/>
      <c r="BI108" s="104" t="n"/>
      <c r="BJ108" s="104" t="n"/>
      <c r="BK108" s="104" t="n"/>
      <c r="BL108" s="104" t="n"/>
      <c r="BM108" s="104" t="n"/>
      <c r="BN108" s="104" t="n"/>
      <c r="BO108" s="104" t="n"/>
      <c r="BP108" s="104" t="n"/>
      <c r="BQ108" s="104" t="n"/>
      <c r="BR108" s="104" t="n"/>
      <c r="BS108" s="104" t="n"/>
      <c r="BT108" s="104" t="n"/>
      <c r="BU108" s="104" t="n"/>
      <c r="BV108" s="104" t="n"/>
      <c r="BW108" s="104" t="n"/>
      <c r="BX108" s="104" t="n"/>
    </row>
    <row r="109">
      <c r="B109" s="6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G109" s="104" t="n"/>
      <c r="AH109" s="104" t="n"/>
      <c r="AI109" s="104" t="n"/>
      <c r="AJ109" s="104" t="n"/>
      <c r="AK109" s="104" t="n"/>
      <c r="AL109" s="104" t="n"/>
      <c r="AM109" s="104" t="n"/>
      <c r="AN109" s="104" t="n"/>
      <c r="AO109" s="104" t="n"/>
      <c r="AP109" s="104" t="n"/>
      <c r="AQ109" s="104" t="n"/>
      <c r="AR109" s="104" t="n"/>
      <c r="AS109" s="104" t="n"/>
      <c r="AT109" s="104" t="n"/>
      <c r="AU109" s="104" t="n"/>
      <c r="AV109" s="104" t="n"/>
      <c r="AW109" s="104" t="n"/>
      <c r="AX109" s="104" t="n"/>
      <c r="AY109" s="104" t="n"/>
      <c r="AZ109" s="104" t="n"/>
      <c r="BA109" s="104" t="n"/>
      <c r="BB109" s="104" t="n"/>
      <c r="BC109" s="104" t="n"/>
      <c r="BD109" s="104" t="n"/>
      <c r="BE109" s="104" t="n"/>
      <c r="BF109" s="104" t="n"/>
      <c r="BG109" s="104" t="n"/>
      <c r="BH109" s="104" t="n"/>
      <c r="BI109" s="104" t="n"/>
      <c r="BJ109" s="104" t="n"/>
      <c r="BK109" s="104" t="n"/>
      <c r="BL109" s="104" t="n"/>
      <c r="BM109" s="104" t="n"/>
      <c r="BN109" s="104" t="n"/>
      <c r="BO109" s="104" t="n"/>
      <c r="BP109" s="104" t="n"/>
      <c r="BQ109" s="104" t="n"/>
      <c r="BR109" s="104" t="n"/>
      <c r="BS109" s="104" t="n"/>
      <c r="BT109" s="104" t="n"/>
      <c r="BU109" s="104" t="n"/>
      <c r="BV109" s="104" t="n"/>
      <c r="BW109" s="104" t="n"/>
      <c r="BX109" s="104" t="n"/>
    </row>
    <row r="110">
      <c r="B110" s="6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G110" s="104" t="n"/>
      <c r="AH110" s="104" t="n"/>
      <c r="AI110" s="104" t="n"/>
      <c r="AJ110" s="104" t="n"/>
      <c r="AK110" s="104" t="n"/>
      <c r="AL110" s="104" t="n"/>
      <c r="AM110" s="104" t="n"/>
      <c r="AN110" s="104" t="n"/>
      <c r="AO110" s="104" t="n"/>
      <c r="AP110" s="104" t="n"/>
      <c r="AQ110" s="104" t="n"/>
      <c r="AR110" s="104" t="n"/>
      <c r="AS110" s="104" t="n"/>
      <c r="AT110" s="104" t="n"/>
      <c r="AU110" s="104" t="n"/>
      <c r="AV110" s="104" t="n"/>
      <c r="AW110" s="104" t="n"/>
      <c r="AX110" s="104" t="n"/>
      <c r="AY110" s="104" t="n"/>
      <c r="AZ110" s="104" t="n"/>
      <c r="BA110" s="104" t="n"/>
      <c r="BB110" s="104" t="n"/>
      <c r="BC110" s="104" t="n"/>
      <c r="BD110" s="104" t="n"/>
      <c r="BE110" s="104" t="n"/>
      <c r="BF110" s="104" t="n"/>
      <c r="BG110" s="104" t="n"/>
      <c r="BH110" s="104" t="n"/>
      <c r="BI110" s="104" t="n"/>
      <c r="BJ110" s="104" t="n"/>
      <c r="BK110" s="104" t="n"/>
      <c r="BL110" s="104" t="n"/>
      <c r="BM110" s="104" t="n"/>
      <c r="BN110" s="104" t="n"/>
      <c r="BO110" s="104" t="n"/>
      <c r="BP110" s="104" t="n"/>
      <c r="BQ110" s="104" t="n"/>
      <c r="BR110" s="104" t="n"/>
      <c r="BS110" s="104" t="n"/>
      <c r="BT110" s="104" t="n"/>
      <c r="BU110" s="104" t="n"/>
      <c r="BV110" s="104" t="n"/>
      <c r="BW110" s="104" t="n"/>
      <c r="BX110" s="104" t="n"/>
    </row>
    <row r="111">
      <c r="B111" s="6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4" t="n"/>
      <c r="AH111" s="104" t="n"/>
      <c r="AI111" s="104" t="n"/>
      <c r="AJ111" s="104" t="n"/>
      <c r="AK111" s="104" t="n"/>
      <c r="AL111" s="104" t="n"/>
      <c r="AM111" s="104" t="n"/>
      <c r="AN111" s="104" t="n"/>
      <c r="AO111" s="104" t="n"/>
      <c r="AP111" s="104" t="n"/>
      <c r="AQ111" s="104" t="n"/>
      <c r="AR111" s="104" t="n"/>
      <c r="AS111" s="104" t="n"/>
      <c r="AT111" s="104" t="n"/>
      <c r="AU111" s="104" t="n"/>
      <c r="AV111" s="104" t="n"/>
      <c r="AW111" s="104" t="n"/>
      <c r="AX111" s="104" t="n"/>
      <c r="AY111" s="104" t="n"/>
      <c r="AZ111" s="104" t="n"/>
      <c r="BA111" s="104" t="n"/>
      <c r="BB111" s="104" t="n"/>
      <c r="BC111" s="104" t="n"/>
      <c r="BD111" s="104" t="n"/>
      <c r="BE111" s="104" t="n"/>
      <c r="BF111" s="104" t="n"/>
      <c r="BG111" s="104" t="n"/>
      <c r="BH111" s="104" t="n"/>
      <c r="BI111" s="104" t="n"/>
      <c r="BJ111" s="104" t="n"/>
      <c r="BK111" s="104" t="n"/>
      <c r="BL111" s="104" t="n"/>
      <c r="BM111" s="104" t="n"/>
      <c r="BN111" s="104" t="n"/>
      <c r="BO111" s="104" t="n"/>
      <c r="BP111" s="104" t="n"/>
      <c r="BQ111" s="104" t="n"/>
      <c r="BR111" s="104" t="n"/>
      <c r="BS111" s="104" t="n"/>
      <c r="BT111" s="104" t="n"/>
      <c r="BU111" s="104" t="n"/>
      <c r="BV111" s="104" t="n"/>
      <c r="BW111" s="104" t="n"/>
      <c r="BX111" s="104" t="n"/>
    </row>
    <row r="112">
      <c r="B112" s="6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4" t="n"/>
      <c r="AH112" s="104" t="n"/>
      <c r="AI112" s="104" t="n"/>
      <c r="AJ112" s="104" t="n"/>
      <c r="AK112" s="104" t="n"/>
      <c r="AL112" s="104" t="n"/>
      <c r="AM112" s="104" t="n"/>
      <c r="AN112" s="104" t="n"/>
      <c r="AO112" s="104" t="n"/>
      <c r="AP112" s="104" t="n"/>
      <c r="AQ112" s="104" t="n"/>
      <c r="AR112" s="104" t="n"/>
      <c r="AS112" s="104" t="n"/>
      <c r="AT112" s="104" t="n"/>
      <c r="AU112" s="104" t="n"/>
      <c r="AV112" s="104" t="n"/>
      <c r="AW112" s="104" t="n"/>
      <c r="AX112" s="104" t="n"/>
      <c r="AY112" s="104" t="n"/>
      <c r="AZ112" s="104" t="n"/>
      <c r="BA112" s="104" t="n"/>
      <c r="BB112" s="104" t="n"/>
      <c r="BC112" s="104" t="n"/>
      <c r="BD112" s="104" t="n"/>
      <c r="BE112" s="104" t="n"/>
      <c r="BF112" s="104" t="n"/>
      <c r="BG112" s="104" t="n"/>
      <c r="BH112" s="104" t="n"/>
      <c r="BI112" s="104" t="n"/>
      <c r="BJ112" s="104" t="n"/>
      <c r="BK112" s="104" t="n"/>
      <c r="BL112" s="104" t="n"/>
      <c r="BM112" s="104" t="n"/>
      <c r="BN112" s="104" t="n"/>
      <c r="BO112" s="104" t="n"/>
      <c r="BP112" s="104" t="n"/>
      <c r="BQ112" s="104" t="n"/>
      <c r="BR112" s="104" t="n"/>
      <c r="BS112" s="104" t="n"/>
      <c r="BT112" s="104" t="n"/>
      <c r="BU112" s="104" t="n"/>
      <c r="BV112" s="104" t="n"/>
      <c r="BW112" s="104" t="n"/>
      <c r="BX112" s="104" t="n"/>
    </row>
    <row r="113">
      <c r="B113" s="6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4" t="n"/>
      <c r="AH113" s="104" t="n"/>
      <c r="AI113" s="104" t="n"/>
      <c r="AJ113" s="104" t="n"/>
      <c r="AK113" s="104" t="n"/>
      <c r="AL113" s="104" t="n"/>
      <c r="AM113" s="104" t="n"/>
      <c r="AN113" s="104" t="n"/>
      <c r="AO113" s="104" t="n"/>
      <c r="AP113" s="104" t="n"/>
      <c r="AQ113" s="104" t="n"/>
      <c r="AR113" s="104" t="n"/>
      <c r="AS113" s="104" t="n"/>
      <c r="AT113" s="104" t="n"/>
      <c r="AU113" s="104" t="n"/>
      <c r="AV113" s="104" t="n"/>
      <c r="AW113" s="104" t="n"/>
      <c r="AX113" s="104" t="n"/>
      <c r="AY113" s="104" t="n"/>
      <c r="AZ113" s="104" t="n"/>
      <c r="BA113" s="104" t="n"/>
      <c r="BB113" s="104" t="n"/>
      <c r="BC113" s="104" t="n"/>
      <c r="BD113" s="104" t="n"/>
      <c r="BE113" s="104" t="n"/>
      <c r="BF113" s="104" t="n"/>
      <c r="BG113" s="104" t="n"/>
      <c r="BH113" s="104" t="n"/>
      <c r="BI113" s="104" t="n"/>
      <c r="BJ113" s="104" t="n"/>
      <c r="BK113" s="104" t="n"/>
      <c r="BL113" s="104" t="n"/>
      <c r="BM113" s="104" t="n"/>
      <c r="BN113" s="104" t="n"/>
      <c r="BO113" s="104" t="n"/>
      <c r="BP113" s="104" t="n"/>
      <c r="BQ113" s="104" t="n"/>
      <c r="BR113" s="104" t="n"/>
      <c r="BS113" s="104" t="n"/>
      <c r="BT113" s="104" t="n"/>
      <c r="BU113" s="104" t="n"/>
      <c r="BV113" s="104" t="n"/>
      <c r="BW113" s="104" t="n"/>
      <c r="BX113" s="104" t="n"/>
    </row>
    <row r="114">
      <c r="B114" s="6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4" t="n"/>
      <c r="AH114" s="104" t="n"/>
      <c r="AI114" s="104" t="n"/>
      <c r="AJ114" s="104" t="n"/>
      <c r="AK114" s="104" t="n"/>
      <c r="AL114" s="104" t="n"/>
      <c r="AM114" s="104" t="n"/>
      <c r="AN114" s="104" t="n"/>
      <c r="AO114" s="104" t="n"/>
      <c r="AP114" s="104" t="n"/>
      <c r="AQ114" s="104" t="n"/>
      <c r="AR114" s="104" t="n"/>
      <c r="AS114" s="104" t="n"/>
      <c r="AT114" s="104" t="n"/>
      <c r="AU114" s="104" t="n"/>
      <c r="AV114" s="104" t="n"/>
      <c r="AW114" s="104" t="n"/>
      <c r="AX114" s="104" t="n"/>
      <c r="AY114" s="104" t="n"/>
      <c r="AZ114" s="104" t="n"/>
      <c r="BA114" s="104" t="n"/>
      <c r="BB114" s="104" t="n"/>
      <c r="BC114" s="104" t="n"/>
      <c r="BD114" s="104" t="n"/>
      <c r="BE114" s="104" t="n"/>
      <c r="BF114" s="104" t="n"/>
      <c r="BG114" s="104" t="n"/>
      <c r="BH114" s="104" t="n"/>
      <c r="BI114" s="104" t="n"/>
      <c r="BJ114" s="104" t="n"/>
      <c r="BK114" s="104" t="n"/>
      <c r="BL114" s="104" t="n"/>
      <c r="BM114" s="104" t="n"/>
      <c r="BN114" s="104" t="n"/>
      <c r="BO114" s="104" t="n"/>
      <c r="BP114" s="104" t="n"/>
      <c r="BQ114" s="104" t="n"/>
      <c r="BR114" s="104" t="n"/>
      <c r="BS114" s="104" t="n"/>
      <c r="BT114" s="104" t="n"/>
      <c r="BU114" s="104" t="n"/>
      <c r="BV114" s="104" t="n"/>
      <c r="BW114" s="104" t="n"/>
      <c r="BX114" s="104" t="n"/>
    </row>
    <row r="115">
      <c r="B115" s="6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4" t="n"/>
      <c r="AH115" s="104" t="n"/>
      <c r="AI115" s="104" t="n"/>
      <c r="AJ115" s="104" t="n"/>
      <c r="AK115" s="104" t="n"/>
      <c r="AL115" s="104" t="n"/>
      <c r="AM115" s="104" t="n"/>
      <c r="AN115" s="104" t="n"/>
      <c r="AO115" s="104" t="n"/>
      <c r="AP115" s="104" t="n"/>
      <c r="AQ115" s="104" t="n"/>
      <c r="AR115" s="104" t="n"/>
      <c r="AS115" s="104" t="n"/>
      <c r="AT115" s="104" t="n"/>
      <c r="AU115" s="104" t="n"/>
      <c r="AV115" s="104" t="n"/>
      <c r="AW115" s="104" t="n"/>
      <c r="AX115" s="104" t="n"/>
      <c r="AY115" s="104" t="n"/>
      <c r="AZ115" s="104" t="n"/>
      <c r="BA115" s="104" t="n"/>
      <c r="BB115" s="104" t="n"/>
      <c r="BC115" s="104" t="n"/>
      <c r="BD115" s="104" t="n"/>
      <c r="BE115" s="104" t="n"/>
      <c r="BF115" s="104" t="n"/>
      <c r="BG115" s="104" t="n"/>
      <c r="BH115" s="104" t="n"/>
      <c r="BI115" s="104" t="n"/>
      <c r="BJ115" s="104" t="n"/>
      <c r="BK115" s="104" t="n"/>
      <c r="BL115" s="104" t="n"/>
      <c r="BM115" s="104" t="n"/>
      <c r="BN115" s="104" t="n"/>
      <c r="BO115" s="104" t="n"/>
      <c r="BP115" s="104" t="n"/>
      <c r="BQ115" s="104" t="n"/>
      <c r="BR115" s="104" t="n"/>
      <c r="BS115" s="104" t="n"/>
      <c r="BT115" s="104" t="n"/>
      <c r="BU115" s="104" t="n"/>
      <c r="BV115" s="104" t="n"/>
      <c r="BW115" s="104" t="n"/>
      <c r="BX115" s="104" t="n"/>
    </row>
    <row r="116">
      <c r="B116" s="6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G116" s="104" t="n"/>
      <c r="AH116" s="104" t="n"/>
      <c r="AI116" s="104" t="n"/>
      <c r="AJ116" s="104" t="n"/>
      <c r="AK116" s="104" t="n"/>
      <c r="AL116" s="104" t="n"/>
      <c r="AM116" s="104" t="n"/>
      <c r="AN116" s="104" t="n"/>
      <c r="AO116" s="104" t="n"/>
      <c r="AP116" s="104" t="n"/>
      <c r="AQ116" s="104" t="n"/>
      <c r="AR116" s="104" t="n"/>
      <c r="AS116" s="104" t="n"/>
      <c r="AT116" s="104" t="n"/>
      <c r="AU116" s="104" t="n"/>
      <c r="AV116" s="104" t="n"/>
      <c r="AW116" s="104" t="n"/>
      <c r="AX116" s="104" t="n"/>
      <c r="AY116" s="104" t="n"/>
      <c r="AZ116" s="104" t="n"/>
      <c r="BA116" s="104" t="n"/>
      <c r="BB116" s="104" t="n"/>
      <c r="BC116" s="104" t="n"/>
      <c r="BD116" s="104" t="n"/>
      <c r="BE116" s="104" t="n"/>
      <c r="BF116" s="104" t="n"/>
      <c r="BG116" s="104" t="n"/>
      <c r="BH116" s="104" t="n"/>
      <c r="BI116" s="104" t="n"/>
      <c r="BJ116" s="104" t="n"/>
      <c r="BK116" s="104" t="n"/>
      <c r="BL116" s="104" t="n"/>
      <c r="BM116" s="104" t="n"/>
      <c r="BN116" s="104" t="n"/>
      <c r="BO116" s="104" t="n"/>
      <c r="BP116" s="104" t="n"/>
      <c r="BQ116" s="104" t="n"/>
      <c r="BR116" s="104" t="n"/>
      <c r="BS116" s="104" t="n"/>
      <c r="BT116" s="104" t="n"/>
      <c r="BU116" s="104" t="n"/>
      <c r="BV116" s="104" t="n"/>
      <c r="BW116" s="104" t="n"/>
      <c r="BX116" s="104" t="n"/>
    </row>
    <row r="117">
      <c r="B117" s="6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G117" s="104" t="n"/>
      <c r="AH117" s="104" t="n"/>
      <c r="AI117" s="104" t="n"/>
      <c r="AJ117" s="104" t="n"/>
      <c r="AK117" s="104" t="n"/>
      <c r="AL117" s="104" t="n"/>
      <c r="AM117" s="104" t="n"/>
      <c r="AN117" s="104" t="n"/>
      <c r="AO117" s="104" t="n"/>
      <c r="AP117" s="104" t="n"/>
      <c r="AQ117" s="104" t="n"/>
      <c r="AR117" s="104" t="n"/>
      <c r="AS117" s="104" t="n"/>
      <c r="AT117" s="104" t="n"/>
      <c r="AU117" s="104" t="n"/>
      <c r="AV117" s="104" t="n"/>
      <c r="AW117" s="104" t="n"/>
      <c r="AX117" s="104" t="n"/>
      <c r="AY117" s="104" t="n"/>
      <c r="AZ117" s="104" t="n"/>
      <c r="BA117" s="104" t="n"/>
      <c r="BB117" s="104" t="n"/>
      <c r="BC117" s="104" t="n"/>
      <c r="BD117" s="104" t="n"/>
      <c r="BE117" s="104" t="n"/>
      <c r="BF117" s="104" t="n"/>
      <c r="BG117" s="104" t="n"/>
      <c r="BH117" s="104" t="n"/>
      <c r="BI117" s="104" t="n"/>
      <c r="BJ117" s="104" t="n"/>
      <c r="BK117" s="104" t="n"/>
      <c r="BL117" s="104" t="n"/>
      <c r="BM117" s="104" t="n"/>
      <c r="BN117" s="104" t="n"/>
      <c r="BO117" s="104" t="n"/>
      <c r="BP117" s="104" t="n"/>
      <c r="BQ117" s="104" t="n"/>
      <c r="BR117" s="104" t="n"/>
      <c r="BS117" s="104" t="n"/>
      <c r="BT117" s="104" t="n"/>
      <c r="BU117" s="104" t="n"/>
      <c r="BV117" s="104" t="n"/>
      <c r="BW117" s="104" t="n"/>
      <c r="BX117" s="104" t="n"/>
    </row>
    <row r="118">
      <c r="B118" s="6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4" t="n"/>
      <c r="AH118" s="104" t="n"/>
      <c r="AI118" s="104" t="n"/>
      <c r="AJ118" s="104" t="n"/>
      <c r="AK118" s="104" t="n"/>
      <c r="AL118" s="104" t="n"/>
      <c r="AM118" s="104" t="n"/>
      <c r="AN118" s="104" t="n"/>
      <c r="AO118" s="104" t="n"/>
      <c r="AP118" s="104" t="n"/>
      <c r="AQ118" s="104" t="n"/>
      <c r="AR118" s="104" t="n"/>
      <c r="AS118" s="104" t="n"/>
      <c r="AT118" s="104" t="n"/>
      <c r="AU118" s="104" t="n"/>
      <c r="AV118" s="104" t="n"/>
      <c r="AW118" s="104" t="n"/>
      <c r="AX118" s="104" t="n"/>
      <c r="AY118" s="104" t="n"/>
      <c r="AZ118" s="104" t="n"/>
      <c r="BA118" s="104" t="n"/>
      <c r="BB118" s="104" t="n"/>
      <c r="BC118" s="104" t="n"/>
      <c r="BD118" s="104" t="n"/>
      <c r="BE118" s="104" t="n"/>
      <c r="BF118" s="104" t="n"/>
      <c r="BG118" s="104" t="n"/>
      <c r="BH118" s="104" t="n"/>
      <c r="BI118" s="104" t="n"/>
      <c r="BJ118" s="104" t="n"/>
      <c r="BK118" s="104" t="n"/>
      <c r="BL118" s="104" t="n"/>
      <c r="BM118" s="104" t="n"/>
      <c r="BN118" s="104" t="n"/>
      <c r="BO118" s="104" t="n"/>
      <c r="BP118" s="104" t="n"/>
      <c r="BQ118" s="104" t="n"/>
      <c r="BR118" s="104" t="n"/>
      <c r="BS118" s="104" t="n"/>
      <c r="BT118" s="104" t="n"/>
      <c r="BU118" s="104" t="n"/>
      <c r="BV118" s="104" t="n"/>
      <c r="BW118" s="104" t="n"/>
      <c r="BX118" s="104" t="n"/>
    </row>
    <row r="119">
      <c r="B119" s="6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4" t="n"/>
      <c r="AH119" s="104" t="n"/>
      <c r="AI119" s="104" t="n"/>
      <c r="AJ119" s="104" t="n"/>
      <c r="AK119" s="104" t="n"/>
      <c r="AL119" s="104" t="n"/>
      <c r="AM119" s="104" t="n"/>
      <c r="AN119" s="104" t="n"/>
      <c r="AO119" s="104" t="n"/>
      <c r="AP119" s="104" t="n"/>
      <c r="AQ119" s="104" t="n"/>
      <c r="AR119" s="104" t="n"/>
      <c r="AS119" s="104" t="n"/>
      <c r="AT119" s="104" t="n"/>
      <c r="AU119" s="104" t="n"/>
      <c r="AV119" s="104" t="n"/>
      <c r="AW119" s="104" t="n"/>
      <c r="AX119" s="104" t="n"/>
      <c r="AY119" s="104" t="n"/>
      <c r="AZ119" s="104" t="n"/>
      <c r="BA119" s="104" t="n"/>
      <c r="BB119" s="104" t="n"/>
      <c r="BC119" s="104" t="n"/>
      <c r="BD119" s="104" t="n"/>
      <c r="BE119" s="104" t="n"/>
      <c r="BF119" s="104" t="n"/>
      <c r="BG119" s="104" t="n"/>
      <c r="BH119" s="104" t="n"/>
      <c r="BI119" s="104" t="n"/>
      <c r="BJ119" s="104" t="n"/>
      <c r="BK119" s="104" t="n"/>
      <c r="BL119" s="104" t="n"/>
      <c r="BM119" s="104" t="n"/>
      <c r="BN119" s="104" t="n"/>
      <c r="BO119" s="104" t="n"/>
      <c r="BP119" s="104" t="n"/>
      <c r="BQ119" s="104" t="n"/>
      <c r="BR119" s="104" t="n"/>
      <c r="BS119" s="104" t="n"/>
      <c r="BT119" s="104" t="n"/>
      <c r="BU119" s="104" t="n"/>
      <c r="BV119" s="104" t="n"/>
      <c r="BW119" s="104" t="n"/>
      <c r="BX119" s="104" t="n"/>
    </row>
    <row r="120">
      <c r="B120" s="6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4" t="n"/>
      <c r="AH120" s="104" t="n"/>
      <c r="AI120" s="104" t="n"/>
      <c r="AJ120" s="104" t="n"/>
      <c r="AK120" s="104" t="n"/>
      <c r="AL120" s="104" t="n"/>
      <c r="AM120" s="104" t="n"/>
      <c r="AN120" s="104" t="n"/>
      <c r="AO120" s="104" t="n"/>
      <c r="AP120" s="104" t="n"/>
      <c r="AQ120" s="104" t="n"/>
      <c r="AR120" s="104" t="n"/>
      <c r="AS120" s="104" t="n"/>
      <c r="AT120" s="104" t="n"/>
      <c r="AU120" s="104" t="n"/>
      <c r="AV120" s="104" t="n"/>
      <c r="AW120" s="104" t="n"/>
      <c r="AX120" s="104" t="n"/>
      <c r="AY120" s="104" t="n"/>
      <c r="AZ120" s="104" t="n"/>
      <c r="BA120" s="104" t="n"/>
      <c r="BB120" s="104" t="n"/>
      <c r="BC120" s="104" t="n"/>
      <c r="BD120" s="104" t="n"/>
      <c r="BE120" s="104" t="n"/>
      <c r="BF120" s="104" t="n"/>
      <c r="BG120" s="104" t="n"/>
      <c r="BH120" s="104" t="n"/>
      <c r="BI120" s="104" t="n"/>
      <c r="BJ120" s="104" t="n"/>
      <c r="BK120" s="104" t="n"/>
      <c r="BL120" s="104" t="n"/>
      <c r="BM120" s="104" t="n"/>
      <c r="BN120" s="104" t="n"/>
      <c r="BO120" s="104" t="n"/>
      <c r="BP120" s="104" t="n"/>
      <c r="BQ120" s="104" t="n"/>
      <c r="BR120" s="104" t="n"/>
      <c r="BS120" s="104" t="n"/>
      <c r="BT120" s="104" t="n"/>
      <c r="BU120" s="104" t="n"/>
      <c r="BV120" s="104" t="n"/>
      <c r="BW120" s="104" t="n"/>
      <c r="BX120" s="104" t="n"/>
    </row>
    <row r="121">
      <c r="B121" s="64" t="n"/>
      <c r="C121" s="104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G121" s="104" t="n"/>
      <c r="AH121" s="104" t="n"/>
      <c r="AI121" s="104" t="n"/>
      <c r="AJ121" s="104" t="n"/>
      <c r="AK121" s="104" t="n"/>
      <c r="AL121" s="104" t="n"/>
      <c r="AM121" s="104" t="n"/>
      <c r="AN121" s="104" t="n"/>
      <c r="AO121" s="104" t="n"/>
      <c r="AP121" s="104" t="n"/>
      <c r="AQ121" s="104" t="n"/>
      <c r="AR121" s="104" t="n"/>
      <c r="AS121" s="104" t="n"/>
      <c r="AT121" s="104" t="n"/>
      <c r="AU121" s="104" t="n"/>
      <c r="AV121" s="104" t="n"/>
      <c r="AW121" s="104" t="n"/>
      <c r="AX121" s="104" t="n"/>
      <c r="AY121" s="104" t="n"/>
      <c r="AZ121" s="104" t="n"/>
      <c r="BA121" s="104" t="n"/>
      <c r="BB121" s="104" t="n"/>
      <c r="BC121" s="104" t="n"/>
      <c r="BD121" s="104" t="n"/>
      <c r="BE121" s="104" t="n"/>
      <c r="BF121" s="104" t="n"/>
      <c r="BG121" s="104" t="n"/>
      <c r="BH121" s="104" t="n"/>
      <c r="BI121" s="104" t="n"/>
      <c r="BJ121" s="104" t="n"/>
      <c r="BK121" s="104" t="n"/>
      <c r="BL121" s="104" t="n"/>
      <c r="BM121" s="104" t="n"/>
      <c r="BN121" s="104" t="n"/>
      <c r="BO121" s="104" t="n"/>
      <c r="BP121" s="104" t="n"/>
      <c r="BQ121" s="104" t="n"/>
      <c r="BR121" s="104" t="n"/>
      <c r="BS121" s="104" t="n"/>
      <c r="BT121" s="104" t="n"/>
      <c r="BU121" s="104" t="n"/>
      <c r="BV121" s="104" t="n"/>
      <c r="BW121" s="104" t="n"/>
      <c r="BX121" s="104" t="n"/>
    </row>
    <row r="122">
      <c r="B122" s="64" t="n"/>
      <c r="C122" s="104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G122" s="104" t="n"/>
      <c r="AH122" s="104" t="n"/>
      <c r="AI122" s="104" t="n"/>
      <c r="AJ122" s="104" t="n"/>
      <c r="AK122" s="104" t="n"/>
      <c r="AL122" s="104" t="n"/>
      <c r="AM122" s="104" t="n"/>
      <c r="AN122" s="104" t="n"/>
      <c r="AO122" s="104" t="n"/>
      <c r="AP122" s="104" t="n"/>
      <c r="AQ122" s="104" t="n"/>
      <c r="AR122" s="104" t="n"/>
      <c r="AS122" s="104" t="n"/>
      <c r="AT122" s="104" t="n"/>
      <c r="AU122" s="104" t="n"/>
      <c r="AV122" s="104" t="n"/>
      <c r="AW122" s="104" t="n"/>
      <c r="AX122" s="104" t="n"/>
      <c r="AY122" s="104" t="n"/>
      <c r="AZ122" s="104" t="n"/>
      <c r="BA122" s="104" t="n"/>
      <c r="BB122" s="104" t="n"/>
      <c r="BC122" s="104" t="n"/>
      <c r="BD122" s="104" t="n"/>
      <c r="BE122" s="104" t="n"/>
      <c r="BF122" s="104" t="n"/>
      <c r="BG122" s="104" t="n"/>
      <c r="BH122" s="104" t="n"/>
      <c r="BI122" s="104" t="n"/>
      <c r="BJ122" s="104" t="n"/>
      <c r="BK122" s="104" t="n"/>
      <c r="BL122" s="104" t="n"/>
      <c r="BM122" s="104" t="n"/>
      <c r="BN122" s="104" t="n"/>
      <c r="BO122" s="104" t="n"/>
      <c r="BP122" s="104" t="n"/>
      <c r="BQ122" s="104" t="n"/>
      <c r="BR122" s="104" t="n"/>
      <c r="BS122" s="104" t="n"/>
      <c r="BT122" s="104" t="n"/>
      <c r="BU122" s="104" t="n"/>
      <c r="BV122" s="104" t="n"/>
      <c r="BW122" s="104" t="n"/>
      <c r="BX122" s="104" t="n"/>
    </row>
    <row r="123">
      <c r="B123" s="64" t="n"/>
      <c r="C123" s="104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4" t="n"/>
      <c r="AH123" s="104" t="n"/>
      <c r="AI123" s="104" t="n"/>
      <c r="AJ123" s="104" t="n"/>
      <c r="AK123" s="104" t="n"/>
      <c r="AL123" s="104" t="n"/>
      <c r="AM123" s="104" t="n"/>
      <c r="AN123" s="104" t="n"/>
      <c r="AO123" s="104" t="n"/>
      <c r="AP123" s="104" t="n"/>
      <c r="AQ123" s="104" t="n"/>
      <c r="AR123" s="104" t="n"/>
      <c r="AS123" s="104" t="n"/>
      <c r="AT123" s="104" t="n"/>
      <c r="AU123" s="104" t="n"/>
      <c r="AV123" s="104" t="n"/>
      <c r="AW123" s="104" t="n"/>
      <c r="AX123" s="104" t="n"/>
      <c r="AY123" s="104" t="n"/>
      <c r="AZ123" s="104" t="n"/>
      <c r="BA123" s="104" t="n"/>
      <c r="BB123" s="104" t="n"/>
      <c r="BC123" s="104" t="n"/>
      <c r="BD123" s="104" t="n"/>
      <c r="BE123" s="104" t="n"/>
      <c r="BF123" s="104" t="n"/>
      <c r="BG123" s="104" t="n"/>
      <c r="BH123" s="104" t="n"/>
      <c r="BI123" s="104" t="n"/>
      <c r="BJ123" s="104" t="n"/>
      <c r="BK123" s="104" t="n"/>
      <c r="BL123" s="104" t="n"/>
      <c r="BM123" s="104" t="n"/>
      <c r="BN123" s="104" t="n"/>
      <c r="BO123" s="104" t="n"/>
      <c r="BP123" s="104" t="n"/>
      <c r="BQ123" s="104" t="n"/>
      <c r="BR123" s="104" t="n"/>
      <c r="BS123" s="104" t="n"/>
      <c r="BT123" s="104" t="n"/>
      <c r="BU123" s="104" t="n"/>
      <c r="BV123" s="104" t="n"/>
      <c r="BW123" s="104" t="n"/>
      <c r="BX123" s="104" t="n"/>
    </row>
    <row r="124">
      <c r="B124" s="64" t="n"/>
      <c r="C124" s="104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G124" s="104" t="n"/>
      <c r="AH124" s="104" t="n"/>
      <c r="AI124" s="104" t="n"/>
      <c r="AJ124" s="104" t="n"/>
      <c r="AK124" s="104" t="n"/>
      <c r="AL124" s="104" t="n"/>
      <c r="AM124" s="104" t="n"/>
      <c r="AN124" s="104" t="n"/>
      <c r="AO124" s="104" t="n"/>
      <c r="AP124" s="104" t="n"/>
      <c r="AQ124" s="104" t="n"/>
      <c r="AR124" s="104" t="n"/>
      <c r="AS124" s="104" t="n"/>
      <c r="AT124" s="104" t="n"/>
      <c r="AU124" s="104" t="n"/>
      <c r="AV124" s="104" t="n"/>
      <c r="AW124" s="104" t="n"/>
      <c r="AX124" s="104" t="n"/>
      <c r="AY124" s="104" t="n"/>
      <c r="AZ124" s="104" t="n"/>
      <c r="BA124" s="104" t="n"/>
      <c r="BB124" s="104" t="n"/>
      <c r="BC124" s="104" t="n"/>
      <c r="BD124" s="104" t="n"/>
      <c r="BE124" s="104" t="n"/>
      <c r="BF124" s="104" t="n"/>
      <c r="BG124" s="104" t="n"/>
      <c r="BH124" s="104" t="n"/>
      <c r="BI124" s="104" t="n"/>
      <c r="BJ124" s="104" t="n"/>
      <c r="BK124" s="104" t="n"/>
      <c r="BL124" s="104" t="n"/>
      <c r="BM124" s="104" t="n"/>
      <c r="BN124" s="104" t="n"/>
      <c r="BO124" s="104" t="n"/>
      <c r="BP124" s="104" t="n"/>
      <c r="BQ124" s="104" t="n"/>
      <c r="BR124" s="104" t="n"/>
      <c r="BS124" s="104" t="n"/>
      <c r="BT124" s="104" t="n"/>
      <c r="BU124" s="104" t="n"/>
      <c r="BV124" s="104" t="n"/>
      <c r="BW124" s="104" t="n"/>
      <c r="BX124" s="104" t="n"/>
    </row>
    <row r="125">
      <c r="B125" s="64" t="n"/>
      <c r="C125" s="104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4" t="n"/>
      <c r="AH125" s="104" t="n"/>
      <c r="AI125" s="104" t="n"/>
      <c r="AJ125" s="104" t="n"/>
      <c r="AK125" s="104" t="n"/>
      <c r="AL125" s="104" t="n"/>
      <c r="AM125" s="104" t="n"/>
      <c r="AN125" s="104" t="n"/>
      <c r="AO125" s="104" t="n"/>
      <c r="AP125" s="104" t="n"/>
      <c r="AQ125" s="104" t="n"/>
      <c r="AR125" s="104" t="n"/>
      <c r="AS125" s="104" t="n"/>
      <c r="AT125" s="104" t="n"/>
      <c r="AU125" s="104" t="n"/>
      <c r="AV125" s="104" t="n"/>
      <c r="AW125" s="104" t="n"/>
      <c r="AX125" s="104" t="n"/>
      <c r="AY125" s="104" t="n"/>
      <c r="AZ125" s="104" t="n"/>
      <c r="BA125" s="104" t="n"/>
      <c r="BB125" s="104" t="n"/>
      <c r="BC125" s="104" t="n"/>
      <c r="BD125" s="104" t="n"/>
      <c r="BE125" s="104" t="n"/>
      <c r="BF125" s="104" t="n"/>
      <c r="BG125" s="104" t="n"/>
      <c r="BH125" s="104" t="n"/>
      <c r="BI125" s="104" t="n"/>
      <c r="BJ125" s="104" t="n"/>
      <c r="BK125" s="104" t="n"/>
      <c r="BL125" s="104" t="n"/>
      <c r="BM125" s="104" t="n"/>
      <c r="BN125" s="104" t="n"/>
      <c r="BO125" s="104" t="n"/>
      <c r="BP125" s="104" t="n"/>
      <c r="BQ125" s="104" t="n"/>
      <c r="BR125" s="104" t="n"/>
      <c r="BS125" s="104" t="n"/>
      <c r="BT125" s="104" t="n"/>
      <c r="BU125" s="104" t="n"/>
      <c r="BV125" s="104" t="n"/>
      <c r="BW125" s="104" t="n"/>
      <c r="BX125" s="104" t="n"/>
    </row>
    <row r="126">
      <c r="B126" s="64" t="n"/>
      <c r="C126" s="104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G126" s="104" t="n"/>
      <c r="AH126" s="104" t="n"/>
      <c r="AI126" s="104" t="n"/>
      <c r="AJ126" s="104" t="n"/>
      <c r="AK126" s="104" t="n"/>
      <c r="AL126" s="104" t="n"/>
      <c r="AM126" s="104" t="n"/>
      <c r="AN126" s="104" t="n"/>
      <c r="AO126" s="104" t="n"/>
      <c r="AP126" s="104" t="n"/>
      <c r="AQ126" s="104" t="n"/>
      <c r="AR126" s="104" t="n"/>
      <c r="AS126" s="104" t="n"/>
      <c r="AT126" s="104" t="n"/>
      <c r="AU126" s="104" t="n"/>
      <c r="AV126" s="104" t="n"/>
      <c r="AW126" s="104" t="n"/>
      <c r="AX126" s="104" t="n"/>
      <c r="AY126" s="104" t="n"/>
      <c r="AZ126" s="104" t="n"/>
      <c r="BA126" s="104" t="n"/>
      <c r="BB126" s="104" t="n"/>
      <c r="BC126" s="104" t="n"/>
      <c r="BD126" s="104" t="n"/>
      <c r="BE126" s="104" t="n"/>
      <c r="BF126" s="104" t="n"/>
      <c r="BG126" s="104" t="n"/>
      <c r="BH126" s="104" t="n"/>
      <c r="BI126" s="104" t="n"/>
      <c r="BJ126" s="104" t="n"/>
      <c r="BK126" s="104" t="n"/>
      <c r="BL126" s="104" t="n"/>
      <c r="BM126" s="104" t="n"/>
      <c r="BN126" s="104" t="n"/>
      <c r="BO126" s="104" t="n"/>
      <c r="BP126" s="104" t="n"/>
      <c r="BQ126" s="104" t="n"/>
      <c r="BR126" s="104" t="n"/>
      <c r="BS126" s="104" t="n"/>
      <c r="BT126" s="104" t="n"/>
      <c r="BU126" s="104" t="n"/>
      <c r="BV126" s="104" t="n"/>
      <c r="BW126" s="104" t="n"/>
      <c r="BX126" s="104" t="n"/>
    </row>
    <row r="127">
      <c r="B127" s="64" t="n"/>
      <c r="C127" s="104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G127" s="104" t="n"/>
      <c r="AH127" s="104" t="n"/>
      <c r="AI127" s="104" t="n"/>
      <c r="AJ127" s="104" t="n"/>
      <c r="AK127" s="104" t="n"/>
      <c r="AL127" s="104" t="n"/>
      <c r="AM127" s="104" t="n"/>
      <c r="AN127" s="104" t="n"/>
      <c r="AO127" s="104" t="n"/>
      <c r="AP127" s="104" t="n"/>
      <c r="AQ127" s="104" t="n"/>
      <c r="AR127" s="104" t="n"/>
      <c r="AS127" s="104" t="n"/>
      <c r="AT127" s="104" t="n"/>
      <c r="AU127" s="104" t="n"/>
      <c r="AV127" s="104" t="n"/>
      <c r="AW127" s="104" t="n"/>
      <c r="AX127" s="104" t="n"/>
      <c r="AY127" s="104" t="n"/>
      <c r="AZ127" s="104" t="n"/>
      <c r="BA127" s="104" t="n"/>
      <c r="BB127" s="104" t="n"/>
      <c r="BC127" s="104" t="n"/>
      <c r="BD127" s="104" t="n"/>
      <c r="BE127" s="104" t="n"/>
      <c r="BF127" s="104" t="n"/>
      <c r="BG127" s="104" t="n"/>
      <c r="BH127" s="104" t="n"/>
      <c r="BI127" s="104" t="n"/>
      <c r="BJ127" s="104" t="n"/>
      <c r="BK127" s="104" t="n"/>
      <c r="BL127" s="104" t="n"/>
      <c r="BM127" s="104" t="n"/>
      <c r="BN127" s="104" t="n"/>
      <c r="BO127" s="104" t="n"/>
      <c r="BP127" s="104" t="n"/>
      <c r="BQ127" s="104" t="n"/>
      <c r="BR127" s="104" t="n"/>
      <c r="BS127" s="104" t="n"/>
      <c r="BT127" s="104" t="n"/>
      <c r="BU127" s="104" t="n"/>
      <c r="BV127" s="104" t="n"/>
      <c r="BW127" s="104" t="n"/>
      <c r="BX127" s="104" t="n"/>
    </row>
    <row r="128">
      <c r="B128" s="64" t="n"/>
      <c r="C128" s="104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4" t="n"/>
      <c r="AH128" s="104" t="n"/>
      <c r="AI128" s="104" t="n"/>
      <c r="AJ128" s="104" t="n"/>
      <c r="AK128" s="104" t="n"/>
      <c r="AL128" s="104" t="n"/>
      <c r="AM128" s="104" t="n"/>
      <c r="AN128" s="104" t="n"/>
      <c r="AO128" s="104" t="n"/>
      <c r="AP128" s="104" t="n"/>
      <c r="AQ128" s="104" t="n"/>
      <c r="AR128" s="104" t="n"/>
      <c r="AS128" s="104" t="n"/>
      <c r="AT128" s="104" t="n"/>
      <c r="AU128" s="104" t="n"/>
      <c r="AV128" s="104" t="n"/>
      <c r="AW128" s="104" t="n"/>
      <c r="AX128" s="104" t="n"/>
      <c r="AY128" s="104" t="n"/>
      <c r="AZ128" s="104" t="n"/>
      <c r="BA128" s="104" t="n"/>
      <c r="BB128" s="104" t="n"/>
      <c r="BC128" s="104" t="n"/>
      <c r="BD128" s="104" t="n"/>
      <c r="BE128" s="104" t="n"/>
      <c r="BF128" s="104" t="n"/>
      <c r="BG128" s="104" t="n"/>
      <c r="BH128" s="104" t="n"/>
      <c r="BI128" s="104" t="n"/>
      <c r="BJ128" s="104" t="n"/>
      <c r="BK128" s="104" t="n"/>
      <c r="BL128" s="104" t="n"/>
      <c r="BM128" s="104" t="n"/>
      <c r="BN128" s="104" t="n"/>
      <c r="BO128" s="104" t="n"/>
      <c r="BP128" s="104" t="n"/>
      <c r="BQ128" s="104" t="n"/>
      <c r="BR128" s="104" t="n"/>
      <c r="BS128" s="104" t="n"/>
      <c r="BT128" s="104" t="n"/>
      <c r="BU128" s="104" t="n"/>
      <c r="BV128" s="104" t="n"/>
      <c r="BW128" s="104" t="n"/>
      <c r="BX128" s="104" t="n"/>
    </row>
    <row r="129">
      <c r="B129" s="64" t="n"/>
      <c r="C129" s="104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4" t="n"/>
      <c r="AH129" s="104" t="n"/>
      <c r="AI129" s="104" t="n"/>
      <c r="AJ129" s="104" t="n"/>
      <c r="AK129" s="104" t="n"/>
      <c r="AL129" s="104" t="n"/>
      <c r="AM129" s="104" t="n"/>
      <c r="AN129" s="104" t="n"/>
      <c r="AO129" s="104" t="n"/>
      <c r="AP129" s="104" t="n"/>
      <c r="AQ129" s="104" t="n"/>
      <c r="AR129" s="104" t="n"/>
      <c r="AS129" s="104" t="n"/>
      <c r="AT129" s="104" t="n"/>
      <c r="AU129" s="104" t="n"/>
      <c r="AV129" s="104" t="n"/>
      <c r="AW129" s="104" t="n"/>
      <c r="AX129" s="104" t="n"/>
      <c r="AY129" s="104" t="n"/>
      <c r="AZ129" s="104" t="n"/>
      <c r="BA129" s="104" t="n"/>
      <c r="BB129" s="104" t="n"/>
      <c r="BC129" s="104" t="n"/>
      <c r="BD129" s="104" t="n"/>
      <c r="BE129" s="104" t="n"/>
      <c r="BF129" s="104" t="n"/>
      <c r="BG129" s="104" t="n"/>
      <c r="BH129" s="104" t="n"/>
      <c r="BI129" s="104" t="n"/>
      <c r="BJ129" s="104" t="n"/>
      <c r="BK129" s="104" t="n"/>
      <c r="BL129" s="104" t="n"/>
      <c r="BM129" s="104" t="n"/>
      <c r="BN129" s="104" t="n"/>
      <c r="BO129" s="104" t="n"/>
      <c r="BP129" s="104" t="n"/>
      <c r="BQ129" s="104" t="n"/>
      <c r="BR129" s="104" t="n"/>
      <c r="BS129" s="104" t="n"/>
      <c r="BT129" s="104" t="n"/>
      <c r="BU129" s="104" t="n"/>
      <c r="BV129" s="104" t="n"/>
      <c r="BW129" s="104" t="n"/>
      <c r="BX129" s="104" t="n"/>
    </row>
    <row r="130">
      <c r="B130" s="64" t="n"/>
      <c r="C130" s="104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4" t="n"/>
      <c r="AH130" s="104" t="n"/>
      <c r="AI130" s="104" t="n"/>
      <c r="AJ130" s="104" t="n"/>
      <c r="AK130" s="104" t="n"/>
      <c r="AL130" s="104" t="n"/>
      <c r="AM130" s="104" t="n"/>
      <c r="AN130" s="104" t="n"/>
      <c r="AO130" s="104" t="n"/>
      <c r="AP130" s="104" t="n"/>
      <c r="AQ130" s="104" t="n"/>
      <c r="AR130" s="104" t="n"/>
      <c r="AS130" s="104" t="n"/>
      <c r="AT130" s="104" t="n"/>
      <c r="AU130" s="104" t="n"/>
      <c r="AV130" s="104" t="n"/>
      <c r="AW130" s="104" t="n"/>
      <c r="AX130" s="104" t="n"/>
      <c r="AY130" s="104" t="n"/>
      <c r="AZ130" s="104" t="n"/>
      <c r="BA130" s="104" t="n"/>
      <c r="BB130" s="104" t="n"/>
      <c r="BC130" s="104" t="n"/>
      <c r="BD130" s="104" t="n"/>
      <c r="BE130" s="104" t="n"/>
      <c r="BF130" s="104" t="n"/>
      <c r="BG130" s="104" t="n"/>
      <c r="BH130" s="104" t="n"/>
      <c r="BI130" s="104" t="n"/>
      <c r="BJ130" s="104" t="n"/>
      <c r="BK130" s="104" t="n"/>
      <c r="BL130" s="104" t="n"/>
      <c r="BM130" s="104" t="n"/>
      <c r="BN130" s="104" t="n"/>
      <c r="BO130" s="104" t="n"/>
      <c r="BP130" s="104" t="n"/>
      <c r="BQ130" s="104" t="n"/>
      <c r="BR130" s="104" t="n"/>
      <c r="BS130" s="104" t="n"/>
      <c r="BT130" s="104" t="n"/>
      <c r="BU130" s="104" t="n"/>
      <c r="BV130" s="104" t="n"/>
      <c r="BW130" s="104" t="n"/>
      <c r="BX130" s="104" t="n"/>
    </row>
    <row r="131">
      <c r="B131" s="64" t="n"/>
      <c r="C131" s="104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G131" s="104" t="n"/>
      <c r="AH131" s="104" t="n"/>
      <c r="AI131" s="104" t="n"/>
      <c r="AJ131" s="104" t="n"/>
      <c r="AK131" s="104" t="n"/>
      <c r="AL131" s="104" t="n"/>
      <c r="AM131" s="104" t="n"/>
      <c r="AN131" s="104" t="n"/>
      <c r="AO131" s="104" t="n"/>
      <c r="AP131" s="104" t="n"/>
      <c r="AQ131" s="104" t="n"/>
      <c r="AR131" s="104" t="n"/>
      <c r="AS131" s="104" t="n"/>
      <c r="AT131" s="104" t="n"/>
      <c r="AU131" s="104" t="n"/>
      <c r="AV131" s="104" t="n"/>
      <c r="AW131" s="104" t="n"/>
      <c r="AX131" s="104" t="n"/>
      <c r="AY131" s="104" t="n"/>
      <c r="AZ131" s="104" t="n"/>
      <c r="BA131" s="104" t="n"/>
      <c r="BB131" s="104" t="n"/>
      <c r="BC131" s="104" t="n"/>
      <c r="BD131" s="104" t="n"/>
      <c r="BE131" s="104" t="n"/>
      <c r="BF131" s="104" t="n"/>
      <c r="BG131" s="104" t="n"/>
      <c r="BH131" s="104" t="n"/>
      <c r="BI131" s="104" t="n"/>
      <c r="BJ131" s="104" t="n"/>
      <c r="BK131" s="104" t="n"/>
      <c r="BL131" s="104" t="n"/>
      <c r="BM131" s="104" t="n"/>
      <c r="BN131" s="104" t="n"/>
      <c r="BO131" s="104" t="n"/>
      <c r="BP131" s="104" t="n"/>
      <c r="BQ131" s="104" t="n"/>
      <c r="BR131" s="104" t="n"/>
      <c r="BS131" s="104" t="n"/>
      <c r="BT131" s="104" t="n"/>
      <c r="BU131" s="104" t="n"/>
      <c r="BV131" s="104" t="n"/>
      <c r="BW131" s="104" t="n"/>
      <c r="BX131" s="104" t="n"/>
    </row>
    <row r="132">
      <c r="B132" s="64" t="n"/>
      <c r="C132" s="104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4" t="n"/>
      <c r="AH132" s="104" t="n"/>
      <c r="AI132" s="104" t="n"/>
      <c r="AJ132" s="104" t="n"/>
      <c r="AK132" s="104" t="n"/>
      <c r="AL132" s="104" t="n"/>
      <c r="AM132" s="104" t="n"/>
      <c r="AN132" s="104" t="n"/>
      <c r="AO132" s="104" t="n"/>
      <c r="AP132" s="104" t="n"/>
      <c r="AQ132" s="104" t="n"/>
      <c r="AR132" s="104" t="n"/>
      <c r="AS132" s="104" t="n"/>
      <c r="AT132" s="104" t="n"/>
      <c r="AU132" s="104" t="n"/>
      <c r="AV132" s="104" t="n"/>
      <c r="AW132" s="104" t="n"/>
      <c r="AX132" s="104" t="n"/>
      <c r="AY132" s="104" t="n"/>
      <c r="AZ132" s="104" t="n"/>
      <c r="BA132" s="104" t="n"/>
      <c r="BB132" s="104" t="n"/>
      <c r="BC132" s="104" t="n"/>
      <c r="BD132" s="104" t="n"/>
      <c r="BE132" s="104" t="n"/>
      <c r="BF132" s="104" t="n"/>
      <c r="BG132" s="104" t="n"/>
      <c r="BH132" s="104" t="n"/>
      <c r="BI132" s="104" t="n"/>
      <c r="BJ132" s="104" t="n"/>
      <c r="BK132" s="104" t="n"/>
      <c r="BL132" s="104" t="n"/>
      <c r="BM132" s="104" t="n"/>
      <c r="BN132" s="104" t="n"/>
      <c r="BO132" s="104" t="n"/>
      <c r="BP132" s="104" t="n"/>
      <c r="BQ132" s="104" t="n"/>
      <c r="BR132" s="104" t="n"/>
      <c r="BS132" s="104" t="n"/>
      <c r="BT132" s="104" t="n"/>
      <c r="BU132" s="104" t="n"/>
      <c r="BV132" s="104" t="n"/>
      <c r="BW132" s="104" t="n"/>
      <c r="BX132" s="104" t="n"/>
    </row>
    <row r="133">
      <c r="B133" s="64" t="n"/>
      <c r="C133" s="104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4" t="n"/>
      <c r="AH133" s="104" t="n"/>
      <c r="AI133" s="104" t="n"/>
      <c r="AJ133" s="104" t="n"/>
      <c r="AK133" s="104" t="n"/>
      <c r="AL133" s="104" t="n"/>
      <c r="AM133" s="104" t="n"/>
      <c r="AN133" s="104" t="n"/>
      <c r="AO133" s="104" t="n"/>
      <c r="AP133" s="104" t="n"/>
      <c r="AQ133" s="104" t="n"/>
      <c r="AR133" s="104" t="n"/>
      <c r="AS133" s="104" t="n"/>
      <c r="AT133" s="104" t="n"/>
      <c r="AU133" s="104" t="n"/>
      <c r="AV133" s="104" t="n"/>
      <c r="AW133" s="104" t="n"/>
      <c r="AX133" s="104" t="n"/>
      <c r="AY133" s="104" t="n"/>
      <c r="AZ133" s="104" t="n"/>
      <c r="BA133" s="104" t="n"/>
      <c r="BB133" s="104" t="n"/>
      <c r="BC133" s="104" t="n"/>
      <c r="BD133" s="104" t="n"/>
      <c r="BE133" s="104" t="n"/>
      <c r="BF133" s="104" t="n"/>
      <c r="BG133" s="104" t="n"/>
      <c r="BH133" s="104" t="n"/>
      <c r="BI133" s="104" t="n"/>
      <c r="BJ133" s="104" t="n"/>
      <c r="BK133" s="104" t="n"/>
      <c r="BL133" s="104" t="n"/>
      <c r="BM133" s="104" t="n"/>
      <c r="BN133" s="104" t="n"/>
      <c r="BO133" s="104" t="n"/>
      <c r="BP133" s="104" t="n"/>
      <c r="BQ133" s="104" t="n"/>
      <c r="BR133" s="104" t="n"/>
      <c r="BS133" s="104" t="n"/>
      <c r="BT133" s="104" t="n"/>
      <c r="BU133" s="104" t="n"/>
      <c r="BV133" s="104" t="n"/>
      <c r="BW133" s="104" t="n"/>
      <c r="BX133" s="104" t="n"/>
    </row>
    <row r="134">
      <c r="B134" s="64" t="n"/>
      <c r="C134" s="104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04" t="n"/>
      <c r="AG134" s="104" t="n"/>
      <c r="AH134" s="104" t="n"/>
      <c r="AI134" s="104" t="n"/>
      <c r="AJ134" s="104" t="n"/>
      <c r="AK134" s="104" t="n"/>
      <c r="AL134" s="104" t="n"/>
      <c r="AM134" s="104" t="n"/>
      <c r="AN134" s="104" t="n"/>
      <c r="AO134" s="104" t="n"/>
      <c r="AP134" s="104" t="n"/>
      <c r="AQ134" s="104" t="n"/>
      <c r="AR134" s="104" t="n"/>
      <c r="AS134" s="104" t="n"/>
      <c r="AT134" s="104" t="n"/>
      <c r="AU134" s="104" t="n"/>
      <c r="AV134" s="104" t="n"/>
      <c r="AW134" s="104" t="n"/>
      <c r="AX134" s="104" t="n"/>
      <c r="AY134" s="104" t="n"/>
      <c r="AZ134" s="104" t="n"/>
      <c r="BA134" s="104" t="n"/>
      <c r="BB134" s="104" t="n"/>
      <c r="BC134" s="104" t="n"/>
      <c r="BD134" s="104" t="n"/>
      <c r="BE134" s="104" t="n"/>
      <c r="BF134" s="104" t="n"/>
      <c r="BG134" s="104" t="n"/>
      <c r="BH134" s="104" t="n"/>
      <c r="BI134" s="104" t="n"/>
      <c r="BJ134" s="104" t="n"/>
      <c r="BK134" s="104" t="n"/>
      <c r="BL134" s="104" t="n"/>
      <c r="BM134" s="104" t="n"/>
      <c r="BN134" s="104" t="n"/>
      <c r="BO134" s="104" t="n"/>
      <c r="BP134" s="104" t="n"/>
      <c r="BQ134" s="104" t="n"/>
      <c r="BR134" s="104" t="n"/>
      <c r="BS134" s="104" t="n"/>
      <c r="BT134" s="104" t="n"/>
      <c r="BU134" s="104" t="n"/>
      <c r="BV134" s="104" t="n"/>
      <c r="BW134" s="104" t="n"/>
      <c r="BX134" s="104" t="n"/>
    </row>
    <row r="135">
      <c r="B135" s="64" t="n"/>
      <c r="C135" s="104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4" t="n"/>
      <c r="AH135" s="104" t="n"/>
      <c r="AI135" s="104" t="n"/>
      <c r="AJ135" s="104" t="n"/>
      <c r="AK135" s="104" t="n"/>
      <c r="AL135" s="104" t="n"/>
      <c r="AM135" s="104" t="n"/>
      <c r="AN135" s="104" t="n"/>
      <c r="AO135" s="104" t="n"/>
      <c r="AP135" s="104" t="n"/>
      <c r="AQ135" s="104" t="n"/>
      <c r="AR135" s="104" t="n"/>
      <c r="AS135" s="104" t="n"/>
      <c r="AT135" s="104" t="n"/>
      <c r="AU135" s="104" t="n"/>
      <c r="AV135" s="104" t="n"/>
      <c r="AW135" s="104" t="n"/>
      <c r="AX135" s="104" t="n"/>
      <c r="AY135" s="104" t="n"/>
      <c r="AZ135" s="104" t="n"/>
      <c r="BA135" s="104" t="n"/>
      <c r="BB135" s="104" t="n"/>
      <c r="BC135" s="104" t="n"/>
      <c r="BD135" s="104" t="n"/>
      <c r="BE135" s="104" t="n"/>
      <c r="BF135" s="104" t="n"/>
      <c r="BG135" s="104" t="n"/>
      <c r="BH135" s="104" t="n"/>
      <c r="BI135" s="104" t="n"/>
      <c r="BJ135" s="104" t="n"/>
      <c r="BK135" s="104" t="n"/>
      <c r="BL135" s="104" t="n"/>
      <c r="BM135" s="104" t="n"/>
      <c r="BN135" s="104" t="n"/>
      <c r="BO135" s="104" t="n"/>
      <c r="BP135" s="104" t="n"/>
      <c r="BQ135" s="104" t="n"/>
      <c r="BR135" s="104" t="n"/>
      <c r="BS135" s="104" t="n"/>
      <c r="BT135" s="104" t="n"/>
      <c r="BU135" s="104" t="n"/>
      <c r="BV135" s="104" t="n"/>
      <c r="BW135" s="104" t="n"/>
      <c r="BX135" s="104" t="n"/>
    </row>
    <row r="136">
      <c r="B136" s="64" t="n"/>
      <c r="C136" s="104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G136" s="104" t="n"/>
      <c r="AH136" s="104" t="n"/>
      <c r="AI136" s="104" t="n"/>
      <c r="AJ136" s="104" t="n"/>
      <c r="AK136" s="104" t="n"/>
      <c r="AL136" s="104" t="n"/>
      <c r="AM136" s="104" t="n"/>
      <c r="AN136" s="104" t="n"/>
      <c r="AO136" s="104" t="n"/>
      <c r="AP136" s="104" t="n"/>
      <c r="AQ136" s="104" t="n"/>
      <c r="AR136" s="104" t="n"/>
      <c r="AS136" s="104" t="n"/>
      <c r="AT136" s="104" t="n"/>
      <c r="AU136" s="104" t="n"/>
      <c r="AV136" s="104" t="n"/>
      <c r="AW136" s="104" t="n"/>
      <c r="AX136" s="104" t="n"/>
      <c r="AY136" s="104" t="n"/>
      <c r="AZ136" s="104" t="n"/>
      <c r="BA136" s="104" t="n"/>
      <c r="BB136" s="104" t="n"/>
      <c r="BC136" s="104" t="n"/>
      <c r="BD136" s="104" t="n"/>
      <c r="BE136" s="104" t="n"/>
      <c r="BF136" s="104" t="n"/>
      <c r="BG136" s="104" t="n"/>
      <c r="BH136" s="104" t="n"/>
      <c r="BI136" s="104" t="n"/>
      <c r="BJ136" s="104" t="n"/>
      <c r="BK136" s="104" t="n"/>
      <c r="BL136" s="104" t="n"/>
      <c r="BM136" s="104" t="n"/>
      <c r="BN136" s="104" t="n"/>
      <c r="BO136" s="104" t="n"/>
      <c r="BP136" s="104" t="n"/>
      <c r="BQ136" s="104" t="n"/>
      <c r="BR136" s="104" t="n"/>
      <c r="BS136" s="104" t="n"/>
      <c r="BT136" s="104" t="n"/>
      <c r="BU136" s="104" t="n"/>
      <c r="BV136" s="104" t="n"/>
      <c r="BW136" s="104" t="n"/>
      <c r="BX136" s="104" t="n"/>
    </row>
    <row r="137">
      <c r="B137" s="64" t="n"/>
      <c r="C137" s="104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4" t="n"/>
      <c r="AH137" s="104" t="n"/>
      <c r="AI137" s="104" t="n"/>
      <c r="AJ137" s="104" t="n"/>
      <c r="AK137" s="104" t="n"/>
      <c r="AL137" s="104" t="n"/>
      <c r="AM137" s="104" t="n"/>
      <c r="AN137" s="104" t="n"/>
      <c r="AO137" s="104" t="n"/>
      <c r="AP137" s="104" t="n"/>
      <c r="AQ137" s="104" t="n"/>
      <c r="AR137" s="104" t="n"/>
      <c r="AS137" s="104" t="n"/>
      <c r="AT137" s="104" t="n"/>
      <c r="AU137" s="104" t="n"/>
      <c r="AV137" s="104" t="n"/>
      <c r="AW137" s="104" t="n"/>
      <c r="AX137" s="104" t="n"/>
      <c r="AY137" s="104" t="n"/>
      <c r="AZ137" s="104" t="n"/>
      <c r="BA137" s="104" t="n"/>
      <c r="BB137" s="104" t="n"/>
      <c r="BC137" s="104" t="n"/>
      <c r="BD137" s="104" t="n"/>
      <c r="BE137" s="104" t="n"/>
      <c r="BF137" s="104" t="n"/>
      <c r="BG137" s="104" t="n"/>
      <c r="BH137" s="104" t="n"/>
      <c r="BI137" s="104" t="n"/>
      <c r="BJ137" s="104" t="n"/>
      <c r="BK137" s="104" t="n"/>
      <c r="BL137" s="104" t="n"/>
      <c r="BM137" s="104" t="n"/>
      <c r="BN137" s="104" t="n"/>
      <c r="BO137" s="104" t="n"/>
      <c r="BP137" s="104" t="n"/>
      <c r="BQ137" s="104" t="n"/>
      <c r="BR137" s="104" t="n"/>
      <c r="BS137" s="104" t="n"/>
      <c r="BT137" s="104" t="n"/>
      <c r="BU137" s="104" t="n"/>
      <c r="BV137" s="104" t="n"/>
      <c r="BW137" s="104" t="n"/>
      <c r="BX137" s="104" t="n"/>
    </row>
    <row r="138">
      <c r="B138" s="64" t="n"/>
      <c r="C138" s="104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4" t="n"/>
      <c r="AH138" s="104" t="n"/>
      <c r="AI138" s="104" t="n"/>
      <c r="AJ138" s="104" t="n"/>
      <c r="AK138" s="104" t="n"/>
      <c r="AL138" s="104" t="n"/>
      <c r="AM138" s="104" t="n"/>
      <c r="AN138" s="104" t="n"/>
      <c r="AO138" s="104" t="n"/>
      <c r="AP138" s="104" t="n"/>
      <c r="AQ138" s="104" t="n"/>
      <c r="AR138" s="104" t="n"/>
      <c r="AS138" s="104" t="n"/>
      <c r="AT138" s="104" t="n"/>
      <c r="AU138" s="104" t="n"/>
      <c r="AV138" s="104" t="n"/>
      <c r="AW138" s="104" t="n"/>
      <c r="AX138" s="104" t="n"/>
      <c r="AY138" s="104" t="n"/>
      <c r="AZ138" s="104" t="n"/>
      <c r="BA138" s="104" t="n"/>
      <c r="BB138" s="104" t="n"/>
      <c r="BC138" s="104" t="n"/>
      <c r="BD138" s="104" t="n"/>
      <c r="BE138" s="104" t="n"/>
      <c r="BF138" s="104" t="n"/>
      <c r="BG138" s="104" t="n"/>
      <c r="BH138" s="104" t="n"/>
      <c r="BI138" s="104" t="n"/>
      <c r="BJ138" s="104" t="n"/>
      <c r="BK138" s="104" t="n"/>
      <c r="BL138" s="104" t="n"/>
      <c r="BM138" s="104" t="n"/>
      <c r="BN138" s="104" t="n"/>
      <c r="BO138" s="104" t="n"/>
      <c r="BP138" s="104" t="n"/>
      <c r="BQ138" s="104" t="n"/>
      <c r="BR138" s="104" t="n"/>
      <c r="BS138" s="104" t="n"/>
      <c r="BT138" s="104" t="n"/>
      <c r="BU138" s="104" t="n"/>
      <c r="BV138" s="104" t="n"/>
      <c r="BW138" s="104" t="n"/>
      <c r="BX138" s="104" t="n"/>
    </row>
    <row r="139">
      <c r="B139" s="64" t="n"/>
      <c r="C139" s="104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G139" s="104" t="n"/>
      <c r="AH139" s="104" t="n"/>
      <c r="AI139" s="104" t="n"/>
      <c r="AJ139" s="104" t="n"/>
      <c r="AK139" s="104" t="n"/>
      <c r="AL139" s="104" t="n"/>
      <c r="AM139" s="104" t="n"/>
      <c r="AN139" s="104" t="n"/>
      <c r="AO139" s="104" t="n"/>
      <c r="AP139" s="104" t="n"/>
      <c r="AQ139" s="104" t="n"/>
      <c r="AR139" s="104" t="n"/>
      <c r="AS139" s="104" t="n"/>
      <c r="AT139" s="104" t="n"/>
      <c r="AU139" s="104" t="n"/>
      <c r="AV139" s="104" t="n"/>
      <c r="AW139" s="104" t="n"/>
      <c r="AX139" s="104" t="n"/>
      <c r="AY139" s="104" t="n"/>
      <c r="AZ139" s="104" t="n"/>
      <c r="BA139" s="104" t="n"/>
      <c r="BB139" s="104" t="n"/>
      <c r="BC139" s="104" t="n"/>
      <c r="BD139" s="104" t="n"/>
      <c r="BE139" s="104" t="n"/>
      <c r="BF139" s="104" t="n"/>
      <c r="BG139" s="104" t="n"/>
      <c r="BH139" s="104" t="n"/>
      <c r="BI139" s="104" t="n"/>
      <c r="BJ139" s="104" t="n"/>
      <c r="BK139" s="104" t="n"/>
      <c r="BL139" s="104" t="n"/>
      <c r="BM139" s="104" t="n"/>
      <c r="BN139" s="104" t="n"/>
      <c r="BO139" s="104" t="n"/>
      <c r="BP139" s="104" t="n"/>
      <c r="BQ139" s="104" t="n"/>
      <c r="BR139" s="104" t="n"/>
      <c r="BS139" s="104" t="n"/>
      <c r="BT139" s="104" t="n"/>
      <c r="BU139" s="104" t="n"/>
      <c r="BV139" s="104" t="n"/>
      <c r="BW139" s="104" t="n"/>
      <c r="BX139" s="104" t="n"/>
    </row>
    <row r="140">
      <c r="B140" s="64" t="n"/>
      <c r="C140" s="104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4" t="n"/>
      <c r="AH140" s="104" t="n"/>
      <c r="AI140" s="104" t="n"/>
      <c r="AJ140" s="104" t="n"/>
      <c r="AK140" s="104" t="n"/>
      <c r="AL140" s="104" t="n"/>
      <c r="AM140" s="104" t="n"/>
      <c r="AN140" s="104" t="n"/>
      <c r="AO140" s="104" t="n"/>
      <c r="AP140" s="104" t="n"/>
      <c r="AQ140" s="104" t="n"/>
      <c r="AR140" s="104" t="n"/>
      <c r="AS140" s="104" t="n"/>
      <c r="AT140" s="104" t="n"/>
      <c r="AU140" s="104" t="n"/>
      <c r="AV140" s="104" t="n"/>
      <c r="AW140" s="104" t="n"/>
      <c r="AX140" s="104" t="n"/>
      <c r="AY140" s="104" t="n"/>
      <c r="AZ140" s="104" t="n"/>
      <c r="BA140" s="104" t="n"/>
      <c r="BB140" s="104" t="n"/>
      <c r="BC140" s="104" t="n"/>
      <c r="BD140" s="104" t="n"/>
      <c r="BE140" s="104" t="n"/>
      <c r="BF140" s="104" t="n"/>
      <c r="BG140" s="104" t="n"/>
      <c r="BH140" s="104" t="n"/>
      <c r="BI140" s="104" t="n"/>
      <c r="BJ140" s="104" t="n"/>
      <c r="BK140" s="104" t="n"/>
      <c r="BL140" s="104" t="n"/>
      <c r="BM140" s="104" t="n"/>
      <c r="BN140" s="104" t="n"/>
      <c r="BO140" s="104" t="n"/>
      <c r="BP140" s="104" t="n"/>
      <c r="BQ140" s="104" t="n"/>
      <c r="BR140" s="104" t="n"/>
      <c r="BS140" s="104" t="n"/>
      <c r="BT140" s="104" t="n"/>
      <c r="BU140" s="104" t="n"/>
      <c r="BV140" s="104" t="n"/>
      <c r="BW140" s="104" t="n"/>
      <c r="BX140" s="104" t="n"/>
    </row>
    <row r="141">
      <c r="B141" s="64" t="n"/>
      <c r="C141" s="104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4" t="n"/>
      <c r="AH141" s="104" t="n"/>
      <c r="AI141" s="104" t="n"/>
      <c r="AJ141" s="104" t="n"/>
      <c r="AK141" s="104" t="n"/>
      <c r="AL141" s="104" t="n"/>
      <c r="AM141" s="104" t="n"/>
      <c r="AN141" s="104" t="n"/>
      <c r="AO141" s="104" t="n"/>
      <c r="AP141" s="104" t="n"/>
      <c r="AQ141" s="104" t="n"/>
      <c r="AR141" s="104" t="n"/>
      <c r="AS141" s="104" t="n"/>
      <c r="AT141" s="104" t="n"/>
      <c r="AU141" s="104" t="n"/>
      <c r="AV141" s="104" t="n"/>
      <c r="AW141" s="104" t="n"/>
      <c r="AX141" s="104" t="n"/>
      <c r="AY141" s="104" t="n"/>
      <c r="AZ141" s="104" t="n"/>
      <c r="BA141" s="104" t="n"/>
      <c r="BB141" s="104" t="n"/>
      <c r="BC141" s="104" t="n"/>
      <c r="BD141" s="104" t="n"/>
      <c r="BE141" s="104" t="n"/>
      <c r="BF141" s="104" t="n"/>
      <c r="BG141" s="104" t="n"/>
      <c r="BH141" s="104" t="n"/>
      <c r="BI141" s="104" t="n"/>
      <c r="BJ141" s="104" t="n"/>
      <c r="BK141" s="104" t="n"/>
      <c r="BL141" s="104" t="n"/>
      <c r="BM141" s="104" t="n"/>
      <c r="BN141" s="104" t="n"/>
      <c r="BO141" s="104" t="n"/>
      <c r="BP141" s="104" t="n"/>
      <c r="BQ141" s="104" t="n"/>
      <c r="BR141" s="104" t="n"/>
      <c r="BS141" s="104" t="n"/>
      <c r="BT141" s="104" t="n"/>
      <c r="BU141" s="104" t="n"/>
      <c r="BV141" s="104" t="n"/>
      <c r="BW141" s="104" t="n"/>
      <c r="BX141" s="104" t="n"/>
    </row>
    <row r="142">
      <c r="B142" s="64" t="n"/>
      <c r="C142" s="104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4" t="n"/>
      <c r="AH142" s="104" t="n"/>
      <c r="AI142" s="104" t="n"/>
      <c r="AJ142" s="104" t="n"/>
      <c r="AK142" s="104" t="n"/>
      <c r="AL142" s="104" t="n"/>
      <c r="AM142" s="104" t="n"/>
      <c r="AN142" s="104" t="n"/>
      <c r="AO142" s="104" t="n"/>
      <c r="AP142" s="104" t="n"/>
      <c r="AQ142" s="104" t="n"/>
      <c r="AR142" s="104" t="n"/>
      <c r="AS142" s="104" t="n"/>
      <c r="AT142" s="104" t="n"/>
      <c r="AU142" s="104" t="n"/>
      <c r="AV142" s="104" t="n"/>
      <c r="AW142" s="104" t="n"/>
      <c r="AX142" s="104" t="n"/>
      <c r="AY142" s="104" t="n"/>
      <c r="AZ142" s="104" t="n"/>
      <c r="BA142" s="104" t="n"/>
      <c r="BB142" s="104" t="n"/>
      <c r="BC142" s="104" t="n"/>
      <c r="BD142" s="104" t="n"/>
      <c r="BE142" s="104" t="n"/>
      <c r="BF142" s="104" t="n"/>
      <c r="BG142" s="104" t="n"/>
      <c r="BH142" s="104" t="n"/>
      <c r="BI142" s="104" t="n"/>
      <c r="BJ142" s="104" t="n"/>
      <c r="BK142" s="104" t="n"/>
      <c r="BL142" s="104" t="n"/>
      <c r="BM142" s="104" t="n"/>
      <c r="BN142" s="104" t="n"/>
      <c r="BO142" s="104" t="n"/>
      <c r="BP142" s="104" t="n"/>
      <c r="BQ142" s="104" t="n"/>
      <c r="BR142" s="104" t="n"/>
      <c r="BS142" s="104" t="n"/>
      <c r="BT142" s="104" t="n"/>
      <c r="BU142" s="104" t="n"/>
      <c r="BV142" s="104" t="n"/>
      <c r="BW142" s="104" t="n"/>
      <c r="BX142" s="104" t="n"/>
    </row>
    <row r="143">
      <c r="B143" s="64" t="n"/>
      <c r="C143" s="104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4" t="n"/>
      <c r="AH143" s="104" t="n"/>
      <c r="AI143" s="104" t="n"/>
      <c r="AJ143" s="104" t="n"/>
      <c r="AK143" s="104" t="n"/>
      <c r="AL143" s="104" t="n"/>
      <c r="AM143" s="104" t="n"/>
      <c r="AN143" s="104" t="n"/>
      <c r="AO143" s="104" t="n"/>
      <c r="AP143" s="104" t="n"/>
      <c r="AQ143" s="104" t="n"/>
      <c r="AR143" s="104" t="n"/>
      <c r="AS143" s="104" t="n"/>
      <c r="AT143" s="104" t="n"/>
      <c r="AU143" s="104" t="n"/>
      <c r="AV143" s="104" t="n"/>
      <c r="AW143" s="104" t="n"/>
      <c r="AX143" s="104" t="n"/>
      <c r="AY143" s="104" t="n"/>
      <c r="AZ143" s="104" t="n"/>
      <c r="BA143" s="104" t="n"/>
      <c r="BB143" s="104" t="n"/>
      <c r="BC143" s="104" t="n"/>
      <c r="BD143" s="104" t="n"/>
      <c r="BE143" s="104" t="n"/>
      <c r="BF143" s="104" t="n"/>
      <c r="BG143" s="104" t="n"/>
      <c r="BH143" s="104" t="n"/>
      <c r="BI143" s="104" t="n"/>
      <c r="BJ143" s="104" t="n"/>
      <c r="BK143" s="104" t="n"/>
      <c r="BL143" s="104" t="n"/>
      <c r="BM143" s="104" t="n"/>
      <c r="BN143" s="104" t="n"/>
      <c r="BO143" s="104" t="n"/>
      <c r="BP143" s="104" t="n"/>
      <c r="BQ143" s="104" t="n"/>
      <c r="BR143" s="104" t="n"/>
      <c r="BS143" s="104" t="n"/>
      <c r="BT143" s="104" t="n"/>
      <c r="BU143" s="104" t="n"/>
      <c r="BV143" s="104" t="n"/>
      <c r="BW143" s="104" t="n"/>
      <c r="BX143" s="104" t="n"/>
    </row>
    <row r="144">
      <c r="B144" s="64" t="n"/>
      <c r="C144" s="104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G144" s="104" t="n"/>
      <c r="AH144" s="104" t="n"/>
      <c r="AI144" s="104" t="n"/>
      <c r="AJ144" s="104" t="n"/>
      <c r="AK144" s="104" t="n"/>
      <c r="AL144" s="104" t="n"/>
      <c r="AM144" s="104" t="n"/>
      <c r="AN144" s="104" t="n"/>
      <c r="AO144" s="104" t="n"/>
      <c r="AP144" s="104" t="n"/>
      <c r="AQ144" s="104" t="n"/>
      <c r="AR144" s="104" t="n"/>
      <c r="AS144" s="104" t="n"/>
      <c r="AT144" s="104" t="n"/>
      <c r="AU144" s="104" t="n"/>
      <c r="AV144" s="104" t="n"/>
      <c r="AW144" s="104" t="n"/>
      <c r="AX144" s="104" t="n"/>
      <c r="AY144" s="104" t="n"/>
      <c r="AZ144" s="104" t="n"/>
      <c r="BA144" s="104" t="n"/>
      <c r="BB144" s="104" t="n"/>
      <c r="BC144" s="104" t="n"/>
      <c r="BD144" s="104" t="n"/>
      <c r="BE144" s="104" t="n"/>
      <c r="BF144" s="104" t="n"/>
      <c r="BG144" s="104" t="n"/>
      <c r="BH144" s="104" t="n"/>
      <c r="BI144" s="104" t="n"/>
      <c r="BJ144" s="104" t="n"/>
      <c r="BK144" s="104" t="n"/>
      <c r="BL144" s="104" t="n"/>
      <c r="BM144" s="104" t="n"/>
      <c r="BN144" s="104" t="n"/>
      <c r="BO144" s="104" t="n"/>
      <c r="BP144" s="104" t="n"/>
      <c r="BQ144" s="104" t="n"/>
      <c r="BR144" s="104" t="n"/>
      <c r="BS144" s="104" t="n"/>
      <c r="BT144" s="104" t="n"/>
      <c r="BU144" s="104" t="n"/>
      <c r="BV144" s="104" t="n"/>
      <c r="BW144" s="104" t="n"/>
      <c r="BX144" s="104" t="n"/>
    </row>
    <row r="145">
      <c r="B145" s="64" t="n"/>
      <c r="C145" s="104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4" t="n"/>
      <c r="AH145" s="104" t="n"/>
      <c r="AI145" s="104" t="n"/>
      <c r="AJ145" s="104" t="n"/>
      <c r="AK145" s="104" t="n"/>
      <c r="AL145" s="104" t="n"/>
      <c r="AM145" s="104" t="n"/>
      <c r="AN145" s="104" t="n"/>
      <c r="AO145" s="104" t="n"/>
      <c r="AP145" s="104" t="n"/>
      <c r="AQ145" s="104" t="n"/>
      <c r="AR145" s="104" t="n"/>
      <c r="AS145" s="104" t="n"/>
      <c r="AT145" s="104" t="n"/>
      <c r="AU145" s="104" t="n"/>
      <c r="AV145" s="104" t="n"/>
      <c r="AW145" s="104" t="n"/>
      <c r="AX145" s="104" t="n"/>
      <c r="AY145" s="104" t="n"/>
      <c r="AZ145" s="104" t="n"/>
      <c r="BA145" s="104" t="n"/>
      <c r="BB145" s="104" t="n"/>
      <c r="BC145" s="104" t="n"/>
      <c r="BD145" s="104" t="n"/>
      <c r="BE145" s="104" t="n"/>
      <c r="BF145" s="104" t="n"/>
      <c r="BG145" s="104" t="n"/>
      <c r="BH145" s="104" t="n"/>
      <c r="BI145" s="104" t="n"/>
      <c r="BJ145" s="104" t="n"/>
      <c r="BK145" s="104" t="n"/>
      <c r="BL145" s="104" t="n"/>
      <c r="BM145" s="104" t="n"/>
      <c r="BN145" s="104" t="n"/>
      <c r="BO145" s="104" t="n"/>
      <c r="BP145" s="104" t="n"/>
      <c r="BQ145" s="104" t="n"/>
      <c r="BR145" s="104" t="n"/>
      <c r="BS145" s="104" t="n"/>
      <c r="BT145" s="104" t="n"/>
      <c r="BU145" s="104" t="n"/>
      <c r="BV145" s="104" t="n"/>
      <c r="BW145" s="104" t="n"/>
      <c r="BX145" s="104" t="n"/>
    </row>
    <row r="146">
      <c r="B146" s="64" t="n"/>
      <c r="C146" s="104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G146" s="104" t="n"/>
      <c r="AH146" s="104" t="n"/>
      <c r="AI146" s="104" t="n"/>
      <c r="AJ146" s="104" t="n"/>
      <c r="AK146" s="104" t="n"/>
      <c r="AL146" s="104" t="n"/>
      <c r="AM146" s="104" t="n"/>
      <c r="AN146" s="104" t="n"/>
      <c r="AO146" s="104" t="n"/>
      <c r="AP146" s="104" t="n"/>
      <c r="AQ146" s="104" t="n"/>
      <c r="AR146" s="104" t="n"/>
      <c r="AS146" s="104" t="n"/>
      <c r="AT146" s="104" t="n"/>
      <c r="AU146" s="104" t="n"/>
      <c r="AV146" s="104" t="n"/>
      <c r="AW146" s="104" t="n"/>
      <c r="AX146" s="104" t="n"/>
      <c r="AY146" s="104" t="n"/>
      <c r="AZ146" s="104" t="n"/>
      <c r="BA146" s="104" t="n"/>
      <c r="BB146" s="104" t="n"/>
      <c r="BC146" s="104" t="n"/>
      <c r="BD146" s="104" t="n"/>
      <c r="BE146" s="104" t="n"/>
      <c r="BF146" s="104" t="n"/>
      <c r="BG146" s="104" t="n"/>
      <c r="BH146" s="104" t="n"/>
      <c r="BI146" s="104" t="n"/>
      <c r="BJ146" s="104" t="n"/>
      <c r="BK146" s="104" t="n"/>
      <c r="BL146" s="104" t="n"/>
      <c r="BM146" s="104" t="n"/>
      <c r="BN146" s="104" t="n"/>
      <c r="BO146" s="104" t="n"/>
      <c r="BP146" s="104" t="n"/>
      <c r="BQ146" s="104" t="n"/>
      <c r="BR146" s="104" t="n"/>
      <c r="BS146" s="104" t="n"/>
      <c r="BT146" s="104" t="n"/>
      <c r="BU146" s="104" t="n"/>
      <c r="BV146" s="104" t="n"/>
      <c r="BW146" s="104" t="n"/>
      <c r="BX146" s="104" t="n"/>
    </row>
    <row r="147">
      <c r="B147" s="64" t="n"/>
      <c r="C147" s="104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G147" s="104" t="n"/>
      <c r="AH147" s="104" t="n"/>
      <c r="AI147" s="104" t="n"/>
      <c r="AJ147" s="104" t="n"/>
      <c r="AK147" s="104" t="n"/>
      <c r="AL147" s="104" t="n"/>
      <c r="AM147" s="104" t="n"/>
      <c r="AN147" s="104" t="n"/>
      <c r="AO147" s="104" t="n"/>
      <c r="AP147" s="104" t="n"/>
      <c r="AQ147" s="104" t="n"/>
      <c r="AR147" s="104" t="n"/>
      <c r="AS147" s="104" t="n"/>
      <c r="AT147" s="104" t="n"/>
      <c r="AU147" s="104" t="n"/>
      <c r="AV147" s="104" t="n"/>
      <c r="AW147" s="104" t="n"/>
      <c r="AX147" s="104" t="n"/>
      <c r="AY147" s="104" t="n"/>
      <c r="AZ147" s="104" t="n"/>
      <c r="BA147" s="104" t="n"/>
      <c r="BB147" s="104" t="n"/>
      <c r="BC147" s="104" t="n"/>
      <c r="BD147" s="104" t="n"/>
      <c r="BE147" s="104" t="n"/>
      <c r="BF147" s="104" t="n"/>
      <c r="BG147" s="104" t="n"/>
      <c r="BH147" s="104" t="n"/>
      <c r="BI147" s="104" t="n"/>
      <c r="BJ147" s="104" t="n"/>
      <c r="BK147" s="104" t="n"/>
      <c r="BL147" s="104" t="n"/>
      <c r="BM147" s="104" t="n"/>
      <c r="BN147" s="104" t="n"/>
      <c r="BO147" s="104" t="n"/>
      <c r="BP147" s="104" t="n"/>
      <c r="BQ147" s="104" t="n"/>
      <c r="BR147" s="104" t="n"/>
      <c r="BS147" s="104" t="n"/>
      <c r="BT147" s="104" t="n"/>
      <c r="BU147" s="104" t="n"/>
      <c r="BV147" s="104" t="n"/>
      <c r="BW147" s="104" t="n"/>
      <c r="BX147" s="104" t="n"/>
    </row>
    <row r="148">
      <c r="B148" s="64" t="n"/>
      <c r="C148" s="104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G148" s="104" t="n"/>
      <c r="AH148" s="104" t="n"/>
      <c r="AI148" s="104" t="n"/>
      <c r="AJ148" s="104" t="n"/>
      <c r="AK148" s="104" t="n"/>
      <c r="AL148" s="104" t="n"/>
      <c r="AM148" s="104" t="n"/>
      <c r="AN148" s="104" t="n"/>
      <c r="AO148" s="104" t="n"/>
      <c r="AP148" s="104" t="n"/>
      <c r="AQ148" s="104" t="n"/>
      <c r="AR148" s="104" t="n"/>
      <c r="AS148" s="104" t="n"/>
      <c r="AT148" s="104" t="n"/>
      <c r="AU148" s="104" t="n"/>
      <c r="AV148" s="104" t="n"/>
      <c r="AW148" s="104" t="n"/>
      <c r="AX148" s="104" t="n"/>
      <c r="AY148" s="104" t="n"/>
      <c r="AZ148" s="104" t="n"/>
      <c r="BA148" s="104" t="n"/>
      <c r="BB148" s="104" t="n"/>
      <c r="BC148" s="104" t="n"/>
      <c r="BD148" s="104" t="n"/>
      <c r="BE148" s="104" t="n"/>
      <c r="BF148" s="104" t="n"/>
      <c r="BG148" s="104" t="n"/>
      <c r="BH148" s="104" t="n"/>
      <c r="BI148" s="104" t="n"/>
      <c r="BJ148" s="104" t="n"/>
      <c r="BK148" s="104" t="n"/>
      <c r="BL148" s="104" t="n"/>
      <c r="BM148" s="104" t="n"/>
      <c r="BN148" s="104" t="n"/>
      <c r="BO148" s="104" t="n"/>
      <c r="BP148" s="104" t="n"/>
      <c r="BQ148" s="104" t="n"/>
      <c r="BR148" s="104" t="n"/>
      <c r="BS148" s="104" t="n"/>
      <c r="BT148" s="104" t="n"/>
      <c r="BU148" s="104" t="n"/>
      <c r="BV148" s="104" t="n"/>
      <c r="BW148" s="104" t="n"/>
      <c r="BX148" s="104" t="n"/>
    </row>
    <row r="149">
      <c r="B149" s="64" t="n"/>
      <c r="C149" s="104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G149" s="104" t="n"/>
      <c r="AH149" s="104" t="n"/>
      <c r="AI149" s="104" t="n"/>
      <c r="AJ149" s="104" t="n"/>
      <c r="AK149" s="104" t="n"/>
      <c r="AL149" s="104" t="n"/>
      <c r="AM149" s="104" t="n"/>
      <c r="AN149" s="104" t="n"/>
      <c r="AO149" s="104" t="n"/>
      <c r="AP149" s="104" t="n"/>
      <c r="AQ149" s="104" t="n"/>
      <c r="AR149" s="104" t="n"/>
      <c r="AS149" s="104" t="n"/>
      <c r="AT149" s="104" t="n"/>
      <c r="AU149" s="104" t="n"/>
      <c r="AV149" s="104" t="n"/>
      <c r="AW149" s="104" t="n"/>
      <c r="AX149" s="104" t="n"/>
      <c r="AY149" s="104" t="n"/>
      <c r="AZ149" s="104" t="n"/>
      <c r="BA149" s="104" t="n"/>
      <c r="BB149" s="104" t="n"/>
      <c r="BC149" s="104" t="n"/>
      <c r="BD149" s="104" t="n"/>
      <c r="BE149" s="104" t="n"/>
      <c r="BF149" s="104" t="n"/>
      <c r="BG149" s="104" t="n"/>
      <c r="BH149" s="104" t="n"/>
      <c r="BI149" s="104" t="n"/>
      <c r="BJ149" s="104" t="n"/>
      <c r="BK149" s="104" t="n"/>
      <c r="BL149" s="104" t="n"/>
      <c r="BM149" s="104" t="n"/>
      <c r="BN149" s="104" t="n"/>
      <c r="BO149" s="104" t="n"/>
      <c r="BP149" s="104" t="n"/>
      <c r="BQ149" s="104" t="n"/>
      <c r="BR149" s="104" t="n"/>
      <c r="BS149" s="104" t="n"/>
      <c r="BT149" s="104" t="n"/>
      <c r="BU149" s="104" t="n"/>
      <c r="BV149" s="104" t="n"/>
      <c r="BW149" s="104" t="n"/>
      <c r="BX149" s="104" t="n"/>
    </row>
    <row r="150">
      <c r="B150" s="64" t="n"/>
      <c r="C150" s="104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G150" s="104" t="n"/>
      <c r="AH150" s="104" t="n"/>
      <c r="AI150" s="104" t="n"/>
      <c r="AJ150" s="104" t="n"/>
      <c r="AK150" s="104" t="n"/>
      <c r="AL150" s="104" t="n"/>
      <c r="AM150" s="104" t="n"/>
      <c r="AN150" s="104" t="n"/>
      <c r="AO150" s="104" t="n"/>
      <c r="AP150" s="104" t="n"/>
      <c r="AQ150" s="104" t="n"/>
      <c r="AR150" s="104" t="n"/>
      <c r="AS150" s="104" t="n"/>
      <c r="AT150" s="104" t="n"/>
      <c r="AU150" s="104" t="n"/>
      <c r="AV150" s="104" t="n"/>
      <c r="AW150" s="104" t="n"/>
      <c r="AX150" s="104" t="n"/>
      <c r="AY150" s="104" t="n"/>
      <c r="AZ150" s="104" t="n"/>
      <c r="BA150" s="104" t="n"/>
      <c r="BB150" s="104" t="n"/>
      <c r="BC150" s="104" t="n"/>
      <c r="BD150" s="104" t="n"/>
      <c r="BE150" s="104" t="n"/>
      <c r="BF150" s="104" t="n"/>
      <c r="BG150" s="104" t="n"/>
      <c r="BH150" s="104" t="n"/>
      <c r="BI150" s="104" t="n"/>
      <c r="BJ150" s="104" t="n"/>
      <c r="BK150" s="104" t="n"/>
      <c r="BL150" s="104" t="n"/>
      <c r="BM150" s="104" t="n"/>
      <c r="BN150" s="104" t="n"/>
      <c r="BO150" s="104" t="n"/>
      <c r="BP150" s="104" t="n"/>
      <c r="BQ150" s="104" t="n"/>
      <c r="BR150" s="104" t="n"/>
      <c r="BS150" s="104" t="n"/>
      <c r="BT150" s="104" t="n"/>
      <c r="BU150" s="104" t="n"/>
      <c r="BV150" s="104" t="n"/>
      <c r="BW150" s="104" t="n"/>
      <c r="BX150" s="104" t="n"/>
    </row>
    <row r="151">
      <c r="B151" s="64" t="n"/>
      <c r="C151" s="104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G151" s="104" t="n"/>
      <c r="AH151" s="104" t="n"/>
      <c r="AI151" s="104" t="n"/>
      <c r="AJ151" s="104" t="n"/>
      <c r="AK151" s="104" t="n"/>
      <c r="AL151" s="104" t="n"/>
      <c r="AM151" s="104" t="n"/>
      <c r="AN151" s="104" t="n"/>
      <c r="AO151" s="104" t="n"/>
      <c r="AP151" s="104" t="n"/>
      <c r="AQ151" s="104" t="n"/>
      <c r="AR151" s="104" t="n"/>
      <c r="AS151" s="104" t="n"/>
      <c r="AT151" s="104" t="n"/>
      <c r="AU151" s="104" t="n"/>
      <c r="AV151" s="104" t="n"/>
      <c r="AW151" s="104" t="n"/>
      <c r="AX151" s="104" t="n"/>
      <c r="AY151" s="104" t="n"/>
      <c r="AZ151" s="104" t="n"/>
      <c r="BA151" s="104" t="n"/>
      <c r="BB151" s="104" t="n"/>
      <c r="BC151" s="104" t="n"/>
      <c r="BD151" s="104" t="n"/>
      <c r="BE151" s="104" t="n"/>
      <c r="BF151" s="104" t="n"/>
      <c r="BG151" s="104" t="n"/>
      <c r="BH151" s="104" t="n"/>
      <c r="BI151" s="104" t="n"/>
      <c r="BJ151" s="104" t="n"/>
      <c r="BK151" s="104" t="n"/>
      <c r="BL151" s="104" t="n"/>
      <c r="BM151" s="104" t="n"/>
      <c r="BN151" s="104" t="n"/>
      <c r="BO151" s="104" t="n"/>
      <c r="BP151" s="104" t="n"/>
      <c r="BQ151" s="104" t="n"/>
      <c r="BR151" s="104" t="n"/>
      <c r="BS151" s="104" t="n"/>
      <c r="BT151" s="104" t="n"/>
      <c r="BU151" s="104" t="n"/>
      <c r="BV151" s="104" t="n"/>
      <c r="BW151" s="104" t="n"/>
      <c r="BX151" s="104" t="n"/>
    </row>
    <row r="152">
      <c r="B152" s="64" t="n"/>
      <c r="C152" s="104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G152" s="104" t="n"/>
      <c r="AH152" s="104" t="n"/>
      <c r="AI152" s="104" t="n"/>
      <c r="AJ152" s="104" t="n"/>
      <c r="AK152" s="104" t="n"/>
      <c r="AL152" s="104" t="n"/>
      <c r="AM152" s="104" t="n"/>
      <c r="AN152" s="104" t="n"/>
      <c r="AO152" s="104" t="n"/>
      <c r="AP152" s="104" t="n"/>
      <c r="AQ152" s="104" t="n"/>
      <c r="AR152" s="104" t="n"/>
      <c r="AS152" s="104" t="n"/>
      <c r="AT152" s="104" t="n"/>
      <c r="AU152" s="104" t="n"/>
      <c r="AV152" s="104" t="n"/>
      <c r="AW152" s="104" t="n"/>
      <c r="AX152" s="104" t="n"/>
      <c r="AY152" s="104" t="n"/>
      <c r="AZ152" s="104" t="n"/>
      <c r="BA152" s="104" t="n"/>
      <c r="BB152" s="104" t="n"/>
      <c r="BC152" s="104" t="n"/>
      <c r="BD152" s="104" t="n"/>
      <c r="BE152" s="104" t="n"/>
      <c r="BF152" s="104" t="n"/>
      <c r="BG152" s="104" t="n"/>
      <c r="BH152" s="104" t="n"/>
      <c r="BI152" s="104" t="n"/>
      <c r="BJ152" s="104" t="n"/>
      <c r="BK152" s="104" t="n"/>
      <c r="BL152" s="104" t="n"/>
      <c r="BM152" s="104" t="n"/>
      <c r="BN152" s="104" t="n"/>
      <c r="BO152" s="104" t="n"/>
      <c r="BP152" s="104" t="n"/>
      <c r="BQ152" s="104" t="n"/>
      <c r="BR152" s="104" t="n"/>
      <c r="BS152" s="104" t="n"/>
      <c r="BT152" s="104" t="n"/>
      <c r="BU152" s="104" t="n"/>
      <c r="BV152" s="104" t="n"/>
      <c r="BW152" s="104" t="n"/>
      <c r="BX152" s="104" t="n"/>
    </row>
    <row r="153">
      <c r="B153" s="64" t="n"/>
      <c r="C153" s="104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G153" s="104" t="n"/>
      <c r="AH153" s="104" t="n"/>
      <c r="AI153" s="104" t="n"/>
      <c r="AJ153" s="104" t="n"/>
      <c r="AK153" s="104" t="n"/>
      <c r="AL153" s="104" t="n"/>
      <c r="AM153" s="104" t="n"/>
      <c r="AN153" s="104" t="n"/>
      <c r="AO153" s="104" t="n"/>
      <c r="AP153" s="104" t="n"/>
      <c r="AQ153" s="104" t="n"/>
      <c r="AR153" s="104" t="n"/>
      <c r="AS153" s="104" t="n"/>
      <c r="AT153" s="104" t="n"/>
      <c r="AU153" s="104" t="n"/>
      <c r="AV153" s="104" t="n"/>
      <c r="AW153" s="104" t="n"/>
      <c r="AX153" s="104" t="n"/>
      <c r="AY153" s="104" t="n"/>
      <c r="AZ153" s="104" t="n"/>
      <c r="BA153" s="104" t="n"/>
      <c r="BB153" s="104" t="n"/>
      <c r="BC153" s="104" t="n"/>
      <c r="BD153" s="104" t="n"/>
      <c r="BE153" s="104" t="n"/>
      <c r="BF153" s="104" t="n"/>
      <c r="BG153" s="104" t="n"/>
      <c r="BH153" s="104" t="n"/>
      <c r="BI153" s="104" t="n"/>
      <c r="BJ153" s="104" t="n"/>
      <c r="BK153" s="104" t="n"/>
      <c r="BL153" s="104" t="n"/>
      <c r="BM153" s="104" t="n"/>
      <c r="BN153" s="104" t="n"/>
      <c r="BO153" s="104" t="n"/>
      <c r="BP153" s="104" t="n"/>
      <c r="BQ153" s="104" t="n"/>
      <c r="BR153" s="104" t="n"/>
      <c r="BS153" s="104" t="n"/>
      <c r="BT153" s="104" t="n"/>
      <c r="BU153" s="104" t="n"/>
      <c r="BV153" s="104" t="n"/>
      <c r="BW153" s="104" t="n"/>
      <c r="BX153" s="104" t="n"/>
    </row>
    <row r="154">
      <c r="B154" s="64" t="n"/>
      <c r="C154" s="104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G154" s="104" t="n"/>
      <c r="AH154" s="104" t="n"/>
      <c r="AI154" s="104" t="n"/>
      <c r="AJ154" s="104" t="n"/>
      <c r="AK154" s="104" t="n"/>
      <c r="AL154" s="104" t="n"/>
      <c r="AM154" s="104" t="n"/>
      <c r="AN154" s="104" t="n"/>
      <c r="AO154" s="104" t="n"/>
      <c r="AP154" s="104" t="n"/>
      <c r="AQ154" s="104" t="n"/>
      <c r="AR154" s="104" t="n"/>
      <c r="AS154" s="104" t="n"/>
      <c r="AT154" s="104" t="n"/>
      <c r="AU154" s="104" t="n"/>
      <c r="AV154" s="104" t="n"/>
      <c r="AW154" s="104" t="n"/>
      <c r="AX154" s="104" t="n"/>
      <c r="AY154" s="104" t="n"/>
      <c r="AZ154" s="104" t="n"/>
      <c r="BA154" s="104" t="n"/>
      <c r="BB154" s="104" t="n"/>
      <c r="BC154" s="104" t="n"/>
      <c r="BD154" s="104" t="n"/>
      <c r="BE154" s="104" t="n"/>
      <c r="BF154" s="104" t="n"/>
      <c r="BG154" s="104" t="n"/>
      <c r="BH154" s="104" t="n"/>
      <c r="BI154" s="104" t="n"/>
      <c r="BJ154" s="104" t="n"/>
      <c r="BK154" s="104" t="n"/>
      <c r="BL154" s="104" t="n"/>
      <c r="BM154" s="104" t="n"/>
      <c r="BN154" s="104" t="n"/>
      <c r="BO154" s="104" t="n"/>
      <c r="BP154" s="104" t="n"/>
      <c r="BQ154" s="104" t="n"/>
      <c r="BR154" s="104" t="n"/>
      <c r="BS154" s="104" t="n"/>
      <c r="BT154" s="104" t="n"/>
      <c r="BU154" s="104" t="n"/>
      <c r="BV154" s="104" t="n"/>
      <c r="BW154" s="104" t="n"/>
      <c r="BX154" s="104" t="n"/>
    </row>
    <row r="155">
      <c r="B155" s="64" t="n"/>
      <c r="C155" s="104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G155" s="104" t="n"/>
      <c r="AH155" s="104" t="n"/>
      <c r="AI155" s="104" t="n"/>
      <c r="AJ155" s="104" t="n"/>
      <c r="AK155" s="104" t="n"/>
      <c r="AL155" s="104" t="n"/>
      <c r="AM155" s="104" t="n"/>
      <c r="AN155" s="104" t="n"/>
      <c r="AO155" s="104" t="n"/>
      <c r="AP155" s="104" t="n"/>
      <c r="AQ155" s="104" t="n"/>
      <c r="AR155" s="104" t="n"/>
      <c r="AS155" s="104" t="n"/>
      <c r="AT155" s="104" t="n"/>
      <c r="AU155" s="104" t="n"/>
      <c r="AV155" s="104" t="n"/>
      <c r="AW155" s="104" t="n"/>
      <c r="AX155" s="104" t="n"/>
      <c r="AY155" s="104" t="n"/>
      <c r="AZ155" s="104" t="n"/>
      <c r="BA155" s="104" t="n"/>
      <c r="BB155" s="104" t="n"/>
      <c r="BC155" s="104" t="n"/>
      <c r="BD155" s="104" t="n"/>
      <c r="BE155" s="104" t="n"/>
      <c r="BF155" s="104" t="n"/>
      <c r="BG155" s="104" t="n"/>
      <c r="BH155" s="104" t="n"/>
      <c r="BI155" s="104" t="n"/>
      <c r="BJ155" s="104" t="n"/>
      <c r="BK155" s="104" t="n"/>
      <c r="BL155" s="104" t="n"/>
      <c r="BM155" s="104" t="n"/>
      <c r="BN155" s="104" t="n"/>
      <c r="BO155" s="104" t="n"/>
      <c r="BP155" s="104" t="n"/>
      <c r="BQ155" s="104" t="n"/>
      <c r="BR155" s="104" t="n"/>
      <c r="BS155" s="104" t="n"/>
      <c r="BT155" s="104" t="n"/>
      <c r="BU155" s="104" t="n"/>
      <c r="BV155" s="104" t="n"/>
      <c r="BW155" s="104" t="n"/>
      <c r="BX155" s="104" t="n"/>
    </row>
    <row r="156">
      <c r="B156" s="64" t="n"/>
      <c r="C156" s="104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G156" s="104" t="n"/>
      <c r="AH156" s="104" t="n"/>
      <c r="AI156" s="104" t="n"/>
      <c r="AJ156" s="104" t="n"/>
      <c r="AK156" s="104" t="n"/>
      <c r="AL156" s="104" t="n"/>
      <c r="AM156" s="104" t="n"/>
      <c r="AN156" s="104" t="n"/>
      <c r="AO156" s="104" t="n"/>
      <c r="AP156" s="104" t="n"/>
      <c r="AQ156" s="104" t="n"/>
      <c r="AR156" s="104" t="n"/>
      <c r="AS156" s="104" t="n"/>
      <c r="AT156" s="104" t="n"/>
      <c r="AU156" s="104" t="n"/>
      <c r="AV156" s="104" t="n"/>
      <c r="AW156" s="104" t="n"/>
      <c r="AX156" s="104" t="n"/>
      <c r="AY156" s="104" t="n"/>
      <c r="AZ156" s="104" t="n"/>
      <c r="BA156" s="104" t="n"/>
      <c r="BB156" s="104" t="n"/>
      <c r="BC156" s="104" t="n"/>
      <c r="BD156" s="104" t="n"/>
      <c r="BE156" s="104" t="n"/>
      <c r="BF156" s="104" t="n"/>
      <c r="BG156" s="104" t="n"/>
      <c r="BH156" s="104" t="n"/>
      <c r="BI156" s="104" t="n"/>
      <c r="BJ156" s="104" t="n"/>
      <c r="BK156" s="104" t="n"/>
      <c r="BL156" s="104" t="n"/>
      <c r="BM156" s="104" t="n"/>
      <c r="BN156" s="104" t="n"/>
      <c r="BO156" s="104" t="n"/>
      <c r="BP156" s="104" t="n"/>
      <c r="BQ156" s="104" t="n"/>
      <c r="BR156" s="104" t="n"/>
      <c r="BS156" s="104" t="n"/>
      <c r="BT156" s="104" t="n"/>
      <c r="BU156" s="104" t="n"/>
      <c r="BV156" s="104" t="n"/>
      <c r="BW156" s="104" t="n"/>
      <c r="BX156" s="104" t="n"/>
    </row>
    <row r="157">
      <c r="B157" s="64" t="n"/>
      <c r="C157" s="104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  <c r="AA157" s="104" t="n"/>
      <c r="AB157" s="104" t="n"/>
      <c r="AC157" s="104" t="n"/>
      <c r="AD157" s="104" t="n"/>
      <c r="AE157" s="104" t="n"/>
      <c r="AF157" s="104" t="n"/>
      <c r="AG157" s="104" t="n"/>
      <c r="AH157" s="104" t="n"/>
      <c r="AI157" s="104" t="n"/>
      <c r="AJ157" s="104" t="n"/>
      <c r="AK157" s="104" t="n"/>
      <c r="AL157" s="104" t="n"/>
      <c r="AM157" s="104" t="n"/>
      <c r="AN157" s="104" t="n"/>
      <c r="AO157" s="104" t="n"/>
      <c r="AP157" s="104" t="n"/>
      <c r="AQ157" s="104" t="n"/>
      <c r="AR157" s="104" t="n"/>
      <c r="AS157" s="104" t="n"/>
      <c r="AT157" s="104" t="n"/>
      <c r="AU157" s="104" t="n"/>
      <c r="AV157" s="104" t="n"/>
      <c r="AW157" s="104" t="n"/>
      <c r="AX157" s="104" t="n"/>
      <c r="AY157" s="104" t="n"/>
      <c r="AZ157" s="104" t="n"/>
      <c r="BA157" s="104" t="n"/>
      <c r="BB157" s="104" t="n"/>
      <c r="BC157" s="104" t="n"/>
      <c r="BD157" s="104" t="n"/>
      <c r="BE157" s="104" t="n"/>
      <c r="BF157" s="104" t="n"/>
      <c r="BG157" s="104" t="n"/>
      <c r="BH157" s="104" t="n"/>
      <c r="BI157" s="104" t="n"/>
      <c r="BJ157" s="104" t="n"/>
      <c r="BK157" s="104" t="n"/>
      <c r="BL157" s="104" t="n"/>
      <c r="BM157" s="104" t="n"/>
      <c r="BN157" s="104" t="n"/>
      <c r="BO157" s="104" t="n"/>
      <c r="BP157" s="104" t="n"/>
      <c r="BQ157" s="104" t="n"/>
      <c r="BR157" s="104" t="n"/>
      <c r="BS157" s="104" t="n"/>
      <c r="BT157" s="104" t="n"/>
      <c r="BU157" s="104" t="n"/>
      <c r="BV157" s="104" t="n"/>
      <c r="BW157" s="104" t="n"/>
      <c r="BX157" s="104" t="n"/>
    </row>
    <row r="158">
      <c r="B158" s="64" t="n"/>
      <c r="C158" s="104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  <c r="AA158" s="104" t="n"/>
      <c r="AB158" s="104" t="n"/>
      <c r="AC158" s="104" t="n"/>
      <c r="AD158" s="104" t="n"/>
      <c r="AE158" s="104" t="n"/>
      <c r="AF158" s="104" t="n"/>
      <c r="AG158" s="104" t="n"/>
      <c r="AH158" s="104" t="n"/>
      <c r="AI158" s="104" t="n"/>
      <c r="AJ158" s="104" t="n"/>
      <c r="AK158" s="104" t="n"/>
      <c r="AL158" s="104" t="n"/>
      <c r="AM158" s="104" t="n"/>
      <c r="AN158" s="104" t="n"/>
      <c r="AO158" s="104" t="n"/>
      <c r="AP158" s="104" t="n"/>
      <c r="AQ158" s="104" t="n"/>
      <c r="AR158" s="104" t="n"/>
      <c r="AS158" s="104" t="n"/>
      <c r="AT158" s="104" t="n"/>
      <c r="AU158" s="104" t="n"/>
      <c r="AV158" s="104" t="n"/>
      <c r="AW158" s="104" t="n"/>
      <c r="AX158" s="104" t="n"/>
      <c r="AY158" s="104" t="n"/>
      <c r="AZ158" s="104" t="n"/>
      <c r="BA158" s="104" t="n"/>
      <c r="BB158" s="104" t="n"/>
      <c r="BC158" s="104" t="n"/>
      <c r="BD158" s="104" t="n"/>
      <c r="BE158" s="104" t="n"/>
      <c r="BF158" s="104" t="n"/>
      <c r="BG158" s="104" t="n"/>
      <c r="BH158" s="104" t="n"/>
      <c r="BI158" s="104" t="n"/>
      <c r="BJ158" s="104" t="n"/>
      <c r="BK158" s="104" t="n"/>
      <c r="BL158" s="104" t="n"/>
      <c r="BM158" s="104" t="n"/>
      <c r="BN158" s="104" t="n"/>
      <c r="BO158" s="104" t="n"/>
      <c r="BP158" s="104" t="n"/>
      <c r="BQ158" s="104" t="n"/>
      <c r="BR158" s="104" t="n"/>
      <c r="BS158" s="104" t="n"/>
      <c r="BT158" s="104" t="n"/>
      <c r="BU158" s="104" t="n"/>
      <c r="BV158" s="104" t="n"/>
      <c r="BW158" s="104" t="n"/>
      <c r="BX158" s="104" t="n"/>
    </row>
    <row r="159">
      <c r="B159" s="64" t="n"/>
      <c r="C159" s="104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  <c r="AA159" s="104" t="n"/>
      <c r="AB159" s="104" t="n"/>
      <c r="AC159" s="104" t="n"/>
      <c r="AD159" s="104" t="n"/>
      <c r="AE159" s="104" t="n"/>
      <c r="AF159" s="104" t="n"/>
      <c r="AG159" s="104" t="n"/>
      <c r="AH159" s="104" t="n"/>
      <c r="AI159" s="104" t="n"/>
      <c r="AJ159" s="104" t="n"/>
      <c r="AK159" s="104" t="n"/>
      <c r="AL159" s="104" t="n"/>
      <c r="AM159" s="104" t="n"/>
      <c r="AN159" s="104" t="n"/>
      <c r="AO159" s="104" t="n"/>
      <c r="AP159" s="104" t="n"/>
      <c r="AQ159" s="104" t="n"/>
      <c r="AR159" s="104" t="n"/>
      <c r="AS159" s="104" t="n"/>
      <c r="AT159" s="104" t="n"/>
      <c r="AU159" s="104" t="n"/>
      <c r="AV159" s="104" t="n"/>
      <c r="AW159" s="104" t="n"/>
      <c r="AX159" s="104" t="n"/>
      <c r="AY159" s="104" t="n"/>
      <c r="AZ159" s="104" t="n"/>
      <c r="BA159" s="104" t="n"/>
      <c r="BB159" s="104" t="n"/>
      <c r="BC159" s="104" t="n"/>
      <c r="BD159" s="104" t="n"/>
      <c r="BE159" s="104" t="n"/>
      <c r="BF159" s="104" t="n"/>
      <c r="BG159" s="104" t="n"/>
      <c r="BH159" s="104" t="n"/>
      <c r="BI159" s="104" t="n"/>
      <c r="BJ159" s="104" t="n"/>
      <c r="BK159" s="104" t="n"/>
      <c r="BL159" s="104" t="n"/>
      <c r="BM159" s="104" t="n"/>
      <c r="BN159" s="104" t="n"/>
      <c r="BO159" s="104" t="n"/>
      <c r="BP159" s="104" t="n"/>
      <c r="BQ159" s="104" t="n"/>
      <c r="BR159" s="104" t="n"/>
      <c r="BS159" s="104" t="n"/>
      <c r="BT159" s="104" t="n"/>
      <c r="BU159" s="104" t="n"/>
      <c r="BV159" s="104" t="n"/>
      <c r="BW159" s="104" t="n"/>
      <c r="BX159" s="104" t="n"/>
    </row>
    <row r="160">
      <c r="B160" s="64" t="n"/>
      <c r="C160" s="104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  <c r="AA160" s="104" t="n"/>
      <c r="AB160" s="104" t="n"/>
      <c r="AC160" s="104" t="n"/>
      <c r="AD160" s="104" t="n"/>
      <c r="AE160" s="104" t="n"/>
      <c r="AF160" s="104" t="n"/>
      <c r="AG160" s="104" t="n"/>
      <c r="AH160" s="104" t="n"/>
      <c r="AI160" s="104" t="n"/>
      <c r="AJ160" s="104" t="n"/>
      <c r="AK160" s="104" t="n"/>
      <c r="AL160" s="104" t="n"/>
      <c r="AM160" s="104" t="n"/>
      <c r="AN160" s="104" t="n"/>
      <c r="AO160" s="104" t="n"/>
      <c r="AP160" s="104" t="n"/>
      <c r="AQ160" s="104" t="n"/>
      <c r="AR160" s="104" t="n"/>
      <c r="AS160" s="104" t="n"/>
      <c r="AT160" s="104" t="n"/>
      <c r="AU160" s="104" t="n"/>
      <c r="AV160" s="104" t="n"/>
      <c r="AW160" s="104" t="n"/>
      <c r="AX160" s="104" t="n"/>
      <c r="AY160" s="104" t="n"/>
      <c r="AZ160" s="104" t="n"/>
      <c r="BA160" s="104" t="n"/>
      <c r="BB160" s="104" t="n"/>
      <c r="BC160" s="104" t="n"/>
      <c r="BD160" s="104" t="n"/>
      <c r="BE160" s="104" t="n"/>
      <c r="BF160" s="104" t="n"/>
      <c r="BG160" s="104" t="n"/>
      <c r="BH160" s="104" t="n"/>
      <c r="BI160" s="104" t="n"/>
      <c r="BJ160" s="104" t="n"/>
      <c r="BK160" s="104" t="n"/>
      <c r="BL160" s="104" t="n"/>
      <c r="BM160" s="104" t="n"/>
      <c r="BN160" s="104" t="n"/>
      <c r="BO160" s="104" t="n"/>
      <c r="BP160" s="104" t="n"/>
      <c r="BQ160" s="104" t="n"/>
      <c r="BR160" s="104" t="n"/>
      <c r="BS160" s="104" t="n"/>
      <c r="BT160" s="104" t="n"/>
      <c r="BU160" s="104" t="n"/>
      <c r="BV160" s="104" t="n"/>
      <c r="BW160" s="104" t="n"/>
      <c r="BX160" s="104" t="n"/>
    </row>
    <row r="161">
      <c r="B161" s="64" t="n"/>
      <c r="C161" s="104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  <c r="AA161" s="104" t="n"/>
      <c r="AB161" s="104" t="n"/>
      <c r="AC161" s="104" t="n"/>
      <c r="AD161" s="104" t="n"/>
      <c r="AE161" s="104" t="n"/>
      <c r="AF161" s="104" t="n"/>
      <c r="AG161" s="104" t="n"/>
      <c r="AH161" s="104" t="n"/>
      <c r="AI161" s="104" t="n"/>
      <c r="AJ161" s="104" t="n"/>
      <c r="AK161" s="104" t="n"/>
      <c r="AL161" s="104" t="n"/>
      <c r="AM161" s="104" t="n"/>
      <c r="AN161" s="104" t="n"/>
      <c r="AO161" s="104" t="n"/>
      <c r="AP161" s="104" t="n"/>
      <c r="AQ161" s="104" t="n"/>
      <c r="AR161" s="104" t="n"/>
      <c r="AS161" s="104" t="n"/>
      <c r="AT161" s="104" t="n"/>
      <c r="AU161" s="104" t="n"/>
      <c r="AV161" s="104" t="n"/>
      <c r="AW161" s="104" t="n"/>
      <c r="AX161" s="104" t="n"/>
      <c r="AY161" s="104" t="n"/>
      <c r="AZ161" s="104" t="n"/>
      <c r="BA161" s="104" t="n"/>
      <c r="BB161" s="104" t="n"/>
      <c r="BC161" s="104" t="n"/>
      <c r="BD161" s="104" t="n"/>
      <c r="BE161" s="104" t="n"/>
      <c r="BF161" s="104" t="n"/>
      <c r="BG161" s="104" t="n"/>
      <c r="BH161" s="104" t="n"/>
      <c r="BI161" s="104" t="n"/>
      <c r="BJ161" s="104" t="n"/>
      <c r="BK161" s="104" t="n"/>
      <c r="BL161" s="104" t="n"/>
      <c r="BM161" s="104" t="n"/>
      <c r="BN161" s="104" t="n"/>
      <c r="BO161" s="104" t="n"/>
      <c r="BP161" s="104" t="n"/>
      <c r="BQ161" s="104" t="n"/>
      <c r="BR161" s="104" t="n"/>
      <c r="BS161" s="104" t="n"/>
      <c r="BT161" s="104" t="n"/>
      <c r="BU161" s="104" t="n"/>
      <c r="BV161" s="104" t="n"/>
      <c r="BW161" s="104" t="n"/>
      <c r="BX161" s="104" t="n"/>
    </row>
    <row r="162">
      <c r="B162" s="64" t="n"/>
      <c r="C162" s="104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  <c r="AA162" s="104" t="n"/>
      <c r="AB162" s="104" t="n"/>
      <c r="AC162" s="104" t="n"/>
      <c r="AD162" s="104" t="n"/>
      <c r="AE162" s="104" t="n"/>
      <c r="AF162" s="104" t="n"/>
      <c r="AG162" s="104" t="n"/>
      <c r="AH162" s="104" t="n"/>
      <c r="AI162" s="104" t="n"/>
      <c r="AJ162" s="104" t="n"/>
      <c r="AK162" s="104" t="n"/>
      <c r="AL162" s="104" t="n"/>
      <c r="AM162" s="104" t="n"/>
      <c r="AN162" s="104" t="n"/>
      <c r="AO162" s="104" t="n"/>
      <c r="AP162" s="104" t="n"/>
      <c r="AQ162" s="104" t="n"/>
      <c r="AR162" s="104" t="n"/>
      <c r="AS162" s="104" t="n"/>
      <c r="AT162" s="104" t="n"/>
      <c r="AU162" s="104" t="n"/>
      <c r="AV162" s="104" t="n"/>
      <c r="AW162" s="104" t="n"/>
      <c r="AX162" s="104" t="n"/>
      <c r="AY162" s="104" t="n"/>
      <c r="AZ162" s="104" t="n"/>
      <c r="BA162" s="104" t="n"/>
      <c r="BB162" s="104" t="n"/>
      <c r="BC162" s="104" t="n"/>
      <c r="BD162" s="104" t="n"/>
      <c r="BE162" s="104" t="n"/>
      <c r="BF162" s="104" t="n"/>
      <c r="BG162" s="104" t="n"/>
      <c r="BH162" s="104" t="n"/>
      <c r="BI162" s="104" t="n"/>
      <c r="BJ162" s="104" t="n"/>
      <c r="BK162" s="104" t="n"/>
      <c r="BL162" s="104" t="n"/>
      <c r="BM162" s="104" t="n"/>
      <c r="BN162" s="104" t="n"/>
      <c r="BO162" s="104" t="n"/>
      <c r="BP162" s="104" t="n"/>
      <c r="BQ162" s="104" t="n"/>
      <c r="BR162" s="104" t="n"/>
      <c r="BS162" s="104" t="n"/>
      <c r="BT162" s="104" t="n"/>
      <c r="BU162" s="104" t="n"/>
      <c r="BV162" s="104" t="n"/>
      <c r="BW162" s="104" t="n"/>
      <c r="BX162" s="104" t="n"/>
    </row>
    <row r="163">
      <c r="B163" s="64" t="n"/>
      <c r="C163" s="104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  <c r="AA163" s="104" t="n"/>
      <c r="AB163" s="104" t="n"/>
      <c r="AC163" s="104" t="n"/>
      <c r="AD163" s="104" t="n"/>
      <c r="AE163" s="104" t="n"/>
      <c r="AF163" s="104" t="n"/>
      <c r="AG163" s="104" t="n"/>
      <c r="AH163" s="104" t="n"/>
      <c r="AI163" s="104" t="n"/>
      <c r="AJ163" s="104" t="n"/>
      <c r="AK163" s="104" t="n"/>
      <c r="AL163" s="104" t="n"/>
      <c r="AM163" s="104" t="n"/>
      <c r="AN163" s="104" t="n"/>
      <c r="AO163" s="104" t="n"/>
      <c r="AP163" s="104" t="n"/>
      <c r="AQ163" s="104" t="n"/>
      <c r="AR163" s="104" t="n"/>
      <c r="AS163" s="104" t="n"/>
      <c r="AT163" s="104" t="n"/>
      <c r="AU163" s="104" t="n"/>
      <c r="AV163" s="104" t="n"/>
      <c r="AW163" s="104" t="n"/>
      <c r="AX163" s="104" t="n"/>
      <c r="AY163" s="104" t="n"/>
      <c r="AZ163" s="104" t="n"/>
      <c r="BA163" s="104" t="n"/>
      <c r="BB163" s="104" t="n"/>
      <c r="BC163" s="104" t="n"/>
      <c r="BD163" s="104" t="n"/>
      <c r="BE163" s="104" t="n"/>
      <c r="BF163" s="104" t="n"/>
      <c r="BG163" s="104" t="n"/>
      <c r="BH163" s="104" t="n"/>
      <c r="BI163" s="104" t="n"/>
      <c r="BJ163" s="104" t="n"/>
      <c r="BK163" s="104" t="n"/>
      <c r="BL163" s="104" t="n"/>
      <c r="BM163" s="104" t="n"/>
      <c r="BN163" s="104" t="n"/>
      <c r="BO163" s="104" t="n"/>
      <c r="BP163" s="104" t="n"/>
      <c r="BQ163" s="104" t="n"/>
      <c r="BR163" s="104" t="n"/>
      <c r="BS163" s="104" t="n"/>
      <c r="BT163" s="104" t="n"/>
      <c r="BU163" s="104" t="n"/>
      <c r="BV163" s="104" t="n"/>
      <c r="BW163" s="104" t="n"/>
      <c r="BX163" s="104" t="n"/>
    </row>
    <row r="164">
      <c r="B164" s="64" t="n"/>
      <c r="C164" s="104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  <c r="AA164" s="104" t="n"/>
      <c r="AB164" s="104" t="n"/>
      <c r="AC164" s="104" t="n"/>
      <c r="AD164" s="104" t="n"/>
      <c r="AE164" s="104" t="n"/>
      <c r="AF164" s="104" t="n"/>
      <c r="AG164" s="104" t="n"/>
      <c r="AH164" s="104" t="n"/>
      <c r="AI164" s="104" t="n"/>
      <c r="AJ164" s="104" t="n"/>
      <c r="AK164" s="104" t="n"/>
      <c r="AL164" s="104" t="n"/>
      <c r="AM164" s="104" t="n"/>
      <c r="AN164" s="104" t="n"/>
      <c r="AO164" s="104" t="n"/>
      <c r="AP164" s="104" t="n"/>
      <c r="AQ164" s="104" t="n"/>
      <c r="AR164" s="104" t="n"/>
      <c r="AS164" s="104" t="n"/>
      <c r="AT164" s="104" t="n"/>
      <c r="AU164" s="104" t="n"/>
      <c r="AV164" s="104" t="n"/>
      <c r="AW164" s="104" t="n"/>
      <c r="AX164" s="104" t="n"/>
      <c r="AY164" s="104" t="n"/>
      <c r="AZ164" s="104" t="n"/>
      <c r="BA164" s="104" t="n"/>
      <c r="BB164" s="104" t="n"/>
      <c r="BC164" s="104" t="n"/>
      <c r="BD164" s="104" t="n"/>
      <c r="BE164" s="104" t="n"/>
      <c r="BF164" s="104" t="n"/>
      <c r="BG164" s="104" t="n"/>
      <c r="BH164" s="104" t="n"/>
      <c r="BI164" s="104" t="n"/>
      <c r="BJ164" s="104" t="n"/>
      <c r="BK164" s="104" t="n"/>
      <c r="BL164" s="104" t="n"/>
      <c r="BM164" s="104" t="n"/>
      <c r="BN164" s="104" t="n"/>
      <c r="BO164" s="104" t="n"/>
      <c r="BP164" s="104" t="n"/>
      <c r="BQ164" s="104" t="n"/>
      <c r="BR164" s="104" t="n"/>
      <c r="BS164" s="104" t="n"/>
      <c r="BT164" s="104" t="n"/>
      <c r="BU164" s="104" t="n"/>
      <c r="BV164" s="104" t="n"/>
      <c r="BW164" s="104" t="n"/>
      <c r="BX164" s="104" t="n"/>
    </row>
    <row r="165">
      <c r="B165" s="64" t="n"/>
      <c r="C165" s="104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  <c r="AA165" s="104" t="n"/>
      <c r="AB165" s="104" t="n"/>
      <c r="AC165" s="104" t="n"/>
      <c r="AD165" s="104" t="n"/>
      <c r="AE165" s="104" t="n"/>
      <c r="AF165" s="104" t="n"/>
      <c r="AG165" s="104" t="n"/>
      <c r="AH165" s="104" t="n"/>
      <c r="AI165" s="104" t="n"/>
      <c r="AJ165" s="104" t="n"/>
      <c r="AK165" s="104" t="n"/>
      <c r="AL165" s="104" t="n"/>
      <c r="AM165" s="104" t="n"/>
      <c r="AN165" s="104" t="n"/>
      <c r="AO165" s="104" t="n"/>
      <c r="AP165" s="104" t="n"/>
      <c r="AQ165" s="104" t="n"/>
      <c r="AR165" s="104" t="n"/>
      <c r="AS165" s="104" t="n"/>
      <c r="AT165" s="104" t="n"/>
      <c r="AU165" s="104" t="n"/>
      <c r="AV165" s="104" t="n"/>
      <c r="AW165" s="104" t="n"/>
      <c r="AX165" s="104" t="n"/>
      <c r="AY165" s="104" t="n"/>
      <c r="AZ165" s="104" t="n"/>
      <c r="BA165" s="104" t="n"/>
      <c r="BB165" s="104" t="n"/>
      <c r="BC165" s="104" t="n"/>
      <c r="BD165" s="104" t="n"/>
      <c r="BE165" s="104" t="n"/>
      <c r="BF165" s="104" t="n"/>
      <c r="BG165" s="104" t="n"/>
      <c r="BH165" s="104" t="n"/>
      <c r="BI165" s="104" t="n"/>
      <c r="BJ165" s="104" t="n"/>
      <c r="BK165" s="104" t="n"/>
      <c r="BL165" s="104" t="n"/>
      <c r="BM165" s="104" t="n"/>
      <c r="BN165" s="104" t="n"/>
      <c r="BO165" s="104" t="n"/>
      <c r="BP165" s="104" t="n"/>
      <c r="BQ165" s="104" t="n"/>
      <c r="BR165" s="104" t="n"/>
      <c r="BS165" s="104" t="n"/>
      <c r="BT165" s="104" t="n"/>
      <c r="BU165" s="104" t="n"/>
      <c r="BV165" s="104" t="n"/>
      <c r="BW165" s="104" t="n"/>
      <c r="BX165" s="104" t="n"/>
    </row>
    <row r="166">
      <c r="B166" s="64" t="n"/>
      <c r="C166" s="104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  <c r="AA166" s="104" t="n"/>
      <c r="AB166" s="104" t="n"/>
      <c r="AC166" s="104" t="n"/>
      <c r="AD166" s="104" t="n"/>
      <c r="AE166" s="104" t="n"/>
      <c r="AF166" s="104" t="n"/>
      <c r="AG166" s="104" t="n"/>
      <c r="AH166" s="104" t="n"/>
      <c r="AI166" s="104" t="n"/>
      <c r="AJ166" s="104" t="n"/>
      <c r="AK166" s="104" t="n"/>
      <c r="AL166" s="104" t="n"/>
      <c r="AM166" s="104" t="n"/>
      <c r="AN166" s="104" t="n"/>
      <c r="AO166" s="104" t="n"/>
      <c r="AP166" s="104" t="n"/>
      <c r="AQ166" s="104" t="n"/>
      <c r="AR166" s="104" t="n"/>
      <c r="AS166" s="104" t="n"/>
      <c r="AT166" s="104" t="n"/>
      <c r="AU166" s="104" t="n"/>
      <c r="AV166" s="104" t="n"/>
      <c r="AW166" s="104" t="n"/>
      <c r="AX166" s="104" t="n"/>
      <c r="AY166" s="104" t="n"/>
      <c r="AZ166" s="104" t="n"/>
      <c r="BA166" s="104" t="n"/>
      <c r="BB166" s="104" t="n"/>
      <c r="BC166" s="104" t="n"/>
      <c r="BD166" s="104" t="n"/>
      <c r="BE166" s="104" t="n"/>
      <c r="BF166" s="104" t="n"/>
      <c r="BG166" s="104" t="n"/>
      <c r="BH166" s="104" t="n"/>
      <c r="BI166" s="104" t="n"/>
      <c r="BJ166" s="104" t="n"/>
      <c r="BK166" s="104" t="n"/>
      <c r="BL166" s="104" t="n"/>
      <c r="BM166" s="104" t="n"/>
      <c r="BN166" s="104" t="n"/>
      <c r="BO166" s="104" t="n"/>
      <c r="BP166" s="104" t="n"/>
      <c r="BQ166" s="104" t="n"/>
      <c r="BR166" s="104" t="n"/>
      <c r="BS166" s="104" t="n"/>
      <c r="BT166" s="104" t="n"/>
      <c r="BU166" s="104" t="n"/>
      <c r="BV166" s="104" t="n"/>
      <c r="BW166" s="104" t="n"/>
      <c r="BX166" s="104" t="n"/>
    </row>
    <row r="167">
      <c r="B167" s="64" t="n"/>
      <c r="C167" s="104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  <c r="AA167" s="104" t="n"/>
      <c r="AB167" s="104" t="n"/>
      <c r="AC167" s="104" t="n"/>
      <c r="AD167" s="104" t="n"/>
      <c r="AE167" s="104" t="n"/>
      <c r="AF167" s="104" t="n"/>
      <c r="AG167" s="104" t="n"/>
      <c r="AH167" s="104" t="n"/>
      <c r="AI167" s="104" t="n"/>
      <c r="AJ167" s="104" t="n"/>
      <c r="AK167" s="104" t="n"/>
      <c r="AL167" s="104" t="n"/>
      <c r="AM167" s="104" t="n"/>
      <c r="AN167" s="104" t="n"/>
      <c r="AO167" s="104" t="n"/>
      <c r="AP167" s="104" t="n"/>
      <c r="AQ167" s="104" t="n"/>
      <c r="AR167" s="104" t="n"/>
      <c r="AS167" s="104" t="n"/>
      <c r="AT167" s="104" t="n"/>
      <c r="AU167" s="104" t="n"/>
      <c r="AV167" s="104" t="n"/>
      <c r="AW167" s="104" t="n"/>
      <c r="AX167" s="104" t="n"/>
      <c r="AY167" s="104" t="n"/>
      <c r="AZ167" s="104" t="n"/>
      <c r="BA167" s="104" t="n"/>
      <c r="BB167" s="104" t="n"/>
      <c r="BC167" s="104" t="n"/>
      <c r="BD167" s="104" t="n"/>
      <c r="BE167" s="104" t="n"/>
      <c r="BF167" s="104" t="n"/>
      <c r="BG167" s="104" t="n"/>
      <c r="BH167" s="104" t="n"/>
      <c r="BI167" s="104" t="n"/>
      <c r="BJ167" s="104" t="n"/>
      <c r="BK167" s="104" t="n"/>
      <c r="BL167" s="104" t="n"/>
      <c r="BM167" s="104" t="n"/>
      <c r="BN167" s="104" t="n"/>
      <c r="BO167" s="104" t="n"/>
      <c r="BP167" s="104" t="n"/>
      <c r="BQ167" s="104" t="n"/>
      <c r="BR167" s="104" t="n"/>
      <c r="BS167" s="104" t="n"/>
      <c r="BT167" s="104" t="n"/>
      <c r="BU167" s="104" t="n"/>
      <c r="BV167" s="104" t="n"/>
      <c r="BW167" s="104" t="n"/>
      <c r="BX167" s="104" t="n"/>
    </row>
    <row r="168">
      <c r="B168" s="64" t="n"/>
      <c r="C168" s="104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  <c r="AA168" s="104" t="n"/>
      <c r="AB168" s="104" t="n"/>
      <c r="AC168" s="104" t="n"/>
      <c r="AD168" s="104" t="n"/>
      <c r="AE168" s="104" t="n"/>
      <c r="AF168" s="104" t="n"/>
      <c r="AG168" s="104" t="n"/>
      <c r="AH168" s="104" t="n"/>
      <c r="AI168" s="104" t="n"/>
      <c r="AJ168" s="104" t="n"/>
      <c r="AK168" s="104" t="n"/>
      <c r="AL168" s="104" t="n"/>
      <c r="AM168" s="104" t="n"/>
      <c r="AN168" s="104" t="n"/>
      <c r="AO168" s="104" t="n"/>
      <c r="AP168" s="104" t="n"/>
      <c r="AQ168" s="104" t="n"/>
      <c r="AR168" s="104" t="n"/>
      <c r="AS168" s="104" t="n"/>
      <c r="AT168" s="104" t="n"/>
      <c r="AU168" s="104" t="n"/>
      <c r="AV168" s="104" t="n"/>
      <c r="AW168" s="104" t="n"/>
      <c r="AX168" s="104" t="n"/>
      <c r="AY168" s="104" t="n"/>
      <c r="AZ168" s="104" t="n"/>
      <c r="BA168" s="104" t="n"/>
      <c r="BB168" s="104" t="n"/>
      <c r="BC168" s="104" t="n"/>
      <c r="BD168" s="104" t="n"/>
      <c r="BE168" s="104" t="n"/>
      <c r="BF168" s="104" t="n"/>
      <c r="BG168" s="104" t="n"/>
      <c r="BH168" s="104" t="n"/>
      <c r="BI168" s="104" t="n"/>
      <c r="BJ168" s="104" t="n"/>
      <c r="BK168" s="104" t="n"/>
      <c r="BL168" s="104" t="n"/>
      <c r="BM168" s="104" t="n"/>
      <c r="BN168" s="104" t="n"/>
      <c r="BO168" s="104" t="n"/>
      <c r="BP168" s="104" t="n"/>
      <c r="BQ168" s="104" t="n"/>
      <c r="BR168" s="104" t="n"/>
      <c r="BS168" s="104" t="n"/>
      <c r="BT168" s="104" t="n"/>
      <c r="BU168" s="104" t="n"/>
      <c r="BV168" s="104" t="n"/>
      <c r="BW168" s="104" t="n"/>
      <c r="BX168" s="104" t="n"/>
    </row>
    <row r="169">
      <c r="B169" s="64" t="n"/>
      <c r="C169" s="104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  <c r="AA169" s="104" t="n"/>
      <c r="AB169" s="104" t="n"/>
      <c r="AC169" s="104" t="n"/>
      <c r="AD169" s="104" t="n"/>
      <c r="AE169" s="104" t="n"/>
      <c r="AF169" s="104" t="n"/>
      <c r="AG169" s="104" t="n"/>
      <c r="AH169" s="104" t="n"/>
      <c r="AI169" s="104" t="n"/>
      <c r="AJ169" s="104" t="n"/>
      <c r="AK169" s="104" t="n"/>
      <c r="AL169" s="104" t="n"/>
      <c r="AM169" s="104" t="n"/>
      <c r="AN169" s="104" t="n"/>
      <c r="AO169" s="104" t="n"/>
      <c r="AP169" s="104" t="n"/>
      <c r="AQ169" s="104" t="n"/>
      <c r="AR169" s="104" t="n"/>
      <c r="AS169" s="104" t="n"/>
      <c r="AT169" s="104" t="n"/>
      <c r="AU169" s="104" t="n"/>
      <c r="AV169" s="104" t="n"/>
      <c r="AW169" s="104" t="n"/>
      <c r="AX169" s="104" t="n"/>
      <c r="AY169" s="104" t="n"/>
      <c r="AZ169" s="104" t="n"/>
      <c r="BA169" s="104" t="n"/>
      <c r="BB169" s="104" t="n"/>
      <c r="BC169" s="104" t="n"/>
      <c r="BD169" s="104" t="n"/>
      <c r="BE169" s="104" t="n"/>
      <c r="BF169" s="104" t="n"/>
      <c r="BG169" s="104" t="n"/>
      <c r="BH169" s="104" t="n"/>
      <c r="BI169" s="104" t="n"/>
      <c r="BJ169" s="104" t="n"/>
      <c r="BK169" s="104" t="n"/>
      <c r="BL169" s="104" t="n"/>
      <c r="BM169" s="104" t="n"/>
      <c r="BN169" s="104" t="n"/>
      <c r="BO169" s="104" t="n"/>
      <c r="BP169" s="104" t="n"/>
      <c r="BQ169" s="104" t="n"/>
      <c r="BR169" s="104" t="n"/>
      <c r="BS169" s="104" t="n"/>
      <c r="BT169" s="104" t="n"/>
      <c r="BU169" s="104" t="n"/>
      <c r="BV169" s="104" t="n"/>
      <c r="BW169" s="104" t="n"/>
      <c r="BX169" s="104" t="n"/>
    </row>
    <row r="170">
      <c r="B170" s="64" t="n"/>
      <c r="C170" s="104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  <c r="AA170" s="104" t="n"/>
      <c r="AB170" s="104" t="n"/>
      <c r="AC170" s="104" t="n"/>
      <c r="AD170" s="104" t="n"/>
      <c r="AE170" s="104" t="n"/>
      <c r="AF170" s="104" t="n"/>
      <c r="AG170" s="104" t="n"/>
      <c r="AH170" s="104" t="n"/>
      <c r="AI170" s="104" t="n"/>
      <c r="AJ170" s="104" t="n"/>
      <c r="AK170" s="104" t="n"/>
      <c r="AL170" s="104" t="n"/>
      <c r="AM170" s="104" t="n"/>
      <c r="AN170" s="104" t="n"/>
      <c r="AO170" s="104" t="n"/>
      <c r="AP170" s="104" t="n"/>
      <c r="AQ170" s="104" t="n"/>
      <c r="AR170" s="104" t="n"/>
      <c r="AS170" s="104" t="n"/>
      <c r="AT170" s="104" t="n"/>
      <c r="AU170" s="104" t="n"/>
      <c r="AV170" s="104" t="n"/>
      <c r="AW170" s="104" t="n"/>
      <c r="AX170" s="104" t="n"/>
      <c r="AY170" s="104" t="n"/>
      <c r="AZ170" s="104" t="n"/>
      <c r="BA170" s="104" t="n"/>
      <c r="BB170" s="104" t="n"/>
      <c r="BC170" s="104" t="n"/>
      <c r="BD170" s="104" t="n"/>
      <c r="BE170" s="104" t="n"/>
      <c r="BF170" s="104" t="n"/>
      <c r="BG170" s="104" t="n"/>
      <c r="BH170" s="104" t="n"/>
      <c r="BI170" s="104" t="n"/>
      <c r="BJ170" s="104" t="n"/>
      <c r="BK170" s="104" t="n"/>
      <c r="BL170" s="104" t="n"/>
      <c r="BM170" s="104" t="n"/>
      <c r="BN170" s="104" t="n"/>
      <c r="BO170" s="104" t="n"/>
      <c r="BP170" s="104" t="n"/>
      <c r="BQ170" s="104" t="n"/>
      <c r="BR170" s="104" t="n"/>
      <c r="BS170" s="104" t="n"/>
      <c r="BT170" s="104" t="n"/>
      <c r="BU170" s="104" t="n"/>
      <c r="BV170" s="104" t="n"/>
      <c r="BW170" s="104" t="n"/>
      <c r="BX170" s="104" t="n"/>
    </row>
    <row r="171">
      <c r="B171" s="64" t="n"/>
      <c r="C171" s="104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  <c r="AA171" s="104" t="n"/>
      <c r="AB171" s="104" t="n"/>
      <c r="AC171" s="104" t="n"/>
      <c r="AD171" s="104" t="n"/>
      <c r="AE171" s="104" t="n"/>
      <c r="AF171" s="104" t="n"/>
      <c r="AG171" s="104" t="n"/>
      <c r="AH171" s="104" t="n"/>
      <c r="AI171" s="104" t="n"/>
      <c r="AJ171" s="104" t="n"/>
      <c r="AK171" s="104" t="n"/>
      <c r="AL171" s="104" t="n"/>
      <c r="AM171" s="104" t="n"/>
      <c r="AN171" s="104" t="n"/>
      <c r="AO171" s="104" t="n"/>
      <c r="AP171" s="104" t="n"/>
      <c r="AQ171" s="104" t="n"/>
      <c r="AR171" s="104" t="n"/>
      <c r="AS171" s="104" t="n"/>
      <c r="AT171" s="104" t="n"/>
      <c r="AU171" s="104" t="n"/>
      <c r="AV171" s="104" t="n"/>
      <c r="AW171" s="104" t="n"/>
      <c r="AX171" s="104" t="n"/>
      <c r="AY171" s="104" t="n"/>
      <c r="AZ171" s="104" t="n"/>
      <c r="BA171" s="104" t="n"/>
      <c r="BB171" s="104" t="n"/>
      <c r="BC171" s="104" t="n"/>
      <c r="BD171" s="104" t="n"/>
      <c r="BE171" s="104" t="n"/>
      <c r="BF171" s="104" t="n"/>
      <c r="BG171" s="104" t="n"/>
      <c r="BH171" s="104" t="n"/>
      <c r="BI171" s="104" t="n"/>
      <c r="BJ171" s="104" t="n"/>
      <c r="BK171" s="104" t="n"/>
      <c r="BL171" s="104" t="n"/>
      <c r="BM171" s="104" t="n"/>
      <c r="BN171" s="104" t="n"/>
      <c r="BO171" s="104" t="n"/>
      <c r="BP171" s="104" t="n"/>
      <c r="BQ171" s="104" t="n"/>
      <c r="BR171" s="104" t="n"/>
      <c r="BS171" s="104" t="n"/>
      <c r="BT171" s="104" t="n"/>
      <c r="BU171" s="104" t="n"/>
      <c r="BV171" s="104" t="n"/>
      <c r="BW171" s="104" t="n"/>
      <c r="BX171" s="104" t="n"/>
    </row>
    <row r="172">
      <c r="B172" s="64" t="n"/>
      <c r="C172" s="104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  <c r="AA172" s="104" t="n"/>
      <c r="AB172" s="104" t="n"/>
      <c r="AC172" s="104" t="n"/>
      <c r="AD172" s="104" t="n"/>
      <c r="AE172" s="104" t="n"/>
      <c r="AF172" s="104" t="n"/>
      <c r="AG172" s="104" t="n"/>
      <c r="AH172" s="104" t="n"/>
      <c r="AI172" s="104" t="n"/>
      <c r="AJ172" s="104" t="n"/>
      <c r="AK172" s="104" t="n"/>
      <c r="AL172" s="104" t="n"/>
      <c r="AM172" s="104" t="n"/>
      <c r="AN172" s="104" t="n"/>
      <c r="AO172" s="104" t="n"/>
      <c r="AP172" s="104" t="n"/>
      <c r="AQ172" s="104" t="n"/>
      <c r="AR172" s="104" t="n"/>
      <c r="AS172" s="104" t="n"/>
      <c r="AT172" s="104" t="n"/>
      <c r="AU172" s="104" t="n"/>
      <c r="AV172" s="104" t="n"/>
      <c r="AW172" s="104" t="n"/>
      <c r="AX172" s="104" t="n"/>
      <c r="AY172" s="104" t="n"/>
      <c r="AZ172" s="104" t="n"/>
      <c r="BA172" s="104" t="n"/>
      <c r="BB172" s="104" t="n"/>
      <c r="BC172" s="104" t="n"/>
      <c r="BD172" s="104" t="n"/>
      <c r="BE172" s="104" t="n"/>
      <c r="BF172" s="104" t="n"/>
      <c r="BG172" s="104" t="n"/>
      <c r="BH172" s="104" t="n"/>
      <c r="BI172" s="104" t="n"/>
      <c r="BJ172" s="104" t="n"/>
      <c r="BK172" s="104" t="n"/>
      <c r="BL172" s="104" t="n"/>
      <c r="BM172" s="104" t="n"/>
      <c r="BN172" s="104" t="n"/>
      <c r="BO172" s="104" t="n"/>
      <c r="BP172" s="104" t="n"/>
      <c r="BQ172" s="104" t="n"/>
      <c r="BR172" s="104" t="n"/>
      <c r="BS172" s="104" t="n"/>
      <c r="BT172" s="104" t="n"/>
      <c r="BU172" s="104" t="n"/>
      <c r="BV172" s="104" t="n"/>
      <c r="BW172" s="104" t="n"/>
      <c r="BX172" s="104" t="n"/>
    </row>
    <row r="173">
      <c r="B173" s="64" t="n"/>
      <c r="C173" s="104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  <c r="AA173" s="104" t="n"/>
      <c r="AB173" s="104" t="n"/>
      <c r="AC173" s="104" t="n"/>
      <c r="AD173" s="104" t="n"/>
      <c r="AE173" s="104" t="n"/>
      <c r="AF173" s="104" t="n"/>
      <c r="AG173" s="104" t="n"/>
      <c r="AH173" s="104" t="n"/>
      <c r="AI173" s="104" t="n"/>
      <c r="AJ173" s="104" t="n"/>
      <c r="AK173" s="104" t="n"/>
      <c r="AL173" s="104" t="n"/>
      <c r="AM173" s="104" t="n"/>
      <c r="AN173" s="104" t="n"/>
      <c r="AO173" s="104" t="n"/>
      <c r="AP173" s="104" t="n"/>
      <c r="AQ173" s="104" t="n"/>
      <c r="AR173" s="104" t="n"/>
      <c r="AS173" s="104" t="n"/>
      <c r="AT173" s="104" t="n"/>
      <c r="AU173" s="104" t="n"/>
      <c r="AV173" s="104" t="n"/>
      <c r="AW173" s="104" t="n"/>
      <c r="AX173" s="104" t="n"/>
      <c r="AY173" s="104" t="n"/>
      <c r="AZ173" s="104" t="n"/>
      <c r="BA173" s="104" t="n"/>
      <c r="BB173" s="104" t="n"/>
      <c r="BC173" s="104" t="n"/>
      <c r="BD173" s="104" t="n"/>
      <c r="BE173" s="104" t="n"/>
      <c r="BF173" s="104" t="n"/>
      <c r="BG173" s="104" t="n"/>
      <c r="BH173" s="104" t="n"/>
      <c r="BI173" s="104" t="n"/>
      <c r="BJ173" s="104" t="n"/>
      <c r="BK173" s="104" t="n"/>
      <c r="BL173" s="104" t="n"/>
      <c r="BM173" s="104" t="n"/>
      <c r="BN173" s="104" t="n"/>
      <c r="BO173" s="104" t="n"/>
      <c r="BP173" s="104" t="n"/>
      <c r="BQ173" s="104" t="n"/>
      <c r="BR173" s="104" t="n"/>
      <c r="BS173" s="104" t="n"/>
      <c r="BT173" s="104" t="n"/>
      <c r="BU173" s="104" t="n"/>
      <c r="BV173" s="104" t="n"/>
      <c r="BW173" s="104" t="n"/>
      <c r="BX173" s="104" t="n"/>
    </row>
    <row r="174">
      <c r="B174" s="64" t="n"/>
      <c r="C174" s="104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  <c r="AA174" s="104" t="n"/>
      <c r="AB174" s="104" t="n"/>
      <c r="AC174" s="104" t="n"/>
      <c r="AD174" s="104" t="n"/>
      <c r="AE174" s="104" t="n"/>
      <c r="AF174" s="104" t="n"/>
      <c r="AG174" s="104" t="n"/>
      <c r="AH174" s="104" t="n"/>
      <c r="AI174" s="104" t="n"/>
      <c r="AJ174" s="104" t="n"/>
      <c r="AK174" s="104" t="n"/>
      <c r="AL174" s="104" t="n"/>
      <c r="AM174" s="104" t="n"/>
      <c r="AN174" s="104" t="n"/>
      <c r="AO174" s="104" t="n"/>
      <c r="AP174" s="104" t="n"/>
      <c r="AQ174" s="104" t="n"/>
      <c r="AR174" s="104" t="n"/>
      <c r="AS174" s="104" t="n"/>
      <c r="AT174" s="104" t="n"/>
      <c r="AU174" s="104" t="n"/>
      <c r="AV174" s="104" t="n"/>
      <c r="AW174" s="104" t="n"/>
      <c r="AX174" s="104" t="n"/>
      <c r="AY174" s="104" t="n"/>
      <c r="AZ174" s="104" t="n"/>
      <c r="BA174" s="104" t="n"/>
      <c r="BB174" s="104" t="n"/>
      <c r="BC174" s="104" t="n"/>
      <c r="BD174" s="104" t="n"/>
      <c r="BE174" s="104" t="n"/>
      <c r="BF174" s="104" t="n"/>
      <c r="BG174" s="104" t="n"/>
      <c r="BH174" s="104" t="n"/>
      <c r="BI174" s="104" t="n"/>
      <c r="BJ174" s="104" t="n"/>
      <c r="BK174" s="104" t="n"/>
      <c r="BL174" s="104" t="n"/>
      <c r="BM174" s="104" t="n"/>
      <c r="BN174" s="104" t="n"/>
      <c r="BO174" s="104" t="n"/>
      <c r="BP174" s="104" t="n"/>
      <c r="BQ174" s="104" t="n"/>
      <c r="BR174" s="104" t="n"/>
      <c r="BS174" s="104" t="n"/>
      <c r="BT174" s="104" t="n"/>
      <c r="BU174" s="104" t="n"/>
      <c r="BV174" s="104" t="n"/>
      <c r="BW174" s="104" t="n"/>
      <c r="BX174" s="104" t="n"/>
    </row>
    <row r="175">
      <c r="B175" s="64" t="n"/>
      <c r="C175" s="104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  <c r="AA175" s="104" t="n"/>
      <c r="AB175" s="104" t="n"/>
      <c r="AC175" s="104" t="n"/>
      <c r="AD175" s="104" t="n"/>
      <c r="AE175" s="104" t="n"/>
      <c r="AF175" s="104" t="n"/>
      <c r="AG175" s="104" t="n"/>
      <c r="AH175" s="104" t="n"/>
      <c r="AI175" s="104" t="n"/>
      <c r="AJ175" s="104" t="n"/>
      <c r="AK175" s="104" t="n"/>
      <c r="AL175" s="104" t="n"/>
      <c r="AM175" s="104" t="n"/>
      <c r="AN175" s="104" t="n"/>
      <c r="AO175" s="104" t="n"/>
      <c r="AP175" s="104" t="n"/>
      <c r="AQ175" s="104" t="n"/>
      <c r="AR175" s="104" t="n"/>
      <c r="AS175" s="104" t="n"/>
      <c r="AT175" s="104" t="n"/>
      <c r="AU175" s="104" t="n"/>
      <c r="AV175" s="104" t="n"/>
      <c r="AW175" s="104" t="n"/>
      <c r="AX175" s="104" t="n"/>
      <c r="AY175" s="104" t="n"/>
      <c r="AZ175" s="104" t="n"/>
      <c r="BA175" s="104" t="n"/>
      <c r="BB175" s="104" t="n"/>
      <c r="BC175" s="104" t="n"/>
      <c r="BD175" s="104" t="n"/>
      <c r="BE175" s="104" t="n"/>
      <c r="BF175" s="104" t="n"/>
      <c r="BG175" s="104" t="n"/>
      <c r="BH175" s="104" t="n"/>
      <c r="BI175" s="104" t="n"/>
      <c r="BJ175" s="104" t="n"/>
      <c r="BK175" s="104" t="n"/>
      <c r="BL175" s="104" t="n"/>
      <c r="BM175" s="104" t="n"/>
      <c r="BN175" s="104" t="n"/>
      <c r="BO175" s="104" t="n"/>
      <c r="BP175" s="104" t="n"/>
      <c r="BQ175" s="104" t="n"/>
      <c r="BR175" s="104" t="n"/>
      <c r="BS175" s="104" t="n"/>
      <c r="BT175" s="104" t="n"/>
      <c r="BU175" s="104" t="n"/>
      <c r="BV175" s="104" t="n"/>
      <c r="BW175" s="104" t="n"/>
      <c r="BX175" s="104" t="n"/>
    </row>
    <row r="176">
      <c r="B176" s="64" t="n"/>
      <c r="C176" s="104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G176" s="104" t="n"/>
      <c r="AH176" s="104" t="n"/>
      <c r="AI176" s="104" t="n"/>
      <c r="AJ176" s="104" t="n"/>
      <c r="AK176" s="104" t="n"/>
      <c r="AL176" s="104" t="n"/>
      <c r="AM176" s="104" t="n"/>
      <c r="AN176" s="104" t="n"/>
      <c r="AO176" s="104" t="n"/>
      <c r="AP176" s="104" t="n"/>
      <c r="AQ176" s="104" t="n"/>
      <c r="AR176" s="104" t="n"/>
      <c r="AS176" s="104" t="n"/>
      <c r="AT176" s="104" t="n"/>
      <c r="AU176" s="104" t="n"/>
      <c r="AV176" s="104" t="n"/>
      <c r="AW176" s="104" t="n"/>
      <c r="AX176" s="104" t="n"/>
      <c r="AY176" s="104" t="n"/>
      <c r="AZ176" s="104" t="n"/>
      <c r="BA176" s="104" t="n"/>
      <c r="BB176" s="104" t="n"/>
      <c r="BC176" s="104" t="n"/>
      <c r="BD176" s="104" t="n"/>
      <c r="BE176" s="104" t="n"/>
      <c r="BF176" s="104" t="n"/>
      <c r="BG176" s="104" t="n"/>
      <c r="BH176" s="104" t="n"/>
      <c r="BI176" s="104" t="n"/>
      <c r="BJ176" s="104" t="n"/>
      <c r="BK176" s="104" t="n"/>
      <c r="BL176" s="104" t="n"/>
      <c r="BM176" s="104" t="n"/>
      <c r="BN176" s="104" t="n"/>
      <c r="BO176" s="104" t="n"/>
      <c r="BP176" s="104" t="n"/>
      <c r="BQ176" s="104" t="n"/>
      <c r="BR176" s="104" t="n"/>
      <c r="BS176" s="104" t="n"/>
      <c r="BT176" s="104" t="n"/>
      <c r="BU176" s="104" t="n"/>
      <c r="BV176" s="104" t="n"/>
      <c r="BW176" s="104" t="n"/>
      <c r="BX176" s="104" t="n"/>
    </row>
    <row r="177">
      <c r="B177" s="64" t="n"/>
      <c r="C177" s="104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  <c r="AA177" s="104" t="n"/>
      <c r="AB177" s="104" t="n"/>
      <c r="AC177" s="104" t="n"/>
      <c r="AD177" s="104" t="n"/>
      <c r="AE177" s="104" t="n"/>
      <c r="AF177" s="104" t="n"/>
      <c r="AG177" s="104" t="n"/>
      <c r="AH177" s="104" t="n"/>
      <c r="AI177" s="104" t="n"/>
      <c r="AJ177" s="104" t="n"/>
      <c r="AK177" s="104" t="n"/>
      <c r="AL177" s="104" t="n"/>
      <c r="AM177" s="104" t="n"/>
      <c r="AN177" s="104" t="n"/>
      <c r="AO177" s="104" t="n"/>
      <c r="AP177" s="104" t="n"/>
      <c r="AQ177" s="104" t="n"/>
      <c r="AR177" s="104" t="n"/>
      <c r="AS177" s="104" t="n"/>
      <c r="AT177" s="104" t="n"/>
      <c r="AU177" s="104" t="n"/>
      <c r="AV177" s="104" t="n"/>
      <c r="AW177" s="104" t="n"/>
      <c r="AX177" s="104" t="n"/>
      <c r="AY177" s="104" t="n"/>
      <c r="AZ177" s="104" t="n"/>
      <c r="BA177" s="104" t="n"/>
      <c r="BB177" s="104" t="n"/>
      <c r="BC177" s="104" t="n"/>
      <c r="BD177" s="104" t="n"/>
      <c r="BE177" s="104" t="n"/>
      <c r="BF177" s="104" t="n"/>
      <c r="BG177" s="104" t="n"/>
      <c r="BH177" s="104" t="n"/>
      <c r="BI177" s="104" t="n"/>
      <c r="BJ177" s="104" t="n"/>
      <c r="BK177" s="104" t="n"/>
      <c r="BL177" s="104" t="n"/>
      <c r="BM177" s="104" t="n"/>
      <c r="BN177" s="104" t="n"/>
      <c r="BO177" s="104" t="n"/>
      <c r="BP177" s="104" t="n"/>
      <c r="BQ177" s="104" t="n"/>
      <c r="BR177" s="104" t="n"/>
      <c r="BS177" s="104" t="n"/>
      <c r="BT177" s="104" t="n"/>
      <c r="BU177" s="104" t="n"/>
      <c r="BV177" s="104" t="n"/>
      <c r="BW177" s="104" t="n"/>
      <c r="BX177" s="104" t="n"/>
    </row>
    <row r="178">
      <c r="B178" s="64" t="n"/>
      <c r="C178" s="104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  <c r="AA178" s="104" t="n"/>
      <c r="AB178" s="104" t="n"/>
      <c r="AC178" s="104" t="n"/>
      <c r="AD178" s="104" t="n"/>
      <c r="AE178" s="104" t="n"/>
      <c r="AF178" s="104" t="n"/>
      <c r="AG178" s="104" t="n"/>
      <c r="AH178" s="104" t="n"/>
      <c r="AI178" s="104" t="n"/>
      <c r="AJ178" s="104" t="n"/>
      <c r="AK178" s="104" t="n"/>
      <c r="AL178" s="104" t="n"/>
      <c r="AM178" s="104" t="n"/>
      <c r="AN178" s="104" t="n"/>
      <c r="AO178" s="104" t="n"/>
      <c r="AP178" s="104" t="n"/>
      <c r="AQ178" s="104" t="n"/>
      <c r="AR178" s="104" t="n"/>
      <c r="AS178" s="104" t="n"/>
      <c r="AT178" s="104" t="n"/>
      <c r="AU178" s="104" t="n"/>
      <c r="AV178" s="104" t="n"/>
      <c r="AW178" s="104" t="n"/>
      <c r="AX178" s="104" t="n"/>
      <c r="AY178" s="104" t="n"/>
      <c r="AZ178" s="104" t="n"/>
      <c r="BA178" s="104" t="n"/>
      <c r="BB178" s="104" t="n"/>
      <c r="BC178" s="104" t="n"/>
      <c r="BD178" s="104" t="n"/>
      <c r="BE178" s="104" t="n"/>
      <c r="BF178" s="104" t="n"/>
      <c r="BG178" s="104" t="n"/>
      <c r="BH178" s="104" t="n"/>
      <c r="BI178" s="104" t="n"/>
      <c r="BJ178" s="104" t="n"/>
      <c r="BK178" s="104" t="n"/>
      <c r="BL178" s="104" t="n"/>
      <c r="BM178" s="104" t="n"/>
      <c r="BN178" s="104" t="n"/>
      <c r="BO178" s="104" t="n"/>
      <c r="BP178" s="104" t="n"/>
      <c r="BQ178" s="104" t="n"/>
      <c r="BR178" s="104" t="n"/>
      <c r="BS178" s="104" t="n"/>
      <c r="BT178" s="104" t="n"/>
      <c r="BU178" s="104" t="n"/>
      <c r="BV178" s="104" t="n"/>
      <c r="BW178" s="104" t="n"/>
      <c r="BX178" s="104" t="n"/>
    </row>
    <row r="179">
      <c r="B179" s="64" t="n"/>
      <c r="C179" s="104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  <c r="AA179" s="104" t="n"/>
      <c r="AB179" s="104" t="n"/>
      <c r="AC179" s="104" t="n"/>
      <c r="AD179" s="104" t="n"/>
      <c r="AE179" s="104" t="n"/>
      <c r="AF179" s="104" t="n"/>
      <c r="AG179" s="104" t="n"/>
      <c r="AH179" s="104" t="n"/>
      <c r="AI179" s="104" t="n"/>
      <c r="AJ179" s="104" t="n"/>
      <c r="AK179" s="104" t="n"/>
      <c r="AL179" s="104" t="n"/>
      <c r="AM179" s="104" t="n"/>
      <c r="AN179" s="104" t="n"/>
      <c r="AO179" s="104" t="n"/>
      <c r="AP179" s="104" t="n"/>
      <c r="AQ179" s="104" t="n"/>
      <c r="AR179" s="104" t="n"/>
      <c r="AS179" s="104" t="n"/>
      <c r="AT179" s="104" t="n"/>
      <c r="AU179" s="104" t="n"/>
      <c r="AV179" s="104" t="n"/>
      <c r="AW179" s="104" t="n"/>
      <c r="AX179" s="104" t="n"/>
      <c r="AY179" s="104" t="n"/>
      <c r="AZ179" s="104" t="n"/>
      <c r="BA179" s="104" t="n"/>
      <c r="BB179" s="104" t="n"/>
      <c r="BC179" s="104" t="n"/>
      <c r="BD179" s="104" t="n"/>
      <c r="BE179" s="104" t="n"/>
      <c r="BF179" s="104" t="n"/>
      <c r="BG179" s="104" t="n"/>
      <c r="BH179" s="104" t="n"/>
      <c r="BI179" s="104" t="n"/>
      <c r="BJ179" s="104" t="n"/>
      <c r="BK179" s="104" t="n"/>
      <c r="BL179" s="104" t="n"/>
      <c r="BM179" s="104" t="n"/>
      <c r="BN179" s="104" t="n"/>
      <c r="BO179" s="104" t="n"/>
      <c r="BP179" s="104" t="n"/>
      <c r="BQ179" s="104" t="n"/>
      <c r="BR179" s="104" t="n"/>
      <c r="BS179" s="104" t="n"/>
      <c r="BT179" s="104" t="n"/>
      <c r="BU179" s="104" t="n"/>
      <c r="BV179" s="104" t="n"/>
      <c r="BW179" s="104" t="n"/>
      <c r="BX179" s="104" t="n"/>
    </row>
    <row r="180">
      <c r="B180" s="64" t="n"/>
      <c r="C180" s="104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  <c r="AA180" s="104" t="n"/>
      <c r="AB180" s="104" t="n"/>
      <c r="AC180" s="104" t="n"/>
      <c r="AD180" s="104" t="n"/>
      <c r="AE180" s="104" t="n"/>
      <c r="AF180" s="104" t="n"/>
      <c r="AG180" s="104" t="n"/>
      <c r="AH180" s="104" t="n"/>
      <c r="AI180" s="104" t="n"/>
      <c r="AJ180" s="104" t="n"/>
      <c r="AK180" s="104" t="n"/>
      <c r="AL180" s="104" t="n"/>
      <c r="AM180" s="104" t="n"/>
      <c r="AN180" s="104" t="n"/>
      <c r="AO180" s="104" t="n"/>
      <c r="AP180" s="104" t="n"/>
      <c r="AQ180" s="104" t="n"/>
      <c r="AR180" s="104" t="n"/>
      <c r="AS180" s="104" t="n"/>
      <c r="AT180" s="104" t="n"/>
      <c r="AU180" s="104" t="n"/>
      <c r="AV180" s="104" t="n"/>
      <c r="AW180" s="104" t="n"/>
      <c r="AX180" s="104" t="n"/>
      <c r="AY180" s="104" t="n"/>
      <c r="AZ180" s="104" t="n"/>
      <c r="BA180" s="104" t="n"/>
      <c r="BB180" s="104" t="n"/>
      <c r="BC180" s="104" t="n"/>
      <c r="BD180" s="104" t="n"/>
      <c r="BE180" s="104" t="n"/>
      <c r="BF180" s="104" t="n"/>
      <c r="BG180" s="104" t="n"/>
      <c r="BH180" s="104" t="n"/>
      <c r="BI180" s="104" t="n"/>
      <c r="BJ180" s="104" t="n"/>
      <c r="BK180" s="104" t="n"/>
      <c r="BL180" s="104" t="n"/>
      <c r="BM180" s="104" t="n"/>
      <c r="BN180" s="104" t="n"/>
      <c r="BO180" s="104" t="n"/>
      <c r="BP180" s="104" t="n"/>
      <c r="BQ180" s="104" t="n"/>
      <c r="BR180" s="104" t="n"/>
      <c r="BS180" s="104" t="n"/>
      <c r="BT180" s="104" t="n"/>
      <c r="BU180" s="104" t="n"/>
      <c r="BV180" s="104" t="n"/>
      <c r="BW180" s="104" t="n"/>
      <c r="BX180" s="104" t="n"/>
    </row>
    <row r="181">
      <c r="B181" s="64" t="n"/>
      <c r="C181" s="104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  <c r="AA181" s="104" t="n"/>
      <c r="AB181" s="104" t="n"/>
      <c r="AC181" s="104" t="n"/>
      <c r="AD181" s="104" t="n"/>
      <c r="AE181" s="104" t="n"/>
      <c r="AF181" s="104" t="n"/>
      <c r="AG181" s="104" t="n"/>
      <c r="AH181" s="104" t="n"/>
      <c r="AI181" s="104" t="n"/>
      <c r="AJ181" s="104" t="n"/>
      <c r="AK181" s="104" t="n"/>
      <c r="AL181" s="104" t="n"/>
      <c r="AM181" s="104" t="n"/>
      <c r="AN181" s="104" t="n"/>
      <c r="AO181" s="104" t="n"/>
      <c r="AP181" s="104" t="n"/>
      <c r="AQ181" s="104" t="n"/>
      <c r="AR181" s="104" t="n"/>
      <c r="AS181" s="104" t="n"/>
      <c r="AT181" s="104" t="n"/>
      <c r="AU181" s="104" t="n"/>
      <c r="AV181" s="104" t="n"/>
      <c r="AW181" s="104" t="n"/>
      <c r="AX181" s="104" t="n"/>
      <c r="AY181" s="104" t="n"/>
      <c r="AZ181" s="104" t="n"/>
      <c r="BA181" s="104" t="n"/>
      <c r="BB181" s="104" t="n"/>
      <c r="BC181" s="104" t="n"/>
      <c r="BD181" s="104" t="n"/>
      <c r="BE181" s="104" t="n"/>
      <c r="BF181" s="104" t="n"/>
      <c r="BG181" s="104" t="n"/>
      <c r="BH181" s="104" t="n"/>
      <c r="BI181" s="104" t="n"/>
      <c r="BJ181" s="104" t="n"/>
      <c r="BK181" s="104" t="n"/>
      <c r="BL181" s="104" t="n"/>
      <c r="BM181" s="104" t="n"/>
      <c r="BN181" s="104" t="n"/>
      <c r="BO181" s="104" t="n"/>
      <c r="BP181" s="104" t="n"/>
      <c r="BQ181" s="104" t="n"/>
      <c r="BR181" s="104" t="n"/>
      <c r="BS181" s="104" t="n"/>
      <c r="BT181" s="104" t="n"/>
      <c r="BU181" s="104" t="n"/>
      <c r="BV181" s="104" t="n"/>
      <c r="BW181" s="104" t="n"/>
      <c r="BX181" s="104" t="n"/>
    </row>
    <row r="182">
      <c r="B182" s="64" t="n"/>
      <c r="C182" s="104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  <c r="AA182" s="104" t="n"/>
      <c r="AB182" s="104" t="n"/>
      <c r="AC182" s="104" t="n"/>
      <c r="AD182" s="104" t="n"/>
      <c r="AE182" s="104" t="n"/>
      <c r="AF182" s="104" t="n"/>
      <c r="AG182" s="104" t="n"/>
      <c r="AH182" s="104" t="n"/>
      <c r="AI182" s="104" t="n"/>
      <c r="AJ182" s="104" t="n"/>
      <c r="AK182" s="104" t="n"/>
      <c r="AL182" s="104" t="n"/>
      <c r="AM182" s="104" t="n"/>
      <c r="AN182" s="104" t="n"/>
      <c r="AO182" s="104" t="n"/>
      <c r="AP182" s="104" t="n"/>
      <c r="AQ182" s="104" t="n"/>
      <c r="AR182" s="104" t="n"/>
      <c r="AS182" s="104" t="n"/>
      <c r="AT182" s="104" t="n"/>
      <c r="AU182" s="104" t="n"/>
      <c r="AV182" s="104" t="n"/>
      <c r="AW182" s="104" t="n"/>
      <c r="AX182" s="104" t="n"/>
      <c r="AY182" s="104" t="n"/>
      <c r="AZ182" s="104" t="n"/>
      <c r="BA182" s="104" t="n"/>
      <c r="BB182" s="104" t="n"/>
      <c r="BC182" s="104" t="n"/>
      <c r="BD182" s="104" t="n"/>
      <c r="BE182" s="104" t="n"/>
      <c r="BF182" s="104" t="n"/>
      <c r="BG182" s="104" t="n"/>
      <c r="BH182" s="104" t="n"/>
      <c r="BI182" s="104" t="n"/>
      <c r="BJ182" s="104" t="n"/>
      <c r="BK182" s="104" t="n"/>
      <c r="BL182" s="104" t="n"/>
      <c r="BM182" s="104" t="n"/>
      <c r="BN182" s="104" t="n"/>
      <c r="BO182" s="104" t="n"/>
      <c r="BP182" s="104" t="n"/>
      <c r="BQ182" s="104" t="n"/>
      <c r="BR182" s="104" t="n"/>
      <c r="BS182" s="104" t="n"/>
      <c r="BT182" s="104" t="n"/>
      <c r="BU182" s="104" t="n"/>
      <c r="BV182" s="104" t="n"/>
      <c r="BW182" s="104" t="n"/>
      <c r="BX182" s="104" t="n"/>
    </row>
    <row r="183">
      <c r="B183" s="64" t="n"/>
      <c r="C183" s="104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  <c r="AA183" s="104" t="n"/>
      <c r="AB183" s="104" t="n"/>
      <c r="AC183" s="104" t="n"/>
      <c r="AD183" s="104" t="n"/>
      <c r="AE183" s="104" t="n"/>
      <c r="AF183" s="104" t="n"/>
      <c r="AG183" s="104" t="n"/>
      <c r="AH183" s="104" t="n"/>
      <c r="AI183" s="104" t="n"/>
      <c r="AJ183" s="104" t="n"/>
      <c r="AK183" s="104" t="n"/>
      <c r="AL183" s="104" t="n"/>
      <c r="AM183" s="104" t="n"/>
      <c r="AN183" s="104" t="n"/>
      <c r="AO183" s="104" t="n"/>
      <c r="AP183" s="104" t="n"/>
      <c r="AQ183" s="104" t="n"/>
      <c r="AR183" s="104" t="n"/>
      <c r="AS183" s="104" t="n"/>
      <c r="AT183" s="104" t="n"/>
      <c r="AU183" s="104" t="n"/>
      <c r="AV183" s="104" t="n"/>
      <c r="AW183" s="104" t="n"/>
      <c r="AX183" s="104" t="n"/>
      <c r="AY183" s="104" t="n"/>
      <c r="AZ183" s="104" t="n"/>
      <c r="BA183" s="104" t="n"/>
      <c r="BB183" s="104" t="n"/>
      <c r="BC183" s="104" t="n"/>
      <c r="BD183" s="104" t="n"/>
      <c r="BE183" s="104" t="n"/>
      <c r="BF183" s="104" t="n"/>
      <c r="BG183" s="104" t="n"/>
      <c r="BH183" s="104" t="n"/>
      <c r="BI183" s="104" t="n"/>
      <c r="BJ183" s="104" t="n"/>
      <c r="BK183" s="104" t="n"/>
      <c r="BL183" s="104" t="n"/>
      <c r="BM183" s="104" t="n"/>
      <c r="BN183" s="104" t="n"/>
      <c r="BO183" s="104" t="n"/>
      <c r="BP183" s="104" t="n"/>
      <c r="BQ183" s="104" t="n"/>
      <c r="BR183" s="104" t="n"/>
      <c r="BS183" s="104" t="n"/>
      <c r="BT183" s="104" t="n"/>
      <c r="BU183" s="104" t="n"/>
      <c r="BV183" s="104" t="n"/>
      <c r="BW183" s="104" t="n"/>
      <c r="BX183" s="104" t="n"/>
    </row>
    <row r="184">
      <c r="B184" s="64" t="n"/>
      <c r="C184" s="104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  <c r="AA184" s="104" t="n"/>
      <c r="AB184" s="104" t="n"/>
      <c r="AC184" s="104" t="n"/>
      <c r="AD184" s="104" t="n"/>
      <c r="AE184" s="104" t="n"/>
      <c r="AF184" s="104" t="n"/>
      <c r="AG184" s="104" t="n"/>
      <c r="AH184" s="104" t="n"/>
      <c r="AI184" s="104" t="n"/>
      <c r="AJ184" s="104" t="n"/>
      <c r="AK184" s="104" t="n"/>
      <c r="AL184" s="104" t="n"/>
      <c r="AM184" s="104" t="n"/>
      <c r="AN184" s="104" t="n"/>
      <c r="AO184" s="104" t="n"/>
      <c r="AP184" s="104" t="n"/>
      <c r="AQ184" s="104" t="n"/>
      <c r="AR184" s="104" t="n"/>
      <c r="AS184" s="104" t="n"/>
      <c r="AT184" s="104" t="n"/>
      <c r="AU184" s="104" t="n"/>
      <c r="AV184" s="104" t="n"/>
      <c r="AW184" s="104" t="n"/>
      <c r="AX184" s="104" t="n"/>
      <c r="AY184" s="104" t="n"/>
      <c r="AZ184" s="104" t="n"/>
      <c r="BA184" s="104" t="n"/>
      <c r="BB184" s="104" t="n"/>
      <c r="BC184" s="104" t="n"/>
      <c r="BD184" s="104" t="n"/>
      <c r="BE184" s="104" t="n"/>
      <c r="BF184" s="104" t="n"/>
      <c r="BG184" s="104" t="n"/>
      <c r="BH184" s="104" t="n"/>
      <c r="BI184" s="104" t="n"/>
      <c r="BJ184" s="104" t="n"/>
      <c r="BK184" s="104" t="n"/>
      <c r="BL184" s="104" t="n"/>
      <c r="BM184" s="104" t="n"/>
      <c r="BN184" s="104" t="n"/>
      <c r="BO184" s="104" t="n"/>
      <c r="BP184" s="104" t="n"/>
      <c r="BQ184" s="104" t="n"/>
      <c r="BR184" s="104" t="n"/>
      <c r="BS184" s="104" t="n"/>
      <c r="BT184" s="104" t="n"/>
      <c r="BU184" s="104" t="n"/>
      <c r="BV184" s="104" t="n"/>
      <c r="BW184" s="104" t="n"/>
      <c r="BX184" s="104" t="n"/>
    </row>
    <row r="185">
      <c r="B185" s="64" t="n"/>
      <c r="C185" s="104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  <c r="AA185" s="104" t="n"/>
      <c r="AB185" s="104" t="n"/>
      <c r="AC185" s="104" t="n"/>
      <c r="AD185" s="104" t="n"/>
      <c r="AE185" s="104" t="n"/>
      <c r="AF185" s="104" t="n"/>
      <c r="AG185" s="104" t="n"/>
      <c r="AH185" s="104" t="n"/>
      <c r="AI185" s="104" t="n"/>
      <c r="AJ185" s="104" t="n"/>
      <c r="AK185" s="104" t="n"/>
      <c r="AL185" s="104" t="n"/>
      <c r="AM185" s="104" t="n"/>
      <c r="AN185" s="104" t="n"/>
      <c r="AO185" s="104" t="n"/>
      <c r="AP185" s="104" t="n"/>
      <c r="AQ185" s="104" t="n"/>
      <c r="AR185" s="104" t="n"/>
      <c r="AS185" s="104" t="n"/>
      <c r="AT185" s="104" t="n"/>
      <c r="AU185" s="104" t="n"/>
      <c r="AV185" s="104" t="n"/>
      <c r="AW185" s="104" t="n"/>
      <c r="AX185" s="104" t="n"/>
      <c r="AY185" s="104" t="n"/>
      <c r="AZ185" s="104" t="n"/>
      <c r="BA185" s="104" t="n"/>
      <c r="BB185" s="104" t="n"/>
      <c r="BC185" s="104" t="n"/>
      <c r="BD185" s="104" t="n"/>
      <c r="BE185" s="104" t="n"/>
      <c r="BF185" s="104" t="n"/>
      <c r="BG185" s="104" t="n"/>
      <c r="BH185" s="104" t="n"/>
      <c r="BI185" s="104" t="n"/>
      <c r="BJ185" s="104" t="n"/>
      <c r="BK185" s="104" t="n"/>
      <c r="BL185" s="104" t="n"/>
      <c r="BM185" s="104" t="n"/>
      <c r="BN185" s="104" t="n"/>
      <c r="BO185" s="104" t="n"/>
      <c r="BP185" s="104" t="n"/>
      <c r="BQ185" s="104" t="n"/>
      <c r="BR185" s="104" t="n"/>
      <c r="BS185" s="104" t="n"/>
      <c r="BT185" s="104" t="n"/>
      <c r="BU185" s="104" t="n"/>
      <c r="BV185" s="104" t="n"/>
      <c r="BW185" s="104" t="n"/>
      <c r="BX185" s="104" t="n"/>
    </row>
    <row r="186">
      <c r="B186" s="64" t="n"/>
      <c r="C186" s="104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  <c r="AA186" s="104" t="n"/>
      <c r="AB186" s="104" t="n"/>
      <c r="AC186" s="104" t="n"/>
      <c r="AD186" s="104" t="n"/>
      <c r="AE186" s="104" t="n"/>
      <c r="AF186" s="104" t="n"/>
      <c r="AG186" s="104" t="n"/>
      <c r="AH186" s="104" t="n"/>
      <c r="AI186" s="104" t="n"/>
      <c r="AJ186" s="104" t="n"/>
      <c r="AK186" s="104" t="n"/>
      <c r="AL186" s="104" t="n"/>
      <c r="AM186" s="104" t="n"/>
      <c r="AN186" s="104" t="n"/>
      <c r="AO186" s="104" t="n"/>
      <c r="AP186" s="104" t="n"/>
      <c r="AQ186" s="104" t="n"/>
      <c r="AR186" s="104" t="n"/>
      <c r="AS186" s="104" t="n"/>
      <c r="AT186" s="104" t="n"/>
      <c r="AU186" s="104" t="n"/>
      <c r="AV186" s="104" t="n"/>
      <c r="AW186" s="104" t="n"/>
      <c r="AX186" s="104" t="n"/>
      <c r="AY186" s="104" t="n"/>
      <c r="AZ186" s="104" t="n"/>
      <c r="BA186" s="104" t="n"/>
      <c r="BB186" s="104" t="n"/>
      <c r="BC186" s="104" t="n"/>
      <c r="BD186" s="104" t="n"/>
      <c r="BE186" s="104" t="n"/>
      <c r="BF186" s="104" t="n"/>
      <c r="BG186" s="104" t="n"/>
      <c r="BH186" s="104" t="n"/>
      <c r="BI186" s="104" t="n"/>
      <c r="BJ186" s="104" t="n"/>
      <c r="BK186" s="104" t="n"/>
      <c r="BL186" s="104" t="n"/>
      <c r="BM186" s="104" t="n"/>
      <c r="BN186" s="104" t="n"/>
      <c r="BO186" s="104" t="n"/>
      <c r="BP186" s="104" t="n"/>
      <c r="BQ186" s="104" t="n"/>
      <c r="BR186" s="104" t="n"/>
      <c r="BS186" s="104" t="n"/>
      <c r="BT186" s="104" t="n"/>
      <c r="BU186" s="104" t="n"/>
      <c r="BV186" s="104" t="n"/>
      <c r="BW186" s="104" t="n"/>
      <c r="BX186" s="104" t="n"/>
    </row>
    <row r="187">
      <c r="B187" s="64" t="n"/>
      <c r="C187" s="104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  <c r="AA187" s="104" t="n"/>
      <c r="AB187" s="104" t="n"/>
      <c r="AC187" s="104" t="n"/>
      <c r="AD187" s="104" t="n"/>
      <c r="AE187" s="104" t="n"/>
      <c r="AF187" s="104" t="n"/>
      <c r="AG187" s="104" t="n"/>
      <c r="AH187" s="104" t="n"/>
      <c r="AI187" s="104" t="n"/>
      <c r="AJ187" s="104" t="n"/>
      <c r="AK187" s="104" t="n"/>
      <c r="AL187" s="104" t="n"/>
      <c r="AM187" s="104" t="n"/>
      <c r="AN187" s="104" t="n"/>
      <c r="AO187" s="104" t="n"/>
      <c r="AP187" s="104" t="n"/>
      <c r="AQ187" s="104" t="n"/>
      <c r="AR187" s="104" t="n"/>
      <c r="AS187" s="104" t="n"/>
      <c r="AT187" s="104" t="n"/>
      <c r="AU187" s="104" t="n"/>
      <c r="AV187" s="104" t="n"/>
      <c r="AW187" s="104" t="n"/>
      <c r="AX187" s="104" t="n"/>
      <c r="AY187" s="104" t="n"/>
      <c r="AZ187" s="104" t="n"/>
      <c r="BA187" s="104" t="n"/>
      <c r="BB187" s="104" t="n"/>
      <c r="BC187" s="104" t="n"/>
      <c r="BD187" s="104" t="n"/>
      <c r="BE187" s="104" t="n"/>
      <c r="BF187" s="104" t="n"/>
      <c r="BG187" s="104" t="n"/>
      <c r="BH187" s="104" t="n"/>
      <c r="BI187" s="104" t="n"/>
      <c r="BJ187" s="104" t="n"/>
      <c r="BK187" s="104" t="n"/>
      <c r="BL187" s="104" t="n"/>
      <c r="BM187" s="104" t="n"/>
      <c r="BN187" s="104" t="n"/>
      <c r="BO187" s="104" t="n"/>
      <c r="BP187" s="104" t="n"/>
      <c r="BQ187" s="104" t="n"/>
      <c r="BR187" s="104" t="n"/>
      <c r="BS187" s="104" t="n"/>
      <c r="BT187" s="104" t="n"/>
      <c r="BU187" s="104" t="n"/>
      <c r="BV187" s="104" t="n"/>
      <c r="BW187" s="104" t="n"/>
      <c r="BX187" s="104" t="n"/>
    </row>
    <row r="188">
      <c r="B188" s="64" t="n"/>
      <c r="C188" s="104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  <c r="AA188" s="104" t="n"/>
      <c r="AB188" s="104" t="n"/>
      <c r="AC188" s="104" t="n"/>
      <c r="AD188" s="104" t="n"/>
      <c r="AE188" s="104" t="n"/>
      <c r="AF188" s="104" t="n"/>
      <c r="AG188" s="104" t="n"/>
      <c r="AH188" s="104" t="n"/>
      <c r="AI188" s="104" t="n"/>
      <c r="AJ188" s="104" t="n"/>
      <c r="AK188" s="104" t="n"/>
      <c r="AL188" s="104" t="n"/>
      <c r="AM188" s="104" t="n"/>
      <c r="AN188" s="104" t="n"/>
      <c r="AO188" s="104" t="n"/>
      <c r="AP188" s="104" t="n"/>
      <c r="AQ188" s="104" t="n"/>
      <c r="AR188" s="104" t="n"/>
      <c r="AS188" s="104" t="n"/>
      <c r="AT188" s="104" t="n"/>
      <c r="AU188" s="104" t="n"/>
      <c r="AV188" s="104" t="n"/>
      <c r="AW188" s="104" t="n"/>
      <c r="AX188" s="104" t="n"/>
      <c r="AY188" s="104" t="n"/>
      <c r="AZ188" s="104" t="n"/>
      <c r="BA188" s="104" t="n"/>
      <c r="BB188" s="104" t="n"/>
      <c r="BC188" s="104" t="n"/>
      <c r="BD188" s="104" t="n"/>
      <c r="BE188" s="104" t="n"/>
      <c r="BF188" s="104" t="n"/>
      <c r="BG188" s="104" t="n"/>
      <c r="BH188" s="104" t="n"/>
      <c r="BI188" s="104" t="n"/>
      <c r="BJ188" s="104" t="n"/>
      <c r="BK188" s="104" t="n"/>
      <c r="BL188" s="104" t="n"/>
      <c r="BM188" s="104" t="n"/>
      <c r="BN188" s="104" t="n"/>
      <c r="BO188" s="104" t="n"/>
      <c r="BP188" s="104" t="n"/>
      <c r="BQ188" s="104" t="n"/>
      <c r="BR188" s="104" t="n"/>
      <c r="BS188" s="104" t="n"/>
      <c r="BT188" s="104" t="n"/>
      <c r="BU188" s="104" t="n"/>
      <c r="BV188" s="104" t="n"/>
      <c r="BW188" s="104" t="n"/>
      <c r="BX188" s="104" t="n"/>
    </row>
    <row r="189">
      <c r="B189" s="64" t="n"/>
      <c r="C189" s="104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  <c r="AA189" s="104" t="n"/>
      <c r="AB189" s="104" t="n"/>
      <c r="AC189" s="104" t="n"/>
      <c r="AD189" s="104" t="n"/>
      <c r="AE189" s="104" t="n"/>
      <c r="AF189" s="104" t="n"/>
      <c r="AG189" s="104" t="n"/>
      <c r="AH189" s="104" t="n"/>
      <c r="AI189" s="104" t="n"/>
      <c r="AJ189" s="104" t="n"/>
      <c r="AK189" s="104" t="n"/>
      <c r="AL189" s="104" t="n"/>
      <c r="AM189" s="104" t="n"/>
      <c r="AN189" s="104" t="n"/>
      <c r="AO189" s="104" t="n"/>
      <c r="AP189" s="104" t="n"/>
      <c r="AQ189" s="104" t="n"/>
      <c r="AR189" s="104" t="n"/>
      <c r="AS189" s="104" t="n"/>
      <c r="AT189" s="104" t="n"/>
      <c r="AU189" s="104" t="n"/>
      <c r="AV189" s="104" t="n"/>
      <c r="AW189" s="104" t="n"/>
      <c r="AX189" s="104" t="n"/>
      <c r="AY189" s="104" t="n"/>
      <c r="AZ189" s="104" t="n"/>
      <c r="BA189" s="104" t="n"/>
      <c r="BB189" s="104" t="n"/>
      <c r="BC189" s="104" t="n"/>
      <c r="BD189" s="104" t="n"/>
      <c r="BE189" s="104" t="n"/>
      <c r="BF189" s="104" t="n"/>
      <c r="BG189" s="104" t="n"/>
      <c r="BH189" s="104" t="n"/>
      <c r="BI189" s="104" t="n"/>
      <c r="BJ189" s="104" t="n"/>
      <c r="BK189" s="104" t="n"/>
      <c r="BL189" s="104" t="n"/>
      <c r="BM189" s="104" t="n"/>
      <c r="BN189" s="104" t="n"/>
      <c r="BO189" s="104" t="n"/>
      <c r="BP189" s="104" t="n"/>
      <c r="BQ189" s="104" t="n"/>
      <c r="BR189" s="104" t="n"/>
      <c r="BS189" s="104" t="n"/>
      <c r="BT189" s="104" t="n"/>
      <c r="BU189" s="104" t="n"/>
      <c r="BV189" s="104" t="n"/>
      <c r="BW189" s="104" t="n"/>
      <c r="BX189" s="104" t="n"/>
    </row>
    <row r="190">
      <c r="B190" s="64" t="n"/>
      <c r="C190" s="104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N190" s="104" t="n"/>
      <c r="O190" s="104" t="n"/>
      <c r="P190" s="104" t="n"/>
      <c r="Q190" s="104" t="n"/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  <c r="AA190" s="104" t="n"/>
      <c r="AB190" s="104" t="n"/>
      <c r="AC190" s="104" t="n"/>
      <c r="AD190" s="104" t="n"/>
      <c r="AE190" s="104" t="n"/>
      <c r="AF190" s="104" t="n"/>
      <c r="AG190" s="104" t="n"/>
      <c r="AH190" s="104" t="n"/>
      <c r="AI190" s="104" t="n"/>
      <c r="AJ190" s="104" t="n"/>
      <c r="AK190" s="104" t="n"/>
      <c r="AL190" s="104" t="n"/>
      <c r="AM190" s="104" t="n"/>
      <c r="AN190" s="104" t="n"/>
      <c r="AO190" s="104" t="n"/>
      <c r="AP190" s="104" t="n"/>
      <c r="AQ190" s="104" t="n"/>
      <c r="AR190" s="104" t="n"/>
      <c r="AS190" s="104" t="n"/>
      <c r="AT190" s="104" t="n"/>
      <c r="AU190" s="104" t="n"/>
      <c r="AV190" s="104" t="n"/>
      <c r="AW190" s="104" t="n"/>
      <c r="AX190" s="104" t="n"/>
      <c r="AY190" s="104" t="n"/>
      <c r="AZ190" s="104" t="n"/>
      <c r="BA190" s="104" t="n"/>
      <c r="BB190" s="104" t="n"/>
      <c r="BC190" s="104" t="n"/>
      <c r="BD190" s="104" t="n"/>
      <c r="BE190" s="104" t="n"/>
      <c r="BF190" s="104" t="n"/>
      <c r="BG190" s="104" t="n"/>
      <c r="BH190" s="104" t="n"/>
      <c r="BI190" s="104" t="n"/>
      <c r="BJ190" s="104" t="n"/>
      <c r="BK190" s="104" t="n"/>
      <c r="BL190" s="104" t="n"/>
      <c r="BM190" s="104" t="n"/>
      <c r="BN190" s="104" t="n"/>
      <c r="BO190" s="104" t="n"/>
      <c r="BP190" s="104" t="n"/>
      <c r="BQ190" s="104" t="n"/>
      <c r="BR190" s="104" t="n"/>
      <c r="BS190" s="104" t="n"/>
      <c r="BT190" s="104" t="n"/>
      <c r="BU190" s="104" t="n"/>
      <c r="BV190" s="104" t="n"/>
      <c r="BW190" s="104" t="n"/>
      <c r="BX190" s="104" t="n"/>
    </row>
    <row r="191">
      <c r="B191" s="64" t="n"/>
      <c r="C191" s="104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  <c r="AA191" s="104" t="n"/>
      <c r="AB191" s="104" t="n"/>
      <c r="AC191" s="104" t="n"/>
      <c r="AD191" s="104" t="n"/>
      <c r="AE191" s="104" t="n"/>
      <c r="AF191" s="104" t="n"/>
      <c r="AG191" s="104" t="n"/>
      <c r="AH191" s="104" t="n"/>
      <c r="AI191" s="104" t="n"/>
      <c r="AJ191" s="104" t="n"/>
      <c r="AK191" s="104" t="n"/>
      <c r="AL191" s="104" t="n"/>
      <c r="AM191" s="104" t="n"/>
      <c r="AN191" s="104" t="n"/>
      <c r="AO191" s="104" t="n"/>
      <c r="AP191" s="104" t="n"/>
      <c r="AQ191" s="104" t="n"/>
      <c r="AR191" s="104" t="n"/>
      <c r="AS191" s="104" t="n"/>
      <c r="AT191" s="104" t="n"/>
      <c r="AU191" s="104" t="n"/>
      <c r="AV191" s="104" t="n"/>
      <c r="AW191" s="104" t="n"/>
      <c r="AX191" s="104" t="n"/>
      <c r="AY191" s="104" t="n"/>
      <c r="AZ191" s="104" t="n"/>
      <c r="BA191" s="104" t="n"/>
      <c r="BB191" s="104" t="n"/>
      <c r="BC191" s="104" t="n"/>
      <c r="BD191" s="104" t="n"/>
      <c r="BE191" s="104" t="n"/>
      <c r="BF191" s="104" t="n"/>
      <c r="BG191" s="104" t="n"/>
      <c r="BH191" s="104" t="n"/>
      <c r="BI191" s="104" t="n"/>
      <c r="BJ191" s="104" t="n"/>
      <c r="BK191" s="104" t="n"/>
      <c r="BL191" s="104" t="n"/>
      <c r="BM191" s="104" t="n"/>
      <c r="BN191" s="104" t="n"/>
      <c r="BO191" s="104" t="n"/>
      <c r="BP191" s="104" t="n"/>
      <c r="BQ191" s="104" t="n"/>
      <c r="BR191" s="104" t="n"/>
      <c r="BS191" s="104" t="n"/>
      <c r="BT191" s="104" t="n"/>
      <c r="BU191" s="104" t="n"/>
      <c r="BV191" s="104" t="n"/>
      <c r="BW191" s="104" t="n"/>
      <c r="BX191" s="104" t="n"/>
    </row>
    <row r="192">
      <c r="B192" s="64" t="n"/>
      <c r="C192" s="104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  <c r="AA192" s="104" t="n"/>
      <c r="AB192" s="104" t="n"/>
      <c r="AC192" s="104" t="n"/>
      <c r="AD192" s="104" t="n"/>
      <c r="AE192" s="104" t="n"/>
      <c r="AF192" s="104" t="n"/>
      <c r="AG192" s="104" t="n"/>
      <c r="AH192" s="104" t="n"/>
      <c r="AI192" s="104" t="n"/>
      <c r="AJ192" s="104" t="n"/>
      <c r="AK192" s="104" t="n"/>
      <c r="AL192" s="104" t="n"/>
      <c r="AM192" s="104" t="n"/>
      <c r="AN192" s="104" t="n"/>
      <c r="AO192" s="104" t="n"/>
      <c r="AP192" s="104" t="n"/>
      <c r="AQ192" s="104" t="n"/>
      <c r="AR192" s="104" t="n"/>
      <c r="AS192" s="104" t="n"/>
      <c r="AT192" s="104" t="n"/>
      <c r="AU192" s="104" t="n"/>
      <c r="AV192" s="104" t="n"/>
      <c r="AW192" s="104" t="n"/>
      <c r="AX192" s="104" t="n"/>
      <c r="AY192" s="104" t="n"/>
      <c r="AZ192" s="104" t="n"/>
      <c r="BA192" s="104" t="n"/>
      <c r="BB192" s="104" t="n"/>
      <c r="BC192" s="104" t="n"/>
      <c r="BD192" s="104" t="n"/>
      <c r="BE192" s="104" t="n"/>
      <c r="BF192" s="104" t="n"/>
      <c r="BG192" s="104" t="n"/>
      <c r="BH192" s="104" t="n"/>
      <c r="BI192" s="104" t="n"/>
      <c r="BJ192" s="104" t="n"/>
      <c r="BK192" s="104" t="n"/>
      <c r="BL192" s="104" t="n"/>
      <c r="BM192" s="104" t="n"/>
      <c r="BN192" s="104" t="n"/>
      <c r="BO192" s="104" t="n"/>
      <c r="BP192" s="104" t="n"/>
      <c r="BQ192" s="104" t="n"/>
      <c r="BR192" s="104" t="n"/>
      <c r="BS192" s="104" t="n"/>
      <c r="BT192" s="104" t="n"/>
      <c r="BU192" s="104" t="n"/>
      <c r="BV192" s="104" t="n"/>
      <c r="BW192" s="104" t="n"/>
      <c r="BX192" s="104" t="n"/>
    </row>
    <row r="193">
      <c r="B193" s="64" t="n"/>
      <c r="C193" s="104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  <c r="AA193" s="104" t="n"/>
      <c r="AB193" s="104" t="n"/>
      <c r="AC193" s="104" t="n"/>
      <c r="AD193" s="104" t="n"/>
      <c r="AE193" s="104" t="n"/>
      <c r="AF193" s="104" t="n"/>
      <c r="AG193" s="104" t="n"/>
      <c r="AH193" s="104" t="n"/>
      <c r="AI193" s="104" t="n"/>
      <c r="AJ193" s="104" t="n"/>
      <c r="AK193" s="104" t="n"/>
      <c r="AL193" s="104" t="n"/>
      <c r="AM193" s="104" t="n"/>
      <c r="AN193" s="104" t="n"/>
      <c r="AO193" s="104" t="n"/>
      <c r="AP193" s="104" t="n"/>
      <c r="AQ193" s="104" t="n"/>
      <c r="AR193" s="104" t="n"/>
      <c r="AS193" s="104" t="n"/>
      <c r="AT193" s="104" t="n"/>
      <c r="AU193" s="104" t="n"/>
      <c r="AV193" s="104" t="n"/>
      <c r="AW193" s="104" t="n"/>
      <c r="AX193" s="104" t="n"/>
      <c r="AY193" s="104" t="n"/>
      <c r="AZ193" s="104" t="n"/>
      <c r="BA193" s="104" t="n"/>
      <c r="BB193" s="104" t="n"/>
      <c r="BC193" s="104" t="n"/>
      <c r="BD193" s="104" t="n"/>
      <c r="BE193" s="104" t="n"/>
      <c r="BF193" s="104" t="n"/>
      <c r="BG193" s="104" t="n"/>
      <c r="BH193" s="104" t="n"/>
      <c r="BI193" s="104" t="n"/>
      <c r="BJ193" s="104" t="n"/>
      <c r="BK193" s="104" t="n"/>
      <c r="BL193" s="104" t="n"/>
      <c r="BM193" s="104" t="n"/>
      <c r="BN193" s="104" t="n"/>
      <c r="BO193" s="104" t="n"/>
      <c r="BP193" s="104" t="n"/>
      <c r="BQ193" s="104" t="n"/>
      <c r="BR193" s="104" t="n"/>
      <c r="BS193" s="104" t="n"/>
      <c r="BT193" s="104" t="n"/>
      <c r="BU193" s="104" t="n"/>
      <c r="BV193" s="104" t="n"/>
      <c r="BW193" s="104" t="n"/>
      <c r="BX193" s="104" t="n"/>
    </row>
    <row r="194">
      <c r="B194" s="64" t="n"/>
      <c r="C194" s="104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  <c r="AA194" s="104" t="n"/>
      <c r="AB194" s="104" t="n"/>
      <c r="AC194" s="104" t="n"/>
      <c r="AD194" s="104" t="n"/>
      <c r="AE194" s="104" t="n"/>
      <c r="AF194" s="104" t="n"/>
      <c r="AG194" s="104" t="n"/>
      <c r="AH194" s="104" t="n"/>
      <c r="AI194" s="104" t="n"/>
      <c r="AJ194" s="104" t="n"/>
      <c r="AK194" s="104" t="n"/>
      <c r="AL194" s="104" t="n"/>
      <c r="AM194" s="104" t="n"/>
      <c r="AN194" s="104" t="n"/>
      <c r="AO194" s="104" t="n"/>
      <c r="AP194" s="104" t="n"/>
      <c r="AQ194" s="104" t="n"/>
      <c r="AR194" s="104" t="n"/>
      <c r="AS194" s="104" t="n"/>
      <c r="AT194" s="104" t="n"/>
      <c r="AU194" s="104" t="n"/>
      <c r="AV194" s="104" t="n"/>
      <c r="AW194" s="104" t="n"/>
      <c r="AX194" s="104" t="n"/>
      <c r="AY194" s="104" t="n"/>
      <c r="AZ194" s="104" t="n"/>
      <c r="BA194" s="104" t="n"/>
      <c r="BB194" s="104" t="n"/>
      <c r="BC194" s="104" t="n"/>
      <c r="BD194" s="104" t="n"/>
      <c r="BE194" s="104" t="n"/>
      <c r="BF194" s="104" t="n"/>
      <c r="BG194" s="104" t="n"/>
      <c r="BH194" s="104" t="n"/>
      <c r="BI194" s="104" t="n"/>
      <c r="BJ194" s="104" t="n"/>
      <c r="BK194" s="104" t="n"/>
      <c r="BL194" s="104" t="n"/>
      <c r="BM194" s="104" t="n"/>
      <c r="BN194" s="104" t="n"/>
      <c r="BO194" s="104" t="n"/>
      <c r="BP194" s="104" t="n"/>
      <c r="BQ194" s="104" t="n"/>
      <c r="BR194" s="104" t="n"/>
      <c r="BS194" s="104" t="n"/>
      <c r="BT194" s="104" t="n"/>
      <c r="BU194" s="104" t="n"/>
      <c r="BV194" s="104" t="n"/>
      <c r="BW194" s="104" t="n"/>
      <c r="BX194" s="104" t="n"/>
    </row>
    <row r="195">
      <c r="B195" s="64" t="n"/>
      <c r="C195" s="104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  <c r="AA195" s="104" t="n"/>
      <c r="AB195" s="104" t="n"/>
      <c r="AC195" s="104" t="n"/>
      <c r="AD195" s="104" t="n"/>
      <c r="AE195" s="104" t="n"/>
      <c r="AF195" s="104" t="n"/>
      <c r="AG195" s="104" t="n"/>
      <c r="AH195" s="104" t="n"/>
      <c r="AI195" s="104" t="n"/>
      <c r="AJ195" s="104" t="n"/>
      <c r="AK195" s="104" t="n"/>
      <c r="AL195" s="104" t="n"/>
      <c r="AM195" s="104" t="n"/>
      <c r="AN195" s="104" t="n"/>
      <c r="AO195" s="104" t="n"/>
      <c r="AP195" s="104" t="n"/>
      <c r="AQ195" s="104" t="n"/>
      <c r="AR195" s="104" t="n"/>
      <c r="AS195" s="104" t="n"/>
      <c r="AT195" s="104" t="n"/>
      <c r="AU195" s="104" t="n"/>
      <c r="AV195" s="104" t="n"/>
      <c r="AW195" s="104" t="n"/>
      <c r="AX195" s="104" t="n"/>
      <c r="AY195" s="104" t="n"/>
      <c r="AZ195" s="104" t="n"/>
      <c r="BA195" s="104" t="n"/>
      <c r="BB195" s="104" t="n"/>
      <c r="BC195" s="104" t="n"/>
      <c r="BD195" s="104" t="n"/>
      <c r="BE195" s="104" t="n"/>
      <c r="BF195" s="104" t="n"/>
      <c r="BG195" s="104" t="n"/>
      <c r="BH195" s="104" t="n"/>
      <c r="BI195" s="104" t="n"/>
      <c r="BJ195" s="104" t="n"/>
      <c r="BK195" s="104" t="n"/>
      <c r="BL195" s="104" t="n"/>
      <c r="BM195" s="104" t="n"/>
      <c r="BN195" s="104" t="n"/>
      <c r="BO195" s="104" t="n"/>
      <c r="BP195" s="104" t="n"/>
      <c r="BQ195" s="104" t="n"/>
      <c r="BR195" s="104" t="n"/>
      <c r="BS195" s="104" t="n"/>
      <c r="BT195" s="104" t="n"/>
      <c r="BU195" s="104" t="n"/>
      <c r="BV195" s="104" t="n"/>
      <c r="BW195" s="104" t="n"/>
      <c r="BX195" s="104" t="n"/>
    </row>
    <row r="196">
      <c r="B196" s="64" t="n"/>
      <c r="C196" s="104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  <c r="AA196" s="104" t="n"/>
      <c r="AB196" s="104" t="n"/>
      <c r="AC196" s="104" t="n"/>
      <c r="AD196" s="104" t="n"/>
      <c r="AE196" s="104" t="n"/>
      <c r="AF196" s="104" t="n"/>
      <c r="AG196" s="104" t="n"/>
      <c r="AH196" s="104" t="n"/>
      <c r="AI196" s="104" t="n"/>
      <c r="AJ196" s="104" t="n"/>
      <c r="AK196" s="104" t="n"/>
      <c r="AL196" s="104" t="n"/>
      <c r="AM196" s="104" t="n"/>
      <c r="AN196" s="104" t="n"/>
      <c r="AO196" s="104" t="n"/>
      <c r="AP196" s="104" t="n"/>
      <c r="AQ196" s="104" t="n"/>
      <c r="AR196" s="104" t="n"/>
      <c r="AS196" s="104" t="n"/>
      <c r="AT196" s="104" t="n"/>
      <c r="AU196" s="104" t="n"/>
      <c r="AV196" s="104" t="n"/>
      <c r="AW196" s="104" t="n"/>
      <c r="AX196" s="104" t="n"/>
      <c r="AY196" s="104" t="n"/>
      <c r="AZ196" s="104" t="n"/>
      <c r="BA196" s="104" t="n"/>
      <c r="BB196" s="104" t="n"/>
      <c r="BC196" s="104" t="n"/>
      <c r="BD196" s="104" t="n"/>
      <c r="BE196" s="104" t="n"/>
      <c r="BF196" s="104" t="n"/>
      <c r="BG196" s="104" t="n"/>
      <c r="BH196" s="104" t="n"/>
      <c r="BI196" s="104" t="n"/>
      <c r="BJ196" s="104" t="n"/>
      <c r="BK196" s="104" t="n"/>
      <c r="BL196" s="104" t="n"/>
      <c r="BM196" s="104" t="n"/>
      <c r="BN196" s="104" t="n"/>
      <c r="BO196" s="104" t="n"/>
      <c r="BP196" s="104" t="n"/>
      <c r="BQ196" s="104" t="n"/>
      <c r="BR196" s="104" t="n"/>
      <c r="BS196" s="104" t="n"/>
      <c r="BT196" s="104" t="n"/>
      <c r="BU196" s="104" t="n"/>
      <c r="BV196" s="104" t="n"/>
      <c r="BW196" s="104" t="n"/>
      <c r="BX196" s="104" t="n"/>
    </row>
    <row r="197">
      <c r="B197" s="64" t="n"/>
      <c r="C197" s="104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  <c r="AA197" s="104" t="n"/>
      <c r="AB197" s="104" t="n"/>
      <c r="AC197" s="104" t="n"/>
      <c r="AD197" s="104" t="n"/>
      <c r="AE197" s="104" t="n"/>
      <c r="AF197" s="104" t="n"/>
      <c r="AG197" s="104" t="n"/>
      <c r="AH197" s="104" t="n"/>
      <c r="AI197" s="104" t="n"/>
      <c r="AJ197" s="104" t="n"/>
      <c r="AK197" s="104" t="n"/>
      <c r="AL197" s="104" t="n"/>
      <c r="AM197" s="104" t="n"/>
      <c r="AN197" s="104" t="n"/>
      <c r="AO197" s="104" t="n"/>
      <c r="AP197" s="104" t="n"/>
      <c r="AQ197" s="104" t="n"/>
      <c r="AR197" s="104" t="n"/>
      <c r="AS197" s="104" t="n"/>
      <c r="AT197" s="104" t="n"/>
      <c r="AU197" s="104" t="n"/>
      <c r="AV197" s="104" t="n"/>
      <c r="AW197" s="104" t="n"/>
      <c r="AX197" s="104" t="n"/>
      <c r="AY197" s="104" t="n"/>
      <c r="AZ197" s="104" t="n"/>
      <c r="BA197" s="104" t="n"/>
      <c r="BB197" s="104" t="n"/>
      <c r="BC197" s="104" t="n"/>
      <c r="BD197" s="104" t="n"/>
      <c r="BE197" s="104" t="n"/>
      <c r="BF197" s="104" t="n"/>
      <c r="BG197" s="104" t="n"/>
      <c r="BH197" s="104" t="n"/>
      <c r="BI197" s="104" t="n"/>
      <c r="BJ197" s="104" t="n"/>
      <c r="BK197" s="104" t="n"/>
      <c r="BL197" s="104" t="n"/>
      <c r="BM197" s="104" t="n"/>
      <c r="BN197" s="104" t="n"/>
      <c r="BO197" s="104" t="n"/>
      <c r="BP197" s="104" t="n"/>
      <c r="BQ197" s="104" t="n"/>
      <c r="BR197" s="104" t="n"/>
      <c r="BS197" s="104" t="n"/>
      <c r="BT197" s="104" t="n"/>
      <c r="BU197" s="104" t="n"/>
      <c r="BV197" s="104" t="n"/>
      <c r="BW197" s="104" t="n"/>
      <c r="BX197" s="104" t="n"/>
    </row>
    <row r="198">
      <c r="B198" s="64" t="n"/>
      <c r="C198" s="104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  <c r="AA198" s="104" t="n"/>
      <c r="AB198" s="104" t="n"/>
      <c r="AC198" s="104" t="n"/>
      <c r="AD198" s="104" t="n"/>
      <c r="AE198" s="104" t="n"/>
      <c r="AF198" s="104" t="n"/>
      <c r="AG198" s="104" t="n"/>
      <c r="AH198" s="104" t="n"/>
      <c r="AI198" s="104" t="n"/>
      <c r="AJ198" s="104" t="n"/>
      <c r="AK198" s="104" t="n"/>
      <c r="AL198" s="104" t="n"/>
      <c r="AM198" s="104" t="n"/>
      <c r="AN198" s="104" t="n"/>
      <c r="AO198" s="104" t="n"/>
      <c r="AP198" s="104" t="n"/>
      <c r="AQ198" s="104" t="n"/>
      <c r="AR198" s="104" t="n"/>
      <c r="AS198" s="104" t="n"/>
      <c r="AT198" s="104" t="n"/>
      <c r="AU198" s="104" t="n"/>
      <c r="AV198" s="104" t="n"/>
      <c r="AW198" s="104" t="n"/>
      <c r="AX198" s="104" t="n"/>
      <c r="AY198" s="104" t="n"/>
      <c r="AZ198" s="104" t="n"/>
      <c r="BA198" s="104" t="n"/>
      <c r="BB198" s="104" t="n"/>
      <c r="BC198" s="104" t="n"/>
      <c r="BD198" s="104" t="n"/>
      <c r="BE198" s="104" t="n"/>
      <c r="BF198" s="104" t="n"/>
      <c r="BG198" s="104" t="n"/>
      <c r="BH198" s="104" t="n"/>
      <c r="BI198" s="104" t="n"/>
      <c r="BJ198" s="104" t="n"/>
      <c r="BK198" s="104" t="n"/>
      <c r="BL198" s="104" t="n"/>
      <c r="BM198" s="104" t="n"/>
      <c r="BN198" s="104" t="n"/>
      <c r="BO198" s="104" t="n"/>
      <c r="BP198" s="104" t="n"/>
      <c r="BQ198" s="104" t="n"/>
      <c r="BR198" s="104" t="n"/>
      <c r="BS198" s="104" t="n"/>
      <c r="BT198" s="104" t="n"/>
      <c r="BU198" s="104" t="n"/>
      <c r="BV198" s="104" t="n"/>
      <c r="BW198" s="104" t="n"/>
      <c r="BX198" s="104" t="n"/>
    </row>
    <row r="199">
      <c r="B199" s="64" t="n"/>
      <c r="C199" s="104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  <c r="AA199" s="104" t="n"/>
      <c r="AB199" s="104" t="n"/>
      <c r="AC199" s="104" t="n"/>
      <c r="AD199" s="104" t="n"/>
      <c r="AE199" s="104" t="n"/>
      <c r="AF199" s="104" t="n"/>
      <c r="AG199" s="104" t="n"/>
      <c r="AH199" s="104" t="n"/>
      <c r="AI199" s="104" t="n"/>
      <c r="AJ199" s="104" t="n"/>
      <c r="AK199" s="104" t="n"/>
      <c r="AL199" s="104" t="n"/>
      <c r="AM199" s="104" t="n"/>
      <c r="AN199" s="104" t="n"/>
      <c r="AO199" s="104" t="n"/>
      <c r="AP199" s="104" t="n"/>
      <c r="AQ199" s="104" t="n"/>
      <c r="AR199" s="104" t="n"/>
      <c r="AS199" s="104" t="n"/>
      <c r="AT199" s="104" t="n"/>
      <c r="AU199" s="104" t="n"/>
      <c r="AV199" s="104" t="n"/>
      <c r="AW199" s="104" t="n"/>
      <c r="AX199" s="104" t="n"/>
      <c r="AY199" s="104" t="n"/>
      <c r="AZ199" s="104" t="n"/>
      <c r="BA199" s="104" t="n"/>
      <c r="BB199" s="104" t="n"/>
      <c r="BC199" s="104" t="n"/>
      <c r="BD199" s="104" t="n"/>
      <c r="BE199" s="104" t="n"/>
      <c r="BF199" s="104" t="n"/>
      <c r="BG199" s="104" t="n"/>
      <c r="BH199" s="104" t="n"/>
      <c r="BI199" s="104" t="n"/>
      <c r="BJ199" s="104" t="n"/>
      <c r="BK199" s="104" t="n"/>
      <c r="BL199" s="104" t="n"/>
      <c r="BM199" s="104" t="n"/>
      <c r="BN199" s="104" t="n"/>
      <c r="BO199" s="104" t="n"/>
      <c r="BP199" s="104" t="n"/>
      <c r="BQ199" s="104" t="n"/>
      <c r="BR199" s="104" t="n"/>
      <c r="BS199" s="104" t="n"/>
      <c r="BT199" s="104" t="n"/>
      <c r="BU199" s="104" t="n"/>
      <c r="BV199" s="104" t="n"/>
      <c r="BW199" s="104" t="n"/>
      <c r="BX199" s="104" t="n"/>
    </row>
    <row r="200">
      <c r="B200" s="64" t="n"/>
      <c r="C200" s="104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  <c r="AA200" s="104" t="n"/>
      <c r="AB200" s="104" t="n"/>
      <c r="AC200" s="104" t="n"/>
      <c r="AD200" s="104" t="n"/>
      <c r="AE200" s="104" t="n"/>
      <c r="AF200" s="104" t="n"/>
      <c r="AG200" s="104" t="n"/>
      <c r="AH200" s="104" t="n"/>
      <c r="AI200" s="104" t="n"/>
      <c r="AJ200" s="104" t="n"/>
      <c r="AK200" s="104" t="n"/>
      <c r="AL200" s="104" t="n"/>
      <c r="AM200" s="104" t="n"/>
      <c r="AN200" s="104" t="n"/>
      <c r="AO200" s="104" t="n"/>
      <c r="AP200" s="104" t="n"/>
      <c r="AQ200" s="104" t="n"/>
      <c r="AR200" s="104" t="n"/>
      <c r="AS200" s="104" t="n"/>
      <c r="AT200" s="104" t="n"/>
      <c r="AU200" s="104" t="n"/>
      <c r="AV200" s="104" t="n"/>
      <c r="AW200" s="104" t="n"/>
      <c r="AX200" s="104" t="n"/>
      <c r="AY200" s="104" t="n"/>
      <c r="AZ200" s="104" t="n"/>
      <c r="BA200" s="104" t="n"/>
      <c r="BB200" s="104" t="n"/>
      <c r="BC200" s="104" t="n"/>
      <c r="BD200" s="104" t="n"/>
      <c r="BE200" s="104" t="n"/>
      <c r="BF200" s="104" t="n"/>
      <c r="BG200" s="104" t="n"/>
      <c r="BH200" s="104" t="n"/>
      <c r="BI200" s="104" t="n"/>
      <c r="BJ200" s="104" t="n"/>
      <c r="BK200" s="104" t="n"/>
      <c r="BL200" s="104" t="n"/>
      <c r="BM200" s="104" t="n"/>
      <c r="BN200" s="104" t="n"/>
      <c r="BO200" s="104" t="n"/>
      <c r="BP200" s="104" t="n"/>
      <c r="BQ200" s="104" t="n"/>
      <c r="BR200" s="104" t="n"/>
      <c r="BS200" s="104" t="n"/>
      <c r="BT200" s="104" t="n"/>
      <c r="BU200" s="104" t="n"/>
      <c r="BV200" s="104" t="n"/>
      <c r="BW200" s="104" t="n"/>
      <c r="BX200" s="104" t="n"/>
    </row>
    <row r="201">
      <c r="B201" s="64" t="n"/>
      <c r="C201" s="104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  <c r="AA201" s="104" t="n"/>
      <c r="AB201" s="104" t="n"/>
      <c r="AC201" s="104" t="n"/>
      <c r="AD201" s="104" t="n"/>
      <c r="AE201" s="104" t="n"/>
      <c r="AF201" s="104" t="n"/>
      <c r="AG201" s="104" t="n"/>
      <c r="AH201" s="104" t="n"/>
      <c r="AI201" s="104" t="n"/>
      <c r="AJ201" s="104" t="n"/>
      <c r="AK201" s="104" t="n"/>
      <c r="AL201" s="104" t="n"/>
      <c r="AM201" s="104" t="n"/>
      <c r="AN201" s="104" t="n"/>
      <c r="AO201" s="104" t="n"/>
      <c r="AP201" s="104" t="n"/>
      <c r="AQ201" s="104" t="n"/>
      <c r="AR201" s="104" t="n"/>
      <c r="AS201" s="104" t="n"/>
      <c r="AT201" s="104" t="n"/>
      <c r="AU201" s="104" t="n"/>
      <c r="AV201" s="104" t="n"/>
      <c r="AW201" s="104" t="n"/>
      <c r="AX201" s="104" t="n"/>
      <c r="AY201" s="104" t="n"/>
      <c r="AZ201" s="104" t="n"/>
      <c r="BA201" s="104" t="n"/>
      <c r="BB201" s="104" t="n"/>
      <c r="BC201" s="104" t="n"/>
      <c r="BD201" s="104" t="n"/>
      <c r="BE201" s="104" t="n"/>
      <c r="BF201" s="104" t="n"/>
      <c r="BG201" s="104" t="n"/>
      <c r="BH201" s="104" t="n"/>
      <c r="BI201" s="104" t="n"/>
      <c r="BJ201" s="104" t="n"/>
      <c r="BK201" s="104" t="n"/>
      <c r="BL201" s="104" t="n"/>
      <c r="BM201" s="104" t="n"/>
      <c r="BN201" s="104" t="n"/>
      <c r="BO201" s="104" t="n"/>
      <c r="BP201" s="104" t="n"/>
      <c r="BQ201" s="104" t="n"/>
      <c r="BR201" s="104" t="n"/>
      <c r="BS201" s="104" t="n"/>
      <c r="BT201" s="104" t="n"/>
      <c r="BU201" s="104" t="n"/>
      <c r="BV201" s="104" t="n"/>
      <c r="BW201" s="104" t="n"/>
      <c r="BX201" s="104" t="n"/>
    </row>
    <row r="202">
      <c r="B202" s="64" t="n"/>
      <c r="C202" s="104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  <c r="AA202" s="104" t="n"/>
      <c r="AB202" s="104" t="n"/>
      <c r="AC202" s="104" t="n"/>
      <c r="AD202" s="104" t="n"/>
      <c r="AE202" s="104" t="n"/>
      <c r="AF202" s="104" t="n"/>
      <c r="AG202" s="104" t="n"/>
      <c r="AH202" s="104" t="n"/>
      <c r="AI202" s="104" t="n"/>
      <c r="AJ202" s="104" t="n"/>
      <c r="AK202" s="104" t="n"/>
      <c r="AL202" s="104" t="n"/>
      <c r="AM202" s="104" t="n"/>
      <c r="AN202" s="104" t="n"/>
      <c r="AO202" s="104" t="n"/>
      <c r="AP202" s="104" t="n"/>
      <c r="AQ202" s="104" t="n"/>
      <c r="AR202" s="104" t="n"/>
      <c r="AS202" s="104" t="n"/>
      <c r="AT202" s="104" t="n"/>
      <c r="AU202" s="104" t="n"/>
      <c r="AV202" s="104" t="n"/>
      <c r="AW202" s="104" t="n"/>
      <c r="AX202" s="104" t="n"/>
      <c r="AY202" s="104" t="n"/>
      <c r="AZ202" s="104" t="n"/>
      <c r="BA202" s="104" t="n"/>
      <c r="BB202" s="104" t="n"/>
      <c r="BC202" s="104" t="n"/>
      <c r="BD202" s="104" t="n"/>
      <c r="BE202" s="104" t="n"/>
      <c r="BF202" s="104" t="n"/>
      <c r="BG202" s="104" t="n"/>
      <c r="BH202" s="104" t="n"/>
      <c r="BI202" s="104" t="n"/>
      <c r="BJ202" s="104" t="n"/>
      <c r="BK202" s="104" t="n"/>
      <c r="BL202" s="104" t="n"/>
      <c r="BM202" s="104" t="n"/>
      <c r="BN202" s="104" t="n"/>
      <c r="BO202" s="104" t="n"/>
      <c r="BP202" s="104" t="n"/>
      <c r="BQ202" s="104" t="n"/>
      <c r="BR202" s="104" t="n"/>
      <c r="BS202" s="104" t="n"/>
      <c r="BT202" s="104" t="n"/>
      <c r="BU202" s="104" t="n"/>
      <c r="BV202" s="104" t="n"/>
      <c r="BW202" s="104" t="n"/>
      <c r="BX202" s="104" t="n"/>
    </row>
    <row r="203">
      <c r="AC203" s="104" t="n"/>
      <c r="AD203" s="104" t="n"/>
      <c r="AE203" s="104" t="n"/>
      <c r="AF203" s="104" t="n"/>
      <c r="AG203" s="104" t="n"/>
      <c r="AH203" s="104" t="n"/>
      <c r="AI203" s="104" t="n"/>
      <c r="AJ203" s="104" t="n"/>
      <c r="AK203" s="104" t="n"/>
      <c r="AL203" s="104" t="n"/>
      <c r="AM203" s="104" t="n"/>
      <c r="AN203" s="104" t="n"/>
      <c r="AO203" s="104" t="n"/>
      <c r="AP203" s="104" t="n"/>
      <c r="AQ203" s="104" t="n"/>
      <c r="AR203" s="104" t="n"/>
      <c r="AS203" s="104" t="n"/>
      <c r="AT203" s="104" t="n"/>
      <c r="AU203" s="104" t="n"/>
      <c r="AV203" s="104" t="n"/>
      <c r="AW203" s="104" t="n"/>
      <c r="AX203" s="104" t="n"/>
      <c r="AY203" s="104" t="n"/>
      <c r="AZ203" s="104" t="n"/>
      <c r="BA203" s="104" t="n"/>
      <c r="BB203" s="104" t="n"/>
      <c r="BC203" s="104" t="n"/>
      <c r="BD203" s="104" t="n"/>
      <c r="BE203" s="104" t="n"/>
      <c r="BF203" s="104" t="n"/>
      <c r="BG203" s="104" t="n"/>
      <c r="BH203" s="104" t="n"/>
      <c r="BI203" s="104" t="n"/>
      <c r="BJ203" s="104" t="n"/>
      <c r="BK203" s="104" t="n"/>
      <c r="BL203" s="104" t="n"/>
      <c r="BM203" s="104" t="n"/>
      <c r="BN203" s="104" t="n"/>
      <c r="BO203" s="104" t="n"/>
      <c r="BP203" s="104" t="n"/>
      <c r="BQ203" s="104" t="n"/>
      <c r="BR203" s="104" t="n"/>
      <c r="BS203" s="104" t="n"/>
      <c r="BT203" s="104" t="n"/>
      <c r="BU203" s="104" t="n"/>
      <c r="BV203" s="104" t="n"/>
      <c r="BW203" s="104" t="n"/>
      <c r="BX203" s="104" t="n"/>
    </row>
    <row r="204">
      <c r="AC204" s="104" t="n"/>
      <c r="AD204" s="104" t="n"/>
      <c r="AE204" s="104" t="n"/>
      <c r="AF204" s="104" t="n"/>
      <c r="AG204" s="104" t="n"/>
      <c r="AH204" s="104" t="n"/>
      <c r="AI204" s="104" t="n"/>
      <c r="AJ204" s="104" t="n"/>
      <c r="AK204" s="104" t="n"/>
      <c r="AL204" s="104" t="n"/>
      <c r="AM204" s="104" t="n"/>
      <c r="AN204" s="104" t="n"/>
      <c r="AO204" s="104" t="n"/>
      <c r="AP204" s="104" t="n"/>
      <c r="AQ204" s="104" t="n"/>
      <c r="AR204" s="104" t="n"/>
      <c r="AS204" s="104" t="n"/>
      <c r="AT204" s="104" t="n"/>
      <c r="AU204" s="104" t="n"/>
      <c r="AV204" s="104" t="n"/>
      <c r="AW204" s="104" t="n"/>
      <c r="AX204" s="104" t="n"/>
      <c r="AY204" s="104" t="n"/>
      <c r="AZ204" s="104" t="n"/>
      <c r="BA204" s="104" t="n"/>
      <c r="BB204" s="104" t="n"/>
      <c r="BC204" s="104" t="n"/>
      <c r="BD204" s="104" t="n"/>
      <c r="BE204" s="104" t="n"/>
      <c r="BF204" s="104" t="n"/>
      <c r="BG204" s="104" t="n"/>
      <c r="BH204" s="104" t="n"/>
      <c r="BI204" s="104" t="n"/>
      <c r="BJ204" s="125" t="n"/>
      <c r="BK204" s="125" t="n"/>
      <c r="BL204" s="104" t="n"/>
      <c r="BM204" s="104" t="n"/>
      <c r="BN204" s="104" t="n"/>
      <c r="BO204" s="104" t="n"/>
      <c r="BP204" s="104" t="n"/>
      <c r="BQ204" s="104" t="n"/>
      <c r="BR204" s="104" t="n"/>
      <c r="BS204" s="104" t="n"/>
      <c r="BT204" s="104" t="n"/>
      <c r="BU204" s="104" t="n"/>
      <c r="BV204" s="104" t="n"/>
      <c r="BW204" s="104" t="n"/>
      <c r="BX204" s="104" t="n"/>
    </row>
    <row r="205">
      <c r="AC205" s="104" t="n"/>
      <c r="AD205" s="104" t="n"/>
      <c r="AE205" s="104" t="n"/>
      <c r="AF205" s="104" t="n"/>
      <c r="AG205" s="104" t="n"/>
      <c r="AH205" s="104" t="n"/>
      <c r="AI205" s="104" t="n"/>
      <c r="AJ205" s="104" t="n"/>
      <c r="AK205" s="104" t="n"/>
      <c r="AL205" s="104" t="n"/>
      <c r="AM205" s="104" t="n"/>
      <c r="AN205" s="104" t="n"/>
      <c r="AO205" s="104" t="n"/>
      <c r="AP205" s="104" t="n"/>
      <c r="AQ205" s="104" t="n"/>
      <c r="AR205" s="104" t="n"/>
      <c r="AS205" s="104" t="n"/>
      <c r="AT205" s="104" t="n"/>
      <c r="AU205" s="104" t="n"/>
      <c r="AV205" s="104" t="n"/>
      <c r="AW205" s="104" t="n"/>
      <c r="AX205" s="104" t="n"/>
      <c r="AY205" s="104" t="n"/>
      <c r="AZ205" s="104" t="n"/>
      <c r="BA205" s="104" t="n"/>
      <c r="BB205" s="104" t="n"/>
      <c r="BC205" s="104" t="n"/>
      <c r="BD205" s="104" t="n"/>
      <c r="BE205" s="104" t="n"/>
      <c r="BF205" s="104" t="n"/>
      <c r="BG205" s="104" t="n"/>
      <c r="BH205" s="104" t="n"/>
      <c r="BI205" s="104" t="n"/>
      <c r="BJ205" s="104" t="n"/>
      <c r="BK205" s="104" t="n"/>
      <c r="BL205" s="104" t="n"/>
      <c r="BM205" s="104" t="n"/>
      <c r="BN205" s="104" t="n"/>
      <c r="BO205" s="104" t="n"/>
      <c r="BP205" s="104" t="n"/>
      <c r="BQ205" s="104" t="n"/>
      <c r="BR205" s="104" t="n"/>
      <c r="BS205" s="104" t="n"/>
      <c r="BT205" s="104" t="n"/>
      <c r="BU205" s="104" t="n"/>
      <c r="BV205" s="104" t="n"/>
      <c r="BW205" s="104" t="n"/>
      <c r="BX205" s="104" t="n"/>
    </row>
    <row r="206">
      <c r="AC206" s="104" t="n"/>
      <c r="AD206" s="104" t="n"/>
      <c r="AE206" s="104" t="n"/>
      <c r="AF206" s="104" t="n"/>
      <c r="AG206" s="104" t="n"/>
      <c r="AH206" s="104" t="n"/>
      <c r="AI206" s="104" t="n"/>
      <c r="AJ206" s="104" t="n"/>
      <c r="AK206" s="104" t="n"/>
      <c r="AL206" s="104" t="n"/>
      <c r="AM206" s="104" t="n"/>
      <c r="AN206" s="104" t="n"/>
      <c r="AO206" s="104" t="n"/>
      <c r="AP206" s="104" t="n"/>
      <c r="AQ206" s="104" t="n"/>
      <c r="AR206" s="104" t="n"/>
      <c r="AS206" s="104" t="n"/>
      <c r="AT206" s="104" t="n"/>
      <c r="AU206" s="104" t="n"/>
      <c r="AV206" s="104" t="n"/>
      <c r="AW206" s="104" t="n"/>
      <c r="AX206" s="104" t="n"/>
      <c r="AY206" s="104" t="n"/>
      <c r="AZ206" s="104" t="n"/>
      <c r="BA206" s="104" t="n"/>
      <c r="BB206" s="104" t="n"/>
      <c r="BC206" s="104" t="n"/>
      <c r="BD206" s="104" t="n"/>
      <c r="BE206" s="104" t="n"/>
      <c r="BF206" s="104" t="n"/>
      <c r="BG206" s="104" t="n"/>
      <c r="BH206" s="104" t="n"/>
      <c r="BI206" s="104" t="n"/>
      <c r="BJ206" s="104" t="n"/>
      <c r="BK206" s="104" t="n"/>
      <c r="BL206" s="104" t="n"/>
      <c r="BM206" s="104" t="n"/>
      <c r="BN206" s="104" t="n"/>
      <c r="BO206" s="104" t="n"/>
      <c r="BP206" s="104" t="n"/>
      <c r="BQ206" s="104" t="n"/>
      <c r="BR206" s="104" t="n"/>
      <c r="BS206" s="104" t="n"/>
      <c r="BT206" s="104" t="n"/>
      <c r="BU206" s="104" t="n"/>
      <c r="BV206" s="104" t="n"/>
      <c r="BW206" s="104" t="n"/>
      <c r="BX206" s="104" t="n"/>
    </row>
    <row r="207">
      <c r="AC207" s="104" t="n"/>
      <c r="AD207" s="104" t="n"/>
      <c r="AE207" s="104" t="n"/>
      <c r="AF207" s="104" t="n"/>
      <c r="AG207" s="104" t="n"/>
      <c r="AH207" s="104" t="n"/>
      <c r="AI207" s="104" t="n"/>
      <c r="AJ207" s="104" t="n"/>
      <c r="AK207" s="104" t="n"/>
      <c r="AL207" s="104" t="n"/>
      <c r="AM207" s="104" t="n"/>
      <c r="AN207" s="104" t="n"/>
      <c r="AO207" s="104" t="n"/>
      <c r="AP207" s="104" t="n"/>
      <c r="AQ207" s="104" t="n"/>
      <c r="AR207" s="104" t="n"/>
      <c r="AS207" s="104" t="n"/>
      <c r="AT207" s="104" t="n"/>
      <c r="AU207" s="104" t="n"/>
      <c r="AV207" s="104" t="n"/>
      <c r="AW207" s="104" t="n"/>
      <c r="AX207" s="104" t="n"/>
      <c r="AY207" s="104" t="n"/>
      <c r="AZ207" s="104" t="n"/>
      <c r="BA207" s="104" t="n"/>
      <c r="BB207" s="104" t="n"/>
      <c r="BC207" s="104" t="n"/>
      <c r="BD207" s="104" t="n"/>
      <c r="BE207" s="104" t="n"/>
      <c r="BF207" s="104" t="n"/>
      <c r="BG207" s="104" t="n"/>
      <c r="BH207" s="104" t="n"/>
      <c r="BI207" s="104" t="n"/>
      <c r="BJ207" s="104" t="n"/>
      <c r="BK207" s="104" t="n"/>
      <c r="BL207" s="104" t="n"/>
      <c r="BM207" s="104" t="n"/>
      <c r="BN207" s="104" t="n"/>
      <c r="BO207" s="104" t="n"/>
      <c r="BP207" s="104" t="n"/>
      <c r="BQ207" s="104" t="n"/>
      <c r="BR207" s="104" t="n"/>
      <c r="BS207" s="104" t="n"/>
      <c r="BT207" s="104" t="n"/>
      <c r="BU207" s="104" t="n"/>
      <c r="BV207" s="104" t="n"/>
      <c r="BW207" s="104" t="n"/>
      <c r="BX207" s="104" t="n"/>
    </row>
    <row r="208">
      <c r="AC208" s="104" t="n"/>
      <c r="AD208" s="104" t="n"/>
      <c r="AE208" s="104" t="n"/>
      <c r="AF208" s="104" t="n"/>
      <c r="AG208" s="104" t="n"/>
      <c r="AH208" s="104" t="n"/>
      <c r="AI208" s="104" t="n"/>
      <c r="AJ208" s="104" t="n"/>
      <c r="AK208" s="104" t="n"/>
      <c r="AL208" s="104" t="n"/>
      <c r="AM208" s="104" t="n"/>
      <c r="AN208" s="104" t="n"/>
      <c r="AO208" s="104" t="n"/>
      <c r="AP208" s="104" t="n"/>
      <c r="AQ208" s="104" t="n"/>
      <c r="AR208" s="104" t="n"/>
      <c r="AS208" s="104" t="n"/>
      <c r="AT208" s="104" t="n"/>
      <c r="AU208" s="104" t="n"/>
      <c r="AV208" s="104" t="n"/>
      <c r="AW208" s="104" t="n"/>
      <c r="AX208" s="104" t="n"/>
      <c r="AY208" s="104" t="n"/>
      <c r="AZ208" s="104" t="n"/>
      <c r="BA208" s="104" t="n"/>
      <c r="BB208" s="104" t="n"/>
      <c r="BC208" s="104" t="n"/>
      <c r="BD208" s="104" t="n"/>
      <c r="BE208" s="104" t="n"/>
      <c r="BF208" s="104" t="n"/>
      <c r="BG208" s="104" t="n"/>
      <c r="BH208" s="104" t="n"/>
      <c r="BI208" s="104" t="n"/>
      <c r="BJ208" s="104" t="n"/>
      <c r="BK208" s="104" t="n"/>
      <c r="BL208" s="104" t="n"/>
      <c r="BM208" s="104" t="n"/>
      <c r="BN208" s="104" t="n"/>
      <c r="BO208" s="104" t="n"/>
      <c r="BP208" s="104" t="n"/>
      <c r="BQ208" s="104" t="n"/>
      <c r="BR208" s="104" t="n"/>
      <c r="BS208" s="104" t="n"/>
      <c r="BT208" s="104" t="n"/>
      <c r="BU208" s="104" t="n"/>
      <c r="BV208" s="104" t="n"/>
      <c r="BW208" s="104" t="n"/>
      <c r="BX208" s="104" t="n"/>
    </row>
    <row r="209">
      <c r="AC209" s="104" t="n"/>
      <c r="AD209" s="104" t="n"/>
      <c r="AE209" s="104" t="n"/>
      <c r="AF209" s="104" t="n"/>
      <c r="AG209" s="104" t="n"/>
      <c r="AH209" s="104" t="n"/>
      <c r="AI209" s="104" t="n"/>
      <c r="AJ209" s="104" t="n"/>
      <c r="AK209" s="104" t="n"/>
      <c r="AL209" s="104" t="n"/>
      <c r="AM209" s="104" t="n"/>
      <c r="AN209" s="104" t="n"/>
      <c r="AO209" s="104" t="n"/>
      <c r="AP209" s="104" t="n"/>
      <c r="AQ209" s="104" t="n"/>
      <c r="AR209" s="104" t="n"/>
      <c r="AS209" s="104" t="n"/>
      <c r="AT209" s="104" t="n"/>
      <c r="AU209" s="104" t="n"/>
      <c r="AV209" s="104" t="n"/>
      <c r="AW209" s="104" t="n"/>
      <c r="AX209" s="104" t="n"/>
      <c r="AY209" s="104" t="n"/>
      <c r="AZ209" s="104" t="n"/>
      <c r="BA209" s="104" t="n"/>
      <c r="BB209" s="104" t="n"/>
      <c r="BC209" s="104" t="n"/>
      <c r="BD209" s="104" t="n"/>
      <c r="BE209" s="104" t="n"/>
      <c r="BF209" s="104" t="n"/>
      <c r="BG209" s="104" t="n"/>
      <c r="BH209" s="104" t="n"/>
      <c r="BI209" s="104" t="n"/>
      <c r="BJ209" s="104" t="n"/>
      <c r="BK209" s="104" t="n"/>
      <c r="BL209" s="104" t="n"/>
      <c r="BM209" s="104" t="n"/>
      <c r="BN209" s="104" t="n"/>
      <c r="BO209" s="104" t="n"/>
      <c r="BP209" s="104" t="n"/>
      <c r="BQ209" s="104" t="n"/>
      <c r="BR209" s="104" t="n"/>
      <c r="BS209" s="104" t="n"/>
      <c r="BT209" s="104" t="n"/>
      <c r="BU209" s="104" t="n"/>
      <c r="BV209" s="104" t="n"/>
      <c r="BW209" s="104" t="n"/>
      <c r="BX209" s="104" t="n"/>
    </row>
    <row r="210">
      <c r="AC210" s="104" t="n"/>
      <c r="AD210" s="104" t="n"/>
      <c r="AE210" s="104" t="n"/>
      <c r="AF210" s="104" t="n"/>
      <c r="AG210" s="104" t="n"/>
      <c r="AH210" s="104" t="n"/>
      <c r="AI210" s="104" t="n"/>
      <c r="AJ210" s="104" t="n"/>
      <c r="AK210" s="104" t="n"/>
      <c r="AL210" s="104" t="n"/>
      <c r="AM210" s="104" t="n"/>
      <c r="AN210" s="104" t="n"/>
      <c r="AO210" s="104" t="n"/>
      <c r="AP210" s="104" t="n"/>
      <c r="AQ210" s="104" t="n"/>
      <c r="AR210" s="104" t="n"/>
      <c r="AS210" s="104" t="n"/>
      <c r="AT210" s="104" t="n"/>
      <c r="AU210" s="104" t="n"/>
      <c r="AV210" s="104" t="n"/>
      <c r="AW210" s="104" t="n"/>
      <c r="AX210" s="104" t="n"/>
      <c r="AY210" s="104" t="n"/>
      <c r="AZ210" s="104" t="n"/>
      <c r="BA210" s="104" t="n"/>
      <c r="BB210" s="104" t="n"/>
      <c r="BC210" s="104" t="n"/>
      <c r="BD210" s="104" t="n"/>
      <c r="BE210" s="104" t="n"/>
      <c r="BF210" s="104" t="n"/>
      <c r="BG210" s="104" t="n"/>
      <c r="BH210" s="104" t="n"/>
      <c r="BI210" s="104" t="n"/>
      <c r="BJ210" s="104" t="n"/>
      <c r="BK210" s="104" t="n"/>
      <c r="BL210" s="104" t="n"/>
      <c r="BM210" s="104" t="n"/>
      <c r="BN210" s="104" t="n"/>
      <c r="BO210" s="104" t="n"/>
      <c r="BP210" s="104" t="n"/>
      <c r="BQ210" s="104" t="n"/>
      <c r="BR210" s="104" t="n"/>
      <c r="BS210" s="104" t="n"/>
      <c r="BT210" s="104" t="n"/>
      <c r="BU210" s="104" t="n"/>
      <c r="BV210" s="104" t="n"/>
      <c r="BW210" s="104" t="n"/>
      <c r="BX210" s="104" t="n"/>
    </row>
    <row r="211">
      <c r="AC211" s="104" t="n"/>
      <c r="AD211" s="104" t="n"/>
      <c r="AE211" s="104" t="n"/>
      <c r="AF211" s="104" t="n"/>
      <c r="AG211" s="104" t="n"/>
      <c r="AH211" s="104" t="n"/>
      <c r="AI211" s="104" t="n"/>
      <c r="AJ211" s="104" t="n"/>
      <c r="AK211" s="104" t="n"/>
      <c r="AL211" s="104" t="n"/>
      <c r="AM211" s="104" t="n"/>
      <c r="AN211" s="104" t="n"/>
      <c r="AO211" s="104" t="n"/>
      <c r="AP211" s="104" t="n"/>
      <c r="AQ211" s="104" t="n"/>
      <c r="AR211" s="104" t="n"/>
      <c r="AS211" s="104" t="n"/>
      <c r="AT211" s="104" t="n"/>
      <c r="AU211" s="104" t="n"/>
      <c r="AV211" s="104" t="n"/>
      <c r="AW211" s="104" t="n"/>
      <c r="AX211" s="104" t="n"/>
      <c r="AY211" s="104" t="n"/>
      <c r="AZ211" s="104" t="n"/>
      <c r="BA211" s="104" t="n"/>
      <c r="BB211" s="104" t="n"/>
      <c r="BC211" s="104" t="n"/>
      <c r="BD211" s="104" t="n"/>
      <c r="BE211" s="104" t="n"/>
      <c r="BF211" s="104" t="n"/>
      <c r="BG211" s="104" t="n"/>
      <c r="BH211" s="104" t="n"/>
      <c r="BI211" s="104" t="n"/>
      <c r="BJ211" s="104" t="n"/>
      <c r="BK211" s="104" t="n"/>
      <c r="BL211" s="104" t="n"/>
      <c r="BM211" s="104" t="n"/>
      <c r="BN211" s="104" t="n"/>
      <c r="BO211" s="104" t="n"/>
      <c r="BP211" s="104" t="n"/>
      <c r="BQ211" s="104" t="n"/>
      <c r="BR211" s="104" t="n"/>
      <c r="BS211" s="104" t="n"/>
      <c r="BT211" s="104" t="n"/>
      <c r="BU211" s="104" t="n"/>
      <c r="BV211" s="104" t="n"/>
      <c r="BW211" s="104" t="n"/>
      <c r="BX211" s="104" t="n"/>
    </row>
    <row r="212">
      <c r="AC212" s="104" t="n"/>
      <c r="AD212" s="104" t="n"/>
      <c r="AE212" s="104" t="n"/>
      <c r="AF212" s="104" t="n"/>
      <c r="AG212" s="104" t="n"/>
      <c r="AH212" s="104" t="n"/>
      <c r="AI212" s="104" t="n"/>
      <c r="AJ212" s="104" t="n"/>
      <c r="AK212" s="104" t="n"/>
      <c r="AL212" s="104" t="n"/>
      <c r="AM212" s="104" t="n"/>
      <c r="AN212" s="104" t="n"/>
      <c r="AO212" s="104" t="n"/>
      <c r="AP212" s="104" t="n"/>
      <c r="AQ212" s="104" t="n"/>
      <c r="AR212" s="104" t="n"/>
      <c r="AS212" s="104" t="n"/>
      <c r="AT212" s="104" t="n"/>
      <c r="AU212" s="104" t="n"/>
      <c r="AV212" s="104" t="n"/>
      <c r="AW212" s="104" t="n"/>
      <c r="AX212" s="104" t="n"/>
      <c r="AY212" s="104" t="n"/>
      <c r="AZ212" s="104" t="n"/>
      <c r="BA212" s="104" t="n"/>
      <c r="BB212" s="104" t="n"/>
      <c r="BC212" s="104" t="n"/>
      <c r="BD212" s="104" t="n"/>
      <c r="BE212" s="104" t="n"/>
      <c r="BF212" s="104" t="n"/>
      <c r="BG212" s="104" t="n"/>
      <c r="BH212" s="104" t="n"/>
      <c r="BI212" s="104" t="n"/>
      <c r="BJ212" s="104" t="n"/>
      <c r="BK212" s="104" t="n"/>
      <c r="BL212" s="104" t="n"/>
      <c r="BM212" s="104" t="n"/>
      <c r="BN212" s="104" t="n"/>
      <c r="BO212" s="104" t="n"/>
      <c r="BP212" s="104" t="n"/>
      <c r="BQ212" s="104" t="n"/>
      <c r="BR212" s="104" t="n"/>
      <c r="BS212" s="104" t="n"/>
      <c r="BT212" s="104" t="n"/>
      <c r="BU212" s="104" t="n"/>
      <c r="BV212" s="104" t="n"/>
      <c r="BW212" s="104" t="n"/>
      <c r="BX212" s="104" t="n"/>
    </row>
    <row r="213">
      <c r="AC213" s="104" t="n"/>
      <c r="AD213" s="104" t="n"/>
      <c r="AE213" s="104" t="n"/>
      <c r="AF213" s="104" t="n"/>
      <c r="AG213" s="104" t="n"/>
      <c r="AH213" s="104" t="n"/>
      <c r="AI213" s="104" t="n"/>
      <c r="AJ213" s="104" t="n"/>
      <c r="AK213" s="104" t="n"/>
      <c r="AL213" s="104" t="n"/>
      <c r="AM213" s="104" t="n"/>
      <c r="AN213" s="104" t="n"/>
      <c r="AO213" s="104" t="n"/>
      <c r="AP213" s="104" t="n"/>
      <c r="AQ213" s="104" t="n"/>
      <c r="AR213" s="104" t="n"/>
      <c r="AS213" s="104" t="n"/>
      <c r="AT213" s="104" t="n"/>
      <c r="AU213" s="104" t="n"/>
      <c r="AV213" s="104" t="n"/>
      <c r="AW213" s="104" t="n"/>
      <c r="AX213" s="104" t="n"/>
      <c r="AY213" s="104" t="n"/>
      <c r="AZ213" s="104" t="n"/>
      <c r="BA213" s="104" t="n"/>
      <c r="BB213" s="104" t="n"/>
      <c r="BC213" s="104" t="n"/>
      <c r="BD213" s="104" t="n"/>
      <c r="BE213" s="104" t="n"/>
      <c r="BF213" s="104" t="n"/>
      <c r="BG213" s="104" t="n"/>
      <c r="BH213" s="104" t="n"/>
      <c r="BI213" s="104" t="n"/>
      <c r="BJ213" s="104" t="n"/>
      <c r="BK213" s="104" t="n"/>
      <c r="BL213" s="104" t="n"/>
      <c r="BM213" s="104" t="n"/>
      <c r="BN213" s="104" t="n"/>
      <c r="BO213" s="104" t="n"/>
      <c r="BP213" s="104" t="n"/>
      <c r="BQ213" s="104" t="n"/>
      <c r="BR213" s="104" t="n"/>
      <c r="BS213" s="104" t="n"/>
      <c r="BT213" s="104" t="n"/>
      <c r="BU213" s="104" t="n"/>
      <c r="BV213" s="104" t="n"/>
      <c r="BW213" s="104" t="n"/>
      <c r="BX213" s="104" t="n"/>
    </row>
    <row r="214">
      <c r="AC214" s="104" t="n"/>
      <c r="AD214" s="104" t="n"/>
      <c r="AE214" s="104" t="n"/>
      <c r="AF214" s="104" t="n"/>
      <c r="AG214" s="104" t="n"/>
      <c r="AH214" s="104" t="n"/>
      <c r="AI214" s="104" t="n"/>
      <c r="AJ214" s="104" t="n"/>
      <c r="AK214" s="104" t="n"/>
      <c r="AL214" s="104" t="n"/>
      <c r="AM214" s="104" t="n"/>
      <c r="AN214" s="104" t="n"/>
      <c r="AO214" s="104" t="n"/>
      <c r="AP214" s="104" t="n"/>
      <c r="AQ214" s="104" t="n"/>
      <c r="AR214" s="104" t="n"/>
      <c r="AS214" s="104" t="n"/>
      <c r="AT214" s="104" t="n"/>
      <c r="AU214" s="104" t="n"/>
      <c r="AV214" s="104" t="n"/>
      <c r="AW214" s="104" t="n"/>
      <c r="AX214" s="104" t="n"/>
      <c r="AY214" s="104" t="n"/>
      <c r="AZ214" s="104" t="n"/>
      <c r="BA214" s="104" t="n"/>
      <c r="BB214" s="104" t="n"/>
      <c r="BC214" s="104" t="n"/>
      <c r="BD214" s="104" t="n"/>
      <c r="BE214" s="104" t="n"/>
      <c r="BF214" s="104" t="n"/>
      <c r="BG214" s="104" t="n"/>
      <c r="BH214" s="104" t="n"/>
      <c r="BI214" s="104" t="n"/>
      <c r="BJ214" s="104" t="n"/>
      <c r="BK214" s="104" t="n"/>
      <c r="BL214" s="104" t="n"/>
      <c r="BM214" s="104" t="n"/>
      <c r="BN214" s="104" t="n"/>
      <c r="BO214" s="104" t="n"/>
      <c r="BP214" s="104" t="n"/>
      <c r="BQ214" s="104" t="n"/>
      <c r="BR214" s="104" t="n"/>
      <c r="BS214" s="104" t="n"/>
      <c r="BT214" s="104" t="n"/>
      <c r="BU214" s="104" t="n"/>
      <c r="BV214" s="104" t="n"/>
      <c r="BW214" s="104" t="n"/>
      <c r="BX214" s="104" t="n"/>
    </row>
    <row r="215">
      <c r="AC215" s="104" t="n"/>
      <c r="AD215" s="104" t="n"/>
      <c r="AE215" s="104" t="n"/>
      <c r="AF215" s="104" t="n"/>
      <c r="AG215" s="104" t="n"/>
      <c r="AH215" s="104" t="n"/>
      <c r="AI215" s="104" t="n"/>
      <c r="AJ215" s="104" t="n"/>
      <c r="AK215" s="104" t="n"/>
      <c r="AL215" s="104" t="n"/>
      <c r="AM215" s="104" t="n"/>
      <c r="AN215" s="104" t="n"/>
      <c r="AO215" s="104" t="n"/>
      <c r="AP215" s="104" t="n"/>
      <c r="AQ215" s="104" t="n"/>
      <c r="AR215" s="104" t="n"/>
      <c r="AS215" s="104" t="n"/>
      <c r="AT215" s="104" t="n"/>
      <c r="AU215" s="104" t="n"/>
      <c r="AV215" s="104" t="n"/>
      <c r="AW215" s="104" t="n"/>
      <c r="AX215" s="104" t="n"/>
      <c r="AY215" s="104" t="n"/>
      <c r="AZ215" s="104" t="n"/>
      <c r="BA215" s="104" t="n"/>
      <c r="BB215" s="104" t="n"/>
      <c r="BC215" s="104" t="n"/>
      <c r="BD215" s="104" t="n"/>
      <c r="BE215" s="104" t="n"/>
      <c r="BF215" s="104" t="n"/>
      <c r="BG215" s="104" t="n"/>
      <c r="BH215" s="104" t="n"/>
      <c r="BI215" s="104" t="n"/>
      <c r="BJ215" s="104" t="n"/>
      <c r="BK215" s="104" t="n"/>
      <c r="BL215" s="104" t="n"/>
      <c r="BM215" s="104" t="n"/>
      <c r="BN215" s="104" t="n"/>
      <c r="BO215" s="104" t="n"/>
      <c r="BP215" s="104" t="n"/>
      <c r="BQ215" s="104" t="n"/>
      <c r="BR215" s="104" t="n"/>
      <c r="BS215" s="104" t="n"/>
      <c r="BT215" s="104" t="n"/>
      <c r="BU215" s="104" t="n"/>
      <c r="BV215" s="104" t="n"/>
      <c r="BW215" s="104" t="n"/>
      <c r="BX215" s="104" t="n"/>
    </row>
    <row r="216">
      <c r="AC216" s="104" t="n"/>
      <c r="AD216" s="104" t="n"/>
      <c r="AE216" s="104" t="n"/>
      <c r="AF216" s="104" t="n"/>
      <c r="AG216" s="104" t="n"/>
      <c r="AH216" s="104" t="n"/>
      <c r="AI216" s="104" t="n"/>
      <c r="AJ216" s="104" t="n"/>
      <c r="AK216" s="104" t="n"/>
      <c r="AL216" s="104" t="n"/>
      <c r="AM216" s="104" t="n"/>
      <c r="AN216" s="104" t="n"/>
      <c r="AO216" s="104" t="n"/>
      <c r="AP216" s="104" t="n"/>
      <c r="AQ216" s="104" t="n"/>
      <c r="AR216" s="104" t="n"/>
      <c r="AS216" s="104" t="n"/>
      <c r="AT216" s="104" t="n"/>
      <c r="AU216" s="104" t="n"/>
      <c r="AV216" s="104" t="n"/>
      <c r="AW216" s="104" t="n"/>
      <c r="AX216" s="104" t="n"/>
      <c r="AY216" s="104" t="n"/>
      <c r="AZ216" s="104" t="n"/>
      <c r="BA216" s="104" t="n"/>
      <c r="BB216" s="104" t="n"/>
      <c r="BC216" s="104" t="n"/>
      <c r="BD216" s="104" t="n"/>
      <c r="BE216" s="104" t="n"/>
      <c r="BF216" s="104" t="n"/>
      <c r="BG216" s="104" t="n"/>
      <c r="BH216" s="104" t="n"/>
      <c r="BI216" s="104" t="n"/>
      <c r="BJ216" s="104" t="n"/>
      <c r="BK216" s="104" t="n"/>
      <c r="BL216" s="104" t="n"/>
      <c r="BM216" s="104" t="n"/>
      <c r="BN216" s="104" t="n"/>
      <c r="BO216" s="104" t="n"/>
      <c r="BP216" s="104" t="n"/>
      <c r="BQ216" s="104" t="n"/>
      <c r="BR216" s="104" t="n"/>
      <c r="BS216" s="104" t="n"/>
      <c r="BT216" s="104" t="n"/>
      <c r="BU216" s="104" t="n"/>
      <c r="BV216" s="104" t="n"/>
      <c r="BW216" s="104" t="n"/>
      <c r="BX216" s="104" t="n"/>
    </row>
    <row r="217">
      <c r="AC217" s="104" t="n"/>
      <c r="AD217" s="104" t="n"/>
      <c r="AE217" s="104" t="n"/>
      <c r="AF217" s="104" t="n"/>
      <c r="AG217" s="104" t="n"/>
      <c r="AH217" s="104" t="n"/>
      <c r="AI217" s="104" t="n"/>
      <c r="AJ217" s="104" t="n"/>
      <c r="AK217" s="104" t="n"/>
      <c r="AL217" s="104" t="n"/>
      <c r="AM217" s="104" t="n"/>
      <c r="AN217" s="104" t="n"/>
      <c r="AO217" s="104" t="n"/>
      <c r="AP217" s="104" t="n"/>
      <c r="AQ217" s="104" t="n"/>
      <c r="AR217" s="104" t="n"/>
      <c r="AS217" s="104" t="n"/>
      <c r="AT217" s="104" t="n"/>
      <c r="AU217" s="104" t="n"/>
      <c r="AV217" s="104" t="n"/>
      <c r="AW217" s="104" t="n"/>
      <c r="AX217" s="104" t="n"/>
      <c r="AY217" s="104" t="n"/>
      <c r="AZ217" s="104" t="n"/>
      <c r="BA217" s="104" t="n"/>
      <c r="BB217" s="104" t="n"/>
      <c r="BC217" s="104" t="n"/>
      <c r="BD217" s="104" t="n"/>
      <c r="BE217" s="104" t="n"/>
      <c r="BF217" s="104" t="n"/>
      <c r="BG217" s="104" t="n"/>
      <c r="BH217" s="104" t="n"/>
      <c r="BI217" s="104" t="n"/>
      <c r="BJ217" s="104" t="n"/>
      <c r="BK217" s="104" t="n"/>
      <c r="BL217" s="104" t="n"/>
      <c r="BM217" s="104" t="n"/>
      <c r="BN217" s="104" t="n"/>
      <c r="BO217" s="104" t="n"/>
      <c r="BP217" s="104" t="n"/>
      <c r="BQ217" s="104" t="n"/>
      <c r="BR217" s="104" t="n"/>
      <c r="BS217" s="104" t="n"/>
      <c r="BT217" s="104" t="n"/>
      <c r="BU217" s="104" t="n"/>
      <c r="BV217" s="104" t="n"/>
      <c r="BW217" s="104" t="n"/>
      <c r="BX217" s="104" t="n"/>
    </row>
    <row r="218">
      <c r="AC218" s="104" t="n"/>
      <c r="AD218" s="104" t="n"/>
      <c r="AE218" s="104" t="n"/>
      <c r="AF218" s="104" t="n"/>
      <c r="AG218" s="104" t="n"/>
      <c r="AH218" s="104" t="n"/>
      <c r="AI218" s="104" t="n"/>
      <c r="AJ218" s="104" t="n"/>
      <c r="AK218" s="104" t="n"/>
      <c r="AL218" s="104" t="n"/>
      <c r="AM218" s="104" t="n"/>
      <c r="AN218" s="104" t="n"/>
      <c r="AO218" s="104" t="n"/>
      <c r="AP218" s="104" t="n"/>
      <c r="AQ218" s="104" t="n"/>
      <c r="AR218" s="104" t="n"/>
      <c r="AS218" s="104" t="n"/>
      <c r="AT218" s="104" t="n"/>
      <c r="AU218" s="104" t="n"/>
      <c r="AV218" s="104" t="n"/>
      <c r="AW218" s="104" t="n"/>
      <c r="AX218" s="104" t="n"/>
      <c r="AY218" s="104" t="n"/>
      <c r="AZ218" s="104" t="n"/>
      <c r="BA218" s="104" t="n"/>
      <c r="BB218" s="104" t="n"/>
      <c r="BC218" s="104" t="n"/>
      <c r="BD218" s="104" t="n"/>
      <c r="BE218" s="104" t="n"/>
      <c r="BF218" s="104" t="n"/>
      <c r="BG218" s="104" t="n"/>
      <c r="BH218" s="104" t="n"/>
      <c r="BI218" s="104" t="n"/>
      <c r="BJ218" s="104" t="n"/>
      <c r="BK218" s="104" t="n"/>
      <c r="BL218" s="104" t="n"/>
      <c r="BM218" s="104" t="n"/>
      <c r="BN218" s="104" t="n"/>
      <c r="BO218" s="104" t="n"/>
      <c r="BP218" s="104" t="n"/>
      <c r="BQ218" s="104" t="n"/>
      <c r="BR218" s="104" t="n"/>
      <c r="BS218" s="104" t="n"/>
      <c r="BT218" s="104" t="n"/>
      <c r="BU218" s="104" t="n"/>
      <c r="BV218" s="104" t="n"/>
      <c r="BW218" s="104" t="n"/>
      <c r="BX218" s="104" t="n"/>
    </row>
    <row r="219">
      <c r="AC219" s="104" t="n"/>
      <c r="AD219" s="104" t="n"/>
      <c r="AE219" s="104" t="n"/>
      <c r="AF219" s="104" t="n"/>
      <c r="AG219" s="104" t="n"/>
      <c r="AH219" s="104" t="n"/>
      <c r="AI219" s="104" t="n"/>
      <c r="AJ219" s="104" t="n"/>
      <c r="AK219" s="104" t="n"/>
      <c r="AL219" s="104" t="n"/>
      <c r="AM219" s="104" t="n"/>
      <c r="AN219" s="104" t="n"/>
      <c r="AO219" s="104" t="n"/>
      <c r="AP219" s="104" t="n"/>
      <c r="AQ219" s="104" t="n"/>
      <c r="AR219" s="104" t="n"/>
      <c r="AS219" s="104" t="n"/>
      <c r="AT219" s="104" t="n"/>
      <c r="AU219" s="104" t="n"/>
      <c r="AV219" s="104" t="n"/>
      <c r="AW219" s="104" t="n"/>
      <c r="AX219" s="104" t="n"/>
      <c r="AY219" s="104" t="n"/>
      <c r="AZ219" s="104" t="n"/>
      <c r="BA219" s="104" t="n"/>
      <c r="BB219" s="104" t="n"/>
      <c r="BC219" s="104" t="n"/>
      <c r="BD219" s="104" t="n"/>
      <c r="BE219" s="104" t="n"/>
      <c r="BF219" s="104" t="n"/>
      <c r="BG219" s="104" t="n"/>
      <c r="BH219" s="104" t="n"/>
      <c r="BI219" s="104" t="n"/>
      <c r="BJ219" s="104" t="n"/>
      <c r="BK219" s="104" t="n"/>
      <c r="BL219" s="104" t="n"/>
      <c r="BM219" s="104" t="n"/>
      <c r="BN219" s="104" t="n"/>
      <c r="BO219" s="104" t="n"/>
      <c r="BP219" s="104" t="n"/>
      <c r="BQ219" s="104" t="n"/>
      <c r="BR219" s="104" t="n"/>
      <c r="BS219" s="104" t="n"/>
      <c r="BT219" s="104" t="n"/>
      <c r="BU219" s="104" t="n"/>
      <c r="BV219" s="104" t="n"/>
      <c r="BW219" s="104" t="n"/>
      <c r="BX219" s="104" t="n"/>
    </row>
    <row r="220">
      <c r="AC220" s="104" t="n"/>
      <c r="AD220" s="104" t="n"/>
      <c r="AE220" s="104" t="n"/>
      <c r="AF220" s="104" t="n"/>
      <c r="AG220" s="104" t="n"/>
      <c r="AH220" s="104" t="n"/>
      <c r="AI220" s="104" t="n"/>
      <c r="AJ220" s="104" t="n"/>
      <c r="AK220" s="104" t="n"/>
      <c r="AL220" s="104" t="n"/>
      <c r="AM220" s="104" t="n"/>
      <c r="AN220" s="104" t="n"/>
      <c r="AO220" s="104" t="n"/>
      <c r="AP220" s="104" t="n"/>
      <c r="AQ220" s="104" t="n"/>
      <c r="AR220" s="104" t="n"/>
      <c r="AS220" s="104" t="n"/>
      <c r="AT220" s="104" t="n"/>
      <c r="AU220" s="104" t="n"/>
      <c r="AV220" s="104" t="n"/>
      <c r="AW220" s="104" t="n"/>
      <c r="AX220" s="104" t="n"/>
      <c r="AY220" s="104" t="n"/>
      <c r="AZ220" s="104" t="n"/>
      <c r="BA220" s="104" t="n"/>
      <c r="BB220" s="104" t="n"/>
      <c r="BC220" s="104" t="n"/>
      <c r="BD220" s="104" t="n"/>
      <c r="BE220" s="104" t="n"/>
      <c r="BF220" s="104" t="n"/>
      <c r="BG220" s="104" t="n"/>
      <c r="BH220" s="104" t="n"/>
      <c r="BI220" s="104" t="n"/>
      <c r="BJ220" s="104" t="n"/>
      <c r="BK220" s="104" t="n"/>
      <c r="BL220" s="104" t="n"/>
      <c r="BM220" s="104" t="n"/>
      <c r="BN220" s="104" t="n"/>
      <c r="BO220" s="104" t="n"/>
      <c r="BP220" s="104" t="n"/>
      <c r="BQ220" s="104" t="n"/>
      <c r="BR220" s="104" t="n"/>
      <c r="BS220" s="104" t="n"/>
      <c r="BT220" s="104" t="n"/>
      <c r="BU220" s="104" t="n"/>
      <c r="BV220" s="104" t="n"/>
      <c r="BW220" s="104" t="n"/>
      <c r="BX220" s="104" t="n"/>
    </row>
    <row r="221">
      <c r="AC221" s="104" t="n"/>
      <c r="AD221" s="104" t="n"/>
      <c r="AE221" s="104" t="n"/>
      <c r="AF221" s="104" t="n"/>
      <c r="AG221" s="104" t="n"/>
      <c r="AH221" s="104" t="n"/>
      <c r="AI221" s="104" t="n"/>
      <c r="AJ221" s="104" t="n"/>
      <c r="AK221" s="104" t="n"/>
      <c r="AL221" s="104" t="n"/>
      <c r="AM221" s="104" t="n"/>
      <c r="AN221" s="104" t="n"/>
      <c r="AO221" s="104" t="n"/>
      <c r="AP221" s="104" t="n"/>
      <c r="AQ221" s="104" t="n"/>
      <c r="AR221" s="104" t="n"/>
      <c r="AS221" s="104" t="n"/>
      <c r="AT221" s="104" t="n"/>
      <c r="AU221" s="104" t="n"/>
      <c r="AV221" s="104" t="n"/>
      <c r="AW221" s="104" t="n"/>
      <c r="AX221" s="104" t="n"/>
      <c r="AY221" s="104" t="n"/>
      <c r="AZ221" s="104" t="n"/>
      <c r="BA221" s="104" t="n"/>
      <c r="BB221" s="104" t="n"/>
      <c r="BC221" s="104" t="n"/>
      <c r="BD221" s="104" t="n"/>
      <c r="BE221" s="104" t="n"/>
      <c r="BF221" s="104" t="n"/>
      <c r="BG221" s="104" t="n"/>
      <c r="BH221" s="104" t="n"/>
      <c r="BI221" s="104" t="n"/>
      <c r="BJ221" s="104" t="n"/>
      <c r="BK221" s="104" t="n"/>
      <c r="BL221" s="104" t="n"/>
      <c r="BM221" s="104" t="n"/>
      <c r="BN221" s="104" t="n"/>
      <c r="BO221" s="104" t="n"/>
      <c r="BP221" s="104" t="n"/>
      <c r="BQ221" s="104" t="n"/>
      <c r="BR221" s="104" t="n"/>
      <c r="BS221" s="104" t="n"/>
      <c r="BT221" s="104" t="n"/>
      <c r="BU221" s="104" t="n"/>
      <c r="BV221" s="104" t="n"/>
      <c r="BW221" s="104" t="n"/>
      <c r="BX221" s="104" t="n"/>
    </row>
    <row r="222">
      <c r="AC222" s="104" t="n"/>
      <c r="AD222" s="104" t="n"/>
      <c r="AE222" s="104" t="n"/>
      <c r="AF222" s="104" t="n"/>
      <c r="AG222" s="104" t="n"/>
      <c r="AH222" s="104" t="n"/>
      <c r="AI222" s="104" t="n"/>
      <c r="AJ222" s="104" t="n"/>
      <c r="AK222" s="104" t="n"/>
      <c r="AL222" s="104" t="n"/>
      <c r="AM222" s="104" t="n"/>
      <c r="AN222" s="104" t="n"/>
      <c r="AO222" s="104" t="n"/>
      <c r="AP222" s="104" t="n"/>
      <c r="AQ222" s="104" t="n"/>
      <c r="AR222" s="104" t="n"/>
      <c r="AS222" s="104" t="n"/>
      <c r="AT222" s="104" t="n"/>
      <c r="AU222" s="104" t="n"/>
      <c r="AV222" s="104" t="n"/>
      <c r="AW222" s="104" t="n"/>
      <c r="AX222" s="104" t="n"/>
      <c r="AY222" s="104" t="n"/>
      <c r="AZ222" s="104" t="n"/>
      <c r="BA222" s="104" t="n"/>
      <c r="BB222" s="104" t="n"/>
      <c r="BC222" s="104" t="n"/>
      <c r="BD222" s="104" t="n"/>
      <c r="BE222" s="104" t="n"/>
      <c r="BF222" s="104" t="n"/>
      <c r="BG222" s="104" t="n"/>
      <c r="BH222" s="104" t="n"/>
      <c r="BI222" s="104" t="n"/>
      <c r="BJ222" s="104" t="n"/>
      <c r="BK222" s="104" t="n"/>
      <c r="BL222" s="104" t="n"/>
      <c r="BM222" s="104" t="n"/>
      <c r="BN222" s="104" t="n"/>
      <c r="BO222" s="104" t="n"/>
      <c r="BP222" s="104" t="n"/>
      <c r="BQ222" s="104" t="n"/>
      <c r="BR222" s="104" t="n"/>
      <c r="BS222" s="104" t="n"/>
      <c r="BT222" s="104" t="n"/>
      <c r="BU222" s="104" t="n"/>
      <c r="BV222" s="104" t="n"/>
      <c r="BW222" s="104" t="n"/>
      <c r="BX222" s="104" t="n"/>
    </row>
    <row r="223">
      <c r="AC223" s="104" t="n"/>
      <c r="AD223" s="104" t="n"/>
      <c r="AE223" s="104" t="n"/>
      <c r="AF223" s="104" t="n"/>
      <c r="AG223" s="104" t="n"/>
      <c r="AH223" s="104" t="n"/>
      <c r="AI223" s="104" t="n"/>
      <c r="AJ223" s="104" t="n"/>
      <c r="AK223" s="104" t="n"/>
      <c r="AL223" s="104" t="n"/>
      <c r="AM223" s="104" t="n"/>
      <c r="AN223" s="104" t="n"/>
      <c r="AO223" s="104" t="n"/>
      <c r="AP223" s="104" t="n"/>
      <c r="AQ223" s="104" t="n"/>
      <c r="AR223" s="104" t="n"/>
      <c r="AS223" s="104" t="n"/>
      <c r="AT223" s="104" t="n"/>
      <c r="AU223" s="104" t="n"/>
      <c r="AV223" s="104" t="n"/>
      <c r="AW223" s="104" t="n"/>
      <c r="AX223" s="104" t="n"/>
      <c r="AY223" s="104" t="n"/>
      <c r="AZ223" s="104" t="n"/>
      <c r="BA223" s="104" t="n"/>
      <c r="BB223" s="104" t="n"/>
      <c r="BC223" s="104" t="n"/>
      <c r="BD223" s="104" t="n"/>
      <c r="BE223" s="104" t="n"/>
      <c r="BF223" s="104" t="n"/>
      <c r="BG223" s="104" t="n"/>
      <c r="BH223" s="104" t="n"/>
      <c r="BI223" s="104" t="n"/>
      <c r="BJ223" s="104" t="n"/>
      <c r="BK223" s="104" t="n"/>
      <c r="BL223" s="104" t="n"/>
      <c r="BM223" s="104" t="n"/>
      <c r="BN223" s="104" t="n"/>
      <c r="BO223" s="104" t="n"/>
      <c r="BP223" s="104" t="n"/>
      <c r="BQ223" s="104" t="n"/>
      <c r="BR223" s="104" t="n"/>
      <c r="BS223" s="104" t="n"/>
      <c r="BT223" s="104" t="n"/>
      <c r="BU223" s="104" t="n"/>
      <c r="BV223" s="104" t="n"/>
      <c r="BW223" s="104" t="n"/>
      <c r="BX223" s="104" t="n"/>
    </row>
    <row r="224">
      <c r="AC224" s="104" t="n"/>
      <c r="AD224" s="104" t="n"/>
      <c r="AE224" s="104" t="n"/>
      <c r="AF224" s="104" t="n"/>
      <c r="AG224" s="104" t="n"/>
      <c r="AH224" s="104" t="n"/>
      <c r="AI224" s="104" t="n"/>
      <c r="AJ224" s="104" t="n"/>
      <c r="AK224" s="104" t="n"/>
      <c r="AL224" s="104" t="n"/>
      <c r="AM224" s="104" t="n"/>
      <c r="AN224" s="104" t="n"/>
      <c r="AO224" s="104" t="n"/>
      <c r="AP224" s="104" t="n"/>
      <c r="AQ224" s="104" t="n"/>
      <c r="AR224" s="104" t="n"/>
      <c r="AS224" s="104" t="n"/>
      <c r="AT224" s="104" t="n"/>
      <c r="AU224" s="104" t="n"/>
      <c r="AV224" s="104" t="n"/>
      <c r="AW224" s="104" t="n"/>
      <c r="AX224" s="104" t="n"/>
      <c r="AY224" s="104" t="n"/>
      <c r="AZ224" s="104" t="n"/>
      <c r="BA224" s="104" t="n"/>
      <c r="BB224" s="104" t="n"/>
      <c r="BC224" s="104" t="n"/>
      <c r="BD224" s="104" t="n"/>
      <c r="BE224" s="104" t="n"/>
      <c r="BF224" s="104" t="n"/>
      <c r="BG224" s="104" t="n"/>
      <c r="BH224" s="104" t="n"/>
      <c r="BI224" s="104" t="n"/>
      <c r="BJ224" s="104" t="n"/>
      <c r="BK224" s="104" t="n"/>
      <c r="BL224" s="104" t="n"/>
      <c r="BM224" s="104" t="n"/>
      <c r="BN224" s="104" t="n"/>
      <c r="BO224" s="104" t="n"/>
      <c r="BP224" s="104" t="n"/>
      <c r="BQ224" s="104" t="n"/>
      <c r="BR224" s="104" t="n"/>
      <c r="BS224" s="104" t="n"/>
      <c r="BT224" s="104" t="n"/>
      <c r="BU224" s="104" t="n"/>
      <c r="BV224" s="104" t="n"/>
      <c r="BW224" s="104" t="n"/>
      <c r="BX224" s="104" t="n"/>
    </row>
    <row r="225">
      <c r="AC225" s="104" t="n"/>
      <c r="AD225" s="104" t="n"/>
      <c r="AE225" s="104" t="n"/>
      <c r="AF225" s="104" t="n"/>
      <c r="AG225" s="104" t="n"/>
      <c r="AH225" s="104" t="n"/>
      <c r="AI225" s="104" t="n"/>
      <c r="AJ225" s="104" t="n"/>
      <c r="AK225" s="104" t="n"/>
      <c r="AL225" s="104" t="n"/>
      <c r="AM225" s="104" t="n"/>
      <c r="AN225" s="104" t="n"/>
      <c r="AO225" s="104" t="n"/>
      <c r="AP225" s="104" t="n"/>
      <c r="AQ225" s="104" t="n"/>
      <c r="AR225" s="104" t="n"/>
      <c r="AS225" s="104" t="n"/>
      <c r="AT225" s="104" t="n"/>
      <c r="AU225" s="104" t="n"/>
      <c r="AV225" s="104" t="n"/>
      <c r="AW225" s="104" t="n"/>
      <c r="AX225" s="104" t="n"/>
      <c r="AY225" s="104" t="n"/>
      <c r="AZ225" s="104" t="n"/>
      <c r="BA225" s="104" t="n"/>
      <c r="BB225" s="104" t="n"/>
      <c r="BC225" s="104" t="n"/>
      <c r="BD225" s="104" t="n"/>
      <c r="BE225" s="104" t="n"/>
      <c r="BF225" s="104" t="n"/>
      <c r="BG225" s="104" t="n"/>
      <c r="BH225" s="104" t="n"/>
      <c r="BI225" s="104" t="n"/>
      <c r="BJ225" s="104" t="n"/>
      <c r="BK225" s="104" t="n"/>
      <c r="BL225" s="104" t="n"/>
      <c r="BM225" s="104" t="n"/>
      <c r="BN225" s="104" t="n"/>
      <c r="BO225" s="104" t="n"/>
      <c r="BP225" s="104" t="n"/>
      <c r="BQ225" s="104" t="n"/>
      <c r="BR225" s="104" t="n"/>
      <c r="BS225" s="104" t="n"/>
      <c r="BT225" s="104" t="n"/>
      <c r="BU225" s="104" t="n"/>
      <c r="BV225" s="104" t="n"/>
      <c r="BW225" s="104" t="n"/>
      <c r="BX225" s="104" t="n"/>
    </row>
    <row r="226">
      <c r="AC226" s="104" t="n"/>
      <c r="AD226" s="104" t="n"/>
      <c r="AE226" s="104" t="n"/>
      <c r="AF226" s="104" t="n"/>
      <c r="AG226" s="104" t="n"/>
      <c r="AH226" s="104" t="n"/>
      <c r="AI226" s="104" t="n"/>
      <c r="AJ226" s="104" t="n"/>
      <c r="AK226" s="104" t="n"/>
      <c r="AL226" s="104" t="n"/>
      <c r="AM226" s="104" t="n"/>
      <c r="AN226" s="104" t="n"/>
      <c r="AO226" s="104" t="n"/>
      <c r="AP226" s="104" t="n"/>
      <c r="AQ226" s="104" t="n"/>
      <c r="AR226" s="104" t="n"/>
      <c r="AS226" s="104" t="n"/>
      <c r="AT226" s="104" t="n"/>
      <c r="AU226" s="104" t="n"/>
      <c r="AV226" s="104" t="n"/>
      <c r="AW226" s="104" t="n"/>
      <c r="AX226" s="104" t="n"/>
      <c r="AY226" s="104" t="n"/>
      <c r="AZ226" s="104" t="n"/>
      <c r="BA226" s="104" t="n"/>
      <c r="BB226" s="104" t="n"/>
      <c r="BC226" s="104" t="n"/>
      <c r="BD226" s="104" t="n"/>
      <c r="BE226" s="104" t="n"/>
      <c r="BF226" s="104" t="n"/>
      <c r="BG226" s="104" t="n"/>
      <c r="BH226" s="104" t="n"/>
      <c r="BI226" s="104" t="n"/>
      <c r="BJ226" s="104" t="n"/>
      <c r="BK226" s="104" t="n"/>
      <c r="BL226" s="104" t="n"/>
      <c r="BM226" s="104" t="n"/>
      <c r="BN226" s="104" t="n"/>
      <c r="BO226" s="104" t="n"/>
      <c r="BP226" s="104" t="n"/>
      <c r="BQ226" s="104" t="n"/>
      <c r="BR226" s="104" t="n"/>
      <c r="BS226" s="104" t="n"/>
      <c r="BT226" s="104" t="n"/>
      <c r="BU226" s="104" t="n"/>
      <c r="BV226" s="104" t="n"/>
      <c r="BW226" s="104" t="n"/>
      <c r="BX226" s="104" t="n"/>
    </row>
    <row r="227">
      <c r="AC227" s="104" t="n"/>
      <c r="AD227" s="104" t="n"/>
      <c r="AE227" s="104" t="n"/>
      <c r="AF227" s="104" t="n"/>
      <c r="AG227" s="104" t="n"/>
      <c r="AH227" s="104" t="n"/>
      <c r="AI227" s="104" t="n"/>
      <c r="AJ227" s="104" t="n"/>
      <c r="AK227" s="104" t="n"/>
      <c r="AL227" s="104" t="n"/>
      <c r="AM227" s="104" t="n"/>
      <c r="AN227" s="104" t="n"/>
      <c r="AO227" s="104" t="n"/>
      <c r="AP227" s="104" t="n"/>
      <c r="AQ227" s="104" t="n"/>
      <c r="AR227" s="104" t="n"/>
      <c r="AS227" s="104" t="n"/>
      <c r="AT227" s="104" t="n"/>
      <c r="AU227" s="104" t="n"/>
      <c r="AV227" s="104" t="n"/>
      <c r="AW227" s="104" t="n"/>
      <c r="AX227" s="104" t="n"/>
      <c r="AY227" s="104" t="n"/>
      <c r="AZ227" s="104" t="n"/>
      <c r="BA227" s="104" t="n"/>
      <c r="BB227" s="104" t="n"/>
      <c r="BC227" s="104" t="n"/>
      <c r="BD227" s="104" t="n"/>
      <c r="BE227" s="104" t="n"/>
      <c r="BF227" s="104" t="n"/>
      <c r="BG227" s="104" t="n"/>
      <c r="BH227" s="104" t="n"/>
      <c r="BI227" s="104" t="n"/>
      <c r="BJ227" s="104" t="n"/>
      <c r="BK227" s="104" t="n"/>
      <c r="BL227" s="104" t="n"/>
      <c r="BM227" s="104" t="n"/>
      <c r="BN227" s="104" t="n"/>
      <c r="BO227" s="104" t="n"/>
      <c r="BP227" s="104" t="n"/>
      <c r="BQ227" s="104" t="n"/>
      <c r="BR227" s="104" t="n"/>
      <c r="BS227" s="104" t="n"/>
      <c r="BT227" s="104" t="n"/>
      <c r="BU227" s="104" t="n"/>
      <c r="BV227" s="104" t="n"/>
      <c r="BW227" s="104" t="n"/>
      <c r="BX227" s="104" t="n"/>
    </row>
    <row r="228">
      <c r="AC228" s="104" t="n"/>
      <c r="AD228" s="104" t="n"/>
      <c r="AE228" s="104" t="n"/>
      <c r="AF228" s="104" t="n"/>
      <c r="AG228" s="104" t="n"/>
      <c r="AH228" s="104" t="n"/>
      <c r="AI228" s="104" t="n"/>
      <c r="AJ228" s="104" t="n"/>
      <c r="AK228" s="104" t="n"/>
      <c r="AL228" s="104" t="n"/>
      <c r="AM228" s="104" t="n"/>
      <c r="AN228" s="104" t="n"/>
      <c r="AO228" s="104" t="n"/>
      <c r="AP228" s="104" t="n"/>
      <c r="AQ228" s="104" t="n"/>
      <c r="AR228" s="104" t="n"/>
      <c r="AS228" s="104" t="n"/>
      <c r="AT228" s="104" t="n"/>
      <c r="AU228" s="104" t="n"/>
      <c r="AV228" s="104" t="n"/>
      <c r="AW228" s="104" t="n"/>
      <c r="AX228" s="104" t="n"/>
      <c r="AY228" s="104" t="n"/>
      <c r="AZ228" s="104" t="n"/>
      <c r="BA228" s="104" t="n"/>
      <c r="BB228" s="104" t="n"/>
      <c r="BC228" s="104" t="n"/>
      <c r="BD228" s="104" t="n"/>
      <c r="BE228" s="104" t="n"/>
      <c r="BF228" s="104" t="n"/>
      <c r="BG228" s="104" t="n"/>
      <c r="BH228" s="104" t="n"/>
      <c r="BI228" s="104" t="n"/>
      <c r="BJ228" s="104" t="n"/>
      <c r="BK228" s="104" t="n"/>
      <c r="BL228" s="104" t="n"/>
      <c r="BM228" s="104" t="n"/>
      <c r="BN228" s="104" t="n"/>
      <c r="BO228" s="104" t="n"/>
      <c r="BP228" s="104" t="n"/>
      <c r="BQ228" s="104" t="n"/>
      <c r="BR228" s="104" t="n"/>
      <c r="BS228" s="104" t="n"/>
      <c r="BT228" s="104" t="n"/>
      <c r="BU228" s="104" t="n"/>
      <c r="BV228" s="104" t="n"/>
      <c r="BW228" s="104" t="n"/>
      <c r="BX228" s="104" t="n"/>
    </row>
    <row r="229">
      <c r="AC229" s="104" t="n"/>
      <c r="AD229" s="104" t="n"/>
      <c r="AE229" s="104" t="n"/>
      <c r="AF229" s="104" t="n"/>
      <c r="AG229" s="104" t="n"/>
      <c r="AH229" s="104" t="n"/>
      <c r="AI229" s="104" t="n"/>
      <c r="AJ229" s="104" t="n"/>
      <c r="AK229" s="104" t="n"/>
      <c r="AL229" s="104" t="n"/>
      <c r="AM229" s="104" t="n"/>
      <c r="AN229" s="104" t="n"/>
      <c r="AO229" s="104" t="n"/>
      <c r="AP229" s="104" t="n"/>
      <c r="AQ229" s="104" t="n"/>
      <c r="AR229" s="104" t="n"/>
      <c r="AS229" s="104" t="n"/>
      <c r="AT229" s="104" t="n"/>
      <c r="AU229" s="104" t="n"/>
      <c r="AV229" s="104" t="n"/>
      <c r="AW229" s="104" t="n"/>
      <c r="AX229" s="104" t="n"/>
      <c r="AY229" s="104" t="n"/>
      <c r="AZ229" s="104" t="n"/>
      <c r="BA229" s="104" t="n"/>
      <c r="BB229" s="104" t="n"/>
      <c r="BC229" s="104" t="n"/>
      <c r="BD229" s="104" t="n"/>
      <c r="BE229" s="104" t="n"/>
      <c r="BF229" s="104" t="n"/>
      <c r="BG229" s="104" t="n"/>
      <c r="BH229" s="104" t="n"/>
      <c r="BI229" s="104" t="n"/>
      <c r="BJ229" s="104" t="n"/>
      <c r="BK229" s="104" t="n"/>
      <c r="BL229" s="104" t="n"/>
      <c r="BM229" s="104" t="n"/>
      <c r="BN229" s="104" t="n"/>
      <c r="BO229" s="104" t="n"/>
      <c r="BP229" s="104" t="n"/>
      <c r="BQ229" s="104" t="n"/>
      <c r="BR229" s="104" t="n"/>
      <c r="BS229" s="104" t="n"/>
      <c r="BT229" s="104" t="n"/>
      <c r="BU229" s="104" t="n"/>
      <c r="BV229" s="104" t="n"/>
      <c r="BW229" s="104" t="n"/>
      <c r="BX229" s="104" t="n"/>
    </row>
    <row r="230">
      <c r="AC230" s="104" t="n"/>
      <c r="AD230" s="104" t="n"/>
      <c r="AE230" s="104" t="n"/>
      <c r="AF230" s="104" t="n"/>
      <c r="AG230" s="104" t="n"/>
      <c r="AH230" s="104" t="n"/>
      <c r="AI230" s="104" t="n"/>
      <c r="AJ230" s="104" t="n"/>
      <c r="AK230" s="104" t="n"/>
      <c r="AL230" s="104" t="n"/>
      <c r="AM230" s="104" t="n"/>
      <c r="AN230" s="104" t="n"/>
      <c r="AO230" s="104" t="n"/>
      <c r="AP230" s="104" t="n"/>
      <c r="AQ230" s="104" t="n"/>
      <c r="AR230" s="104" t="n"/>
      <c r="AS230" s="104" t="n"/>
      <c r="AT230" s="104" t="n"/>
      <c r="AU230" s="104" t="n"/>
      <c r="AV230" s="104" t="n"/>
      <c r="AW230" s="104" t="n"/>
      <c r="AX230" s="104" t="n"/>
      <c r="AY230" s="104" t="n"/>
      <c r="AZ230" s="104" t="n"/>
      <c r="BA230" s="104" t="n"/>
      <c r="BB230" s="104" t="n"/>
      <c r="BC230" s="104" t="n"/>
      <c r="BD230" s="104" t="n"/>
      <c r="BE230" s="104" t="n"/>
      <c r="BF230" s="104" t="n"/>
      <c r="BG230" s="104" t="n"/>
      <c r="BH230" s="104" t="n"/>
      <c r="BI230" s="104" t="n"/>
      <c r="BJ230" s="104" t="n"/>
      <c r="BK230" s="104" t="n"/>
      <c r="BL230" s="104" t="n"/>
      <c r="BM230" s="104" t="n"/>
      <c r="BN230" s="104" t="n"/>
      <c r="BO230" s="104" t="n"/>
      <c r="BP230" s="104" t="n"/>
      <c r="BQ230" s="104" t="n"/>
      <c r="BR230" s="104" t="n"/>
      <c r="BS230" s="104" t="n"/>
      <c r="BT230" s="104" t="n"/>
      <c r="BU230" s="104" t="n"/>
      <c r="BV230" s="104" t="n"/>
      <c r="BW230" s="104" t="n"/>
      <c r="BX230" s="104" t="n"/>
    </row>
    <row r="231">
      <c r="AC231" s="104" t="n"/>
      <c r="AD231" s="104" t="n"/>
      <c r="AE231" s="104" t="n"/>
      <c r="AF231" s="104" t="n"/>
      <c r="AG231" s="104" t="n"/>
      <c r="AH231" s="104" t="n"/>
      <c r="AI231" s="104" t="n"/>
      <c r="AJ231" s="104" t="n"/>
      <c r="AK231" s="104" t="n"/>
      <c r="AL231" s="104" t="n"/>
      <c r="AM231" s="104" t="n"/>
      <c r="AN231" s="104" t="n"/>
      <c r="AO231" s="104" t="n"/>
      <c r="AP231" s="104" t="n"/>
      <c r="AQ231" s="104" t="n"/>
      <c r="AR231" s="104" t="n"/>
      <c r="AS231" s="104" t="n"/>
      <c r="AT231" s="104" t="n"/>
      <c r="AU231" s="104" t="n"/>
      <c r="AV231" s="104" t="n"/>
      <c r="AW231" s="104" t="n"/>
      <c r="AX231" s="104" t="n"/>
      <c r="AY231" s="104" t="n"/>
      <c r="AZ231" s="104" t="n"/>
      <c r="BA231" s="104" t="n"/>
      <c r="BB231" s="104" t="n"/>
      <c r="BC231" s="104" t="n"/>
      <c r="BD231" s="104" t="n"/>
      <c r="BE231" s="104" t="n"/>
      <c r="BF231" s="104" t="n"/>
      <c r="BG231" s="104" t="n"/>
      <c r="BH231" s="104" t="n"/>
      <c r="BI231" s="104" t="n"/>
      <c r="BJ231" s="104" t="n"/>
      <c r="BK231" s="104" t="n"/>
      <c r="BL231" s="104" t="n"/>
      <c r="BM231" s="104" t="n"/>
      <c r="BN231" s="104" t="n"/>
      <c r="BO231" s="104" t="n"/>
      <c r="BP231" s="104" t="n"/>
      <c r="BQ231" s="104" t="n"/>
      <c r="BR231" s="104" t="n"/>
      <c r="BS231" s="104" t="n"/>
      <c r="BT231" s="104" t="n"/>
      <c r="BU231" s="104" t="n"/>
      <c r="BV231" s="104" t="n"/>
      <c r="BW231" s="104" t="n"/>
      <c r="BX231" s="104" t="n"/>
    </row>
    <row r="232">
      <c r="AC232" s="104" t="n"/>
      <c r="AD232" s="104" t="n"/>
      <c r="AE232" s="104" t="n"/>
      <c r="AF232" s="104" t="n"/>
      <c r="AG232" s="104" t="n"/>
      <c r="AH232" s="104" t="n"/>
      <c r="AI232" s="104" t="n"/>
      <c r="AJ232" s="104" t="n"/>
      <c r="AK232" s="104" t="n"/>
      <c r="AL232" s="104" t="n"/>
      <c r="AM232" s="104" t="n"/>
      <c r="AN232" s="104" t="n"/>
      <c r="AO232" s="104" t="n"/>
      <c r="AP232" s="104" t="n"/>
      <c r="AQ232" s="104" t="n"/>
      <c r="AR232" s="104" t="n"/>
      <c r="AS232" s="104" t="n"/>
      <c r="AT232" s="104" t="n"/>
      <c r="AU232" s="104" t="n"/>
      <c r="AV232" s="104" t="n"/>
      <c r="AW232" s="104" t="n"/>
      <c r="AX232" s="104" t="n"/>
      <c r="AY232" s="104" t="n"/>
      <c r="AZ232" s="104" t="n"/>
      <c r="BA232" s="104" t="n"/>
      <c r="BB232" s="104" t="n"/>
      <c r="BC232" s="104" t="n"/>
      <c r="BD232" s="104" t="n"/>
      <c r="BE232" s="104" t="n"/>
      <c r="BF232" s="104" t="n"/>
      <c r="BG232" s="104" t="n"/>
      <c r="BH232" s="104" t="n"/>
      <c r="BI232" s="104" t="n"/>
      <c r="BJ232" s="104" t="n"/>
      <c r="BK232" s="104" t="n"/>
      <c r="BL232" s="104" t="n"/>
      <c r="BM232" s="104" t="n"/>
      <c r="BN232" s="104" t="n"/>
      <c r="BO232" s="104" t="n"/>
      <c r="BP232" s="104" t="n"/>
      <c r="BQ232" s="104" t="n"/>
      <c r="BR232" s="104" t="n"/>
      <c r="BS232" s="104" t="n"/>
      <c r="BT232" s="104" t="n"/>
      <c r="BU232" s="104" t="n"/>
      <c r="BV232" s="104" t="n"/>
      <c r="BW232" s="104" t="n"/>
      <c r="BX232" s="104" t="n"/>
    </row>
    <row r="233">
      <c r="AC233" s="104" t="n"/>
      <c r="AD233" s="104" t="n"/>
      <c r="AE233" s="104" t="n"/>
      <c r="AF233" s="104" t="n"/>
      <c r="AG233" s="104" t="n"/>
      <c r="AH233" s="104" t="n"/>
      <c r="AI233" s="104" t="n"/>
      <c r="AJ233" s="104" t="n"/>
      <c r="AK233" s="104" t="n"/>
      <c r="AL233" s="104" t="n"/>
      <c r="AM233" s="104" t="n"/>
      <c r="AN233" s="104" t="n"/>
      <c r="AO233" s="104" t="n"/>
      <c r="AP233" s="104" t="n"/>
      <c r="AQ233" s="104" t="n"/>
      <c r="AR233" s="104" t="n"/>
      <c r="AS233" s="104" t="n"/>
      <c r="AT233" s="104" t="n"/>
      <c r="AU233" s="104" t="n"/>
      <c r="AV233" s="104" t="n"/>
      <c r="AW233" s="104" t="n"/>
      <c r="AX233" s="104" t="n"/>
      <c r="AY233" s="104" t="n"/>
      <c r="AZ233" s="104" t="n"/>
      <c r="BA233" s="104" t="n"/>
      <c r="BB233" s="104" t="n"/>
      <c r="BC233" s="104" t="n"/>
      <c r="BD233" s="104" t="n"/>
      <c r="BE233" s="104" t="n"/>
      <c r="BF233" s="104" t="n"/>
      <c r="BG233" s="104" t="n"/>
      <c r="BH233" s="104" t="n"/>
      <c r="BI233" s="104" t="n"/>
      <c r="BJ233" s="104" t="n"/>
      <c r="BK233" s="104" t="n"/>
      <c r="BL233" s="104" t="n"/>
      <c r="BM233" s="104" t="n"/>
      <c r="BN233" s="104" t="n"/>
      <c r="BO233" s="104" t="n"/>
      <c r="BP233" s="104" t="n"/>
      <c r="BQ233" s="104" t="n"/>
      <c r="BR233" s="104" t="n"/>
      <c r="BS233" s="104" t="n"/>
      <c r="BT233" s="104" t="n"/>
      <c r="BU233" s="104" t="n"/>
      <c r="BV233" s="104" t="n"/>
      <c r="BW233" s="104" t="n"/>
      <c r="BX233" s="104" t="n"/>
    </row>
    <row r="234">
      <c r="AC234" s="104" t="n"/>
      <c r="AD234" s="104" t="n"/>
      <c r="AE234" s="104" t="n"/>
      <c r="AF234" s="104" t="n"/>
      <c r="AG234" s="104" t="n"/>
      <c r="AH234" s="104" t="n"/>
      <c r="AI234" s="104" t="n"/>
      <c r="AJ234" s="104" t="n"/>
      <c r="AK234" s="104" t="n"/>
      <c r="AL234" s="104" t="n"/>
      <c r="AM234" s="104" t="n"/>
      <c r="AN234" s="104" t="n"/>
      <c r="AO234" s="104" t="n"/>
      <c r="AP234" s="104" t="n"/>
      <c r="AQ234" s="104" t="n"/>
      <c r="AR234" s="104" t="n"/>
      <c r="AS234" s="104" t="n"/>
      <c r="AT234" s="104" t="n"/>
      <c r="AU234" s="104" t="n"/>
      <c r="AV234" s="104" t="n"/>
      <c r="AW234" s="104" t="n"/>
      <c r="AX234" s="104" t="n"/>
      <c r="AY234" s="104" t="n"/>
      <c r="AZ234" s="104" t="n"/>
      <c r="BA234" s="104" t="n"/>
      <c r="BB234" s="104" t="n"/>
      <c r="BC234" s="104" t="n"/>
      <c r="BD234" s="104" t="n"/>
      <c r="BE234" s="104" t="n"/>
      <c r="BF234" s="104" t="n"/>
      <c r="BG234" s="104" t="n"/>
      <c r="BH234" s="104" t="n"/>
      <c r="BI234" s="104" t="n"/>
      <c r="BJ234" s="104" t="n"/>
      <c r="BK234" s="104" t="n"/>
      <c r="BL234" s="104" t="n"/>
      <c r="BM234" s="104" t="n"/>
      <c r="BN234" s="104" t="n"/>
      <c r="BO234" s="104" t="n"/>
      <c r="BP234" s="104" t="n"/>
      <c r="BQ234" s="104" t="n"/>
      <c r="BR234" s="104" t="n"/>
      <c r="BS234" s="104" t="n"/>
      <c r="BT234" s="104" t="n"/>
      <c r="BU234" s="104" t="n"/>
      <c r="BV234" s="104" t="n"/>
      <c r="BW234" s="104" t="n"/>
      <c r="BX234" s="104" t="n"/>
    </row>
    <row r="235">
      <c r="AC235" s="104" t="n"/>
      <c r="AD235" s="104" t="n"/>
      <c r="AE235" s="104" t="n"/>
      <c r="AF235" s="104" t="n"/>
      <c r="AG235" s="104" t="n"/>
      <c r="AH235" s="104" t="n"/>
      <c r="AI235" s="104" t="n"/>
      <c r="AJ235" s="104" t="n"/>
      <c r="AK235" s="104" t="n"/>
      <c r="AL235" s="104" t="n"/>
      <c r="AM235" s="104" t="n"/>
      <c r="AN235" s="104" t="n"/>
      <c r="AO235" s="104" t="n"/>
      <c r="AP235" s="104" t="n"/>
      <c r="AQ235" s="104" t="n"/>
      <c r="AR235" s="104" t="n"/>
      <c r="AS235" s="104" t="n"/>
      <c r="AT235" s="104" t="n"/>
      <c r="AU235" s="104" t="n"/>
      <c r="AV235" s="104" t="n"/>
      <c r="AW235" s="104" t="n"/>
      <c r="AX235" s="104" t="n"/>
      <c r="AY235" s="104" t="n"/>
      <c r="AZ235" s="104" t="n"/>
      <c r="BA235" s="104" t="n"/>
      <c r="BB235" s="104" t="n"/>
      <c r="BC235" s="104" t="n"/>
      <c r="BD235" s="104" t="n"/>
      <c r="BE235" s="104" t="n"/>
      <c r="BF235" s="104" t="n"/>
      <c r="BG235" s="104" t="n"/>
      <c r="BH235" s="104" t="n"/>
      <c r="BI235" s="104" t="n"/>
      <c r="BJ235" s="104" t="n"/>
      <c r="BK235" s="104" t="n"/>
      <c r="BL235" s="104" t="n"/>
      <c r="BM235" s="104" t="n"/>
      <c r="BN235" s="104" t="n"/>
      <c r="BO235" s="104" t="n"/>
      <c r="BP235" s="104" t="n"/>
      <c r="BQ235" s="104" t="n"/>
      <c r="BR235" s="104" t="n"/>
      <c r="BS235" s="104" t="n"/>
      <c r="BT235" s="104" t="n"/>
      <c r="BU235" s="104" t="n"/>
      <c r="BV235" s="104" t="n"/>
      <c r="BW235" s="104" t="n"/>
      <c r="BX235" s="104" t="n"/>
    </row>
    <row r="236">
      <c r="AC236" s="104" t="n"/>
      <c r="AD236" s="104" t="n"/>
      <c r="AE236" s="104" t="n"/>
      <c r="AF236" s="104" t="n"/>
      <c r="AG236" s="104" t="n"/>
      <c r="AH236" s="104" t="n"/>
      <c r="AI236" s="104" t="n"/>
      <c r="AJ236" s="104" t="n"/>
      <c r="AK236" s="104" t="n"/>
      <c r="AL236" s="104" t="n"/>
      <c r="AM236" s="104" t="n"/>
      <c r="AN236" s="104" t="n"/>
      <c r="AO236" s="104" t="n"/>
      <c r="AP236" s="104" t="n"/>
      <c r="AQ236" s="104" t="n"/>
      <c r="AR236" s="104" t="n"/>
      <c r="AS236" s="104" t="n"/>
      <c r="AT236" s="104" t="n"/>
      <c r="AU236" s="104" t="n"/>
      <c r="AV236" s="104" t="n"/>
      <c r="AW236" s="104" t="n"/>
      <c r="AX236" s="104" t="n"/>
      <c r="AY236" s="104" t="n"/>
      <c r="AZ236" s="104" t="n"/>
      <c r="BA236" s="104" t="n"/>
      <c r="BB236" s="104" t="n"/>
      <c r="BC236" s="104" t="n"/>
      <c r="BD236" s="104" t="n"/>
      <c r="BE236" s="104" t="n"/>
      <c r="BF236" s="104" t="n"/>
      <c r="BG236" s="104" t="n"/>
      <c r="BH236" s="104" t="n"/>
      <c r="BI236" s="104" t="n"/>
      <c r="BJ236" s="104" t="n"/>
      <c r="BK236" s="104" t="n"/>
      <c r="BL236" s="104" t="n"/>
      <c r="BM236" s="104" t="n"/>
      <c r="BN236" s="104" t="n"/>
      <c r="BO236" s="104" t="n"/>
      <c r="BP236" s="104" t="n"/>
      <c r="BQ236" s="104" t="n"/>
      <c r="BR236" s="104" t="n"/>
      <c r="BS236" s="104" t="n"/>
      <c r="BT236" s="104" t="n"/>
      <c r="BU236" s="104" t="n"/>
      <c r="BV236" s="104" t="n"/>
      <c r="BW236" s="104" t="n"/>
      <c r="BX236" s="104" t="n"/>
    </row>
    <row r="237">
      <c r="AC237" s="104" t="n"/>
      <c r="AD237" s="104" t="n"/>
      <c r="AE237" s="104" t="n"/>
      <c r="AF237" s="104" t="n"/>
      <c r="AG237" s="104" t="n"/>
      <c r="AH237" s="104" t="n"/>
      <c r="AI237" s="104" t="n"/>
      <c r="AJ237" s="104" t="n"/>
      <c r="AK237" s="104" t="n"/>
      <c r="AL237" s="104" t="n"/>
      <c r="AM237" s="104" t="n"/>
      <c r="AN237" s="104" t="n"/>
      <c r="AO237" s="104" t="n"/>
      <c r="AP237" s="104" t="n"/>
      <c r="AQ237" s="104" t="n"/>
      <c r="AR237" s="104" t="n"/>
      <c r="AS237" s="104" t="n"/>
      <c r="AT237" s="104" t="n"/>
      <c r="AU237" s="104" t="n"/>
      <c r="AV237" s="104" t="n"/>
      <c r="AW237" s="104" t="n"/>
      <c r="AX237" s="104" t="n"/>
      <c r="AY237" s="104" t="n"/>
      <c r="AZ237" s="104" t="n"/>
      <c r="BA237" s="104" t="n"/>
      <c r="BB237" s="104" t="n"/>
      <c r="BC237" s="104" t="n"/>
      <c r="BD237" s="104" t="n"/>
      <c r="BE237" s="104" t="n"/>
      <c r="BF237" s="104" t="n"/>
      <c r="BG237" s="104" t="n"/>
      <c r="BH237" s="104" t="n"/>
      <c r="BI237" s="104" t="n"/>
      <c r="BJ237" s="104" t="n"/>
      <c r="BK237" s="104" t="n"/>
      <c r="BL237" s="104" t="n"/>
      <c r="BM237" s="104" t="n"/>
      <c r="BN237" s="104" t="n"/>
      <c r="BO237" s="104" t="n"/>
      <c r="BP237" s="104" t="n"/>
      <c r="BQ237" s="104" t="n"/>
      <c r="BR237" s="104" t="n"/>
      <c r="BS237" s="104" t="n"/>
      <c r="BT237" s="104" t="n"/>
      <c r="BU237" s="104" t="n"/>
      <c r="BV237" s="104" t="n"/>
      <c r="BW237" s="104" t="n"/>
      <c r="BX237" s="104" t="n"/>
    </row>
    <row r="238">
      <c r="AC238" s="104" t="n"/>
      <c r="AD238" s="104" t="n"/>
      <c r="AE238" s="104" t="n"/>
      <c r="AF238" s="104" t="n"/>
      <c r="AG238" s="104" t="n"/>
      <c r="AH238" s="104" t="n"/>
      <c r="AI238" s="104" t="n"/>
      <c r="AJ238" s="104" t="n"/>
      <c r="AK238" s="104" t="n"/>
      <c r="AL238" s="104" t="n"/>
      <c r="AM238" s="104" t="n"/>
      <c r="AN238" s="104" t="n"/>
      <c r="AO238" s="104" t="n"/>
      <c r="AP238" s="104" t="n"/>
      <c r="AQ238" s="104" t="n"/>
      <c r="AR238" s="104" t="n"/>
      <c r="AS238" s="104" t="n"/>
      <c r="AT238" s="104" t="n"/>
      <c r="AU238" s="104" t="n"/>
      <c r="AV238" s="104" t="n"/>
      <c r="AW238" s="104" t="n"/>
      <c r="AX238" s="104" t="n"/>
      <c r="AY238" s="104" t="n"/>
      <c r="AZ238" s="104" t="n"/>
      <c r="BA238" s="104" t="n"/>
      <c r="BB238" s="104" t="n"/>
      <c r="BC238" s="104" t="n"/>
      <c r="BD238" s="104" t="n"/>
      <c r="BE238" s="104" t="n"/>
      <c r="BF238" s="104" t="n"/>
      <c r="BG238" s="104" t="n"/>
      <c r="BH238" s="104" t="n"/>
      <c r="BI238" s="104" t="n"/>
      <c r="BJ238" s="104" t="n"/>
      <c r="BK238" s="104" t="n"/>
      <c r="BL238" s="104" t="n"/>
      <c r="BM238" s="104" t="n"/>
      <c r="BN238" s="104" t="n"/>
      <c r="BO238" s="104" t="n"/>
      <c r="BP238" s="104" t="n"/>
      <c r="BQ238" s="104" t="n"/>
      <c r="BR238" s="104" t="n"/>
      <c r="BS238" s="104" t="n"/>
      <c r="BT238" s="104" t="n"/>
      <c r="BU238" s="104" t="n"/>
      <c r="BV238" s="104" t="n"/>
      <c r="BW238" s="104" t="n"/>
      <c r="BX238" s="104" t="n"/>
    </row>
    <row r="239">
      <c r="AC239" s="104" t="n"/>
      <c r="AD239" s="104" t="n"/>
      <c r="AE239" s="104" t="n"/>
      <c r="AF239" s="104" t="n"/>
      <c r="AG239" s="104" t="n"/>
      <c r="AH239" s="104" t="n"/>
      <c r="AI239" s="104" t="n"/>
      <c r="AJ239" s="104" t="n"/>
      <c r="AK239" s="104" t="n"/>
      <c r="AL239" s="104" t="n"/>
      <c r="AM239" s="104" t="n"/>
      <c r="AN239" s="104" t="n"/>
      <c r="AO239" s="104" t="n"/>
      <c r="AP239" s="104" t="n"/>
      <c r="AQ239" s="104" t="n"/>
      <c r="AR239" s="104" t="n"/>
      <c r="AS239" s="104" t="n"/>
      <c r="AT239" s="104" t="n"/>
      <c r="AU239" s="104" t="n"/>
      <c r="AV239" s="104" t="n"/>
      <c r="AW239" s="104" t="n"/>
      <c r="AX239" s="104" t="n"/>
      <c r="AY239" s="104" t="n"/>
      <c r="AZ239" s="104" t="n"/>
      <c r="BA239" s="104" t="n"/>
      <c r="BB239" s="104" t="n"/>
      <c r="BC239" s="104" t="n"/>
      <c r="BD239" s="104" t="n"/>
      <c r="BE239" s="104" t="n"/>
      <c r="BF239" s="104" t="n"/>
      <c r="BG239" s="104" t="n"/>
      <c r="BH239" s="104" t="n"/>
      <c r="BI239" s="104" t="n"/>
      <c r="BJ239" s="104" t="n"/>
      <c r="BK239" s="104" t="n"/>
      <c r="BL239" s="104" t="n"/>
      <c r="BM239" s="104" t="n"/>
      <c r="BN239" s="104" t="n"/>
      <c r="BO239" s="104" t="n"/>
      <c r="BP239" s="104" t="n"/>
      <c r="BQ239" s="104" t="n"/>
      <c r="BR239" s="104" t="n"/>
      <c r="BS239" s="104" t="n"/>
      <c r="BT239" s="104" t="n"/>
      <c r="BU239" s="104" t="n"/>
      <c r="BV239" s="104" t="n"/>
      <c r="BW239" s="104" t="n"/>
      <c r="BX239" s="104" t="n"/>
    </row>
    <row r="240">
      <c r="AC240" s="104" t="n"/>
      <c r="AD240" s="104" t="n"/>
      <c r="AE240" s="104" t="n"/>
      <c r="AF240" s="104" t="n"/>
      <c r="AG240" s="104" t="n"/>
      <c r="AH240" s="104" t="n"/>
      <c r="AI240" s="104" t="n"/>
      <c r="AJ240" s="104" t="n"/>
      <c r="AK240" s="104" t="n"/>
      <c r="AL240" s="104" t="n"/>
      <c r="AM240" s="104" t="n"/>
      <c r="AN240" s="104" t="n"/>
      <c r="AO240" s="104" t="n"/>
      <c r="AP240" s="104" t="n"/>
      <c r="AQ240" s="104" t="n"/>
      <c r="AR240" s="104" t="n"/>
      <c r="AS240" s="104" t="n"/>
      <c r="AT240" s="104" t="n"/>
      <c r="AU240" s="104" t="n"/>
      <c r="AV240" s="104" t="n"/>
      <c r="AW240" s="104" t="n"/>
      <c r="AX240" s="104" t="n"/>
      <c r="AY240" s="104" t="n"/>
      <c r="AZ240" s="104" t="n"/>
      <c r="BA240" s="104" t="n"/>
      <c r="BB240" s="104" t="n"/>
      <c r="BC240" s="104" t="n"/>
      <c r="BD240" s="104" t="n"/>
      <c r="BE240" s="104" t="n"/>
      <c r="BF240" s="104" t="n"/>
      <c r="BG240" s="104" t="n"/>
      <c r="BH240" s="104" t="n"/>
      <c r="BI240" s="104" t="n"/>
      <c r="BJ240" s="104" t="n"/>
      <c r="BK240" s="104" t="n"/>
      <c r="BL240" s="104" t="n"/>
      <c r="BM240" s="104" t="n"/>
      <c r="BN240" s="104" t="n"/>
      <c r="BO240" s="104" t="n"/>
      <c r="BP240" s="104" t="n"/>
      <c r="BQ240" s="104" t="n"/>
      <c r="BR240" s="104" t="n"/>
      <c r="BS240" s="104" t="n"/>
      <c r="BT240" s="104" t="n"/>
      <c r="BU240" s="104" t="n"/>
      <c r="BV240" s="104" t="n"/>
      <c r="BW240" s="104" t="n"/>
      <c r="BX240" s="104" t="n"/>
    </row>
    <row r="241">
      <c r="AC241" s="104" t="n"/>
      <c r="AD241" s="104" t="n"/>
      <c r="AE241" s="104" t="n"/>
      <c r="AF241" s="104" t="n"/>
      <c r="AG241" s="104" t="n"/>
      <c r="AH241" s="104" t="n"/>
      <c r="AI241" s="104" t="n"/>
      <c r="AJ241" s="104" t="n"/>
      <c r="AK241" s="104" t="n"/>
      <c r="AL241" s="104" t="n"/>
      <c r="AM241" s="104" t="n"/>
      <c r="AN241" s="104" t="n"/>
      <c r="AO241" s="104" t="n"/>
      <c r="AP241" s="104" t="n"/>
      <c r="AQ241" s="104" t="n"/>
      <c r="AR241" s="104" t="n"/>
      <c r="AS241" s="104" t="n"/>
      <c r="AT241" s="104" t="n"/>
      <c r="AU241" s="104" t="n"/>
      <c r="AV241" s="104" t="n"/>
      <c r="AW241" s="104" t="n"/>
      <c r="AX241" s="104" t="n"/>
      <c r="AY241" s="104" t="n"/>
      <c r="AZ241" s="104" t="n"/>
      <c r="BA241" s="104" t="n"/>
      <c r="BB241" s="104" t="n"/>
      <c r="BC241" s="104" t="n"/>
      <c r="BD241" s="104" t="n"/>
      <c r="BE241" s="104" t="n"/>
      <c r="BF241" s="104" t="n"/>
      <c r="BG241" s="104" t="n"/>
      <c r="BH241" s="104" t="n"/>
      <c r="BI241" s="104" t="n"/>
      <c r="BJ241" s="104" t="n"/>
      <c r="BK241" s="104" t="n"/>
      <c r="BL241" s="104" t="n"/>
      <c r="BM241" s="104" t="n"/>
      <c r="BN241" s="104" t="n"/>
      <c r="BO241" s="104" t="n"/>
      <c r="BP241" s="104" t="n"/>
      <c r="BQ241" s="104" t="n"/>
      <c r="BR241" s="104" t="n"/>
      <c r="BS241" s="104" t="n"/>
      <c r="BT241" s="104" t="n"/>
      <c r="BU241" s="104" t="n"/>
      <c r="BV241" s="104" t="n"/>
      <c r="BW241" s="104" t="n"/>
      <c r="BX241" s="104" t="n"/>
    </row>
    <row r="242">
      <c r="AC242" s="104" t="n"/>
      <c r="AD242" s="104" t="n"/>
      <c r="AE242" s="104" t="n"/>
      <c r="AF242" s="104" t="n"/>
      <c r="AG242" s="104" t="n"/>
      <c r="AH242" s="104" t="n"/>
      <c r="AI242" s="104" t="n"/>
      <c r="AJ242" s="104" t="n"/>
      <c r="AK242" s="104" t="n"/>
      <c r="AL242" s="104" t="n"/>
      <c r="AM242" s="104" t="n"/>
      <c r="AN242" s="104" t="n"/>
      <c r="AO242" s="104" t="n"/>
      <c r="AP242" s="104" t="n"/>
      <c r="AQ242" s="104" t="n"/>
      <c r="AR242" s="104" t="n"/>
      <c r="AS242" s="104" t="n"/>
      <c r="AT242" s="104" t="n"/>
      <c r="AU242" s="104" t="n"/>
      <c r="AV242" s="104" t="n"/>
      <c r="AW242" s="104" t="n"/>
      <c r="AX242" s="104" t="n"/>
      <c r="AY242" s="104" t="n"/>
      <c r="AZ242" s="104" t="n"/>
      <c r="BA242" s="104" t="n"/>
      <c r="BB242" s="104" t="n"/>
      <c r="BC242" s="104" t="n"/>
      <c r="BD242" s="104" t="n"/>
      <c r="BE242" s="104" t="n"/>
      <c r="BF242" s="104" t="n"/>
      <c r="BG242" s="104" t="n"/>
      <c r="BH242" s="104" t="n"/>
      <c r="BI242" s="104" t="n"/>
      <c r="BJ242" s="104" t="n"/>
      <c r="BK242" s="104" t="n"/>
      <c r="BL242" s="104" t="n"/>
      <c r="BM242" s="104" t="n"/>
      <c r="BN242" s="104" t="n"/>
      <c r="BO242" s="104" t="n"/>
      <c r="BP242" s="104" t="n"/>
      <c r="BQ242" s="104" t="n"/>
      <c r="BR242" s="104" t="n"/>
      <c r="BS242" s="104" t="n"/>
      <c r="BT242" s="104" t="n"/>
      <c r="BU242" s="104" t="n"/>
      <c r="BV242" s="104" t="n"/>
      <c r="BW242" s="104" t="n"/>
      <c r="BX242" s="104" t="n"/>
    </row>
    <row r="243">
      <c r="AC243" s="104" t="n"/>
      <c r="AD243" s="104" t="n"/>
      <c r="AE243" s="104" t="n"/>
      <c r="AF243" s="104" t="n"/>
      <c r="AG243" s="104" t="n"/>
      <c r="AH243" s="104" t="n"/>
      <c r="AI243" s="104" t="n"/>
      <c r="AJ243" s="104" t="n"/>
      <c r="AK243" s="104" t="n"/>
      <c r="AL243" s="104" t="n"/>
      <c r="AM243" s="104" t="n"/>
      <c r="AN243" s="104" t="n"/>
      <c r="AO243" s="104" t="n"/>
      <c r="AP243" s="104" t="n"/>
      <c r="AQ243" s="104" t="n"/>
      <c r="AR243" s="104" t="n"/>
      <c r="AS243" s="104" t="n"/>
      <c r="AT243" s="104" t="n"/>
      <c r="AU243" s="104" t="n"/>
      <c r="AV243" s="104" t="n"/>
      <c r="AW243" s="104" t="n"/>
      <c r="AX243" s="104" t="n"/>
      <c r="AY243" s="104" t="n"/>
      <c r="AZ243" s="104" t="n"/>
      <c r="BA243" s="104" t="n"/>
      <c r="BB243" s="104" t="n"/>
      <c r="BC243" s="104" t="n"/>
      <c r="BD243" s="104" t="n"/>
      <c r="BE243" s="104" t="n"/>
      <c r="BF243" s="104" t="n"/>
      <c r="BG243" s="104" t="n"/>
      <c r="BH243" s="104" t="n"/>
      <c r="BI243" s="104" t="n"/>
      <c r="BJ243" s="104" t="n"/>
      <c r="BK243" s="104" t="n"/>
      <c r="BL243" s="104" t="n"/>
      <c r="BM243" s="104" t="n"/>
      <c r="BN243" s="104" t="n"/>
      <c r="BO243" s="104" t="n"/>
      <c r="BP243" s="104" t="n"/>
      <c r="BQ243" s="104" t="n"/>
      <c r="BR243" s="104" t="n"/>
      <c r="BS243" s="104" t="n"/>
      <c r="BT243" s="104" t="n"/>
      <c r="BU243" s="104" t="n"/>
      <c r="BV243" s="104" t="n"/>
      <c r="BW243" s="104" t="n"/>
      <c r="BX243" s="104" t="n"/>
    </row>
    <row r="244">
      <c r="AC244" s="104" t="n"/>
      <c r="AD244" s="104" t="n"/>
      <c r="AE244" s="104" t="n"/>
      <c r="AF244" s="104" t="n"/>
      <c r="AG244" s="104" t="n"/>
      <c r="AH244" s="104" t="n"/>
      <c r="AI244" s="104" t="n"/>
      <c r="AJ244" s="104" t="n"/>
      <c r="AK244" s="104" t="n"/>
      <c r="AL244" s="104" t="n"/>
      <c r="AM244" s="104" t="n"/>
      <c r="AN244" s="104" t="n"/>
      <c r="AO244" s="104" t="n"/>
      <c r="AP244" s="104" t="n"/>
      <c r="AQ244" s="104" t="n"/>
      <c r="AR244" s="104" t="n"/>
      <c r="AS244" s="104" t="n"/>
      <c r="AT244" s="104" t="n"/>
      <c r="AU244" s="104" t="n"/>
      <c r="AV244" s="104" t="n"/>
      <c r="AW244" s="104" t="n"/>
      <c r="AX244" s="104" t="n"/>
      <c r="AY244" s="104" t="n"/>
      <c r="AZ244" s="104" t="n"/>
      <c r="BA244" s="104" t="n"/>
      <c r="BB244" s="104" t="n"/>
      <c r="BC244" s="104" t="n"/>
      <c r="BD244" s="104" t="n"/>
      <c r="BE244" s="104" t="n"/>
      <c r="BF244" s="104" t="n"/>
      <c r="BG244" s="104" t="n"/>
      <c r="BH244" s="104" t="n"/>
      <c r="BI244" s="104" t="n"/>
      <c r="BJ244" s="104" t="n"/>
      <c r="BK244" s="104" t="n"/>
      <c r="BL244" s="104" t="n"/>
      <c r="BM244" s="104" t="n"/>
      <c r="BN244" s="104" t="n"/>
      <c r="BO244" s="104" t="n"/>
      <c r="BP244" s="104" t="n"/>
      <c r="BQ244" s="104" t="n"/>
      <c r="BR244" s="104" t="n"/>
      <c r="BS244" s="104" t="n"/>
      <c r="BT244" s="104" t="n"/>
      <c r="BU244" s="104" t="n"/>
      <c r="BV244" s="104" t="n"/>
      <c r="BW244" s="104" t="n"/>
      <c r="BX244" s="104" t="n"/>
    </row>
    <row r="245">
      <c r="AC245" s="104" t="n"/>
      <c r="AD245" s="104" t="n"/>
      <c r="AE245" s="104" t="n"/>
      <c r="AF245" s="104" t="n"/>
      <c r="AG245" s="104" t="n"/>
      <c r="AH245" s="104" t="n"/>
      <c r="AI245" s="104" t="n"/>
      <c r="AJ245" s="104" t="n"/>
      <c r="AK245" s="104" t="n"/>
      <c r="AL245" s="104" t="n"/>
      <c r="AM245" s="104" t="n"/>
      <c r="AN245" s="104" t="n"/>
      <c r="AO245" s="104" t="n"/>
      <c r="AP245" s="104" t="n"/>
      <c r="AQ245" s="104" t="n"/>
      <c r="AR245" s="104" t="n"/>
      <c r="AS245" s="104" t="n"/>
      <c r="AT245" s="104" t="n"/>
      <c r="AU245" s="104" t="n"/>
      <c r="AV245" s="104" t="n"/>
      <c r="AW245" s="104" t="n"/>
      <c r="AX245" s="104" t="n"/>
      <c r="AY245" s="104" t="n"/>
      <c r="AZ245" s="104" t="n"/>
      <c r="BA245" s="104" t="n"/>
      <c r="BB245" s="104" t="n"/>
      <c r="BC245" s="104" t="n"/>
      <c r="BD245" s="104" t="n"/>
      <c r="BE245" s="104" t="n"/>
      <c r="BF245" s="104" t="n"/>
      <c r="BG245" s="104" t="n"/>
      <c r="BH245" s="104" t="n"/>
      <c r="BI245" s="104" t="n"/>
      <c r="BJ245" s="104" t="n"/>
      <c r="BK245" s="104" t="n"/>
      <c r="BL245" s="104" t="n"/>
      <c r="BM245" s="104" t="n"/>
      <c r="BN245" s="104" t="n"/>
      <c r="BO245" s="104" t="n"/>
      <c r="BP245" s="104" t="n"/>
      <c r="BQ245" s="104" t="n"/>
      <c r="BR245" s="104" t="n"/>
      <c r="BS245" s="104" t="n"/>
      <c r="BT245" s="104" t="n"/>
      <c r="BU245" s="104" t="n"/>
      <c r="BV245" s="104" t="n"/>
      <c r="BW245" s="104" t="n"/>
      <c r="BX245" s="104" t="n"/>
    </row>
    <row r="246">
      <c r="AC246" s="104" t="n"/>
      <c r="AD246" s="104" t="n"/>
      <c r="AE246" s="104" t="n"/>
      <c r="AF246" s="104" t="n"/>
      <c r="AG246" s="104" t="n"/>
      <c r="AH246" s="104" t="n"/>
      <c r="AI246" s="104" t="n"/>
      <c r="AJ246" s="104" t="n"/>
      <c r="AK246" s="104" t="n"/>
      <c r="AL246" s="104" t="n"/>
      <c r="AM246" s="104" t="n"/>
      <c r="AN246" s="104" t="n"/>
      <c r="AO246" s="104" t="n"/>
      <c r="AP246" s="104" t="n"/>
      <c r="AQ246" s="104" t="n"/>
      <c r="AR246" s="104" t="n"/>
      <c r="AS246" s="104" t="n"/>
      <c r="AT246" s="104" t="n"/>
      <c r="AU246" s="104" t="n"/>
      <c r="AV246" s="104" t="n"/>
      <c r="AW246" s="104" t="n"/>
      <c r="AX246" s="104" t="n"/>
      <c r="AY246" s="104" t="n"/>
      <c r="AZ246" s="104" t="n"/>
      <c r="BA246" s="104" t="n"/>
      <c r="BB246" s="104" t="n"/>
      <c r="BC246" s="104" t="n"/>
      <c r="BD246" s="104" t="n"/>
      <c r="BE246" s="104" t="n"/>
      <c r="BF246" s="104" t="n"/>
      <c r="BG246" s="104" t="n"/>
      <c r="BH246" s="104" t="n"/>
      <c r="BI246" s="104" t="n"/>
      <c r="BJ246" s="104" t="n"/>
      <c r="BK246" s="104" t="n"/>
      <c r="BL246" s="104" t="n"/>
      <c r="BM246" s="104" t="n"/>
      <c r="BN246" s="104" t="n"/>
      <c r="BO246" s="104" t="n"/>
      <c r="BP246" s="104" t="n"/>
      <c r="BQ246" s="104" t="n"/>
      <c r="BR246" s="104" t="n"/>
      <c r="BS246" s="104" t="n"/>
      <c r="BT246" s="104" t="n"/>
      <c r="BU246" s="104" t="n"/>
      <c r="BV246" s="104" t="n"/>
      <c r="BW246" s="104" t="n"/>
      <c r="BX246" s="104" t="n"/>
    </row>
    <row r="247">
      <c r="AC247" s="104" t="n"/>
      <c r="AD247" s="104" t="n"/>
      <c r="AE247" s="104" t="n"/>
      <c r="AF247" s="104" t="n"/>
      <c r="AG247" s="104" t="n"/>
      <c r="AH247" s="104" t="n"/>
      <c r="AI247" s="104" t="n"/>
      <c r="AJ247" s="104" t="n"/>
      <c r="AK247" s="104" t="n"/>
      <c r="AL247" s="104" t="n"/>
      <c r="AM247" s="104" t="n"/>
      <c r="AN247" s="104" t="n"/>
      <c r="AO247" s="104" t="n"/>
      <c r="AP247" s="104" t="n"/>
      <c r="AQ247" s="104" t="n"/>
      <c r="AR247" s="104" t="n"/>
      <c r="AS247" s="104" t="n"/>
      <c r="AT247" s="104" t="n"/>
      <c r="AU247" s="104" t="n"/>
      <c r="AV247" s="104" t="n"/>
      <c r="AW247" s="104" t="n"/>
      <c r="AX247" s="104" t="n"/>
      <c r="AY247" s="104" t="n"/>
      <c r="AZ247" s="104" t="n"/>
      <c r="BA247" s="104" t="n"/>
      <c r="BB247" s="104" t="n"/>
      <c r="BC247" s="104" t="n"/>
      <c r="BD247" s="104" t="n"/>
      <c r="BE247" s="104" t="n"/>
      <c r="BF247" s="104" t="n"/>
      <c r="BG247" s="104" t="n"/>
      <c r="BH247" s="104" t="n"/>
      <c r="BI247" s="104" t="n"/>
      <c r="BJ247" s="104" t="n"/>
      <c r="BK247" s="104" t="n"/>
      <c r="BL247" s="104" t="n"/>
      <c r="BM247" s="104" t="n"/>
      <c r="BN247" s="104" t="n"/>
      <c r="BO247" s="104" t="n"/>
      <c r="BP247" s="104" t="n"/>
      <c r="BQ247" s="104" t="n"/>
      <c r="BR247" s="104" t="n"/>
      <c r="BS247" s="104" t="n"/>
      <c r="BT247" s="104" t="n"/>
      <c r="BU247" s="104" t="n"/>
      <c r="BV247" s="104" t="n"/>
      <c r="BW247" s="104" t="n"/>
      <c r="BX247" s="104" t="n"/>
    </row>
    <row r="248">
      <c r="AC248" s="104" t="n"/>
      <c r="AD248" s="104" t="n"/>
      <c r="AE248" s="104" t="n"/>
      <c r="AF248" s="104" t="n"/>
      <c r="AG248" s="104" t="n"/>
      <c r="AH248" s="104" t="n"/>
      <c r="AI248" s="104" t="n"/>
      <c r="AJ248" s="104" t="n"/>
      <c r="AK248" s="104" t="n"/>
      <c r="AL248" s="104" t="n"/>
      <c r="AM248" s="104" t="n"/>
      <c r="AN248" s="104" t="n"/>
      <c r="AO248" s="104" t="n"/>
      <c r="AP248" s="104" t="n"/>
      <c r="AQ248" s="104" t="n"/>
      <c r="AR248" s="104" t="n"/>
      <c r="AS248" s="104" t="n"/>
      <c r="AT248" s="104" t="n"/>
      <c r="AU248" s="104" t="n"/>
      <c r="AV248" s="104" t="n"/>
      <c r="AW248" s="104" t="n"/>
      <c r="AX248" s="104" t="n"/>
      <c r="AY248" s="104" t="n"/>
      <c r="AZ248" s="104" t="n"/>
      <c r="BA248" s="104" t="n"/>
      <c r="BB248" s="104" t="n"/>
      <c r="BC248" s="104" t="n"/>
      <c r="BD248" s="104" t="n"/>
      <c r="BE248" s="104" t="n"/>
      <c r="BF248" s="104" t="n"/>
      <c r="BG248" s="104" t="n"/>
      <c r="BH248" s="104" t="n"/>
      <c r="BI248" s="104" t="n"/>
      <c r="BJ248" s="104" t="n"/>
      <c r="BK248" s="104" t="n"/>
      <c r="BL248" s="104" t="n"/>
      <c r="BM248" s="104" t="n"/>
      <c r="BN248" s="104" t="n"/>
      <c r="BO248" s="104" t="n"/>
      <c r="BP248" s="104" t="n"/>
      <c r="BQ248" s="104" t="n"/>
      <c r="BR248" s="104" t="n"/>
      <c r="BS248" s="104" t="n"/>
      <c r="BT248" s="104" t="n"/>
      <c r="BU248" s="104" t="n"/>
      <c r="BV248" s="104" t="n"/>
      <c r="BW248" s="104" t="n"/>
      <c r="BX248" s="104" t="n"/>
    </row>
    <row r="249">
      <c r="AC249" s="104" t="n"/>
      <c r="AD249" s="104" t="n"/>
      <c r="AE249" s="104" t="n"/>
      <c r="AF249" s="104" t="n"/>
      <c r="AG249" s="104" t="n"/>
      <c r="AH249" s="104" t="n"/>
      <c r="AI249" s="104" t="n"/>
      <c r="AJ249" s="104" t="n"/>
      <c r="AK249" s="104" t="n"/>
      <c r="AL249" s="104" t="n"/>
      <c r="AM249" s="104" t="n"/>
      <c r="AN249" s="104" t="n"/>
      <c r="AO249" s="104" t="n"/>
      <c r="AP249" s="104" t="n"/>
      <c r="AQ249" s="104" t="n"/>
      <c r="AR249" s="104" t="n"/>
      <c r="AS249" s="104" t="n"/>
      <c r="AT249" s="104" t="n"/>
      <c r="AU249" s="104" t="n"/>
      <c r="AV249" s="104" t="n"/>
      <c r="AW249" s="104" t="n"/>
      <c r="AX249" s="104" t="n"/>
      <c r="AY249" s="104" t="n"/>
      <c r="AZ249" s="104" t="n"/>
      <c r="BA249" s="104" t="n"/>
      <c r="BB249" s="104" t="n"/>
      <c r="BC249" s="104" t="n"/>
      <c r="BD249" s="104" t="n"/>
      <c r="BE249" s="104" t="n"/>
      <c r="BF249" s="104" t="n"/>
      <c r="BG249" s="104" t="n"/>
      <c r="BH249" s="104" t="n"/>
      <c r="BI249" s="104" t="n"/>
      <c r="BJ249" s="104" t="n"/>
      <c r="BK249" s="104" t="n"/>
      <c r="BL249" s="104" t="n"/>
      <c r="BM249" s="104" t="n"/>
      <c r="BN249" s="104" t="n"/>
      <c r="BO249" s="104" t="n"/>
      <c r="BP249" s="104" t="n"/>
      <c r="BQ249" s="104" t="n"/>
      <c r="BR249" s="104" t="n"/>
      <c r="BS249" s="104" t="n"/>
      <c r="BT249" s="104" t="n"/>
      <c r="BU249" s="104" t="n"/>
      <c r="BV249" s="104" t="n"/>
      <c r="BW249" s="104" t="n"/>
      <c r="BX249" s="104" t="n"/>
    </row>
    <row r="250">
      <c r="AC250" s="104" t="n"/>
      <c r="AD250" s="104" t="n"/>
      <c r="AE250" s="104" t="n"/>
      <c r="AF250" s="104" t="n"/>
      <c r="AG250" s="104" t="n"/>
      <c r="AH250" s="104" t="n"/>
      <c r="AI250" s="104" t="n"/>
      <c r="AJ250" s="104" t="n"/>
      <c r="AK250" s="104" t="n"/>
      <c r="AL250" s="104" t="n"/>
      <c r="AM250" s="104" t="n"/>
      <c r="AN250" s="104" t="n"/>
      <c r="AO250" s="104" t="n"/>
      <c r="AP250" s="104" t="n"/>
      <c r="AQ250" s="104" t="n"/>
      <c r="AR250" s="104" t="n"/>
      <c r="AS250" s="104" t="n"/>
      <c r="AT250" s="104" t="n"/>
      <c r="AU250" s="104" t="n"/>
      <c r="AV250" s="104" t="n"/>
      <c r="AW250" s="104" t="n"/>
      <c r="AX250" s="104" t="n"/>
      <c r="AY250" s="104" t="n"/>
      <c r="AZ250" s="104" t="n"/>
      <c r="BA250" s="104" t="n"/>
      <c r="BB250" s="104" t="n"/>
      <c r="BC250" s="104" t="n"/>
      <c r="BD250" s="104" t="n"/>
      <c r="BE250" s="104" t="n"/>
      <c r="BF250" s="104" t="n"/>
      <c r="BG250" s="104" t="n"/>
      <c r="BH250" s="104" t="n"/>
      <c r="BI250" s="104" t="n"/>
      <c r="BJ250" s="104" t="n"/>
      <c r="BK250" s="104" t="n"/>
      <c r="BL250" s="104" t="n"/>
      <c r="BM250" s="104" t="n"/>
      <c r="BN250" s="104" t="n"/>
      <c r="BO250" s="104" t="n"/>
      <c r="BP250" s="104" t="n"/>
      <c r="BQ250" s="104" t="n"/>
      <c r="BR250" s="104" t="n"/>
      <c r="BS250" s="104" t="n"/>
      <c r="BT250" s="104" t="n"/>
      <c r="BU250" s="104" t="n"/>
      <c r="BV250" s="104" t="n"/>
      <c r="BW250" s="104" t="n"/>
      <c r="BX250" s="104" t="n"/>
    </row>
    <row r="251">
      <c r="AC251" s="104" t="n"/>
      <c r="AD251" s="104" t="n"/>
      <c r="AE251" s="104" t="n"/>
      <c r="AF251" s="104" t="n"/>
      <c r="AG251" s="104" t="n"/>
      <c r="AH251" s="104" t="n"/>
      <c r="AI251" s="104" t="n"/>
      <c r="AJ251" s="104" t="n"/>
      <c r="AK251" s="104" t="n"/>
      <c r="AL251" s="104" t="n"/>
      <c r="AM251" s="104" t="n"/>
      <c r="AN251" s="104" t="n"/>
      <c r="AO251" s="104" t="n"/>
      <c r="AP251" s="104" t="n"/>
      <c r="AQ251" s="104" t="n"/>
      <c r="AR251" s="104" t="n"/>
      <c r="AS251" s="104" t="n"/>
      <c r="AT251" s="104" t="n"/>
      <c r="AU251" s="104" t="n"/>
      <c r="AV251" s="104" t="n"/>
      <c r="AW251" s="104" t="n"/>
      <c r="AX251" s="104" t="n"/>
      <c r="AY251" s="104" t="n"/>
      <c r="AZ251" s="104" t="n"/>
      <c r="BA251" s="104" t="n"/>
      <c r="BB251" s="104" t="n"/>
      <c r="BC251" s="104" t="n"/>
      <c r="BD251" s="104" t="n"/>
      <c r="BE251" s="104" t="n"/>
      <c r="BF251" s="104" t="n"/>
      <c r="BG251" s="104" t="n"/>
      <c r="BH251" s="104" t="n"/>
      <c r="BI251" s="104" t="n"/>
      <c r="BJ251" s="104" t="n"/>
      <c r="BK251" s="104" t="n"/>
      <c r="BL251" s="104" t="n"/>
      <c r="BM251" s="104" t="n"/>
      <c r="BN251" s="104" t="n"/>
      <c r="BO251" s="104" t="n"/>
      <c r="BP251" s="104" t="n"/>
      <c r="BQ251" s="104" t="n"/>
      <c r="BR251" s="104" t="n"/>
      <c r="BS251" s="104" t="n"/>
      <c r="BT251" s="104" t="n"/>
      <c r="BU251" s="104" t="n"/>
      <c r="BV251" s="104" t="n"/>
      <c r="BW251" s="104" t="n"/>
      <c r="BX251" s="104" t="n"/>
    </row>
    <row r="252">
      <c r="AC252" s="104" t="n"/>
      <c r="AD252" s="104" t="n"/>
      <c r="AE252" s="104" t="n"/>
      <c r="AF252" s="104" t="n"/>
      <c r="AG252" s="104" t="n"/>
      <c r="AH252" s="104" t="n"/>
      <c r="AI252" s="104" t="n"/>
      <c r="AJ252" s="104" t="n"/>
      <c r="AK252" s="104" t="n"/>
      <c r="AL252" s="104" t="n"/>
      <c r="AM252" s="104" t="n"/>
      <c r="AN252" s="104" t="n"/>
      <c r="AO252" s="104" t="n"/>
      <c r="AP252" s="104" t="n"/>
      <c r="AQ252" s="104" t="n"/>
      <c r="AR252" s="104" t="n"/>
      <c r="AS252" s="104" t="n"/>
      <c r="AT252" s="104" t="n"/>
      <c r="AU252" s="104" t="n"/>
      <c r="AV252" s="104" t="n"/>
      <c r="AW252" s="104" t="n"/>
      <c r="AX252" s="104" t="n"/>
      <c r="AY252" s="104" t="n"/>
      <c r="AZ252" s="104" t="n"/>
      <c r="BA252" s="104" t="n"/>
      <c r="BB252" s="104" t="n"/>
      <c r="BC252" s="104" t="n"/>
      <c r="BD252" s="104" t="n"/>
      <c r="BE252" s="104" t="n"/>
      <c r="BF252" s="104" t="n"/>
      <c r="BG252" s="104" t="n"/>
      <c r="BH252" s="104" t="n"/>
      <c r="BI252" s="104" t="n"/>
      <c r="BJ252" s="104" t="n"/>
      <c r="BK252" s="104" t="n"/>
      <c r="BL252" s="104" t="n"/>
      <c r="BM252" s="104" t="n"/>
      <c r="BN252" s="104" t="n"/>
      <c r="BO252" s="104" t="n"/>
      <c r="BP252" s="104" t="n"/>
      <c r="BQ252" s="104" t="n"/>
      <c r="BR252" s="104" t="n"/>
      <c r="BS252" s="104" t="n"/>
      <c r="BT252" s="104" t="n"/>
      <c r="BU252" s="104" t="n"/>
      <c r="BV252" s="104" t="n"/>
      <c r="BW252" s="104" t="n"/>
      <c r="BX252" s="104" t="n"/>
    </row>
    <row r="253">
      <c r="AC253" s="104" t="n"/>
      <c r="AD253" s="104" t="n"/>
      <c r="AE253" s="104" t="n"/>
      <c r="AF253" s="104" t="n"/>
      <c r="AG253" s="104" t="n"/>
      <c r="AH253" s="104" t="n"/>
      <c r="AI253" s="104" t="n"/>
      <c r="AJ253" s="104" t="n"/>
      <c r="AK253" s="104" t="n"/>
      <c r="AL253" s="104" t="n"/>
      <c r="AM253" s="104" t="n"/>
      <c r="AN253" s="104" t="n"/>
      <c r="AO253" s="104" t="n"/>
      <c r="AP253" s="104" t="n"/>
      <c r="AQ253" s="104" t="n"/>
      <c r="AR253" s="104" t="n"/>
      <c r="AS253" s="104" t="n"/>
      <c r="AT253" s="104" t="n"/>
      <c r="AU253" s="104" t="n"/>
      <c r="AV253" s="104" t="n"/>
      <c r="AW253" s="104" t="n"/>
      <c r="AX253" s="104" t="n"/>
      <c r="AY253" s="104" t="n"/>
      <c r="AZ253" s="104" t="n"/>
      <c r="BA253" s="104" t="n"/>
      <c r="BB253" s="104" t="n"/>
      <c r="BC253" s="104" t="n"/>
      <c r="BD253" s="104" t="n"/>
      <c r="BE253" s="104" t="n"/>
      <c r="BF253" s="104" t="n"/>
      <c r="BG253" s="104" t="n"/>
      <c r="BH253" s="104" t="n"/>
      <c r="BI253" s="104" t="n"/>
      <c r="BJ253" s="104" t="n"/>
      <c r="BK253" s="104" t="n"/>
      <c r="BL253" s="104" t="n"/>
      <c r="BM253" s="104" t="n"/>
      <c r="BN253" s="104" t="n"/>
      <c r="BO253" s="104" t="n"/>
      <c r="BP253" s="104" t="n"/>
      <c r="BQ253" s="104" t="n"/>
      <c r="BR253" s="104" t="n"/>
      <c r="BS253" s="104" t="n"/>
      <c r="BT253" s="104" t="n"/>
      <c r="BU253" s="104" t="n"/>
      <c r="BV253" s="104" t="n"/>
      <c r="BW253" s="104" t="n"/>
      <c r="BX253" s="104" t="n"/>
    </row>
    <row r="254">
      <c r="AC254" s="104" t="n"/>
      <c r="AD254" s="104" t="n"/>
      <c r="AE254" s="104" t="n"/>
      <c r="AF254" s="104" t="n"/>
      <c r="AG254" s="104" t="n"/>
      <c r="AH254" s="104" t="n"/>
      <c r="AI254" s="104" t="n"/>
      <c r="AJ254" s="104" t="n"/>
      <c r="AK254" s="104" t="n"/>
      <c r="AL254" s="104" t="n"/>
      <c r="AM254" s="104" t="n"/>
      <c r="AN254" s="104" t="n"/>
      <c r="AO254" s="104" t="n"/>
      <c r="AP254" s="104" t="n"/>
      <c r="AQ254" s="104" t="n"/>
      <c r="AR254" s="104" t="n"/>
      <c r="AS254" s="104" t="n"/>
      <c r="AT254" s="104" t="n"/>
      <c r="AU254" s="104" t="n"/>
      <c r="AV254" s="104" t="n"/>
      <c r="AW254" s="104" t="n"/>
      <c r="AX254" s="104" t="n"/>
      <c r="AY254" s="104" t="n"/>
      <c r="AZ254" s="104" t="n"/>
      <c r="BA254" s="104" t="n"/>
      <c r="BB254" s="104" t="n"/>
      <c r="BC254" s="104" t="n"/>
      <c r="BD254" s="104" t="n"/>
      <c r="BE254" s="104" t="n"/>
      <c r="BF254" s="104" t="n"/>
      <c r="BG254" s="104" t="n"/>
      <c r="BH254" s="104" t="n"/>
      <c r="BI254" s="104" t="n"/>
      <c r="BJ254" s="104" t="n"/>
      <c r="BK254" s="104" t="n"/>
      <c r="BL254" s="104" t="n"/>
      <c r="BM254" s="104" t="n"/>
      <c r="BN254" s="104" t="n"/>
      <c r="BO254" s="104" t="n"/>
      <c r="BP254" s="104" t="n"/>
      <c r="BQ254" s="104" t="n"/>
      <c r="BR254" s="104" t="n"/>
      <c r="BS254" s="104" t="n"/>
      <c r="BT254" s="104" t="n"/>
      <c r="BU254" s="104" t="n"/>
      <c r="BV254" s="104" t="n"/>
      <c r="BW254" s="104" t="n"/>
      <c r="BX254" s="104" t="n"/>
    </row>
    <row r="255">
      <c r="AC255" s="104" t="n"/>
      <c r="AD255" s="104" t="n"/>
      <c r="AE255" s="104" t="n"/>
      <c r="AF255" s="104" t="n"/>
      <c r="AG255" s="104" t="n"/>
      <c r="AH255" s="104" t="n"/>
      <c r="AI255" s="104" t="n"/>
      <c r="AJ255" s="104" t="n"/>
      <c r="AK255" s="104" t="n"/>
      <c r="AL255" s="104" t="n"/>
      <c r="AM255" s="104" t="n"/>
      <c r="AN255" s="104" t="n"/>
      <c r="AO255" s="104" t="n"/>
      <c r="AP255" s="104" t="n"/>
      <c r="AQ255" s="104" t="n"/>
      <c r="AR255" s="104" t="n"/>
      <c r="AS255" s="104" t="n"/>
      <c r="AT255" s="104" t="n"/>
      <c r="AU255" s="104" t="n"/>
      <c r="AV255" s="104" t="n"/>
      <c r="AW255" s="104" t="n"/>
      <c r="AX255" s="104" t="n"/>
      <c r="AY255" s="104" t="n"/>
      <c r="AZ255" s="104" t="n"/>
      <c r="BA255" s="104" t="n"/>
      <c r="BB255" s="104" t="n"/>
      <c r="BC255" s="104" t="n"/>
      <c r="BD255" s="104" t="n"/>
      <c r="BE255" s="104" t="n"/>
      <c r="BF255" s="104" t="n"/>
      <c r="BG255" s="104" t="n"/>
      <c r="BH255" s="104" t="n"/>
      <c r="BI255" s="104" t="n"/>
      <c r="BJ255" s="104" t="n"/>
      <c r="BK255" s="104" t="n"/>
      <c r="BL255" s="104" t="n"/>
      <c r="BM255" s="104" t="n"/>
      <c r="BN255" s="104" t="n"/>
      <c r="BO255" s="104" t="n"/>
      <c r="BP255" s="104" t="n"/>
      <c r="BQ255" s="104" t="n"/>
      <c r="BR255" s="104" t="n"/>
      <c r="BS255" s="104" t="n"/>
      <c r="BT255" s="104" t="n"/>
      <c r="BU255" s="104" t="n"/>
      <c r="BV255" s="104" t="n"/>
      <c r="BW255" s="104" t="n"/>
      <c r="BX255" s="104" t="n"/>
    </row>
    <row r="256">
      <c r="AC256" s="104" t="n"/>
      <c r="AD256" s="104" t="n"/>
      <c r="AE256" s="104" t="n"/>
      <c r="AF256" s="104" t="n"/>
      <c r="AG256" s="104" t="n"/>
      <c r="AH256" s="104" t="n"/>
      <c r="AI256" s="104" t="n"/>
      <c r="AJ256" s="104" t="n"/>
      <c r="AK256" s="104" t="n"/>
      <c r="AL256" s="104" t="n"/>
      <c r="AM256" s="104" t="n"/>
      <c r="AN256" s="104" t="n"/>
      <c r="AO256" s="104" t="n"/>
      <c r="AP256" s="104" t="n"/>
      <c r="AQ256" s="104" t="n"/>
      <c r="AR256" s="104" t="n"/>
      <c r="AS256" s="104" t="n"/>
      <c r="AT256" s="104" t="n"/>
      <c r="AU256" s="104" t="n"/>
      <c r="AV256" s="104" t="n"/>
      <c r="AW256" s="104" t="n"/>
      <c r="AX256" s="104" t="n"/>
      <c r="AY256" s="104" t="n"/>
      <c r="AZ256" s="104" t="n"/>
      <c r="BA256" s="104" t="n"/>
      <c r="BB256" s="104" t="n"/>
      <c r="BC256" s="104" t="n"/>
      <c r="BD256" s="104" t="n"/>
      <c r="BE256" s="104" t="n"/>
      <c r="BF256" s="104" t="n"/>
      <c r="BG256" s="104" t="n"/>
      <c r="BH256" s="104" t="n"/>
      <c r="BI256" s="104" t="n"/>
      <c r="BJ256" s="104" t="n"/>
      <c r="BK256" s="104" t="n"/>
      <c r="BL256" s="104" t="n"/>
      <c r="BM256" s="104" t="n"/>
      <c r="BN256" s="104" t="n"/>
      <c r="BO256" s="104" t="n"/>
      <c r="BP256" s="104" t="n"/>
      <c r="BQ256" s="104" t="n"/>
      <c r="BR256" s="104" t="n"/>
      <c r="BS256" s="104" t="n"/>
      <c r="BT256" s="104" t="n"/>
      <c r="BU256" s="104" t="n"/>
      <c r="BV256" s="104" t="n"/>
      <c r="BW256" s="104" t="n"/>
      <c r="BX256" s="104" t="n"/>
    </row>
    <row r="257">
      <c r="AC257" s="104" t="n"/>
      <c r="AD257" s="104" t="n"/>
      <c r="AE257" s="104" t="n"/>
      <c r="AF257" s="104" t="n"/>
      <c r="AG257" s="104" t="n"/>
      <c r="AH257" s="104" t="n"/>
      <c r="AI257" s="104" t="n"/>
      <c r="AJ257" s="104" t="n"/>
      <c r="AK257" s="104" t="n"/>
      <c r="AL257" s="104" t="n"/>
      <c r="AM257" s="104" t="n"/>
      <c r="AN257" s="104" t="n"/>
      <c r="AO257" s="104" t="n"/>
      <c r="AP257" s="104" t="n"/>
      <c r="AQ257" s="104" t="n"/>
      <c r="AR257" s="104" t="n"/>
      <c r="AS257" s="104" t="n"/>
      <c r="AT257" s="104" t="n"/>
      <c r="AU257" s="104" t="n"/>
      <c r="AV257" s="104" t="n"/>
      <c r="AW257" s="104" t="n"/>
      <c r="AX257" s="104" t="n"/>
      <c r="AY257" s="104" t="n"/>
      <c r="AZ257" s="104" t="n"/>
      <c r="BA257" s="104" t="n"/>
      <c r="BB257" s="104" t="n"/>
      <c r="BC257" s="104" t="n"/>
      <c r="BD257" s="104" t="n"/>
      <c r="BE257" s="104" t="n"/>
      <c r="BF257" s="104" t="n"/>
      <c r="BG257" s="104" t="n"/>
      <c r="BH257" s="104" t="n"/>
      <c r="BI257" s="104" t="n"/>
      <c r="BJ257" s="104" t="n"/>
      <c r="BK257" s="104" t="n"/>
      <c r="BL257" s="104" t="n"/>
      <c r="BM257" s="104" t="n"/>
      <c r="BN257" s="104" t="n"/>
      <c r="BO257" s="104" t="n"/>
      <c r="BP257" s="104" t="n"/>
      <c r="BQ257" s="104" t="n"/>
      <c r="BR257" s="104" t="n"/>
      <c r="BS257" s="104" t="n"/>
      <c r="BT257" s="104" t="n"/>
      <c r="BU257" s="104" t="n"/>
      <c r="BV257" s="104" t="n"/>
      <c r="BW257" s="104" t="n"/>
      <c r="BX257" s="104" t="n"/>
    </row>
    <row r="258">
      <c r="AC258" s="104" t="n"/>
      <c r="AD258" s="104" t="n"/>
      <c r="AE258" s="104" t="n"/>
      <c r="AF258" s="104" t="n"/>
      <c r="AG258" s="104" t="n"/>
      <c r="AH258" s="104" t="n"/>
      <c r="AI258" s="104" t="n"/>
      <c r="AJ258" s="104" t="n"/>
      <c r="AK258" s="104" t="n"/>
      <c r="AL258" s="104" t="n"/>
      <c r="AM258" s="104" t="n"/>
      <c r="AN258" s="104" t="n"/>
      <c r="AO258" s="104" t="n"/>
      <c r="AP258" s="104" t="n"/>
      <c r="AQ258" s="104" t="n"/>
      <c r="AR258" s="104" t="n"/>
      <c r="AS258" s="104" t="n"/>
      <c r="AT258" s="104" t="n"/>
      <c r="AU258" s="104" t="n"/>
      <c r="AV258" s="104" t="n"/>
      <c r="AW258" s="104" t="n"/>
      <c r="AX258" s="104" t="n"/>
      <c r="AY258" s="104" t="n"/>
      <c r="AZ258" s="104" t="n"/>
      <c r="BA258" s="104" t="n"/>
      <c r="BB258" s="104" t="n"/>
      <c r="BC258" s="104" t="n"/>
      <c r="BD258" s="104" t="n"/>
      <c r="BE258" s="104" t="n"/>
      <c r="BF258" s="104" t="n"/>
      <c r="BG258" s="104" t="n"/>
      <c r="BH258" s="104" t="n"/>
      <c r="BI258" s="104" t="n"/>
      <c r="BJ258" s="104" t="n"/>
      <c r="BK258" s="104" t="n"/>
      <c r="BL258" s="104" t="n"/>
      <c r="BM258" s="104" t="n"/>
      <c r="BN258" s="104" t="n"/>
      <c r="BO258" s="104" t="n"/>
      <c r="BP258" s="104" t="n"/>
      <c r="BQ258" s="104" t="n"/>
      <c r="BR258" s="104" t="n"/>
      <c r="BS258" s="104" t="n"/>
      <c r="BT258" s="104" t="n"/>
      <c r="BU258" s="104" t="n"/>
      <c r="BV258" s="104" t="n"/>
      <c r="BW258" s="104" t="n"/>
      <c r="BX258" s="104" t="n"/>
    </row>
    <row r="259">
      <c r="AC259" s="104" t="n"/>
      <c r="AD259" s="104" t="n"/>
      <c r="AE259" s="104" t="n"/>
      <c r="AF259" s="104" t="n"/>
      <c r="AG259" s="104" t="n"/>
      <c r="AH259" s="104" t="n"/>
      <c r="AI259" s="104" t="n"/>
      <c r="AJ259" s="104" t="n"/>
      <c r="AK259" s="104" t="n"/>
      <c r="AL259" s="104" t="n"/>
      <c r="AM259" s="104" t="n"/>
      <c r="AN259" s="104" t="n"/>
      <c r="AO259" s="104" t="n"/>
      <c r="AP259" s="104" t="n"/>
      <c r="AQ259" s="104" t="n"/>
      <c r="AR259" s="104" t="n"/>
      <c r="AS259" s="104" t="n"/>
      <c r="AT259" s="104" t="n"/>
      <c r="AU259" s="104" t="n"/>
      <c r="AV259" s="104" t="n"/>
      <c r="AW259" s="104" t="n"/>
      <c r="AX259" s="104" t="n"/>
      <c r="AY259" s="104" t="n"/>
      <c r="AZ259" s="104" t="n"/>
      <c r="BA259" s="104" t="n"/>
      <c r="BB259" s="104" t="n"/>
      <c r="BC259" s="104" t="n"/>
      <c r="BD259" s="104" t="n"/>
      <c r="BE259" s="104" t="n"/>
      <c r="BF259" s="104" t="n"/>
      <c r="BG259" s="104" t="n"/>
      <c r="BH259" s="104" t="n"/>
      <c r="BI259" s="104" t="n"/>
      <c r="BJ259" s="104" t="n"/>
      <c r="BK259" s="104" t="n"/>
      <c r="BL259" s="104" t="n"/>
      <c r="BM259" s="104" t="n"/>
      <c r="BN259" s="104" t="n"/>
      <c r="BO259" s="104" t="n"/>
      <c r="BP259" s="104" t="n"/>
      <c r="BQ259" s="104" t="n"/>
      <c r="BR259" s="104" t="n"/>
      <c r="BS259" s="104" t="n"/>
      <c r="BT259" s="104" t="n"/>
      <c r="BU259" s="104" t="n"/>
      <c r="BV259" s="104" t="n"/>
      <c r="BW259" s="104" t="n"/>
      <c r="BX259" s="104" t="n"/>
    </row>
    <row r="260">
      <c r="AC260" s="104" t="n"/>
      <c r="AD260" s="104" t="n"/>
      <c r="AE260" s="104" t="n"/>
      <c r="AF260" s="104" t="n"/>
      <c r="AG260" s="104" t="n"/>
      <c r="AH260" s="104" t="n"/>
      <c r="AI260" s="104" t="n"/>
      <c r="AJ260" s="104" t="n"/>
      <c r="AK260" s="104" t="n"/>
      <c r="AL260" s="104" t="n"/>
      <c r="AM260" s="104" t="n"/>
      <c r="AN260" s="104" t="n"/>
      <c r="AO260" s="104" t="n"/>
      <c r="AP260" s="104" t="n"/>
      <c r="AQ260" s="104" t="n"/>
      <c r="AR260" s="104" t="n"/>
      <c r="AS260" s="104" t="n"/>
      <c r="AT260" s="104" t="n"/>
      <c r="AU260" s="104" t="n"/>
      <c r="AV260" s="104" t="n"/>
      <c r="AW260" s="104" t="n"/>
      <c r="AX260" s="104" t="n"/>
      <c r="AY260" s="104" t="n"/>
      <c r="AZ260" s="104" t="n"/>
      <c r="BA260" s="104" t="n"/>
      <c r="BB260" s="104" t="n"/>
      <c r="BC260" s="104" t="n"/>
      <c r="BD260" s="104" t="n"/>
      <c r="BE260" s="104" t="n"/>
      <c r="BF260" s="104" t="n"/>
      <c r="BG260" s="104" t="n"/>
      <c r="BH260" s="104" t="n"/>
      <c r="BI260" s="104" t="n"/>
      <c r="BJ260" s="104" t="n"/>
      <c r="BK260" s="104" t="n"/>
      <c r="BL260" s="104" t="n"/>
      <c r="BM260" s="104" t="n"/>
      <c r="BN260" s="104" t="n"/>
      <c r="BO260" s="104" t="n"/>
      <c r="BP260" s="104" t="n"/>
      <c r="BQ260" s="104" t="n"/>
      <c r="BR260" s="104" t="n"/>
      <c r="BS260" s="104" t="n"/>
      <c r="BT260" s="104" t="n"/>
      <c r="BU260" s="104" t="n"/>
      <c r="BV260" s="104" t="n"/>
      <c r="BW260" s="104" t="n"/>
      <c r="BX260" s="104" t="n"/>
    </row>
    <row r="261">
      <c r="AC261" s="104" t="n"/>
      <c r="AD261" s="104" t="n"/>
      <c r="AE261" s="104" t="n"/>
      <c r="AF261" s="104" t="n"/>
      <c r="AG261" s="104" t="n"/>
      <c r="AH261" s="104" t="n"/>
      <c r="AI261" s="104" t="n"/>
      <c r="AJ261" s="104" t="n"/>
      <c r="AK261" s="104" t="n"/>
      <c r="AL261" s="104" t="n"/>
      <c r="AM261" s="104" t="n"/>
      <c r="AN261" s="104" t="n"/>
      <c r="AO261" s="104" t="n"/>
      <c r="AP261" s="104" t="n"/>
      <c r="AQ261" s="104" t="n"/>
      <c r="AR261" s="104" t="n"/>
      <c r="AS261" s="104" t="n"/>
      <c r="AT261" s="104" t="n"/>
      <c r="AU261" s="104" t="n"/>
      <c r="AV261" s="104" t="n"/>
      <c r="AW261" s="104" t="n"/>
      <c r="AX261" s="104" t="n"/>
      <c r="AY261" s="104" t="n"/>
      <c r="AZ261" s="104" t="n"/>
      <c r="BA261" s="104" t="n"/>
      <c r="BB261" s="104" t="n"/>
      <c r="BC261" s="104" t="n"/>
      <c r="BD261" s="104" t="n"/>
      <c r="BE261" s="104" t="n"/>
      <c r="BF261" s="104" t="n"/>
      <c r="BG261" s="104" t="n"/>
      <c r="BH261" s="104" t="n"/>
      <c r="BI261" s="104" t="n"/>
      <c r="BJ261" s="104" t="n"/>
      <c r="BK261" s="104" t="n"/>
      <c r="BL261" s="104" t="n"/>
      <c r="BM261" s="104" t="n"/>
      <c r="BN261" s="104" t="n"/>
      <c r="BO261" s="104" t="n"/>
      <c r="BP261" s="104" t="n"/>
      <c r="BQ261" s="104" t="n"/>
      <c r="BR261" s="104" t="n"/>
      <c r="BS261" s="104" t="n"/>
      <c r="BT261" s="104" t="n"/>
      <c r="BU261" s="104" t="n"/>
      <c r="BV261" s="104" t="n"/>
      <c r="BW261" s="104" t="n"/>
      <c r="BX261" s="104" t="n"/>
    </row>
    <row r="262">
      <c r="AC262" s="104" t="n"/>
      <c r="AD262" s="104" t="n"/>
      <c r="AE262" s="104" t="n"/>
      <c r="AF262" s="104" t="n"/>
      <c r="AG262" s="104" t="n"/>
      <c r="AH262" s="104" t="n"/>
      <c r="AI262" s="104" t="n"/>
      <c r="AJ262" s="104" t="n"/>
      <c r="AK262" s="104" t="n"/>
      <c r="AL262" s="104" t="n"/>
      <c r="AM262" s="104" t="n"/>
      <c r="AN262" s="104" t="n"/>
      <c r="AO262" s="104" t="n"/>
      <c r="AP262" s="104" t="n"/>
      <c r="AQ262" s="104" t="n"/>
      <c r="AR262" s="104" t="n"/>
      <c r="AS262" s="104" t="n"/>
      <c r="AT262" s="104" t="n"/>
      <c r="AU262" s="104" t="n"/>
      <c r="AV262" s="104" t="n"/>
      <c r="AW262" s="104" t="n"/>
      <c r="AX262" s="104" t="n"/>
      <c r="AY262" s="104" t="n"/>
      <c r="AZ262" s="104" t="n"/>
      <c r="BA262" s="104" t="n"/>
      <c r="BB262" s="104" t="n"/>
      <c r="BC262" s="104" t="n"/>
      <c r="BD262" s="104" t="n"/>
      <c r="BE262" s="104" t="n"/>
      <c r="BF262" s="104" t="n"/>
      <c r="BG262" s="104" t="n"/>
      <c r="BH262" s="104" t="n"/>
      <c r="BI262" s="104" t="n"/>
      <c r="BJ262" s="104" t="n"/>
      <c r="BK262" s="104" t="n"/>
      <c r="BL262" s="104" t="n"/>
      <c r="BM262" s="104" t="n"/>
      <c r="BN262" s="104" t="n"/>
      <c r="BO262" s="104" t="n"/>
      <c r="BP262" s="104" t="n"/>
      <c r="BQ262" s="104" t="n"/>
      <c r="BR262" s="104" t="n"/>
      <c r="BS262" s="104" t="n"/>
      <c r="BT262" s="104" t="n"/>
      <c r="BU262" s="104" t="n"/>
      <c r="BV262" s="104" t="n"/>
      <c r="BW262" s="104" t="n"/>
      <c r="BX262" s="104" t="n"/>
    </row>
    <row r="263">
      <c r="AC263" s="104" t="n"/>
      <c r="AD263" s="104" t="n"/>
      <c r="AE263" s="104" t="n"/>
      <c r="AF263" s="104" t="n"/>
      <c r="AG263" s="104" t="n"/>
      <c r="AH263" s="104" t="n"/>
      <c r="AI263" s="104" t="n"/>
      <c r="AJ263" s="104" t="n"/>
      <c r="AK263" s="104" t="n"/>
      <c r="AL263" s="104" t="n"/>
      <c r="AM263" s="104" t="n"/>
      <c r="AN263" s="104" t="n"/>
      <c r="AO263" s="104" t="n"/>
      <c r="AP263" s="104" t="n"/>
      <c r="AQ263" s="104" t="n"/>
      <c r="AR263" s="104" t="n"/>
      <c r="AS263" s="104" t="n"/>
      <c r="AT263" s="104" t="n"/>
      <c r="AU263" s="104" t="n"/>
      <c r="AV263" s="104" t="n"/>
      <c r="AW263" s="104" t="n"/>
      <c r="AX263" s="104" t="n"/>
      <c r="AY263" s="104" t="n"/>
      <c r="AZ263" s="104" t="n"/>
      <c r="BA263" s="104" t="n"/>
      <c r="BB263" s="104" t="n"/>
      <c r="BC263" s="104" t="n"/>
      <c r="BD263" s="104" t="n"/>
      <c r="BE263" s="104" t="n"/>
      <c r="BF263" s="104" t="n"/>
      <c r="BG263" s="104" t="n"/>
      <c r="BH263" s="104" t="n"/>
      <c r="BI263" s="104" t="n"/>
      <c r="BJ263" s="104" t="n"/>
      <c r="BK263" s="104" t="n"/>
      <c r="BL263" s="104" t="n"/>
      <c r="BM263" s="104" t="n"/>
      <c r="BN263" s="104" t="n"/>
      <c r="BO263" s="104" t="n"/>
      <c r="BP263" s="104" t="n"/>
      <c r="BQ263" s="104" t="n"/>
      <c r="BR263" s="104" t="n"/>
      <c r="BS263" s="104" t="n"/>
      <c r="BT263" s="104" t="n"/>
      <c r="BU263" s="104" t="n"/>
      <c r="BV263" s="104" t="n"/>
      <c r="BW263" s="104" t="n"/>
      <c r="BX263" s="104" t="n"/>
    </row>
    <row r="264">
      <c r="AC264" s="104" t="n"/>
      <c r="AD264" s="104" t="n"/>
      <c r="AE264" s="104" t="n"/>
      <c r="AF264" s="104" t="n"/>
      <c r="AG264" s="104" t="n"/>
      <c r="AH264" s="104" t="n"/>
      <c r="AI264" s="104" t="n"/>
      <c r="AJ264" s="104" t="n"/>
      <c r="AK264" s="104" t="n"/>
      <c r="AL264" s="104" t="n"/>
      <c r="AM264" s="104" t="n"/>
      <c r="AN264" s="104" t="n"/>
      <c r="AO264" s="104" t="n"/>
      <c r="AP264" s="104" t="n"/>
      <c r="AQ264" s="104" t="n"/>
      <c r="AR264" s="104" t="n"/>
      <c r="AS264" s="104" t="n"/>
      <c r="AT264" s="104" t="n"/>
      <c r="AU264" s="104" t="n"/>
      <c r="AV264" s="104" t="n"/>
      <c r="AW264" s="104" t="n"/>
      <c r="AX264" s="104" t="n"/>
      <c r="AY264" s="104" t="n"/>
      <c r="AZ264" s="104" t="n"/>
      <c r="BA264" s="104" t="n"/>
      <c r="BB264" s="104" t="n"/>
      <c r="BC264" s="104" t="n"/>
      <c r="BD264" s="104" t="n"/>
      <c r="BE264" s="104" t="n"/>
      <c r="BF264" s="104" t="n"/>
      <c r="BG264" s="104" t="n"/>
      <c r="BH264" s="104" t="n"/>
      <c r="BI264" s="104" t="n"/>
      <c r="BJ264" s="104" t="n"/>
      <c r="BK264" s="104" t="n"/>
      <c r="BL264" s="104" t="n"/>
      <c r="BM264" s="104" t="n"/>
      <c r="BN264" s="104" t="n"/>
      <c r="BO264" s="104" t="n"/>
      <c r="BP264" s="104" t="n"/>
      <c r="BQ264" s="104" t="n"/>
      <c r="BR264" s="104" t="n"/>
      <c r="BS264" s="104" t="n"/>
      <c r="BT264" s="104" t="n"/>
      <c r="BU264" s="104" t="n"/>
      <c r="BV264" s="104" t="n"/>
      <c r="BW264" s="104" t="n"/>
      <c r="BX264" s="104" t="n"/>
    </row>
    <row r="265">
      <c r="AC265" s="104" t="n"/>
      <c r="AD265" s="104" t="n"/>
      <c r="AE265" s="104" t="n"/>
      <c r="AF265" s="104" t="n"/>
      <c r="AG265" s="104" t="n"/>
      <c r="AH265" s="104" t="n"/>
      <c r="AI265" s="104" t="n"/>
      <c r="AJ265" s="104" t="n"/>
      <c r="AK265" s="104" t="n"/>
      <c r="AL265" s="104" t="n"/>
      <c r="AM265" s="104" t="n"/>
      <c r="AN265" s="104" t="n"/>
      <c r="AO265" s="104" t="n"/>
      <c r="AP265" s="104" t="n"/>
      <c r="AQ265" s="104" t="n"/>
      <c r="AR265" s="104" t="n"/>
      <c r="AS265" s="104" t="n"/>
      <c r="AT265" s="104" t="n"/>
      <c r="AU265" s="104" t="n"/>
      <c r="AV265" s="104" t="n"/>
      <c r="AW265" s="104" t="n"/>
      <c r="AX265" s="104" t="n"/>
      <c r="AY265" s="104" t="n"/>
      <c r="AZ265" s="104" t="n"/>
      <c r="BA265" s="104" t="n"/>
      <c r="BB265" s="104" t="n"/>
      <c r="BC265" s="104" t="n"/>
      <c r="BD265" s="104" t="n"/>
      <c r="BE265" s="104" t="n"/>
      <c r="BF265" s="104" t="n"/>
      <c r="BG265" s="104" t="n"/>
      <c r="BH265" s="104" t="n"/>
      <c r="BI265" s="104" t="n"/>
      <c r="BJ265" s="104" t="n"/>
      <c r="BK265" s="104" t="n"/>
      <c r="BL265" s="104" t="n"/>
      <c r="BM265" s="104" t="n"/>
      <c r="BN265" s="104" t="n"/>
      <c r="BO265" s="104" t="n"/>
      <c r="BP265" s="104" t="n"/>
      <c r="BQ265" s="104" t="n"/>
      <c r="BR265" s="104" t="n"/>
      <c r="BS265" s="104" t="n"/>
      <c r="BT265" s="104" t="n"/>
      <c r="BU265" s="104" t="n"/>
      <c r="BV265" s="104" t="n"/>
      <c r="BW265" s="104" t="n"/>
      <c r="BX265" s="104" t="n"/>
    </row>
    <row r="266">
      <c r="AC266" s="104" t="n"/>
      <c r="AD266" s="104" t="n"/>
      <c r="AE266" s="104" t="n"/>
      <c r="AF266" s="104" t="n"/>
      <c r="AG266" s="104" t="n"/>
      <c r="AH266" s="104" t="n"/>
      <c r="AI266" s="104" t="n"/>
      <c r="AJ266" s="104" t="n"/>
      <c r="AK266" s="104" t="n"/>
      <c r="AL266" s="104" t="n"/>
      <c r="AM266" s="104" t="n"/>
      <c r="AN266" s="104" t="n"/>
      <c r="AO266" s="104" t="n"/>
      <c r="AP266" s="104" t="n"/>
      <c r="AQ266" s="104" t="n"/>
      <c r="AR266" s="104" t="n"/>
      <c r="AS266" s="104" t="n"/>
      <c r="AT266" s="104" t="n"/>
      <c r="AU266" s="104" t="n"/>
      <c r="AV266" s="104" t="n"/>
      <c r="AW266" s="104" t="n"/>
      <c r="AX266" s="104" t="n"/>
      <c r="AY266" s="104" t="n"/>
      <c r="AZ266" s="104" t="n"/>
      <c r="BA266" s="104" t="n"/>
      <c r="BB266" s="104" t="n"/>
      <c r="BC266" s="104" t="n"/>
      <c r="BD266" s="104" t="n"/>
      <c r="BE266" s="104" t="n"/>
      <c r="BF266" s="104" t="n"/>
      <c r="BG266" s="104" t="n"/>
      <c r="BH266" s="104" t="n"/>
      <c r="BI266" s="104" t="n"/>
      <c r="BJ266" s="104" t="n"/>
      <c r="BK266" s="104" t="n"/>
      <c r="BL266" s="104" t="n"/>
      <c r="BM266" s="104" t="n"/>
      <c r="BN266" s="104" t="n"/>
      <c r="BO266" s="104" t="n"/>
      <c r="BP266" s="104" t="n"/>
      <c r="BQ266" s="104" t="n"/>
      <c r="BR266" s="104" t="n"/>
      <c r="BS266" s="104" t="n"/>
      <c r="BT266" s="104" t="n"/>
      <c r="BU266" s="104" t="n"/>
      <c r="BV266" s="104" t="n"/>
      <c r="BW266" s="104" t="n"/>
      <c r="BX266" s="104" t="n"/>
    </row>
    <row r="267">
      <c r="AC267" s="104" t="n"/>
      <c r="AD267" s="104" t="n"/>
      <c r="AE267" s="104" t="n"/>
      <c r="AF267" s="104" t="n"/>
      <c r="AG267" s="104" t="n"/>
      <c r="AH267" s="104" t="n"/>
      <c r="AI267" s="104" t="n"/>
      <c r="AJ267" s="104" t="n"/>
      <c r="AK267" s="104" t="n"/>
      <c r="AL267" s="104" t="n"/>
      <c r="AM267" s="104" t="n"/>
      <c r="AN267" s="104" t="n"/>
      <c r="AO267" s="104" t="n"/>
      <c r="AP267" s="104" t="n"/>
      <c r="AQ267" s="104" t="n"/>
      <c r="AR267" s="104" t="n"/>
      <c r="AS267" s="104" t="n"/>
      <c r="AT267" s="104" t="n"/>
      <c r="AU267" s="104" t="n"/>
      <c r="AV267" s="104" t="n"/>
      <c r="AW267" s="104" t="n"/>
      <c r="AX267" s="104" t="n"/>
      <c r="AY267" s="104" t="n"/>
      <c r="AZ267" s="104" t="n"/>
      <c r="BA267" s="104" t="n"/>
      <c r="BB267" s="104" t="n"/>
      <c r="BC267" s="104" t="n"/>
      <c r="BD267" s="104" t="n"/>
      <c r="BE267" s="104" t="n"/>
      <c r="BF267" s="104" t="n"/>
      <c r="BG267" s="104" t="n"/>
      <c r="BH267" s="104" t="n"/>
      <c r="BI267" s="104" t="n"/>
      <c r="BJ267" s="104" t="n"/>
      <c r="BK267" s="104" t="n"/>
      <c r="BL267" s="104" t="n"/>
      <c r="BM267" s="104" t="n"/>
      <c r="BN267" s="104" t="n"/>
      <c r="BO267" s="104" t="n"/>
      <c r="BP267" s="104" t="n"/>
      <c r="BQ267" s="104" t="n"/>
      <c r="BR267" s="104" t="n"/>
      <c r="BS267" s="104" t="n"/>
      <c r="BT267" s="104" t="n"/>
      <c r="BU267" s="104" t="n"/>
      <c r="BV267" s="104" t="n"/>
      <c r="BW267" s="104" t="n"/>
      <c r="BX267" s="104" t="n"/>
    </row>
    <row r="268">
      <c r="AC268" s="104" t="n"/>
      <c r="AD268" s="104" t="n"/>
      <c r="AE268" s="104" t="n"/>
      <c r="AF268" s="104" t="n"/>
      <c r="AG268" s="104" t="n"/>
      <c r="AH268" s="104" t="n"/>
      <c r="AI268" s="104" t="n"/>
      <c r="AJ268" s="104" t="n"/>
      <c r="AK268" s="104" t="n"/>
      <c r="AL268" s="104" t="n"/>
      <c r="AM268" s="104" t="n"/>
      <c r="AN268" s="104" t="n"/>
      <c r="AO268" s="104" t="n"/>
      <c r="AP268" s="104" t="n"/>
      <c r="AQ268" s="104" t="n"/>
      <c r="AR268" s="104" t="n"/>
      <c r="AS268" s="104" t="n"/>
      <c r="AT268" s="104" t="n"/>
      <c r="AU268" s="104" t="n"/>
      <c r="AV268" s="104" t="n"/>
      <c r="AW268" s="104" t="n"/>
      <c r="AX268" s="104" t="n"/>
      <c r="AY268" s="104" t="n"/>
      <c r="AZ268" s="104" t="n"/>
      <c r="BA268" s="104" t="n"/>
      <c r="BB268" s="104" t="n"/>
      <c r="BC268" s="104" t="n"/>
      <c r="BD268" s="104" t="n"/>
      <c r="BE268" s="104" t="n"/>
      <c r="BF268" s="104" t="n"/>
      <c r="BG268" s="104" t="n"/>
      <c r="BH268" s="104" t="n"/>
      <c r="BI268" s="104" t="n"/>
      <c r="BJ268" s="104" t="n"/>
      <c r="BK268" s="104" t="n"/>
      <c r="BL268" s="104" t="n"/>
      <c r="BM268" s="104" t="n"/>
      <c r="BN268" s="104" t="n"/>
      <c r="BO268" s="104" t="n"/>
      <c r="BP268" s="104" t="n"/>
      <c r="BQ268" s="104" t="n"/>
      <c r="BR268" s="104" t="n"/>
      <c r="BS268" s="104" t="n"/>
      <c r="BT268" s="104" t="n"/>
      <c r="BU268" s="104" t="n"/>
      <c r="BV268" s="104" t="n"/>
      <c r="BW268" s="104" t="n"/>
      <c r="BX268" s="104" t="n"/>
    </row>
    <row r="269">
      <c r="AC269" s="104" t="n"/>
      <c r="AD269" s="104" t="n"/>
      <c r="AE269" s="104" t="n"/>
      <c r="AF269" s="104" t="n"/>
      <c r="AG269" s="104" t="n"/>
      <c r="AH269" s="104" t="n"/>
      <c r="AI269" s="104" t="n"/>
      <c r="AJ269" s="104" t="n"/>
      <c r="AK269" s="104" t="n"/>
      <c r="AL269" s="104" t="n"/>
      <c r="AM269" s="104" t="n"/>
      <c r="AN269" s="104" t="n"/>
      <c r="AO269" s="104" t="n"/>
      <c r="AP269" s="104" t="n"/>
      <c r="AQ269" s="104" t="n"/>
      <c r="AR269" s="104" t="n"/>
      <c r="AS269" s="104" t="n"/>
      <c r="AT269" s="104" t="n"/>
      <c r="AU269" s="104" t="n"/>
      <c r="AV269" s="104" t="n"/>
      <c r="AW269" s="104" t="n"/>
      <c r="AX269" s="104" t="n"/>
      <c r="AY269" s="104" t="n"/>
      <c r="AZ269" s="104" t="n"/>
      <c r="BA269" s="104" t="n"/>
      <c r="BB269" s="104" t="n"/>
      <c r="BC269" s="104" t="n"/>
      <c r="BD269" s="104" t="n"/>
      <c r="BE269" s="104" t="n"/>
      <c r="BF269" s="104" t="n"/>
      <c r="BG269" s="104" t="n"/>
      <c r="BH269" s="104" t="n"/>
      <c r="BI269" s="104" t="n"/>
      <c r="BJ269" s="104" t="n"/>
      <c r="BK269" s="104" t="n"/>
      <c r="BL269" s="104" t="n"/>
      <c r="BM269" s="104" t="n"/>
      <c r="BN269" s="104" t="n"/>
      <c r="BO269" s="104" t="n"/>
      <c r="BP269" s="104" t="n"/>
      <c r="BQ269" s="104" t="n"/>
      <c r="BR269" s="104" t="n"/>
      <c r="BS269" s="104" t="n"/>
      <c r="BT269" s="104" t="n"/>
      <c r="BU269" s="104" t="n"/>
      <c r="BV269" s="104" t="n"/>
      <c r="BW269" s="104" t="n"/>
      <c r="BX269" s="104" t="n"/>
    </row>
    <row r="270">
      <c r="AC270" s="104" t="n"/>
      <c r="AD270" s="104" t="n"/>
      <c r="AE270" s="104" t="n"/>
      <c r="AF270" s="104" t="n"/>
      <c r="AG270" s="104" t="n"/>
      <c r="AH270" s="104" t="n"/>
      <c r="AI270" s="104" t="n"/>
      <c r="AJ270" s="104" t="n"/>
      <c r="AK270" s="104" t="n"/>
      <c r="AL270" s="104" t="n"/>
      <c r="AM270" s="104" t="n"/>
      <c r="AN270" s="104" t="n"/>
      <c r="AO270" s="104" t="n"/>
      <c r="AP270" s="104" t="n"/>
      <c r="AQ270" s="104" t="n"/>
      <c r="AR270" s="104" t="n"/>
      <c r="AS270" s="104" t="n"/>
      <c r="AT270" s="104" t="n"/>
      <c r="AU270" s="104" t="n"/>
      <c r="AV270" s="104" t="n"/>
      <c r="AW270" s="104" t="n"/>
      <c r="AX270" s="104" t="n"/>
      <c r="AY270" s="104" t="n"/>
      <c r="AZ270" s="104" t="n"/>
      <c r="BA270" s="104" t="n"/>
      <c r="BB270" s="104" t="n"/>
      <c r="BC270" s="104" t="n"/>
      <c r="BD270" s="104" t="n"/>
      <c r="BE270" s="104" t="n"/>
      <c r="BF270" s="104" t="n"/>
      <c r="BG270" s="104" t="n"/>
      <c r="BH270" s="104" t="n"/>
      <c r="BI270" s="104" t="n"/>
      <c r="BJ270" s="104" t="n"/>
      <c r="BK270" s="104" t="n"/>
      <c r="BL270" s="104" t="n"/>
      <c r="BM270" s="104" t="n"/>
      <c r="BN270" s="104" t="n"/>
      <c r="BO270" s="104" t="n"/>
      <c r="BP270" s="104" t="n"/>
      <c r="BQ270" s="104" t="n"/>
      <c r="BR270" s="104" t="n"/>
      <c r="BS270" s="104" t="n"/>
      <c r="BT270" s="104" t="n"/>
      <c r="BU270" s="104" t="n"/>
      <c r="BV270" s="104" t="n"/>
      <c r="BW270" s="104" t="n"/>
      <c r="BX270" s="104" t="n"/>
    </row>
    <row r="271">
      <c r="AC271" s="104" t="n"/>
      <c r="AD271" s="104" t="n"/>
      <c r="AE271" s="104" t="n"/>
      <c r="AF271" s="104" t="n"/>
      <c r="AG271" s="104" t="n"/>
      <c r="AH271" s="104" t="n"/>
      <c r="AI271" s="104" t="n"/>
      <c r="AJ271" s="104" t="n"/>
      <c r="AK271" s="104" t="n"/>
      <c r="AL271" s="104" t="n"/>
      <c r="AM271" s="104" t="n"/>
      <c r="AN271" s="104" t="n"/>
      <c r="AO271" s="104" t="n"/>
      <c r="AP271" s="104" t="n"/>
      <c r="AQ271" s="104" t="n"/>
      <c r="AR271" s="104" t="n"/>
      <c r="AS271" s="104" t="n"/>
      <c r="AT271" s="104" t="n"/>
      <c r="AU271" s="104" t="n"/>
      <c r="AV271" s="104" t="n"/>
      <c r="AW271" s="104" t="n"/>
      <c r="AX271" s="104" t="n"/>
      <c r="AY271" s="104" t="n"/>
      <c r="AZ271" s="104" t="n"/>
      <c r="BA271" s="104" t="n"/>
      <c r="BB271" s="104" t="n"/>
      <c r="BC271" s="104" t="n"/>
      <c r="BD271" s="104" t="n"/>
      <c r="BE271" s="104" t="n"/>
      <c r="BF271" s="104" t="n"/>
      <c r="BG271" s="104" t="n"/>
      <c r="BH271" s="104" t="n"/>
      <c r="BI271" s="104" t="n"/>
      <c r="BJ271" s="104" t="n"/>
      <c r="BK271" s="104" t="n"/>
      <c r="BL271" s="104" t="n"/>
      <c r="BM271" s="104" t="n"/>
      <c r="BN271" s="104" t="n"/>
      <c r="BO271" s="104" t="n"/>
      <c r="BP271" s="104" t="n"/>
      <c r="BQ271" s="104" t="n"/>
      <c r="BR271" s="104" t="n"/>
      <c r="BS271" s="104" t="n"/>
      <c r="BT271" s="104" t="n"/>
      <c r="BU271" s="104" t="n"/>
      <c r="BV271" s="104" t="n"/>
      <c r="BW271" s="104" t="n"/>
      <c r="BX271" s="104" t="n"/>
    </row>
    <row r="272">
      <c r="AC272" s="104" t="n"/>
      <c r="AD272" s="104" t="n"/>
      <c r="AE272" s="104" t="n"/>
      <c r="AF272" s="104" t="n"/>
      <c r="AG272" s="104" t="n"/>
      <c r="AH272" s="104" t="n"/>
      <c r="AI272" s="104" t="n"/>
      <c r="AJ272" s="104" t="n"/>
      <c r="AK272" s="104" t="n"/>
      <c r="AL272" s="104" t="n"/>
      <c r="AM272" s="104" t="n"/>
      <c r="AN272" s="104" t="n"/>
      <c r="AO272" s="104" t="n"/>
      <c r="AP272" s="104" t="n"/>
      <c r="AQ272" s="104" t="n"/>
      <c r="AR272" s="104" t="n"/>
      <c r="AS272" s="104" t="n"/>
      <c r="AT272" s="104" t="n"/>
      <c r="AU272" s="104" t="n"/>
      <c r="AV272" s="104" t="n"/>
      <c r="AW272" s="104" t="n"/>
      <c r="AX272" s="104" t="n"/>
      <c r="AY272" s="104" t="n"/>
      <c r="AZ272" s="104" t="n"/>
      <c r="BA272" s="104" t="n"/>
      <c r="BB272" s="104" t="n"/>
      <c r="BC272" s="104" t="n"/>
      <c r="BD272" s="104" t="n"/>
      <c r="BE272" s="104" t="n"/>
      <c r="BF272" s="104" t="n"/>
      <c r="BG272" s="104" t="n"/>
      <c r="BH272" s="104" t="n"/>
      <c r="BI272" s="104" t="n"/>
      <c r="BJ272" s="104" t="n"/>
      <c r="BK272" s="104" t="n"/>
      <c r="BL272" s="104" t="n"/>
      <c r="BM272" s="104" t="n"/>
      <c r="BN272" s="104" t="n"/>
      <c r="BO272" s="104" t="n"/>
      <c r="BP272" s="104" t="n"/>
      <c r="BQ272" s="104" t="n"/>
      <c r="BR272" s="104" t="n"/>
      <c r="BS272" s="104" t="n"/>
      <c r="BT272" s="104" t="n"/>
      <c r="BU272" s="104" t="n"/>
      <c r="BV272" s="104" t="n"/>
      <c r="BW272" s="104" t="n"/>
      <c r="BX272" s="104" t="n"/>
    </row>
    <row r="273">
      <c r="AC273" s="104" t="n"/>
      <c r="AD273" s="104" t="n"/>
      <c r="AE273" s="104" t="n"/>
      <c r="AF273" s="104" t="n"/>
      <c r="AG273" s="104" t="n"/>
      <c r="AH273" s="104" t="n"/>
      <c r="AI273" s="104" t="n"/>
      <c r="AJ273" s="104" t="n"/>
      <c r="AK273" s="104" t="n"/>
      <c r="AL273" s="104" t="n"/>
      <c r="AM273" s="104" t="n"/>
      <c r="AN273" s="104" t="n"/>
      <c r="AO273" s="104" t="n"/>
      <c r="AP273" s="104" t="n"/>
      <c r="AQ273" s="104" t="n"/>
      <c r="AR273" s="104" t="n"/>
      <c r="AS273" s="104" t="n"/>
      <c r="AT273" s="104" t="n"/>
      <c r="AU273" s="104" t="n"/>
      <c r="AV273" s="104" t="n"/>
      <c r="AW273" s="104" t="n"/>
      <c r="AX273" s="104" t="n"/>
      <c r="AY273" s="104" t="n"/>
      <c r="AZ273" s="104" t="n"/>
      <c r="BA273" s="104" t="n"/>
      <c r="BB273" s="104" t="n"/>
      <c r="BC273" s="104" t="n"/>
      <c r="BD273" s="104" t="n"/>
      <c r="BE273" s="104" t="n"/>
      <c r="BF273" s="104" t="n"/>
      <c r="BG273" s="104" t="n"/>
      <c r="BH273" s="104" t="n"/>
      <c r="BI273" s="104" t="n"/>
      <c r="BJ273" s="104" t="n"/>
      <c r="BK273" s="104" t="n"/>
      <c r="BL273" s="104" t="n"/>
      <c r="BM273" s="104" t="n"/>
      <c r="BN273" s="104" t="n"/>
      <c r="BO273" s="104" t="n"/>
      <c r="BP273" s="104" t="n"/>
      <c r="BQ273" s="104" t="n"/>
      <c r="BR273" s="104" t="n"/>
      <c r="BS273" s="104" t="n"/>
      <c r="BT273" s="104" t="n"/>
      <c r="BU273" s="104" t="n"/>
      <c r="BV273" s="104" t="n"/>
      <c r="BW273" s="104" t="n"/>
      <c r="BX273" s="104" t="n"/>
    </row>
    <row r="274">
      <c r="AC274" s="104" t="n"/>
      <c r="AD274" s="104" t="n"/>
      <c r="AE274" s="104" t="n"/>
      <c r="AF274" s="104" t="n"/>
      <c r="AG274" s="104" t="n"/>
      <c r="AH274" s="104" t="n"/>
      <c r="AI274" s="104" t="n"/>
      <c r="AJ274" s="104" t="n"/>
      <c r="AK274" s="104" t="n"/>
      <c r="AL274" s="104" t="n"/>
      <c r="AM274" s="104" t="n"/>
      <c r="AN274" s="104" t="n"/>
      <c r="AO274" s="104" t="n"/>
      <c r="AP274" s="104" t="n"/>
      <c r="AQ274" s="104" t="n"/>
      <c r="AR274" s="104" t="n"/>
      <c r="AS274" s="104" t="n"/>
      <c r="AT274" s="104" t="n"/>
      <c r="AU274" s="104" t="n"/>
      <c r="AV274" s="104" t="n"/>
      <c r="AW274" s="104" t="n"/>
      <c r="AX274" s="104" t="n"/>
      <c r="AY274" s="104" t="n"/>
      <c r="AZ274" s="104" t="n"/>
      <c r="BA274" s="104" t="n"/>
      <c r="BB274" s="104" t="n"/>
      <c r="BC274" s="104" t="n"/>
      <c r="BD274" s="104" t="n"/>
      <c r="BE274" s="104" t="n"/>
      <c r="BF274" s="104" t="n"/>
      <c r="BG274" s="104" t="n"/>
      <c r="BH274" s="104" t="n"/>
      <c r="BI274" s="104" t="n"/>
      <c r="BJ274" s="104" t="n"/>
      <c r="BK274" s="104" t="n"/>
      <c r="BL274" s="104" t="n"/>
      <c r="BM274" s="104" t="n"/>
      <c r="BN274" s="104" t="n"/>
      <c r="BO274" s="104" t="n"/>
      <c r="BP274" s="104" t="n"/>
      <c r="BQ274" s="104" t="n"/>
      <c r="BR274" s="104" t="n"/>
      <c r="BS274" s="104" t="n"/>
      <c r="BT274" s="104" t="n"/>
      <c r="BU274" s="104" t="n"/>
      <c r="BV274" s="104" t="n"/>
      <c r="BW274" s="104" t="n"/>
      <c r="BX274" s="104" t="n"/>
    </row>
    <row r="275">
      <c r="AC275" s="104" t="n"/>
      <c r="AD275" s="104" t="n"/>
      <c r="AE275" s="104" t="n"/>
      <c r="AF275" s="104" t="n"/>
      <c r="AG275" s="104" t="n"/>
      <c r="AH275" s="104" t="n"/>
      <c r="AI275" s="104" t="n"/>
      <c r="AJ275" s="104" t="n"/>
      <c r="AK275" s="104" t="n"/>
      <c r="AL275" s="104" t="n"/>
      <c r="AM275" s="104" t="n"/>
      <c r="AN275" s="104" t="n"/>
      <c r="AO275" s="104" t="n"/>
      <c r="AP275" s="104" t="n"/>
      <c r="AQ275" s="104" t="n"/>
      <c r="AR275" s="104" t="n"/>
      <c r="AS275" s="104" t="n"/>
      <c r="AT275" s="104" t="n"/>
      <c r="AU275" s="104" t="n"/>
      <c r="AV275" s="104" t="n"/>
      <c r="AW275" s="104" t="n"/>
      <c r="AX275" s="104" t="n"/>
      <c r="AY275" s="104" t="n"/>
      <c r="AZ275" s="104" t="n"/>
      <c r="BA275" s="104" t="n"/>
      <c r="BB275" s="104" t="n"/>
      <c r="BC275" s="104" t="n"/>
      <c r="BD275" s="104" t="n"/>
      <c r="BE275" s="104" t="n"/>
      <c r="BF275" s="104" t="n"/>
      <c r="BG275" s="104" t="n"/>
      <c r="BH275" s="104" t="n"/>
      <c r="BI275" s="104" t="n"/>
      <c r="BJ275" s="104" t="n"/>
      <c r="BK275" s="104" t="n"/>
      <c r="BL275" s="104" t="n"/>
      <c r="BM275" s="104" t="n"/>
      <c r="BN275" s="104" t="n"/>
      <c r="BO275" s="104" t="n"/>
      <c r="BP275" s="104" t="n"/>
      <c r="BQ275" s="104" t="n"/>
      <c r="BR275" s="104" t="n"/>
      <c r="BS275" s="104" t="n"/>
      <c r="BT275" s="104" t="n"/>
      <c r="BU275" s="104" t="n"/>
      <c r="BV275" s="104" t="n"/>
      <c r="BW275" s="104" t="n"/>
      <c r="BX275" s="104" t="n"/>
    </row>
    <row r="276">
      <c r="AC276" s="104" t="n"/>
      <c r="AD276" s="104" t="n"/>
      <c r="AE276" s="104" t="n"/>
      <c r="AF276" s="104" t="n"/>
      <c r="AG276" s="104" t="n"/>
      <c r="AH276" s="104" t="n"/>
      <c r="AI276" s="104" t="n"/>
      <c r="AJ276" s="104" t="n"/>
      <c r="AK276" s="104" t="n"/>
      <c r="AL276" s="104" t="n"/>
      <c r="AM276" s="104" t="n"/>
      <c r="AN276" s="104" t="n"/>
      <c r="AO276" s="104" t="n"/>
      <c r="AP276" s="104" t="n"/>
      <c r="AQ276" s="104" t="n"/>
      <c r="AR276" s="104" t="n"/>
      <c r="AS276" s="104" t="n"/>
      <c r="AT276" s="104" t="n"/>
      <c r="AU276" s="104" t="n"/>
      <c r="AV276" s="104" t="n"/>
      <c r="AW276" s="104" t="n"/>
      <c r="AX276" s="104" t="n"/>
      <c r="AY276" s="104" t="n"/>
      <c r="AZ276" s="104" t="n"/>
      <c r="BA276" s="104" t="n"/>
      <c r="BB276" s="104" t="n"/>
      <c r="BC276" s="104" t="n"/>
      <c r="BD276" s="104" t="n"/>
      <c r="BE276" s="104" t="n"/>
      <c r="BF276" s="104" t="n"/>
      <c r="BG276" s="104" t="n"/>
      <c r="BH276" s="104" t="n"/>
      <c r="BI276" s="104" t="n"/>
      <c r="BJ276" s="104" t="n"/>
      <c r="BK276" s="104" t="n"/>
      <c r="BL276" s="104" t="n"/>
      <c r="BM276" s="104" t="n"/>
      <c r="BN276" s="104" t="n"/>
      <c r="BO276" s="104" t="n"/>
      <c r="BP276" s="104" t="n"/>
      <c r="BQ276" s="104" t="n"/>
      <c r="BR276" s="104" t="n"/>
      <c r="BS276" s="104" t="n"/>
      <c r="BT276" s="104" t="n"/>
      <c r="BU276" s="104" t="n"/>
      <c r="BV276" s="104" t="n"/>
      <c r="BW276" s="104" t="n"/>
      <c r="BX276" s="104" t="n"/>
    </row>
    <row r="277">
      <c r="AC277" s="104" t="n"/>
      <c r="AD277" s="104" t="n"/>
      <c r="AE277" s="104" t="n"/>
      <c r="AF277" s="104" t="n"/>
      <c r="AG277" s="104" t="n"/>
      <c r="AH277" s="104" t="n"/>
      <c r="AI277" s="104" t="n"/>
      <c r="AJ277" s="104" t="n"/>
      <c r="AK277" s="104" t="n"/>
      <c r="AL277" s="104" t="n"/>
      <c r="AM277" s="104" t="n"/>
      <c r="AN277" s="104" t="n"/>
      <c r="AO277" s="104" t="n"/>
      <c r="AP277" s="104" t="n"/>
      <c r="AQ277" s="104" t="n"/>
      <c r="AR277" s="104" t="n"/>
      <c r="AS277" s="104" t="n"/>
      <c r="AT277" s="104" t="n"/>
      <c r="AU277" s="104" t="n"/>
      <c r="AV277" s="104" t="n"/>
      <c r="AW277" s="104" t="n"/>
      <c r="AX277" s="104" t="n"/>
      <c r="AY277" s="104" t="n"/>
      <c r="AZ277" s="104" t="n"/>
      <c r="BA277" s="104" t="n"/>
      <c r="BB277" s="104" t="n"/>
      <c r="BC277" s="104" t="n"/>
      <c r="BD277" s="104" t="n"/>
      <c r="BE277" s="104" t="n"/>
      <c r="BF277" s="104" t="n"/>
      <c r="BG277" s="104" t="n"/>
      <c r="BH277" s="104" t="n"/>
      <c r="BI277" s="104" t="n"/>
      <c r="BJ277" s="104" t="n"/>
      <c r="BK277" s="104" t="n"/>
      <c r="BL277" s="104" t="n"/>
      <c r="BM277" s="104" t="n"/>
      <c r="BN277" s="104" t="n"/>
      <c r="BO277" s="104" t="n"/>
      <c r="BP277" s="104" t="n"/>
      <c r="BQ277" s="104" t="n"/>
      <c r="BR277" s="104" t="n"/>
      <c r="BS277" s="104" t="n"/>
      <c r="BT277" s="104" t="n"/>
      <c r="BU277" s="104" t="n"/>
      <c r="BV277" s="104" t="n"/>
      <c r="BW277" s="104" t="n"/>
      <c r="BX277" s="104" t="n"/>
    </row>
    <row r="278">
      <c r="AC278" s="104" t="n"/>
      <c r="AD278" s="104" t="n"/>
      <c r="AE278" s="104" t="n"/>
      <c r="AF278" s="104" t="n"/>
      <c r="AG278" s="104" t="n"/>
      <c r="AH278" s="104" t="n"/>
      <c r="AI278" s="104" t="n"/>
      <c r="AJ278" s="104" t="n"/>
      <c r="AK278" s="104" t="n"/>
      <c r="AL278" s="104" t="n"/>
      <c r="AM278" s="104" t="n"/>
      <c r="AN278" s="104" t="n"/>
      <c r="AO278" s="104" t="n"/>
      <c r="AP278" s="104" t="n"/>
      <c r="AQ278" s="104" t="n"/>
      <c r="AR278" s="104" t="n"/>
      <c r="AS278" s="104" t="n"/>
      <c r="AT278" s="104" t="n"/>
      <c r="AU278" s="104" t="n"/>
      <c r="AV278" s="104" t="n"/>
      <c r="AW278" s="104" t="n"/>
      <c r="AX278" s="104" t="n"/>
      <c r="AY278" s="104" t="n"/>
      <c r="AZ278" s="104" t="n"/>
      <c r="BA278" s="104" t="n"/>
      <c r="BB278" s="104" t="n"/>
      <c r="BC278" s="104" t="n"/>
      <c r="BD278" s="104" t="n"/>
      <c r="BE278" s="104" t="n"/>
      <c r="BF278" s="104" t="n"/>
      <c r="BG278" s="104" t="n"/>
      <c r="BH278" s="104" t="n"/>
      <c r="BI278" s="104" t="n"/>
      <c r="BJ278" s="104" t="n"/>
      <c r="BK278" s="104" t="n"/>
      <c r="BL278" s="104" t="n"/>
      <c r="BM278" s="104" t="n"/>
      <c r="BN278" s="104" t="n"/>
      <c r="BO278" s="104" t="n"/>
      <c r="BP278" s="104" t="n"/>
      <c r="BQ278" s="104" t="n"/>
      <c r="BR278" s="104" t="n"/>
      <c r="BS278" s="104" t="n"/>
      <c r="BT278" s="104" t="n"/>
      <c r="BU278" s="104" t="n"/>
      <c r="BV278" s="104" t="n"/>
      <c r="BW278" s="104" t="n"/>
      <c r="BX278" s="104" t="n"/>
    </row>
    <row r="279">
      <c r="AC279" s="104" t="n"/>
      <c r="AD279" s="104" t="n"/>
      <c r="AE279" s="104" t="n"/>
      <c r="AF279" s="104" t="n"/>
      <c r="AG279" s="104" t="n"/>
      <c r="AH279" s="104" t="n"/>
      <c r="AI279" s="104" t="n"/>
      <c r="AJ279" s="104" t="n"/>
      <c r="AK279" s="104" t="n"/>
      <c r="AL279" s="104" t="n"/>
      <c r="AM279" s="104" t="n"/>
      <c r="AN279" s="104" t="n"/>
      <c r="AO279" s="104" t="n"/>
      <c r="AP279" s="104" t="n"/>
      <c r="AQ279" s="104" t="n"/>
      <c r="AR279" s="104" t="n"/>
      <c r="AS279" s="104" t="n"/>
      <c r="AT279" s="104" t="n"/>
      <c r="AU279" s="104" t="n"/>
      <c r="AV279" s="104" t="n"/>
      <c r="AW279" s="104" t="n"/>
      <c r="AX279" s="104" t="n"/>
      <c r="AY279" s="104" t="n"/>
      <c r="AZ279" s="104" t="n"/>
      <c r="BA279" s="104" t="n"/>
      <c r="BB279" s="104" t="n"/>
      <c r="BC279" s="104" t="n"/>
      <c r="BD279" s="104" t="n"/>
      <c r="BE279" s="104" t="n"/>
      <c r="BF279" s="104" t="n"/>
      <c r="BG279" s="104" t="n"/>
      <c r="BH279" s="104" t="n"/>
      <c r="BI279" s="104" t="n"/>
      <c r="BJ279" s="104" t="n"/>
      <c r="BK279" s="104" t="n"/>
      <c r="BL279" s="104" t="n"/>
      <c r="BM279" s="104" t="n"/>
      <c r="BN279" s="104" t="n"/>
      <c r="BO279" s="104" t="n"/>
      <c r="BP279" s="104" t="n"/>
      <c r="BQ279" s="104" t="n"/>
      <c r="BR279" s="104" t="n"/>
      <c r="BS279" s="104" t="n"/>
      <c r="BT279" s="104" t="n"/>
      <c r="BU279" s="104" t="n"/>
      <c r="BV279" s="104" t="n"/>
      <c r="BW279" s="104" t="n"/>
      <c r="BX279" s="104" t="n"/>
    </row>
    <row r="280">
      <c r="AC280" s="104" t="n"/>
      <c r="AD280" s="104" t="n"/>
      <c r="AE280" s="104" t="n"/>
      <c r="AF280" s="104" t="n"/>
      <c r="AG280" s="104" t="n"/>
      <c r="AH280" s="104" t="n"/>
      <c r="AI280" s="104" t="n"/>
      <c r="AJ280" s="104" t="n"/>
      <c r="AK280" s="104" t="n"/>
      <c r="AL280" s="104" t="n"/>
      <c r="AM280" s="104" t="n"/>
      <c r="AN280" s="104" t="n"/>
      <c r="AO280" s="104" t="n"/>
      <c r="AP280" s="104" t="n"/>
      <c r="AQ280" s="104" t="n"/>
      <c r="AR280" s="104" t="n"/>
      <c r="AS280" s="104" t="n"/>
      <c r="AT280" s="104" t="n"/>
      <c r="AU280" s="104" t="n"/>
      <c r="AV280" s="104" t="n"/>
      <c r="AW280" s="104" t="n"/>
      <c r="AX280" s="104" t="n"/>
      <c r="AY280" s="104" t="n"/>
      <c r="AZ280" s="104" t="n"/>
      <c r="BA280" s="104" t="n"/>
      <c r="BB280" s="104" t="n"/>
      <c r="BC280" s="104" t="n"/>
      <c r="BD280" s="104" t="n"/>
      <c r="BE280" s="104" t="n"/>
      <c r="BF280" s="104" t="n"/>
      <c r="BG280" s="104" t="n"/>
      <c r="BH280" s="104" t="n"/>
      <c r="BI280" s="104" t="n"/>
      <c r="BJ280" s="104" t="n"/>
      <c r="BK280" s="104" t="n"/>
      <c r="BL280" s="104" t="n"/>
      <c r="BM280" s="104" t="n"/>
      <c r="BN280" s="104" t="n"/>
      <c r="BO280" s="104" t="n"/>
      <c r="BP280" s="104" t="n"/>
      <c r="BQ280" s="104" t="n"/>
      <c r="BR280" s="104" t="n"/>
      <c r="BS280" s="104" t="n"/>
      <c r="BT280" s="104" t="n"/>
      <c r="BU280" s="104" t="n"/>
      <c r="BV280" s="104" t="n"/>
      <c r="BW280" s="104" t="n"/>
      <c r="BX280" s="104" t="n"/>
    </row>
    <row r="281">
      <c r="AC281" s="104" t="n"/>
      <c r="AD281" s="104" t="n"/>
      <c r="AE281" s="104" t="n"/>
      <c r="AF281" s="104" t="n"/>
      <c r="AG281" s="104" t="n"/>
      <c r="AH281" s="104" t="n"/>
      <c r="AI281" s="104" t="n"/>
      <c r="AJ281" s="104" t="n"/>
      <c r="AK281" s="104" t="n"/>
      <c r="AL281" s="104" t="n"/>
      <c r="AM281" s="104" t="n"/>
      <c r="AN281" s="104" t="n"/>
      <c r="AO281" s="104" t="n"/>
      <c r="AP281" s="104" t="n"/>
      <c r="AQ281" s="104" t="n"/>
      <c r="AR281" s="104" t="n"/>
      <c r="AS281" s="104" t="n"/>
      <c r="AT281" s="104" t="n"/>
      <c r="AU281" s="104" t="n"/>
      <c r="AV281" s="104" t="n"/>
      <c r="AW281" s="104" t="n"/>
      <c r="AX281" s="104" t="n"/>
      <c r="AY281" s="104" t="n"/>
      <c r="AZ281" s="104" t="n"/>
      <c r="BA281" s="104" t="n"/>
      <c r="BB281" s="104" t="n"/>
      <c r="BC281" s="104" t="n"/>
      <c r="BD281" s="104" t="n"/>
      <c r="BE281" s="104" t="n"/>
      <c r="BF281" s="104" t="n"/>
      <c r="BG281" s="104" t="n"/>
      <c r="BH281" s="104" t="n"/>
      <c r="BI281" s="104" t="n"/>
      <c r="BJ281" s="104" t="n"/>
      <c r="BK281" s="104" t="n"/>
      <c r="BL281" s="104" t="n"/>
      <c r="BM281" s="104" t="n"/>
      <c r="BN281" s="104" t="n"/>
      <c r="BO281" s="104" t="n"/>
      <c r="BP281" s="104" t="n"/>
      <c r="BQ281" s="104" t="n"/>
      <c r="BR281" s="104" t="n"/>
      <c r="BS281" s="104" t="n"/>
      <c r="BT281" s="104" t="n"/>
      <c r="BU281" s="104" t="n"/>
      <c r="BV281" s="104" t="n"/>
      <c r="BW281" s="104" t="n"/>
      <c r="BX281" s="104" t="n"/>
    </row>
    <row r="282">
      <c r="AC282" s="104" t="n"/>
      <c r="AD282" s="104" t="n"/>
      <c r="AE282" s="104" t="n"/>
      <c r="AF282" s="104" t="n"/>
      <c r="AG282" s="104" t="n"/>
      <c r="AH282" s="104" t="n"/>
      <c r="AI282" s="104" t="n"/>
      <c r="AJ282" s="104" t="n"/>
      <c r="AK282" s="104" t="n"/>
      <c r="AL282" s="104" t="n"/>
      <c r="AM282" s="104" t="n"/>
      <c r="AN282" s="104" t="n"/>
      <c r="AO282" s="104" t="n"/>
      <c r="AP282" s="104" t="n"/>
      <c r="AQ282" s="104" t="n"/>
      <c r="AR282" s="104" t="n"/>
      <c r="AS282" s="104" t="n"/>
      <c r="AT282" s="104" t="n"/>
      <c r="AU282" s="104" t="n"/>
      <c r="AV282" s="104" t="n"/>
      <c r="AW282" s="104" t="n"/>
      <c r="AX282" s="104" t="n"/>
      <c r="AY282" s="104" t="n"/>
      <c r="AZ282" s="104" t="n"/>
      <c r="BA282" s="104" t="n"/>
      <c r="BB282" s="104" t="n"/>
      <c r="BC282" s="104" t="n"/>
      <c r="BD282" s="104" t="n"/>
      <c r="BE282" s="104" t="n"/>
      <c r="BF282" s="104" t="n"/>
      <c r="BG282" s="104" t="n"/>
      <c r="BH282" s="104" t="n"/>
      <c r="BI282" s="104" t="n"/>
      <c r="BJ282" s="104" t="n"/>
      <c r="BK282" s="104" t="n"/>
      <c r="BL282" s="104" t="n"/>
      <c r="BM282" s="104" t="n"/>
      <c r="BN282" s="104" t="n"/>
      <c r="BO282" s="104" t="n"/>
      <c r="BP282" s="104" t="n"/>
      <c r="BQ282" s="104" t="n"/>
      <c r="BR282" s="104" t="n"/>
      <c r="BS282" s="104" t="n"/>
      <c r="BT282" s="104" t="n"/>
      <c r="BU282" s="104" t="n"/>
      <c r="BV282" s="104" t="n"/>
      <c r="BW282" s="104" t="n"/>
      <c r="BX282" s="104" t="n"/>
    </row>
    <row r="283">
      <c r="AC283" s="104" t="n"/>
      <c r="AD283" s="104" t="n"/>
      <c r="AE283" s="104" t="n"/>
      <c r="AF283" s="104" t="n"/>
      <c r="AG283" s="104" t="n"/>
      <c r="AH283" s="104" t="n"/>
      <c r="AI283" s="104" t="n"/>
      <c r="AJ283" s="104" t="n"/>
      <c r="AK283" s="104" t="n"/>
      <c r="AL283" s="104" t="n"/>
      <c r="AM283" s="104" t="n"/>
      <c r="AN283" s="104" t="n"/>
      <c r="AO283" s="104" t="n"/>
      <c r="AP283" s="104" t="n"/>
      <c r="AQ283" s="104" t="n"/>
      <c r="AR283" s="104" t="n"/>
      <c r="AS283" s="104" t="n"/>
      <c r="AT283" s="104" t="n"/>
      <c r="AU283" s="104" t="n"/>
      <c r="AV283" s="104" t="n"/>
      <c r="AW283" s="104" t="n"/>
      <c r="AX283" s="104" t="n"/>
      <c r="AY283" s="104" t="n"/>
      <c r="AZ283" s="104" t="n"/>
      <c r="BA283" s="104" t="n"/>
      <c r="BB283" s="104" t="n"/>
      <c r="BC283" s="104" t="n"/>
      <c r="BD283" s="104" t="n"/>
      <c r="BE283" s="104" t="n"/>
      <c r="BF283" s="104" t="n"/>
      <c r="BG283" s="104" t="n"/>
      <c r="BH283" s="104" t="n"/>
      <c r="BI283" s="104" t="n"/>
      <c r="BJ283" s="104" t="n"/>
      <c r="BK283" s="104" t="n"/>
      <c r="BL283" s="104" t="n"/>
      <c r="BM283" s="104" t="n"/>
      <c r="BN283" s="104" t="n"/>
      <c r="BO283" s="104" t="n"/>
      <c r="BP283" s="104" t="n"/>
      <c r="BQ283" s="104" t="n"/>
      <c r="BR283" s="104" t="n"/>
      <c r="BS283" s="104" t="n"/>
      <c r="BT283" s="104" t="n"/>
      <c r="BU283" s="104" t="n"/>
      <c r="BV283" s="104" t="n"/>
      <c r="BW283" s="104" t="n"/>
      <c r="BX283" s="104" t="n"/>
    </row>
    <row r="284">
      <c r="AC284" s="104" t="n"/>
      <c r="AD284" s="104" t="n"/>
      <c r="AE284" s="104" t="n"/>
      <c r="AF284" s="104" t="n"/>
      <c r="AG284" s="104" t="n"/>
      <c r="AH284" s="104" t="n"/>
      <c r="AI284" s="104" t="n"/>
      <c r="AJ284" s="104" t="n"/>
      <c r="AK284" s="104" t="n"/>
      <c r="AL284" s="104" t="n"/>
      <c r="AM284" s="104" t="n"/>
      <c r="AN284" s="104" t="n"/>
      <c r="AO284" s="104" t="n"/>
      <c r="AP284" s="104" t="n"/>
      <c r="AQ284" s="104" t="n"/>
      <c r="AR284" s="104" t="n"/>
      <c r="AS284" s="104" t="n"/>
      <c r="AT284" s="104" t="n"/>
      <c r="AU284" s="104" t="n"/>
      <c r="AV284" s="104" t="n"/>
      <c r="AW284" s="104" t="n"/>
      <c r="AX284" s="104" t="n"/>
      <c r="AY284" s="104" t="n"/>
      <c r="AZ284" s="104" t="n"/>
      <c r="BA284" s="104" t="n"/>
      <c r="BB284" s="104" t="n"/>
      <c r="BC284" s="104" t="n"/>
      <c r="BD284" s="104" t="n"/>
      <c r="BE284" s="104" t="n"/>
      <c r="BF284" s="104" t="n"/>
      <c r="BG284" s="104" t="n"/>
      <c r="BH284" s="104" t="n"/>
      <c r="BI284" s="104" t="n"/>
      <c r="BJ284" s="104" t="n"/>
      <c r="BK284" s="104" t="n"/>
      <c r="BL284" s="104" t="n"/>
      <c r="BM284" s="104" t="n"/>
      <c r="BN284" s="104" t="n"/>
      <c r="BO284" s="104" t="n"/>
      <c r="BP284" s="104" t="n"/>
      <c r="BQ284" s="104" t="n"/>
      <c r="BR284" s="104" t="n"/>
      <c r="BS284" s="104" t="n"/>
      <c r="BT284" s="104" t="n"/>
      <c r="BU284" s="104" t="n"/>
      <c r="BV284" s="104" t="n"/>
      <c r="BW284" s="104" t="n"/>
      <c r="BX284" s="104" t="n"/>
    </row>
    <row r="285">
      <c r="AC285" s="104" t="n"/>
      <c r="AD285" s="104" t="n"/>
      <c r="AE285" s="104" t="n"/>
      <c r="AF285" s="104" t="n"/>
      <c r="AG285" s="104" t="n"/>
      <c r="AH285" s="104" t="n"/>
      <c r="AI285" s="104" t="n"/>
      <c r="AJ285" s="104" t="n"/>
      <c r="AK285" s="104" t="n"/>
      <c r="AL285" s="104" t="n"/>
      <c r="AM285" s="104" t="n"/>
      <c r="AN285" s="104" t="n"/>
      <c r="AO285" s="104" t="n"/>
      <c r="AP285" s="104" t="n"/>
      <c r="AQ285" s="104" t="n"/>
      <c r="AR285" s="104" t="n"/>
      <c r="AS285" s="104" t="n"/>
      <c r="AT285" s="104" t="n"/>
      <c r="AU285" s="104" t="n"/>
      <c r="AV285" s="104" t="n"/>
      <c r="AW285" s="104" t="n"/>
      <c r="AX285" s="104" t="n"/>
      <c r="AY285" s="104" t="n"/>
      <c r="AZ285" s="104" t="n"/>
      <c r="BA285" s="104" t="n"/>
      <c r="BB285" s="104" t="n"/>
      <c r="BC285" s="104" t="n"/>
      <c r="BD285" s="104" t="n"/>
      <c r="BE285" s="104" t="n"/>
      <c r="BF285" s="104" t="n"/>
      <c r="BG285" s="104" t="n"/>
      <c r="BH285" s="104" t="n"/>
      <c r="BI285" s="104" t="n"/>
      <c r="BJ285" s="104" t="n"/>
      <c r="BK285" s="104" t="n"/>
      <c r="BL285" s="104" t="n"/>
      <c r="BM285" s="104" t="n"/>
      <c r="BN285" s="104" t="n"/>
      <c r="BO285" s="104" t="n"/>
      <c r="BP285" s="104" t="n"/>
      <c r="BQ285" s="104" t="n"/>
      <c r="BR285" s="104" t="n"/>
      <c r="BS285" s="104" t="n"/>
      <c r="BT285" s="104" t="n"/>
      <c r="BU285" s="104" t="n"/>
      <c r="BV285" s="104" t="n"/>
      <c r="BW285" s="104" t="n"/>
      <c r="BX285" s="104" t="n"/>
    </row>
    <row r="286">
      <c r="AC286" s="104" t="n"/>
      <c r="AD286" s="104" t="n"/>
      <c r="AE286" s="104" t="n"/>
      <c r="AF286" s="104" t="n"/>
      <c r="AG286" s="104" t="n"/>
      <c r="AH286" s="104" t="n"/>
      <c r="AI286" s="104" t="n"/>
      <c r="AJ286" s="104" t="n"/>
      <c r="AK286" s="104" t="n"/>
      <c r="AL286" s="104" t="n"/>
      <c r="AM286" s="104" t="n"/>
      <c r="AN286" s="104" t="n"/>
      <c r="AO286" s="104" t="n"/>
      <c r="AP286" s="104" t="n"/>
      <c r="AQ286" s="104" t="n"/>
      <c r="AR286" s="104" t="n"/>
      <c r="AS286" s="104" t="n"/>
      <c r="AT286" s="104" t="n"/>
      <c r="AU286" s="104" t="n"/>
      <c r="AV286" s="104" t="n"/>
      <c r="AW286" s="104" t="n"/>
      <c r="AX286" s="104" t="n"/>
      <c r="AY286" s="104" t="n"/>
      <c r="AZ286" s="104" t="n"/>
      <c r="BA286" s="104" t="n"/>
      <c r="BB286" s="104" t="n"/>
      <c r="BC286" s="104" t="n"/>
      <c r="BD286" s="104" t="n"/>
      <c r="BE286" s="104" t="n"/>
      <c r="BF286" s="104" t="n"/>
      <c r="BG286" s="104" t="n"/>
      <c r="BH286" s="104" t="n"/>
      <c r="BI286" s="104" t="n"/>
      <c r="BJ286" s="104" t="n"/>
      <c r="BK286" s="104" t="n"/>
      <c r="BL286" s="104" t="n"/>
      <c r="BM286" s="104" t="n"/>
      <c r="BN286" s="104" t="n"/>
      <c r="BO286" s="104" t="n"/>
      <c r="BP286" s="104" t="n"/>
      <c r="BQ286" s="104" t="n"/>
      <c r="BR286" s="104" t="n"/>
      <c r="BS286" s="104" t="n"/>
      <c r="BT286" s="104" t="n"/>
      <c r="BU286" s="104" t="n"/>
      <c r="BV286" s="104" t="n"/>
      <c r="BW286" s="104" t="n"/>
      <c r="BX286" s="104" t="n"/>
    </row>
    <row r="287">
      <c r="AC287" s="104" t="n"/>
      <c r="AD287" s="104" t="n"/>
      <c r="AE287" s="104" t="n"/>
      <c r="AF287" s="104" t="n"/>
      <c r="AG287" s="104" t="n"/>
      <c r="AH287" s="104" t="n"/>
      <c r="AI287" s="104" t="n"/>
      <c r="AJ287" s="104" t="n"/>
      <c r="AK287" s="104" t="n"/>
      <c r="AL287" s="104" t="n"/>
      <c r="AM287" s="104" t="n"/>
      <c r="AN287" s="104" t="n"/>
      <c r="AO287" s="104" t="n"/>
      <c r="AP287" s="104" t="n"/>
      <c r="AQ287" s="104" t="n"/>
      <c r="AR287" s="104" t="n"/>
      <c r="AS287" s="104" t="n"/>
      <c r="AT287" s="104" t="n"/>
      <c r="AU287" s="104" t="n"/>
      <c r="AV287" s="104" t="n"/>
      <c r="AW287" s="104" t="n"/>
      <c r="AX287" s="104" t="n"/>
      <c r="AY287" s="104" t="n"/>
      <c r="AZ287" s="104" t="n"/>
      <c r="BA287" s="104" t="n"/>
      <c r="BB287" s="104" t="n"/>
      <c r="BC287" s="104" t="n"/>
      <c r="BD287" s="104" t="n"/>
      <c r="BE287" s="104" t="n"/>
      <c r="BF287" s="104" t="n"/>
      <c r="BG287" s="104" t="n"/>
      <c r="BH287" s="104" t="n"/>
      <c r="BI287" s="104" t="n"/>
      <c r="BJ287" s="104" t="n"/>
      <c r="BK287" s="104" t="n"/>
      <c r="BL287" s="104" t="n"/>
      <c r="BM287" s="104" t="n"/>
      <c r="BN287" s="104" t="n"/>
      <c r="BO287" s="104" t="n"/>
      <c r="BP287" s="104" t="n"/>
      <c r="BQ287" s="104" t="n"/>
      <c r="BR287" s="104" t="n"/>
      <c r="BS287" s="104" t="n"/>
      <c r="BT287" s="104" t="n"/>
      <c r="BU287" s="104" t="n"/>
      <c r="BV287" s="104" t="n"/>
      <c r="BW287" s="104" t="n"/>
      <c r="BX287" s="104" t="n"/>
    </row>
    <row r="288">
      <c r="AC288" s="104" t="n"/>
      <c r="AD288" s="104" t="n"/>
      <c r="AE288" s="104" t="n"/>
      <c r="AF288" s="104" t="n"/>
      <c r="AG288" s="104" t="n"/>
      <c r="AH288" s="104" t="n"/>
      <c r="AI288" s="104" t="n"/>
      <c r="AJ288" s="104" t="n"/>
      <c r="AK288" s="104" t="n"/>
      <c r="AL288" s="104" t="n"/>
      <c r="AM288" s="104" t="n"/>
      <c r="AN288" s="104" t="n"/>
      <c r="AO288" s="104" t="n"/>
      <c r="AP288" s="104" t="n"/>
      <c r="AQ288" s="104" t="n"/>
      <c r="AR288" s="104" t="n"/>
      <c r="AS288" s="104" t="n"/>
      <c r="AT288" s="104" t="n"/>
      <c r="AU288" s="104" t="n"/>
      <c r="AV288" s="104" t="n"/>
      <c r="AW288" s="104" t="n"/>
      <c r="AX288" s="104" t="n"/>
      <c r="AY288" s="104" t="n"/>
      <c r="AZ288" s="104" t="n"/>
      <c r="BA288" s="104" t="n"/>
      <c r="BB288" s="104" t="n"/>
      <c r="BC288" s="104" t="n"/>
      <c r="BD288" s="104" t="n"/>
      <c r="BE288" s="104" t="n"/>
      <c r="BF288" s="104" t="n"/>
      <c r="BG288" s="104" t="n"/>
      <c r="BH288" s="104" t="n"/>
      <c r="BI288" s="104" t="n"/>
      <c r="BJ288" s="104" t="n"/>
      <c r="BK288" s="104" t="n"/>
      <c r="BL288" s="104" t="n"/>
      <c r="BM288" s="104" t="n"/>
      <c r="BN288" s="104" t="n"/>
      <c r="BO288" s="104" t="n"/>
      <c r="BP288" s="104" t="n"/>
      <c r="BQ288" s="104" t="n"/>
      <c r="BR288" s="104" t="n"/>
      <c r="BS288" s="104" t="n"/>
      <c r="BT288" s="104" t="n"/>
      <c r="BU288" s="104" t="n"/>
      <c r="BV288" s="104" t="n"/>
      <c r="BW288" s="104" t="n"/>
      <c r="BX288" s="104" t="n"/>
    </row>
    <row r="289">
      <c r="AC289" s="104" t="n"/>
      <c r="AD289" s="104" t="n"/>
      <c r="AE289" s="104" t="n"/>
      <c r="AF289" s="104" t="n"/>
      <c r="AG289" s="104" t="n"/>
      <c r="AH289" s="104" t="n"/>
      <c r="AI289" s="104" t="n"/>
      <c r="AJ289" s="104" t="n"/>
      <c r="AK289" s="104" t="n"/>
      <c r="AL289" s="104" t="n"/>
      <c r="AM289" s="104" t="n"/>
      <c r="AN289" s="104" t="n"/>
      <c r="AO289" s="104" t="n"/>
      <c r="AP289" s="104" t="n"/>
      <c r="AQ289" s="104" t="n"/>
      <c r="AR289" s="104" t="n"/>
      <c r="AS289" s="104" t="n"/>
      <c r="AT289" s="104" t="n"/>
      <c r="AU289" s="104" t="n"/>
      <c r="AV289" s="104" t="n"/>
      <c r="AW289" s="104" t="n"/>
      <c r="AX289" s="104" t="n"/>
      <c r="AY289" s="104" t="n"/>
      <c r="AZ289" s="104" t="n"/>
      <c r="BA289" s="104" t="n"/>
      <c r="BB289" s="104" t="n"/>
      <c r="BC289" s="104" t="n"/>
      <c r="BD289" s="104" t="n"/>
      <c r="BE289" s="104" t="n"/>
      <c r="BF289" s="104" t="n"/>
      <c r="BG289" s="104" t="n"/>
      <c r="BH289" s="104" t="n"/>
      <c r="BI289" s="104" t="n"/>
      <c r="BJ289" s="104" t="n"/>
      <c r="BK289" s="104" t="n"/>
      <c r="BL289" s="104" t="n"/>
      <c r="BM289" s="104" t="n"/>
      <c r="BN289" s="104" t="n"/>
      <c r="BO289" s="104" t="n"/>
      <c r="BP289" s="104" t="n"/>
      <c r="BQ289" s="104" t="n"/>
      <c r="BR289" s="104" t="n"/>
      <c r="BS289" s="104" t="n"/>
      <c r="BT289" s="104" t="n"/>
      <c r="BU289" s="104" t="n"/>
      <c r="BV289" s="104" t="n"/>
      <c r="BW289" s="104" t="n"/>
      <c r="BX289" s="104" t="n"/>
    </row>
    <row r="290">
      <c r="AC290" s="104" t="n"/>
      <c r="AD290" s="104" t="n"/>
      <c r="AE290" s="104" t="n"/>
      <c r="AF290" s="104" t="n"/>
      <c r="AG290" s="104" t="n"/>
      <c r="AH290" s="104" t="n"/>
      <c r="AI290" s="104" t="n"/>
      <c r="AJ290" s="104" t="n"/>
      <c r="AK290" s="104" t="n"/>
      <c r="AL290" s="104" t="n"/>
      <c r="AM290" s="104" t="n"/>
      <c r="AN290" s="104" t="n"/>
      <c r="AO290" s="104" t="n"/>
      <c r="AP290" s="104" t="n"/>
      <c r="AQ290" s="104" t="n"/>
      <c r="AR290" s="104" t="n"/>
      <c r="AS290" s="104" t="n"/>
      <c r="AT290" s="104" t="n"/>
      <c r="AU290" s="104" t="n"/>
      <c r="AV290" s="104" t="n"/>
      <c r="AW290" s="104" t="n"/>
      <c r="AX290" s="104" t="n"/>
      <c r="AY290" s="104" t="n"/>
      <c r="AZ290" s="104" t="n"/>
      <c r="BA290" s="104" t="n"/>
      <c r="BB290" s="104" t="n"/>
      <c r="BC290" s="104" t="n"/>
      <c r="BD290" s="104" t="n"/>
      <c r="BE290" s="104" t="n"/>
      <c r="BF290" s="104" t="n"/>
      <c r="BG290" s="104" t="n"/>
      <c r="BH290" s="104" t="n"/>
      <c r="BI290" s="104" t="n"/>
      <c r="BJ290" s="104" t="n"/>
      <c r="BK290" s="104" t="n"/>
      <c r="BL290" s="104" t="n"/>
      <c r="BM290" s="104" t="n"/>
      <c r="BN290" s="104" t="n"/>
      <c r="BO290" s="104" t="n"/>
      <c r="BP290" s="104" t="n"/>
      <c r="BQ290" s="104" t="n"/>
      <c r="BR290" s="104" t="n"/>
      <c r="BS290" s="104" t="n"/>
      <c r="BT290" s="104" t="n"/>
      <c r="BU290" s="104" t="n"/>
      <c r="BV290" s="104" t="n"/>
      <c r="BW290" s="104" t="n"/>
      <c r="BX290" s="104" t="n"/>
    </row>
    <row r="291">
      <c r="AC291" s="104" t="n"/>
      <c r="AD291" s="104" t="n"/>
      <c r="AE291" s="104" t="n"/>
      <c r="AF291" s="104" t="n"/>
      <c r="AG291" s="104" t="n"/>
      <c r="AH291" s="104" t="n"/>
      <c r="AI291" s="104" t="n"/>
      <c r="AJ291" s="104" t="n"/>
      <c r="AK291" s="104" t="n"/>
      <c r="AL291" s="104" t="n"/>
      <c r="AM291" s="104" t="n"/>
      <c r="AN291" s="104" t="n"/>
      <c r="AO291" s="104" t="n"/>
      <c r="AP291" s="104" t="n"/>
      <c r="AQ291" s="104" t="n"/>
      <c r="AR291" s="104" t="n"/>
      <c r="AS291" s="104" t="n"/>
      <c r="AT291" s="104" t="n"/>
      <c r="AU291" s="104" t="n"/>
      <c r="AV291" s="104" t="n"/>
      <c r="AW291" s="104" t="n"/>
      <c r="AX291" s="104" t="n"/>
      <c r="AY291" s="104" t="n"/>
      <c r="AZ291" s="104" t="n"/>
      <c r="BA291" s="104" t="n"/>
      <c r="BB291" s="104" t="n"/>
      <c r="BC291" s="104" t="n"/>
      <c r="BD291" s="104" t="n"/>
      <c r="BE291" s="104" t="n"/>
      <c r="BF291" s="104" t="n"/>
      <c r="BG291" s="104" t="n"/>
      <c r="BH291" s="104" t="n"/>
      <c r="BI291" s="104" t="n"/>
      <c r="BJ291" s="104" t="n"/>
      <c r="BK291" s="104" t="n"/>
      <c r="BL291" s="104" t="n"/>
      <c r="BM291" s="104" t="n"/>
      <c r="BN291" s="104" t="n"/>
      <c r="BO291" s="104" t="n"/>
      <c r="BP291" s="104" t="n"/>
      <c r="BQ291" s="104" t="n"/>
      <c r="BR291" s="104" t="n"/>
      <c r="BS291" s="104" t="n"/>
      <c r="BT291" s="104" t="n"/>
      <c r="BU291" s="104" t="n"/>
      <c r="BV291" s="104" t="n"/>
      <c r="BW291" s="104" t="n"/>
      <c r="BX291" s="104" t="n"/>
    </row>
    <row r="292">
      <c r="AC292" s="104" t="n"/>
      <c r="AD292" s="104" t="n"/>
      <c r="AE292" s="104" t="n"/>
      <c r="AF292" s="104" t="n"/>
      <c r="AG292" s="104" t="n"/>
      <c r="AH292" s="104" t="n"/>
      <c r="AI292" s="104" t="n"/>
      <c r="AJ292" s="104" t="n"/>
      <c r="AK292" s="104" t="n"/>
      <c r="AL292" s="104" t="n"/>
      <c r="AM292" s="104" t="n"/>
      <c r="AN292" s="104" t="n"/>
      <c r="AO292" s="104" t="n"/>
      <c r="AP292" s="104" t="n"/>
      <c r="AQ292" s="104" t="n"/>
      <c r="AR292" s="104" t="n"/>
      <c r="AS292" s="104" t="n"/>
      <c r="AT292" s="104" t="n"/>
      <c r="AU292" s="104" t="n"/>
      <c r="AV292" s="104" t="n"/>
      <c r="AW292" s="104" t="n"/>
      <c r="AX292" s="104" t="n"/>
      <c r="AY292" s="104" t="n"/>
      <c r="AZ292" s="104" t="n"/>
      <c r="BA292" s="104" t="n"/>
      <c r="BB292" s="104" t="n"/>
      <c r="BC292" s="104" t="n"/>
      <c r="BD292" s="104" t="n"/>
      <c r="BE292" s="104" t="n"/>
      <c r="BF292" s="104" t="n"/>
      <c r="BG292" s="104" t="n"/>
      <c r="BH292" s="104" t="n"/>
      <c r="BI292" s="104" t="n"/>
      <c r="BJ292" s="104" t="n"/>
      <c r="BK292" s="104" t="n"/>
      <c r="BL292" s="104" t="n"/>
      <c r="BM292" s="104" t="n"/>
      <c r="BN292" s="104" t="n"/>
      <c r="BO292" s="104" t="n"/>
      <c r="BP292" s="104" t="n"/>
      <c r="BQ292" s="104" t="n"/>
      <c r="BR292" s="104" t="n"/>
      <c r="BS292" s="104" t="n"/>
      <c r="BT292" s="104" t="n"/>
      <c r="BU292" s="104" t="n"/>
      <c r="BV292" s="104" t="n"/>
      <c r="BW292" s="104" t="n"/>
      <c r="BX292" s="104" t="n"/>
    </row>
    <row r="293">
      <c r="AC293" s="104" t="n"/>
      <c r="AD293" s="104" t="n"/>
      <c r="AE293" s="104" t="n"/>
      <c r="AF293" s="104" t="n"/>
      <c r="AG293" s="104" t="n"/>
      <c r="AH293" s="104" t="n"/>
      <c r="AI293" s="104" t="n"/>
      <c r="AJ293" s="104" t="n"/>
      <c r="AK293" s="104" t="n"/>
      <c r="AL293" s="104" t="n"/>
      <c r="AM293" s="104" t="n"/>
      <c r="AN293" s="104" t="n"/>
      <c r="AO293" s="104" t="n"/>
      <c r="AP293" s="104" t="n"/>
      <c r="AQ293" s="104" t="n"/>
      <c r="AR293" s="104" t="n"/>
      <c r="AS293" s="104" t="n"/>
      <c r="AT293" s="104" t="n"/>
      <c r="AU293" s="104" t="n"/>
      <c r="AV293" s="104" t="n"/>
      <c r="AW293" s="104" t="n"/>
      <c r="AX293" s="104" t="n"/>
      <c r="AY293" s="104" t="n"/>
      <c r="AZ293" s="104" t="n"/>
      <c r="BA293" s="104" t="n"/>
      <c r="BB293" s="104" t="n"/>
      <c r="BC293" s="104" t="n"/>
      <c r="BD293" s="104" t="n"/>
      <c r="BE293" s="104" t="n"/>
      <c r="BF293" s="104" t="n"/>
      <c r="BG293" s="104" t="n"/>
      <c r="BH293" s="104" t="n"/>
      <c r="BI293" s="104" t="n"/>
      <c r="BJ293" s="104" t="n"/>
      <c r="BK293" s="104" t="n"/>
      <c r="BL293" s="104" t="n"/>
      <c r="BM293" s="104" t="n"/>
      <c r="BN293" s="104" t="n"/>
      <c r="BO293" s="104" t="n"/>
      <c r="BP293" s="104" t="n"/>
      <c r="BQ293" s="104" t="n"/>
      <c r="BR293" s="104" t="n"/>
      <c r="BS293" s="104" t="n"/>
      <c r="BT293" s="104" t="n"/>
      <c r="BU293" s="104" t="n"/>
      <c r="BV293" s="104" t="n"/>
      <c r="BW293" s="104" t="n"/>
      <c r="BX293" s="104" t="n"/>
    </row>
    <row r="294">
      <c r="AC294" s="104" t="n"/>
      <c r="AD294" s="104" t="n"/>
      <c r="AE294" s="104" t="n"/>
      <c r="AF294" s="104" t="n"/>
      <c r="AG294" s="104" t="n"/>
      <c r="AH294" s="104" t="n"/>
      <c r="AI294" s="104" t="n"/>
      <c r="AJ294" s="104" t="n"/>
      <c r="AK294" s="104" t="n"/>
      <c r="AL294" s="104" t="n"/>
      <c r="AM294" s="104" t="n"/>
      <c r="AN294" s="104" t="n"/>
      <c r="AO294" s="104" t="n"/>
      <c r="AP294" s="104" t="n"/>
      <c r="AQ294" s="104" t="n"/>
      <c r="AR294" s="104" t="n"/>
      <c r="AS294" s="104" t="n"/>
      <c r="AT294" s="104" t="n"/>
      <c r="AU294" s="104" t="n"/>
      <c r="AV294" s="104" t="n"/>
      <c r="AW294" s="104" t="n"/>
      <c r="AX294" s="104" t="n"/>
      <c r="AY294" s="104" t="n"/>
      <c r="AZ294" s="104" t="n"/>
      <c r="BA294" s="104" t="n"/>
      <c r="BB294" s="104" t="n"/>
      <c r="BC294" s="104" t="n"/>
      <c r="BD294" s="104" t="n"/>
      <c r="BE294" s="104" t="n"/>
      <c r="BF294" s="104" t="n"/>
      <c r="BG294" s="104" t="n"/>
      <c r="BH294" s="104" t="n"/>
      <c r="BI294" s="104" t="n"/>
      <c r="BJ294" s="104" t="n"/>
      <c r="BK294" s="104" t="n"/>
      <c r="BL294" s="104" t="n"/>
      <c r="BM294" s="104" t="n"/>
      <c r="BN294" s="104" t="n"/>
      <c r="BO294" s="104" t="n"/>
      <c r="BP294" s="104" t="n"/>
      <c r="BQ294" s="104" t="n"/>
      <c r="BR294" s="104" t="n"/>
      <c r="BS294" s="104" t="n"/>
      <c r="BT294" s="104" t="n"/>
      <c r="BU294" s="104" t="n"/>
      <c r="BV294" s="104" t="n"/>
      <c r="BW294" s="104" t="n"/>
      <c r="BX294" s="104" t="n"/>
    </row>
    <row r="295">
      <c r="AC295" s="104" t="n"/>
      <c r="AD295" s="104" t="n"/>
      <c r="AE295" s="104" t="n"/>
      <c r="AF295" s="104" t="n"/>
      <c r="AG295" s="104" t="n"/>
      <c r="AH295" s="104" t="n"/>
      <c r="AI295" s="104" t="n"/>
      <c r="AJ295" s="104" t="n"/>
      <c r="AK295" s="104" t="n"/>
      <c r="AL295" s="104" t="n"/>
      <c r="AM295" s="104" t="n"/>
      <c r="AN295" s="104" t="n"/>
      <c r="AO295" s="104" t="n"/>
      <c r="AP295" s="104" t="n"/>
      <c r="AQ295" s="104" t="n"/>
      <c r="AR295" s="104" t="n"/>
      <c r="AS295" s="104" t="n"/>
      <c r="AT295" s="104" t="n"/>
      <c r="AU295" s="104" t="n"/>
      <c r="AV295" s="104" t="n"/>
      <c r="AW295" s="104" t="n"/>
      <c r="AX295" s="104" t="n"/>
      <c r="AY295" s="104" t="n"/>
      <c r="AZ295" s="104" t="n"/>
      <c r="BA295" s="104" t="n"/>
      <c r="BB295" s="104" t="n"/>
      <c r="BC295" s="104" t="n"/>
      <c r="BD295" s="104" t="n"/>
      <c r="BE295" s="104" t="n"/>
      <c r="BF295" s="104" t="n"/>
      <c r="BG295" s="104" t="n"/>
      <c r="BH295" s="104" t="n"/>
      <c r="BI295" s="104" t="n"/>
      <c r="BJ295" s="104" t="n"/>
      <c r="BK295" s="104" t="n"/>
      <c r="BL295" s="104" t="n"/>
      <c r="BM295" s="104" t="n"/>
      <c r="BN295" s="104" t="n"/>
      <c r="BO295" s="104" t="n"/>
      <c r="BP295" s="104" t="n"/>
      <c r="BQ295" s="104" t="n"/>
      <c r="BR295" s="104" t="n"/>
      <c r="BS295" s="104" t="n"/>
      <c r="BT295" s="104" t="n"/>
      <c r="BU295" s="104" t="n"/>
      <c r="BV295" s="104" t="n"/>
      <c r="BW295" s="104" t="n"/>
      <c r="BX295" s="104" t="n"/>
    </row>
    <row r="296">
      <c r="AC296" s="104" t="n"/>
      <c r="AD296" s="104" t="n"/>
      <c r="AE296" s="104" t="n"/>
      <c r="AF296" s="104" t="n"/>
      <c r="AG296" s="104" t="n"/>
      <c r="AH296" s="104" t="n"/>
      <c r="AI296" s="104" t="n"/>
      <c r="AJ296" s="104" t="n"/>
      <c r="AK296" s="104" t="n"/>
      <c r="AL296" s="104" t="n"/>
      <c r="AM296" s="104" t="n"/>
      <c r="AN296" s="104" t="n"/>
      <c r="AO296" s="104" t="n"/>
      <c r="AP296" s="104" t="n"/>
      <c r="AQ296" s="104" t="n"/>
      <c r="AR296" s="104" t="n"/>
      <c r="AS296" s="104" t="n"/>
      <c r="AT296" s="104" t="n"/>
      <c r="AU296" s="104" t="n"/>
      <c r="AV296" s="104" t="n"/>
      <c r="AW296" s="104" t="n"/>
      <c r="AX296" s="104" t="n"/>
      <c r="AY296" s="104" t="n"/>
      <c r="AZ296" s="104" t="n"/>
      <c r="BA296" s="104" t="n"/>
      <c r="BB296" s="104" t="n"/>
      <c r="BC296" s="104" t="n"/>
      <c r="BD296" s="104" t="n"/>
      <c r="BE296" s="104" t="n"/>
      <c r="BF296" s="104" t="n"/>
      <c r="BG296" s="104" t="n"/>
      <c r="BH296" s="104" t="n"/>
      <c r="BI296" s="104" t="n"/>
      <c r="BJ296" s="104" t="n"/>
      <c r="BK296" s="104" t="n"/>
      <c r="BL296" s="104" t="n"/>
      <c r="BM296" s="104" t="n"/>
      <c r="BN296" s="104" t="n"/>
      <c r="BO296" s="104" t="n"/>
      <c r="BP296" s="104" t="n"/>
      <c r="BQ296" s="104" t="n"/>
      <c r="BR296" s="104" t="n"/>
      <c r="BS296" s="104" t="n"/>
      <c r="BT296" s="104" t="n"/>
      <c r="BU296" s="104" t="n"/>
      <c r="BV296" s="104" t="n"/>
      <c r="BW296" s="104" t="n"/>
      <c r="BX296" s="104" t="n"/>
    </row>
    <row r="297">
      <c r="AC297" s="104" t="n"/>
      <c r="AD297" s="104" t="n"/>
      <c r="AE297" s="104" t="n"/>
      <c r="AF297" s="104" t="n"/>
      <c r="AG297" s="104" t="n"/>
      <c r="AH297" s="104" t="n"/>
      <c r="AI297" s="104" t="n"/>
      <c r="AJ297" s="104" t="n"/>
      <c r="AK297" s="104" t="n"/>
      <c r="AL297" s="104" t="n"/>
      <c r="AM297" s="104" t="n"/>
      <c r="AN297" s="104" t="n"/>
      <c r="AO297" s="104" t="n"/>
      <c r="AP297" s="104" t="n"/>
      <c r="AQ297" s="104" t="n"/>
      <c r="AR297" s="104" t="n"/>
      <c r="AS297" s="104" t="n"/>
      <c r="AT297" s="104" t="n"/>
      <c r="AU297" s="104" t="n"/>
      <c r="AV297" s="104" t="n"/>
      <c r="AW297" s="104" t="n"/>
      <c r="AX297" s="104" t="n"/>
      <c r="AY297" s="104" t="n"/>
      <c r="AZ297" s="104" t="n"/>
      <c r="BA297" s="104" t="n"/>
      <c r="BB297" s="104" t="n"/>
      <c r="BC297" s="104" t="n"/>
      <c r="BD297" s="104" t="n"/>
      <c r="BE297" s="104" t="n"/>
      <c r="BF297" s="104" t="n"/>
      <c r="BG297" s="104" t="n"/>
      <c r="BH297" s="104" t="n"/>
      <c r="BI297" s="104" t="n"/>
      <c r="BJ297" s="104" t="n"/>
      <c r="BK297" s="104" t="n"/>
      <c r="BL297" s="104" t="n"/>
      <c r="BM297" s="104" t="n"/>
      <c r="BN297" s="104" t="n"/>
      <c r="BO297" s="104" t="n"/>
      <c r="BP297" s="104" t="n"/>
      <c r="BQ297" s="104" t="n"/>
      <c r="BR297" s="104" t="n"/>
      <c r="BS297" s="104" t="n"/>
      <c r="BT297" s="104" t="n"/>
      <c r="BU297" s="104" t="n"/>
      <c r="BV297" s="104" t="n"/>
      <c r="BW297" s="104" t="n"/>
      <c r="BX297" s="104" t="n"/>
    </row>
    <row r="298">
      <c r="AC298" s="104" t="n"/>
      <c r="AD298" s="104" t="n"/>
      <c r="AE298" s="104" t="n"/>
      <c r="AF298" s="104" t="n"/>
      <c r="AG298" s="104" t="n"/>
      <c r="AH298" s="104" t="n"/>
      <c r="AI298" s="104" t="n"/>
      <c r="AJ298" s="104" t="n"/>
      <c r="AK298" s="104" t="n"/>
      <c r="AL298" s="104" t="n"/>
      <c r="AM298" s="104" t="n"/>
      <c r="AN298" s="104" t="n"/>
      <c r="AO298" s="104" t="n"/>
      <c r="AP298" s="104" t="n"/>
      <c r="AQ298" s="104" t="n"/>
      <c r="AR298" s="104" t="n"/>
      <c r="AS298" s="104" t="n"/>
      <c r="AT298" s="104" t="n"/>
      <c r="AU298" s="104" t="n"/>
      <c r="AV298" s="104" t="n"/>
      <c r="AW298" s="104" t="n"/>
      <c r="AX298" s="104" t="n"/>
      <c r="AY298" s="104" t="n"/>
      <c r="AZ298" s="104" t="n"/>
      <c r="BA298" s="104" t="n"/>
      <c r="BB298" s="104" t="n"/>
      <c r="BC298" s="104" t="n"/>
      <c r="BD298" s="104" t="n"/>
      <c r="BE298" s="104" t="n"/>
      <c r="BF298" s="104" t="n"/>
      <c r="BG298" s="104" t="n"/>
      <c r="BH298" s="104" t="n"/>
      <c r="BI298" s="104" t="n"/>
      <c r="BJ298" s="104" t="n"/>
      <c r="BK298" s="104" t="n"/>
      <c r="BL298" s="104" t="n"/>
      <c r="BM298" s="104" t="n"/>
      <c r="BN298" s="104" t="n"/>
      <c r="BO298" s="104" t="n"/>
      <c r="BP298" s="104" t="n"/>
      <c r="BQ298" s="104" t="n"/>
      <c r="BR298" s="104" t="n"/>
      <c r="BS298" s="104" t="n"/>
      <c r="BT298" s="104" t="n"/>
      <c r="BU298" s="104" t="n"/>
      <c r="BV298" s="104" t="n"/>
      <c r="BW298" s="104" t="n"/>
      <c r="BX298" s="104" t="n"/>
    </row>
    <row r="299">
      <c r="AC299" s="104" t="n"/>
      <c r="AD299" s="104" t="n"/>
      <c r="AE299" s="104" t="n"/>
      <c r="AF299" s="104" t="n"/>
      <c r="AG299" s="104" t="n"/>
      <c r="AH299" s="104" t="n"/>
      <c r="AI299" s="104" t="n"/>
      <c r="AJ299" s="104" t="n"/>
      <c r="AK299" s="104" t="n"/>
      <c r="AL299" s="104" t="n"/>
      <c r="AM299" s="104" t="n"/>
      <c r="AN299" s="104" t="n"/>
      <c r="AO299" s="104" t="n"/>
      <c r="AP299" s="104" t="n"/>
      <c r="AQ299" s="104" t="n"/>
      <c r="AR299" s="104" t="n"/>
      <c r="AS299" s="104" t="n"/>
      <c r="AT299" s="104" t="n"/>
      <c r="AU299" s="104" t="n"/>
      <c r="AV299" s="104" t="n"/>
      <c r="AW299" s="104" t="n"/>
      <c r="AX299" s="104" t="n"/>
      <c r="AY299" s="104" t="n"/>
      <c r="AZ299" s="104" t="n"/>
      <c r="BA299" s="104" t="n"/>
      <c r="BB299" s="104" t="n"/>
      <c r="BC299" s="104" t="n"/>
      <c r="BD299" s="104" t="n"/>
      <c r="BE299" s="104" t="n"/>
      <c r="BF299" s="104" t="n"/>
      <c r="BG299" s="104" t="n"/>
      <c r="BH299" s="104" t="n"/>
      <c r="BI299" s="104" t="n"/>
      <c r="BJ299" s="104" t="n"/>
      <c r="BK299" s="104" t="n"/>
      <c r="BL299" s="104" t="n"/>
      <c r="BM299" s="104" t="n"/>
      <c r="BN299" s="104" t="n"/>
      <c r="BO299" s="104" t="n"/>
      <c r="BP299" s="104" t="n"/>
      <c r="BQ299" s="104" t="n"/>
      <c r="BR299" s="104" t="n"/>
      <c r="BS299" s="104" t="n"/>
      <c r="BT299" s="104" t="n"/>
      <c r="BU299" s="104" t="n"/>
      <c r="BV299" s="104" t="n"/>
      <c r="BW299" s="104" t="n"/>
      <c r="BX299" s="104" t="n"/>
    </row>
    <row r="300">
      <c r="AC300" s="104" t="n"/>
      <c r="AD300" s="104" t="n"/>
      <c r="AE300" s="104" t="n"/>
      <c r="AF300" s="104" t="n"/>
      <c r="AG300" s="104" t="n"/>
      <c r="AH300" s="104" t="n"/>
      <c r="AI300" s="104" t="n"/>
      <c r="AJ300" s="104" t="n"/>
      <c r="AK300" s="104" t="n"/>
      <c r="AL300" s="104" t="n"/>
      <c r="AM300" s="104" t="n"/>
      <c r="AN300" s="104" t="n"/>
      <c r="AO300" s="104" t="n"/>
      <c r="AP300" s="104" t="n"/>
      <c r="AQ300" s="104" t="n"/>
      <c r="AR300" s="104" t="n"/>
      <c r="AS300" s="104" t="n"/>
      <c r="AT300" s="104" t="n"/>
      <c r="AU300" s="104" t="n"/>
      <c r="AV300" s="104" t="n"/>
      <c r="AW300" s="104" t="n"/>
      <c r="AX300" s="104" t="n"/>
      <c r="AY300" s="104" t="n"/>
      <c r="AZ300" s="104" t="n"/>
      <c r="BA300" s="104" t="n"/>
      <c r="BB300" s="104" t="n"/>
      <c r="BC300" s="104" t="n"/>
      <c r="BD300" s="104" t="n"/>
      <c r="BE300" s="104" t="n"/>
      <c r="BF300" s="104" t="n"/>
      <c r="BG300" s="104" t="n"/>
      <c r="BH300" s="104" t="n"/>
      <c r="BI300" s="104" t="n"/>
      <c r="BJ300" s="104" t="n"/>
      <c r="BK300" s="104" t="n"/>
      <c r="BL300" s="104" t="n"/>
      <c r="BM300" s="104" t="n"/>
      <c r="BN300" s="104" t="n"/>
      <c r="BO300" s="104" t="n"/>
      <c r="BP300" s="104" t="n"/>
      <c r="BQ300" s="104" t="n"/>
      <c r="BR300" s="104" t="n"/>
      <c r="BS300" s="104" t="n"/>
      <c r="BT300" s="104" t="n"/>
      <c r="BU300" s="104" t="n"/>
      <c r="BV300" s="104" t="n"/>
      <c r="BW300" s="104" t="n"/>
      <c r="BX300" s="104" t="n"/>
    </row>
    <row r="301">
      <c r="AC301" s="104" t="n"/>
      <c r="AD301" s="104" t="n"/>
      <c r="AE301" s="104" t="n"/>
      <c r="AF301" s="104" t="n"/>
      <c r="AG301" s="104" t="n"/>
      <c r="AH301" s="104" t="n"/>
      <c r="AI301" s="104" t="n"/>
      <c r="AJ301" s="104" t="n"/>
      <c r="AK301" s="104" t="n"/>
      <c r="AL301" s="104" t="n"/>
      <c r="AM301" s="104" t="n"/>
      <c r="AN301" s="104" t="n"/>
      <c r="AO301" s="104" t="n"/>
      <c r="AP301" s="104" t="n"/>
      <c r="AQ301" s="104" t="n"/>
      <c r="AR301" s="104" t="n"/>
      <c r="AS301" s="104" t="n"/>
      <c r="AT301" s="104" t="n"/>
      <c r="AU301" s="104" t="n"/>
      <c r="AV301" s="104" t="n"/>
      <c r="AW301" s="104" t="n"/>
      <c r="AX301" s="104" t="n"/>
      <c r="AY301" s="104" t="n"/>
      <c r="AZ301" s="104" t="n"/>
      <c r="BA301" s="104" t="n"/>
      <c r="BB301" s="104" t="n"/>
      <c r="BC301" s="104" t="n"/>
      <c r="BD301" s="104" t="n"/>
      <c r="BE301" s="104" t="n"/>
      <c r="BF301" s="104" t="n"/>
      <c r="BG301" s="104" t="n"/>
      <c r="BH301" s="104" t="n"/>
      <c r="BI301" s="104" t="n"/>
      <c r="BJ301" s="104" t="n"/>
      <c r="BK301" s="104" t="n"/>
      <c r="BL301" s="104" t="n"/>
      <c r="BM301" s="104" t="n"/>
      <c r="BN301" s="104" t="n"/>
      <c r="BO301" s="104" t="n"/>
      <c r="BP301" s="104" t="n"/>
      <c r="BQ301" s="104" t="n"/>
      <c r="BR301" s="104" t="n"/>
      <c r="BS301" s="104" t="n"/>
      <c r="BT301" s="104" t="n"/>
      <c r="BU301" s="104" t="n"/>
      <c r="BV301" s="104" t="n"/>
      <c r="BW301" s="104" t="n"/>
      <c r="BX301" s="104" t="n"/>
    </row>
    <row r="302">
      <c r="AC302" s="104" t="n"/>
      <c r="AD302" s="104" t="n"/>
      <c r="AE302" s="104" t="n"/>
      <c r="AF302" s="104" t="n"/>
      <c r="AG302" s="104" t="n"/>
      <c r="AH302" s="104" t="n"/>
      <c r="AI302" s="104" t="n"/>
      <c r="AJ302" s="104" t="n"/>
      <c r="AK302" s="104" t="n"/>
      <c r="AL302" s="104" t="n"/>
      <c r="AM302" s="104" t="n"/>
      <c r="AN302" s="104" t="n"/>
      <c r="AO302" s="104" t="n"/>
      <c r="AP302" s="104" t="n"/>
      <c r="AQ302" s="104" t="n"/>
      <c r="AR302" s="104" t="n"/>
      <c r="AS302" s="104" t="n"/>
      <c r="AT302" s="104" t="n"/>
      <c r="AU302" s="104" t="n"/>
      <c r="AV302" s="104" t="n"/>
      <c r="AW302" s="104" t="n"/>
      <c r="AX302" s="104" t="n"/>
      <c r="AY302" s="104" t="n"/>
      <c r="AZ302" s="104" t="n"/>
      <c r="BA302" s="104" t="n"/>
      <c r="BB302" s="104" t="n"/>
      <c r="BC302" s="104" t="n"/>
      <c r="BD302" s="104" t="n"/>
      <c r="BE302" s="104" t="n"/>
      <c r="BF302" s="104" t="n"/>
      <c r="BG302" s="104" t="n"/>
      <c r="BH302" s="104" t="n"/>
      <c r="BI302" s="104" t="n"/>
      <c r="BJ302" s="104" t="n"/>
      <c r="BK302" s="104" t="n"/>
      <c r="BL302" s="104" t="n"/>
      <c r="BM302" s="104" t="n"/>
      <c r="BN302" s="104" t="n"/>
      <c r="BO302" s="104" t="n"/>
      <c r="BP302" s="104" t="n"/>
      <c r="BQ302" s="104" t="n"/>
      <c r="BR302" s="104" t="n"/>
      <c r="BS302" s="104" t="n"/>
      <c r="BT302" s="104" t="n"/>
      <c r="BU302" s="104" t="n"/>
      <c r="BV302" s="104" t="n"/>
      <c r="BW302" s="104" t="n"/>
      <c r="BX302" s="104" t="n"/>
    </row>
    <row r="303">
      <c r="AC303" s="104" t="n"/>
      <c r="AD303" s="104" t="n"/>
      <c r="AE303" s="104" t="n"/>
      <c r="AF303" s="104" t="n"/>
      <c r="AG303" s="104" t="n"/>
      <c r="AH303" s="104" t="n"/>
      <c r="AI303" s="104" t="n"/>
      <c r="AJ303" s="104" t="n"/>
      <c r="AK303" s="104" t="n"/>
      <c r="AL303" s="104" t="n"/>
      <c r="AM303" s="104" t="n"/>
      <c r="AN303" s="104" t="n"/>
      <c r="AO303" s="104" t="n"/>
      <c r="AP303" s="104" t="n"/>
      <c r="AQ303" s="104" t="n"/>
      <c r="AR303" s="104" t="n"/>
      <c r="AS303" s="104" t="n"/>
      <c r="AT303" s="104" t="n"/>
      <c r="AU303" s="104" t="n"/>
      <c r="AV303" s="104" t="n"/>
      <c r="AW303" s="104" t="n"/>
      <c r="AX303" s="104" t="n"/>
      <c r="AY303" s="104" t="n"/>
      <c r="AZ303" s="104" t="n"/>
      <c r="BA303" s="104" t="n"/>
      <c r="BB303" s="104" t="n"/>
      <c r="BC303" s="104" t="n"/>
      <c r="BD303" s="104" t="n"/>
      <c r="BE303" s="104" t="n"/>
      <c r="BF303" s="104" t="n"/>
      <c r="BG303" s="104" t="n"/>
      <c r="BH303" s="104" t="n"/>
      <c r="BI303" s="104" t="n"/>
      <c r="BJ303" s="104" t="n"/>
      <c r="BK303" s="104" t="n"/>
      <c r="BL303" s="104" t="n"/>
      <c r="BM303" s="104" t="n"/>
      <c r="BN303" s="104" t="n"/>
      <c r="BO303" s="104" t="n"/>
      <c r="BP303" s="104" t="n"/>
      <c r="BQ303" s="104" t="n"/>
      <c r="BR303" s="104" t="n"/>
      <c r="BS303" s="104" t="n"/>
      <c r="BT303" s="104" t="n"/>
      <c r="BU303" s="104" t="n"/>
      <c r="BV303" s="104" t="n"/>
      <c r="BW303" s="104" t="n"/>
      <c r="BX303" s="104" t="n"/>
    </row>
    <row r="304">
      <c r="AC304" s="104" t="n"/>
      <c r="AD304" s="104" t="n"/>
      <c r="AE304" s="104" t="n"/>
      <c r="AF304" s="104" t="n"/>
      <c r="AG304" s="104" t="n"/>
      <c r="AH304" s="104" t="n"/>
      <c r="AI304" s="104" t="n"/>
      <c r="AJ304" s="104" t="n"/>
      <c r="AK304" s="104" t="n"/>
      <c r="AL304" s="104" t="n"/>
      <c r="AM304" s="104" t="n"/>
      <c r="AN304" s="104" t="n"/>
      <c r="AO304" s="104" t="n"/>
      <c r="AP304" s="104" t="n"/>
      <c r="AQ304" s="104" t="n"/>
      <c r="AR304" s="104" t="n"/>
      <c r="AS304" s="104" t="n"/>
      <c r="AT304" s="104" t="n"/>
      <c r="AU304" s="104" t="n"/>
      <c r="AV304" s="104" t="n"/>
      <c r="AW304" s="104" t="n"/>
      <c r="AX304" s="104" t="n"/>
      <c r="AY304" s="104" t="n"/>
      <c r="AZ304" s="104" t="n"/>
      <c r="BA304" s="104" t="n"/>
      <c r="BB304" s="104" t="n"/>
      <c r="BC304" s="104" t="n"/>
      <c r="BD304" s="104" t="n"/>
      <c r="BE304" s="104" t="n"/>
      <c r="BF304" s="104" t="n"/>
      <c r="BG304" s="104" t="n"/>
      <c r="BH304" s="104" t="n"/>
      <c r="BI304" s="104" t="n"/>
      <c r="BJ304" s="104" t="n"/>
      <c r="BK304" s="104" t="n"/>
      <c r="BL304" s="104" t="n"/>
      <c r="BM304" s="104" t="n"/>
      <c r="BN304" s="104" t="n"/>
      <c r="BO304" s="104" t="n"/>
      <c r="BP304" s="104" t="n"/>
      <c r="BQ304" s="104" t="n"/>
      <c r="BR304" s="104" t="n"/>
      <c r="BS304" s="104" t="n"/>
      <c r="BT304" s="104" t="n"/>
      <c r="BU304" s="104" t="n"/>
      <c r="BV304" s="104" t="n"/>
      <c r="BW304" s="104" t="n"/>
      <c r="BX304" s="104" t="n"/>
    </row>
    <row r="305">
      <c r="AC305" s="104" t="n"/>
      <c r="AD305" s="104" t="n"/>
      <c r="AE305" s="104" t="n"/>
      <c r="AF305" s="104" t="n"/>
      <c r="AG305" s="104" t="n"/>
      <c r="AH305" s="104" t="n"/>
      <c r="AI305" s="104" t="n"/>
      <c r="AJ305" s="104" t="n"/>
      <c r="AK305" s="104" t="n"/>
      <c r="AL305" s="104" t="n"/>
      <c r="AM305" s="104" t="n"/>
      <c r="AN305" s="104" t="n"/>
      <c r="AO305" s="104" t="n"/>
      <c r="AP305" s="104" t="n"/>
      <c r="AQ305" s="104" t="n"/>
      <c r="AR305" s="104" t="n"/>
      <c r="AS305" s="104" t="n"/>
      <c r="AT305" s="104" t="n"/>
      <c r="AU305" s="104" t="n"/>
      <c r="AV305" s="104" t="n"/>
      <c r="AW305" s="104" t="n"/>
      <c r="AX305" s="104" t="n"/>
      <c r="AY305" s="104" t="n"/>
      <c r="AZ305" s="104" t="n"/>
      <c r="BA305" s="104" t="n"/>
      <c r="BB305" s="104" t="n"/>
      <c r="BC305" s="104" t="n"/>
      <c r="BD305" s="104" t="n"/>
      <c r="BE305" s="104" t="n"/>
      <c r="BF305" s="104" t="n"/>
      <c r="BG305" s="104" t="n"/>
      <c r="BH305" s="104" t="n"/>
      <c r="BI305" s="104" t="n"/>
      <c r="BJ305" s="104" t="n"/>
      <c r="BK305" s="104" t="n"/>
      <c r="BL305" s="104" t="n"/>
      <c r="BM305" s="104" t="n"/>
      <c r="BN305" s="104" t="n"/>
      <c r="BO305" s="104" t="n"/>
      <c r="BP305" s="104" t="n"/>
      <c r="BQ305" s="104" t="n"/>
      <c r="BR305" s="104" t="n"/>
      <c r="BS305" s="104" t="n"/>
      <c r="BT305" s="104" t="n"/>
      <c r="BU305" s="104" t="n"/>
      <c r="BV305" s="104" t="n"/>
      <c r="BW305" s="104" t="n"/>
      <c r="BX305" s="104" t="n"/>
    </row>
    <row r="306">
      <c r="AC306" s="104" t="n"/>
      <c r="AD306" s="104" t="n"/>
      <c r="AE306" s="104" t="n"/>
      <c r="AF306" s="104" t="n"/>
      <c r="AG306" s="104" t="n"/>
      <c r="AH306" s="104" t="n"/>
      <c r="AI306" s="104" t="n"/>
      <c r="AJ306" s="104" t="n"/>
      <c r="AK306" s="104" t="n"/>
      <c r="AL306" s="104" t="n"/>
      <c r="AM306" s="104" t="n"/>
      <c r="AN306" s="104" t="n"/>
      <c r="AO306" s="104" t="n"/>
      <c r="AP306" s="104" t="n"/>
      <c r="AQ306" s="104" t="n"/>
      <c r="AR306" s="104" t="n"/>
      <c r="AS306" s="104" t="n"/>
      <c r="AT306" s="104" t="n"/>
      <c r="AU306" s="104" t="n"/>
      <c r="AV306" s="104" t="n"/>
      <c r="AW306" s="104" t="n"/>
      <c r="AX306" s="104" t="n"/>
      <c r="AY306" s="104" t="n"/>
      <c r="AZ306" s="104" t="n"/>
      <c r="BA306" s="104" t="n"/>
      <c r="BB306" s="104" t="n"/>
      <c r="BC306" s="104" t="n"/>
      <c r="BD306" s="104" t="n"/>
      <c r="BE306" s="104" t="n"/>
      <c r="BF306" s="104" t="n"/>
      <c r="BG306" s="104" t="n"/>
      <c r="BH306" s="104" t="n"/>
      <c r="BI306" s="104" t="n"/>
      <c r="BJ306" s="104" t="n"/>
      <c r="BK306" s="104" t="n"/>
      <c r="BL306" s="104" t="n"/>
      <c r="BM306" s="104" t="n"/>
      <c r="BN306" s="104" t="n"/>
      <c r="BO306" s="104" t="n"/>
      <c r="BP306" s="104" t="n"/>
      <c r="BQ306" s="104" t="n"/>
      <c r="BR306" s="104" t="n"/>
      <c r="BS306" s="104" t="n"/>
      <c r="BT306" s="104" t="n"/>
      <c r="BU306" s="104" t="n"/>
      <c r="BV306" s="104" t="n"/>
      <c r="BW306" s="104" t="n"/>
      <c r="BX306" s="104" t="n"/>
    </row>
    <row r="307">
      <c r="AC307" s="104" t="n"/>
      <c r="AD307" s="104" t="n"/>
      <c r="AE307" s="104" t="n"/>
      <c r="AF307" s="104" t="n"/>
      <c r="AG307" s="104" t="n"/>
      <c r="AH307" s="104" t="n"/>
      <c r="AI307" s="104" t="n"/>
      <c r="AJ307" s="104" t="n"/>
      <c r="AK307" s="104" t="n"/>
      <c r="AL307" s="104" t="n"/>
      <c r="AM307" s="104" t="n"/>
      <c r="AN307" s="104" t="n"/>
      <c r="AO307" s="104" t="n"/>
      <c r="AP307" s="104" t="n"/>
      <c r="AQ307" s="104" t="n"/>
      <c r="AR307" s="104" t="n"/>
      <c r="AS307" s="104" t="n"/>
      <c r="AT307" s="104" t="n"/>
      <c r="AU307" s="104" t="n"/>
      <c r="AV307" s="104" t="n"/>
      <c r="AW307" s="104" t="n"/>
      <c r="AX307" s="104" t="n"/>
      <c r="AY307" s="104" t="n"/>
      <c r="AZ307" s="104" t="n"/>
      <c r="BA307" s="104" t="n"/>
      <c r="BB307" s="104" t="n"/>
      <c r="BC307" s="104" t="n"/>
      <c r="BD307" s="104" t="n"/>
      <c r="BE307" s="104" t="n"/>
      <c r="BF307" s="104" t="n"/>
      <c r="BG307" s="104" t="n"/>
      <c r="BH307" s="104" t="n"/>
      <c r="BI307" s="104" t="n"/>
      <c r="BJ307" s="104" t="n"/>
      <c r="BK307" s="104" t="n"/>
      <c r="BL307" s="104" t="n"/>
      <c r="BM307" s="104" t="n"/>
      <c r="BN307" s="104" t="n"/>
      <c r="BO307" s="104" t="n"/>
      <c r="BP307" s="104" t="n"/>
      <c r="BQ307" s="104" t="n"/>
      <c r="BR307" s="104" t="n"/>
      <c r="BS307" s="104" t="n"/>
      <c r="BT307" s="104" t="n"/>
      <c r="BU307" s="104" t="n"/>
      <c r="BV307" s="104" t="n"/>
      <c r="BW307" s="104" t="n"/>
      <c r="BX307" s="104" t="n"/>
    </row>
    <row r="308">
      <c r="AC308" s="104" t="n"/>
      <c r="AD308" s="104" t="n"/>
      <c r="AE308" s="104" t="n"/>
      <c r="AF308" s="104" t="n"/>
      <c r="AG308" s="104" t="n"/>
      <c r="AH308" s="104" t="n"/>
      <c r="AI308" s="104" t="n"/>
      <c r="AJ308" s="104" t="n"/>
      <c r="AK308" s="104" t="n"/>
      <c r="AL308" s="104" t="n"/>
      <c r="AM308" s="104" t="n"/>
      <c r="AN308" s="104" t="n"/>
      <c r="AO308" s="104" t="n"/>
      <c r="AP308" s="104" t="n"/>
      <c r="AQ308" s="104" t="n"/>
      <c r="AR308" s="104" t="n"/>
      <c r="AS308" s="104" t="n"/>
      <c r="AT308" s="104" t="n"/>
      <c r="AU308" s="104" t="n"/>
      <c r="AV308" s="104" t="n"/>
      <c r="AW308" s="104" t="n"/>
      <c r="AX308" s="104" t="n"/>
      <c r="AY308" s="104" t="n"/>
      <c r="AZ308" s="104" t="n"/>
      <c r="BA308" s="104" t="n"/>
      <c r="BB308" s="104" t="n"/>
      <c r="BC308" s="104" t="n"/>
      <c r="BD308" s="104" t="n"/>
      <c r="BE308" s="104" t="n"/>
      <c r="BF308" s="104" t="n"/>
      <c r="BG308" s="104" t="n"/>
      <c r="BH308" s="104" t="n"/>
      <c r="BI308" s="104" t="n"/>
      <c r="BJ308" s="104" t="n"/>
      <c r="BK308" s="104" t="n"/>
      <c r="BL308" s="104" t="n"/>
      <c r="BM308" s="104" t="n"/>
      <c r="BN308" s="104" t="n"/>
      <c r="BO308" s="104" t="n"/>
      <c r="BP308" s="104" t="n"/>
      <c r="BQ308" s="104" t="n"/>
      <c r="BR308" s="104" t="n"/>
      <c r="BS308" s="104" t="n"/>
      <c r="BT308" s="104" t="n"/>
      <c r="BU308" s="104" t="n"/>
      <c r="BV308" s="104" t="n"/>
      <c r="BW308" s="104" t="n"/>
      <c r="BX308" s="104" t="n"/>
    </row>
    <row r="309">
      <c r="AC309" s="104" t="n"/>
      <c r="AD309" s="104" t="n"/>
      <c r="AE309" s="104" t="n"/>
      <c r="AF309" s="104" t="n"/>
      <c r="AG309" s="104" t="n"/>
      <c r="AH309" s="104" t="n"/>
      <c r="AI309" s="104" t="n"/>
      <c r="AJ309" s="104" t="n"/>
      <c r="AK309" s="104" t="n"/>
      <c r="AL309" s="104" t="n"/>
      <c r="AM309" s="104" t="n"/>
      <c r="AN309" s="104" t="n"/>
      <c r="AO309" s="104" t="n"/>
      <c r="AP309" s="104" t="n"/>
      <c r="AQ309" s="104" t="n"/>
      <c r="AR309" s="104" t="n"/>
      <c r="AS309" s="104" t="n"/>
      <c r="AT309" s="104" t="n"/>
      <c r="AU309" s="104" t="n"/>
      <c r="AV309" s="104" t="n"/>
      <c r="AW309" s="104" t="n"/>
      <c r="AX309" s="104" t="n"/>
      <c r="AY309" s="104" t="n"/>
      <c r="AZ309" s="104" t="n"/>
      <c r="BA309" s="104" t="n"/>
      <c r="BB309" s="104" t="n"/>
      <c r="BC309" s="104" t="n"/>
      <c r="BD309" s="104" t="n"/>
      <c r="BE309" s="104" t="n"/>
      <c r="BF309" s="104" t="n"/>
      <c r="BG309" s="104" t="n"/>
      <c r="BH309" s="104" t="n"/>
      <c r="BI309" s="104" t="n"/>
      <c r="BJ309" s="104" t="n"/>
      <c r="BK309" s="104" t="n"/>
      <c r="BL309" s="104" t="n"/>
      <c r="BM309" s="104" t="n"/>
      <c r="BN309" s="104" t="n"/>
      <c r="BO309" s="104" t="n"/>
      <c r="BP309" s="104" t="n"/>
      <c r="BQ309" s="104" t="n"/>
      <c r="BR309" s="104" t="n"/>
      <c r="BS309" s="104" t="n"/>
      <c r="BT309" s="104" t="n"/>
      <c r="BU309" s="104" t="n"/>
      <c r="BV309" s="104" t="n"/>
      <c r="BW309" s="104" t="n"/>
      <c r="BX309" s="104" t="n"/>
    </row>
    <row r="310">
      <c r="AC310" s="104" t="n"/>
      <c r="AD310" s="104" t="n"/>
      <c r="AE310" s="104" t="n"/>
      <c r="AF310" s="104" t="n"/>
      <c r="AG310" s="104" t="n"/>
      <c r="AH310" s="104" t="n"/>
      <c r="AI310" s="104" t="n"/>
      <c r="AJ310" s="104" t="n"/>
      <c r="AK310" s="104" t="n"/>
      <c r="AL310" s="104" t="n"/>
      <c r="AM310" s="104" t="n"/>
      <c r="AN310" s="104" t="n"/>
      <c r="AO310" s="104" t="n"/>
      <c r="AP310" s="104" t="n"/>
      <c r="AQ310" s="104" t="n"/>
      <c r="AR310" s="104" t="n"/>
      <c r="AS310" s="104" t="n"/>
      <c r="AT310" s="104" t="n"/>
      <c r="AU310" s="104" t="n"/>
      <c r="AV310" s="104" t="n"/>
      <c r="AW310" s="104" t="n"/>
      <c r="AX310" s="104" t="n"/>
      <c r="AY310" s="104" t="n"/>
      <c r="AZ310" s="104" t="n"/>
      <c r="BA310" s="104" t="n"/>
      <c r="BB310" s="104" t="n"/>
      <c r="BC310" s="104" t="n"/>
      <c r="BD310" s="104" t="n"/>
      <c r="BE310" s="104" t="n"/>
      <c r="BF310" s="104" t="n"/>
      <c r="BG310" s="104" t="n"/>
      <c r="BH310" s="104" t="n"/>
      <c r="BI310" s="104" t="n"/>
      <c r="BJ310" s="104" t="n"/>
      <c r="BK310" s="104" t="n"/>
      <c r="BL310" s="104" t="n"/>
      <c r="BM310" s="104" t="n"/>
      <c r="BN310" s="104" t="n"/>
      <c r="BO310" s="104" t="n"/>
      <c r="BP310" s="104" t="n"/>
      <c r="BQ310" s="104" t="n"/>
      <c r="BR310" s="104" t="n"/>
      <c r="BS310" s="104" t="n"/>
      <c r="BT310" s="104" t="n"/>
      <c r="BU310" s="104" t="n"/>
      <c r="BV310" s="104" t="n"/>
      <c r="BW310" s="104" t="n"/>
      <c r="BX310" s="104" t="n"/>
    </row>
    <row r="311">
      <c r="AC311" s="104" t="n"/>
      <c r="AD311" s="104" t="n"/>
      <c r="AE311" s="104" t="n"/>
      <c r="AF311" s="104" t="n"/>
      <c r="AG311" s="104" t="n"/>
      <c r="AH311" s="104" t="n"/>
      <c r="AI311" s="104" t="n"/>
      <c r="AJ311" s="104" t="n"/>
      <c r="AK311" s="104" t="n"/>
      <c r="AL311" s="104" t="n"/>
      <c r="AM311" s="104" t="n"/>
      <c r="AN311" s="104" t="n"/>
      <c r="AO311" s="104" t="n"/>
      <c r="AP311" s="104" t="n"/>
      <c r="AQ311" s="104" t="n"/>
      <c r="AR311" s="104" t="n"/>
      <c r="AS311" s="104" t="n"/>
      <c r="AT311" s="104" t="n"/>
      <c r="AU311" s="104" t="n"/>
      <c r="AV311" s="104" t="n"/>
      <c r="AW311" s="104" t="n"/>
      <c r="AX311" s="104" t="n"/>
      <c r="AY311" s="104" t="n"/>
      <c r="AZ311" s="104" t="n"/>
      <c r="BA311" s="104" t="n"/>
      <c r="BB311" s="104" t="n"/>
      <c r="BC311" s="104" t="n"/>
      <c r="BD311" s="104" t="n"/>
      <c r="BE311" s="104" t="n"/>
      <c r="BF311" s="104" t="n"/>
      <c r="BG311" s="104" t="n"/>
      <c r="BH311" s="104" t="n"/>
      <c r="BI311" s="104" t="n"/>
      <c r="BJ311" s="104" t="n"/>
      <c r="BK311" s="104" t="n"/>
      <c r="BL311" s="104" t="n"/>
      <c r="BM311" s="104" t="n"/>
      <c r="BN311" s="104" t="n"/>
      <c r="BO311" s="104" t="n"/>
      <c r="BP311" s="104" t="n"/>
      <c r="BQ311" s="104" t="n"/>
      <c r="BR311" s="104" t="n"/>
      <c r="BS311" s="104" t="n"/>
      <c r="BT311" s="104" t="n"/>
      <c r="BU311" s="104" t="n"/>
      <c r="BV311" s="104" t="n"/>
      <c r="BW311" s="104" t="n"/>
      <c r="BX311" s="104" t="n"/>
    </row>
    <row r="312">
      <c r="AC312" s="104" t="n"/>
      <c r="AD312" s="104" t="n"/>
      <c r="AE312" s="104" t="n"/>
      <c r="AF312" s="104" t="n"/>
      <c r="AG312" s="104" t="n"/>
      <c r="AH312" s="104" t="n"/>
      <c r="AI312" s="104" t="n"/>
      <c r="AJ312" s="104" t="n"/>
      <c r="AK312" s="104" t="n"/>
      <c r="AL312" s="104" t="n"/>
      <c r="AM312" s="104" t="n"/>
      <c r="AN312" s="104" t="n"/>
      <c r="AO312" s="104" t="n"/>
      <c r="AP312" s="104" t="n"/>
      <c r="AQ312" s="104" t="n"/>
      <c r="AR312" s="104" t="n"/>
      <c r="AS312" s="104" t="n"/>
      <c r="AT312" s="104" t="n"/>
      <c r="AU312" s="104" t="n"/>
      <c r="AV312" s="104" t="n"/>
      <c r="AW312" s="104" t="n"/>
      <c r="AX312" s="104" t="n"/>
      <c r="AY312" s="104" t="n"/>
      <c r="AZ312" s="104" t="n"/>
      <c r="BA312" s="104" t="n"/>
      <c r="BB312" s="104" t="n"/>
      <c r="BC312" s="104" t="n"/>
      <c r="BD312" s="104" t="n"/>
      <c r="BE312" s="104" t="n"/>
      <c r="BF312" s="104" t="n"/>
      <c r="BG312" s="104" t="n"/>
      <c r="BH312" s="104" t="n"/>
      <c r="BI312" s="104" t="n"/>
      <c r="BJ312" s="104" t="n"/>
      <c r="BK312" s="104" t="n"/>
      <c r="BL312" s="104" t="n"/>
      <c r="BM312" s="104" t="n"/>
      <c r="BN312" s="104" t="n"/>
      <c r="BO312" s="104" t="n"/>
      <c r="BP312" s="104" t="n"/>
      <c r="BQ312" s="104" t="n"/>
      <c r="BR312" s="104" t="n"/>
      <c r="BS312" s="104" t="n"/>
      <c r="BT312" s="104" t="n"/>
      <c r="BU312" s="104" t="n"/>
      <c r="BV312" s="104" t="n"/>
      <c r="BW312" s="104" t="n"/>
      <c r="BX312" s="104" t="n"/>
    </row>
    <row r="313">
      <c r="AC313" s="104" t="n"/>
      <c r="AD313" s="104" t="n"/>
      <c r="AE313" s="104" t="n"/>
      <c r="AF313" s="104" t="n"/>
      <c r="AG313" s="104" t="n"/>
      <c r="AH313" s="104" t="n"/>
      <c r="AI313" s="104" t="n"/>
      <c r="AJ313" s="104" t="n"/>
      <c r="AK313" s="104" t="n"/>
      <c r="AL313" s="104" t="n"/>
      <c r="AM313" s="104" t="n"/>
      <c r="AN313" s="104" t="n"/>
      <c r="AO313" s="104" t="n"/>
      <c r="AP313" s="104" t="n"/>
      <c r="AQ313" s="104" t="n"/>
      <c r="AR313" s="104" t="n"/>
      <c r="AS313" s="104" t="n"/>
      <c r="AT313" s="104" t="n"/>
      <c r="AU313" s="104" t="n"/>
      <c r="AV313" s="104" t="n"/>
      <c r="AW313" s="104" t="n"/>
      <c r="AX313" s="104" t="n"/>
      <c r="AY313" s="104" t="n"/>
      <c r="AZ313" s="104" t="n"/>
      <c r="BA313" s="104" t="n"/>
      <c r="BB313" s="104" t="n"/>
      <c r="BC313" s="104" t="n"/>
      <c r="BD313" s="104" t="n"/>
      <c r="BE313" s="104" t="n"/>
      <c r="BF313" s="104" t="n"/>
      <c r="BG313" s="104" t="n"/>
      <c r="BH313" s="104" t="n"/>
      <c r="BI313" s="104" t="n"/>
      <c r="BJ313" s="104" t="n"/>
      <c r="BK313" s="104" t="n"/>
      <c r="BL313" s="104" t="n"/>
      <c r="BM313" s="104" t="n"/>
      <c r="BN313" s="104" t="n"/>
      <c r="BO313" s="104" t="n"/>
      <c r="BP313" s="104" t="n"/>
      <c r="BQ313" s="104" t="n"/>
      <c r="BR313" s="104" t="n"/>
      <c r="BS313" s="104" t="n"/>
      <c r="BT313" s="104" t="n"/>
      <c r="BU313" s="104" t="n"/>
      <c r="BV313" s="104" t="n"/>
      <c r="BW313" s="104" t="n"/>
      <c r="BX313" s="104" t="n"/>
    </row>
    <row r="314">
      <c r="AC314" s="104" t="n"/>
      <c r="AD314" s="104" t="n"/>
      <c r="AE314" s="104" t="n"/>
      <c r="AF314" s="104" t="n"/>
      <c r="AG314" s="104" t="n"/>
      <c r="AH314" s="104" t="n"/>
      <c r="AI314" s="104" t="n"/>
      <c r="AJ314" s="104" t="n"/>
      <c r="AK314" s="104" t="n"/>
      <c r="AL314" s="104" t="n"/>
      <c r="AM314" s="104" t="n"/>
      <c r="AN314" s="104" t="n"/>
      <c r="AO314" s="104" t="n"/>
      <c r="AP314" s="104" t="n"/>
      <c r="AQ314" s="104" t="n"/>
      <c r="AR314" s="104" t="n"/>
      <c r="AS314" s="104" t="n"/>
      <c r="AT314" s="104" t="n"/>
      <c r="AU314" s="104" t="n"/>
      <c r="AV314" s="104" t="n"/>
      <c r="AW314" s="104" t="n"/>
      <c r="AX314" s="104" t="n"/>
      <c r="AY314" s="104" t="n"/>
      <c r="AZ314" s="104" t="n"/>
      <c r="BA314" s="104" t="n"/>
      <c r="BB314" s="104" t="n"/>
      <c r="BC314" s="104" t="n"/>
      <c r="BD314" s="104" t="n"/>
      <c r="BE314" s="104" t="n"/>
      <c r="BF314" s="104" t="n"/>
      <c r="BG314" s="104" t="n"/>
      <c r="BH314" s="104" t="n"/>
      <c r="BI314" s="104" t="n"/>
      <c r="BJ314" s="104" t="n"/>
      <c r="BK314" s="104" t="n"/>
      <c r="BL314" s="104" t="n"/>
      <c r="BM314" s="104" t="n"/>
      <c r="BN314" s="104" t="n"/>
      <c r="BO314" s="104" t="n"/>
      <c r="BP314" s="104" t="n"/>
      <c r="BQ314" s="104" t="n"/>
      <c r="BR314" s="104" t="n"/>
      <c r="BS314" s="104" t="n"/>
      <c r="BT314" s="104" t="n"/>
      <c r="BU314" s="104" t="n"/>
      <c r="BV314" s="104" t="n"/>
      <c r="BW314" s="104" t="n"/>
      <c r="BX314" s="104" t="n"/>
    </row>
    <row r="315">
      <c r="AC315" s="104" t="n"/>
      <c r="AD315" s="104" t="n"/>
      <c r="AE315" s="104" t="n"/>
      <c r="AF315" s="104" t="n"/>
      <c r="AG315" s="104" t="n"/>
      <c r="AH315" s="104" t="n"/>
      <c r="AI315" s="104" t="n"/>
      <c r="AJ315" s="104" t="n"/>
      <c r="AK315" s="104" t="n"/>
      <c r="AL315" s="104" t="n"/>
      <c r="AM315" s="104" t="n"/>
      <c r="AN315" s="104" t="n"/>
      <c r="AO315" s="104" t="n"/>
      <c r="AP315" s="104" t="n"/>
      <c r="AQ315" s="104" t="n"/>
      <c r="AR315" s="104" t="n"/>
      <c r="AS315" s="104" t="n"/>
      <c r="AT315" s="104" t="n"/>
      <c r="AU315" s="104" t="n"/>
      <c r="AV315" s="104" t="n"/>
      <c r="AW315" s="104" t="n"/>
      <c r="AX315" s="104" t="n"/>
      <c r="AY315" s="104" t="n"/>
      <c r="AZ315" s="104" t="n"/>
      <c r="BA315" s="104" t="n"/>
      <c r="BB315" s="104" t="n"/>
      <c r="BC315" s="104" t="n"/>
      <c r="BD315" s="104" t="n"/>
      <c r="BE315" s="104" t="n"/>
      <c r="BF315" s="104" t="n"/>
      <c r="BG315" s="104" t="n"/>
      <c r="BH315" s="104" t="n"/>
      <c r="BI315" s="104" t="n"/>
      <c r="BJ315" s="104" t="n"/>
      <c r="BK315" s="104" t="n"/>
      <c r="BL315" s="104" t="n"/>
      <c r="BM315" s="104" t="n"/>
      <c r="BN315" s="104" t="n"/>
      <c r="BO315" s="104" t="n"/>
      <c r="BP315" s="104" t="n"/>
      <c r="BQ315" s="104" t="n"/>
      <c r="BR315" s="104" t="n"/>
      <c r="BS315" s="104" t="n"/>
      <c r="BT315" s="104" t="n"/>
      <c r="BU315" s="104" t="n"/>
      <c r="BV315" s="104" t="n"/>
      <c r="BW315" s="104" t="n"/>
      <c r="BX315" s="104" t="n"/>
    </row>
    <row r="316">
      <c r="AC316" s="104" t="n"/>
      <c r="AD316" s="104" t="n"/>
      <c r="AE316" s="104" t="n"/>
      <c r="AF316" s="104" t="n"/>
      <c r="AG316" s="104" t="n"/>
      <c r="AH316" s="104" t="n"/>
      <c r="AI316" s="104" t="n"/>
      <c r="AJ316" s="104" t="n"/>
      <c r="AK316" s="104" t="n"/>
      <c r="AL316" s="104" t="n"/>
      <c r="AM316" s="104" t="n"/>
      <c r="AN316" s="104" t="n"/>
      <c r="AO316" s="104" t="n"/>
      <c r="AP316" s="104" t="n"/>
      <c r="AQ316" s="104" t="n"/>
      <c r="AR316" s="104" t="n"/>
      <c r="AS316" s="104" t="n"/>
      <c r="AT316" s="104" t="n"/>
      <c r="AU316" s="104" t="n"/>
      <c r="AV316" s="104" t="n"/>
      <c r="AW316" s="104" t="n"/>
      <c r="AX316" s="104" t="n"/>
      <c r="AY316" s="104" t="n"/>
      <c r="AZ316" s="104" t="n"/>
      <c r="BA316" s="104" t="n"/>
      <c r="BB316" s="104" t="n"/>
      <c r="BC316" s="104" t="n"/>
      <c r="BD316" s="104" t="n"/>
      <c r="BE316" s="104" t="n"/>
      <c r="BF316" s="104" t="n"/>
      <c r="BG316" s="104" t="n"/>
      <c r="BH316" s="104" t="n"/>
      <c r="BI316" s="104" t="n"/>
      <c r="BJ316" s="104" t="n"/>
      <c r="BK316" s="104" t="n"/>
      <c r="BL316" s="104" t="n"/>
      <c r="BM316" s="104" t="n"/>
      <c r="BN316" s="104" t="n"/>
      <c r="BO316" s="104" t="n"/>
      <c r="BP316" s="104" t="n"/>
      <c r="BQ316" s="104" t="n"/>
      <c r="BR316" s="104" t="n"/>
      <c r="BS316" s="104" t="n"/>
      <c r="BT316" s="104" t="n"/>
      <c r="BU316" s="104" t="n"/>
      <c r="BV316" s="104" t="n"/>
      <c r="BW316" s="104" t="n"/>
      <c r="BX316" s="104" t="n"/>
    </row>
    <row r="317">
      <c r="AC317" s="104" t="n"/>
      <c r="AD317" s="104" t="n"/>
      <c r="AE317" s="104" t="n"/>
      <c r="AF317" s="104" t="n"/>
      <c r="AG317" s="104" t="n"/>
      <c r="AH317" s="104" t="n"/>
      <c r="AI317" s="104" t="n"/>
      <c r="AJ317" s="104" t="n"/>
      <c r="AK317" s="104" t="n"/>
      <c r="AL317" s="104" t="n"/>
      <c r="AM317" s="104" t="n"/>
      <c r="AN317" s="104" t="n"/>
      <c r="AO317" s="104" t="n"/>
      <c r="AP317" s="104" t="n"/>
      <c r="AQ317" s="104" t="n"/>
      <c r="AR317" s="104" t="n"/>
      <c r="AS317" s="104" t="n"/>
      <c r="AT317" s="104" t="n"/>
      <c r="AU317" s="104" t="n"/>
      <c r="AV317" s="104" t="n"/>
      <c r="AW317" s="104" t="n"/>
      <c r="AX317" s="104" t="n"/>
      <c r="AY317" s="104" t="n"/>
      <c r="AZ317" s="104" t="n"/>
      <c r="BA317" s="104" t="n"/>
      <c r="BB317" s="104" t="n"/>
      <c r="BC317" s="104" t="n"/>
      <c r="BD317" s="104" t="n"/>
      <c r="BE317" s="104" t="n"/>
      <c r="BF317" s="104" t="n"/>
      <c r="BG317" s="104" t="n"/>
      <c r="BH317" s="104" t="n"/>
      <c r="BI317" s="104" t="n"/>
      <c r="BJ317" s="104" t="n"/>
      <c r="BK317" s="104" t="n"/>
      <c r="BL317" s="104" t="n"/>
      <c r="BM317" s="104" t="n"/>
      <c r="BN317" s="104" t="n"/>
      <c r="BO317" s="104" t="n"/>
      <c r="BP317" s="104" t="n"/>
      <c r="BQ317" s="104" t="n"/>
      <c r="BR317" s="104" t="n"/>
      <c r="BS317" s="104" t="n"/>
      <c r="BT317" s="104" t="n"/>
      <c r="BU317" s="104" t="n"/>
      <c r="BV317" s="104" t="n"/>
      <c r="BW317" s="104" t="n"/>
      <c r="BX317" s="104" t="n"/>
    </row>
    <row r="318">
      <c r="AC318" s="104" t="n"/>
      <c r="AD318" s="104" t="n"/>
      <c r="AE318" s="104" t="n"/>
      <c r="AF318" s="104" t="n"/>
      <c r="AG318" s="104" t="n"/>
      <c r="AH318" s="104" t="n"/>
      <c r="AI318" s="104" t="n"/>
      <c r="AJ318" s="104" t="n"/>
      <c r="AK318" s="104" t="n"/>
      <c r="AL318" s="104" t="n"/>
      <c r="AM318" s="104" t="n"/>
      <c r="AN318" s="104" t="n"/>
      <c r="AO318" s="104" t="n"/>
      <c r="AP318" s="104" t="n"/>
      <c r="AQ318" s="104" t="n"/>
      <c r="AR318" s="104" t="n"/>
      <c r="AS318" s="104" t="n"/>
      <c r="AT318" s="104" t="n"/>
      <c r="AU318" s="104" t="n"/>
      <c r="AV318" s="104" t="n"/>
      <c r="AW318" s="104" t="n"/>
      <c r="AX318" s="104" t="n"/>
      <c r="AY318" s="104" t="n"/>
      <c r="AZ318" s="104" t="n"/>
      <c r="BA318" s="104" t="n"/>
      <c r="BB318" s="104" t="n"/>
      <c r="BC318" s="104" t="n"/>
      <c r="BD318" s="104" t="n"/>
      <c r="BE318" s="104" t="n"/>
      <c r="BF318" s="104" t="n"/>
      <c r="BG318" s="104" t="n"/>
      <c r="BH318" s="104" t="n"/>
      <c r="BI318" s="104" t="n"/>
      <c r="BJ318" s="104" t="n"/>
      <c r="BK318" s="104" t="n"/>
      <c r="BL318" s="104" t="n"/>
      <c r="BM318" s="104" t="n"/>
      <c r="BN318" s="104" t="n"/>
      <c r="BO318" s="104" t="n"/>
      <c r="BP318" s="104" t="n"/>
      <c r="BQ318" s="104" t="n"/>
      <c r="BR318" s="104" t="n"/>
      <c r="BS318" s="104" t="n"/>
      <c r="BT318" s="104" t="n"/>
      <c r="BU318" s="104" t="n"/>
      <c r="BV318" s="104" t="n"/>
      <c r="BW318" s="104" t="n"/>
      <c r="BX318" s="104" t="n"/>
    </row>
    <row r="319">
      <c r="AC319" s="104" t="n"/>
      <c r="AD319" s="104" t="n"/>
      <c r="AE319" s="104" t="n"/>
      <c r="AF319" s="104" t="n"/>
      <c r="AG319" s="104" t="n"/>
      <c r="AH319" s="104" t="n"/>
      <c r="AI319" s="104" t="n"/>
      <c r="AJ319" s="104" t="n"/>
      <c r="AK319" s="104" t="n"/>
      <c r="AL319" s="104" t="n"/>
      <c r="AM319" s="104" t="n"/>
      <c r="AN319" s="104" t="n"/>
      <c r="AO319" s="104" t="n"/>
      <c r="AP319" s="104" t="n"/>
      <c r="AQ319" s="104" t="n"/>
      <c r="AR319" s="104" t="n"/>
      <c r="AS319" s="104" t="n"/>
      <c r="AT319" s="104" t="n"/>
      <c r="AU319" s="104" t="n"/>
      <c r="AV319" s="104" t="n"/>
      <c r="AW319" s="104" t="n"/>
      <c r="AX319" s="104" t="n"/>
      <c r="AY319" s="104" t="n"/>
      <c r="AZ319" s="104" t="n"/>
      <c r="BA319" s="104" t="n"/>
      <c r="BB319" s="104" t="n"/>
      <c r="BC319" s="104" t="n"/>
      <c r="BD319" s="104" t="n"/>
      <c r="BE319" s="104" t="n"/>
      <c r="BF319" s="104" t="n"/>
      <c r="BG319" s="104" t="n"/>
      <c r="BH319" s="104" t="n"/>
      <c r="BI319" s="104" t="n"/>
      <c r="BJ319" s="104" t="n"/>
      <c r="BK319" s="104" t="n"/>
      <c r="BL319" s="104" t="n"/>
      <c r="BM319" s="104" t="n"/>
      <c r="BN319" s="104" t="n"/>
      <c r="BO319" s="104" t="n"/>
      <c r="BP319" s="104" t="n"/>
      <c r="BQ319" s="104" t="n"/>
      <c r="BR319" s="104" t="n"/>
      <c r="BS319" s="104" t="n"/>
      <c r="BT319" s="104" t="n"/>
      <c r="BU319" s="104" t="n"/>
      <c r="BV319" s="104" t="n"/>
      <c r="BW319" s="104" t="n"/>
      <c r="BX319" s="104" t="n"/>
    </row>
    <row r="320">
      <c r="AC320" s="104" t="n"/>
      <c r="AD320" s="104" t="n"/>
      <c r="AE320" s="104" t="n"/>
      <c r="AF320" s="104" t="n"/>
      <c r="AG320" s="104" t="n"/>
      <c r="AH320" s="104" t="n"/>
      <c r="AI320" s="104" t="n"/>
      <c r="AJ320" s="104" t="n"/>
      <c r="AK320" s="104" t="n"/>
      <c r="AL320" s="104" t="n"/>
      <c r="AM320" s="104" t="n"/>
      <c r="AN320" s="104" t="n"/>
      <c r="AO320" s="104" t="n"/>
      <c r="AP320" s="104" t="n"/>
      <c r="AQ320" s="104" t="n"/>
      <c r="AR320" s="104" t="n"/>
      <c r="AS320" s="104" t="n"/>
      <c r="AT320" s="104" t="n"/>
      <c r="AU320" s="104" t="n"/>
      <c r="AV320" s="104" t="n"/>
      <c r="AW320" s="104" t="n"/>
      <c r="AX320" s="104" t="n"/>
      <c r="AY320" s="104" t="n"/>
      <c r="AZ320" s="104" t="n"/>
      <c r="BA320" s="104" t="n"/>
      <c r="BB320" s="104" t="n"/>
      <c r="BC320" s="104" t="n"/>
      <c r="BD320" s="104" t="n"/>
      <c r="BE320" s="104" t="n"/>
      <c r="BF320" s="104" t="n"/>
      <c r="BG320" s="104" t="n"/>
      <c r="BH320" s="104" t="n"/>
      <c r="BI320" s="104" t="n"/>
      <c r="BJ320" s="104" t="n"/>
      <c r="BK320" s="104" t="n"/>
      <c r="BL320" s="104" t="n"/>
      <c r="BM320" s="104" t="n"/>
      <c r="BN320" s="104" t="n"/>
      <c r="BO320" s="104" t="n"/>
      <c r="BP320" s="104" t="n"/>
      <c r="BQ320" s="104" t="n"/>
      <c r="BR320" s="104" t="n"/>
      <c r="BS320" s="104" t="n"/>
      <c r="BT320" s="104" t="n"/>
      <c r="BU320" s="104" t="n"/>
      <c r="BV320" s="104" t="n"/>
      <c r="BW320" s="104" t="n"/>
      <c r="BX320" s="104" t="n"/>
    </row>
    <row r="321">
      <c r="AC321" s="104" t="n"/>
      <c r="AD321" s="104" t="n"/>
      <c r="AE321" s="104" t="n"/>
      <c r="AF321" s="104" t="n"/>
      <c r="AG321" s="104" t="n"/>
      <c r="AH321" s="104" t="n"/>
      <c r="AI321" s="104" t="n"/>
      <c r="AJ321" s="104" t="n"/>
      <c r="AK321" s="104" t="n"/>
      <c r="AL321" s="104" t="n"/>
      <c r="AM321" s="104" t="n"/>
      <c r="AN321" s="104" t="n"/>
      <c r="AO321" s="104" t="n"/>
      <c r="AP321" s="104" t="n"/>
      <c r="AQ321" s="104" t="n"/>
      <c r="AR321" s="104" t="n"/>
      <c r="AS321" s="104" t="n"/>
      <c r="AT321" s="104" t="n"/>
      <c r="AU321" s="104" t="n"/>
      <c r="AV321" s="104" t="n"/>
      <c r="AW321" s="104" t="n"/>
      <c r="AX321" s="104" t="n"/>
      <c r="AY321" s="104" t="n"/>
      <c r="AZ321" s="104" t="n"/>
      <c r="BA321" s="104" t="n"/>
      <c r="BB321" s="104" t="n"/>
      <c r="BC321" s="104" t="n"/>
      <c r="BD321" s="104" t="n"/>
      <c r="BE321" s="104" t="n"/>
      <c r="BF321" s="104" t="n"/>
      <c r="BG321" s="104" t="n"/>
      <c r="BH321" s="104" t="n"/>
      <c r="BI321" s="104" t="n"/>
      <c r="BJ321" s="104" t="n"/>
      <c r="BK321" s="104" t="n"/>
      <c r="BL321" s="104" t="n"/>
      <c r="BM321" s="104" t="n"/>
      <c r="BN321" s="104" t="n"/>
      <c r="BO321" s="104" t="n"/>
      <c r="BP321" s="104" t="n"/>
      <c r="BQ321" s="104" t="n"/>
      <c r="BR321" s="104" t="n"/>
      <c r="BS321" s="104" t="n"/>
      <c r="BT321" s="104" t="n"/>
      <c r="BU321" s="104" t="n"/>
      <c r="BV321" s="104" t="n"/>
      <c r="BW321" s="104" t="n"/>
      <c r="BX321" s="104" t="n"/>
    </row>
    <row r="322">
      <c r="AC322" s="104" t="n"/>
      <c r="AD322" s="104" t="n"/>
      <c r="AE322" s="104" t="n"/>
      <c r="AF322" s="104" t="n"/>
      <c r="AG322" s="104" t="n"/>
      <c r="AH322" s="104" t="n"/>
      <c r="AI322" s="104" t="n"/>
      <c r="AJ322" s="104" t="n"/>
      <c r="AK322" s="104" t="n"/>
      <c r="AL322" s="104" t="n"/>
      <c r="AM322" s="104" t="n"/>
      <c r="AN322" s="104" t="n"/>
      <c r="AO322" s="104" t="n"/>
      <c r="AP322" s="104" t="n"/>
      <c r="AQ322" s="104" t="n"/>
      <c r="AR322" s="104" t="n"/>
      <c r="AS322" s="104" t="n"/>
      <c r="AT322" s="104" t="n"/>
      <c r="AU322" s="104" t="n"/>
      <c r="AV322" s="104" t="n"/>
      <c r="AW322" s="104" t="n"/>
      <c r="AX322" s="104" t="n"/>
      <c r="AY322" s="104" t="n"/>
      <c r="AZ322" s="104" t="n"/>
      <c r="BA322" s="104" t="n"/>
      <c r="BB322" s="104" t="n"/>
      <c r="BC322" s="104" t="n"/>
      <c r="BD322" s="104" t="n"/>
      <c r="BE322" s="104" t="n"/>
      <c r="BF322" s="104" t="n"/>
      <c r="BG322" s="104" t="n"/>
      <c r="BH322" s="104" t="n"/>
      <c r="BI322" s="104" t="n"/>
      <c r="BJ322" s="104" t="n"/>
      <c r="BK322" s="104" t="n"/>
      <c r="BL322" s="104" t="n"/>
      <c r="BM322" s="104" t="n"/>
      <c r="BN322" s="104" t="n"/>
      <c r="BO322" s="104" t="n"/>
      <c r="BP322" s="104" t="n"/>
      <c r="BQ322" s="104" t="n"/>
      <c r="BR322" s="104" t="n"/>
      <c r="BS322" s="104" t="n"/>
      <c r="BT322" s="104" t="n"/>
      <c r="BU322" s="104" t="n"/>
      <c r="BV322" s="104" t="n"/>
      <c r="BW322" s="104" t="n"/>
      <c r="BX322" s="104" t="n"/>
    </row>
    <row r="323">
      <c r="AC323" s="104" t="n"/>
      <c r="AD323" s="104" t="n"/>
      <c r="AE323" s="104" t="n"/>
      <c r="AF323" s="104" t="n"/>
      <c r="AG323" s="104" t="n"/>
      <c r="AH323" s="104" t="n"/>
      <c r="AI323" s="104" t="n"/>
      <c r="AJ323" s="104" t="n"/>
      <c r="AK323" s="104" t="n"/>
      <c r="AL323" s="104" t="n"/>
      <c r="AM323" s="104" t="n"/>
      <c r="AN323" s="104" t="n"/>
      <c r="AO323" s="104" t="n"/>
      <c r="AP323" s="104" t="n"/>
      <c r="AQ323" s="104" t="n"/>
      <c r="AR323" s="104" t="n"/>
      <c r="AS323" s="104" t="n"/>
      <c r="AT323" s="104" t="n"/>
      <c r="AU323" s="104" t="n"/>
      <c r="AV323" s="104" t="n"/>
      <c r="AW323" s="104" t="n"/>
      <c r="AX323" s="104" t="n"/>
      <c r="AY323" s="104" t="n"/>
      <c r="AZ323" s="104" t="n"/>
      <c r="BA323" s="104" t="n"/>
      <c r="BB323" s="104" t="n"/>
      <c r="BC323" s="104" t="n"/>
      <c r="BD323" s="104" t="n"/>
      <c r="BE323" s="104" t="n"/>
      <c r="BF323" s="104" t="n"/>
      <c r="BG323" s="104" t="n"/>
      <c r="BH323" s="104" t="n"/>
      <c r="BI323" s="104" t="n"/>
      <c r="BJ323" s="104" t="n"/>
      <c r="BK323" s="104" t="n"/>
      <c r="BL323" s="104" t="n"/>
      <c r="BM323" s="104" t="n"/>
      <c r="BN323" s="104" t="n"/>
      <c r="BO323" s="104" t="n"/>
      <c r="BP323" s="104" t="n"/>
      <c r="BQ323" s="104" t="n"/>
      <c r="BR323" s="104" t="n"/>
      <c r="BS323" s="104" t="n"/>
      <c r="BT323" s="104" t="n"/>
      <c r="BU323" s="104" t="n"/>
      <c r="BV323" s="104" t="n"/>
      <c r="BW323" s="104" t="n"/>
      <c r="BX323" s="104" t="n"/>
    </row>
    <row r="324">
      <c r="AC324" s="104" t="n"/>
      <c r="AD324" s="104" t="n"/>
      <c r="AE324" s="104" t="n"/>
      <c r="AF324" s="104" t="n"/>
      <c r="AG324" s="104" t="n"/>
      <c r="AH324" s="104" t="n"/>
      <c r="AI324" s="104" t="n"/>
      <c r="AJ324" s="104" t="n"/>
      <c r="AK324" s="104" t="n"/>
      <c r="AL324" s="104" t="n"/>
      <c r="AM324" s="104" t="n"/>
      <c r="AN324" s="104" t="n"/>
      <c r="AO324" s="104" t="n"/>
      <c r="AP324" s="104" t="n"/>
      <c r="AQ324" s="104" t="n"/>
      <c r="AR324" s="104" t="n"/>
      <c r="AS324" s="104" t="n"/>
      <c r="AT324" s="104" t="n"/>
      <c r="AU324" s="104" t="n"/>
      <c r="AV324" s="104" t="n"/>
      <c r="AW324" s="104" t="n"/>
      <c r="AX324" s="104" t="n"/>
      <c r="AY324" s="104" t="n"/>
      <c r="AZ324" s="104" t="n"/>
      <c r="BA324" s="104" t="n"/>
      <c r="BB324" s="104" t="n"/>
      <c r="BC324" s="104" t="n"/>
      <c r="BD324" s="104" t="n"/>
      <c r="BE324" s="104" t="n"/>
      <c r="BF324" s="104" t="n"/>
      <c r="BG324" s="104" t="n"/>
      <c r="BH324" s="104" t="n"/>
      <c r="BI324" s="104" t="n"/>
      <c r="BJ324" s="104" t="n"/>
      <c r="BK324" s="104" t="n"/>
      <c r="BL324" s="104" t="n"/>
      <c r="BM324" s="104" t="n"/>
      <c r="BN324" s="104" t="n"/>
      <c r="BO324" s="104" t="n"/>
      <c r="BP324" s="104" t="n"/>
      <c r="BQ324" s="104" t="n"/>
      <c r="BR324" s="104" t="n"/>
      <c r="BS324" s="104" t="n"/>
      <c r="BT324" s="104" t="n"/>
      <c r="BU324" s="104" t="n"/>
      <c r="BV324" s="104" t="n"/>
      <c r="BW324" s="104" t="n"/>
      <c r="BX324" s="104" t="n"/>
    </row>
    <row r="325">
      <c r="AC325" s="104" t="n"/>
      <c r="AD325" s="104" t="n"/>
      <c r="AE325" s="104" t="n"/>
      <c r="AF325" s="104" t="n"/>
      <c r="AG325" s="104" t="n"/>
      <c r="AH325" s="104" t="n"/>
      <c r="AI325" s="104" t="n"/>
      <c r="AJ325" s="104" t="n"/>
      <c r="AK325" s="104" t="n"/>
      <c r="AL325" s="104" t="n"/>
      <c r="AM325" s="104" t="n"/>
      <c r="AN325" s="104" t="n"/>
      <c r="AO325" s="104" t="n"/>
      <c r="AP325" s="104" t="n"/>
      <c r="AQ325" s="104" t="n"/>
      <c r="AR325" s="104" t="n"/>
      <c r="AS325" s="104" t="n"/>
      <c r="AT325" s="104" t="n"/>
      <c r="AU325" s="104" t="n"/>
      <c r="AV325" s="104" t="n"/>
      <c r="AW325" s="104" t="n"/>
      <c r="AX325" s="104" t="n"/>
      <c r="AY325" s="104" t="n"/>
      <c r="AZ325" s="104" t="n"/>
      <c r="BA325" s="104" t="n"/>
      <c r="BB325" s="104" t="n"/>
      <c r="BC325" s="104" t="n"/>
      <c r="BD325" s="104" t="n"/>
      <c r="BE325" s="104" t="n"/>
      <c r="BF325" s="104" t="n"/>
      <c r="BG325" s="104" t="n"/>
      <c r="BH325" s="104" t="n"/>
      <c r="BI325" s="104" t="n"/>
      <c r="BJ325" s="104" t="n"/>
      <c r="BK325" s="104" t="n"/>
      <c r="BL325" s="104" t="n"/>
      <c r="BM325" s="104" t="n"/>
      <c r="BN325" s="104" t="n"/>
      <c r="BO325" s="104" t="n"/>
      <c r="BP325" s="104" t="n"/>
      <c r="BQ325" s="104" t="n"/>
      <c r="BR325" s="104" t="n"/>
      <c r="BS325" s="104" t="n"/>
      <c r="BT325" s="104" t="n"/>
      <c r="BU325" s="104" t="n"/>
      <c r="BV325" s="104" t="n"/>
      <c r="BW325" s="104" t="n"/>
      <c r="BX325" s="104" t="n"/>
    </row>
    <row r="326">
      <c r="AC326" s="104" t="n"/>
      <c r="AD326" s="104" t="n"/>
      <c r="AE326" s="104" t="n"/>
      <c r="AF326" s="104" t="n"/>
      <c r="AG326" s="104" t="n"/>
      <c r="AH326" s="104" t="n"/>
      <c r="AI326" s="104" t="n"/>
      <c r="AJ326" s="104" t="n"/>
      <c r="AK326" s="104" t="n"/>
      <c r="AL326" s="104" t="n"/>
      <c r="AM326" s="104" t="n"/>
      <c r="AN326" s="104" t="n"/>
      <c r="AO326" s="104" t="n"/>
      <c r="AP326" s="104" t="n"/>
      <c r="AQ326" s="104" t="n"/>
      <c r="AR326" s="104" t="n"/>
      <c r="AS326" s="104" t="n"/>
      <c r="AT326" s="104" t="n"/>
      <c r="AU326" s="104" t="n"/>
      <c r="AV326" s="104" t="n"/>
      <c r="AW326" s="104" t="n"/>
      <c r="AX326" s="104" t="n"/>
      <c r="AY326" s="104" t="n"/>
      <c r="AZ326" s="104" t="n"/>
      <c r="BA326" s="104" t="n"/>
      <c r="BB326" s="104" t="n"/>
      <c r="BC326" s="104" t="n"/>
      <c r="BD326" s="104" t="n"/>
      <c r="BE326" s="104" t="n"/>
      <c r="BF326" s="104" t="n"/>
      <c r="BG326" s="104" t="n"/>
      <c r="BH326" s="104" t="n"/>
      <c r="BI326" s="104" t="n"/>
      <c r="BJ326" s="104" t="n"/>
      <c r="BK326" s="104" t="n"/>
      <c r="BL326" s="104" t="n"/>
      <c r="BM326" s="104" t="n"/>
      <c r="BN326" s="104" t="n"/>
      <c r="BO326" s="104" t="n"/>
      <c r="BP326" s="104" t="n"/>
      <c r="BQ326" s="104" t="n"/>
      <c r="BR326" s="104" t="n"/>
      <c r="BS326" s="104" t="n"/>
      <c r="BT326" s="104" t="n"/>
      <c r="BU326" s="104" t="n"/>
      <c r="BV326" s="104" t="n"/>
      <c r="BW326" s="104" t="n"/>
      <c r="BX326" s="104" t="n"/>
    </row>
    <row r="327">
      <c r="AC327" s="104" t="n"/>
      <c r="AD327" s="104" t="n"/>
      <c r="AE327" s="104" t="n"/>
      <c r="AF327" s="104" t="n"/>
      <c r="AG327" s="104" t="n"/>
      <c r="AH327" s="104" t="n"/>
      <c r="AI327" s="104" t="n"/>
      <c r="AJ327" s="104" t="n"/>
      <c r="AK327" s="104" t="n"/>
      <c r="AL327" s="104" t="n"/>
      <c r="AM327" s="104" t="n"/>
      <c r="AN327" s="104" t="n"/>
      <c r="AO327" s="104" t="n"/>
      <c r="AP327" s="104" t="n"/>
      <c r="AQ327" s="104" t="n"/>
      <c r="AR327" s="104" t="n"/>
      <c r="AS327" s="104" t="n"/>
      <c r="AT327" s="104" t="n"/>
      <c r="AU327" s="104" t="n"/>
      <c r="AV327" s="104" t="n"/>
      <c r="AW327" s="104" t="n"/>
      <c r="AX327" s="104" t="n"/>
      <c r="AY327" s="104" t="n"/>
      <c r="AZ327" s="104" t="n"/>
      <c r="BA327" s="104" t="n"/>
      <c r="BB327" s="104" t="n"/>
      <c r="BC327" s="104" t="n"/>
      <c r="BD327" s="104" t="n"/>
      <c r="BE327" s="104" t="n"/>
      <c r="BF327" s="104" t="n"/>
      <c r="BG327" s="104" t="n"/>
      <c r="BH327" s="104" t="n"/>
      <c r="BI327" s="104" t="n"/>
      <c r="BJ327" s="104" t="n"/>
      <c r="BK327" s="104" t="n"/>
      <c r="BL327" s="104" t="n"/>
      <c r="BM327" s="104" t="n"/>
      <c r="BN327" s="104" t="n"/>
      <c r="BO327" s="104" t="n"/>
      <c r="BP327" s="104" t="n"/>
      <c r="BQ327" s="104" t="n"/>
      <c r="BR327" s="104" t="n"/>
      <c r="BS327" s="104" t="n"/>
      <c r="BT327" s="104" t="n"/>
      <c r="BU327" s="104" t="n"/>
      <c r="BV327" s="104" t="n"/>
      <c r="BW327" s="104" t="n"/>
      <c r="BX327" s="104" t="n"/>
    </row>
    <row r="328">
      <c r="AC328" s="104" t="n"/>
      <c r="AD328" s="104" t="n"/>
      <c r="AE328" s="104" t="n"/>
      <c r="AF328" s="104" t="n"/>
      <c r="AG328" s="104" t="n"/>
      <c r="AH328" s="104" t="n"/>
      <c r="AI328" s="104" t="n"/>
      <c r="AJ328" s="104" t="n"/>
      <c r="AK328" s="104" t="n"/>
      <c r="AL328" s="104" t="n"/>
      <c r="AM328" s="104" t="n"/>
      <c r="AN328" s="104" t="n"/>
      <c r="AO328" s="104" t="n"/>
      <c r="AP328" s="104" t="n"/>
      <c r="AQ328" s="104" t="n"/>
      <c r="AR328" s="104" t="n"/>
      <c r="AS328" s="104" t="n"/>
      <c r="AT328" s="104" t="n"/>
      <c r="AU328" s="104" t="n"/>
      <c r="AV328" s="104" t="n"/>
      <c r="AW328" s="104" t="n"/>
      <c r="AX328" s="104" t="n"/>
      <c r="AY328" s="104" t="n"/>
      <c r="AZ328" s="104" t="n"/>
      <c r="BA328" s="104" t="n"/>
      <c r="BB328" s="104" t="n"/>
      <c r="BC328" s="104" t="n"/>
      <c r="BD328" s="104" t="n"/>
      <c r="BE328" s="104" t="n"/>
      <c r="BF328" s="104" t="n"/>
      <c r="BG328" s="104" t="n"/>
      <c r="BH328" s="104" t="n"/>
      <c r="BI328" s="104" t="n"/>
      <c r="BJ328" s="104" t="n"/>
      <c r="BK328" s="104" t="n"/>
      <c r="BL328" s="104" t="n"/>
      <c r="BM328" s="104" t="n"/>
      <c r="BN328" s="104" t="n"/>
      <c r="BO328" s="104" t="n"/>
      <c r="BP328" s="104" t="n"/>
      <c r="BQ328" s="104" t="n"/>
      <c r="BR328" s="104" t="n"/>
      <c r="BS328" s="104" t="n"/>
      <c r="BT328" s="104" t="n"/>
      <c r="BU328" s="104" t="n"/>
      <c r="BV328" s="104" t="n"/>
      <c r="BW328" s="104" t="n"/>
      <c r="BX328" s="104" t="n"/>
    </row>
    <row r="329">
      <c r="AC329" s="104" t="n"/>
      <c r="AD329" s="104" t="n"/>
      <c r="AE329" s="104" t="n"/>
      <c r="AF329" s="104" t="n"/>
      <c r="AG329" s="104" t="n"/>
      <c r="AH329" s="104" t="n"/>
      <c r="AI329" s="104" t="n"/>
      <c r="AJ329" s="104" t="n"/>
      <c r="AK329" s="104" t="n"/>
      <c r="AL329" s="104" t="n"/>
      <c r="AM329" s="104" t="n"/>
      <c r="AN329" s="104" t="n"/>
      <c r="AO329" s="104" t="n"/>
      <c r="AP329" s="104" t="n"/>
      <c r="AQ329" s="104" t="n"/>
      <c r="AR329" s="104" t="n"/>
      <c r="AS329" s="104" t="n"/>
      <c r="AT329" s="104" t="n"/>
      <c r="AU329" s="104" t="n"/>
      <c r="AV329" s="104" t="n"/>
      <c r="AW329" s="104" t="n"/>
      <c r="AX329" s="104" t="n"/>
      <c r="AY329" s="104" t="n"/>
      <c r="AZ329" s="104" t="n"/>
      <c r="BA329" s="104" t="n"/>
      <c r="BB329" s="104" t="n"/>
      <c r="BC329" s="104" t="n"/>
      <c r="BD329" s="104" t="n"/>
      <c r="BE329" s="104" t="n"/>
      <c r="BF329" s="104" t="n"/>
      <c r="BG329" s="104" t="n"/>
      <c r="BH329" s="104" t="n"/>
      <c r="BI329" s="104" t="n"/>
      <c r="BJ329" s="104" t="n"/>
      <c r="BK329" s="104" t="n"/>
      <c r="BL329" s="104" t="n"/>
      <c r="BM329" s="104" t="n"/>
      <c r="BN329" s="104" t="n"/>
      <c r="BO329" s="104" t="n"/>
      <c r="BP329" s="104" t="n"/>
      <c r="BQ329" s="104" t="n"/>
      <c r="BR329" s="104" t="n"/>
      <c r="BS329" s="104" t="n"/>
      <c r="BT329" s="104" t="n"/>
      <c r="BU329" s="104" t="n"/>
      <c r="BV329" s="104" t="n"/>
      <c r="BW329" s="104" t="n"/>
      <c r="BX329" s="104" t="n"/>
    </row>
    <row r="330">
      <c r="AC330" s="104" t="n"/>
      <c r="AD330" s="104" t="n"/>
      <c r="AE330" s="104" t="n"/>
      <c r="AF330" s="104" t="n"/>
      <c r="AG330" s="104" t="n"/>
      <c r="AH330" s="104" t="n"/>
      <c r="AI330" s="104" t="n"/>
      <c r="AJ330" s="104" t="n"/>
      <c r="AK330" s="104" t="n"/>
      <c r="AL330" s="104" t="n"/>
      <c r="AM330" s="104" t="n"/>
      <c r="AN330" s="104" t="n"/>
      <c r="AO330" s="104" t="n"/>
      <c r="AP330" s="104" t="n"/>
      <c r="AQ330" s="104" t="n"/>
      <c r="AR330" s="104" t="n"/>
      <c r="AS330" s="104" t="n"/>
      <c r="AT330" s="104" t="n"/>
      <c r="AU330" s="104" t="n"/>
      <c r="AV330" s="104" t="n"/>
      <c r="AW330" s="104" t="n"/>
      <c r="AX330" s="104" t="n"/>
      <c r="AY330" s="104" t="n"/>
      <c r="AZ330" s="104" t="n"/>
      <c r="BA330" s="104" t="n"/>
      <c r="BB330" s="104" t="n"/>
      <c r="BC330" s="104" t="n"/>
      <c r="BD330" s="104" t="n"/>
      <c r="BE330" s="104" t="n"/>
      <c r="BF330" s="104" t="n"/>
      <c r="BG330" s="104" t="n"/>
      <c r="BH330" s="104" t="n"/>
      <c r="BI330" s="104" t="n"/>
      <c r="BJ330" s="104" t="n"/>
      <c r="BK330" s="104" t="n"/>
      <c r="BL330" s="104" t="n"/>
      <c r="BM330" s="104" t="n"/>
      <c r="BN330" s="104" t="n"/>
      <c r="BO330" s="104" t="n"/>
      <c r="BP330" s="104" t="n"/>
      <c r="BQ330" s="104" t="n"/>
      <c r="BR330" s="104" t="n"/>
      <c r="BS330" s="104" t="n"/>
      <c r="BT330" s="104" t="n"/>
      <c r="BU330" s="104" t="n"/>
      <c r="BV330" s="104" t="n"/>
      <c r="BW330" s="104" t="n"/>
      <c r="BX330" s="104" t="n"/>
    </row>
    <row r="331">
      <c r="AC331" s="104" t="n"/>
      <c r="AD331" s="104" t="n"/>
      <c r="AE331" s="104" t="n"/>
      <c r="AF331" s="104" t="n"/>
      <c r="AG331" s="104" t="n"/>
      <c r="AH331" s="104" t="n"/>
      <c r="AI331" s="104" t="n"/>
      <c r="AJ331" s="104" t="n"/>
      <c r="AK331" s="104" t="n"/>
      <c r="AL331" s="104" t="n"/>
      <c r="AM331" s="104" t="n"/>
      <c r="AN331" s="104" t="n"/>
      <c r="AO331" s="104" t="n"/>
      <c r="AP331" s="104" t="n"/>
      <c r="AQ331" s="104" t="n"/>
      <c r="AR331" s="104" t="n"/>
      <c r="AS331" s="104" t="n"/>
      <c r="AT331" s="104" t="n"/>
      <c r="AU331" s="104" t="n"/>
      <c r="AV331" s="104" t="n"/>
      <c r="AW331" s="104" t="n"/>
      <c r="AX331" s="104" t="n"/>
      <c r="AY331" s="104" t="n"/>
      <c r="AZ331" s="104" t="n"/>
      <c r="BA331" s="104" t="n"/>
      <c r="BB331" s="104" t="n"/>
      <c r="BC331" s="104" t="n"/>
      <c r="BD331" s="104" t="n"/>
      <c r="BE331" s="104" t="n"/>
      <c r="BF331" s="104" t="n"/>
      <c r="BG331" s="104" t="n"/>
      <c r="BH331" s="104" t="n"/>
      <c r="BI331" s="104" t="n"/>
      <c r="BJ331" s="104" t="n"/>
      <c r="BK331" s="104" t="n"/>
      <c r="BL331" s="104" t="n"/>
      <c r="BM331" s="104" t="n"/>
      <c r="BN331" s="104" t="n"/>
      <c r="BO331" s="104" t="n"/>
      <c r="BP331" s="104" t="n"/>
      <c r="BQ331" s="104" t="n"/>
      <c r="BR331" s="104" t="n"/>
      <c r="BS331" s="104" t="n"/>
      <c r="BT331" s="104" t="n"/>
      <c r="BU331" s="104" t="n"/>
      <c r="BV331" s="104" t="n"/>
      <c r="BW331" s="104" t="n"/>
      <c r="BX331" s="104" t="n"/>
    </row>
    <row r="332">
      <c r="AC332" s="104" t="n"/>
      <c r="AD332" s="104" t="n"/>
      <c r="AE332" s="104" t="n"/>
      <c r="AF332" s="104" t="n"/>
      <c r="AG332" s="104" t="n"/>
      <c r="AH332" s="104" t="n"/>
      <c r="AI332" s="104" t="n"/>
      <c r="AJ332" s="104" t="n"/>
      <c r="AK332" s="104" t="n"/>
      <c r="AL332" s="104" t="n"/>
      <c r="AM332" s="104" t="n"/>
      <c r="AN332" s="104" t="n"/>
      <c r="AO332" s="104" t="n"/>
      <c r="AP332" s="104" t="n"/>
      <c r="AQ332" s="104" t="n"/>
      <c r="AR332" s="104" t="n"/>
      <c r="AS332" s="104" t="n"/>
      <c r="AT332" s="104" t="n"/>
      <c r="AU332" s="104" t="n"/>
      <c r="AV332" s="104" t="n"/>
      <c r="AW332" s="104" t="n"/>
      <c r="AX332" s="104" t="n"/>
      <c r="AY332" s="104" t="n"/>
      <c r="AZ332" s="104" t="n"/>
      <c r="BA332" s="104" t="n"/>
      <c r="BB332" s="104" t="n"/>
      <c r="BC332" s="104" t="n"/>
      <c r="BD332" s="104" t="n"/>
      <c r="BE332" s="104" t="n"/>
      <c r="BF332" s="104" t="n"/>
      <c r="BG332" s="104" t="n"/>
      <c r="BH332" s="104" t="n"/>
      <c r="BI332" s="104" t="n"/>
      <c r="BJ332" s="104" t="n"/>
      <c r="BK332" s="104" t="n"/>
      <c r="BL332" s="104" t="n"/>
      <c r="BM332" s="104" t="n"/>
      <c r="BN332" s="104" t="n"/>
      <c r="BO332" s="104" t="n"/>
      <c r="BP332" s="104" t="n"/>
      <c r="BQ332" s="104" t="n"/>
      <c r="BR332" s="104" t="n"/>
      <c r="BS332" s="104" t="n"/>
      <c r="BT332" s="104" t="n"/>
      <c r="BU332" s="104" t="n"/>
      <c r="BV332" s="104" t="n"/>
      <c r="BW332" s="104" t="n"/>
      <c r="BX332" s="104" t="n"/>
    </row>
    <row r="333">
      <c r="AC333" s="104" t="n"/>
      <c r="AD333" s="104" t="n"/>
      <c r="AE333" s="104" t="n"/>
      <c r="AF333" s="104" t="n"/>
      <c r="AG333" s="104" t="n"/>
      <c r="AH333" s="104" t="n"/>
      <c r="AI333" s="104" t="n"/>
      <c r="AJ333" s="104" t="n"/>
      <c r="AK333" s="104" t="n"/>
      <c r="AL333" s="104" t="n"/>
      <c r="AM333" s="104" t="n"/>
      <c r="AN333" s="104" t="n"/>
      <c r="AO333" s="104" t="n"/>
      <c r="AP333" s="104" t="n"/>
      <c r="AQ333" s="104" t="n"/>
      <c r="AR333" s="104" t="n"/>
      <c r="AS333" s="104" t="n"/>
      <c r="AT333" s="104" t="n"/>
      <c r="AU333" s="104" t="n"/>
      <c r="AV333" s="104" t="n"/>
      <c r="AW333" s="104" t="n"/>
      <c r="AX333" s="104" t="n"/>
      <c r="AY333" s="104" t="n"/>
      <c r="AZ333" s="104" t="n"/>
      <c r="BA333" s="104" t="n"/>
      <c r="BB333" s="104" t="n"/>
      <c r="BC333" s="104" t="n"/>
      <c r="BD333" s="104" t="n"/>
      <c r="BE333" s="104" t="n"/>
      <c r="BF333" s="104" t="n"/>
      <c r="BG333" s="104" t="n"/>
      <c r="BH333" s="104" t="n"/>
      <c r="BI333" s="104" t="n"/>
      <c r="BJ333" s="104" t="n"/>
      <c r="BK333" s="104" t="n"/>
      <c r="BL333" s="104" t="n"/>
      <c r="BM333" s="104" t="n"/>
      <c r="BN333" s="104" t="n"/>
      <c r="BO333" s="104" t="n"/>
      <c r="BP333" s="104" t="n"/>
      <c r="BQ333" s="104" t="n"/>
      <c r="BR333" s="104" t="n"/>
      <c r="BS333" s="104" t="n"/>
      <c r="BT333" s="104" t="n"/>
      <c r="BU333" s="104" t="n"/>
      <c r="BV333" s="104" t="n"/>
      <c r="BW333" s="104" t="n"/>
      <c r="BX333" s="104" t="n"/>
    </row>
    <row r="334">
      <c r="AC334" s="104" t="n"/>
      <c r="AD334" s="104" t="n"/>
      <c r="AE334" s="104" t="n"/>
      <c r="AF334" s="104" t="n"/>
      <c r="AG334" s="104" t="n"/>
      <c r="AH334" s="104" t="n"/>
      <c r="AI334" s="104" t="n"/>
      <c r="AJ334" s="104" t="n"/>
      <c r="AK334" s="104" t="n"/>
      <c r="AL334" s="104" t="n"/>
      <c r="AM334" s="104" t="n"/>
      <c r="AN334" s="104" t="n"/>
      <c r="AO334" s="104" t="n"/>
      <c r="AP334" s="104" t="n"/>
      <c r="AQ334" s="104" t="n"/>
      <c r="AR334" s="104" t="n"/>
      <c r="AS334" s="104" t="n"/>
      <c r="AT334" s="104" t="n"/>
      <c r="AU334" s="104" t="n"/>
      <c r="AV334" s="104" t="n"/>
      <c r="AW334" s="104" t="n"/>
      <c r="AX334" s="104" t="n"/>
      <c r="AY334" s="104" t="n"/>
      <c r="AZ334" s="104" t="n"/>
      <c r="BA334" s="104" t="n"/>
      <c r="BB334" s="104" t="n"/>
      <c r="BC334" s="104" t="n"/>
      <c r="BD334" s="104" t="n"/>
      <c r="BE334" s="104" t="n"/>
      <c r="BF334" s="104" t="n"/>
      <c r="BG334" s="104" t="n"/>
      <c r="BH334" s="104" t="n"/>
      <c r="BI334" s="104" t="n"/>
      <c r="BJ334" s="104" t="n"/>
      <c r="BK334" s="104" t="n"/>
      <c r="BL334" s="104" t="n"/>
      <c r="BM334" s="104" t="n"/>
      <c r="BN334" s="104" t="n"/>
      <c r="BO334" s="104" t="n"/>
      <c r="BP334" s="104" t="n"/>
      <c r="BQ334" s="104" t="n"/>
      <c r="BR334" s="104" t="n"/>
      <c r="BS334" s="104" t="n"/>
      <c r="BT334" s="104" t="n"/>
      <c r="BU334" s="104" t="n"/>
      <c r="BV334" s="104" t="n"/>
      <c r="BW334" s="104" t="n"/>
      <c r="BX334" s="104" t="n"/>
    </row>
    <row r="335">
      <c r="AC335" s="104" t="n"/>
      <c r="AD335" s="104" t="n"/>
      <c r="AE335" s="104" t="n"/>
      <c r="AF335" s="104" t="n"/>
      <c r="AG335" s="104" t="n"/>
      <c r="AH335" s="104" t="n"/>
      <c r="AI335" s="104" t="n"/>
      <c r="AJ335" s="104" t="n"/>
      <c r="AK335" s="104" t="n"/>
      <c r="AL335" s="104" t="n"/>
      <c r="AM335" s="104" t="n"/>
      <c r="AN335" s="104" t="n"/>
      <c r="AO335" s="104" t="n"/>
      <c r="AP335" s="104" t="n"/>
      <c r="AQ335" s="104" t="n"/>
      <c r="AR335" s="104" t="n"/>
      <c r="AS335" s="104" t="n"/>
      <c r="AT335" s="104" t="n"/>
      <c r="AU335" s="104" t="n"/>
      <c r="AV335" s="104" t="n"/>
      <c r="AW335" s="104" t="n"/>
      <c r="AX335" s="104" t="n"/>
      <c r="AY335" s="104" t="n"/>
      <c r="AZ335" s="104" t="n"/>
      <c r="BA335" s="104" t="n"/>
      <c r="BB335" s="104" t="n"/>
      <c r="BC335" s="104" t="n"/>
      <c r="BD335" s="104" t="n"/>
      <c r="BE335" s="104" t="n"/>
      <c r="BF335" s="104" t="n"/>
      <c r="BG335" s="104" t="n"/>
      <c r="BH335" s="104" t="n"/>
      <c r="BI335" s="104" t="n"/>
      <c r="BJ335" s="104" t="n"/>
      <c r="BK335" s="104" t="n"/>
      <c r="BL335" s="104" t="n"/>
      <c r="BM335" s="104" t="n"/>
      <c r="BN335" s="104" t="n"/>
      <c r="BO335" s="104" t="n"/>
      <c r="BP335" s="104" t="n"/>
      <c r="BQ335" s="104" t="n"/>
      <c r="BR335" s="104" t="n"/>
      <c r="BS335" s="104" t="n"/>
      <c r="BT335" s="104" t="n"/>
      <c r="BU335" s="104" t="n"/>
      <c r="BV335" s="104" t="n"/>
      <c r="BW335" s="104" t="n"/>
      <c r="BX335" s="104" t="n"/>
    </row>
    <row r="336">
      <c r="AC336" s="104" t="n"/>
      <c r="AD336" s="104" t="n"/>
      <c r="AE336" s="104" t="n"/>
      <c r="AF336" s="104" t="n"/>
      <c r="AG336" s="104" t="n"/>
      <c r="AH336" s="104" t="n"/>
      <c r="AI336" s="104" t="n"/>
      <c r="AJ336" s="104" t="n"/>
      <c r="AK336" s="104" t="n"/>
      <c r="AL336" s="104" t="n"/>
      <c r="AM336" s="104" t="n"/>
      <c r="AN336" s="104" t="n"/>
      <c r="AO336" s="104" t="n"/>
      <c r="AP336" s="104" t="n"/>
      <c r="AQ336" s="104" t="n"/>
      <c r="AR336" s="104" t="n"/>
      <c r="AS336" s="104" t="n"/>
      <c r="AT336" s="104" t="n"/>
      <c r="AU336" s="104" t="n"/>
      <c r="AV336" s="104" t="n"/>
      <c r="AW336" s="104" t="n"/>
      <c r="AX336" s="104" t="n"/>
      <c r="AY336" s="104" t="n"/>
      <c r="AZ336" s="104" t="n"/>
      <c r="BA336" s="104" t="n"/>
      <c r="BB336" s="104" t="n"/>
      <c r="BC336" s="104" t="n"/>
      <c r="BD336" s="104" t="n"/>
      <c r="BE336" s="104" t="n"/>
      <c r="BF336" s="104" t="n"/>
      <c r="BG336" s="104" t="n"/>
      <c r="BH336" s="104" t="n"/>
      <c r="BI336" s="104" t="n"/>
      <c r="BJ336" s="104" t="n"/>
      <c r="BK336" s="104" t="n"/>
      <c r="BL336" s="104" t="n"/>
      <c r="BM336" s="104" t="n"/>
      <c r="BN336" s="104" t="n"/>
      <c r="BO336" s="104" t="n"/>
      <c r="BP336" s="104" t="n"/>
      <c r="BQ336" s="104" t="n"/>
      <c r="BR336" s="104" t="n"/>
      <c r="BS336" s="104" t="n"/>
      <c r="BT336" s="104" t="n"/>
      <c r="BU336" s="104" t="n"/>
      <c r="BV336" s="104" t="n"/>
      <c r="BW336" s="104" t="n"/>
      <c r="BX336" s="104" t="n"/>
    </row>
    <row r="337">
      <c r="AC337" s="104" t="n"/>
      <c r="AD337" s="104" t="n"/>
      <c r="AE337" s="104" t="n"/>
      <c r="AF337" s="104" t="n"/>
      <c r="AG337" s="104" t="n"/>
      <c r="AH337" s="104" t="n"/>
      <c r="AI337" s="104" t="n"/>
      <c r="AJ337" s="104" t="n"/>
      <c r="AK337" s="104" t="n"/>
      <c r="AL337" s="104" t="n"/>
      <c r="AM337" s="104" t="n"/>
      <c r="AN337" s="104" t="n"/>
      <c r="AO337" s="104" t="n"/>
      <c r="AP337" s="104" t="n"/>
      <c r="AQ337" s="104" t="n"/>
      <c r="AR337" s="104" t="n"/>
      <c r="AS337" s="104" t="n"/>
      <c r="AT337" s="104" t="n"/>
      <c r="AU337" s="104" t="n"/>
      <c r="AV337" s="104" t="n"/>
      <c r="AW337" s="104" t="n"/>
      <c r="AX337" s="104" t="n"/>
      <c r="AY337" s="104" t="n"/>
      <c r="AZ337" s="104" t="n"/>
      <c r="BA337" s="104" t="n"/>
      <c r="BB337" s="104" t="n"/>
      <c r="BC337" s="104" t="n"/>
      <c r="BD337" s="104" t="n"/>
      <c r="BE337" s="104" t="n"/>
      <c r="BF337" s="104" t="n"/>
      <c r="BG337" s="104" t="n"/>
      <c r="BH337" s="104" t="n"/>
      <c r="BI337" s="104" t="n"/>
      <c r="BJ337" s="104" t="n"/>
      <c r="BK337" s="104" t="n"/>
      <c r="BL337" s="104" t="n"/>
      <c r="BM337" s="104" t="n"/>
      <c r="BN337" s="104" t="n"/>
      <c r="BO337" s="104" t="n"/>
      <c r="BP337" s="104" t="n"/>
      <c r="BQ337" s="104" t="n"/>
      <c r="BR337" s="104" t="n"/>
      <c r="BS337" s="104" t="n"/>
      <c r="BT337" s="104" t="n"/>
      <c r="BU337" s="104" t="n"/>
      <c r="BV337" s="104" t="n"/>
      <c r="BW337" s="104" t="n"/>
      <c r="BX337" s="104" t="n"/>
    </row>
    <row r="338">
      <c r="AC338" s="104" t="n"/>
      <c r="AD338" s="104" t="n"/>
      <c r="AE338" s="104" t="n"/>
      <c r="AF338" s="104" t="n"/>
      <c r="AG338" s="104" t="n"/>
      <c r="AH338" s="104" t="n"/>
      <c r="AI338" s="104" t="n"/>
      <c r="AJ338" s="104" t="n"/>
      <c r="AK338" s="104" t="n"/>
      <c r="AL338" s="104" t="n"/>
      <c r="AM338" s="104" t="n"/>
      <c r="AN338" s="104" t="n"/>
      <c r="AO338" s="104" t="n"/>
      <c r="AP338" s="104" t="n"/>
      <c r="AQ338" s="104" t="n"/>
      <c r="AR338" s="104" t="n"/>
      <c r="AS338" s="104" t="n"/>
      <c r="AT338" s="104" t="n"/>
      <c r="AU338" s="104" t="n"/>
      <c r="AV338" s="104" t="n"/>
      <c r="AW338" s="104" t="n"/>
      <c r="AX338" s="104" t="n"/>
      <c r="AY338" s="104" t="n"/>
      <c r="AZ338" s="104" t="n"/>
      <c r="BA338" s="104" t="n"/>
      <c r="BB338" s="104" t="n"/>
      <c r="BC338" s="104" t="n"/>
      <c r="BD338" s="104" t="n"/>
      <c r="BE338" s="104" t="n"/>
      <c r="BF338" s="104" t="n"/>
      <c r="BG338" s="104" t="n"/>
      <c r="BH338" s="104" t="n"/>
      <c r="BI338" s="104" t="n"/>
      <c r="BJ338" s="104" t="n"/>
      <c r="BK338" s="104" t="n"/>
      <c r="BL338" s="104" t="n"/>
      <c r="BM338" s="104" t="n"/>
      <c r="BN338" s="104" t="n"/>
      <c r="BO338" s="104" t="n"/>
      <c r="BP338" s="104" t="n"/>
      <c r="BQ338" s="104" t="n"/>
      <c r="BR338" s="104" t="n"/>
      <c r="BS338" s="104" t="n"/>
      <c r="BT338" s="104" t="n"/>
      <c r="BU338" s="104" t="n"/>
      <c r="BV338" s="104" t="n"/>
      <c r="BW338" s="104" t="n"/>
      <c r="BX338" s="104" t="n"/>
    </row>
    <row r="339">
      <c r="AC339" s="104" t="n"/>
      <c r="AD339" s="104" t="n"/>
      <c r="AE339" s="104" t="n"/>
      <c r="AF339" s="104" t="n"/>
      <c r="AG339" s="104" t="n"/>
      <c r="AH339" s="104" t="n"/>
      <c r="AI339" s="104" t="n"/>
      <c r="AJ339" s="104" t="n"/>
      <c r="AK339" s="104" t="n"/>
      <c r="AL339" s="104" t="n"/>
      <c r="AM339" s="104" t="n"/>
      <c r="AN339" s="104" t="n"/>
      <c r="AO339" s="104" t="n"/>
      <c r="AP339" s="104" t="n"/>
      <c r="AQ339" s="104" t="n"/>
      <c r="AR339" s="104" t="n"/>
      <c r="AS339" s="104" t="n"/>
      <c r="AT339" s="104" t="n"/>
      <c r="AU339" s="104" t="n"/>
      <c r="AV339" s="104" t="n"/>
      <c r="AW339" s="104" t="n"/>
      <c r="AX339" s="104" t="n"/>
      <c r="AY339" s="104" t="n"/>
      <c r="AZ339" s="104" t="n"/>
      <c r="BA339" s="104" t="n"/>
      <c r="BB339" s="104" t="n"/>
      <c r="BC339" s="104" t="n"/>
      <c r="BD339" s="104" t="n"/>
      <c r="BE339" s="104" t="n"/>
      <c r="BF339" s="104" t="n"/>
      <c r="BG339" s="104" t="n"/>
      <c r="BH339" s="104" t="n"/>
      <c r="BI339" s="104" t="n"/>
      <c r="BJ339" s="104" t="n"/>
      <c r="BK339" s="104" t="n"/>
      <c r="BL339" s="104" t="n"/>
      <c r="BM339" s="104" t="n"/>
      <c r="BN339" s="104" t="n"/>
      <c r="BO339" s="104" t="n"/>
      <c r="BP339" s="104" t="n"/>
      <c r="BQ339" s="104" t="n"/>
      <c r="BR339" s="104" t="n"/>
      <c r="BS339" s="104" t="n"/>
      <c r="BT339" s="104" t="n"/>
      <c r="BU339" s="104" t="n"/>
      <c r="BV339" s="104" t="n"/>
      <c r="BW339" s="104" t="n"/>
      <c r="BX339" s="104" t="n"/>
    </row>
    <row r="340">
      <c r="AC340" s="104" t="n"/>
      <c r="AD340" s="104" t="n"/>
      <c r="AE340" s="104" t="n"/>
      <c r="AF340" s="104" t="n"/>
      <c r="AG340" s="104" t="n"/>
      <c r="AH340" s="104" t="n"/>
      <c r="AI340" s="104" t="n"/>
      <c r="AJ340" s="104" t="n"/>
      <c r="AK340" s="104" t="n"/>
      <c r="AL340" s="104" t="n"/>
      <c r="AM340" s="104" t="n"/>
      <c r="AN340" s="104" t="n"/>
      <c r="AO340" s="104" t="n"/>
      <c r="AP340" s="104" t="n"/>
      <c r="AQ340" s="104" t="n"/>
      <c r="AR340" s="104" t="n"/>
      <c r="AS340" s="104" t="n"/>
      <c r="AT340" s="104" t="n"/>
      <c r="AU340" s="104" t="n"/>
      <c r="AV340" s="104" t="n"/>
      <c r="AW340" s="104" t="n"/>
      <c r="AX340" s="104" t="n"/>
      <c r="AY340" s="104" t="n"/>
      <c r="AZ340" s="104" t="n"/>
      <c r="BA340" s="104" t="n"/>
      <c r="BB340" s="104" t="n"/>
      <c r="BC340" s="104" t="n"/>
      <c r="BD340" s="104" t="n"/>
      <c r="BE340" s="104" t="n"/>
      <c r="BF340" s="104" t="n"/>
      <c r="BG340" s="104" t="n"/>
      <c r="BH340" s="104" t="n"/>
      <c r="BI340" s="104" t="n"/>
      <c r="BJ340" s="104" t="n"/>
      <c r="BK340" s="104" t="n"/>
      <c r="BL340" s="104" t="n"/>
      <c r="BM340" s="104" t="n"/>
      <c r="BN340" s="104" t="n"/>
      <c r="BO340" s="104" t="n"/>
      <c r="BP340" s="104" t="n"/>
      <c r="BQ340" s="104" t="n"/>
      <c r="BR340" s="104" t="n"/>
      <c r="BS340" s="104" t="n"/>
      <c r="BT340" s="104" t="n"/>
      <c r="BU340" s="104" t="n"/>
      <c r="BV340" s="104" t="n"/>
      <c r="BW340" s="104" t="n"/>
      <c r="BX340" s="104" t="n"/>
    </row>
    <row r="341">
      <c r="AC341" s="104" t="n"/>
      <c r="AD341" s="104" t="n"/>
      <c r="AE341" s="104" t="n"/>
      <c r="AF341" s="104" t="n"/>
      <c r="AG341" s="104" t="n"/>
      <c r="AH341" s="104" t="n"/>
      <c r="AI341" s="104" t="n"/>
      <c r="AJ341" s="104" t="n"/>
      <c r="AK341" s="104" t="n"/>
      <c r="AL341" s="104" t="n"/>
      <c r="AM341" s="104" t="n"/>
      <c r="AN341" s="104" t="n"/>
      <c r="AO341" s="104" t="n"/>
      <c r="AP341" s="104" t="n"/>
      <c r="AQ341" s="104" t="n"/>
      <c r="AR341" s="104" t="n"/>
      <c r="AS341" s="104" t="n"/>
      <c r="AT341" s="104" t="n"/>
      <c r="AU341" s="104" t="n"/>
      <c r="AV341" s="104" t="n"/>
      <c r="AW341" s="104" t="n"/>
      <c r="AX341" s="104" t="n"/>
      <c r="AY341" s="104" t="n"/>
      <c r="AZ341" s="104" t="n"/>
      <c r="BA341" s="104" t="n"/>
      <c r="BB341" s="104" t="n"/>
      <c r="BC341" s="104" t="n"/>
      <c r="BD341" s="104" t="n"/>
      <c r="BE341" s="104" t="n"/>
      <c r="BF341" s="104" t="n"/>
      <c r="BG341" s="104" t="n"/>
      <c r="BH341" s="104" t="n"/>
      <c r="BI341" s="104" t="n"/>
      <c r="BJ341" s="104" t="n"/>
      <c r="BK341" s="104" t="n"/>
      <c r="BL341" s="104" t="n"/>
      <c r="BM341" s="104" t="n"/>
      <c r="BN341" s="104" t="n"/>
      <c r="BO341" s="104" t="n"/>
      <c r="BP341" s="104" t="n"/>
      <c r="BQ341" s="104" t="n"/>
      <c r="BR341" s="104" t="n"/>
      <c r="BS341" s="104" t="n"/>
      <c r="BT341" s="104" t="n"/>
      <c r="BU341" s="104" t="n"/>
      <c r="BV341" s="104" t="n"/>
      <c r="BW341" s="104" t="n"/>
      <c r="BX341" s="104" t="n"/>
    </row>
    <row r="342">
      <c r="AC342" s="104" t="n"/>
      <c r="AD342" s="104" t="n"/>
      <c r="AE342" s="104" t="n"/>
      <c r="AF342" s="104" t="n"/>
      <c r="AG342" s="104" t="n"/>
      <c r="AH342" s="104" t="n"/>
      <c r="AI342" s="104" t="n"/>
      <c r="AJ342" s="104" t="n"/>
      <c r="AK342" s="104" t="n"/>
      <c r="AL342" s="104" t="n"/>
      <c r="AM342" s="104" t="n"/>
      <c r="AN342" s="104" t="n"/>
      <c r="AO342" s="104" t="n"/>
      <c r="AP342" s="104" t="n"/>
      <c r="AQ342" s="104" t="n"/>
      <c r="AR342" s="104" t="n"/>
      <c r="AS342" s="104" t="n"/>
      <c r="AT342" s="104" t="n"/>
      <c r="AU342" s="104" t="n"/>
      <c r="AV342" s="104" t="n"/>
      <c r="AW342" s="104" t="n"/>
      <c r="AX342" s="104" t="n"/>
      <c r="AY342" s="104" t="n"/>
      <c r="AZ342" s="104" t="n"/>
      <c r="BA342" s="104" t="n"/>
      <c r="BB342" s="104" t="n"/>
      <c r="BC342" s="104" t="n"/>
      <c r="BD342" s="104" t="n"/>
      <c r="BE342" s="104" t="n"/>
      <c r="BF342" s="104" t="n"/>
      <c r="BG342" s="104" t="n"/>
      <c r="BH342" s="104" t="n"/>
      <c r="BI342" s="104" t="n"/>
      <c r="BJ342" s="104" t="n"/>
      <c r="BK342" s="104" t="n"/>
      <c r="BL342" s="104" t="n"/>
      <c r="BM342" s="104" t="n"/>
      <c r="BN342" s="104" t="n"/>
      <c r="BO342" s="104" t="n"/>
      <c r="BP342" s="104" t="n"/>
      <c r="BQ342" s="104" t="n"/>
      <c r="BR342" s="104" t="n"/>
      <c r="BS342" s="104" t="n"/>
      <c r="BT342" s="104" t="n"/>
      <c r="BU342" s="104" t="n"/>
      <c r="BV342" s="104" t="n"/>
      <c r="BW342" s="104" t="n"/>
      <c r="BX342" s="104" t="n"/>
    </row>
    <row r="343">
      <c r="AC343" s="104" t="n"/>
      <c r="AD343" s="104" t="n"/>
      <c r="AE343" s="104" t="n"/>
      <c r="AF343" s="104" t="n"/>
      <c r="AG343" s="104" t="n"/>
      <c r="AH343" s="104" t="n"/>
      <c r="AI343" s="104" t="n"/>
      <c r="AJ343" s="104" t="n"/>
      <c r="AK343" s="104" t="n"/>
      <c r="AL343" s="104" t="n"/>
      <c r="AM343" s="104" t="n"/>
      <c r="AN343" s="104" t="n"/>
      <c r="AO343" s="104" t="n"/>
      <c r="AP343" s="104" t="n"/>
      <c r="AQ343" s="104" t="n"/>
      <c r="AR343" s="104" t="n"/>
      <c r="AS343" s="104" t="n"/>
      <c r="AT343" s="104" t="n"/>
      <c r="AU343" s="104" t="n"/>
      <c r="AV343" s="104" t="n"/>
      <c r="AW343" s="104" t="n"/>
      <c r="AX343" s="104" t="n"/>
      <c r="AY343" s="104" t="n"/>
      <c r="AZ343" s="104" t="n"/>
      <c r="BA343" s="104" t="n"/>
      <c r="BB343" s="104" t="n"/>
      <c r="BC343" s="104" t="n"/>
      <c r="BD343" s="104" t="n"/>
      <c r="BE343" s="104" t="n"/>
      <c r="BF343" s="104" t="n"/>
      <c r="BG343" s="104" t="n"/>
      <c r="BH343" s="104" t="n"/>
      <c r="BI343" s="104" t="n"/>
      <c r="BJ343" s="104" t="n"/>
      <c r="BK343" s="104" t="n"/>
      <c r="BL343" s="104" t="n"/>
      <c r="BM343" s="104" t="n"/>
      <c r="BN343" s="104" t="n"/>
      <c r="BO343" s="104" t="n"/>
      <c r="BP343" s="104" t="n"/>
      <c r="BQ343" s="104" t="n"/>
      <c r="BR343" s="104" t="n"/>
      <c r="BS343" s="104" t="n"/>
      <c r="BT343" s="104" t="n"/>
      <c r="BU343" s="104" t="n"/>
      <c r="BV343" s="104" t="n"/>
      <c r="BW343" s="104" t="n"/>
      <c r="BX343" s="104" t="n"/>
    </row>
    <row r="344">
      <c r="AC344" s="104" t="n"/>
      <c r="AD344" s="104" t="n"/>
      <c r="AE344" s="104" t="n"/>
      <c r="AF344" s="104" t="n"/>
      <c r="AG344" s="104" t="n"/>
      <c r="AH344" s="104" t="n"/>
      <c r="AI344" s="104" t="n"/>
      <c r="AJ344" s="104" t="n"/>
      <c r="AK344" s="104" t="n"/>
      <c r="AL344" s="104" t="n"/>
      <c r="AM344" s="104" t="n"/>
      <c r="AN344" s="104" t="n"/>
      <c r="AO344" s="104" t="n"/>
      <c r="AP344" s="104" t="n"/>
      <c r="AQ344" s="104" t="n"/>
      <c r="AR344" s="104" t="n"/>
      <c r="AS344" s="104" t="n"/>
      <c r="AT344" s="104" t="n"/>
      <c r="AU344" s="104" t="n"/>
      <c r="AV344" s="104" t="n"/>
      <c r="AW344" s="104" t="n"/>
      <c r="AX344" s="104" t="n"/>
      <c r="AY344" s="104" t="n"/>
      <c r="AZ344" s="104" t="n"/>
      <c r="BA344" s="104" t="n"/>
      <c r="BB344" s="104" t="n"/>
      <c r="BC344" s="104" t="n"/>
      <c r="BD344" s="104" t="n"/>
      <c r="BE344" s="104" t="n"/>
      <c r="BF344" s="104" t="n"/>
      <c r="BG344" s="104" t="n"/>
      <c r="BH344" s="104" t="n"/>
      <c r="BI344" s="104" t="n"/>
      <c r="BJ344" s="104" t="n"/>
      <c r="BK344" s="104" t="n"/>
      <c r="BL344" s="104" t="n"/>
      <c r="BM344" s="104" t="n"/>
      <c r="BN344" s="104" t="n"/>
      <c r="BO344" s="104" t="n"/>
      <c r="BP344" s="104" t="n"/>
      <c r="BQ344" s="104" t="n"/>
      <c r="BR344" s="104" t="n"/>
      <c r="BS344" s="104" t="n"/>
      <c r="BT344" s="104" t="n"/>
      <c r="BU344" s="104" t="n"/>
      <c r="BV344" s="104" t="n"/>
      <c r="BW344" s="104" t="n"/>
      <c r="BX344" s="104" t="n"/>
    </row>
    <row r="345">
      <c r="AC345" s="104" t="n"/>
      <c r="AD345" s="104" t="n"/>
      <c r="AE345" s="104" t="n"/>
      <c r="AF345" s="104" t="n"/>
      <c r="AG345" s="104" t="n"/>
      <c r="AH345" s="104" t="n"/>
      <c r="AI345" s="104" t="n"/>
      <c r="AJ345" s="104" t="n"/>
      <c r="AK345" s="104" t="n"/>
      <c r="AL345" s="104" t="n"/>
      <c r="AM345" s="104" t="n"/>
      <c r="AN345" s="104" t="n"/>
      <c r="AO345" s="104" t="n"/>
      <c r="AP345" s="104" t="n"/>
      <c r="AQ345" s="104" t="n"/>
      <c r="AR345" s="104" t="n"/>
      <c r="AS345" s="104" t="n"/>
      <c r="AT345" s="104" t="n"/>
      <c r="AU345" s="104" t="n"/>
      <c r="AV345" s="104" t="n"/>
      <c r="AW345" s="104" t="n"/>
      <c r="AX345" s="104" t="n"/>
      <c r="AY345" s="104" t="n"/>
      <c r="AZ345" s="104" t="n"/>
      <c r="BA345" s="104" t="n"/>
      <c r="BB345" s="104" t="n"/>
      <c r="BC345" s="104" t="n"/>
      <c r="BD345" s="104" t="n"/>
      <c r="BE345" s="104" t="n"/>
      <c r="BF345" s="104" t="n"/>
      <c r="BG345" s="104" t="n"/>
      <c r="BH345" s="104" t="n"/>
      <c r="BI345" s="104" t="n"/>
      <c r="BJ345" s="104" t="n"/>
      <c r="BK345" s="104" t="n"/>
      <c r="BL345" s="104" t="n"/>
      <c r="BM345" s="104" t="n"/>
      <c r="BN345" s="104" t="n"/>
      <c r="BO345" s="104" t="n"/>
      <c r="BP345" s="104" t="n"/>
      <c r="BQ345" s="104" t="n"/>
      <c r="BR345" s="104" t="n"/>
      <c r="BS345" s="104" t="n"/>
      <c r="BT345" s="104" t="n"/>
      <c r="BU345" s="104" t="n"/>
      <c r="BV345" s="104" t="n"/>
      <c r="BW345" s="104" t="n"/>
      <c r="BX345" s="104" t="n"/>
    </row>
    <row r="346">
      <c r="AC346" s="104" t="n"/>
      <c r="AD346" s="104" t="n"/>
      <c r="AE346" s="104" t="n"/>
      <c r="AF346" s="104" t="n"/>
      <c r="AG346" s="104" t="n"/>
      <c r="AH346" s="104" t="n"/>
      <c r="AI346" s="104" t="n"/>
      <c r="AJ346" s="104" t="n"/>
      <c r="AK346" s="104" t="n"/>
      <c r="AL346" s="104" t="n"/>
      <c r="AM346" s="104" t="n"/>
      <c r="AN346" s="104" t="n"/>
      <c r="AO346" s="104" t="n"/>
      <c r="AP346" s="104" t="n"/>
      <c r="AQ346" s="104" t="n"/>
      <c r="AR346" s="104" t="n"/>
      <c r="AS346" s="104" t="n"/>
      <c r="AT346" s="104" t="n"/>
      <c r="AU346" s="104" t="n"/>
      <c r="AV346" s="104" t="n"/>
      <c r="AW346" s="104" t="n"/>
      <c r="AX346" s="104" t="n"/>
      <c r="AY346" s="104" t="n"/>
      <c r="AZ346" s="104" t="n"/>
      <c r="BA346" s="104" t="n"/>
      <c r="BB346" s="104" t="n"/>
      <c r="BC346" s="104" t="n"/>
      <c r="BD346" s="104" t="n"/>
      <c r="BE346" s="104" t="n"/>
      <c r="BF346" s="104" t="n"/>
      <c r="BG346" s="104" t="n"/>
      <c r="BH346" s="104" t="n"/>
      <c r="BI346" s="104" t="n"/>
      <c r="BJ346" s="104" t="n"/>
      <c r="BK346" s="104" t="n"/>
      <c r="BL346" s="104" t="n"/>
      <c r="BM346" s="104" t="n"/>
      <c r="BN346" s="104" t="n"/>
      <c r="BO346" s="104" t="n"/>
      <c r="BP346" s="104" t="n"/>
      <c r="BQ346" s="104" t="n"/>
      <c r="BR346" s="104" t="n"/>
      <c r="BS346" s="104" t="n"/>
      <c r="BT346" s="104" t="n"/>
      <c r="BU346" s="104" t="n"/>
      <c r="BV346" s="104" t="n"/>
      <c r="BW346" s="104" t="n"/>
      <c r="BX346" s="104" t="n"/>
    </row>
    <row r="347">
      <c r="AC347" s="104" t="n"/>
      <c r="AD347" s="104" t="n"/>
      <c r="AE347" s="104" t="n"/>
      <c r="AF347" s="104" t="n"/>
      <c r="AG347" s="104" t="n"/>
      <c r="AH347" s="104" t="n"/>
      <c r="AI347" s="104" t="n"/>
      <c r="AJ347" s="104" t="n"/>
      <c r="AK347" s="104" t="n"/>
      <c r="AL347" s="104" t="n"/>
      <c r="AM347" s="104" t="n"/>
      <c r="AN347" s="104" t="n"/>
      <c r="AO347" s="104" t="n"/>
      <c r="AP347" s="104" t="n"/>
      <c r="AQ347" s="104" t="n"/>
      <c r="AR347" s="104" t="n"/>
      <c r="AS347" s="104" t="n"/>
      <c r="AT347" s="104" t="n"/>
      <c r="AU347" s="104" t="n"/>
      <c r="AV347" s="104" t="n"/>
      <c r="AW347" s="104" t="n"/>
      <c r="AX347" s="104" t="n"/>
      <c r="AY347" s="104" t="n"/>
      <c r="AZ347" s="104" t="n"/>
      <c r="BA347" s="104" t="n"/>
      <c r="BB347" s="104" t="n"/>
      <c r="BC347" s="104" t="n"/>
      <c r="BD347" s="104" t="n"/>
      <c r="BE347" s="104" t="n"/>
      <c r="BF347" s="104" t="n"/>
      <c r="BG347" s="104" t="n"/>
      <c r="BH347" s="104" t="n"/>
      <c r="BI347" s="104" t="n"/>
      <c r="BJ347" s="104" t="n"/>
      <c r="BK347" s="104" t="n"/>
      <c r="BL347" s="104" t="n"/>
      <c r="BM347" s="104" t="n"/>
      <c r="BN347" s="104" t="n"/>
      <c r="BO347" s="104" t="n"/>
      <c r="BP347" s="104" t="n"/>
      <c r="BQ347" s="104" t="n"/>
      <c r="BR347" s="104" t="n"/>
      <c r="BS347" s="104" t="n"/>
      <c r="BT347" s="104" t="n"/>
      <c r="BU347" s="104" t="n"/>
      <c r="BV347" s="104" t="n"/>
      <c r="BW347" s="104" t="n"/>
      <c r="BX347" s="104" t="n"/>
    </row>
    <row r="348">
      <c r="AC348" s="104" t="n"/>
      <c r="AD348" s="104" t="n"/>
      <c r="AE348" s="104" t="n"/>
      <c r="AF348" s="104" t="n"/>
      <c r="AG348" s="104" t="n"/>
      <c r="AH348" s="104" t="n"/>
      <c r="AI348" s="104" t="n"/>
      <c r="AJ348" s="104" t="n"/>
      <c r="AK348" s="104" t="n"/>
      <c r="AL348" s="104" t="n"/>
      <c r="AM348" s="104" t="n"/>
      <c r="AN348" s="104" t="n"/>
      <c r="AO348" s="104" t="n"/>
      <c r="AP348" s="104" t="n"/>
      <c r="AQ348" s="104" t="n"/>
      <c r="AR348" s="104" t="n"/>
      <c r="AS348" s="104" t="n"/>
      <c r="AT348" s="104" t="n"/>
      <c r="AU348" s="104" t="n"/>
      <c r="AV348" s="104" t="n"/>
      <c r="AW348" s="104" t="n"/>
      <c r="AX348" s="104" t="n"/>
      <c r="AY348" s="104" t="n"/>
      <c r="AZ348" s="104" t="n"/>
      <c r="BA348" s="104" t="n"/>
      <c r="BB348" s="104" t="n"/>
      <c r="BC348" s="104" t="n"/>
      <c r="BD348" s="104" t="n"/>
      <c r="BE348" s="104" t="n"/>
      <c r="BF348" s="104" t="n"/>
      <c r="BG348" s="104" t="n"/>
      <c r="BH348" s="104" t="n"/>
      <c r="BI348" s="104" t="n"/>
      <c r="BJ348" s="104" t="n"/>
      <c r="BK348" s="104" t="n"/>
      <c r="BL348" s="104" t="n"/>
      <c r="BM348" s="104" t="n"/>
      <c r="BN348" s="104" t="n"/>
      <c r="BO348" s="104" t="n"/>
      <c r="BP348" s="104" t="n"/>
      <c r="BQ348" s="104" t="n"/>
      <c r="BR348" s="104" t="n"/>
      <c r="BS348" s="104" t="n"/>
      <c r="BT348" s="104" t="n"/>
      <c r="BU348" s="104" t="n"/>
      <c r="BV348" s="104" t="n"/>
      <c r="BW348" s="104" t="n"/>
      <c r="BX348" s="104" t="n"/>
    </row>
    <row r="349">
      <c r="AC349" s="104" t="n"/>
      <c r="AD349" s="104" t="n"/>
      <c r="AE349" s="104" t="n"/>
      <c r="AF349" s="104" t="n"/>
      <c r="AG349" s="104" t="n"/>
      <c r="AH349" s="104" t="n"/>
      <c r="AI349" s="104" t="n"/>
      <c r="AJ349" s="104" t="n"/>
      <c r="AK349" s="104" t="n"/>
      <c r="AL349" s="104" t="n"/>
      <c r="AM349" s="104" t="n"/>
      <c r="AN349" s="104" t="n"/>
      <c r="AO349" s="104" t="n"/>
      <c r="AP349" s="104" t="n"/>
      <c r="AQ349" s="104" t="n"/>
      <c r="AR349" s="104" t="n"/>
      <c r="AS349" s="104" t="n"/>
      <c r="AT349" s="104" t="n"/>
      <c r="AU349" s="104" t="n"/>
      <c r="AV349" s="104" t="n"/>
      <c r="AW349" s="104" t="n"/>
      <c r="AX349" s="104" t="n"/>
      <c r="AY349" s="104" t="n"/>
      <c r="AZ349" s="104" t="n"/>
      <c r="BA349" s="104" t="n"/>
      <c r="BB349" s="104" t="n"/>
      <c r="BC349" s="104" t="n"/>
      <c r="BD349" s="104" t="n"/>
      <c r="BE349" s="104" t="n"/>
      <c r="BF349" s="104" t="n"/>
      <c r="BG349" s="104" t="n"/>
      <c r="BH349" s="104" t="n"/>
      <c r="BI349" s="104" t="n"/>
      <c r="BJ349" s="104" t="n"/>
      <c r="BK349" s="104" t="n"/>
      <c r="BL349" s="104" t="n"/>
      <c r="BM349" s="104" t="n"/>
      <c r="BN349" s="104" t="n"/>
      <c r="BO349" s="104" t="n"/>
      <c r="BP349" s="104" t="n"/>
      <c r="BQ349" s="104" t="n"/>
      <c r="BR349" s="104" t="n"/>
      <c r="BS349" s="104" t="n"/>
      <c r="BT349" s="104" t="n"/>
      <c r="BU349" s="104" t="n"/>
      <c r="BV349" s="104" t="n"/>
      <c r="BW349" s="104" t="n"/>
      <c r="BX349" s="104" t="n"/>
    </row>
    <row r="350">
      <c r="AC350" s="104" t="n"/>
      <c r="AD350" s="104" t="n"/>
      <c r="AE350" s="104" t="n"/>
      <c r="AF350" s="104" t="n"/>
      <c r="AG350" s="104" t="n"/>
      <c r="AH350" s="104" t="n"/>
      <c r="AI350" s="104" t="n"/>
      <c r="AJ350" s="104" t="n"/>
      <c r="AK350" s="104" t="n"/>
      <c r="AL350" s="104" t="n"/>
      <c r="AM350" s="104" t="n"/>
      <c r="AN350" s="104" t="n"/>
      <c r="AO350" s="104" t="n"/>
      <c r="AP350" s="104" t="n"/>
      <c r="AQ350" s="104" t="n"/>
      <c r="AR350" s="104" t="n"/>
      <c r="AS350" s="104" t="n"/>
      <c r="AT350" s="104" t="n"/>
      <c r="AU350" s="104" t="n"/>
      <c r="AV350" s="104" t="n"/>
      <c r="AW350" s="104" t="n"/>
      <c r="AX350" s="104" t="n"/>
      <c r="AY350" s="104" t="n"/>
      <c r="AZ350" s="104" t="n"/>
      <c r="BA350" s="104" t="n"/>
      <c r="BB350" s="104" t="n"/>
      <c r="BC350" s="104" t="n"/>
      <c r="BD350" s="104" t="n"/>
      <c r="BE350" s="104" t="n"/>
      <c r="BF350" s="104" t="n"/>
      <c r="BG350" s="104" t="n"/>
      <c r="BH350" s="104" t="n"/>
      <c r="BI350" s="104" t="n"/>
      <c r="BJ350" s="104" t="n"/>
      <c r="BK350" s="104" t="n"/>
      <c r="BL350" s="104" t="n"/>
      <c r="BM350" s="104" t="n"/>
      <c r="BN350" s="104" t="n"/>
      <c r="BO350" s="104" t="n"/>
      <c r="BP350" s="104" t="n"/>
      <c r="BQ350" s="104" t="n"/>
      <c r="BR350" s="104" t="n"/>
      <c r="BS350" s="104" t="n"/>
      <c r="BT350" s="104" t="n"/>
      <c r="BU350" s="104" t="n"/>
      <c r="BV350" s="104" t="n"/>
      <c r="BW350" s="104" t="n"/>
      <c r="BX350" s="104" t="n"/>
    </row>
    <row r="351">
      <c r="AC351" s="104" t="n"/>
      <c r="AD351" s="104" t="n"/>
      <c r="AE351" s="104" t="n"/>
      <c r="AF351" s="104" t="n"/>
      <c r="AG351" s="104" t="n"/>
      <c r="AH351" s="104" t="n"/>
      <c r="AI351" s="104" t="n"/>
      <c r="AJ351" s="104" t="n"/>
      <c r="AK351" s="104" t="n"/>
      <c r="AL351" s="104" t="n"/>
      <c r="AM351" s="104" t="n"/>
      <c r="AN351" s="104" t="n"/>
      <c r="AO351" s="104" t="n"/>
      <c r="AP351" s="104" t="n"/>
      <c r="AQ351" s="104" t="n"/>
      <c r="AR351" s="104" t="n"/>
      <c r="AS351" s="104" t="n"/>
      <c r="AT351" s="104" t="n"/>
      <c r="AU351" s="104" t="n"/>
      <c r="AV351" s="104" t="n"/>
      <c r="AW351" s="104" t="n"/>
      <c r="AX351" s="104" t="n"/>
      <c r="AY351" s="104" t="n"/>
      <c r="AZ351" s="104" t="n"/>
      <c r="BA351" s="104" t="n"/>
      <c r="BB351" s="104" t="n"/>
      <c r="BC351" s="104" t="n"/>
      <c r="BD351" s="104" t="n"/>
      <c r="BE351" s="104" t="n"/>
      <c r="BF351" s="104" t="n"/>
      <c r="BG351" s="104" t="n"/>
      <c r="BH351" s="104" t="n"/>
      <c r="BI351" s="104" t="n"/>
      <c r="BJ351" s="104" t="n"/>
      <c r="BK351" s="104" t="n"/>
      <c r="BL351" s="104" t="n"/>
      <c r="BM351" s="104" t="n"/>
      <c r="BN351" s="104" t="n"/>
      <c r="BO351" s="104" t="n"/>
      <c r="BP351" s="104" t="n"/>
      <c r="BQ351" s="104" t="n"/>
      <c r="BR351" s="104" t="n"/>
      <c r="BS351" s="104" t="n"/>
      <c r="BT351" s="104" t="n"/>
      <c r="BU351" s="104" t="n"/>
      <c r="BV351" s="104" t="n"/>
      <c r="BW351" s="104" t="n"/>
      <c r="BX351" s="104" t="n"/>
    </row>
    <row r="352">
      <c r="AC352" s="104" t="n"/>
      <c r="AD352" s="104" t="n"/>
      <c r="AE352" s="104" t="n"/>
      <c r="AF352" s="104" t="n"/>
      <c r="AG352" s="104" t="n"/>
      <c r="AH352" s="104" t="n"/>
      <c r="AI352" s="104" t="n"/>
      <c r="AJ352" s="104" t="n"/>
      <c r="AK352" s="104" t="n"/>
      <c r="AL352" s="104" t="n"/>
      <c r="AM352" s="104" t="n"/>
      <c r="AN352" s="104" t="n"/>
      <c r="AO352" s="104" t="n"/>
      <c r="AP352" s="104" t="n"/>
      <c r="AQ352" s="104" t="n"/>
      <c r="AR352" s="104" t="n"/>
      <c r="AS352" s="104" t="n"/>
      <c r="AT352" s="104" t="n"/>
      <c r="AU352" s="104" t="n"/>
      <c r="AV352" s="104" t="n"/>
      <c r="AW352" s="104" t="n"/>
      <c r="AX352" s="104" t="n"/>
      <c r="AY352" s="104" t="n"/>
      <c r="AZ352" s="104" t="n"/>
      <c r="BA352" s="104" t="n"/>
      <c r="BB352" s="104" t="n"/>
      <c r="BC352" s="104" t="n"/>
      <c r="BD352" s="104" t="n"/>
      <c r="BE352" s="104" t="n"/>
      <c r="BF352" s="104" t="n"/>
      <c r="BG352" s="104" t="n"/>
      <c r="BH352" s="104" t="n"/>
      <c r="BI352" s="104" t="n"/>
      <c r="BJ352" s="104" t="n"/>
      <c r="BK352" s="104" t="n"/>
      <c r="BL352" s="104" t="n"/>
      <c r="BM352" s="104" t="n"/>
      <c r="BN352" s="104" t="n"/>
      <c r="BO352" s="104" t="n"/>
      <c r="BP352" s="104" t="n"/>
      <c r="BQ352" s="104" t="n"/>
      <c r="BR352" s="104" t="n"/>
      <c r="BS352" s="104" t="n"/>
      <c r="BT352" s="104" t="n"/>
      <c r="BU352" s="104" t="n"/>
      <c r="BV352" s="104" t="n"/>
      <c r="BW352" s="104" t="n"/>
      <c r="BX352" s="104" t="n"/>
    </row>
    <row r="353">
      <c r="AC353" s="104" t="n"/>
      <c r="AD353" s="104" t="n"/>
      <c r="AE353" s="104" t="n"/>
      <c r="AF353" s="104" t="n"/>
      <c r="AG353" s="104" t="n"/>
      <c r="AH353" s="104" t="n"/>
      <c r="AI353" s="104" t="n"/>
      <c r="AJ353" s="104" t="n"/>
      <c r="AK353" s="104" t="n"/>
      <c r="AL353" s="104" t="n"/>
      <c r="AM353" s="104" t="n"/>
      <c r="AN353" s="104" t="n"/>
      <c r="AO353" s="104" t="n"/>
      <c r="AP353" s="104" t="n"/>
      <c r="AQ353" s="104" t="n"/>
      <c r="AR353" s="104" t="n"/>
      <c r="AS353" s="104" t="n"/>
      <c r="AT353" s="104" t="n"/>
      <c r="AU353" s="104" t="n"/>
      <c r="AV353" s="104" t="n"/>
      <c r="AW353" s="104" t="n"/>
      <c r="AX353" s="104" t="n"/>
      <c r="AY353" s="104" t="n"/>
      <c r="AZ353" s="104" t="n"/>
      <c r="BA353" s="104" t="n"/>
      <c r="BB353" s="104" t="n"/>
      <c r="BC353" s="104" t="n"/>
      <c r="BD353" s="104" t="n"/>
      <c r="BE353" s="104" t="n"/>
      <c r="BF353" s="104" t="n"/>
      <c r="BG353" s="104" t="n"/>
      <c r="BH353" s="104" t="n"/>
      <c r="BI353" s="104" t="n"/>
      <c r="BJ353" s="104" t="n"/>
      <c r="BK353" s="104" t="n"/>
      <c r="BL353" s="104" t="n"/>
      <c r="BM353" s="104" t="n"/>
      <c r="BN353" s="104" t="n"/>
      <c r="BO353" s="104" t="n"/>
      <c r="BP353" s="104" t="n"/>
      <c r="BQ353" s="104" t="n"/>
      <c r="BR353" s="104" t="n"/>
      <c r="BS353" s="104" t="n"/>
      <c r="BT353" s="104" t="n"/>
      <c r="BU353" s="104" t="n"/>
      <c r="BV353" s="104" t="n"/>
      <c r="BW353" s="104" t="n"/>
      <c r="BX353" s="104" t="n"/>
    </row>
    <row r="354">
      <c r="AC354" s="104" t="n"/>
      <c r="AD354" s="104" t="n"/>
      <c r="AE354" s="104" t="n"/>
      <c r="AF354" s="104" t="n"/>
      <c r="AG354" s="104" t="n"/>
      <c r="AH354" s="104" t="n"/>
      <c r="AI354" s="104" t="n"/>
      <c r="AJ354" s="104" t="n"/>
      <c r="AK354" s="104" t="n"/>
      <c r="AL354" s="104" t="n"/>
      <c r="AM354" s="104" t="n"/>
      <c r="AN354" s="104" t="n"/>
      <c r="AO354" s="104" t="n"/>
      <c r="AP354" s="104" t="n"/>
      <c r="AQ354" s="104" t="n"/>
      <c r="AR354" s="104" t="n"/>
      <c r="AS354" s="104" t="n"/>
      <c r="AT354" s="104" t="n"/>
      <c r="AU354" s="104" t="n"/>
      <c r="AV354" s="104" t="n"/>
      <c r="AW354" s="104" t="n"/>
      <c r="AX354" s="104" t="n"/>
      <c r="AY354" s="104" t="n"/>
      <c r="AZ354" s="104" t="n"/>
      <c r="BA354" s="104" t="n"/>
      <c r="BB354" s="104" t="n"/>
      <c r="BC354" s="104" t="n"/>
      <c r="BD354" s="104" t="n"/>
      <c r="BE354" s="104" t="n"/>
      <c r="BF354" s="104" t="n"/>
      <c r="BG354" s="104" t="n"/>
      <c r="BH354" s="104" t="n"/>
      <c r="BI354" s="104" t="n"/>
      <c r="BJ354" s="104" t="n"/>
      <c r="BK354" s="104" t="n"/>
      <c r="BL354" s="104" t="n"/>
      <c r="BM354" s="104" t="n"/>
      <c r="BN354" s="104" t="n"/>
      <c r="BO354" s="104" t="n"/>
      <c r="BP354" s="104" t="n"/>
      <c r="BQ354" s="104" t="n"/>
      <c r="BR354" s="104" t="n"/>
      <c r="BS354" s="104" t="n"/>
      <c r="BT354" s="104" t="n"/>
      <c r="BU354" s="104" t="n"/>
      <c r="BV354" s="104" t="n"/>
      <c r="BW354" s="104" t="n"/>
      <c r="BX354" s="104" t="n"/>
    </row>
    <row r="355">
      <c r="AC355" s="104" t="n"/>
      <c r="AD355" s="104" t="n"/>
      <c r="AE355" s="104" t="n"/>
      <c r="AF355" s="104" t="n"/>
      <c r="AG355" s="104" t="n"/>
      <c r="AH355" s="104" t="n"/>
      <c r="AI355" s="104" t="n"/>
      <c r="AJ355" s="104" t="n"/>
      <c r="AK355" s="104" t="n"/>
      <c r="AL355" s="104" t="n"/>
      <c r="AM355" s="104" t="n"/>
      <c r="AN355" s="104" t="n"/>
      <c r="AO355" s="104" t="n"/>
      <c r="AP355" s="104" t="n"/>
      <c r="AQ355" s="104" t="n"/>
      <c r="AR355" s="104" t="n"/>
      <c r="AS355" s="104" t="n"/>
      <c r="AT355" s="104" t="n"/>
      <c r="AU355" s="104" t="n"/>
      <c r="AV355" s="104" t="n"/>
      <c r="AW355" s="104" t="n"/>
      <c r="AX355" s="104" t="n"/>
      <c r="AY355" s="104" t="n"/>
      <c r="AZ355" s="104" t="n"/>
      <c r="BA355" s="104" t="n"/>
      <c r="BB355" s="104" t="n"/>
      <c r="BC355" s="104" t="n"/>
      <c r="BD355" s="104" t="n"/>
      <c r="BE355" s="104" t="n"/>
      <c r="BF355" s="104" t="n"/>
      <c r="BG355" s="104" t="n"/>
      <c r="BH355" s="104" t="n"/>
      <c r="BI355" s="104" t="n"/>
      <c r="BJ355" s="104" t="n"/>
      <c r="BK355" s="104" t="n"/>
      <c r="BL355" s="104" t="n"/>
      <c r="BM355" s="104" t="n"/>
      <c r="BN355" s="104" t="n"/>
      <c r="BO355" s="104" t="n"/>
      <c r="BP355" s="104" t="n"/>
      <c r="BQ355" s="104" t="n"/>
      <c r="BR355" s="104" t="n"/>
      <c r="BS355" s="104" t="n"/>
      <c r="BT355" s="104" t="n"/>
      <c r="BU355" s="104" t="n"/>
      <c r="BV355" s="104" t="n"/>
      <c r="BW355" s="104" t="n"/>
      <c r="BX355" s="104" t="n"/>
    </row>
    <row r="356">
      <c r="AC356" s="104" t="n"/>
      <c r="AD356" s="104" t="n"/>
      <c r="AE356" s="104" t="n"/>
      <c r="AF356" s="104" t="n"/>
      <c r="AG356" s="104" t="n"/>
      <c r="AH356" s="104" t="n"/>
      <c r="AI356" s="104" t="n"/>
      <c r="AJ356" s="104" t="n"/>
      <c r="AK356" s="104" t="n"/>
      <c r="AL356" s="104" t="n"/>
      <c r="AM356" s="104" t="n"/>
      <c r="AN356" s="104" t="n"/>
      <c r="AO356" s="104" t="n"/>
      <c r="AP356" s="104" t="n"/>
      <c r="AQ356" s="104" t="n"/>
      <c r="AR356" s="104" t="n"/>
      <c r="AS356" s="104" t="n"/>
      <c r="AT356" s="104" t="n"/>
      <c r="AU356" s="104" t="n"/>
      <c r="AV356" s="104" t="n"/>
      <c r="AW356" s="104" t="n"/>
      <c r="AX356" s="104" t="n"/>
      <c r="AY356" s="104" t="n"/>
      <c r="AZ356" s="104" t="n"/>
      <c r="BA356" s="104" t="n"/>
      <c r="BB356" s="104" t="n"/>
      <c r="BC356" s="104" t="n"/>
      <c r="BD356" s="104" t="n"/>
      <c r="BE356" s="104" t="n"/>
      <c r="BF356" s="104" t="n"/>
      <c r="BG356" s="104" t="n"/>
      <c r="BH356" s="104" t="n"/>
      <c r="BI356" s="104" t="n"/>
      <c r="BJ356" s="104" t="n"/>
      <c r="BK356" s="104" t="n"/>
      <c r="BL356" s="104" t="n"/>
      <c r="BM356" s="104" t="n"/>
      <c r="BN356" s="104" t="n"/>
      <c r="BO356" s="104" t="n"/>
      <c r="BP356" s="104" t="n"/>
      <c r="BQ356" s="104" t="n"/>
      <c r="BR356" s="104" t="n"/>
      <c r="BS356" s="104" t="n"/>
      <c r="BT356" s="104" t="n"/>
      <c r="BU356" s="104" t="n"/>
      <c r="BV356" s="104" t="n"/>
      <c r="BW356" s="104" t="n"/>
      <c r="BX356" s="104" t="n"/>
    </row>
    <row r="357">
      <c r="AC357" s="104" t="n"/>
      <c r="AD357" s="104" t="n"/>
      <c r="AE357" s="104" t="n"/>
      <c r="AF357" s="104" t="n"/>
      <c r="AG357" s="104" t="n"/>
      <c r="AH357" s="104" t="n"/>
      <c r="AI357" s="104" t="n"/>
      <c r="AJ357" s="104" t="n"/>
      <c r="AK357" s="104" t="n"/>
      <c r="AL357" s="104" t="n"/>
      <c r="AM357" s="104" t="n"/>
      <c r="AN357" s="104" t="n"/>
      <c r="AO357" s="104" t="n"/>
      <c r="AP357" s="104" t="n"/>
      <c r="AQ357" s="104" t="n"/>
      <c r="AR357" s="104" t="n"/>
      <c r="AS357" s="104" t="n"/>
      <c r="AT357" s="104" t="n"/>
      <c r="AU357" s="104" t="n"/>
      <c r="AV357" s="104" t="n"/>
      <c r="AW357" s="104" t="n"/>
      <c r="AX357" s="104" t="n"/>
      <c r="AY357" s="104" t="n"/>
      <c r="AZ357" s="104" t="n"/>
      <c r="BA357" s="104" t="n"/>
      <c r="BB357" s="104" t="n"/>
      <c r="BC357" s="104" t="n"/>
      <c r="BD357" s="104" t="n"/>
      <c r="BE357" s="104" t="n"/>
      <c r="BF357" s="104" t="n"/>
      <c r="BG357" s="104" t="n"/>
      <c r="BH357" s="104" t="n"/>
      <c r="BI357" s="104" t="n"/>
      <c r="BJ357" s="104" t="n"/>
      <c r="BK357" s="104" t="n"/>
      <c r="BL357" s="104" t="n"/>
      <c r="BM357" s="104" t="n"/>
      <c r="BN357" s="104" t="n"/>
      <c r="BO357" s="104" t="n"/>
      <c r="BP357" s="104" t="n"/>
      <c r="BQ357" s="104" t="n"/>
      <c r="BR357" s="104" t="n"/>
      <c r="BS357" s="104" t="n"/>
      <c r="BT357" s="104" t="n"/>
      <c r="BU357" s="104" t="n"/>
      <c r="BV357" s="104" t="n"/>
      <c r="BW357" s="104" t="n"/>
      <c r="BX357" s="104" t="n"/>
    </row>
    <row r="358">
      <c r="AC358" s="104" t="n"/>
      <c r="AD358" s="104" t="n"/>
      <c r="AE358" s="104" t="n"/>
      <c r="AF358" s="104" t="n"/>
      <c r="AG358" s="104" t="n"/>
      <c r="AH358" s="104" t="n"/>
      <c r="AI358" s="104" t="n"/>
      <c r="AJ358" s="104" t="n"/>
      <c r="AK358" s="104" t="n"/>
      <c r="AL358" s="104" t="n"/>
      <c r="AM358" s="104" t="n"/>
      <c r="AN358" s="104" t="n"/>
      <c r="AO358" s="104" t="n"/>
      <c r="AP358" s="104" t="n"/>
      <c r="AQ358" s="104" t="n"/>
      <c r="AR358" s="104" t="n"/>
      <c r="AS358" s="104" t="n"/>
      <c r="AT358" s="104" t="n"/>
      <c r="AU358" s="104" t="n"/>
      <c r="AV358" s="104" t="n"/>
      <c r="AW358" s="104" t="n"/>
      <c r="AX358" s="104" t="n"/>
      <c r="AY358" s="104" t="n"/>
      <c r="AZ358" s="104" t="n"/>
      <c r="BA358" s="104" t="n"/>
      <c r="BB358" s="104" t="n"/>
      <c r="BC358" s="104" t="n"/>
      <c r="BD358" s="104" t="n"/>
      <c r="BE358" s="104" t="n"/>
      <c r="BF358" s="104" t="n"/>
      <c r="BG358" s="104" t="n"/>
      <c r="BH358" s="104" t="n"/>
      <c r="BI358" s="104" t="n"/>
      <c r="BJ358" s="104" t="n"/>
      <c r="BK358" s="104" t="n"/>
      <c r="BL358" s="104" t="n"/>
      <c r="BM358" s="104" t="n"/>
      <c r="BN358" s="104" t="n"/>
      <c r="BO358" s="104" t="n"/>
      <c r="BP358" s="104" t="n"/>
      <c r="BQ358" s="104" t="n"/>
      <c r="BR358" s="104" t="n"/>
      <c r="BS358" s="104" t="n"/>
      <c r="BT358" s="104" t="n"/>
      <c r="BU358" s="104" t="n"/>
      <c r="BV358" s="104" t="n"/>
      <c r="BW358" s="104" t="n"/>
      <c r="BX358" s="104" t="n"/>
    </row>
    <row r="359">
      <c r="AC359" s="104" t="n"/>
      <c r="AD359" s="104" t="n"/>
      <c r="AE359" s="104" t="n"/>
      <c r="AF359" s="104" t="n"/>
      <c r="AG359" s="104" t="n"/>
      <c r="AH359" s="104" t="n"/>
      <c r="AI359" s="104" t="n"/>
      <c r="AJ359" s="104" t="n"/>
      <c r="AK359" s="104" t="n"/>
      <c r="AL359" s="104" t="n"/>
      <c r="AM359" s="104" t="n"/>
      <c r="AN359" s="104" t="n"/>
      <c r="AO359" s="104" t="n"/>
      <c r="AP359" s="104" t="n"/>
      <c r="AQ359" s="104" t="n"/>
      <c r="AR359" s="104" t="n"/>
      <c r="AS359" s="104" t="n"/>
      <c r="AT359" s="104" t="n"/>
      <c r="AU359" s="104" t="n"/>
      <c r="AV359" s="104" t="n"/>
      <c r="AW359" s="104" t="n"/>
      <c r="AX359" s="104" t="n"/>
      <c r="AY359" s="104" t="n"/>
      <c r="AZ359" s="104" t="n"/>
      <c r="BA359" s="104" t="n"/>
      <c r="BB359" s="104" t="n"/>
      <c r="BC359" s="104" t="n"/>
      <c r="BD359" s="104" t="n"/>
      <c r="BE359" s="104" t="n"/>
      <c r="BF359" s="104" t="n"/>
      <c r="BG359" s="104" t="n"/>
      <c r="BH359" s="104" t="n"/>
      <c r="BI359" s="104" t="n"/>
      <c r="BJ359" s="104" t="n"/>
      <c r="BK359" s="104" t="n"/>
      <c r="BL359" s="104" t="n"/>
      <c r="BM359" s="104" t="n"/>
      <c r="BN359" s="104" t="n"/>
      <c r="BO359" s="104" t="n"/>
      <c r="BP359" s="104" t="n"/>
      <c r="BQ359" s="104" t="n"/>
      <c r="BR359" s="104" t="n"/>
      <c r="BS359" s="104" t="n"/>
      <c r="BT359" s="104" t="n"/>
      <c r="BU359" s="104" t="n"/>
      <c r="BV359" s="104" t="n"/>
      <c r="BW359" s="104" t="n"/>
      <c r="BX359" s="104" t="n"/>
    </row>
    <row r="360">
      <c r="AC360" s="104" t="n"/>
      <c r="AD360" s="104" t="n"/>
      <c r="AE360" s="104" t="n"/>
      <c r="AF360" s="104" t="n"/>
      <c r="AG360" s="104" t="n"/>
      <c r="AH360" s="104" t="n"/>
      <c r="AI360" s="104" t="n"/>
      <c r="AJ360" s="104" t="n"/>
      <c r="AK360" s="104" t="n"/>
      <c r="AL360" s="104" t="n"/>
      <c r="AM360" s="104" t="n"/>
      <c r="AN360" s="104" t="n"/>
      <c r="AO360" s="104" t="n"/>
      <c r="AP360" s="104" t="n"/>
      <c r="AQ360" s="104" t="n"/>
      <c r="AR360" s="104" t="n"/>
      <c r="AS360" s="104" t="n"/>
      <c r="AT360" s="104" t="n"/>
      <c r="AU360" s="104" t="n"/>
      <c r="AV360" s="104" t="n"/>
      <c r="AW360" s="104" t="n"/>
      <c r="AX360" s="104" t="n"/>
      <c r="AY360" s="104" t="n"/>
      <c r="AZ360" s="104" t="n"/>
      <c r="BA360" s="104" t="n"/>
      <c r="BB360" s="104" t="n"/>
      <c r="BC360" s="104" t="n"/>
      <c r="BD360" s="104" t="n"/>
      <c r="BE360" s="104" t="n"/>
      <c r="BF360" s="104" t="n"/>
      <c r="BG360" s="104" t="n"/>
      <c r="BH360" s="104" t="n"/>
      <c r="BI360" s="104" t="n"/>
      <c r="BJ360" s="104" t="n"/>
      <c r="BK360" s="104" t="n"/>
      <c r="BL360" s="104" t="n"/>
      <c r="BM360" s="104" t="n"/>
      <c r="BN360" s="104" t="n"/>
      <c r="BO360" s="104" t="n"/>
      <c r="BP360" s="104" t="n"/>
      <c r="BQ360" s="104" t="n"/>
      <c r="BR360" s="104" t="n"/>
      <c r="BS360" s="104" t="n"/>
      <c r="BT360" s="104" t="n"/>
      <c r="BU360" s="104" t="n"/>
      <c r="BV360" s="104" t="n"/>
      <c r="BW360" s="104" t="n"/>
      <c r="BX360" s="104" t="n"/>
    </row>
    <row r="361">
      <c r="AC361" s="104" t="n"/>
      <c r="AD361" s="104" t="n"/>
      <c r="AE361" s="104" t="n"/>
      <c r="AF361" s="104" t="n"/>
      <c r="AG361" s="104" t="n"/>
      <c r="AH361" s="104" t="n"/>
      <c r="AI361" s="104" t="n"/>
      <c r="AJ361" s="104" t="n"/>
      <c r="AK361" s="104" t="n"/>
      <c r="AL361" s="104" t="n"/>
      <c r="AM361" s="104" t="n"/>
      <c r="AN361" s="104" t="n"/>
      <c r="AO361" s="104" t="n"/>
      <c r="AP361" s="104" t="n"/>
      <c r="AQ361" s="104" t="n"/>
      <c r="AR361" s="104" t="n"/>
      <c r="AS361" s="104" t="n"/>
      <c r="AT361" s="104" t="n"/>
      <c r="AU361" s="104" t="n"/>
      <c r="AV361" s="104" t="n"/>
      <c r="AW361" s="104" t="n"/>
      <c r="AX361" s="104" t="n"/>
      <c r="AY361" s="104" t="n"/>
      <c r="AZ361" s="104" t="n"/>
      <c r="BA361" s="104" t="n"/>
      <c r="BB361" s="104" t="n"/>
      <c r="BC361" s="104" t="n"/>
      <c r="BD361" s="104" t="n"/>
      <c r="BE361" s="104" t="n"/>
      <c r="BF361" s="104" t="n"/>
      <c r="BG361" s="104" t="n"/>
      <c r="BH361" s="104" t="n"/>
      <c r="BI361" s="104" t="n"/>
      <c r="BJ361" s="104" t="n"/>
      <c r="BK361" s="104" t="n"/>
      <c r="BL361" s="104" t="n"/>
      <c r="BM361" s="104" t="n"/>
      <c r="BN361" s="104" t="n"/>
      <c r="BO361" s="104" t="n"/>
      <c r="BP361" s="104" t="n"/>
      <c r="BQ361" s="104" t="n"/>
      <c r="BR361" s="104" t="n"/>
      <c r="BS361" s="104" t="n"/>
      <c r="BT361" s="104" t="n"/>
      <c r="BU361" s="104" t="n"/>
      <c r="BV361" s="104" t="n"/>
      <c r="BW361" s="104" t="n"/>
      <c r="BX361" s="104" t="n"/>
    </row>
    <row r="362">
      <c r="AC362" s="104" t="n"/>
      <c r="AD362" s="104" t="n"/>
      <c r="AE362" s="104" t="n"/>
      <c r="AF362" s="104" t="n"/>
      <c r="AG362" s="104" t="n"/>
      <c r="AH362" s="104" t="n"/>
      <c r="AI362" s="104" t="n"/>
      <c r="AJ362" s="104" t="n"/>
      <c r="AK362" s="104" t="n"/>
      <c r="AL362" s="104" t="n"/>
      <c r="AM362" s="104" t="n"/>
      <c r="AN362" s="104" t="n"/>
      <c r="AO362" s="104" t="n"/>
      <c r="AP362" s="104" t="n"/>
      <c r="AQ362" s="104" t="n"/>
      <c r="AR362" s="104" t="n"/>
      <c r="AS362" s="104" t="n"/>
      <c r="AT362" s="104" t="n"/>
      <c r="AU362" s="104" t="n"/>
      <c r="AV362" s="104" t="n"/>
      <c r="AW362" s="104" t="n"/>
      <c r="AX362" s="104" t="n"/>
      <c r="AY362" s="104" t="n"/>
      <c r="AZ362" s="104" t="n"/>
      <c r="BA362" s="104" t="n"/>
      <c r="BB362" s="104" t="n"/>
      <c r="BC362" s="104" t="n"/>
      <c r="BD362" s="104" t="n"/>
      <c r="BE362" s="104" t="n"/>
      <c r="BF362" s="104" t="n"/>
      <c r="BG362" s="104" t="n"/>
      <c r="BH362" s="104" t="n"/>
      <c r="BI362" s="104" t="n"/>
      <c r="BJ362" s="104" t="n"/>
      <c r="BK362" s="104" t="n"/>
      <c r="BL362" s="104" t="n"/>
      <c r="BM362" s="104" t="n"/>
      <c r="BN362" s="104" t="n"/>
      <c r="BO362" s="104" t="n"/>
      <c r="BP362" s="104" t="n"/>
      <c r="BQ362" s="104" t="n"/>
      <c r="BR362" s="104" t="n"/>
      <c r="BS362" s="104" t="n"/>
      <c r="BT362" s="104" t="n"/>
      <c r="BU362" s="104" t="n"/>
      <c r="BV362" s="104" t="n"/>
      <c r="BW362" s="104" t="n"/>
      <c r="BX362" s="104" t="n"/>
    </row>
    <row r="363">
      <c r="AC363" s="104" t="n"/>
      <c r="AD363" s="104" t="n"/>
      <c r="AE363" s="104" t="n"/>
      <c r="AF363" s="104" t="n"/>
      <c r="AG363" s="104" t="n"/>
      <c r="AH363" s="104" t="n"/>
      <c r="AI363" s="104" t="n"/>
      <c r="AJ363" s="104" t="n"/>
      <c r="AK363" s="104" t="n"/>
      <c r="AL363" s="104" t="n"/>
      <c r="AM363" s="104" t="n"/>
      <c r="AN363" s="104" t="n"/>
      <c r="AO363" s="104" t="n"/>
      <c r="AP363" s="104" t="n"/>
      <c r="AQ363" s="104" t="n"/>
      <c r="AR363" s="104" t="n"/>
      <c r="AS363" s="104" t="n"/>
      <c r="AT363" s="104" t="n"/>
      <c r="AU363" s="104" t="n"/>
      <c r="AV363" s="104" t="n"/>
      <c r="AW363" s="104" t="n"/>
      <c r="AX363" s="104" t="n"/>
      <c r="AY363" s="104" t="n"/>
      <c r="AZ363" s="104" t="n"/>
      <c r="BA363" s="104" t="n"/>
      <c r="BB363" s="104" t="n"/>
      <c r="BC363" s="104" t="n"/>
      <c r="BD363" s="104" t="n"/>
      <c r="BE363" s="104" t="n"/>
      <c r="BF363" s="104" t="n"/>
      <c r="BG363" s="104" t="n"/>
      <c r="BH363" s="104" t="n"/>
      <c r="BI363" s="104" t="n"/>
      <c r="BJ363" s="104" t="n"/>
      <c r="BK363" s="104" t="n"/>
      <c r="BL363" s="104" t="n"/>
      <c r="BM363" s="104" t="n"/>
      <c r="BN363" s="104" t="n"/>
      <c r="BO363" s="104" t="n"/>
      <c r="BP363" s="104" t="n"/>
      <c r="BQ363" s="104" t="n"/>
      <c r="BR363" s="104" t="n"/>
      <c r="BS363" s="104" t="n"/>
      <c r="BT363" s="104" t="n"/>
      <c r="BU363" s="104" t="n"/>
      <c r="BV363" s="104" t="n"/>
      <c r="BW363" s="104" t="n"/>
      <c r="BX363" s="104" t="n"/>
    </row>
    <row r="364">
      <c r="AC364" s="104" t="n"/>
      <c r="AD364" s="104" t="n"/>
      <c r="AE364" s="104" t="n"/>
      <c r="AF364" s="104" t="n"/>
      <c r="AG364" s="104" t="n"/>
      <c r="AH364" s="104" t="n"/>
      <c r="AI364" s="104" t="n"/>
      <c r="AJ364" s="104" t="n"/>
      <c r="AK364" s="104" t="n"/>
      <c r="AL364" s="104" t="n"/>
      <c r="AM364" s="104" t="n"/>
      <c r="AN364" s="104" t="n"/>
      <c r="AO364" s="104" t="n"/>
      <c r="AP364" s="104" t="n"/>
      <c r="AQ364" s="104" t="n"/>
      <c r="AR364" s="104" t="n"/>
      <c r="AS364" s="104" t="n"/>
      <c r="AT364" s="104" t="n"/>
      <c r="AU364" s="104" t="n"/>
      <c r="AV364" s="104" t="n"/>
      <c r="AW364" s="104" t="n"/>
      <c r="AX364" s="104" t="n"/>
      <c r="AY364" s="104" t="n"/>
      <c r="AZ364" s="104" t="n"/>
      <c r="BA364" s="104" t="n"/>
      <c r="BB364" s="104" t="n"/>
      <c r="BC364" s="104" t="n"/>
      <c r="BD364" s="104" t="n"/>
      <c r="BE364" s="104" t="n"/>
      <c r="BF364" s="104" t="n"/>
      <c r="BG364" s="104" t="n"/>
      <c r="BH364" s="104" t="n"/>
      <c r="BI364" s="104" t="n"/>
      <c r="BJ364" s="104" t="n"/>
      <c r="BK364" s="104" t="n"/>
      <c r="BL364" s="104" t="n"/>
      <c r="BM364" s="104" t="n"/>
      <c r="BN364" s="104" t="n"/>
      <c r="BO364" s="104" t="n"/>
      <c r="BP364" s="104" t="n"/>
      <c r="BQ364" s="104" t="n"/>
      <c r="BR364" s="104" t="n"/>
      <c r="BS364" s="104" t="n"/>
      <c r="BT364" s="104" t="n"/>
      <c r="BU364" s="104" t="n"/>
      <c r="BV364" s="104" t="n"/>
      <c r="BW364" s="104" t="n"/>
      <c r="BX364" s="104" t="n"/>
    </row>
    <row r="365">
      <c r="AC365" s="104" t="n"/>
      <c r="AD365" s="104" t="n"/>
      <c r="AE365" s="104" t="n"/>
      <c r="AF365" s="104" t="n"/>
      <c r="AG365" s="104" t="n"/>
      <c r="AH365" s="104" t="n"/>
      <c r="AI365" s="104" t="n"/>
      <c r="AJ365" s="104" t="n"/>
      <c r="AK365" s="104" t="n"/>
      <c r="AL365" s="104" t="n"/>
      <c r="AM365" s="104" t="n"/>
      <c r="AN365" s="104" t="n"/>
      <c r="AO365" s="104" t="n"/>
      <c r="AP365" s="104" t="n"/>
      <c r="AQ365" s="104" t="n"/>
      <c r="AR365" s="104" t="n"/>
      <c r="AS365" s="104" t="n"/>
      <c r="AT365" s="104" t="n"/>
      <c r="AU365" s="104" t="n"/>
      <c r="AV365" s="104" t="n"/>
      <c r="AW365" s="104" t="n"/>
      <c r="AX365" s="104" t="n"/>
      <c r="AY365" s="104" t="n"/>
      <c r="AZ365" s="104" t="n"/>
      <c r="BA365" s="104" t="n"/>
      <c r="BB365" s="104" t="n"/>
      <c r="BC365" s="104" t="n"/>
      <c r="BD365" s="104" t="n"/>
      <c r="BE365" s="104" t="n"/>
      <c r="BF365" s="104" t="n"/>
      <c r="BG365" s="104" t="n"/>
      <c r="BH365" s="104" t="n"/>
      <c r="BI365" s="104" t="n"/>
      <c r="BJ365" s="104" t="n"/>
      <c r="BK365" s="104" t="n"/>
      <c r="BL365" s="104" t="n"/>
      <c r="BM365" s="104" t="n"/>
      <c r="BN365" s="104" t="n"/>
      <c r="BO365" s="104" t="n"/>
      <c r="BP365" s="104" t="n"/>
      <c r="BQ365" s="104" t="n"/>
      <c r="BR365" s="104" t="n"/>
      <c r="BS365" s="104" t="n"/>
      <c r="BT365" s="104" t="n"/>
      <c r="BU365" s="104" t="n"/>
      <c r="BV365" s="104" t="n"/>
      <c r="BW365" s="104" t="n"/>
      <c r="BX365" s="104" t="n"/>
    </row>
    <row r="366">
      <c r="AC366" s="104" t="n"/>
      <c r="AD366" s="104" t="n"/>
      <c r="AE366" s="104" t="n"/>
      <c r="AF366" s="104" t="n"/>
      <c r="AG366" s="104" t="n"/>
      <c r="AH366" s="104" t="n"/>
      <c r="AI366" s="104" t="n"/>
      <c r="AJ366" s="104" t="n"/>
      <c r="AK366" s="104" t="n"/>
      <c r="AL366" s="104" t="n"/>
      <c r="AM366" s="104" t="n"/>
      <c r="AN366" s="104" t="n"/>
      <c r="AO366" s="104" t="n"/>
      <c r="AP366" s="104" t="n"/>
      <c r="AQ366" s="104" t="n"/>
      <c r="AR366" s="104" t="n"/>
      <c r="AS366" s="104" t="n"/>
      <c r="AT366" s="104" t="n"/>
      <c r="AU366" s="104" t="n"/>
      <c r="AV366" s="104" t="n"/>
      <c r="AW366" s="104" t="n"/>
      <c r="AX366" s="104" t="n"/>
      <c r="AY366" s="104" t="n"/>
      <c r="AZ366" s="104" t="n"/>
      <c r="BA366" s="104" t="n"/>
      <c r="BB366" s="104" t="n"/>
      <c r="BC366" s="104" t="n"/>
      <c r="BD366" s="104" t="n"/>
      <c r="BE366" s="104" t="n"/>
      <c r="BF366" s="104" t="n"/>
      <c r="BG366" s="104" t="n"/>
      <c r="BH366" s="104" t="n"/>
      <c r="BI366" s="104" t="n"/>
      <c r="BJ366" s="104" t="n"/>
      <c r="BK366" s="104" t="n"/>
      <c r="BL366" s="104" t="n"/>
      <c r="BM366" s="104" t="n"/>
      <c r="BN366" s="104" t="n"/>
      <c r="BO366" s="104" t="n"/>
      <c r="BP366" s="104" t="n"/>
      <c r="BQ366" s="104" t="n"/>
      <c r="BR366" s="104" t="n"/>
      <c r="BS366" s="104" t="n"/>
      <c r="BT366" s="104" t="n"/>
      <c r="BU366" s="104" t="n"/>
      <c r="BV366" s="104" t="n"/>
      <c r="BW366" s="104" t="n"/>
      <c r="BX366" s="104" t="n"/>
    </row>
    <row r="367">
      <c r="AC367" s="104" t="n"/>
      <c r="AD367" s="104" t="n"/>
      <c r="AE367" s="104" t="n"/>
      <c r="AF367" s="104" t="n"/>
      <c r="AG367" s="104" t="n"/>
      <c r="AH367" s="104" t="n"/>
      <c r="AI367" s="104" t="n"/>
      <c r="AJ367" s="104" t="n"/>
      <c r="AK367" s="104" t="n"/>
      <c r="AL367" s="104" t="n"/>
      <c r="AM367" s="104" t="n"/>
      <c r="AN367" s="104" t="n"/>
      <c r="AO367" s="104" t="n"/>
      <c r="AP367" s="104" t="n"/>
      <c r="AQ367" s="104" t="n"/>
      <c r="AR367" s="104" t="n"/>
      <c r="AS367" s="104" t="n"/>
      <c r="AT367" s="104" t="n"/>
      <c r="AU367" s="104" t="n"/>
      <c r="AV367" s="104" t="n"/>
      <c r="AW367" s="104" t="n"/>
      <c r="AX367" s="104" t="n"/>
      <c r="AY367" s="104" t="n"/>
      <c r="AZ367" s="104" t="n"/>
      <c r="BA367" s="104" t="n"/>
      <c r="BB367" s="104" t="n"/>
      <c r="BC367" s="104" t="n"/>
      <c r="BD367" s="104" t="n"/>
      <c r="BE367" s="104" t="n"/>
      <c r="BF367" s="104" t="n"/>
      <c r="BG367" s="104" t="n"/>
      <c r="BH367" s="104" t="n"/>
      <c r="BI367" s="104" t="n"/>
      <c r="BJ367" s="104" t="n"/>
      <c r="BK367" s="104" t="n"/>
      <c r="BL367" s="104" t="n"/>
      <c r="BM367" s="104" t="n"/>
      <c r="BN367" s="104" t="n"/>
      <c r="BO367" s="104" t="n"/>
      <c r="BP367" s="104" t="n"/>
      <c r="BQ367" s="104" t="n"/>
      <c r="BR367" s="104" t="n"/>
      <c r="BS367" s="104" t="n"/>
      <c r="BT367" s="104" t="n"/>
      <c r="BU367" s="104" t="n"/>
      <c r="BV367" s="104" t="n"/>
      <c r="BW367" s="104" t="n"/>
      <c r="BX367" s="104" t="n"/>
    </row>
    <row r="368">
      <c r="AC368" s="104" t="n"/>
      <c r="AD368" s="104" t="n"/>
      <c r="AE368" s="104" t="n"/>
      <c r="AF368" s="104" t="n"/>
      <c r="AG368" s="104" t="n"/>
      <c r="AH368" s="104" t="n"/>
      <c r="AI368" s="104" t="n"/>
      <c r="AJ368" s="104" t="n"/>
      <c r="AK368" s="104" t="n"/>
      <c r="AL368" s="104" t="n"/>
      <c r="AM368" s="104" t="n"/>
      <c r="AN368" s="104" t="n"/>
      <c r="AO368" s="104" t="n"/>
      <c r="AP368" s="104" t="n"/>
      <c r="AQ368" s="104" t="n"/>
      <c r="AR368" s="104" t="n"/>
      <c r="AS368" s="104" t="n"/>
      <c r="AT368" s="104" t="n"/>
      <c r="AU368" s="104" t="n"/>
      <c r="AV368" s="104" t="n"/>
      <c r="AW368" s="104" t="n"/>
      <c r="AX368" s="104" t="n"/>
      <c r="AY368" s="104" t="n"/>
      <c r="AZ368" s="104" t="n"/>
      <c r="BA368" s="104" t="n"/>
      <c r="BB368" s="104" t="n"/>
      <c r="BC368" s="104" t="n"/>
      <c r="BD368" s="104" t="n"/>
      <c r="BE368" s="104" t="n"/>
      <c r="BF368" s="104" t="n"/>
      <c r="BG368" s="104" t="n"/>
      <c r="BH368" s="104" t="n"/>
      <c r="BI368" s="104" t="n"/>
      <c r="BJ368" s="104" t="n"/>
      <c r="BK368" s="104" t="n"/>
      <c r="BL368" s="104" t="n"/>
      <c r="BM368" s="104" t="n"/>
      <c r="BN368" s="104" t="n"/>
      <c r="BO368" s="104" t="n"/>
      <c r="BP368" s="104" t="n"/>
      <c r="BQ368" s="104" t="n"/>
      <c r="BR368" s="104" t="n"/>
      <c r="BS368" s="104" t="n"/>
      <c r="BT368" s="104" t="n"/>
      <c r="BU368" s="104" t="n"/>
      <c r="BV368" s="104" t="n"/>
      <c r="BW368" s="104" t="n"/>
      <c r="BX368" s="104" t="n"/>
    </row>
    <row r="369">
      <c r="AC369" s="104" t="n"/>
      <c r="AD369" s="104" t="n"/>
      <c r="AE369" s="104" t="n"/>
      <c r="AF369" s="104" t="n"/>
      <c r="AG369" s="104" t="n"/>
      <c r="AH369" s="104" t="n"/>
      <c r="AI369" s="104" t="n"/>
      <c r="AJ369" s="104" t="n"/>
      <c r="AK369" s="104" t="n"/>
      <c r="AL369" s="104" t="n"/>
      <c r="AM369" s="104" t="n"/>
      <c r="AN369" s="104" t="n"/>
      <c r="AO369" s="104" t="n"/>
      <c r="AP369" s="104" t="n"/>
      <c r="AQ369" s="104" t="n"/>
      <c r="AR369" s="104" t="n"/>
      <c r="AS369" s="104" t="n"/>
      <c r="AT369" s="104" t="n"/>
      <c r="AU369" s="104" t="n"/>
      <c r="AV369" s="104" t="n"/>
      <c r="AW369" s="104" t="n"/>
      <c r="AX369" s="104" t="n"/>
      <c r="AY369" s="104" t="n"/>
      <c r="AZ369" s="104" t="n"/>
      <c r="BA369" s="104" t="n"/>
      <c r="BB369" s="104" t="n"/>
      <c r="BC369" s="104" t="n"/>
      <c r="BD369" s="104" t="n"/>
      <c r="BE369" s="104" t="n"/>
      <c r="BF369" s="104" t="n"/>
      <c r="BG369" s="104" t="n"/>
      <c r="BH369" s="104" t="n"/>
      <c r="BI369" s="104" t="n"/>
      <c r="BJ369" s="104" t="n"/>
      <c r="BK369" s="104" t="n"/>
      <c r="BL369" s="104" t="n"/>
      <c r="BM369" s="104" t="n"/>
      <c r="BN369" s="104" t="n"/>
      <c r="BO369" s="104" t="n"/>
      <c r="BP369" s="104" t="n"/>
      <c r="BQ369" s="104" t="n"/>
      <c r="BR369" s="104" t="n"/>
      <c r="BS369" s="104" t="n"/>
      <c r="BT369" s="104" t="n"/>
      <c r="BU369" s="104" t="n"/>
      <c r="BV369" s="104" t="n"/>
      <c r="BW369" s="104" t="n"/>
      <c r="BX369" s="104" t="n"/>
    </row>
    <row r="370">
      <c r="AC370" s="104" t="n"/>
      <c r="AD370" s="104" t="n"/>
      <c r="AE370" s="104" t="n"/>
      <c r="AF370" s="104" t="n"/>
      <c r="AG370" s="104" t="n"/>
      <c r="AH370" s="104" t="n"/>
      <c r="AI370" s="104" t="n"/>
      <c r="AJ370" s="104" t="n"/>
      <c r="AK370" s="104" t="n"/>
      <c r="AL370" s="104" t="n"/>
      <c r="AM370" s="104" t="n"/>
      <c r="AN370" s="104" t="n"/>
      <c r="AO370" s="104" t="n"/>
      <c r="AP370" s="104" t="n"/>
      <c r="AQ370" s="104" t="n"/>
      <c r="AR370" s="104" t="n"/>
      <c r="AS370" s="104" t="n"/>
      <c r="AT370" s="104" t="n"/>
      <c r="AU370" s="104" t="n"/>
      <c r="AV370" s="104" t="n"/>
      <c r="AW370" s="104" t="n"/>
      <c r="AX370" s="104" t="n"/>
      <c r="AY370" s="104" t="n"/>
      <c r="AZ370" s="104" t="n"/>
      <c r="BA370" s="104" t="n"/>
      <c r="BB370" s="104" t="n"/>
      <c r="BC370" s="104" t="n"/>
      <c r="BD370" s="104" t="n"/>
      <c r="BE370" s="104" t="n"/>
      <c r="BF370" s="104" t="n"/>
      <c r="BG370" s="104" t="n"/>
      <c r="BH370" s="104" t="n"/>
      <c r="BI370" s="104" t="n"/>
      <c r="BJ370" s="104" t="n"/>
      <c r="BK370" s="104" t="n"/>
      <c r="BL370" s="104" t="n"/>
      <c r="BM370" s="104" t="n"/>
      <c r="BN370" s="104" t="n"/>
      <c r="BO370" s="104" t="n"/>
      <c r="BP370" s="104" t="n"/>
      <c r="BQ370" s="104" t="n"/>
      <c r="BR370" s="104" t="n"/>
      <c r="BS370" s="104" t="n"/>
      <c r="BT370" s="104" t="n"/>
      <c r="BU370" s="104" t="n"/>
      <c r="BV370" s="104" t="n"/>
      <c r="BW370" s="104" t="n"/>
      <c r="BX370" s="104" t="n"/>
    </row>
    <row r="371">
      <c r="AC371" s="104" t="n"/>
      <c r="AD371" s="104" t="n"/>
      <c r="AE371" s="104" t="n"/>
      <c r="AF371" s="104" t="n"/>
      <c r="AG371" s="104" t="n"/>
      <c r="AH371" s="104" t="n"/>
      <c r="AI371" s="104" t="n"/>
      <c r="AJ371" s="104" t="n"/>
      <c r="AK371" s="104" t="n"/>
      <c r="AL371" s="104" t="n"/>
      <c r="AM371" s="104" t="n"/>
      <c r="AN371" s="104" t="n"/>
      <c r="AO371" s="104" t="n"/>
      <c r="AP371" s="104" t="n"/>
      <c r="AQ371" s="104" t="n"/>
      <c r="AR371" s="104" t="n"/>
      <c r="AS371" s="104" t="n"/>
      <c r="AT371" s="104" t="n"/>
      <c r="AU371" s="104" t="n"/>
      <c r="AV371" s="104" t="n"/>
      <c r="AW371" s="104" t="n"/>
      <c r="AX371" s="104" t="n"/>
      <c r="AY371" s="104" t="n"/>
      <c r="AZ371" s="104" t="n"/>
      <c r="BA371" s="104" t="n"/>
      <c r="BB371" s="104" t="n"/>
      <c r="BC371" s="104" t="n"/>
      <c r="BD371" s="104" t="n"/>
      <c r="BE371" s="104" t="n"/>
      <c r="BF371" s="104" t="n"/>
      <c r="BG371" s="104" t="n"/>
      <c r="BH371" s="104" t="n"/>
      <c r="BI371" s="104" t="n"/>
      <c r="BJ371" s="104" t="n"/>
      <c r="BK371" s="104" t="n"/>
      <c r="BL371" s="104" t="n"/>
      <c r="BM371" s="104" t="n"/>
      <c r="BN371" s="104" t="n"/>
      <c r="BO371" s="104" t="n"/>
      <c r="BP371" s="104" t="n"/>
      <c r="BQ371" s="104" t="n"/>
      <c r="BR371" s="104" t="n"/>
      <c r="BS371" s="104" t="n"/>
      <c r="BT371" s="104" t="n"/>
      <c r="BU371" s="104" t="n"/>
      <c r="BV371" s="104" t="n"/>
      <c r="BW371" s="104" t="n"/>
      <c r="BX371" s="104" t="n"/>
    </row>
    <row r="372">
      <c r="AC372" s="104" t="n"/>
      <c r="AD372" s="104" t="n"/>
      <c r="AE372" s="104" t="n"/>
      <c r="AF372" s="104" t="n"/>
      <c r="AG372" s="104" t="n"/>
      <c r="AH372" s="104" t="n"/>
      <c r="AI372" s="104" t="n"/>
      <c r="AJ372" s="104" t="n"/>
      <c r="AK372" s="104" t="n"/>
      <c r="AL372" s="104" t="n"/>
      <c r="AM372" s="104" t="n"/>
      <c r="AN372" s="104" t="n"/>
      <c r="AO372" s="104" t="n"/>
      <c r="AP372" s="104" t="n"/>
      <c r="AQ372" s="104" t="n"/>
      <c r="AR372" s="104" t="n"/>
      <c r="AS372" s="104" t="n"/>
      <c r="AT372" s="104" t="n"/>
      <c r="AU372" s="104" t="n"/>
      <c r="AV372" s="104" t="n"/>
      <c r="AW372" s="104" t="n"/>
      <c r="AX372" s="104" t="n"/>
      <c r="AY372" s="104" t="n"/>
      <c r="AZ372" s="104" t="n"/>
      <c r="BA372" s="104" t="n"/>
      <c r="BB372" s="104" t="n"/>
      <c r="BC372" s="104" t="n"/>
      <c r="BD372" s="104" t="n"/>
      <c r="BE372" s="104" t="n"/>
      <c r="BF372" s="104" t="n"/>
      <c r="BG372" s="104" t="n"/>
      <c r="BH372" s="104" t="n"/>
      <c r="BI372" s="104" t="n"/>
      <c r="BJ372" s="104" t="n"/>
      <c r="BK372" s="104" t="n"/>
      <c r="BL372" s="104" t="n"/>
      <c r="BM372" s="104" t="n"/>
      <c r="BN372" s="104" t="n"/>
      <c r="BO372" s="104" t="n"/>
      <c r="BP372" s="104" t="n"/>
      <c r="BQ372" s="104" t="n"/>
      <c r="BR372" s="104" t="n"/>
      <c r="BS372" s="104" t="n"/>
      <c r="BT372" s="104" t="n"/>
      <c r="BU372" s="104" t="n"/>
      <c r="BV372" s="104" t="n"/>
      <c r="BW372" s="104" t="n"/>
      <c r="BX372" s="104" t="n"/>
    </row>
    <row r="373">
      <c r="AC373" s="104" t="n"/>
      <c r="AD373" s="104" t="n"/>
      <c r="AE373" s="104" t="n"/>
      <c r="AF373" s="104" t="n"/>
      <c r="AG373" s="104" t="n"/>
      <c r="AH373" s="104" t="n"/>
      <c r="AI373" s="104" t="n"/>
      <c r="AJ373" s="104" t="n"/>
      <c r="AK373" s="104" t="n"/>
      <c r="AL373" s="104" t="n"/>
      <c r="AM373" s="104" t="n"/>
      <c r="AN373" s="104" t="n"/>
      <c r="AO373" s="104" t="n"/>
      <c r="AP373" s="104" t="n"/>
      <c r="AQ373" s="104" t="n"/>
      <c r="AR373" s="104" t="n"/>
      <c r="AS373" s="104" t="n"/>
      <c r="AT373" s="104" t="n"/>
      <c r="AU373" s="104" t="n"/>
      <c r="AV373" s="104" t="n"/>
      <c r="AW373" s="104" t="n"/>
      <c r="AX373" s="104" t="n"/>
      <c r="AY373" s="104" t="n"/>
      <c r="AZ373" s="104" t="n"/>
      <c r="BA373" s="104" t="n"/>
      <c r="BB373" s="104" t="n"/>
      <c r="BC373" s="104" t="n"/>
      <c r="BD373" s="104" t="n"/>
      <c r="BE373" s="104" t="n"/>
      <c r="BF373" s="104" t="n"/>
      <c r="BG373" s="104" t="n"/>
      <c r="BH373" s="104" t="n"/>
      <c r="BI373" s="104" t="n"/>
      <c r="BJ373" s="104" t="n"/>
      <c r="BK373" s="104" t="n"/>
      <c r="BL373" s="104" t="n"/>
      <c r="BM373" s="104" t="n"/>
      <c r="BN373" s="104" t="n"/>
      <c r="BO373" s="104" t="n"/>
      <c r="BP373" s="104" t="n"/>
      <c r="BQ373" s="104" t="n"/>
      <c r="BR373" s="104" t="n"/>
      <c r="BS373" s="104" t="n"/>
      <c r="BT373" s="104" t="n"/>
      <c r="BU373" s="104" t="n"/>
      <c r="BV373" s="104" t="n"/>
      <c r="BW373" s="104" t="n"/>
      <c r="BX373" s="104" t="n"/>
    </row>
    <row r="374">
      <c r="AC374" s="104" t="n"/>
      <c r="AD374" s="104" t="n"/>
      <c r="AE374" s="104" t="n"/>
      <c r="AF374" s="104" t="n"/>
      <c r="AG374" s="104" t="n"/>
      <c r="AH374" s="104" t="n"/>
      <c r="AI374" s="104" t="n"/>
      <c r="AJ374" s="104" t="n"/>
      <c r="AK374" s="104" t="n"/>
      <c r="AL374" s="104" t="n"/>
      <c r="AM374" s="104" t="n"/>
      <c r="AN374" s="104" t="n"/>
      <c r="AO374" s="104" t="n"/>
      <c r="AP374" s="104" t="n"/>
      <c r="AQ374" s="104" t="n"/>
      <c r="AR374" s="104" t="n"/>
      <c r="AS374" s="104" t="n"/>
      <c r="AT374" s="104" t="n"/>
      <c r="AU374" s="104" t="n"/>
      <c r="AV374" s="104" t="n"/>
      <c r="AW374" s="104" t="n"/>
      <c r="AX374" s="104" t="n"/>
      <c r="AY374" s="104" t="n"/>
      <c r="AZ374" s="104" t="n"/>
      <c r="BA374" s="104" t="n"/>
      <c r="BB374" s="104" t="n"/>
      <c r="BC374" s="104" t="n"/>
      <c r="BD374" s="104" t="n"/>
      <c r="BE374" s="104" t="n"/>
      <c r="BF374" s="104" t="n"/>
      <c r="BG374" s="104" t="n"/>
      <c r="BH374" s="104" t="n"/>
      <c r="BI374" s="104" t="n"/>
      <c r="BJ374" s="104" t="n"/>
      <c r="BK374" s="104" t="n"/>
      <c r="BL374" s="104" t="n"/>
      <c r="BM374" s="104" t="n"/>
      <c r="BN374" s="104" t="n"/>
      <c r="BO374" s="104" t="n"/>
      <c r="BP374" s="104" t="n"/>
      <c r="BQ374" s="104" t="n"/>
      <c r="BR374" s="104" t="n"/>
      <c r="BS374" s="104" t="n"/>
      <c r="BT374" s="104" t="n"/>
      <c r="BU374" s="104" t="n"/>
      <c r="BV374" s="104" t="n"/>
      <c r="BW374" s="104" t="n"/>
      <c r="BX374" s="104" t="n"/>
    </row>
    <row r="375">
      <c r="AC375" s="104" t="n"/>
      <c r="AD375" s="104" t="n"/>
      <c r="AE375" s="104" t="n"/>
      <c r="AF375" s="104" t="n"/>
      <c r="AG375" s="104" t="n"/>
      <c r="AH375" s="104" t="n"/>
      <c r="AI375" s="104" t="n"/>
      <c r="AJ375" s="104" t="n"/>
      <c r="AK375" s="104" t="n"/>
      <c r="AL375" s="104" t="n"/>
      <c r="AM375" s="104" t="n"/>
      <c r="AN375" s="104" t="n"/>
      <c r="AO375" s="104" t="n"/>
      <c r="AP375" s="104" t="n"/>
      <c r="AQ375" s="104" t="n"/>
      <c r="AR375" s="104" t="n"/>
      <c r="AS375" s="104" t="n"/>
      <c r="AT375" s="104" t="n"/>
      <c r="AU375" s="104" t="n"/>
      <c r="AV375" s="104" t="n"/>
      <c r="AW375" s="104" t="n"/>
      <c r="AX375" s="104" t="n"/>
      <c r="AY375" s="104" t="n"/>
      <c r="AZ375" s="104" t="n"/>
      <c r="BA375" s="104" t="n"/>
      <c r="BB375" s="104" t="n"/>
      <c r="BC375" s="104" t="n"/>
      <c r="BD375" s="104" t="n"/>
      <c r="BE375" s="104" t="n"/>
      <c r="BF375" s="104" t="n"/>
      <c r="BG375" s="104" t="n"/>
      <c r="BH375" s="104" t="n"/>
      <c r="BI375" s="104" t="n"/>
      <c r="BJ375" s="104" t="n"/>
      <c r="BK375" s="104" t="n"/>
      <c r="BL375" s="104" t="n"/>
      <c r="BM375" s="104" t="n"/>
      <c r="BN375" s="104" t="n"/>
      <c r="BO375" s="104" t="n"/>
      <c r="BP375" s="104" t="n"/>
      <c r="BQ375" s="104" t="n"/>
      <c r="BR375" s="104" t="n"/>
      <c r="BS375" s="104" t="n"/>
      <c r="BT375" s="104" t="n"/>
      <c r="BU375" s="104" t="n"/>
      <c r="BV375" s="104" t="n"/>
      <c r="BW375" s="104" t="n"/>
      <c r="BX375" s="104" t="n"/>
    </row>
    <row r="376">
      <c r="AC376" s="104" t="n"/>
      <c r="AD376" s="104" t="n"/>
      <c r="AE376" s="104" t="n"/>
      <c r="AF376" s="104" t="n"/>
      <c r="AG376" s="104" t="n"/>
      <c r="AH376" s="104" t="n"/>
      <c r="AI376" s="104" t="n"/>
      <c r="AJ376" s="104" t="n"/>
      <c r="AK376" s="104" t="n"/>
      <c r="AL376" s="104" t="n"/>
      <c r="AM376" s="104" t="n"/>
      <c r="AN376" s="104" t="n"/>
      <c r="AO376" s="104" t="n"/>
      <c r="AP376" s="104" t="n"/>
      <c r="AQ376" s="104" t="n"/>
      <c r="AR376" s="104" t="n"/>
      <c r="AS376" s="104" t="n"/>
      <c r="AT376" s="104" t="n"/>
      <c r="AU376" s="104" t="n"/>
      <c r="AV376" s="104" t="n"/>
      <c r="AW376" s="104" t="n"/>
      <c r="AX376" s="104" t="n"/>
      <c r="AY376" s="104" t="n"/>
      <c r="AZ376" s="104" t="n"/>
      <c r="BA376" s="104" t="n"/>
      <c r="BB376" s="104" t="n"/>
      <c r="BC376" s="104" t="n"/>
      <c r="BD376" s="104" t="n"/>
      <c r="BE376" s="104" t="n"/>
      <c r="BF376" s="104" t="n"/>
      <c r="BG376" s="104" t="n"/>
      <c r="BH376" s="104" t="n"/>
      <c r="BI376" s="104" t="n"/>
      <c r="BJ376" s="104" t="n"/>
      <c r="BK376" s="104" t="n"/>
      <c r="BL376" s="104" t="n"/>
      <c r="BM376" s="104" t="n"/>
      <c r="BN376" s="104" t="n"/>
      <c r="BO376" s="104" t="n"/>
      <c r="BP376" s="104" t="n"/>
      <c r="BQ376" s="104" t="n"/>
      <c r="BR376" s="104" t="n"/>
      <c r="BS376" s="104" t="n"/>
      <c r="BT376" s="104" t="n"/>
      <c r="BU376" s="104" t="n"/>
      <c r="BV376" s="104" t="n"/>
      <c r="BW376" s="104" t="n"/>
      <c r="BX376" s="104" t="n"/>
    </row>
    <row r="377">
      <c r="AC377" s="104" t="n"/>
      <c r="AD377" s="104" t="n"/>
      <c r="AE377" s="104" t="n"/>
      <c r="AF377" s="104" t="n"/>
      <c r="AG377" s="104" t="n"/>
      <c r="AH377" s="104" t="n"/>
      <c r="AI377" s="104" t="n"/>
      <c r="AJ377" s="104" t="n"/>
      <c r="AK377" s="104" t="n"/>
      <c r="AL377" s="104" t="n"/>
      <c r="AM377" s="104" t="n"/>
      <c r="AN377" s="104" t="n"/>
      <c r="AO377" s="104" t="n"/>
      <c r="AP377" s="104" t="n"/>
      <c r="AQ377" s="104" t="n"/>
      <c r="AR377" s="104" t="n"/>
      <c r="AS377" s="104" t="n"/>
      <c r="AT377" s="104" t="n"/>
      <c r="AU377" s="104" t="n"/>
      <c r="AV377" s="104" t="n"/>
      <c r="AW377" s="104" t="n"/>
      <c r="AX377" s="104" t="n"/>
      <c r="AY377" s="104" t="n"/>
      <c r="AZ377" s="104" t="n"/>
      <c r="BA377" s="104" t="n"/>
      <c r="BB377" s="104" t="n"/>
      <c r="BC377" s="104" t="n"/>
      <c r="BD377" s="104" t="n"/>
      <c r="BE377" s="104" t="n"/>
      <c r="BF377" s="104" t="n"/>
      <c r="BG377" s="104" t="n"/>
      <c r="BH377" s="104" t="n"/>
      <c r="BI377" s="104" t="n"/>
      <c r="BJ377" s="104" t="n"/>
      <c r="BK377" s="104" t="n"/>
      <c r="BL377" s="104" t="n"/>
      <c r="BM377" s="104" t="n"/>
      <c r="BN377" s="104" t="n"/>
      <c r="BO377" s="104" t="n"/>
      <c r="BP377" s="104" t="n"/>
      <c r="BQ377" s="104" t="n"/>
      <c r="BR377" s="104" t="n"/>
      <c r="BS377" s="104" t="n"/>
      <c r="BT377" s="104" t="n"/>
      <c r="BU377" s="104" t="n"/>
      <c r="BV377" s="104" t="n"/>
      <c r="BW377" s="104" t="n"/>
      <c r="BX377" s="104" t="n"/>
    </row>
    <row r="378">
      <c r="AC378" s="104" t="n"/>
      <c r="AD378" s="104" t="n"/>
      <c r="AE378" s="104" t="n"/>
      <c r="AF378" s="104" t="n"/>
      <c r="AG378" s="104" t="n"/>
      <c r="AH378" s="104" t="n"/>
      <c r="AI378" s="104" t="n"/>
      <c r="AJ378" s="104" t="n"/>
      <c r="AK378" s="104" t="n"/>
      <c r="AL378" s="104" t="n"/>
      <c r="AM378" s="104" t="n"/>
      <c r="AN378" s="104" t="n"/>
      <c r="AO378" s="104" t="n"/>
      <c r="AP378" s="104" t="n"/>
      <c r="AQ378" s="104" t="n"/>
      <c r="AR378" s="104" t="n"/>
      <c r="AS378" s="104" t="n"/>
      <c r="AT378" s="104" t="n"/>
      <c r="AU378" s="104" t="n"/>
      <c r="AV378" s="104" t="n"/>
      <c r="AW378" s="104" t="n"/>
      <c r="AX378" s="104" t="n"/>
      <c r="AY378" s="104" t="n"/>
      <c r="AZ378" s="104" t="n"/>
      <c r="BA378" s="104" t="n"/>
      <c r="BB378" s="104" t="n"/>
      <c r="BC378" s="104" t="n"/>
      <c r="BD378" s="104" t="n"/>
      <c r="BE378" s="104" t="n"/>
      <c r="BF378" s="104" t="n"/>
      <c r="BG378" s="104" t="n"/>
      <c r="BH378" s="104" t="n"/>
      <c r="BI378" s="104" t="n"/>
      <c r="BJ378" s="104" t="n"/>
      <c r="BK378" s="104" t="n"/>
      <c r="BL378" s="104" t="n"/>
      <c r="BM378" s="104" t="n"/>
      <c r="BN378" s="104" t="n"/>
      <c r="BO378" s="104" t="n"/>
      <c r="BP378" s="104" t="n"/>
      <c r="BQ378" s="104" t="n"/>
      <c r="BR378" s="104" t="n"/>
      <c r="BS378" s="104" t="n"/>
      <c r="BT378" s="104" t="n"/>
      <c r="BU378" s="104" t="n"/>
      <c r="BV378" s="104" t="n"/>
      <c r="BW378" s="104" t="n"/>
      <c r="BX378" s="104" t="n"/>
    </row>
    <row r="379">
      <c r="AC379" s="104" t="n"/>
      <c r="AD379" s="104" t="n"/>
      <c r="AE379" s="104" t="n"/>
      <c r="AF379" s="104" t="n"/>
      <c r="AG379" s="104" t="n"/>
      <c r="AH379" s="104" t="n"/>
      <c r="AI379" s="104" t="n"/>
      <c r="AJ379" s="104" t="n"/>
      <c r="AK379" s="104" t="n"/>
      <c r="AL379" s="104" t="n"/>
      <c r="AM379" s="104" t="n"/>
      <c r="AN379" s="104" t="n"/>
      <c r="AO379" s="104" t="n"/>
      <c r="AP379" s="104" t="n"/>
      <c r="AQ379" s="104" t="n"/>
      <c r="AR379" s="104" t="n"/>
      <c r="AS379" s="104" t="n"/>
      <c r="AT379" s="104" t="n"/>
      <c r="AU379" s="104" t="n"/>
      <c r="AV379" s="104" t="n"/>
      <c r="AW379" s="104" t="n"/>
      <c r="AX379" s="104" t="n"/>
      <c r="AY379" s="104" t="n"/>
      <c r="AZ379" s="104" t="n"/>
      <c r="BA379" s="104" t="n"/>
      <c r="BB379" s="104" t="n"/>
      <c r="BC379" s="104" t="n"/>
      <c r="BD379" s="104" t="n"/>
      <c r="BE379" s="104" t="n"/>
      <c r="BF379" s="104" t="n"/>
      <c r="BG379" s="104" t="n"/>
      <c r="BH379" s="104" t="n"/>
      <c r="BI379" s="104" t="n"/>
      <c r="BJ379" s="104" t="n"/>
      <c r="BK379" s="104" t="n"/>
      <c r="BL379" s="104" t="n"/>
      <c r="BM379" s="104" t="n"/>
      <c r="BN379" s="104" t="n"/>
      <c r="BO379" s="104" t="n"/>
      <c r="BP379" s="104" t="n"/>
      <c r="BQ379" s="104" t="n"/>
      <c r="BR379" s="104" t="n"/>
      <c r="BS379" s="104" t="n"/>
      <c r="BT379" s="104" t="n"/>
      <c r="BU379" s="104" t="n"/>
      <c r="BV379" s="104" t="n"/>
      <c r="BW379" s="104" t="n"/>
      <c r="BX379" s="104" t="n"/>
    </row>
    <row r="380">
      <c r="AC380" s="104" t="n"/>
      <c r="AD380" s="104" t="n"/>
      <c r="AE380" s="104" t="n"/>
      <c r="AF380" s="104" t="n"/>
      <c r="AG380" s="104" t="n"/>
      <c r="AH380" s="104" t="n"/>
      <c r="AI380" s="104" t="n"/>
      <c r="AJ380" s="104" t="n"/>
      <c r="AK380" s="104" t="n"/>
      <c r="AL380" s="104" t="n"/>
      <c r="AM380" s="104" t="n"/>
      <c r="AN380" s="104" t="n"/>
      <c r="AO380" s="104" t="n"/>
      <c r="AP380" s="104" t="n"/>
      <c r="AQ380" s="104" t="n"/>
      <c r="AR380" s="104" t="n"/>
      <c r="AS380" s="104" t="n"/>
      <c r="AT380" s="104" t="n"/>
      <c r="AU380" s="104" t="n"/>
      <c r="AV380" s="104" t="n"/>
      <c r="AW380" s="104" t="n"/>
      <c r="AX380" s="104" t="n"/>
      <c r="AY380" s="104" t="n"/>
      <c r="AZ380" s="104" t="n"/>
      <c r="BA380" s="104" t="n"/>
      <c r="BB380" s="104" t="n"/>
      <c r="BC380" s="104" t="n"/>
      <c r="BD380" s="104" t="n"/>
      <c r="BE380" s="104" t="n"/>
      <c r="BF380" s="104" t="n"/>
      <c r="BG380" s="104" t="n"/>
      <c r="BH380" s="104" t="n"/>
      <c r="BI380" s="104" t="n"/>
      <c r="BJ380" s="104" t="n"/>
      <c r="BK380" s="104" t="n"/>
      <c r="BL380" s="104" t="n"/>
      <c r="BM380" s="104" t="n"/>
      <c r="BN380" s="104" t="n"/>
      <c r="BO380" s="104" t="n"/>
      <c r="BP380" s="104" t="n"/>
      <c r="BQ380" s="104" t="n"/>
      <c r="BR380" s="104" t="n"/>
      <c r="BS380" s="104" t="n"/>
      <c r="BT380" s="104" t="n"/>
      <c r="BU380" s="104" t="n"/>
      <c r="BV380" s="104" t="n"/>
      <c r="BW380" s="104" t="n"/>
      <c r="BX380" s="104" t="n"/>
    </row>
    <row r="381">
      <c r="AC381" s="104" t="n"/>
      <c r="AD381" s="104" t="n"/>
      <c r="AE381" s="104" t="n"/>
      <c r="AF381" s="104" t="n"/>
      <c r="AG381" s="104" t="n"/>
      <c r="AH381" s="104" t="n"/>
      <c r="AI381" s="104" t="n"/>
      <c r="AJ381" s="104" t="n"/>
      <c r="AK381" s="104" t="n"/>
      <c r="AL381" s="104" t="n"/>
      <c r="AM381" s="104" t="n"/>
      <c r="AN381" s="104" t="n"/>
      <c r="AO381" s="104" t="n"/>
      <c r="AP381" s="104" t="n"/>
      <c r="AQ381" s="104" t="n"/>
      <c r="AR381" s="104" t="n"/>
      <c r="AS381" s="104" t="n"/>
      <c r="AT381" s="104" t="n"/>
      <c r="AU381" s="104" t="n"/>
      <c r="AV381" s="104" t="n"/>
      <c r="AW381" s="104" t="n"/>
      <c r="AX381" s="104" t="n"/>
      <c r="AY381" s="104" t="n"/>
      <c r="AZ381" s="104" t="n"/>
      <c r="BA381" s="104" t="n"/>
      <c r="BB381" s="104" t="n"/>
      <c r="BC381" s="104" t="n"/>
      <c r="BD381" s="104" t="n"/>
      <c r="BE381" s="104" t="n"/>
      <c r="BF381" s="104" t="n"/>
      <c r="BG381" s="104" t="n"/>
      <c r="BH381" s="104" t="n"/>
      <c r="BI381" s="104" t="n"/>
      <c r="BJ381" s="104" t="n"/>
      <c r="BK381" s="104" t="n"/>
      <c r="BL381" s="104" t="n"/>
      <c r="BM381" s="104" t="n"/>
      <c r="BN381" s="104" t="n"/>
      <c r="BO381" s="104" t="n"/>
      <c r="BP381" s="104" t="n"/>
      <c r="BQ381" s="104" t="n"/>
      <c r="BR381" s="104" t="n"/>
      <c r="BS381" s="104" t="n"/>
      <c r="BT381" s="104" t="n"/>
      <c r="BU381" s="104" t="n"/>
      <c r="BV381" s="104" t="n"/>
      <c r="BW381" s="104" t="n"/>
      <c r="BX381" s="104" t="n"/>
    </row>
    <row r="382">
      <c r="AC382" s="104" t="n"/>
      <c r="AD382" s="104" t="n"/>
      <c r="AE382" s="104" t="n"/>
      <c r="AF382" s="104" t="n"/>
      <c r="AG382" s="104" t="n"/>
      <c r="AH382" s="104" t="n"/>
      <c r="AI382" s="104" t="n"/>
      <c r="AJ382" s="104" t="n"/>
      <c r="AK382" s="104" t="n"/>
      <c r="AL382" s="104" t="n"/>
      <c r="AM382" s="104" t="n"/>
      <c r="AN382" s="104" t="n"/>
      <c r="AO382" s="104" t="n"/>
      <c r="AP382" s="104" t="n"/>
      <c r="AQ382" s="104" t="n"/>
      <c r="AR382" s="104" t="n"/>
      <c r="AS382" s="104" t="n"/>
      <c r="AT382" s="104" t="n"/>
      <c r="AU382" s="104" t="n"/>
      <c r="AV382" s="104" t="n"/>
      <c r="AW382" s="104" t="n"/>
      <c r="AX382" s="104" t="n"/>
      <c r="AY382" s="104" t="n"/>
      <c r="AZ382" s="104" t="n"/>
      <c r="BA382" s="104" t="n"/>
      <c r="BB382" s="104" t="n"/>
      <c r="BC382" s="104" t="n"/>
      <c r="BD382" s="104" t="n"/>
      <c r="BE382" s="104" t="n"/>
      <c r="BF382" s="104" t="n"/>
      <c r="BG382" s="104" t="n"/>
      <c r="BH382" s="104" t="n"/>
      <c r="BI382" s="104" t="n"/>
      <c r="BJ382" s="104" t="n"/>
      <c r="BK382" s="104" t="n"/>
      <c r="BL382" s="104" t="n"/>
      <c r="BM382" s="104" t="n"/>
      <c r="BN382" s="104" t="n"/>
      <c r="BO382" s="104" t="n"/>
      <c r="BP382" s="104" t="n"/>
      <c r="BQ382" s="104" t="n"/>
      <c r="BR382" s="104" t="n"/>
      <c r="BS382" s="104" t="n"/>
      <c r="BT382" s="104" t="n"/>
      <c r="BU382" s="104" t="n"/>
      <c r="BV382" s="104" t="n"/>
      <c r="BW382" s="104" t="n"/>
      <c r="BX382" s="104" t="n"/>
    </row>
    <row r="383">
      <c r="AC383" s="104" t="n"/>
      <c r="AD383" s="104" t="n"/>
      <c r="AE383" s="104" t="n"/>
      <c r="AF383" s="104" t="n"/>
      <c r="AG383" s="104" t="n"/>
      <c r="AH383" s="104" t="n"/>
      <c r="AI383" s="104" t="n"/>
      <c r="AJ383" s="104" t="n"/>
      <c r="AK383" s="104" t="n"/>
      <c r="AL383" s="104" t="n"/>
      <c r="AM383" s="104" t="n"/>
      <c r="AN383" s="104" t="n"/>
      <c r="AO383" s="104" t="n"/>
      <c r="AP383" s="104" t="n"/>
      <c r="AQ383" s="104" t="n"/>
      <c r="AR383" s="104" t="n"/>
      <c r="AS383" s="104" t="n"/>
      <c r="AT383" s="104" t="n"/>
      <c r="AU383" s="104" t="n"/>
      <c r="AV383" s="104" t="n"/>
      <c r="AW383" s="104" t="n"/>
      <c r="AX383" s="104" t="n"/>
      <c r="AY383" s="104" t="n"/>
      <c r="AZ383" s="104" t="n"/>
      <c r="BA383" s="104" t="n"/>
      <c r="BB383" s="104" t="n"/>
      <c r="BC383" s="104" t="n"/>
      <c r="BD383" s="104" t="n"/>
      <c r="BE383" s="104" t="n"/>
      <c r="BF383" s="104" t="n"/>
      <c r="BG383" s="104" t="n"/>
      <c r="BH383" s="104" t="n"/>
      <c r="BI383" s="104" t="n"/>
      <c r="BJ383" s="104" t="n"/>
      <c r="BK383" s="104" t="n"/>
      <c r="BL383" s="104" t="n"/>
      <c r="BM383" s="104" t="n"/>
      <c r="BN383" s="104" t="n"/>
      <c r="BO383" s="104" t="n"/>
      <c r="BP383" s="104" t="n"/>
      <c r="BQ383" s="104" t="n"/>
      <c r="BR383" s="104" t="n"/>
      <c r="BS383" s="104" t="n"/>
      <c r="BT383" s="104" t="n"/>
      <c r="BU383" s="104" t="n"/>
      <c r="BV383" s="104" t="n"/>
      <c r="BW383" s="104" t="n"/>
      <c r="BX383" s="104" t="n"/>
    </row>
    <row r="384">
      <c r="AC384" s="104" t="n"/>
      <c r="AD384" s="104" t="n"/>
      <c r="AE384" s="104" t="n"/>
      <c r="AF384" s="104" t="n"/>
      <c r="AG384" s="104" t="n"/>
      <c r="AH384" s="104" t="n"/>
      <c r="AI384" s="104" t="n"/>
      <c r="AJ384" s="104" t="n"/>
      <c r="AK384" s="104" t="n"/>
      <c r="AL384" s="104" t="n"/>
      <c r="AM384" s="104" t="n"/>
      <c r="AN384" s="104" t="n"/>
      <c r="AO384" s="104" t="n"/>
      <c r="AP384" s="104" t="n"/>
      <c r="AQ384" s="104" t="n"/>
      <c r="AR384" s="104" t="n"/>
      <c r="AS384" s="104" t="n"/>
      <c r="AT384" s="104" t="n"/>
      <c r="AU384" s="104" t="n"/>
      <c r="AV384" s="104" t="n"/>
      <c r="AW384" s="104" t="n"/>
      <c r="AX384" s="104" t="n"/>
      <c r="AY384" s="104" t="n"/>
      <c r="AZ384" s="104" t="n"/>
      <c r="BA384" s="104" t="n"/>
      <c r="BB384" s="104" t="n"/>
      <c r="BC384" s="104" t="n"/>
      <c r="BD384" s="104" t="n"/>
      <c r="BE384" s="104" t="n"/>
      <c r="BF384" s="104" t="n"/>
      <c r="BG384" s="104" t="n"/>
      <c r="BH384" s="104" t="n"/>
      <c r="BI384" s="104" t="n"/>
      <c r="BJ384" s="104" t="n"/>
      <c r="BK384" s="104" t="n"/>
      <c r="BL384" s="104" t="n"/>
      <c r="BM384" s="104" t="n"/>
      <c r="BN384" s="104" t="n"/>
      <c r="BO384" s="104" t="n"/>
      <c r="BP384" s="104" t="n"/>
      <c r="BQ384" s="104" t="n"/>
      <c r="BR384" s="104" t="n"/>
      <c r="BS384" s="104" t="n"/>
      <c r="BT384" s="104" t="n"/>
      <c r="BU384" s="104" t="n"/>
      <c r="BV384" s="104" t="n"/>
      <c r="BW384" s="104" t="n"/>
      <c r="BX384" s="104" t="n"/>
    </row>
    <row r="385">
      <c r="AC385" s="104" t="n"/>
      <c r="AD385" s="104" t="n"/>
      <c r="AE385" s="104" t="n"/>
      <c r="AF385" s="104" t="n"/>
      <c r="AG385" s="104" t="n"/>
      <c r="AH385" s="104" t="n"/>
      <c r="AI385" s="104" t="n"/>
      <c r="AJ385" s="104" t="n"/>
      <c r="AK385" s="104" t="n"/>
      <c r="AL385" s="104" t="n"/>
      <c r="AM385" s="104" t="n"/>
      <c r="AN385" s="104" t="n"/>
      <c r="AO385" s="104" t="n"/>
      <c r="AP385" s="104" t="n"/>
      <c r="AQ385" s="104" t="n"/>
      <c r="AR385" s="104" t="n"/>
      <c r="AS385" s="104" t="n"/>
      <c r="AT385" s="104" t="n"/>
      <c r="AU385" s="104" t="n"/>
      <c r="AV385" s="104" t="n"/>
      <c r="AW385" s="104" t="n"/>
      <c r="AX385" s="104" t="n"/>
      <c r="AY385" s="104" t="n"/>
      <c r="AZ385" s="104" t="n"/>
      <c r="BA385" s="104" t="n"/>
      <c r="BB385" s="104" t="n"/>
      <c r="BC385" s="104" t="n"/>
      <c r="BD385" s="104" t="n"/>
      <c r="BE385" s="104" t="n"/>
      <c r="BF385" s="104" t="n"/>
      <c r="BG385" s="104" t="n"/>
      <c r="BH385" s="104" t="n"/>
      <c r="BI385" s="104" t="n"/>
      <c r="BJ385" s="104" t="n"/>
      <c r="BK385" s="104" t="n"/>
      <c r="BL385" s="104" t="n"/>
      <c r="BM385" s="104" t="n"/>
      <c r="BN385" s="104" t="n"/>
      <c r="BO385" s="104" t="n"/>
      <c r="BP385" s="104" t="n"/>
      <c r="BQ385" s="104" t="n"/>
      <c r="BR385" s="104" t="n"/>
      <c r="BS385" s="104" t="n"/>
      <c r="BT385" s="104" t="n"/>
      <c r="BU385" s="104" t="n"/>
      <c r="BV385" s="104" t="n"/>
      <c r="BW385" s="104" t="n"/>
      <c r="BX385" s="104" t="n"/>
    </row>
    <row r="386">
      <c r="AC386" s="104" t="n"/>
      <c r="AD386" s="104" t="n"/>
      <c r="AE386" s="104" t="n"/>
      <c r="AF386" s="104" t="n"/>
      <c r="AG386" s="104" t="n"/>
      <c r="AH386" s="104" t="n"/>
      <c r="AI386" s="104" t="n"/>
      <c r="AJ386" s="104" t="n"/>
      <c r="AK386" s="104" t="n"/>
      <c r="AL386" s="104" t="n"/>
      <c r="AM386" s="104" t="n"/>
      <c r="AN386" s="104" t="n"/>
      <c r="AO386" s="104" t="n"/>
      <c r="AP386" s="104" t="n"/>
      <c r="AQ386" s="104" t="n"/>
      <c r="AR386" s="104" t="n"/>
      <c r="AS386" s="104" t="n"/>
      <c r="AT386" s="104" t="n"/>
      <c r="AU386" s="104" t="n"/>
      <c r="AV386" s="104" t="n"/>
      <c r="AW386" s="104" t="n"/>
      <c r="AX386" s="104" t="n"/>
      <c r="AY386" s="104" t="n"/>
      <c r="AZ386" s="104" t="n"/>
      <c r="BA386" s="104" t="n"/>
      <c r="BB386" s="104" t="n"/>
      <c r="BC386" s="104" t="n"/>
      <c r="BD386" s="104" t="n"/>
      <c r="BE386" s="104" t="n"/>
      <c r="BF386" s="104" t="n"/>
      <c r="BG386" s="104" t="n"/>
      <c r="BH386" s="104" t="n"/>
      <c r="BI386" s="104" t="n"/>
      <c r="BJ386" s="104" t="n"/>
      <c r="BK386" s="104" t="n"/>
      <c r="BL386" s="104" t="n"/>
      <c r="BM386" s="104" t="n"/>
      <c r="BN386" s="104" t="n"/>
      <c r="BO386" s="104" t="n"/>
      <c r="BP386" s="104" t="n"/>
      <c r="BQ386" s="104" t="n"/>
      <c r="BR386" s="104" t="n"/>
      <c r="BS386" s="104" t="n"/>
      <c r="BT386" s="104" t="n"/>
      <c r="BU386" s="104" t="n"/>
      <c r="BV386" s="104" t="n"/>
      <c r="BW386" s="104" t="n"/>
      <c r="BX386" s="104" t="n"/>
    </row>
    <row r="387">
      <c r="AC387" s="104" t="n"/>
      <c r="AD387" s="104" t="n"/>
      <c r="AE387" s="104" t="n"/>
      <c r="AF387" s="104" t="n"/>
      <c r="AG387" s="104" t="n"/>
      <c r="AH387" s="104" t="n"/>
      <c r="AI387" s="104" t="n"/>
      <c r="AJ387" s="104" t="n"/>
      <c r="AK387" s="104" t="n"/>
      <c r="AL387" s="104" t="n"/>
      <c r="AM387" s="104" t="n"/>
      <c r="AN387" s="104" t="n"/>
      <c r="AO387" s="104" t="n"/>
      <c r="AP387" s="104" t="n"/>
      <c r="AQ387" s="104" t="n"/>
      <c r="AR387" s="104" t="n"/>
      <c r="AS387" s="104" t="n"/>
      <c r="AT387" s="104" t="n"/>
      <c r="AU387" s="104" t="n"/>
      <c r="AV387" s="104" t="n"/>
      <c r="AW387" s="104" t="n"/>
      <c r="AX387" s="104" t="n"/>
      <c r="AY387" s="104" t="n"/>
      <c r="AZ387" s="104" t="n"/>
      <c r="BA387" s="104" t="n"/>
      <c r="BB387" s="104" t="n"/>
      <c r="BC387" s="104" t="n"/>
      <c r="BD387" s="104" t="n"/>
      <c r="BE387" s="104" t="n"/>
      <c r="BF387" s="104" t="n"/>
      <c r="BG387" s="104" t="n"/>
      <c r="BH387" s="104" t="n"/>
      <c r="BI387" s="104" t="n"/>
      <c r="BJ387" s="104" t="n"/>
      <c r="BK387" s="104" t="n"/>
      <c r="BL387" s="104" t="n"/>
      <c r="BM387" s="104" t="n"/>
      <c r="BN387" s="104" t="n"/>
      <c r="BO387" s="104" t="n"/>
      <c r="BP387" s="104" t="n"/>
      <c r="BQ387" s="104" t="n"/>
      <c r="BR387" s="104" t="n"/>
      <c r="BS387" s="104" t="n"/>
      <c r="BT387" s="104" t="n"/>
      <c r="BU387" s="104" t="n"/>
      <c r="BV387" s="104" t="n"/>
      <c r="BW387" s="104" t="n"/>
      <c r="BX387" s="104" t="n"/>
    </row>
    <row r="388">
      <c r="AC388" s="104" t="n"/>
      <c r="AD388" s="104" t="n"/>
      <c r="AE388" s="104" t="n"/>
      <c r="AF388" s="104" t="n"/>
      <c r="AG388" s="104" t="n"/>
      <c r="AH388" s="104" t="n"/>
      <c r="AI388" s="104" t="n"/>
      <c r="AJ388" s="104" t="n"/>
      <c r="AK388" s="104" t="n"/>
      <c r="AL388" s="104" t="n"/>
      <c r="AM388" s="104" t="n"/>
      <c r="AN388" s="104" t="n"/>
      <c r="AO388" s="104" t="n"/>
      <c r="AP388" s="104" t="n"/>
      <c r="AQ388" s="104" t="n"/>
      <c r="AR388" s="104" t="n"/>
      <c r="AS388" s="104" t="n"/>
      <c r="AT388" s="104" t="n"/>
      <c r="AU388" s="104" t="n"/>
      <c r="AV388" s="104" t="n"/>
      <c r="AW388" s="104" t="n"/>
      <c r="AX388" s="104" t="n"/>
      <c r="AY388" s="104" t="n"/>
      <c r="AZ388" s="104" t="n"/>
      <c r="BA388" s="104" t="n"/>
      <c r="BB388" s="104" t="n"/>
      <c r="BC388" s="104" t="n"/>
      <c r="BD388" s="104" t="n"/>
      <c r="BE388" s="104" t="n"/>
      <c r="BF388" s="104" t="n"/>
      <c r="BG388" s="104" t="n"/>
      <c r="BH388" s="104" t="n"/>
      <c r="BI388" s="104" t="n"/>
      <c r="BJ388" s="104" t="n"/>
      <c r="BK388" s="104" t="n"/>
      <c r="BL388" s="104" t="n"/>
      <c r="BM388" s="104" t="n"/>
      <c r="BN388" s="104" t="n"/>
      <c r="BO388" s="104" t="n"/>
      <c r="BP388" s="104" t="n"/>
      <c r="BQ388" s="104" t="n"/>
      <c r="BR388" s="104" t="n"/>
      <c r="BS388" s="104" t="n"/>
      <c r="BT388" s="104" t="n"/>
      <c r="BU388" s="104" t="n"/>
      <c r="BV388" s="104" t="n"/>
      <c r="BW388" s="104" t="n"/>
      <c r="BX388" s="104" t="n"/>
    </row>
    <row r="389">
      <c r="AC389" s="104" t="n"/>
      <c r="AD389" s="104" t="n"/>
      <c r="AE389" s="104" t="n"/>
      <c r="AF389" s="104" t="n"/>
      <c r="AG389" s="104" t="n"/>
      <c r="AH389" s="104" t="n"/>
      <c r="AI389" s="104" t="n"/>
      <c r="AJ389" s="104" t="n"/>
      <c r="AK389" s="104" t="n"/>
      <c r="AL389" s="104" t="n"/>
      <c r="AM389" s="104" t="n"/>
      <c r="AN389" s="104" t="n"/>
      <c r="AO389" s="104" t="n"/>
      <c r="AP389" s="104" t="n"/>
      <c r="AQ389" s="104" t="n"/>
      <c r="AR389" s="104" t="n"/>
      <c r="AS389" s="104" t="n"/>
      <c r="AT389" s="104" t="n"/>
      <c r="AU389" s="104" t="n"/>
      <c r="AV389" s="104" t="n"/>
      <c r="AW389" s="104" t="n"/>
      <c r="AX389" s="104" t="n"/>
      <c r="AY389" s="104" t="n"/>
      <c r="AZ389" s="104" t="n"/>
      <c r="BA389" s="104" t="n"/>
      <c r="BB389" s="104" t="n"/>
      <c r="BC389" s="104" t="n"/>
      <c r="BD389" s="104" t="n"/>
      <c r="BE389" s="104" t="n"/>
      <c r="BF389" s="104" t="n"/>
      <c r="BG389" s="104" t="n"/>
      <c r="BH389" s="104" t="n"/>
      <c r="BI389" s="104" t="n"/>
      <c r="BJ389" s="104" t="n"/>
      <c r="BK389" s="104" t="n"/>
      <c r="BL389" s="104" t="n"/>
      <c r="BM389" s="104" t="n"/>
      <c r="BN389" s="104" t="n"/>
      <c r="BO389" s="104" t="n"/>
      <c r="BP389" s="104" t="n"/>
      <c r="BQ389" s="104" t="n"/>
      <c r="BR389" s="104" t="n"/>
      <c r="BS389" s="104" t="n"/>
      <c r="BT389" s="104" t="n"/>
      <c r="BU389" s="104" t="n"/>
      <c r="BV389" s="104" t="n"/>
      <c r="BW389" s="104" t="n"/>
      <c r="BX389" s="104" t="n"/>
    </row>
    <row r="390">
      <c r="AC390" s="104" t="n"/>
      <c r="AD390" s="104" t="n"/>
      <c r="AE390" s="104" t="n"/>
      <c r="AF390" s="104" t="n"/>
      <c r="AG390" s="104" t="n"/>
      <c r="AH390" s="104" t="n"/>
      <c r="AI390" s="104" t="n"/>
      <c r="AJ390" s="104" t="n"/>
      <c r="AK390" s="104" t="n"/>
      <c r="AL390" s="104" t="n"/>
      <c r="AM390" s="104" t="n"/>
      <c r="AN390" s="104" t="n"/>
      <c r="AO390" s="104" t="n"/>
      <c r="AP390" s="104" t="n"/>
      <c r="AQ390" s="104" t="n"/>
      <c r="AR390" s="104" t="n"/>
      <c r="AS390" s="104" t="n"/>
      <c r="AT390" s="104" t="n"/>
      <c r="AU390" s="104" t="n"/>
      <c r="AV390" s="104" t="n"/>
      <c r="AW390" s="104" t="n"/>
      <c r="AX390" s="104" t="n"/>
      <c r="AY390" s="104" t="n"/>
      <c r="AZ390" s="104" t="n"/>
      <c r="BA390" s="104" t="n"/>
      <c r="BB390" s="104" t="n"/>
      <c r="BC390" s="104" t="n"/>
      <c r="BD390" s="104" t="n"/>
      <c r="BE390" s="104" t="n"/>
      <c r="BF390" s="104" t="n"/>
      <c r="BG390" s="104" t="n"/>
      <c r="BH390" s="104" t="n"/>
      <c r="BI390" s="104" t="n"/>
      <c r="BJ390" s="104" t="n"/>
      <c r="BK390" s="104" t="n"/>
      <c r="BL390" s="104" t="n"/>
      <c r="BM390" s="104" t="n"/>
      <c r="BN390" s="104" t="n"/>
      <c r="BO390" s="104" t="n"/>
      <c r="BP390" s="104" t="n"/>
      <c r="BQ390" s="104" t="n"/>
      <c r="BR390" s="104" t="n"/>
      <c r="BS390" s="104" t="n"/>
      <c r="BT390" s="104" t="n"/>
      <c r="BU390" s="104" t="n"/>
      <c r="BV390" s="104" t="n"/>
      <c r="BW390" s="104" t="n"/>
      <c r="BX390" s="104" t="n"/>
    </row>
    <row r="391">
      <c r="AC391" s="104" t="n"/>
      <c r="AD391" s="104" t="n"/>
      <c r="AE391" s="104" t="n"/>
      <c r="AF391" s="104" t="n"/>
      <c r="AG391" s="104" t="n"/>
      <c r="AH391" s="104" t="n"/>
      <c r="AI391" s="104" t="n"/>
      <c r="AJ391" s="104" t="n"/>
      <c r="AK391" s="104" t="n"/>
      <c r="AL391" s="104" t="n"/>
      <c r="AM391" s="104" t="n"/>
      <c r="AN391" s="104" t="n"/>
      <c r="AO391" s="104" t="n"/>
      <c r="AP391" s="104" t="n"/>
      <c r="AQ391" s="104" t="n"/>
      <c r="AR391" s="104" t="n"/>
      <c r="AS391" s="104" t="n"/>
      <c r="AT391" s="104" t="n"/>
      <c r="AU391" s="104" t="n"/>
      <c r="AV391" s="104" t="n"/>
      <c r="AW391" s="104" t="n"/>
      <c r="AX391" s="104" t="n"/>
      <c r="AY391" s="104" t="n"/>
      <c r="AZ391" s="104" t="n"/>
      <c r="BA391" s="104" t="n"/>
      <c r="BB391" s="104" t="n"/>
      <c r="BC391" s="104" t="n"/>
      <c r="BD391" s="104" t="n"/>
      <c r="BE391" s="104" t="n"/>
      <c r="BF391" s="104" t="n"/>
      <c r="BG391" s="104" t="n"/>
      <c r="BH391" s="104" t="n"/>
      <c r="BI391" s="104" t="n"/>
      <c r="BJ391" s="104" t="n"/>
      <c r="BK391" s="104" t="n"/>
      <c r="BL391" s="104" t="n"/>
      <c r="BM391" s="104" t="n"/>
      <c r="BN391" s="104" t="n"/>
      <c r="BO391" s="104" t="n"/>
      <c r="BP391" s="104" t="n"/>
      <c r="BQ391" s="104" t="n"/>
      <c r="BR391" s="104" t="n"/>
      <c r="BS391" s="104" t="n"/>
      <c r="BT391" s="104" t="n"/>
      <c r="BU391" s="104" t="n"/>
      <c r="BV391" s="104" t="n"/>
      <c r="BW391" s="104" t="n"/>
      <c r="BX391" s="104" t="n"/>
    </row>
    <row r="392">
      <c r="AC392" s="104" t="n"/>
      <c r="AD392" s="104" t="n"/>
      <c r="AE392" s="104" t="n"/>
      <c r="AF392" s="104" t="n"/>
      <c r="AG392" s="104" t="n"/>
      <c r="AH392" s="104" t="n"/>
      <c r="AI392" s="104" t="n"/>
      <c r="AJ392" s="104" t="n"/>
      <c r="AK392" s="104" t="n"/>
      <c r="AL392" s="104" t="n"/>
      <c r="AM392" s="104" t="n"/>
      <c r="AN392" s="104" t="n"/>
      <c r="AO392" s="104" t="n"/>
      <c r="AP392" s="104" t="n"/>
      <c r="AQ392" s="104" t="n"/>
      <c r="AR392" s="104" t="n"/>
      <c r="AS392" s="104" t="n"/>
      <c r="AT392" s="104" t="n"/>
      <c r="AU392" s="104" t="n"/>
      <c r="AV392" s="104" t="n"/>
      <c r="AW392" s="104" t="n"/>
      <c r="AX392" s="104" t="n"/>
      <c r="AY392" s="104" t="n"/>
      <c r="AZ392" s="104" t="n"/>
      <c r="BA392" s="104" t="n"/>
      <c r="BB392" s="104" t="n"/>
      <c r="BC392" s="104" t="n"/>
      <c r="BD392" s="104" t="n"/>
      <c r="BE392" s="104" t="n"/>
      <c r="BF392" s="104" t="n"/>
      <c r="BG392" s="104" t="n"/>
      <c r="BH392" s="104" t="n"/>
      <c r="BI392" s="104" t="n"/>
      <c r="BJ392" s="104" t="n"/>
      <c r="BK392" s="104" t="n"/>
      <c r="BL392" s="104" t="n"/>
      <c r="BM392" s="104" t="n"/>
      <c r="BN392" s="104" t="n"/>
      <c r="BO392" s="104" t="n"/>
      <c r="BP392" s="104" t="n"/>
      <c r="BQ392" s="104" t="n"/>
      <c r="BR392" s="104" t="n"/>
      <c r="BS392" s="104" t="n"/>
      <c r="BT392" s="104" t="n"/>
      <c r="BU392" s="104" t="n"/>
      <c r="BV392" s="104" t="n"/>
      <c r="BW392" s="104" t="n"/>
      <c r="BX392" s="104" t="n"/>
    </row>
    <row r="393">
      <c r="AC393" s="104" t="n"/>
      <c r="AD393" s="104" t="n"/>
      <c r="AE393" s="104" t="n"/>
      <c r="AF393" s="104" t="n"/>
      <c r="AG393" s="104" t="n"/>
      <c r="AH393" s="104" t="n"/>
      <c r="AI393" s="104" t="n"/>
      <c r="AJ393" s="104" t="n"/>
      <c r="AK393" s="104" t="n"/>
      <c r="AL393" s="104" t="n"/>
      <c r="AM393" s="104" t="n"/>
      <c r="AN393" s="104" t="n"/>
      <c r="AO393" s="104" t="n"/>
      <c r="AP393" s="104" t="n"/>
      <c r="AQ393" s="104" t="n"/>
      <c r="AR393" s="104" t="n"/>
      <c r="AS393" s="104" t="n"/>
      <c r="AT393" s="104" t="n"/>
      <c r="AU393" s="104" t="n"/>
      <c r="AV393" s="104" t="n"/>
      <c r="AW393" s="104" t="n"/>
      <c r="AX393" s="104" t="n"/>
      <c r="AY393" s="104" t="n"/>
      <c r="AZ393" s="104" t="n"/>
      <c r="BA393" s="104" t="n"/>
      <c r="BB393" s="104" t="n"/>
      <c r="BC393" s="104" t="n"/>
      <c r="BD393" s="104" t="n"/>
      <c r="BE393" s="104" t="n"/>
      <c r="BF393" s="104" t="n"/>
      <c r="BG393" s="104" t="n"/>
      <c r="BH393" s="104" t="n"/>
      <c r="BI393" s="104" t="n"/>
      <c r="BJ393" s="104" t="n"/>
      <c r="BK393" s="104" t="n"/>
      <c r="BL393" s="104" t="n"/>
      <c r="BM393" s="104" t="n"/>
      <c r="BN393" s="104" t="n"/>
      <c r="BO393" s="104" t="n"/>
      <c r="BP393" s="104" t="n"/>
      <c r="BQ393" s="104" t="n"/>
      <c r="BR393" s="104" t="n"/>
      <c r="BS393" s="104" t="n"/>
      <c r="BT393" s="104" t="n"/>
      <c r="BU393" s="104" t="n"/>
      <c r="BV393" s="104" t="n"/>
      <c r="BW393" s="104" t="n"/>
      <c r="BX393" s="104" t="n"/>
    </row>
    <row r="394">
      <c r="AC394" s="104" t="n"/>
      <c r="AD394" s="104" t="n"/>
      <c r="AE394" s="104" t="n"/>
      <c r="AF394" s="104" t="n"/>
      <c r="AG394" s="104" t="n"/>
      <c r="AH394" s="104" t="n"/>
      <c r="AI394" s="104" t="n"/>
      <c r="AJ394" s="104" t="n"/>
      <c r="AK394" s="104" t="n"/>
      <c r="AL394" s="104" t="n"/>
      <c r="AM394" s="104" t="n"/>
      <c r="AN394" s="104" t="n"/>
      <c r="AO394" s="104" t="n"/>
      <c r="AP394" s="104" t="n"/>
      <c r="AQ394" s="104" t="n"/>
      <c r="AR394" s="104" t="n"/>
      <c r="AS394" s="104" t="n"/>
      <c r="AT394" s="104" t="n"/>
      <c r="AU394" s="104" t="n"/>
      <c r="AV394" s="104" t="n"/>
      <c r="AW394" s="104" t="n"/>
      <c r="AX394" s="104" t="n"/>
      <c r="AY394" s="104" t="n"/>
      <c r="AZ394" s="104" t="n"/>
      <c r="BA394" s="104" t="n"/>
      <c r="BB394" s="104" t="n"/>
      <c r="BC394" s="104" t="n"/>
      <c r="BD394" s="104" t="n"/>
      <c r="BE394" s="104" t="n"/>
      <c r="BF394" s="104" t="n"/>
      <c r="BG394" s="104" t="n"/>
      <c r="BH394" s="104" t="n"/>
      <c r="BI394" s="104" t="n"/>
      <c r="BJ394" s="104" t="n"/>
      <c r="BK394" s="104" t="n"/>
      <c r="BL394" s="104" t="n"/>
      <c r="BM394" s="104" t="n"/>
      <c r="BN394" s="104" t="n"/>
      <c r="BO394" s="104" t="n"/>
      <c r="BP394" s="104" t="n"/>
      <c r="BQ394" s="104" t="n"/>
      <c r="BR394" s="104" t="n"/>
      <c r="BS394" s="104" t="n"/>
      <c r="BT394" s="104" t="n"/>
      <c r="BU394" s="104" t="n"/>
      <c r="BV394" s="104" t="n"/>
      <c r="BW394" s="104" t="n"/>
      <c r="BX394" s="104" t="n"/>
    </row>
    <row r="395">
      <c r="AC395" s="104" t="n"/>
      <c r="AD395" s="104" t="n"/>
      <c r="AE395" s="104" t="n"/>
      <c r="AF395" s="104" t="n"/>
      <c r="AG395" s="104" t="n"/>
      <c r="AH395" s="104" t="n"/>
      <c r="AI395" s="104" t="n"/>
      <c r="AJ395" s="104" t="n"/>
      <c r="AK395" s="104" t="n"/>
      <c r="AL395" s="104" t="n"/>
      <c r="AM395" s="104" t="n"/>
      <c r="AN395" s="104" t="n"/>
      <c r="AO395" s="104" t="n"/>
      <c r="AP395" s="104" t="n"/>
      <c r="AQ395" s="104" t="n"/>
      <c r="AR395" s="104" t="n"/>
      <c r="AS395" s="104" t="n"/>
      <c r="AT395" s="104" t="n"/>
      <c r="AU395" s="104" t="n"/>
      <c r="AV395" s="104" t="n"/>
      <c r="AW395" s="104" t="n"/>
      <c r="AX395" s="104" t="n"/>
      <c r="AY395" s="104" t="n"/>
      <c r="AZ395" s="104" t="n"/>
      <c r="BA395" s="104" t="n"/>
      <c r="BB395" s="104" t="n"/>
      <c r="BC395" s="104" t="n"/>
      <c r="BD395" s="104" t="n"/>
      <c r="BE395" s="104" t="n"/>
      <c r="BF395" s="104" t="n"/>
      <c r="BG395" s="104" t="n"/>
      <c r="BH395" s="104" t="n"/>
      <c r="BI395" s="104" t="n"/>
      <c r="BJ395" s="104" t="n"/>
      <c r="BK395" s="104" t="n"/>
      <c r="BL395" s="104" t="n"/>
      <c r="BM395" s="104" t="n"/>
      <c r="BN395" s="104" t="n"/>
      <c r="BO395" s="104" t="n"/>
      <c r="BP395" s="104" t="n"/>
      <c r="BQ395" s="104" t="n"/>
      <c r="BR395" s="104" t="n"/>
      <c r="BS395" s="104" t="n"/>
      <c r="BT395" s="104" t="n"/>
      <c r="BU395" s="104" t="n"/>
      <c r="BV395" s="104" t="n"/>
      <c r="BW395" s="104" t="n"/>
      <c r="BX395" s="104" t="n"/>
    </row>
    <row r="396">
      <c r="AC396" s="104" t="n"/>
      <c r="AD396" s="104" t="n"/>
      <c r="AE396" s="104" t="n"/>
      <c r="AF396" s="104" t="n"/>
      <c r="AG396" s="104" t="n"/>
      <c r="AH396" s="104" t="n"/>
      <c r="AI396" s="104" t="n"/>
      <c r="AJ396" s="104" t="n"/>
      <c r="AK396" s="104" t="n"/>
      <c r="AL396" s="104" t="n"/>
      <c r="AM396" s="104" t="n"/>
      <c r="AN396" s="104" t="n"/>
      <c r="AO396" s="104" t="n"/>
      <c r="AP396" s="104" t="n"/>
      <c r="AQ396" s="104" t="n"/>
      <c r="AR396" s="104" t="n"/>
      <c r="AS396" s="104" t="n"/>
      <c r="AT396" s="104" t="n"/>
      <c r="AU396" s="104" t="n"/>
      <c r="AV396" s="104" t="n"/>
      <c r="AW396" s="104" t="n"/>
      <c r="AX396" s="104" t="n"/>
      <c r="AY396" s="104" t="n"/>
      <c r="AZ396" s="104" t="n"/>
      <c r="BA396" s="104" t="n"/>
      <c r="BB396" s="104" t="n"/>
      <c r="BC396" s="104" t="n"/>
      <c r="BD396" s="104" t="n"/>
      <c r="BE396" s="104" t="n"/>
      <c r="BF396" s="104" t="n"/>
      <c r="BG396" s="104" t="n"/>
      <c r="BH396" s="104" t="n"/>
      <c r="BI396" s="104" t="n"/>
      <c r="BJ396" s="104" t="n"/>
      <c r="BK396" s="104" t="n"/>
      <c r="BL396" s="104" t="n"/>
      <c r="BM396" s="104" t="n"/>
      <c r="BN396" s="104" t="n"/>
      <c r="BO396" s="104" t="n"/>
      <c r="BP396" s="104" t="n"/>
      <c r="BQ396" s="104" t="n"/>
      <c r="BR396" s="104" t="n"/>
      <c r="BS396" s="104" t="n"/>
      <c r="BT396" s="104" t="n"/>
      <c r="BU396" s="104" t="n"/>
      <c r="BV396" s="104" t="n"/>
      <c r="BW396" s="104" t="n"/>
      <c r="BX396" s="104" t="n"/>
    </row>
    <row r="397">
      <c r="AC397" s="104" t="n"/>
      <c r="AD397" s="104" t="n"/>
      <c r="AE397" s="104" t="n"/>
      <c r="AF397" s="104" t="n"/>
      <c r="AG397" s="104" t="n"/>
      <c r="AH397" s="104" t="n"/>
      <c r="AI397" s="104" t="n"/>
      <c r="AJ397" s="104" t="n"/>
      <c r="AK397" s="104" t="n"/>
      <c r="AL397" s="104" t="n"/>
      <c r="AM397" s="104" t="n"/>
      <c r="AN397" s="104" t="n"/>
      <c r="AO397" s="104" t="n"/>
      <c r="AP397" s="104" t="n"/>
      <c r="AQ397" s="104" t="n"/>
      <c r="AR397" s="104" t="n"/>
      <c r="AS397" s="104" t="n"/>
      <c r="AT397" s="104" t="n"/>
      <c r="AU397" s="104" t="n"/>
      <c r="AV397" s="104" t="n"/>
      <c r="AW397" s="104" t="n"/>
      <c r="AX397" s="104" t="n"/>
      <c r="AY397" s="104" t="n"/>
      <c r="AZ397" s="104" t="n"/>
      <c r="BA397" s="104" t="n"/>
      <c r="BB397" s="104" t="n"/>
      <c r="BC397" s="104" t="n"/>
      <c r="BD397" s="104" t="n"/>
      <c r="BE397" s="104" t="n"/>
      <c r="BF397" s="104" t="n"/>
      <c r="BG397" s="104" t="n"/>
      <c r="BH397" s="104" t="n"/>
      <c r="BI397" s="104" t="n"/>
      <c r="BJ397" s="104" t="n"/>
      <c r="BK397" s="104" t="n"/>
      <c r="BL397" s="104" t="n"/>
      <c r="BM397" s="104" t="n"/>
      <c r="BN397" s="104" t="n"/>
      <c r="BO397" s="104" t="n"/>
      <c r="BP397" s="104" t="n"/>
      <c r="BQ397" s="104" t="n"/>
      <c r="BR397" s="104" t="n"/>
      <c r="BS397" s="104" t="n"/>
      <c r="BT397" s="104" t="n"/>
      <c r="BU397" s="104" t="n"/>
      <c r="BV397" s="104" t="n"/>
      <c r="BW397" s="104" t="n"/>
      <c r="BX397" s="104" t="n"/>
    </row>
    <row r="398">
      <c r="AC398" s="104" t="n"/>
      <c r="AD398" s="104" t="n"/>
      <c r="AE398" s="104" t="n"/>
      <c r="AF398" s="104" t="n"/>
      <c r="AG398" s="104" t="n"/>
      <c r="AH398" s="104" t="n"/>
      <c r="AI398" s="104" t="n"/>
      <c r="AJ398" s="104" t="n"/>
      <c r="AK398" s="104" t="n"/>
      <c r="AL398" s="104" t="n"/>
      <c r="AM398" s="104" t="n"/>
      <c r="AN398" s="104" t="n"/>
      <c r="AO398" s="104" t="n"/>
      <c r="AP398" s="104" t="n"/>
      <c r="AQ398" s="104" t="n"/>
      <c r="AR398" s="104" t="n"/>
      <c r="AS398" s="104" t="n"/>
      <c r="AT398" s="104" t="n"/>
      <c r="AU398" s="104" t="n"/>
      <c r="AV398" s="104" t="n"/>
      <c r="AW398" s="104" t="n"/>
      <c r="AX398" s="104" t="n"/>
      <c r="AY398" s="104" t="n"/>
      <c r="AZ398" s="104" t="n"/>
      <c r="BA398" s="104" t="n"/>
      <c r="BB398" s="104" t="n"/>
      <c r="BC398" s="104" t="n"/>
      <c r="BD398" s="104" t="n"/>
      <c r="BE398" s="104" t="n"/>
      <c r="BF398" s="104" t="n"/>
      <c r="BG398" s="104" t="n"/>
      <c r="BH398" s="104" t="n"/>
      <c r="BI398" s="104" t="n"/>
      <c r="BJ398" s="104" t="n"/>
      <c r="BK398" s="104" t="n"/>
      <c r="BL398" s="104" t="n"/>
      <c r="BM398" s="104" t="n"/>
      <c r="BN398" s="104" t="n"/>
      <c r="BO398" s="104" t="n"/>
      <c r="BP398" s="104" t="n"/>
      <c r="BQ398" s="104" t="n"/>
      <c r="BR398" s="104" t="n"/>
      <c r="BS398" s="104" t="n"/>
      <c r="BT398" s="104" t="n"/>
      <c r="BU398" s="104" t="n"/>
      <c r="BV398" s="104" t="n"/>
      <c r="BW398" s="104" t="n"/>
      <c r="BX398" s="104" t="n"/>
    </row>
    <row r="399">
      <c r="AC399" s="104" t="n"/>
      <c r="AD399" s="104" t="n"/>
      <c r="AE399" s="104" t="n"/>
      <c r="AF399" s="104" t="n"/>
      <c r="AG399" s="104" t="n"/>
      <c r="AH399" s="104" t="n"/>
      <c r="AI399" s="104" t="n"/>
      <c r="AJ399" s="104" t="n"/>
      <c r="AK399" s="104" t="n"/>
      <c r="AL399" s="104" t="n"/>
      <c r="AM399" s="104" t="n"/>
      <c r="AN399" s="104" t="n"/>
      <c r="AO399" s="104" t="n"/>
      <c r="AP399" s="104" t="n"/>
      <c r="AQ399" s="104" t="n"/>
      <c r="AR399" s="104" t="n"/>
      <c r="AS399" s="104" t="n"/>
      <c r="AT399" s="104" t="n"/>
      <c r="AU399" s="104" t="n"/>
      <c r="AV399" s="104" t="n"/>
      <c r="AW399" s="104" t="n"/>
      <c r="AX399" s="104" t="n"/>
      <c r="AY399" s="104" t="n"/>
      <c r="AZ399" s="104" t="n"/>
      <c r="BA399" s="104" t="n"/>
      <c r="BB399" s="104" t="n"/>
      <c r="BC399" s="104" t="n"/>
      <c r="BD399" s="104" t="n"/>
      <c r="BE399" s="104" t="n"/>
      <c r="BF399" s="104" t="n"/>
      <c r="BG399" s="104" t="n"/>
      <c r="BH399" s="104" t="n"/>
      <c r="BI399" s="104" t="n"/>
      <c r="BJ399" s="104" t="n"/>
      <c r="BK399" s="104" t="n"/>
      <c r="BL399" s="104" t="n"/>
      <c r="BM399" s="104" t="n"/>
      <c r="BN399" s="104" t="n"/>
      <c r="BO399" s="104" t="n"/>
      <c r="BP399" s="104" t="n"/>
      <c r="BQ399" s="104" t="n"/>
      <c r="BR399" s="104" t="n"/>
      <c r="BS399" s="104" t="n"/>
      <c r="BT399" s="104" t="n"/>
      <c r="BU399" s="104" t="n"/>
      <c r="BV399" s="104" t="n"/>
      <c r="BW399" s="104" t="n"/>
      <c r="BX399" s="104" t="n"/>
    </row>
    <row r="400">
      <c r="AC400" s="104" t="n"/>
      <c r="AD400" s="104" t="n"/>
      <c r="AE400" s="104" t="n"/>
      <c r="AF400" s="104" t="n"/>
      <c r="AG400" s="104" t="n"/>
      <c r="AH400" s="104" t="n"/>
      <c r="AI400" s="104" t="n"/>
      <c r="AJ400" s="104" t="n"/>
      <c r="AK400" s="104" t="n"/>
      <c r="AL400" s="104" t="n"/>
      <c r="AM400" s="104" t="n"/>
      <c r="AN400" s="104" t="n"/>
      <c r="AO400" s="104" t="n"/>
      <c r="AP400" s="104" t="n"/>
      <c r="AQ400" s="104" t="n"/>
      <c r="AR400" s="104" t="n"/>
      <c r="AS400" s="104" t="n"/>
      <c r="AT400" s="104" t="n"/>
      <c r="AU400" s="104" t="n"/>
      <c r="AV400" s="104" t="n"/>
      <c r="AW400" s="104" t="n"/>
      <c r="AX400" s="104" t="n"/>
      <c r="AY400" s="104" t="n"/>
      <c r="AZ400" s="104" t="n"/>
      <c r="BA400" s="104" t="n"/>
      <c r="BB400" s="104" t="n"/>
      <c r="BC400" s="104" t="n"/>
      <c r="BD400" s="104" t="n"/>
      <c r="BE400" s="104" t="n"/>
      <c r="BF400" s="104" t="n"/>
      <c r="BG400" s="104" t="n"/>
      <c r="BH400" s="104" t="n"/>
      <c r="BI400" s="104" t="n"/>
      <c r="BJ400" s="104" t="n"/>
      <c r="BK400" s="104" t="n"/>
      <c r="BL400" s="104" t="n"/>
      <c r="BM400" s="104" t="n"/>
      <c r="BN400" s="104" t="n"/>
      <c r="BO400" s="104" t="n"/>
      <c r="BP400" s="104" t="n"/>
      <c r="BQ400" s="104" t="n"/>
      <c r="BR400" s="104" t="n"/>
      <c r="BS400" s="104" t="n"/>
      <c r="BT400" s="104" t="n"/>
      <c r="BU400" s="104" t="n"/>
      <c r="BV400" s="104" t="n"/>
      <c r="BW400" s="104" t="n"/>
      <c r="BX400" s="104" t="n"/>
    </row>
    <row r="401">
      <c r="AC401" s="104" t="n"/>
      <c r="AD401" s="104" t="n"/>
      <c r="AE401" s="104" t="n"/>
      <c r="AF401" s="104" t="n"/>
      <c r="AG401" s="104" t="n"/>
      <c r="AH401" s="104" t="n"/>
      <c r="AI401" s="104" t="n"/>
      <c r="AJ401" s="104" t="n"/>
      <c r="AK401" s="104" t="n"/>
      <c r="AL401" s="104" t="n"/>
      <c r="AM401" s="104" t="n"/>
      <c r="AN401" s="104" t="n"/>
      <c r="AO401" s="104" t="n"/>
      <c r="AP401" s="104" t="n"/>
      <c r="AQ401" s="104" t="n"/>
      <c r="AR401" s="104" t="n"/>
      <c r="AS401" s="104" t="n"/>
      <c r="AT401" s="104" t="n"/>
      <c r="AU401" s="104" t="n"/>
      <c r="AV401" s="104" t="n"/>
      <c r="AW401" s="104" t="n"/>
      <c r="AX401" s="104" t="n"/>
      <c r="AY401" s="104" t="n"/>
      <c r="AZ401" s="104" t="n"/>
      <c r="BA401" s="104" t="n"/>
      <c r="BB401" s="104" t="n"/>
      <c r="BC401" s="104" t="n"/>
      <c r="BD401" s="104" t="n"/>
      <c r="BE401" s="104" t="n"/>
      <c r="BF401" s="104" t="n"/>
      <c r="BG401" s="104" t="n"/>
      <c r="BH401" s="104" t="n"/>
      <c r="BI401" s="104" t="n"/>
      <c r="BJ401" s="104" t="n"/>
      <c r="BK401" s="104" t="n"/>
      <c r="BL401" s="104" t="n"/>
      <c r="BM401" s="104" t="n"/>
      <c r="BN401" s="104" t="n"/>
      <c r="BO401" s="104" t="n"/>
      <c r="BP401" s="104" t="n"/>
      <c r="BQ401" s="104" t="n"/>
      <c r="BR401" s="104" t="n"/>
      <c r="BS401" s="104" t="n"/>
      <c r="BT401" s="104" t="n"/>
      <c r="BU401" s="104" t="n"/>
      <c r="BV401" s="104" t="n"/>
      <c r="BW401" s="104" t="n"/>
      <c r="BX401" s="104" t="n"/>
    </row>
    <row r="402">
      <c r="AC402" s="104" t="n"/>
      <c r="AD402" s="104" t="n"/>
      <c r="AE402" s="104" t="n"/>
      <c r="AF402" s="104" t="n"/>
      <c r="AG402" s="104" t="n"/>
      <c r="AH402" s="104" t="n"/>
      <c r="AI402" s="104" t="n"/>
      <c r="AJ402" s="104" t="n"/>
      <c r="AK402" s="104" t="n"/>
      <c r="AL402" s="104" t="n"/>
      <c r="AM402" s="104" t="n"/>
      <c r="AN402" s="104" t="n"/>
      <c r="AO402" s="104" t="n"/>
      <c r="AP402" s="104" t="n"/>
      <c r="AQ402" s="104" t="n"/>
      <c r="AR402" s="104" t="n"/>
      <c r="AS402" s="104" t="n"/>
      <c r="AT402" s="104" t="n"/>
      <c r="AU402" s="104" t="n"/>
      <c r="AV402" s="104" t="n"/>
      <c r="AW402" s="104" t="n"/>
      <c r="AX402" s="104" t="n"/>
      <c r="AY402" s="104" t="n"/>
      <c r="AZ402" s="104" t="n"/>
      <c r="BA402" s="104" t="n"/>
      <c r="BB402" s="104" t="n"/>
      <c r="BC402" s="104" t="n"/>
      <c r="BD402" s="104" t="n"/>
      <c r="BE402" s="104" t="n"/>
      <c r="BF402" s="104" t="n"/>
      <c r="BG402" s="104" t="n"/>
      <c r="BH402" s="104" t="n"/>
      <c r="BI402" s="104" t="n"/>
      <c r="BJ402" s="104" t="n"/>
      <c r="BK402" s="104" t="n"/>
      <c r="BL402" s="104" t="n"/>
      <c r="BM402" s="104" t="n"/>
      <c r="BN402" s="104" t="n"/>
      <c r="BO402" s="104" t="n"/>
      <c r="BP402" s="104" t="n"/>
      <c r="BQ402" s="104" t="n"/>
      <c r="BR402" s="104" t="n"/>
      <c r="BS402" s="104" t="n"/>
      <c r="BT402" s="104" t="n"/>
      <c r="BU402" s="104" t="n"/>
      <c r="BV402" s="104" t="n"/>
      <c r="BW402" s="104" t="n"/>
      <c r="BX402" s="104" t="n"/>
    </row>
    <row r="403">
      <c r="AC403" s="104" t="n"/>
      <c r="AD403" s="104" t="n"/>
      <c r="AE403" s="104" t="n"/>
      <c r="AF403" s="104" t="n"/>
      <c r="AG403" s="104" t="n"/>
      <c r="AH403" s="104" t="n"/>
      <c r="AI403" s="104" t="n"/>
      <c r="AJ403" s="104" t="n"/>
      <c r="AK403" s="104" t="n"/>
      <c r="AL403" s="104" t="n"/>
      <c r="AM403" s="104" t="n"/>
      <c r="AN403" s="104" t="n"/>
      <c r="AO403" s="104" t="n"/>
      <c r="AP403" s="104" t="n"/>
      <c r="AQ403" s="104" t="n"/>
      <c r="AR403" s="104" t="n"/>
      <c r="AS403" s="104" t="n"/>
      <c r="AT403" s="104" t="n"/>
      <c r="AU403" s="104" t="n"/>
      <c r="AV403" s="104" t="n"/>
      <c r="AW403" s="104" t="n"/>
      <c r="AX403" s="104" t="n"/>
      <c r="AY403" s="104" t="n"/>
      <c r="AZ403" s="104" t="n"/>
      <c r="BA403" s="104" t="n"/>
      <c r="BB403" s="104" t="n"/>
      <c r="BC403" s="104" t="n"/>
      <c r="BD403" s="104" t="n"/>
      <c r="BE403" s="104" t="n"/>
      <c r="BF403" s="104" t="n"/>
      <c r="BG403" s="104" t="n"/>
      <c r="BH403" s="104" t="n"/>
      <c r="BI403" s="104" t="n"/>
      <c r="BJ403" s="104" t="n"/>
      <c r="BK403" s="104" t="n"/>
      <c r="BL403" s="104" t="n"/>
      <c r="BM403" s="104" t="n"/>
      <c r="BN403" s="104" t="n"/>
      <c r="BO403" s="104" t="n"/>
      <c r="BP403" s="104" t="n"/>
      <c r="BQ403" s="104" t="n"/>
      <c r="BR403" s="104" t="n"/>
      <c r="BS403" s="104" t="n"/>
      <c r="BT403" s="104" t="n"/>
      <c r="BU403" s="104" t="n"/>
      <c r="BV403" s="104" t="n"/>
      <c r="BW403" s="104" t="n"/>
      <c r="BX403" s="104" t="n"/>
    </row>
    <row r="404">
      <c r="AC404" s="104" t="n"/>
      <c r="AD404" s="104" t="n"/>
      <c r="AE404" s="104" t="n"/>
      <c r="AF404" s="104" t="n"/>
      <c r="AG404" s="104" t="n"/>
      <c r="AH404" s="104" t="n"/>
      <c r="AI404" s="104" t="n"/>
      <c r="AJ404" s="104" t="n"/>
      <c r="AK404" s="104" t="n"/>
      <c r="AL404" s="104" t="n"/>
      <c r="AM404" s="104" t="n"/>
      <c r="AN404" s="104" t="n"/>
      <c r="AO404" s="104" t="n"/>
      <c r="AP404" s="104" t="n"/>
      <c r="AQ404" s="104" t="n"/>
      <c r="AR404" s="104" t="n"/>
      <c r="AS404" s="104" t="n"/>
      <c r="AT404" s="104" t="n"/>
      <c r="AU404" s="104" t="n"/>
      <c r="AV404" s="104" t="n"/>
      <c r="AW404" s="104" t="n"/>
      <c r="AX404" s="104" t="n"/>
      <c r="AY404" s="104" t="n"/>
      <c r="AZ404" s="104" t="n"/>
      <c r="BA404" s="104" t="n"/>
      <c r="BB404" s="104" t="n"/>
      <c r="BC404" s="104" t="n"/>
      <c r="BD404" s="104" t="n"/>
      <c r="BE404" s="104" t="n"/>
      <c r="BF404" s="104" t="n"/>
      <c r="BG404" s="104" t="n"/>
      <c r="BH404" s="104" t="n"/>
      <c r="BI404" s="104" t="n"/>
      <c r="BJ404" s="104" t="n"/>
      <c r="BK404" s="104" t="n"/>
      <c r="BL404" s="104" t="n"/>
      <c r="BM404" s="104" t="n"/>
      <c r="BN404" s="104" t="n"/>
      <c r="BO404" s="104" t="n"/>
      <c r="BP404" s="104" t="n"/>
      <c r="BQ404" s="104" t="n"/>
      <c r="BR404" s="104" t="n"/>
      <c r="BS404" s="104" t="n"/>
      <c r="BT404" s="104" t="n"/>
      <c r="BU404" s="104" t="n"/>
      <c r="BV404" s="104" t="n"/>
      <c r="BW404" s="104" t="n"/>
      <c r="BX404" s="104" t="n"/>
    </row>
    <row r="405">
      <c r="AC405" s="104" t="n"/>
      <c r="AD405" s="104" t="n"/>
      <c r="AE405" s="104" t="n"/>
      <c r="AF405" s="104" t="n"/>
      <c r="AG405" s="104" t="n"/>
      <c r="AH405" s="104" t="n"/>
      <c r="AI405" s="104" t="n"/>
      <c r="AJ405" s="104" t="n"/>
      <c r="AK405" s="104" t="n"/>
      <c r="AL405" s="104" t="n"/>
      <c r="AM405" s="104" t="n"/>
      <c r="AN405" s="104" t="n"/>
      <c r="AO405" s="104" t="n"/>
      <c r="AP405" s="104" t="n"/>
      <c r="AQ405" s="104" t="n"/>
      <c r="AR405" s="104" t="n"/>
      <c r="AS405" s="104" t="n"/>
      <c r="AT405" s="104" t="n"/>
      <c r="AU405" s="104" t="n"/>
      <c r="AV405" s="104" t="n"/>
      <c r="AW405" s="104" t="n"/>
      <c r="AX405" s="104" t="n"/>
      <c r="AY405" s="104" t="n"/>
      <c r="AZ405" s="104" t="n"/>
      <c r="BA405" s="104" t="n"/>
      <c r="BB405" s="104" t="n"/>
      <c r="BC405" s="104" t="n"/>
      <c r="BD405" s="104" t="n"/>
      <c r="BE405" s="104" t="n"/>
      <c r="BF405" s="104" t="n"/>
      <c r="BG405" s="104" t="n"/>
      <c r="BH405" s="104" t="n"/>
      <c r="BI405" s="104" t="n"/>
      <c r="BJ405" s="104" t="n"/>
      <c r="BK405" s="104" t="n"/>
      <c r="BL405" s="104" t="n"/>
      <c r="BM405" s="104" t="n"/>
      <c r="BN405" s="104" t="n"/>
      <c r="BO405" s="104" t="n"/>
      <c r="BP405" s="104" t="n"/>
      <c r="BQ405" s="104" t="n"/>
      <c r="BR405" s="104" t="n"/>
      <c r="BS405" s="104" t="n"/>
      <c r="BT405" s="104" t="n"/>
      <c r="BU405" s="104" t="n"/>
      <c r="BV405" s="104" t="n"/>
      <c r="BW405" s="104" t="n"/>
      <c r="BX405" s="104" t="n"/>
    </row>
    <row r="406">
      <c r="AC406" s="104" t="n"/>
      <c r="AD406" s="104" t="n"/>
      <c r="AE406" s="104" t="n"/>
      <c r="AF406" s="104" t="n"/>
      <c r="AG406" s="104" t="n"/>
      <c r="AH406" s="104" t="n"/>
      <c r="AI406" s="104" t="n"/>
      <c r="AJ406" s="104" t="n"/>
      <c r="AK406" s="104" t="n"/>
      <c r="AL406" s="104" t="n"/>
      <c r="AM406" s="104" t="n"/>
      <c r="AN406" s="104" t="n"/>
      <c r="AO406" s="104" t="n"/>
      <c r="AP406" s="104" t="n"/>
      <c r="AQ406" s="104" t="n"/>
      <c r="AR406" s="104" t="n"/>
      <c r="AS406" s="104" t="n"/>
      <c r="AT406" s="104" t="n"/>
      <c r="AU406" s="104" t="n"/>
      <c r="AV406" s="104" t="n"/>
      <c r="AW406" s="104" t="n"/>
      <c r="AX406" s="104" t="n"/>
      <c r="AY406" s="104" t="n"/>
      <c r="AZ406" s="104" t="n"/>
      <c r="BA406" s="104" t="n"/>
      <c r="BB406" s="104" t="n"/>
      <c r="BC406" s="104" t="n"/>
      <c r="BD406" s="104" t="n"/>
      <c r="BE406" s="104" t="n"/>
      <c r="BF406" s="104" t="n"/>
      <c r="BG406" s="104" t="n"/>
      <c r="BH406" s="104" t="n"/>
      <c r="BI406" s="104" t="n"/>
      <c r="BJ406" s="104" t="n"/>
      <c r="BK406" s="104" t="n"/>
      <c r="BL406" s="104" t="n"/>
      <c r="BM406" s="104" t="n"/>
      <c r="BN406" s="104" t="n"/>
      <c r="BO406" s="104" t="n"/>
      <c r="BP406" s="104" t="n"/>
      <c r="BQ406" s="104" t="n"/>
      <c r="BR406" s="104" t="n"/>
      <c r="BS406" s="104" t="n"/>
      <c r="BT406" s="104" t="n"/>
      <c r="BU406" s="104" t="n"/>
      <c r="BV406" s="104" t="n"/>
      <c r="BW406" s="104" t="n"/>
      <c r="BX406" s="104" t="n"/>
    </row>
    <row r="407">
      <c r="AC407" s="104" t="n"/>
      <c r="AD407" s="104" t="n"/>
      <c r="AE407" s="104" t="n"/>
      <c r="AF407" s="104" t="n"/>
      <c r="AG407" s="104" t="n"/>
      <c r="AH407" s="104" t="n"/>
      <c r="AI407" s="104" t="n"/>
      <c r="AJ407" s="104" t="n"/>
      <c r="AK407" s="104" t="n"/>
      <c r="AL407" s="104" t="n"/>
      <c r="AM407" s="104" t="n"/>
      <c r="AN407" s="104" t="n"/>
      <c r="AO407" s="104" t="n"/>
      <c r="AP407" s="104" t="n"/>
      <c r="AQ407" s="104" t="n"/>
      <c r="AR407" s="104" t="n"/>
      <c r="AS407" s="104" t="n"/>
      <c r="AT407" s="104" t="n"/>
      <c r="AU407" s="104" t="n"/>
      <c r="AV407" s="104" t="n"/>
      <c r="AW407" s="104" t="n"/>
      <c r="AX407" s="104" t="n"/>
      <c r="AY407" s="104" t="n"/>
      <c r="AZ407" s="104" t="n"/>
      <c r="BA407" s="104" t="n"/>
      <c r="BB407" s="104" t="n"/>
      <c r="BC407" s="104" t="n"/>
      <c r="BD407" s="104" t="n"/>
      <c r="BE407" s="104" t="n"/>
      <c r="BF407" s="104" t="n"/>
      <c r="BG407" s="104" t="n"/>
      <c r="BH407" s="104" t="n"/>
      <c r="BI407" s="104" t="n"/>
      <c r="BJ407" s="104" t="n"/>
      <c r="BK407" s="104" t="n"/>
      <c r="BL407" s="104" t="n"/>
      <c r="BM407" s="104" t="n"/>
      <c r="BN407" s="104" t="n"/>
      <c r="BO407" s="104" t="n"/>
      <c r="BP407" s="104" t="n"/>
      <c r="BQ407" s="104" t="n"/>
      <c r="BR407" s="104" t="n"/>
      <c r="BS407" s="104" t="n"/>
      <c r="BT407" s="104" t="n"/>
      <c r="BU407" s="104" t="n"/>
      <c r="BV407" s="104" t="n"/>
      <c r="BW407" s="104" t="n"/>
      <c r="BX407" s="104" t="n"/>
    </row>
    <row r="408">
      <c r="AC408" s="104" t="n"/>
      <c r="AD408" s="104" t="n"/>
      <c r="AE408" s="104" t="n"/>
      <c r="AF408" s="104" t="n"/>
      <c r="AG408" s="104" t="n"/>
      <c r="AH408" s="104" t="n"/>
      <c r="AI408" s="104" t="n"/>
      <c r="AJ408" s="104" t="n"/>
      <c r="AK408" s="104" t="n"/>
      <c r="AL408" s="104" t="n"/>
      <c r="AM408" s="104" t="n"/>
      <c r="AN408" s="104" t="n"/>
      <c r="AO408" s="104" t="n"/>
      <c r="AP408" s="104" t="n"/>
      <c r="AQ408" s="104" t="n"/>
      <c r="AR408" s="104" t="n"/>
      <c r="AS408" s="104" t="n"/>
      <c r="AT408" s="104" t="n"/>
      <c r="AU408" s="104" t="n"/>
      <c r="AV408" s="104" t="n"/>
      <c r="AW408" s="104" t="n"/>
      <c r="AX408" s="104" t="n"/>
      <c r="AY408" s="104" t="n"/>
      <c r="AZ408" s="104" t="n"/>
      <c r="BA408" s="104" t="n"/>
      <c r="BB408" s="104" t="n"/>
      <c r="BC408" s="104" t="n"/>
      <c r="BD408" s="104" t="n"/>
      <c r="BE408" s="104" t="n"/>
      <c r="BF408" s="104" t="n"/>
      <c r="BG408" s="104" t="n"/>
      <c r="BH408" s="104" t="n"/>
      <c r="BI408" s="104" t="n"/>
      <c r="BJ408" s="104" t="n"/>
      <c r="BK408" s="104" t="n"/>
      <c r="BL408" s="104" t="n"/>
      <c r="BM408" s="104" t="n"/>
      <c r="BN408" s="104" t="n"/>
      <c r="BO408" s="104" t="n"/>
      <c r="BP408" s="104" t="n"/>
      <c r="BQ408" s="104" t="n"/>
      <c r="BR408" s="104" t="n"/>
      <c r="BS408" s="104" t="n"/>
      <c r="BT408" s="104" t="n"/>
      <c r="BU408" s="104" t="n"/>
      <c r="BV408" s="104" t="n"/>
      <c r="BW408" s="104" t="n"/>
      <c r="BX408" s="104" t="n"/>
    </row>
    <row r="409">
      <c r="AC409" s="104" t="n"/>
      <c r="AD409" s="104" t="n"/>
      <c r="AE409" s="104" t="n"/>
      <c r="AF409" s="104" t="n"/>
      <c r="AG409" s="104" t="n"/>
      <c r="AH409" s="104" t="n"/>
      <c r="AI409" s="104" t="n"/>
      <c r="AJ409" s="104" t="n"/>
      <c r="AK409" s="104" t="n"/>
      <c r="AL409" s="104" t="n"/>
      <c r="AM409" s="104" t="n"/>
      <c r="AN409" s="104" t="n"/>
      <c r="AO409" s="104" t="n"/>
      <c r="AP409" s="104" t="n"/>
      <c r="AQ409" s="104" t="n"/>
      <c r="AR409" s="104" t="n"/>
      <c r="AS409" s="104" t="n"/>
      <c r="AT409" s="104" t="n"/>
      <c r="AU409" s="104" t="n"/>
      <c r="AV409" s="104" t="n"/>
      <c r="AW409" s="104" t="n"/>
      <c r="AX409" s="104" t="n"/>
      <c r="AY409" s="104" t="n"/>
      <c r="AZ409" s="104" t="n"/>
      <c r="BA409" s="104" t="n"/>
      <c r="BB409" s="104" t="n"/>
      <c r="BC409" s="104" t="n"/>
      <c r="BD409" s="104" t="n"/>
      <c r="BE409" s="104" t="n"/>
      <c r="BF409" s="104" t="n"/>
      <c r="BG409" s="104" t="n"/>
      <c r="BH409" s="104" t="n"/>
      <c r="BI409" s="104" t="n"/>
      <c r="BJ409" s="104" t="n"/>
      <c r="BK409" s="104" t="n"/>
      <c r="BL409" s="104" t="n"/>
      <c r="BM409" s="104" t="n"/>
      <c r="BN409" s="104" t="n"/>
      <c r="BO409" s="104" t="n"/>
      <c r="BP409" s="104" t="n"/>
      <c r="BQ409" s="104" t="n"/>
      <c r="BR409" s="104" t="n"/>
      <c r="BS409" s="104" t="n"/>
      <c r="BT409" s="104" t="n"/>
      <c r="BU409" s="104" t="n"/>
      <c r="BV409" s="104" t="n"/>
      <c r="BW409" s="104" t="n"/>
      <c r="BX409" s="104" t="n"/>
    </row>
    <row r="410">
      <c r="AC410" s="104" t="n"/>
      <c r="AD410" s="104" t="n"/>
      <c r="AE410" s="104" t="n"/>
      <c r="AF410" s="104" t="n"/>
      <c r="AG410" s="104" t="n"/>
      <c r="AH410" s="104" t="n"/>
      <c r="AI410" s="104" t="n"/>
      <c r="AJ410" s="104" t="n"/>
      <c r="AK410" s="104" t="n"/>
      <c r="AL410" s="104" t="n"/>
      <c r="AM410" s="104" t="n"/>
      <c r="AN410" s="104" t="n"/>
      <c r="AO410" s="104" t="n"/>
      <c r="AP410" s="104" t="n"/>
      <c r="AQ410" s="104" t="n"/>
      <c r="AR410" s="104" t="n"/>
      <c r="AS410" s="104" t="n"/>
      <c r="AT410" s="104" t="n"/>
      <c r="AU410" s="104" t="n"/>
      <c r="AV410" s="104" t="n"/>
      <c r="AW410" s="104" t="n"/>
      <c r="AX410" s="104" t="n"/>
      <c r="AY410" s="104" t="n"/>
      <c r="AZ410" s="104" t="n"/>
      <c r="BA410" s="104" t="n"/>
      <c r="BB410" s="104" t="n"/>
      <c r="BC410" s="104" t="n"/>
      <c r="BD410" s="104" t="n"/>
      <c r="BE410" s="104" t="n"/>
      <c r="BF410" s="104" t="n"/>
      <c r="BG410" s="104" t="n"/>
      <c r="BH410" s="104" t="n"/>
      <c r="BI410" s="104" t="n"/>
      <c r="BJ410" s="104" t="n"/>
      <c r="BK410" s="104" t="n"/>
      <c r="BL410" s="104" t="n"/>
      <c r="BM410" s="104" t="n"/>
      <c r="BN410" s="104" t="n"/>
      <c r="BO410" s="104" t="n"/>
      <c r="BP410" s="104" t="n"/>
      <c r="BQ410" s="104" t="n"/>
      <c r="BR410" s="104" t="n"/>
      <c r="BS410" s="104" t="n"/>
      <c r="BT410" s="104" t="n"/>
      <c r="BU410" s="104" t="n"/>
      <c r="BV410" s="104" t="n"/>
      <c r="BW410" s="104" t="n"/>
      <c r="BX410" s="104" t="n"/>
    </row>
    <row r="411">
      <c r="AC411" s="104" t="n"/>
      <c r="AD411" s="104" t="n"/>
      <c r="AE411" s="104" t="n"/>
      <c r="AF411" s="104" t="n"/>
      <c r="AG411" s="104" t="n"/>
      <c r="AH411" s="104" t="n"/>
      <c r="AI411" s="104" t="n"/>
      <c r="AJ411" s="104" t="n"/>
      <c r="AK411" s="104" t="n"/>
      <c r="AL411" s="104" t="n"/>
      <c r="AM411" s="104" t="n"/>
      <c r="AN411" s="104" t="n"/>
      <c r="AO411" s="104" t="n"/>
      <c r="AP411" s="104" t="n"/>
      <c r="AQ411" s="104" t="n"/>
      <c r="AR411" s="104" t="n"/>
      <c r="AS411" s="104" t="n"/>
      <c r="AT411" s="104" t="n"/>
      <c r="AU411" s="104" t="n"/>
      <c r="AV411" s="104" t="n"/>
      <c r="AW411" s="104" t="n"/>
      <c r="AX411" s="104" t="n"/>
      <c r="AY411" s="104" t="n"/>
      <c r="AZ411" s="104" t="n"/>
      <c r="BA411" s="104" t="n"/>
      <c r="BB411" s="104" t="n"/>
      <c r="BC411" s="104" t="n"/>
      <c r="BD411" s="104" t="n"/>
      <c r="BE411" s="104" t="n"/>
      <c r="BF411" s="104" t="n"/>
      <c r="BG411" s="104" t="n"/>
      <c r="BH411" s="104" t="n"/>
      <c r="BI411" s="104" t="n"/>
      <c r="BJ411" s="104" t="n"/>
      <c r="BK411" s="104" t="n"/>
      <c r="BL411" s="104" t="n"/>
      <c r="BM411" s="104" t="n"/>
      <c r="BN411" s="104" t="n"/>
      <c r="BO411" s="104" t="n"/>
      <c r="BP411" s="104" t="n"/>
      <c r="BQ411" s="104" t="n"/>
      <c r="BR411" s="104" t="n"/>
      <c r="BS411" s="104" t="n"/>
      <c r="BT411" s="104" t="n"/>
      <c r="BU411" s="104" t="n"/>
      <c r="BV411" s="104" t="n"/>
      <c r="BW411" s="104" t="n"/>
      <c r="BX411" s="104" t="n"/>
    </row>
    <row r="412">
      <c r="AC412" s="104" t="n"/>
      <c r="AD412" s="104" t="n"/>
      <c r="AE412" s="104" t="n"/>
      <c r="AF412" s="104" t="n"/>
      <c r="AG412" s="104" t="n"/>
      <c r="AH412" s="104" t="n"/>
      <c r="AI412" s="104" t="n"/>
      <c r="AJ412" s="104" t="n"/>
      <c r="AK412" s="104" t="n"/>
      <c r="AL412" s="104" t="n"/>
      <c r="AM412" s="104" t="n"/>
      <c r="AN412" s="104" t="n"/>
      <c r="AO412" s="104" t="n"/>
      <c r="AP412" s="104" t="n"/>
      <c r="AQ412" s="104" t="n"/>
      <c r="AR412" s="104" t="n"/>
      <c r="AS412" s="104" t="n"/>
      <c r="AT412" s="104" t="n"/>
      <c r="AU412" s="104" t="n"/>
      <c r="AV412" s="104" t="n"/>
      <c r="AW412" s="104" t="n"/>
      <c r="AX412" s="104" t="n"/>
      <c r="AY412" s="104" t="n"/>
      <c r="AZ412" s="104" t="n"/>
      <c r="BA412" s="104" t="n"/>
      <c r="BB412" s="104" t="n"/>
      <c r="BC412" s="104" t="n"/>
      <c r="BD412" s="104" t="n"/>
      <c r="BE412" s="104" t="n"/>
      <c r="BF412" s="104" t="n"/>
      <c r="BG412" s="104" t="n"/>
      <c r="BH412" s="104" t="n"/>
      <c r="BI412" s="104" t="n"/>
      <c r="BJ412" s="104" t="n"/>
      <c r="BK412" s="104" t="n"/>
      <c r="BL412" s="104" t="n"/>
      <c r="BM412" s="104" t="n"/>
      <c r="BN412" s="104" t="n"/>
      <c r="BO412" s="104" t="n"/>
      <c r="BP412" s="104" t="n"/>
      <c r="BQ412" s="104" t="n"/>
      <c r="BR412" s="104" t="n"/>
      <c r="BS412" s="104" t="n"/>
      <c r="BT412" s="104" t="n"/>
      <c r="BU412" s="104" t="n"/>
      <c r="BV412" s="104" t="n"/>
      <c r="BW412" s="104" t="n"/>
      <c r="BX412" s="104" t="n"/>
    </row>
    <row r="413">
      <c r="AC413" s="104" t="n"/>
      <c r="AD413" s="104" t="n"/>
      <c r="AE413" s="104" t="n"/>
      <c r="AF413" s="104" t="n"/>
      <c r="AG413" s="104" t="n"/>
      <c r="AH413" s="104" t="n"/>
      <c r="AI413" s="104" t="n"/>
      <c r="AJ413" s="104" t="n"/>
      <c r="AK413" s="104" t="n"/>
      <c r="AL413" s="104" t="n"/>
      <c r="AM413" s="104" t="n"/>
      <c r="AN413" s="104" t="n"/>
      <c r="AO413" s="104" t="n"/>
      <c r="AP413" s="104" t="n"/>
      <c r="AQ413" s="104" t="n"/>
      <c r="AR413" s="104" t="n"/>
      <c r="AS413" s="104" t="n"/>
      <c r="AT413" s="104" t="n"/>
      <c r="AU413" s="104" t="n"/>
      <c r="AV413" s="104" t="n"/>
      <c r="AW413" s="104" t="n"/>
      <c r="AX413" s="104" t="n"/>
      <c r="AY413" s="104" t="n"/>
      <c r="AZ413" s="104" t="n"/>
      <c r="BA413" s="104" t="n"/>
      <c r="BB413" s="104" t="n"/>
      <c r="BC413" s="104" t="n"/>
      <c r="BD413" s="104" t="n"/>
      <c r="BE413" s="104" t="n"/>
      <c r="BF413" s="104" t="n"/>
      <c r="BG413" s="104" t="n"/>
      <c r="BH413" s="104" t="n"/>
      <c r="BI413" s="104" t="n"/>
      <c r="BJ413" s="104" t="n"/>
      <c r="BK413" s="104" t="n"/>
      <c r="BL413" s="104" t="n"/>
      <c r="BM413" s="104" t="n"/>
      <c r="BN413" s="104" t="n"/>
      <c r="BO413" s="104" t="n"/>
      <c r="BP413" s="104" t="n"/>
      <c r="BQ413" s="104" t="n"/>
      <c r="BR413" s="104" t="n"/>
      <c r="BS413" s="104" t="n"/>
      <c r="BT413" s="104" t="n"/>
      <c r="BU413" s="104" t="n"/>
      <c r="BV413" s="104" t="n"/>
      <c r="BW413" s="104" t="n"/>
      <c r="BX413" s="104" t="n"/>
    </row>
    <row r="414">
      <c r="AC414" s="104" t="n"/>
      <c r="AD414" s="104" t="n"/>
      <c r="AE414" s="104" t="n"/>
      <c r="AF414" s="104" t="n"/>
      <c r="AG414" s="104" t="n"/>
      <c r="AH414" s="104" t="n"/>
      <c r="AI414" s="104" t="n"/>
      <c r="AJ414" s="104" t="n"/>
      <c r="AK414" s="104" t="n"/>
      <c r="AL414" s="104" t="n"/>
      <c r="AM414" s="104" t="n"/>
      <c r="AN414" s="104" t="n"/>
      <c r="AO414" s="104" t="n"/>
      <c r="AP414" s="104" t="n"/>
      <c r="AQ414" s="104" t="n"/>
      <c r="AR414" s="104" t="n"/>
      <c r="AS414" s="104" t="n"/>
      <c r="AT414" s="104" t="n"/>
      <c r="AU414" s="104" t="n"/>
      <c r="AV414" s="104" t="n"/>
      <c r="AW414" s="104" t="n"/>
      <c r="AX414" s="104" t="n"/>
      <c r="AY414" s="104" t="n"/>
      <c r="AZ414" s="104" t="n"/>
      <c r="BA414" s="104" t="n"/>
      <c r="BB414" s="104" t="n"/>
      <c r="BC414" s="104" t="n"/>
      <c r="BD414" s="104" t="n"/>
      <c r="BE414" s="104" t="n"/>
      <c r="BF414" s="104" t="n"/>
      <c r="BG414" s="104" t="n"/>
      <c r="BH414" s="104" t="n"/>
      <c r="BI414" s="104" t="n"/>
      <c r="BJ414" s="104" t="n"/>
      <c r="BK414" s="104" t="n"/>
      <c r="BL414" s="104" t="n"/>
      <c r="BM414" s="104" t="n"/>
      <c r="BN414" s="104" t="n"/>
      <c r="BO414" s="104" t="n"/>
      <c r="BP414" s="104" t="n"/>
      <c r="BQ414" s="104" t="n"/>
      <c r="BR414" s="104" t="n"/>
      <c r="BS414" s="104" t="n"/>
      <c r="BT414" s="104" t="n"/>
      <c r="BU414" s="104" t="n"/>
      <c r="BV414" s="104" t="n"/>
      <c r="BW414" s="104" t="n"/>
      <c r="BX414" s="104" t="n"/>
    </row>
    <row r="415">
      <c r="AC415" s="104" t="n"/>
      <c r="AD415" s="104" t="n"/>
      <c r="AE415" s="104" t="n"/>
      <c r="AF415" s="104" t="n"/>
      <c r="AG415" s="104" t="n"/>
      <c r="AH415" s="104" t="n"/>
      <c r="AI415" s="104" t="n"/>
      <c r="AJ415" s="104" t="n"/>
      <c r="AK415" s="104" t="n"/>
      <c r="AL415" s="104" t="n"/>
      <c r="AM415" s="104" t="n"/>
      <c r="AN415" s="104" t="n"/>
      <c r="AO415" s="104" t="n"/>
      <c r="AP415" s="104" t="n"/>
      <c r="AQ415" s="104" t="n"/>
      <c r="AR415" s="104" t="n"/>
      <c r="AS415" s="104" t="n"/>
      <c r="AT415" s="104" t="n"/>
      <c r="AU415" s="104" t="n"/>
      <c r="AV415" s="104" t="n"/>
      <c r="AW415" s="104" t="n"/>
      <c r="AX415" s="104" t="n"/>
      <c r="AY415" s="104" t="n"/>
      <c r="AZ415" s="104" t="n"/>
      <c r="BA415" s="104" t="n"/>
      <c r="BB415" s="104" t="n"/>
      <c r="BC415" s="104" t="n"/>
      <c r="BD415" s="104" t="n"/>
      <c r="BE415" s="104" t="n"/>
      <c r="BF415" s="104" t="n"/>
      <c r="BG415" s="104" t="n"/>
      <c r="BH415" s="104" t="n"/>
      <c r="BI415" s="104" t="n"/>
      <c r="BJ415" s="104" t="n"/>
      <c r="BK415" s="104" t="n"/>
      <c r="BL415" s="104" t="n"/>
      <c r="BM415" s="104" t="n"/>
      <c r="BN415" s="104" t="n"/>
      <c r="BO415" s="104" t="n"/>
      <c r="BP415" s="104" t="n"/>
      <c r="BQ415" s="104" t="n"/>
      <c r="BR415" s="104" t="n"/>
      <c r="BS415" s="104" t="n"/>
      <c r="BT415" s="104" t="n"/>
      <c r="BU415" s="104" t="n"/>
      <c r="BV415" s="104" t="n"/>
      <c r="BW415" s="104" t="n"/>
      <c r="BX415" s="104" t="n"/>
    </row>
    <row r="416">
      <c r="AC416" s="104" t="n"/>
      <c r="AD416" s="104" t="n"/>
      <c r="AE416" s="104" t="n"/>
      <c r="AF416" s="104" t="n"/>
      <c r="AG416" s="104" t="n"/>
      <c r="AH416" s="104" t="n"/>
      <c r="AI416" s="104" t="n"/>
      <c r="AJ416" s="104" t="n"/>
      <c r="AK416" s="104" t="n"/>
      <c r="AL416" s="104" t="n"/>
      <c r="AM416" s="104" t="n"/>
      <c r="AN416" s="104" t="n"/>
      <c r="AO416" s="104" t="n"/>
      <c r="AP416" s="104" t="n"/>
      <c r="AQ416" s="104" t="n"/>
      <c r="AR416" s="104" t="n"/>
      <c r="AS416" s="104" t="n"/>
      <c r="AT416" s="104" t="n"/>
      <c r="AU416" s="104" t="n"/>
      <c r="AV416" s="104" t="n"/>
      <c r="AW416" s="104" t="n"/>
      <c r="AX416" s="104" t="n"/>
      <c r="AY416" s="104" t="n"/>
      <c r="AZ416" s="104" t="n"/>
      <c r="BA416" s="104" t="n"/>
      <c r="BB416" s="104" t="n"/>
      <c r="BC416" s="104" t="n"/>
      <c r="BD416" s="104" t="n"/>
      <c r="BE416" s="104" t="n"/>
      <c r="BF416" s="104" t="n"/>
      <c r="BG416" s="104" t="n"/>
      <c r="BH416" s="104" t="n"/>
      <c r="BI416" s="104" t="n"/>
      <c r="BJ416" s="104" t="n"/>
      <c r="BK416" s="104" t="n"/>
      <c r="BL416" s="104" t="n"/>
      <c r="BM416" s="104" t="n"/>
      <c r="BN416" s="104" t="n"/>
      <c r="BO416" s="104" t="n"/>
      <c r="BP416" s="104" t="n"/>
      <c r="BQ416" s="104" t="n"/>
      <c r="BR416" s="104" t="n"/>
      <c r="BS416" s="104" t="n"/>
      <c r="BT416" s="104" t="n"/>
      <c r="BU416" s="104" t="n"/>
      <c r="BV416" s="104" t="n"/>
      <c r="BW416" s="104" t="n"/>
      <c r="BX416" s="104" t="n"/>
    </row>
    <row r="417">
      <c r="AC417" s="104" t="n"/>
      <c r="AD417" s="104" t="n"/>
      <c r="AE417" s="104" t="n"/>
      <c r="AF417" s="104" t="n"/>
      <c r="AG417" s="104" t="n"/>
      <c r="AH417" s="104" t="n"/>
      <c r="AI417" s="104" t="n"/>
      <c r="AJ417" s="104" t="n"/>
      <c r="AK417" s="104" t="n"/>
      <c r="AL417" s="104" t="n"/>
      <c r="AM417" s="104" t="n"/>
      <c r="AN417" s="104" t="n"/>
      <c r="AO417" s="104" t="n"/>
      <c r="AP417" s="104" t="n"/>
      <c r="AQ417" s="104" t="n"/>
      <c r="AR417" s="104" t="n"/>
      <c r="AS417" s="104" t="n"/>
      <c r="AT417" s="104" t="n"/>
      <c r="AU417" s="104" t="n"/>
      <c r="AV417" s="104" t="n"/>
      <c r="AW417" s="104" t="n"/>
      <c r="AX417" s="104" t="n"/>
      <c r="AY417" s="104" t="n"/>
      <c r="AZ417" s="104" t="n"/>
      <c r="BA417" s="104" t="n"/>
      <c r="BB417" s="104" t="n"/>
      <c r="BC417" s="104" t="n"/>
      <c r="BD417" s="104" t="n"/>
      <c r="BE417" s="104" t="n"/>
      <c r="BF417" s="104" t="n"/>
      <c r="BG417" s="104" t="n"/>
      <c r="BH417" s="104" t="n"/>
      <c r="BI417" s="104" t="n"/>
      <c r="BJ417" s="104" t="n"/>
      <c r="BK417" s="104" t="n"/>
      <c r="BL417" s="104" t="n"/>
      <c r="BM417" s="104" t="n"/>
      <c r="BN417" s="104" t="n"/>
      <c r="BO417" s="104" t="n"/>
      <c r="BP417" s="104" t="n"/>
      <c r="BQ417" s="104" t="n"/>
      <c r="BR417" s="104" t="n"/>
      <c r="BS417" s="104" t="n"/>
      <c r="BT417" s="104" t="n"/>
      <c r="BU417" s="104" t="n"/>
      <c r="BV417" s="104" t="n"/>
      <c r="BW417" s="104" t="n"/>
      <c r="BX417" s="104" t="n"/>
    </row>
    <row r="418">
      <c r="AC418" s="104" t="n"/>
      <c r="AD418" s="104" t="n"/>
      <c r="AE418" s="104" t="n"/>
      <c r="AF418" s="104" t="n"/>
      <c r="AG418" s="104" t="n"/>
      <c r="AH418" s="104" t="n"/>
      <c r="AI418" s="104" t="n"/>
      <c r="AJ418" s="104" t="n"/>
      <c r="AK418" s="104" t="n"/>
      <c r="AL418" s="104" t="n"/>
      <c r="AM418" s="104" t="n"/>
      <c r="AN418" s="104" t="n"/>
      <c r="AO418" s="104" t="n"/>
      <c r="AP418" s="104" t="n"/>
      <c r="AQ418" s="104" t="n"/>
      <c r="AR418" s="104" t="n"/>
      <c r="AS418" s="104" t="n"/>
      <c r="AT418" s="104" t="n"/>
      <c r="AU418" s="104" t="n"/>
      <c r="AV418" s="104" t="n"/>
      <c r="AW418" s="104" t="n"/>
      <c r="AX418" s="104" t="n"/>
      <c r="AY418" s="104" t="n"/>
      <c r="AZ418" s="104" t="n"/>
      <c r="BA418" s="104" t="n"/>
      <c r="BB418" s="104" t="n"/>
      <c r="BC418" s="104" t="n"/>
      <c r="BD418" s="104" t="n"/>
      <c r="BE418" s="104" t="n"/>
      <c r="BF418" s="104" t="n"/>
      <c r="BG418" s="104" t="n"/>
      <c r="BH418" s="104" t="n"/>
      <c r="BI418" s="104" t="n"/>
      <c r="BJ418" s="104" t="n"/>
      <c r="BK418" s="104" t="n"/>
      <c r="BL418" s="104" t="n"/>
      <c r="BM418" s="104" t="n"/>
      <c r="BN418" s="104" t="n"/>
      <c r="BO418" s="104" t="n"/>
      <c r="BP418" s="104" t="n"/>
      <c r="BQ418" s="104" t="n"/>
      <c r="BR418" s="104" t="n"/>
      <c r="BS418" s="104" t="n"/>
      <c r="BT418" s="104" t="n"/>
      <c r="BU418" s="104" t="n"/>
      <c r="BV418" s="104" t="n"/>
      <c r="BW418" s="104" t="n"/>
      <c r="BX418" s="104" t="n"/>
    </row>
    <row r="419">
      <c r="AC419" s="104" t="n"/>
      <c r="AD419" s="104" t="n"/>
      <c r="AE419" s="104" t="n"/>
      <c r="AF419" s="104" t="n"/>
      <c r="AG419" s="104" t="n"/>
      <c r="AH419" s="104" t="n"/>
      <c r="AI419" s="104" t="n"/>
      <c r="AJ419" s="104" t="n"/>
      <c r="AK419" s="104" t="n"/>
      <c r="AL419" s="104" t="n"/>
      <c r="AM419" s="104" t="n"/>
      <c r="AN419" s="104" t="n"/>
      <c r="AO419" s="104" t="n"/>
      <c r="AP419" s="104" t="n"/>
      <c r="AQ419" s="104" t="n"/>
      <c r="AR419" s="104" t="n"/>
      <c r="AS419" s="104" t="n"/>
      <c r="AT419" s="104" t="n"/>
      <c r="AU419" s="104" t="n"/>
      <c r="AV419" s="104" t="n"/>
      <c r="AW419" s="104" t="n"/>
      <c r="AX419" s="104" t="n"/>
      <c r="AY419" s="104" t="n"/>
      <c r="AZ419" s="104" t="n"/>
      <c r="BA419" s="104" t="n"/>
      <c r="BB419" s="104" t="n"/>
      <c r="BC419" s="104" t="n"/>
      <c r="BD419" s="104" t="n"/>
      <c r="BE419" s="104" t="n"/>
      <c r="BF419" s="104" t="n"/>
      <c r="BG419" s="104" t="n"/>
      <c r="BH419" s="104" t="n"/>
      <c r="BI419" s="104" t="n"/>
      <c r="BJ419" s="104" t="n"/>
      <c r="BK419" s="104" t="n"/>
      <c r="BL419" s="104" t="n"/>
      <c r="BM419" s="104" t="n"/>
      <c r="BN419" s="104" t="n"/>
      <c r="BO419" s="104" t="n"/>
      <c r="BP419" s="104" t="n"/>
      <c r="BQ419" s="104" t="n"/>
      <c r="BR419" s="104" t="n"/>
      <c r="BS419" s="104" t="n"/>
      <c r="BT419" s="104" t="n"/>
      <c r="BU419" s="104" t="n"/>
      <c r="BV419" s="104" t="n"/>
      <c r="BW419" s="104" t="n"/>
      <c r="BX419" s="104" t="n"/>
    </row>
    <row r="420">
      <c r="AC420" s="104" t="n"/>
      <c r="AD420" s="104" t="n"/>
      <c r="AE420" s="104" t="n"/>
      <c r="AF420" s="104" t="n"/>
      <c r="AG420" s="104" t="n"/>
      <c r="AH420" s="104" t="n"/>
      <c r="AI420" s="104" t="n"/>
      <c r="AJ420" s="104" t="n"/>
      <c r="AK420" s="104" t="n"/>
      <c r="AL420" s="104" t="n"/>
      <c r="AM420" s="104" t="n"/>
      <c r="AN420" s="104" t="n"/>
      <c r="AO420" s="104" t="n"/>
      <c r="AP420" s="104" t="n"/>
      <c r="AQ420" s="104" t="n"/>
      <c r="AR420" s="104" t="n"/>
      <c r="AS420" s="104" t="n"/>
      <c r="AT420" s="104" t="n"/>
      <c r="AU420" s="104" t="n"/>
      <c r="AV420" s="104" t="n"/>
      <c r="AW420" s="104" t="n"/>
      <c r="AX420" s="104" t="n"/>
      <c r="AY420" s="104" t="n"/>
      <c r="AZ420" s="104" t="n"/>
      <c r="BA420" s="104" t="n"/>
      <c r="BB420" s="104" t="n"/>
      <c r="BC420" s="104" t="n"/>
      <c r="BD420" s="104" t="n"/>
      <c r="BE420" s="104" t="n"/>
      <c r="BF420" s="104" t="n"/>
      <c r="BG420" s="104" t="n"/>
      <c r="BH420" s="104" t="n"/>
      <c r="BI420" s="104" t="n"/>
      <c r="BJ420" s="104" t="n"/>
      <c r="BK420" s="104" t="n"/>
      <c r="BL420" s="104" t="n"/>
      <c r="BM420" s="104" t="n"/>
      <c r="BN420" s="104" t="n"/>
      <c r="BO420" s="104" t="n"/>
      <c r="BP420" s="104" t="n"/>
      <c r="BQ420" s="104" t="n"/>
      <c r="BR420" s="104" t="n"/>
      <c r="BS420" s="104" t="n"/>
      <c r="BT420" s="104" t="n"/>
      <c r="BU420" s="104" t="n"/>
      <c r="BV420" s="104" t="n"/>
      <c r="BW420" s="104" t="n"/>
      <c r="BX420" s="104" t="n"/>
    </row>
    <row r="421">
      <c r="AC421" s="104" t="n"/>
      <c r="AD421" s="104" t="n"/>
      <c r="AE421" s="104" t="n"/>
      <c r="AF421" s="104" t="n"/>
      <c r="AG421" s="104" t="n"/>
      <c r="AH421" s="104" t="n"/>
      <c r="AI421" s="104" t="n"/>
      <c r="AJ421" s="104" t="n"/>
      <c r="AK421" s="104" t="n"/>
      <c r="AL421" s="104" t="n"/>
      <c r="AM421" s="104" t="n"/>
      <c r="AN421" s="104" t="n"/>
      <c r="AO421" s="104" t="n"/>
      <c r="AP421" s="104" t="n"/>
      <c r="AQ421" s="104" t="n"/>
      <c r="AR421" s="104" t="n"/>
      <c r="AS421" s="104" t="n"/>
      <c r="AT421" s="104" t="n"/>
      <c r="AU421" s="104" t="n"/>
      <c r="AV421" s="104" t="n"/>
      <c r="AW421" s="104" t="n"/>
      <c r="AX421" s="104" t="n"/>
      <c r="AY421" s="104" t="n"/>
      <c r="AZ421" s="104" t="n"/>
      <c r="BA421" s="104" t="n"/>
      <c r="BB421" s="104" t="n"/>
      <c r="BC421" s="104" t="n"/>
      <c r="BD421" s="104" t="n"/>
      <c r="BE421" s="104" t="n"/>
      <c r="BF421" s="104" t="n"/>
      <c r="BG421" s="104" t="n"/>
      <c r="BH421" s="104" t="n"/>
      <c r="BI421" s="104" t="n"/>
      <c r="BJ421" s="104" t="n"/>
      <c r="BK421" s="104" t="n"/>
      <c r="BL421" s="104" t="n"/>
      <c r="BM421" s="104" t="n"/>
      <c r="BN421" s="104" t="n"/>
      <c r="BO421" s="104" t="n"/>
      <c r="BP421" s="104" t="n"/>
      <c r="BQ421" s="104" t="n"/>
      <c r="BR421" s="104" t="n"/>
      <c r="BS421" s="104" t="n"/>
      <c r="BT421" s="104" t="n"/>
      <c r="BU421" s="104" t="n"/>
      <c r="BV421" s="104" t="n"/>
      <c r="BW421" s="104" t="n"/>
      <c r="BX421" s="104" t="n"/>
    </row>
    <row r="422">
      <c r="AC422" s="104" t="n"/>
      <c r="AD422" s="104" t="n"/>
      <c r="AE422" s="104" t="n"/>
      <c r="AF422" s="104" t="n"/>
      <c r="AG422" s="104" t="n"/>
      <c r="AH422" s="104" t="n"/>
      <c r="AI422" s="104" t="n"/>
      <c r="AJ422" s="104" t="n"/>
      <c r="AK422" s="104" t="n"/>
      <c r="AL422" s="104" t="n"/>
      <c r="AM422" s="104" t="n"/>
      <c r="AN422" s="104" t="n"/>
      <c r="AO422" s="104" t="n"/>
      <c r="AP422" s="104" t="n"/>
      <c r="AQ422" s="104" t="n"/>
      <c r="AR422" s="104" t="n"/>
      <c r="AS422" s="104" t="n"/>
      <c r="AT422" s="104" t="n"/>
      <c r="AU422" s="104" t="n"/>
      <c r="AV422" s="104" t="n"/>
      <c r="AW422" s="104" t="n"/>
      <c r="AX422" s="104" t="n"/>
      <c r="AY422" s="104" t="n"/>
      <c r="AZ422" s="104" t="n"/>
      <c r="BA422" s="104" t="n"/>
      <c r="BB422" s="104" t="n"/>
      <c r="BC422" s="104" t="n"/>
      <c r="BD422" s="104" t="n"/>
      <c r="BE422" s="104" t="n"/>
      <c r="BF422" s="104" t="n"/>
      <c r="BG422" s="104" t="n"/>
      <c r="BH422" s="104" t="n"/>
      <c r="BI422" s="104" t="n"/>
      <c r="BJ422" s="104" t="n"/>
      <c r="BK422" s="104" t="n"/>
      <c r="BL422" s="104" t="n"/>
      <c r="BM422" s="104" t="n"/>
      <c r="BN422" s="104" t="n"/>
      <c r="BO422" s="104" t="n"/>
      <c r="BP422" s="104" t="n"/>
      <c r="BQ422" s="104" t="n"/>
      <c r="BR422" s="104" t="n"/>
      <c r="BS422" s="104" t="n"/>
      <c r="BT422" s="104" t="n"/>
      <c r="BU422" s="104" t="n"/>
      <c r="BV422" s="104" t="n"/>
      <c r="BW422" s="104" t="n"/>
      <c r="BX422" s="104" t="n"/>
    </row>
    <row r="423">
      <c r="AC423" s="104" t="n"/>
      <c r="AD423" s="104" t="n"/>
      <c r="AE423" s="104" t="n"/>
      <c r="AF423" s="104" t="n"/>
      <c r="AG423" s="104" t="n"/>
      <c r="AH423" s="104" t="n"/>
      <c r="AI423" s="104" t="n"/>
      <c r="AJ423" s="104" t="n"/>
      <c r="AK423" s="104" t="n"/>
      <c r="AL423" s="104" t="n"/>
      <c r="AM423" s="104" t="n"/>
      <c r="AN423" s="104" t="n"/>
      <c r="AO423" s="104" t="n"/>
      <c r="AP423" s="104" t="n"/>
      <c r="AQ423" s="104" t="n"/>
      <c r="AR423" s="104" t="n"/>
      <c r="AS423" s="104" t="n"/>
      <c r="AT423" s="104" t="n"/>
      <c r="AU423" s="104" t="n"/>
      <c r="AV423" s="104" t="n"/>
      <c r="AW423" s="104" t="n"/>
      <c r="AX423" s="104" t="n"/>
      <c r="AY423" s="104" t="n"/>
      <c r="AZ423" s="104" t="n"/>
      <c r="BA423" s="104" t="n"/>
      <c r="BB423" s="104" t="n"/>
      <c r="BC423" s="104" t="n"/>
      <c r="BD423" s="104" t="n"/>
      <c r="BE423" s="104" t="n"/>
      <c r="BF423" s="104" t="n"/>
      <c r="BG423" s="104" t="n"/>
      <c r="BH423" s="104" t="n"/>
      <c r="BI423" s="104" t="n"/>
      <c r="BJ423" s="104" t="n"/>
      <c r="BK423" s="104" t="n"/>
      <c r="BL423" s="104" t="n"/>
      <c r="BM423" s="104" t="n"/>
      <c r="BN423" s="104" t="n"/>
      <c r="BO423" s="104" t="n"/>
      <c r="BP423" s="104" t="n"/>
      <c r="BQ423" s="104" t="n"/>
      <c r="BR423" s="104" t="n"/>
      <c r="BS423" s="104" t="n"/>
      <c r="BT423" s="104" t="n"/>
      <c r="BU423" s="104" t="n"/>
      <c r="BV423" s="104" t="n"/>
      <c r="BW423" s="104" t="n"/>
      <c r="BX423" s="104" t="n"/>
    </row>
    <row r="424">
      <c r="AC424" s="104" t="n"/>
      <c r="AD424" s="104" t="n"/>
      <c r="AE424" s="104" t="n"/>
      <c r="AF424" s="104" t="n"/>
      <c r="AG424" s="104" t="n"/>
      <c r="AH424" s="104" t="n"/>
      <c r="AI424" s="104" t="n"/>
      <c r="AJ424" s="104" t="n"/>
      <c r="AK424" s="104" t="n"/>
      <c r="AL424" s="104" t="n"/>
      <c r="AM424" s="104" t="n"/>
      <c r="AN424" s="104" t="n"/>
      <c r="AO424" s="104" t="n"/>
      <c r="AP424" s="104" t="n"/>
      <c r="AQ424" s="104" t="n"/>
      <c r="AR424" s="104" t="n"/>
      <c r="AS424" s="104" t="n"/>
      <c r="AT424" s="104" t="n"/>
      <c r="AU424" s="104" t="n"/>
      <c r="AV424" s="104" t="n"/>
      <c r="AW424" s="104" t="n"/>
      <c r="AX424" s="104" t="n"/>
      <c r="AY424" s="104" t="n"/>
      <c r="AZ424" s="104" t="n"/>
      <c r="BA424" s="104" t="n"/>
      <c r="BB424" s="104" t="n"/>
      <c r="BC424" s="104" t="n"/>
      <c r="BD424" s="104" t="n"/>
      <c r="BE424" s="104" t="n"/>
      <c r="BF424" s="104" t="n"/>
      <c r="BG424" s="104" t="n"/>
      <c r="BH424" s="104" t="n"/>
      <c r="BI424" s="104" t="n"/>
      <c r="BJ424" s="104" t="n"/>
      <c r="BK424" s="104" t="n"/>
      <c r="BL424" s="104" t="n"/>
      <c r="BM424" s="104" t="n"/>
      <c r="BN424" s="104" t="n"/>
      <c r="BO424" s="104" t="n"/>
      <c r="BP424" s="104" t="n"/>
      <c r="BQ424" s="104" t="n"/>
      <c r="BR424" s="104" t="n"/>
      <c r="BS424" s="104" t="n"/>
      <c r="BT424" s="104" t="n"/>
      <c r="BU424" s="104" t="n"/>
      <c r="BV424" s="104" t="n"/>
      <c r="BW424" s="104" t="n"/>
      <c r="BX424" s="104" t="n"/>
    </row>
    <row r="425">
      <c r="AC425" s="104" t="n"/>
      <c r="AD425" s="104" t="n"/>
      <c r="AE425" s="104" t="n"/>
      <c r="AF425" s="104" t="n"/>
      <c r="AG425" s="104" t="n"/>
      <c r="AH425" s="104" t="n"/>
      <c r="AI425" s="104" t="n"/>
      <c r="AJ425" s="104" t="n"/>
      <c r="AK425" s="104" t="n"/>
      <c r="AL425" s="104" t="n"/>
      <c r="AM425" s="104" t="n"/>
      <c r="AN425" s="104" t="n"/>
      <c r="AO425" s="104" t="n"/>
      <c r="AP425" s="104" t="n"/>
      <c r="AQ425" s="104" t="n"/>
      <c r="AR425" s="104" t="n"/>
      <c r="AS425" s="104" t="n"/>
      <c r="AT425" s="104" t="n"/>
      <c r="AU425" s="104" t="n"/>
      <c r="AV425" s="104" t="n"/>
      <c r="AW425" s="104" t="n"/>
      <c r="AX425" s="104" t="n"/>
      <c r="AY425" s="104" t="n"/>
      <c r="AZ425" s="104" t="n"/>
      <c r="BA425" s="104" t="n"/>
      <c r="BB425" s="104" t="n"/>
      <c r="BC425" s="104" t="n"/>
      <c r="BD425" s="104" t="n"/>
      <c r="BE425" s="104" t="n"/>
      <c r="BF425" s="104" t="n"/>
      <c r="BG425" s="104" t="n"/>
      <c r="BH425" s="104" t="n"/>
      <c r="BI425" s="104" t="n"/>
      <c r="BJ425" s="104" t="n"/>
      <c r="BK425" s="104" t="n"/>
      <c r="BL425" s="104" t="n"/>
      <c r="BM425" s="104" t="n"/>
      <c r="BN425" s="104" t="n"/>
      <c r="BO425" s="104" t="n"/>
      <c r="BP425" s="104" t="n"/>
      <c r="BQ425" s="104" t="n"/>
      <c r="BR425" s="104" t="n"/>
      <c r="BS425" s="104" t="n"/>
      <c r="BT425" s="104" t="n"/>
      <c r="BU425" s="104" t="n"/>
      <c r="BV425" s="104" t="n"/>
      <c r="BW425" s="104" t="n"/>
      <c r="BX425" s="104" t="n"/>
    </row>
    <row r="426">
      <c r="AC426" s="104" t="n"/>
      <c r="AD426" s="104" t="n"/>
      <c r="AE426" s="104" t="n"/>
      <c r="AF426" s="104" t="n"/>
      <c r="AG426" s="104" t="n"/>
      <c r="AH426" s="104" t="n"/>
      <c r="AI426" s="104" t="n"/>
      <c r="AJ426" s="104" t="n"/>
      <c r="AK426" s="104" t="n"/>
      <c r="AL426" s="104" t="n"/>
      <c r="AM426" s="104" t="n"/>
      <c r="AN426" s="104" t="n"/>
      <c r="AO426" s="104" t="n"/>
      <c r="AP426" s="104" t="n"/>
      <c r="AQ426" s="104" t="n"/>
      <c r="AR426" s="104" t="n"/>
      <c r="AS426" s="104" t="n"/>
      <c r="AT426" s="104" t="n"/>
      <c r="AU426" s="104" t="n"/>
      <c r="AV426" s="104" t="n"/>
      <c r="AW426" s="104" t="n"/>
      <c r="AX426" s="104" t="n"/>
      <c r="AY426" s="104" t="n"/>
      <c r="AZ426" s="104" t="n"/>
      <c r="BA426" s="104" t="n"/>
      <c r="BB426" s="104" t="n"/>
      <c r="BC426" s="104" t="n"/>
      <c r="BD426" s="104" t="n"/>
      <c r="BE426" s="104" t="n"/>
      <c r="BF426" s="104" t="n"/>
      <c r="BG426" s="104" t="n"/>
      <c r="BH426" s="104" t="n"/>
      <c r="BI426" s="104" t="n"/>
      <c r="BJ426" s="104" t="n"/>
      <c r="BK426" s="104" t="n"/>
      <c r="BL426" s="104" t="n"/>
      <c r="BM426" s="104" t="n"/>
      <c r="BN426" s="104" t="n"/>
      <c r="BO426" s="104" t="n"/>
      <c r="BP426" s="104" t="n"/>
      <c r="BQ426" s="104" t="n"/>
      <c r="BR426" s="104" t="n"/>
      <c r="BS426" s="104" t="n"/>
      <c r="BT426" s="104" t="n"/>
      <c r="BU426" s="104" t="n"/>
      <c r="BV426" s="104" t="n"/>
      <c r="BW426" s="104" t="n"/>
      <c r="BX426" s="104" t="n"/>
    </row>
    <row r="427">
      <c r="AC427" s="104" t="n"/>
      <c r="AD427" s="104" t="n"/>
      <c r="AE427" s="104" t="n"/>
      <c r="AF427" s="104" t="n"/>
      <c r="AG427" s="104" t="n"/>
      <c r="AH427" s="104" t="n"/>
      <c r="AI427" s="104" t="n"/>
      <c r="AJ427" s="104" t="n"/>
      <c r="AK427" s="104" t="n"/>
      <c r="AL427" s="104" t="n"/>
      <c r="AM427" s="104" t="n"/>
      <c r="AN427" s="104" t="n"/>
      <c r="AO427" s="104" t="n"/>
      <c r="AP427" s="104" t="n"/>
      <c r="AQ427" s="104" t="n"/>
      <c r="AR427" s="104" t="n"/>
      <c r="AS427" s="104" t="n"/>
      <c r="AT427" s="104" t="n"/>
      <c r="AU427" s="104" t="n"/>
      <c r="AV427" s="104" t="n"/>
      <c r="AW427" s="104" t="n"/>
      <c r="AX427" s="104" t="n"/>
      <c r="AY427" s="104" t="n"/>
      <c r="AZ427" s="104" t="n"/>
      <c r="BA427" s="104" t="n"/>
      <c r="BB427" s="104" t="n"/>
      <c r="BC427" s="104" t="n"/>
      <c r="BD427" s="104" t="n"/>
      <c r="BE427" s="104" t="n"/>
      <c r="BF427" s="104" t="n"/>
      <c r="BG427" s="104" t="n"/>
      <c r="BH427" s="104" t="n"/>
      <c r="BI427" s="104" t="n"/>
      <c r="BJ427" s="104" t="n"/>
      <c r="BK427" s="104" t="n"/>
      <c r="BL427" s="104" t="n"/>
      <c r="BM427" s="104" t="n"/>
      <c r="BN427" s="104" t="n"/>
      <c r="BO427" s="104" t="n"/>
      <c r="BP427" s="104" t="n"/>
      <c r="BQ427" s="104" t="n"/>
      <c r="BR427" s="104" t="n"/>
      <c r="BS427" s="104" t="n"/>
      <c r="BT427" s="104" t="n"/>
      <c r="BU427" s="104" t="n"/>
      <c r="BV427" s="104" t="n"/>
      <c r="BW427" s="104" t="n"/>
      <c r="BX427" s="104" t="n"/>
    </row>
    <row r="428">
      <c r="AC428" s="104" t="n"/>
      <c r="AD428" s="104" t="n"/>
      <c r="AE428" s="104" t="n"/>
      <c r="AF428" s="104" t="n"/>
      <c r="AG428" s="104" t="n"/>
      <c r="AH428" s="104" t="n"/>
      <c r="AI428" s="104" t="n"/>
      <c r="AJ428" s="104" t="n"/>
      <c r="AK428" s="104" t="n"/>
      <c r="AL428" s="104" t="n"/>
      <c r="AM428" s="104" t="n"/>
      <c r="AN428" s="104" t="n"/>
      <c r="AO428" s="104" t="n"/>
      <c r="AP428" s="104" t="n"/>
      <c r="AQ428" s="104" t="n"/>
      <c r="AR428" s="104" t="n"/>
      <c r="AS428" s="104" t="n"/>
      <c r="AT428" s="104" t="n"/>
      <c r="AU428" s="104" t="n"/>
      <c r="AV428" s="104" t="n"/>
      <c r="AW428" s="104" t="n"/>
      <c r="AX428" s="104" t="n"/>
      <c r="AY428" s="104" t="n"/>
      <c r="AZ428" s="104" t="n"/>
      <c r="BA428" s="104" t="n"/>
      <c r="BB428" s="104" t="n"/>
      <c r="BC428" s="104" t="n"/>
      <c r="BD428" s="104" t="n"/>
      <c r="BE428" s="104" t="n"/>
      <c r="BF428" s="104" t="n"/>
      <c r="BG428" s="104" t="n"/>
      <c r="BH428" s="104" t="n"/>
      <c r="BI428" s="104" t="n"/>
      <c r="BJ428" s="104" t="n"/>
      <c r="BK428" s="104" t="n"/>
      <c r="BL428" s="104" t="n"/>
      <c r="BM428" s="104" t="n"/>
      <c r="BN428" s="104" t="n"/>
      <c r="BO428" s="104" t="n"/>
      <c r="BP428" s="104" t="n"/>
      <c r="BQ428" s="104" t="n"/>
      <c r="BR428" s="104" t="n"/>
      <c r="BS428" s="104" t="n"/>
      <c r="BT428" s="104" t="n"/>
      <c r="BU428" s="104" t="n"/>
      <c r="BV428" s="104" t="n"/>
      <c r="BW428" s="104" t="n"/>
      <c r="BX428" s="104" t="n"/>
    </row>
    <row r="429">
      <c r="AC429" s="104" t="n"/>
      <c r="AD429" s="104" t="n"/>
      <c r="AE429" s="104" t="n"/>
      <c r="AF429" s="104" t="n"/>
      <c r="AG429" s="104" t="n"/>
      <c r="AH429" s="104" t="n"/>
      <c r="AI429" s="104" t="n"/>
      <c r="AJ429" s="104" t="n"/>
      <c r="AK429" s="104" t="n"/>
      <c r="AL429" s="104" t="n"/>
      <c r="AM429" s="104" t="n"/>
      <c r="AN429" s="104" t="n"/>
      <c r="AO429" s="104" t="n"/>
      <c r="AP429" s="104" t="n"/>
      <c r="AQ429" s="104" t="n"/>
      <c r="AR429" s="104" t="n"/>
      <c r="AS429" s="104" t="n"/>
      <c r="AT429" s="104" t="n"/>
      <c r="AU429" s="104" t="n"/>
      <c r="AV429" s="104" t="n"/>
      <c r="AW429" s="104" t="n"/>
      <c r="AX429" s="104" t="n"/>
      <c r="AY429" s="104" t="n"/>
      <c r="AZ429" s="104" t="n"/>
      <c r="BA429" s="104" t="n"/>
      <c r="BB429" s="104" t="n"/>
      <c r="BC429" s="104" t="n"/>
      <c r="BD429" s="104" t="n"/>
      <c r="BE429" s="104" t="n"/>
      <c r="BF429" s="104" t="n"/>
      <c r="BG429" s="104" t="n"/>
      <c r="BH429" s="104" t="n"/>
      <c r="BI429" s="104" t="n"/>
      <c r="BJ429" s="104" t="n"/>
      <c r="BK429" s="104" t="n"/>
      <c r="BL429" s="104" t="n"/>
      <c r="BM429" s="104" t="n"/>
      <c r="BN429" s="104" t="n"/>
      <c r="BO429" s="104" t="n"/>
      <c r="BP429" s="104" t="n"/>
      <c r="BQ429" s="104" t="n"/>
      <c r="BR429" s="104" t="n"/>
      <c r="BS429" s="104" t="n"/>
      <c r="BT429" s="104" t="n"/>
      <c r="BU429" s="104" t="n"/>
      <c r="BV429" s="104" t="n"/>
      <c r="BW429" s="104" t="n"/>
      <c r="BX429" s="104" t="n"/>
    </row>
    <row r="430">
      <c r="AC430" s="104" t="n"/>
      <c r="AD430" s="104" t="n"/>
      <c r="AE430" s="104" t="n"/>
      <c r="AF430" s="104" t="n"/>
      <c r="AG430" s="104" t="n"/>
      <c r="AH430" s="104" t="n"/>
      <c r="AI430" s="104" t="n"/>
      <c r="AJ430" s="104" t="n"/>
      <c r="AK430" s="104" t="n"/>
      <c r="AL430" s="104" t="n"/>
      <c r="AM430" s="104" t="n"/>
      <c r="AN430" s="104" t="n"/>
      <c r="AO430" s="104" t="n"/>
      <c r="AP430" s="104" t="n"/>
      <c r="AQ430" s="104" t="n"/>
      <c r="AR430" s="104" t="n"/>
      <c r="AS430" s="104" t="n"/>
      <c r="AT430" s="104" t="n"/>
      <c r="AU430" s="104" t="n"/>
      <c r="AV430" s="104" t="n"/>
      <c r="AW430" s="104" t="n"/>
      <c r="AX430" s="104" t="n"/>
      <c r="AY430" s="104" t="n"/>
      <c r="AZ430" s="104" t="n"/>
      <c r="BA430" s="104" t="n"/>
      <c r="BB430" s="104" t="n"/>
      <c r="BC430" s="104" t="n"/>
      <c r="BD430" s="104" t="n"/>
      <c r="BE430" s="104" t="n"/>
      <c r="BF430" s="104" t="n"/>
      <c r="BG430" s="104" t="n"/>
      <c r="BH430" s="104" t="n"/>
      <c r="BI430" s="104" t="n"/>
      <c r="BJ430" s="104" t="n"/>
      <c r="BK430" s="104" t="n"/>
      <c r="BL430" s="104" t="n"/>
      <c r="BM430" s="104" t="n"/>
      <c r="BN430" s="104" t="n"/>
      <c r="BO430" s="104" t="n"/>
      <c r="BP430" s="104" t="n"/>
      <c r="BQ430" s="104" t="n"/>
      <c r="BR430" s="104" t="n"/>
      <c r="BS430" s="104" t="n"/>
      <c r="BT430" s="104" t="n"/>
      <c r="BU430" s="104" t="n"/>
      <c r="BV430" s="104" t="n"/>
      <c r="BW430" s="104" t="n"/>
      <c r="BX430" s="104" t="n"/>
    </row>
    <row r="431">
      <c r="AC431" s="104" t="n"/>
      <c r="AD431" s="104" t="n"/>
      <c r="AE431" s="104" t="n"/>
      <c r="AF431" s="104" t="n"/>
      <c r="AG431" s="104" t="n"/>
      <c r="AH431" s="104" t="n"/>
      <c r="AI431" s="104" t="n"/>
      <c r="AJ431" s="104" t="n"/>
      <c r="AK431" s="104" t="n"/>
      <c r="AL431" s="104" t="n"/>
      <c r="AM431" s="104" t="n"/>
      <c r="AN431" s="104" t="n"/>
      <c r="AO431" s="104" t="n"/>
      <c r="AP431" s="104" t="n"/>
      <c r="AQ431" s="104" t="n"/>
      <c r="AR431" s="104" t="n"/>
      <c r="AS431" s="104" t="n"/>
      <c r="AT431" s="104" t="n"/>
      <c r="AU431" s="104" t="n"/>
      <c r="AV431" s="104" t="n"/>
      <c r="AW431" s="104" t="n"/>
      <c r="AX431" s="104" t="n"/>
      <c r="AY431" s="104" t="n"/>
      <c r="AZ431" s="104" t="n"/>
      <c r="BA431" s="104" t="n"/>
      <c r="BB431" s="104" t="n"/>
      <c r="BC431" s="104" t="n"/>
      <c r="BD431" s="104" t="n"/>
      <c r="BE431" s="104" t="n"/>
      <c r="BF431" s="104" t="n"/>
      <c r="BG431" s="104" t="n"/>
      <c r="BH431" s="104" t="n"/>
      <c r="BI431" s="104" t="n"/>
      <c r="BJ431" s="104" t="n"/>
      <c r="BK431" s="104" t="n"/>
      <c r="BL431" s="104" t="n"/>
      <c r="BM431" s="104" t="n"/>
      <c r="BN431" s="104" t="n"/>
      <c r="BO431" s="104" t="n"/>
      <c r="BP431" s="104" t="n"/>
      <c r="BQ431" s="104" t="n"/>
      <c r="BR431" s="104" t="n"/>
      <c r="BS431" s="104" t="n"/>
      <c r="BT431" s="104" t="n"/>
      <c r="BU431" s="104" t="n"/>
      <c r="BV431" s="104" t="n"/>
      <c r="BW431" s="104" t="n"/>
      <c r="BX431" s="104" t="n"/>
    </row>
    <row r="432">
      <c r="AC432" s="104" t="n"/>
      <c r="AD432" s="104" t="n"/>
      <c r="AE432" s="104" t="n"/>
      <c r="AF432" s="104" t="n"/>
      <c r="AG432" s="104" t="n"/>
      <c r="AH432" s="104" t="n"/>
      <c r="AI432" s="104" t="n"/>
      <c r="AJ432" s="104" t="n"/>
      <c r="AK432" s="104" t="n"/>
      <c r="AL432" s="104" t="n"/>
      <c r="AM432" s="104" t="n"/>
      <c r="AN432" s="104" t="n"/>
      <c r="AO432" s="104" t="n"/>
      <c r="AP432" s="104" t="n"/>
      <c r="AQ432" s="104" t="n"/>
      <c r="AR432" s="104" t="n"/>
      <c r="AS432" s="104" t="n"/>
      <c r="AT432" s="104" t="n"/>
      <c r="AU432" s="104" t="n"/>
      <c r="AV432" s="104" t="n"/>
      <c r="AW432" s="104" t="n"/>
      <c r="AX432" s="104" t="n"/>
      <c r="AY432" s="104" t="n"/>
      <c r="AZ432" s="104" t="n"/>
      <c r="BA432" s="104" t="n"/>
      <c r="BB432" s="104" t="n"/>
      <c r="BC432" s="104" t="n"/>
      <c r="BD432" s="104" t="n"/>
      <c r="BE432" s="104" t="n"/>
      <c r="BF432" s="104" t="n"/>
      <c r="BG432" s="104" t="n"/>
      <c r="BH432" s="104" t="n"/>
      <c r="BI432" s="104" t="n"/>
      <c r="BJ432" s="104" t="n"/>
      <c r="BK432" s="104" t="n"/>
      <c r="BL432" s="104" t="n"/>
      <c r="BM432" s="104" t="n"/>
      <c r="BN432" s="104" t="n"/>
      <c r="BO432" s="104" t="n"/>
      <c r="BP432" s="104" t="n"/>
      <c r="BQ432" s="104" t="n"/>
      <c r="BR432" s="104" t="n"/>
      <c r="BS432" s="104" t="n"/>
      <c r="BT432" s="104" t="n"/>
      <c r="BU432" s="104" t="n"/>
      <c r="BV432" s="104" t="n"/>
      <c r="BW432" s="104" t="n"/>
      <c r="BX432" s="104" t="n"/>
    </row>
    <row r="433">
      <c r="AC433" s="104" t="n"/>
      <c r="AD433" s="104" t="n"/>
      <c r="AE433" s="104" t="n"/>
      <c r="AF433" s="104" t="n"/>
      <c r="AG433" s="104" t="n"/>
      <c r="AH433" s="104" t="n"/>
      <c r="AI433" s="104" t="n"/>
      <c r="AJ433" s="104" t="n"/>
      <c r="AK433" s="104" t="n"/>
      <c r="AL433" s="104" t="n"/>
      <c r="AM433" s="104" t="n"/>
      <c r="AN433" s="104" t="n"/>
      <c r="AO433" s="104" t="n"/>
      <c r="AP433" s="104" t="n"/>
      <c r="AQ433" s="104" t="n"/>
      <c r="AR433" s="104" t="n"/>
      <c r="AS433" s="104" t="n"/>
      <c r="AT433" s="104" t="n"/>
      <c r="AU433" s="104" t="n"/>
      <c r="AV433" s="104" t="n"/>
      <c r="AW433" s="104" t="n"/>
      <c r="AX433" s="104" t="n"/>
      <c r="AY433" s="104" t="n"/>
      <c r="AZ433" s="104" t="n"/>
      <c r="BA433" s="104" t="n"/>
      <c r="BB433" s="104" t="n"/>
      <c r="BC433" s="104" t="n"/>
      <c r="BD433" s="104" t="n"/>
      <c r="BE433" s="104" t="n"/>
      <c r="BF433" s="104" t="n"/>
      <c r="BG433" s="104" t="n"/>
      <c r="BH433" s="104" t="n"/>
      <c r="BI433" s="104" t="n"/>
      <c r="BJ433" s="104" t="n"/>
      <c r="BK433" s="104" t="n"/>
      <c r="BL433" s="104" t="n"/>
      <c r="BM433" s="104" t="n"/>
      <c r="BN433" s="104" t="n"/>
      <c r="BO433" s="104" t="n"/>
      <c r="BP433" s="104" t="n"/>
      <c r="BQ433" s="104" t="n"/>
      <c r="BR433" s="104" t="n"/>
      <c r="BS433" s="104" t="n"/>
      <c r="BT433" s="104" t="n"/>
      <c r="BU433" s="104" t="n"/>
      <c r="BV433" s="104" t="n"/>
      <c r="BW433" s="104" t="n"/>
      <c r="BX433" s="104" t="n"/>
    </row>
    <row r="434">
      <c r="AC434" s="104" t="n"/>
      <c r="AD434" s="104" t="n"/>
      <c r="AE434" s="104" t="n"/>
      <c r="AF434" s="104" t="n"/>
      <c r="AG434" s="104" t="n"/>
      <c r="AH434" s="104" t="n"/>
      <c r="AI434" s="104" t="n"/>
      <c r="AJ434" s="104" t="n"/>
      <c r="AK434" s="104" t="n"/>
      <c r="AL434" s="104" t="n"/>
      <c r="AM434" s="104" t="n"/>
      <c r="AN434" s="104" t="n"/>
      <c r="AO434" s="104" t="n"/>
      <c r="AP434" s="104" t="n"/>
      <c r="AQ434" s="104" t="n"/>
      <c r="AR434" s="104" t="n"/>
      <c r="AS434" s="104" t="n"/>
      <c r="AT434" s="104" t="n"/>
      <c r="AU434" s="104" t="n"/>
      <c r="AV434" s="104" t="n"/>
      <c r="AW434" s="104" t="n"/>
      <c r="AX434" s="104" t="n"/>
      <c r="AY434" s="104" t="n"/>
      <c r="AZ434" s="104" t="n"/>
      <c r="BA434" s="104" t="n"/>
      <c r="BB434" s="104" t="n"/>
      <c r="BC434" s="104" t="n"/>
      <c r="BD434" s="104" t="n"/>
      <c r="BE434" s="104" t="n"/>
      <c r="BF434" s="104" t="n"/>
      <c r="BG434" s="104" t="n"/>
      <c r="BH434" s="104" t="n"/>
      <c r="BI434" s="104" t="n"/>
      <c r="BJ434" s="104" t="n"/>
      <c r="BK434" s="104" t="n"/>
      <c r="BL434" s="104" t="n"/>
      <c r="BM434" s="104" t="n"/>
      <c r="BN434" s="104" t="n"/>
      <c r="BO434" s="104" t="n"/>
      <c r="BP434" s="104" t="n"/>
      <c r="BQ434" s="104" t="n"/>
      <c r="BR434" s="104" t="n"/>
      <c r="BS434" s="104" t="n"/>
      <c r="BT434" s="104" t="n"/>
      <c r="BU434" s="104" t="n"/>
      <c r="BV434" s="104" t="n"/>
      <c r="BW434" s="104" t="n"/>
      <c r="BX434" s="104" t="n"/>
    </row>
    <row r="435">
      <c r="AC435" s="104" t="n"/>
      <c r="AD435" s="104" t="n"/>
      <c r="AE435" s="104" t="n"/>
      <c r="AF435" s="104" t="n"/>
      <c r="AG435" s="104" t="n"/>
      <c r="AH435" s="104" t="n"/>
      <c r="AI435" s="104" t="n"/>
      <c r="AJ435" s="104" t="n"/>
      <c r="AK435" s="104" t="n"/>
      <c r="AL435" s="104" t="n"/>
      <c r="AM435" s="104" t="n"/>
      <c r="AN435" s="104" t="n"/>
      <c r="AO435" s="104" t="n"/>
      <c r="AP435" s="104" t="n"/>
      <c r="AQ435" s="104" t="n"/>
      <c r="AR435" s="104" t="n"/>
      <c r="AS435" s="104" t="n"/>
      <c r="AT435" s="104" t="n"/>
      <c r="AU435" s="104" t="n"/>
      <c r="AV435" s="104" t="n"/>
      <c r="AW435" s="104" t="n"/>
      <c r="AX435" s="104" t="n"/>
      <c r="AY435" s="104" t="n"/>
      <c r="AZ435" s="104" t="n"/>
      <c r="BA435" s="104" t="n"/>
      <c r="BB435" s="104" t="n"/>
      <c r="BC435" s="104" t="n"/>
      <c r="BD435" s="104" t="n"/>
      <c r="BE435" s="104" t="n"/>
      <c r="BF435" s="104" t="n"/>
      <c r="BG435" s="104" t="n"/>
      <c r="BH435" s="104" t="n"/>
      <c r="BI435" s="104" t="n"/>
      <c r="BJ435" s="104" t="n"/>
      <c r="BK435" s="104" t="n"/>
      <c r="BL435" s="104" t="n"/>
      <c r="BM435" s="104" t="n"/>
      <c r="BN435" s="104" t="n"/>
      <c r="BO435" s="104" t="n"/>
      <c r="BP435" s="104" t="n"/>
      <c r="BQ435" s="104" t="n"/>
      <c r="BR435" s="104" t="n"/>
      <c r="BS435" s="104" t="n"/>
      <c r="BT435" s="104" t="n"/>
      <c r="BU435" s="104" t="n"/>
      <c r="BV435" s="104" t="n"/>
      <c r="BW435" s="104" t="n"/>
      <c r="BX435" s="104" t="n"/>
    </row>
    <row r="436">
      <c r="AC436" s="104" t="n"/>
      <c r="AD436" s="104" t="n"/>
      <c r="AE436" s="104" t="n"/>
      <c r="AF436" s="104" t="n"/>
      <c r="AG436" s="104" t="n"/>
      <c r="AH436" s="104" t="n"/>
      <c r="AI436" s="104" t="n"/>
      <c r="AJ436" s="104" t="n"/>
      <c r="AK436" s="104" t="n"/>
      <c r="AL436" s="104" t="n"/>
      <c r="AM436" s="104" t="n"/>
      <c r="AN436" s="104" t="n"/>
      <c r="AO436" s="104" t="n"/>
      <c r="AP436" s="104" t="n"/>
      <c r="AQ436" s="104" t="n"/>
      <c r="AR436" s="104" t="n"/>
      <c r="AS436" s="104" t="n"/>
      <c r="AT436" s="104" t="n"/>
      <c r="AU436" s="104" t="n"/>
      <c r="AV436" s="104" t="n"/>
      <c r="AW436" s="104" t="n"/>
      <c r="AX436" s="104" t="n"/>
      <c r="AY436" s="104" t="n"/>
      <c r="AZ436" s="104" t="n"/>
      <c r="BA436" s="104" t="n"/>
      <c r="BB436" s="104" t="n"/>
      <c r="BC436" s="104" t="n"/>
      <c r="BD436" s="104" t="n"/>
      <c r="BE436" s="104" t="n"/>
      <c r="BF436" s="104" t="n"/>
      <c r="BG436" s="104" t="n"/>
      <c r="BH436" s="104" t="n"/>
      <c r="BI436" s="104" t="n"/>
      <c r="BJ436" s="104" t="n"/>
      <c r="BK436" s="104" t="n"/>
      <c r="BL436" s="104" t="n"/>
      <c r="BM436" s="104" t="n"/>
      <c r="BN436" s="104" t="n"/>
      <c r="BO436" s="104" t="n"/>
      <c r="BP436" s="104" t="n"/>
      <c r="BQ436" s="104" t="n"/>
      <c r="BR436" s="104" t="n"/>
      <c r="BS436" s="104" t="n"/>
      <c r="BT436" s="104" t="n"/>
      <c r="BU436" s="104" t="n"/>
      <c r="BV436" s="104" t="n"/>
      <c r="BW436" s="104" t="n"/>
      <c r="BX436" s="104" t="n"/>
    </row>
    <row r="437">
      <c r="AC437" s="104" t="n"/>
      <c r="AD437" s="104" t="n"/>
      <c r="AE437" s="104" t="n"/>
      <c r="AF437" s="104" t="n"/>
      <c r="AG437" s="104" t="n"/>
      <c r="AH437" s="104" t="n"/>
      <c r="AI437" s="104" t="n"/>
      <c r="AJ437" s="104" t="n"/>
      <c r="AK437" s="104" t="n"/>
      <c r="AL437" s="104" t="n"/>
      <c r="AM437" s="104" t="n"/>
      <c r="AN437" s="104" t="n"/>
      <c r="AO437" s="104" t="n"/>
      <c r="AP437" s="104" t="n"/>
      <c r="AQ437" s="104" t="n"/>
      <c r="AR437" s="104" t="n"/>
      <c r="AS437" s="104" t="n"/>
      <c r="AT437" s="104" t="n"/>
      <c r="AU437" s="104" t="n"/>
      <c r="AV437" s="104" t="n"/>
      <c r="AW437" s="104" t="n"/>
      <c r="AX437" s="104" t="n"/>
      <c r="AY437" s="104" t="n"/>
      <c r="AZ437" s="104" t="n"/>
      <c r="BA437" s="104" t="n"/>
      <c r="BB437" s="104" t="n"/>
      <c r="BC437" s="104" t="n"/>
      <c r="BD437" s="104" t="n"/>
      <c r="BE437" s="104" t="n"/>
      <c r="BF437" s="104" t="n"/>
      <c r="BG437" s="104" t="n"/>
      <c r="BH437" s="104" t="n"/>
      <c r="BI437" s="104" t="n"/>
      <c r="BJ437" s="104" t="n"/>
      <c r="BK437" s="104" t="n"/>
      <c r="BL437" s="104" t="n"/>
      <c r="BM437" s="104" t="n"/>
      <c r="BN437" s="104" t="n"/>
      <c r="BO437" s="104" t="n"/>
      <c r="BP437" s="104" t="n"/>
      <c r="BQ437" s="104" t="n"/>
      <c r="BR437" s="104" t="n"/>
      <c r="BS437" s="104" t="n"/>
      <c r="BT437" s="104" t="n"/>
      <c r="BU437" s="104" t="n"/>
      <c r="BV437" s="104" t="n"/>
      <c r="BW437" s="104" t="n"/>
      <c r="BX437" s="104" t="n"/>
    </row>
    <row r="438">
      <c r="AC438" s="104" t="n"/>
      <c r="AD438" s="104" t="n"/>
      <c r="AE438" s="104" t="n"/>
      <c r="AF438" s="104" t="n"/>
      <c r="AG438" s="104" t="n"/>
      <c r="AH438" s="104" t="n"/>
      <c r="AI438" s="104" t="n"/>
      <c r="AJ438" s="104" t="n"/>
      <c r="AK438" s="104" t="n"/>
      <c r="AL438" s="104" t="n"/>
      <c r="AM438" s="104" t="n"/>
      <c r="AN438" s="104" t="n"/>
      <c r="AO438" s="104" t="n"/>
      <c r="AP438" s="104" t="n"/>
      <c r="AQ438" s="104" t="n"/>
      <c r="AR438" s="104" t="n"/>
      <c r="AS438" s="104" t="n"/>
      <c r="AT438" s="104" t="n"/>
      <c r="AU438" s="104" t="n"/>
      <c r="AV438" s="104" t="n"/>
      <c r="AW438" s="104" t="n"/>
      <c r="AX438" s="104" t="n"/>
      <c r="AY438" s="104" t="n"/>
      <c r="AZ438" s="104" t="n"/>
      <c r="BA438" s="104" t="n"/>
      <c r="BB438" s="104" t="n"/>
      <c r="BC438" s="104" t="n"/>
      <c r="BD438" s="104" t="n"/>
      <c r="BE438" s="104" t="n"/>
      <c r="BF438" s="104" t="n"/>
      <c r="BG438" s="104" t="n"/>
      <c r="BH438" s="104" t="n"/>
      <c r="BI438" s="104" t="n"/>
      <c r="BJ438" s="104" t="n"/>
      <c r="BK438" s="104" t="n"/>
      <c r="BL438" s="104" t="n"/>
      <c r="BM438" s="104" t="n"/>
      <c r="BN438" s="104" t="n"/>
      <c r="BO438" s="104" t="n"/>
      <c r="BP438" s="104" t="n"/>
      <c r="BQ438" s="104" t="n"/>
      <c r="BR438" s="104" t="n"/>
      <c r="BS438" s="104" t="n"/>
      <c r="BT438" s="104" t="n"/>
      <c r="BU438" s="104" t="n"/>
      <c r="BV438" s="104" t="n"/>
      <c r="BW438" s="104" t="n"/>
      <c r="BX438" s="104" t="n"/>
    </row>
    <row r="439">
      <c r="AC439" s="104" t="n"/>
      <c r="AD439" s="104" t="n"/>
      <c r="AE439" s="104" t="n"/>
      <c r="AF439" s="104" t="n"/>
      <c r="AG439" s="104" t="n"/>
      <c r="AH439" s="104" t="n"/>
      <c r="AI439" s="104" t="n"/>
      <c r="AJ439" s="104" t="n"/>
      <c r="AK439" s="104" t="n"/>
      <c r="AL439" s="104" t="n"/>
      <c r="AM439" s="104" t="n"/>
      <c r="AN439" s="104" t="n"/>
      <c r="AO439" s="104" t="n"/>
      <c r="AP439" s="104" t="n"/>
      <c r="AQ439" s="104" t="n"/>
      <c r="AR439" s="104" t="n"/>
      <c r="AS439" s="104" t="n"/>
      <c r="AT439" s="104" t="n"/>
      <c r="AU439" s="104" t="n"/>
      <c r="AV439" s="104" t="n"/>
      <c r="AW439" s="104" t="n"/>
      <c r="AX439" s="104" t="n"/>
      <c r="AY439" s="104" t="n"/>
      <c r="AZ439" s="104" t="n"/>
      <c r="BA439" s="104" t="n"/>
      <c r="BB439" s="104" t="n"/>
      <c r="BC439" s="104" t="n"/>
      <c r="BD439" s="104" t="n"/>
      <c r="BE439" s="104" t="n"/>
      <c r="BF439" s="104" t="n"/>
      <c r="BG439" s="104" t="n"/>
      <c r="BH439" s="104" t="n"/>
      <c r="BI439" s="104" t="n"/>
      <c r="BJ439" s="104" t="n"/>
      <c r="BK439" s="104" t="n"/>
      <c r="BL439" s="104" t="n"/>
      <c r="BM439" s="104" t="n"/>
      <c r="BN439" s="104" t="n"/>
      <c r="BO439" s="104" t="n"/>
      <c r="BP439" s="104" t="n"/>
      <c r="BQ439" s="104" t="n"/>
      <c r="BR439" s="104" t="n"/>
      <c r="BS439" s="104" t="n"/>
      <c r="BT439" s="104" t="n"/>
      <c r="BU439" s="104" t="n"/>
      <c r="BV439" s="104" t="n"/>
      <c r="BW439" s="104" t="n"/>
      <c r="BX439" s="104" t="n"/>
    </row>
    <row r="440">
      <c r="AC440" s="104" t="n"/>
      <c r="AD440" s="104" t="n"/>
      <c r="AE440" s="104" t="n"/>
      <c r="AF440" s="104" t="n"/>
      <c r="AG440" s="104" t="n"/>
      <c r="AH440" s="104" t="n"/>
      <c r="AI440" s="104" t="n"/>
      <c r="AJ440" s="104" t="n"/>
      <c r="AK440" s="104" t="n"/>
      <c r="AL440" s="104" t="n"/>
      <c r="AM440" s="104" t="n"/>
      <c r="AN440" s="104" t="n"/>
      <c r="AO440" s="104" t="n"/>
      <c r="AP440" s="104" t="n"/>
      <c r="AQ440" s="104" t="n"/>
      <c r="AR440" s="104" t="n"/>
      <c r="AS440" s="104" t="n"/>
      <c r="AT440" s="104" t="n"/>
      <c r="AU440" s="104" t="n"/>
      <c r="AV440" s="104" t="n"/>
      <c r="AW440" s="104" t="n"/>
      <c r="AX440" s="104" t="n"/>
      <c r="AY440" s="104" t="n"/>
      <c r="AZ440" s="104" t="n"/>
      <c r="BA440" s="104" t="n"/>
      <c r="BB440" s="104" t="n"/>
      <c r="BC440" s="104" t="n"/>
      <c r="BD440" s="104" t="n"/>
      <c r="BE440" s="104" t="n"/>
      <c r="BF440" s="104" t="n"/>
      <c r="BG440" s="104" t="n"/>
      <c r="BH440" s="104" t="n"/>
      <c r="BI440" s="104" t="n"/>
      <c r="BJ440" s="104" t="n"/>
      <c r="BK440" s="104" t="n"/>
      <c r="BL440" s="104" t="n"/>
      <c r="BM440" s="104" t="n"/>
      <c r="BN440" s="104" t="n"/>
      <c r="BO440" s="104" t="n"/>
      <c r="BP440" s="104" t="n"/>
      <c r="BQ440" s="104" t="n"/>
      <c r="BR440" s="104" t="n"/>
      <c r="BS440" s="104" t="n"/>
      <c r="BT440" s="104" t="n"/>
      <c r="BU440" s="104" t="n"/>
      <c r="BV440" s="104" t="n"/>
      <c r="BW440" s="104" t="n"/>
      <c r="BX440" s="104" t="n"/>
    </row>
    <row r="441">
      <c r="AC441" s="104" t="n"/>
      <c r="AD441" s="104" t="n"/>
      <c r="AE441" s="104" t="n"/>
      <c r="AF441" s="104" t="n"/>
      <c r="AG441" s="104" t="n"/>
      <c r="AH441" s="104" t="n"/>
      <c r="AI441" s="104" t="n"/>
      <c r="AJ441" s="104" t="n"/>
      <c r="AK441" s="104" t="n"/>
      <c r="AL441" s="104" t="n"/>
      <c r="AM441" s="104" t="n"/>
      <c r="AN441" s="104" t="n"/>
      <c r="AO441" s="104" t="n"/>
      <c r="AP441" s="104" t="n"/>
      <c r="AQ441" s="104" t="n"/>
      <c r="AR441" s="104" t="n"/>
      <c r="AS441" s="104" t="n"/>
      <c r="AT441" s="104" t="n"/>
      <c r="AU441" s="104" t="n"/>
      <c r="AV441" s="104" t="n"/>
      <c r="AW441" s="104" t="n"/>
      <c r="AX441" s="104" t="n"/>
      <c r="AY441" s="104" t="n"/>
      <c r="AZ441" s="104" t="n"/>
      <c r="BA441" s="104" t="n"/>
      <c r="BB441" s="104" t="n"/>
      <c r="BC441" s="104" t="n"/>
      <c r="BD441" s="104" t="n"/>
      <c r="BE441" s="104" t="n"/>
      <c r="BF441" s="104" t="n"/>
      <c r="BG441" s="104" t="n"/>
      <c r="BH441" s="104" t="n"/>
      <c r="BI441" s="104" t="n"/>
      <c r="BJ441" s="104" t="n"/>
      <c r="BK441" s="104" t="n"/>
      <c r="BL441" s="104" t="n"/>
      <c r="BM441" s="104" t="n"/>
      <c r="BN441" s="104" t="n"/>
      <c r="BO441" s="104" t="n"/>
      <c r="BP441" s="104" t="n"/>
      <c r="BQ441" s="104" t="n"/>
      <c r="BR441" s="104" t="n"/>
      <c r="BS441" s="104" t="n"/>
      <c r="BT441" s="104" t="n"/>
      <c r="BU441" s="104" t="n"/>
      <c r="BV441" s="104" t="n"/>
      <c r="BW441" s="104" t="n"/>
      <c r="BX441" s="104" t="n"/>
    </row>
    <row r="442">
      <c r="AC442" s="104" t="n"/>
      <c r="AD442" s="104" t="n"/>
      <c r="AE442" s="104" t="n"/>
      <c r="AF442" s="104" t="n"/>
      <c r="AG442" s="104" t="n"/>
      <c r="AH442" s="104" t="n"/>
      <c r="AI442" s="104" t="n"/>
      <c r="AJ442" s="104" t="n"/>
      <c r="AK442" s="104" t="n"/>
      <c r="AL442" s="104" t="n"/>
      <c r="AM442" s="104" t="n"/>
      <c r="AN442" s="104" t="n"/>
      <c r="AO442" s="104" t="n"/>
      <c r="AP442" s="104" t="n"/>
      <c r="AQ442" s="104" t="n"/>
      <c r="AR442" s="104" t="n"/>
      <c r="AS442" s="104" t="n"/>
      <c r="AT442" s="104" t="n"/>
      <c r="AU442" s="104" t="n"/>
      <c r="AV442" s="104" t="n"/>
      <c r="AW442" s="104" t="n"/>
      <c r="AX442" s="104" t="n"/>
      <c r="AY442" s="104" t="n"/>
      <c r="AZ442" s="104" t="n"/>
      <c r="BA442" s="104" t="n"/>
      <c r="BB442" s="104" t="n"/>
      <c r="BC442" s="104" t="n"/>
      <c r="BD442" s="104" t="n"/>
      <c r="BE442" s="104" t="n"/>
      <c r="BF442" s="104" t="n"/>
      <c r="BG442" s="104" t="n"/>
      <c r="BH442" s="104" t="n"/>
      <c r="BI442" s="104" t="n"/>
      <c r="BJ442" s="104" t="n"/>
      <c r="BK442" s="104" t="n"/>
      <c r="BL442" s="104" t="n"/>
      <c r="BM442" s="104" t="n"/>
      <c r="BN442" s="104" t="n"/>
      <c r="BO442" s="104" t="n"/>
      <c r="BP442" s="104" t="n"/>
      <c r="BQ442" s="104" t="n"/>
      <c r="BR442" s="104" t="n"/>
      <c r="BS442" s="104" t="n"/>
      <c r="BT442" s="104" t="n"/>
      <c r="BU442" s="104" t="n"/>
      <c r="BV442" s="104" t="n"/>
      <c r="BW442" s="104" t="n"/>
      <c r="BX442" s="104" t="n"/>
    </row>
    <row r="443">
      <c r="AC443" s="104" t="n"/>
      <c r="AD443" s="104" t="n"/>
      <c r="AE443" s="104" t="n"/>
      <c r="AF443" s="104" t="n"/>
      <c r="AG443" s="104" t="n"/>
      <c r="AH443" s="104" t="n"/>
      <c r="AI443" s="104" t="n"/>
      <c r="AJ443" s="104" t="n"/>
      <c r="AK443" s="104" t="n"/>
      <c r="AL443" s="104" t="n"/>
      <c r="AM443" s="104" t="n"/>
      <c r="AN443" s="104" t="n"/>
      <c r="AO443" s="104" t="n"/>
      <c r="AP443" s="104" t="n"/>
      <c r="AQ443" s="104" t="n"/>
      <c r="AR443" s="104" t="n"/>
      <c r="AS443" s="104" t="n"/>
      <c r="AT443" s="104" t="n"/>
      <c r="AU443" s="104" t="n"/>
      <c r="AV443" s="104" t="n"/>
      <c r="AW443" s="104" t="n"/>
      <c r="AX443" s="104" t="n"/>
      <c r="AY443" s="104" t="n"/>
      <c r="AZ443" s="104" t="n"/>
      <c r="BA443" s="104" t="n"/>
      <c r="BB443" s="104" t="n"/>
      <c r="BC443" s="104" t="n"/>
      <c r="BD443" s="104" t="n"/>
      <c r="BE443" s="104" t="n"/>
      <c r="BF443" s="104" t="n"/>
      <c r="BG443" s="104" t="n"/>
      <c r="BH443" s="104" t="n"/>
      <c r="BI443" s="104" t="n"/>
      <c r="BJ443" s="104" t="n"/>
      <c r="BK443" s="104" t="n"/>
      <c r="BL443" s="104" t="n"/>
      <c r="BM443" s="104" t="n"/>
      <c r="BN443" s="104" t="n"/>
      <c r="BO443" s="104" t="n"/>
      <c r="BP443" s="104" t="n"/>
      <c r="BQ443" s="104" t="n"/>
      <c r="BR443" s="104" t="n"/>
      <c r="BS443" s="104" t="n"/>
      <c r="BT443" s="104" t="n"/>
      <c r="BU443" s="104" t="n"/>
      <c r="BV443" s="104" t="n"/>
      <c r="BW443" s="104" t="n"/>
      <c r="BX443" s="104" t="n"/>
    </row>
    <row r="444">
      <c r="AC444" s="104" t="n"/>
      <c r="AD444" s="104" t="n"/>
      <c r="AE444" s="104" t="n"/>
      <c r="AF444" s="104" t="n"/>
      <c r="AG444" s="104" t="n"/>
      <c r="AH444" s="104" t="n"/>
      <c r="AI444" s="104" t="n"/>
      <c r="AJ444" s="104" t="n"/>
      <c r="AK444" s="104" t="n"/>
      <c r="AL444" s="104" t="n"/>
      <c r="AM444" s="104" t="n"/>
      <c r="AN444" s="104" t="n"/>
      <c r="AO444" s="104" t="n"/>
      <c r="AP444" s="104" t="n"/>
      <c r="AQ444" s="104" t="n"/>
      <c r="AR444" s="104" t="n"/>
      <c r="AS444" s="104" t="n"/>
      <c r="AT444" s="104" t="n"/>
      <c r="AU444" s="104" t="n"/>
      <c r="AV444" s="104" t="n"/>
      <c r="AW444" s="104" t="n"/>
      <c r="AX444" s="104" t="n"/>
      <c r="AY444" s="104" t="n"/>
      <c r="AZ444" s="104" t="n"/>
      <c r="BA444" s="104" t="n"/>
      <c r="BB444" s="104" t="n"/>
      <c r="BC444" s="104" t="n"/>
      <c r="BD444" s="104" t="n"/>
      <c r="BE444" s="104" t="n"/>
      <c r="BF444" s="104" t="n"/>
      <c r="BG444" s="104" t="n"/>
      <c r="BH444" s="104" t="n"/>
      <c r="BI444" s="104" t="n"/>
      <c r="BJ444" s="104" t="n"/>
      <c r="BK444" s="104" t="n"/>
      <c r="BL444" s="104" t="n"/>
      <c r="BM444" s="104" t="n"/>
      <c r="BN444" s="104" t="n"/>
      <c r="BO444" s="104" t="n"/>
      <c r="BP444" s="104" t="n"/>
      <c r="BQ444" s="104" t="n"/>
      <c r="BR444" s="104" t="n"/>
      <c r="BS444" s="104" t="n"/>
      <c r="BT444" s="104" t="n"/>
      <c r="BU444" s="104" t="n"/>
      <c r="BV444" s="104" t="n"/>
      <c r="BW444" s="104" t="n"/>
      <c r="BX444" s="104" t="n"/>
    </row>
    <row r="445">
      <c r="AC445" s="104" t="n"/>
      <c r="AD445" s="104" t="n"/>
      <c r="AE445" s="104" t="n"/>
      <c r="AF445" s="104" t="n"/>
      <c r="AG445" s="104" t="n"/>
      <c r="AH445" s="104" t="n"/>
      <c r="AI445" s="104" t="n"/>
      <c r="AJ445" s="104" t="n"/>
      <c r="AK445" s="104" t="n"/>
      <c r="AL445" s="104" t="n"/>
      <c r="AM445" s="104" t="n"/>
      <c r="AN445" s="104" t="n"/>
      <c r="AO445" s="104" t="n"/>
      <c r="AP445" s="104" t="n"/>
      <c r="AQ445" s="104" t="n"/>
      <c r="AR445" s="104" t="n"/>
      <c r="AS445" s="104" t="n"/>
      <c r="AT445" s="104" t="n"/>
      <c r="AU445" s="104" t="n"/>
      <c r="AV445" s="104" t="n"/>
      <c r="AW445" s="104" t="n"/>
      <c r="AX445" s="104" t="n"/>
      <c r="AY445" s="104" t="n"/>
      <c r="AZ445" s="104" t="n"/>
      <c r="BA445" s="104" t="n"/>
      <c r="BB445" s="104" t="n"/>
      <c r="BC445" s="104" t="n"/>
      <c r="BD445" s="104" t="n"/>
      <c r="BE445" s="104" t="n"/>
      <c r="BF445" s="104" t="n"/>
      <c r="BG445" s="104" t="n"/>
      <c r="BH445" s="104" t="n"/>
      <c r="BI445" s="104" t="n"/>
      <c r="BJ445" s="104" t="n"/>
      <c r="BK445" s="104" t="n"/>
      <c r="BL445" s="104" t="n"/>
      <c r="BM445" s="104" t="n"/>
      <c r="BN445" s="104" t="n"/>
      <c r="BO445" s="104" t="n"/>
      <c r="BP445" s="104" t="n"/>
      <c r="BQ445" s="104" t="n"/>
      <c r="BR445" s="104" t="n"/>
      <c r="BS445" s="104" t="n"/>
      <c r="BT445" s="104" t="n"/>
      <c r="BU445" s="104" t="n"/>
      <c r="BV445" s="104" t="n"/>
      <c r="BW445" s="104" t="n"/>
      <c r="BX445" s="104" t="n"/>
    </row>
    <row r="446">
      <c r="AC446" s="104" t="n"/>
      <c r="AD446" s="104" t="n"/>
      <c r="AE446" s="104" t="n"/>
      <c r="AF446" s="104" t="n"/>
      <c r="AG446" s="104" t="n"/>
      <c r="AH446" s="104" t="n"/>
      <c r="AI446" s="104" t="n"/>
      <c r="AJ446" s="104" t="n"/>
      <c r="AK446" s="104" t="n"/>
      <c r="AL446" s="104" t="n"/>
      <c r="AM446" s="104" t="n"/>
      <c r="AN446" s="104" t="n"/>
      <c r="AO446" s="104" t="n"/>
      <c r="AP446" s="104" t="n"/>
      <c r="AQ446" s="104" t="n"/>
      <c r="AR446" s="104" t="n"/>
      <c r="AS446" s="104" t="n"/>
      <c r="AT446" s="104" t="n"/>
      <c r="AU446" s="104" t="n"/>
      <c r="AV446" s="104" t="n"/>
      <c r="AW446" s="104" t="n"/>
      <c r="AX446" s="104" t="n"/>
      <c r="AY446" s="104" t="n"/>
      <c r="AZ446" s="104" t="n"/>
      <c r="BA446" s="104" t="n"/>
      <c r="BB446" s="104" t="n"/>
      <c r="BC446" s="104" t="n"/>
      <c r="BD446" s="104" t="n"/>
      <c r="BE446" s="104" t="n"/>
      <c r="BF446" s="104" t="n"/>
      <c r="BG446" s="104" t="n"/>
      <c r="BH446" s="104" t="n"/>
      <c r="BI446" s="104" t="n"/>
      <c r="BJ446" s="104" t="n"/>
      <c r="BK446" s="104" t="n"/>
      <c r="BL446" s="104" t="n"/>
      <c r="BM446" s="104" t="n"/>
      <c r="BN446" s="104" t="n"/>
      <c r="BO446" s="104" t="n"/>
      <c r="BP446" s="104" t="n"/>
      <c r="BQ446" s="104" t="n"/>
      <c r="BR446" s="104" t="n"/>
      <c r="BS446" s="104" t="n"/>
      <c r="BT446" s="104" t="n"/>
      <c r="BU446" s="104" t="n"/>
      <c r="BV446" s="104" t="n"/>
      <c r="BW446" s="104" t="n"/>
      <c r="BX446" s="104" t="n"/>
    </row>
    <row r="447">
      <c r="AC447" s="104" t="n"/>
      <c r="AD447" s="104" t="n"/>
      <c r="AE447" s="104" t="n"/>
      <c r="AF447" s="104" t="n"/>
      <c r="AG447" s="104" t="n"/>
      <c r="AH447" s="104" t="n"/>
      <c r="AI447" s="104" t="n"/>
      <c r="AJ447" s="104" t="n"/>
      <c r="AK447" s="104" t="n"/>
      <c r="AL447" s="104" t="n"/>
      <c r="AM447" s="104" t="n"/>
      <c r="AN447" s="104" t="n"/>
      <c r="AO447" s="104" t="n"/>
      <c r="AP447" s="104" t="n"/>
      <c r="AQ447" s="104" t="n"/>
      <c r="AR447" s="104" t="n"/>
      <c r="AS447" s="104" t="n"/>
      <c r="AT447" s="104" t="n"/>
      <c r="AU447" s="104" t="n"/>
      <c r="AV447" s="104" t="n"/>
      <c r="AW447" s="104" t="n"/>
      <c r="AX447" s="104" t="n"/>
      <c r="AY447" s="104" t="n"/>
      <c r="AZ447" s="104" t="n"/>
      <c r="BA447" s="104" t="n"/>
      <c r="BB447" s="104" t="n"/>
      <c r="BC447" s="104" t="n"/>
      <c r="BD447" s="104" t="n"/>
      <c r="BE447" s="104" t="n"/>
      <c r="BF447" s="104" t="n"/>
      <c r="BG447" s="104" t="n"/>
      <c r="BH447" s="104" t="n"/>
      <c r="BI447" s="104" t="n"/>
      <c r="BJ447" s="104" t="n"/>
      <c r="BK447" s="104" t="n"/>
      <c r="BL447" s="104" t="n"/>
      <c r="BM447" s="104" t="n"/>
      <c r="BN447" s="104" t="n"/>
      <c r="BO447" s="104" t="n"/>
      <c r="BP447" s="104" t="n"/>
      <c r="BQ447" s="104" t="n"/>
      <c r="BR447" s="104" t="n"/>
      <c r="BS447" s="104" t="n"/>
      <c r="BT447" s="104" t="n"/>
      <c r="BU447" s="104" t="n"/>
      <c r="BV447" s="104" t="n"/>
      <c r="BW447" s="104" t="n"/>
      <c r="BX447" s="104" t="n"/>
    </row>
    <row r="448">
      <c r="AC448" s="104" t="n"/>
      <c r="AD448" s="104" t="n"/>
      <c r="AE448" s="104" t="n"/>
      <c r="AF448" s="104" t="n"/>
      <c r="AG448" s="104" t="n"/>
      <c r="AH448" s="104" t="n"/>
      <c r="AI448" s="104" t="n"/>
      <c r="AJ448" s="104" t="n"/>
      <c r="AK448" s="104" t="n"/>
      <c r="AL448" s="104" t="n"/>
      <c r="AM448" s="104" t="n"/>
      <c r="AN448" s="104" t="n"/>
      <c r="AO448" s="104" t="n"/>
      <c r="AP448" s="104" t="n"/>
      <c r="AQ448" s="104" t="n"/>
      <c r="AR448" s="104" t="n"/>
      <c r="AS448" s="104" t="n"/>
      <c r="AT448" s="104" t="n"/>
      <c r="AU448" s="104" t="n"/>
      <c r="AV448" s="104" t="n"/>
      <c r="AW448" s="104" t="n"/>
      <c r="AX448" s="104" t="n"/>
      <c r="AY448" s="104" t="n"/>
      <c r="AZ448" s="104" t="n"/>
      <c r="BA448" s="104" t="n"/>
      <c r="BB448" s="104" t="n"/>
      <c r="BC448" s="104" t="n"/>
      <c r="BD448" s="104" t="n"/>
      <c r="BE448" s="104" t="n"/>
      <c r="BF448" s="104" t="n"/>
      <c r="BG448" s="104" t="n"/>
      <c r="BH448" s="104" t="n"/>
      <c r="BI448" s="104" t="n"/>
      <c r="BJ448" s="104" t="n"/>
      <c r="BK448" s="104" t="n"/>
      <c r="BL448" s="104" t="n"/>
      <c r="BM448" s="104" t="n"/>
      <c r="BN448" s="104" t="n"/>
      <c r="BO448" s="104" t="n"/>
      <c r="BP448" s="104" t="n"/>
      <c r="BQ448" s="104" t="n"/>
      <c r="BR448" s="104" t="n"/>
      <c r="BS448" s="104" t="n"/>
      <c r="BT448" s="104" t="n"/>
      <c r="BU448" s="104" t="n"/>
      <c r="BV448" s="104" t="n"/>
      <c r="BW448" s="104" t="n"/>
      <c r="BX448" s="104" t="n"/>
    </row>
    <row r="449">
      <c r="AC449" s="104" t="n"/>
      <c r="AD449" s="104" t="n"/>
      <c r="AE449" s="104" t="n"/>
      <c r="AF449" s="104" t="n"/>
      <c r="AG449" s="104" t="n"/>
      <c r="AH449" s="104" t="n"/>
      <c r="AI449" s="104" t="n"/>
      <c r="AJ449" s="104" t="n"/>
      <c r="AK449" s="104" t="n"/>
      <c r="AL449" s="104" t="n"/>
      <c r="AM449" s="104" t="n"/>
      <c r="AN449" s="104" t="n"/>
      <c r="AO449" s="104" t="n"/>
      <c r="AP449" s="104" t="n"/>
      <c r="AQ449" s="104" t="n"/>
      <c r="AR449" s="104" t="n"/>
      <c r="AS449" s="104" t="n"/>
      <c r="AT449" s="104" t="n"/>
      <c r="AU449" s="104" t="n"/>
      <c r="AV449" s="104" t="n"/>
      <c r="AW449" s="104" t="n"/>
      <c r="AX449" s="104" t="n"/>
      <c r="AY449" s="104" t="n"/>
      <c r="AZ449" s="104" t="n"/>
      <c r="BA449" s="104" t="n"/>
      <c r="BB449" s="104" t="n"/>
      <c r="BC449" s="104" t="n"/>
      <c r="BD449" s="104" t="n"/>
      <c r="BE449" s="104" t="n"/>
      <c r="BF449" s="104" t="n"/>
      <c r="BG449" s="104" t="n"/>
      <c r="BH449" s="104" t="n"/>
      <c r="BI449" s="104" t="n"/>
      <c r="BJ449" s="104" t="n"/>
      <c r="BK449" s="104" t="n"/>
      <c r="BL449" s="104" t="n"/>
      <c r="BM449" s="104" t="n"/>
      <c r="BN449" s="104" t="n"/>
      <c r="BO449" s="104" t="n"/>
      <c r="BP449" s="104" t="n"/>
      <c r="BQ449" s="104" t="n"/>
      <c r="BR449" s="104" t="n"/>
      <c r="BS449" s="104" t="n"/>
      <c r="BT449" s="104" t="n"/>
      <c r="BU449" s="104" t="n"/>
      <c r="BV449" s="104" t="n"/>
      <c r="BW449" s="104" t="n"/>
      <c r="BX449" s="104" t="n"/>
    </row>
    <row r="450">
      <c r="AC450" s="104" t="n"/>
      <c r="AD450" s="104" t="n"/>
      <c r="AE450" s="104" t="n"/>
      <c r="AF450" s="104" t="n"/>
      <c r="AG450" s="104" t="n"/>
      <c r="AH450" s="104" t="n"/>
      <c r="AI450" s="104" t="n"/>
      <c r="AJ450" s="104" t="n"/>
      <c r="AK450" s="104" t="n"/>
      <c r="AL450" s="104" t="n"/>
      <c r="AM450" s="104" t="n"/>
      <c r="AN450" s="104" t="n"/>
      <c r="AO450" s="104" t="n"/>
      <c r="AP450" s="104" t="n"/>
      <c r="AQ450" s="104" t="n"/>
      <c r="AR450" s="104" t="n"/>
      <c r="AS450" s="104" t="n"/>
      <c r="AT450" s="104" t="n"/>
      <c r="AU450" s="104" t="n"/>
      <c r="AV450" s="104" t="n"/>
      <c r="AW450" s="104" t="n"/>
      <c r="AX450" s="104" t="n"/>
      <c r="AY450" s="104" t="n"/>
      <c r="AZ450" s="104" t="n"/>
      <c r="BA450" s="104" t="n"/>
      <c r="BB450" s="104" t="n"/>
      <c r="BC450" s="104" t="n"/>
      <c r="BD450" s="104" t="n"/>
      <c r="BE450" s="104" t="n"/>
      <c r="BF450" s="104" t="n"/>
      <c r="BG450" s="104" t="n"/>
      <c r="BH450" s="104" t="n"/>
      <c r="BI450" s="104" t="n"/>
      <c r="BJ450" s="104" t="n"/>
      <c r="BK450" s="104" t="n"/>
      <c r="BL450" s="104" t="n"/>
      <c r="BM450" s="104" t="n"/>
      <c r="BN450" s="104" t="n"/>
      <c r="BO450" s="104" t="n"/>
      <c r="BP450" s="104" t="n"/>
      <c r="BQ450" s="104" t="n"/>
      <c r="BR450" s="104" t="n"/>
      <c r="BS450" s="104" t="n"/>
      <c r="BT450" s="104" t="n"/>
      <c r="BU450" s="104" t="n"/>
      <c r="BV450" s="104" t="n"/>
      <c r="BW450" s="104" t="n"/>
      <c r="BX450" s="104" t="n"/>
    </row>
    <row r="451">
      <c r="AC451" s="104" t="n"/>
      <c r="AD451" s="104" t="n"/>
      <c r="AE451" s="104" t="n"/>
      <c r="AF451" s="104" t="n"/>
      <c r="AG451" s="104" t="n"/>
      <c r="AH451" s="104" t="n"/>
      <c r="AI451" s="104" t="n"/>
      <c r="AJ451" s="104" t="n"/>
      <c r="AK451" s="104" t="n"/>
      <c r="AL451" s="104" t="n"/>
      <c r="AM451" s="104" t="n"/>
      <c r="AN451" s="104" t="n"/>
      <c r="AO451" s="104" t="n"/>
      <c r="AP451" s="104" t="n"/>
      <c r="AQ451" s="104" t="n"/>
      <c r="AR451" s="104" t="n"/>
      <c r="AS451" s="104" t="n"/>
      <c r="AT451" s="104" t="n"/>
      <c r="AU451" s="104" t="n"/>
      <c r="AV451" s="104" t="n"/>
      <c r="AW451" s="104" t="n"/>
      <c r="AX451" s="104" t="n"/>
      <c r="AY451" s="104" t="n"/>
      <c r="AZ451" s="104" t="n"/>
      <c r="BA451" s="104" t="n"/>
      <c r="BB451" s="104" t="n"/>
      <c r="BC451" s="104" t="n"/>
      <c r="BD451" s="104" t="n"/>
      <c r="BE451" s="104" t="n"/>
      <c r="BF451" s="104" t="n"/>
      <c r="BG451" s="104" t="n"/>
      <c r="BH451" s="104" t="n"/>
      <c r="BI451" s="104" t="n"/>
      <c r="BJ451" s="104" t="n"/>
      <c r="BK451" s="104" t="n"/>
      <c r="BL451" s="104" t="n"/>
      <c r="BM451" s="104" t="n"/>
      <c r="BN451" s="104" t="n"/>
      <c r="BO451" s="104" t="n"/>
      <c r="BP451" s="104" t="n"/>
      <c r="BQ451" s="104" t="n"/>
      <c r="BR451" s="104" t="n"/>
      <c r="BS451" s="104" t="n"/>
      <c r="BT451" s="104" t="n"/>
      <c r="BU451" s="104" t="n"/>
      <c r="BV451" s="104" t="n"/>
      <c r="BW451" s="104" t="n"/>
      <c r="BX451" s="104" t="n"/>
    </row>
    <row r="452">
      <c r="AC452" s="104" t="n"/>
      <c r="AD452" s="104" t="n"/>
      <c r="AE452" s="104" t="n"/>
      <c r="AF452" s="104" t="n"/>
      <c r="AG452" s="104" t="n"/>
      <c r="AH452" s="104" t="n"/>
      <c r="AI452" s="104" t="n"/>
      <c r="AJ452" s="104" t="n"/>
      <c r="AK452" s="104" t="n"/>
      <c r="AL452" s="104" t="n"/>
      <c r="AM452" s="104" t="n"/>
      <c r="AN452" s="104" t="n"/>
      <c r="AO452" s="104" t="n"/>
      <c r="AP452" s="104" t="n"/>
      <c r="AQ452" s="104" t="n"/>
      <c r="AR452" s="104" t="n"/>
      <c r="AS452" s="104" t="n"/>
      <c r="AT452" s="104" t="n"/>
      <c r="AU452" s="104" t="n"/>
      <c r="AV452" s="104" t="n"/>
      <c r="AW452" s="104" t="n"/>
      <c r="AX452" s="104" t="n"/>
      <c r="AY452" s="104" t="n"/>
      <c r="AZ452" s="104" t="n"/>
      <c r="BA452" s="104" t="n"/>
      <c r="BB452" s="104" t="n"/>
      <c r="BC452" s="104" t="n"/>
      <c r="BD452" s="104" t="n"/>
      <c r="BE452" s="104" t="n"/>
      <c r="BF452" s="104" t="n"/>
      <c r="BG452" s="104" t="n"/>
      <c r="BH452" s="104" t="n"/>
      <c r="BI452" s="104" t="n"/>
      <c r="BJ452" s="104" t="n"/>
      <c r="BK452" s="104" t="n"/>
      <c r="BL452" s="104" t="n"/>
      <c r="BM452" s="104" t="n"/>
      <c r="BN452" s="104" t="n"/>
      <c r="BO452" s="104" t="n"/>
      <c r="BP452" s="104" t="n"/>
      <c r="BQ452" s="104" t="n"/>
      <c r="BR452" s="104" t="n"/>
      <c r="BS452" s="104" t="n"/>
      <c r="BT452" s="104" t="n"/>
      <c r="BU452" s="104" t="n"/>
      <c r="BV452" s="104" t="n"/>
      <c r="BW452" s="104" t="n"/>
      <c r="BX452" s="104" t="n"/>
    </row>
    <row r="453">
      <c r="AC453" s="104" t="n"/>
      <c r="AD453" s="104" t="n"/>
      <c r="AE453" s="104" t="n"/>
      <c r="AF453" s="104" t="n"/>
      <c r="AG453" s="104" t="n"/>
      <c r="AH453" s="104" t="n"/>
      <c r="AI453" s="104" t="n"/>
      <c r="AJ453" s="104" t="n"/>
      <c r="AK453" s="104" t="n"/>
      <c r="AL453" s="104" t="n"/>
      <c r="AM453" s="104" t="n"/>
      <c r="AN453" s="104" t="n"/>
      <c r="AO453" s="104" t="n"/>
      <c r="AP453" s="104" t="n"/>
      <c r="AQ453" s="104" t="n"/>
      <c r="AR453" s="104" t="n"/>
      <c r="AS453" s="104" t="n"/>
      <c r="AT453" s="104" t="n"/>
      <c r="AU453" s="104" t="n"/>
      <c r="AV453" s="104" t="n"/>
      <c r="AW453" s="104" t="n"/>
      <c r="AX453" s="104" t="n"/>
      <c r="AY453" s="104" t="n"/>
      <c r="AZ453" s="104" t="n"/>
      <c r="BA453" s="104" t="n"/>
      <c r="BB453" s="104" t="n"/>
      <c r="BC453" s="104" t="n"/>
      <c r="BD453" s="104" t="n"/>
      <c r="BE453" s="104" t="n"/>
      <c r="BF453" s="104" t="n"/>
      <c r="BG453" s="104" t="n"/>
      <c r="BH453" s="104" t="n"/>
      <c r="BI453" s="104" t="n"/>
      <c r="BJ453" s="104" t="n"/>
      <c r="BK453" s="104" t="n"/>
      <c r="BL453" s="104" t="n"/>
      <c r="BM453" s="104" t="n"/>
      <c r="BN453" s="104" t="n"/>
      <c r="BO453" s="104" t="n"/>
      <c r="BP453" s="104" t="n"/>
      <c r="BQ453" s="104" t="n"/>
      <c r="BR453" s="104" t="n"/>
      <c r="BS453" s="104" t="n"/>
      <c r="BT453" s="104" t="n"/>
      <c r="BU453" s="104" t="n"/>
      <c r="BV453" s="104" t="n"/>
      <c r="BW453" s="104" t="n"/>
      <c r="BX453" s="104" t="n"/>
    </row>
    <row r="454">
      <c r="AC454" s="104" t="n"/>
      <c r="AD454" s="104" t="n"/>
      <c r="AE454" s="104" t="n"/>
      <c r="AF454" s="104" t="n"/>
      <c r="AG454" s="104" t="n"/>
      <c r="AH454" s="104" t="n"/>
      <c r="AI454" s="104" t="n"/>
      <c r="AJ454" s="104" t="n"/>
      <c r="AK454" s="104" t="n"/>
      <c r="AL454" s="104" t="n"/>
      <c r="AM454" s="104" t="n"/>
      <c r="AN454" s="104" t="n"/>
      <c r="AO454" s="104" t="n"/>
      <c r="AP454" s="104" t="n"/>
      <c r="AQ454" s="104" t="n"/>
      <c r="AR454" s="104" t="n"/>
      <c r="AS454" s="104" t="n"/>
      <c r="AT454" s="104" t="n"/>
      <c r="AU454" s="104" t="n"/>
      <c r="AV454" s="104" t="n"/>
      <c r="AW454" s="104" t="n"/>
      <c r="AX454" s="104" t="n"/>
      <c r="AY454" s="104" t="n"/>
      <c r="AZ454" s="104" t="n"/>
      <c r="BA454" s="104" t="n"/>
      <c r="BB454" s="104" t="n"/>
      <c r="BC454" s="104" t="n"/>
      <c r="BD454" s="104" t="n"/>
      <c r="BE454" s="104" t="n"/>
      <c r="BF454" s="104" t="n"/>
      <c r="BG454" s="104" t="n"/>
      <c r="BH454" s="104" t="n"/>
      <c r="BI454" s="104" t="n"/>
      <c r="BJ454" s="104" t="n"/>
      <c r="BK454" s="104" t="n"/>
      <c r="BL454" s="104" t="n"/>
      <c r="BM454" s="104" t="n"/>
      <c r="BN454" s="104" t="n"/>
      <c r="BO454" s="104" t="n"/>
      <c r="BP454" s="104" t="n"/>
      <c r="BQ454" s="104" t="n"/>
      <c r="BR454" s="104" t="n"/>
      <c r="BS454" s="104" t="n"/>
      <c r="BT454" s="104" t="n"/>
      <c r="BU454" s="104" t="n"/>
      <c r="BV454" s="104" t="n"/>
      <c r="BW454" s="104" t="n"/>
      <c r="BX454" s="104" t="n"/>
    </row>
    <row r="455">
      <c r="AC455" s="104" t="n"/>
      <c r="AD455" s="104" t="n"/>
      <c r="AE455" s="104" t="n"/>
      <c r="AF455" s="104" t="n"/>
      <c r="AG455" s="104" t="n"/>
      <c r="AH455" s="104" t="n"/>
      <c r="AI455" s="104" t="n"/>
      <c r="AJ455" s="104" t="n"/>
      <c r="AK455" s="104" t="n"/>
      <c r="AL455" s="104" t="n"/>
      <c r="AM455" s="104" t="n"/>
      <c r="AN455" s="104" t="n"/>
      <c r="AO455" s="104" t="n"/>
      <c r="AP455" s="104" t="n"/>
      <c r="AQ455" s="104" t="n"/>
      <c r="AR455" s="104" t="n"/>
      <c r="AS455" s="104" t="n"/>
      <c r="AT455" s="104" t="n"/>
      <c r="AU455" s="104" t="n"/>
      <c r="AV455" s="104" t="n"/>
      <c r="AW455" s="104" t="n"/>
      <c r="AX455" s="104" t="n"/>
      <c r="AY455" s="104" t="n"/>
      <c r="AZ455" s="104" t="n"/>
      <c r="BA455" s="104" t="n"/>
      <c r="BB455" s="104" t="n"/>
      <c r="BC455" s="104" t="n"/>
      <c r="BD455" s="104" t="n"/>
      <c r="BE455" s="104" t="n"/>
      <c r="BF455" s="104" t="n"/>
      <c r="BG455" s="104" t="n"/>
      <c r="BH455" s="104" t="n"/>
      <c r="BI455" s="104" t="n"/>
      <c r="BJ455" s="104" t="n"/>
      <c r="BK455" s="104" t="n"/>
      <c r="BL455" s="104" t="n"/>
      <c r="BM455" s="104" t="n"/>
      <c r="BN455" s="104" t="n"/>
      <c r="BO455" s="104" t="n"/>
      <c r="BP455" s="104" t="n"/>
      <c r="BQ455" s="104" t="n"/>
      <c r="BR455" s="104" t="n"/>
      <c r="BS455" s="104" t="n"/>
      <c r="BT455" s="104" t="n"/>
      <c r="BU455" s="104" t="n"/>
      <c r="BV455" s="104" t="n"/>
      <c r="BW455" s="104" t="n"/>
      <c r="BX455" s="104" t="n"/>
    </row>
    <row r="456">
      <c r="AC456" s="104" t="n"/>
      <c r="AD456" s="104" t="n"/>
      <c r="AE456" s="104" t="n"/>
      <c r="AF456" s="104" t="n"/>
      <c r="AG456" s="104" t="n"/>
      <c r="AH456" s="104" t="n"/>
      <c r="AI456" s="104" t="n"/>
      <c r="AJ456" s="104" t="n"/>
      <c r="AK456" s="104" t="n"/>
      <c r="AL456" s="104" t="n"/>
      <c r="AM456" s="104" t="n"/>
      <c r="AN456" s="104" t="n"/>
      <c r="AO456" s="104" t="n"/>
      <c r="AP456" s="104" t="n"/>
      <c r="AQ456" s="104" t="n"/>
      <c r="AR456" s="104" t="n"/>
      <c r="AS456" s="104" t="n"/>
      <c r="AT456" s="104" t="n"/>
      <c r="AU456" s="104" t="n"/>
      <c r="AV456" s="104" t="n"/>
      <c r="AW456" s="104" t="n"/>
      <c r="AX456" s="104" t="n"/>
      <c r="AY456" s="104" t="n"/>
      <c r="AZ456" s="104" t="n"/>
      <c r="BA456" s="104" t="n"/>
      <c r="BB456" s="104" t="n"/>
      <c r="BC456" s="104" t="n"/>
      <c r="BD456" s="104" t="n"/>
      <c r="BE456" s="104" t="n"/>
      <c r="BF456" s="104" t="n"/>
      <c r="BG456" s="104" t="n"/>
      <c r="BH456" s="104" t="n"/>
      <c r="BI456" s="104" t="n"/>
      <c r="BJ456" s="104" t="n"/>
      <c r="BK456" s="104" t="n"/>
      <c r="BL456" s="104" t="n"/>
      <c r="BM456" s="104" t="n"/>
      <c r="BN456" s="104" t="n"/>
      <c r="BO456" s="104" t="n"/>
      <c r="BP456" s="104" t="n"/>
      <c r="BQ456" s="104" t="n"/>
      <c r="BR456" s="104" t="n"/>
      <c r="BS456" s="104" t="n"/>
      <c r="BT456" s="104" t="n"/>
      <c r="BU456" s="104" t="n"/>
      <c r="BV456" s="104" t="n"/>
      <c r="BW456" s="104" t="n"/>
      <c r="BX456" s="104" t="n"/>
    </row>
    <row r="457">
      <c r="AC457" s="104" t="n"/>
      <c r="AD457" s="104" t="n"/>
      <c r="AE457" s="104" t="n"/>
      <c r="AF457" s="104" t="n"/>
      <c r="AG457" s="104" t="n"/>
      <c r="AH457" s="104" t="n"/>
      <c r="AI457" s="104" t="n"/>
      <c r="AJ457" s="104" t="n"/>
      <c r="AK457" s="104" t="n"/>
      <c r="AL457" s="104" t="n"/>
      <c r="AM457" s="104" t="n"/>
      <c r="AN457" s="104" t="n"/>
      <c r="AO457" s="104" t="n"/>
      <c r="AP457" s="104" t="n"/>
      <c r="AQ457" s="104" t="n"/>
      <c r="AR457" s="104" t="n"/>
      <c r="AS457" s="104" t="n"/>
      <c r="AT457" s="104" t="n"/>
      <c r="AU457" s="104" t="n"/>
      <c r="AV457" s="104" t="n"/>
      <c r="AW457" s="104" t="n"/>
      <c r="AX457" s="104" t="n"/>
      <c r="AY457" s="104" t="n"/>
      <c r="AZ457" s="104" t="n"/>
      <c r="BA457" s="104" t="n"/>
      <c r="BB457" s="104" t="n"/>
      <c r="BC457" s="104" t="n"/>
      <c r="BD457" s="104" t="n"/>
      <c r="BE457" s="104" t="n"/>
      <c r="BF457" s="104" t="n"/>
      <c r="BG457" s="104" t="n"/>
      <c r="BH457" s="104" t="n"/>
      <c r="BI457" s="104" t="n"/>
      <c r="BJ457" s="104" t="n"/>
      <c r="BK457" s="104" t="n"/>
      <c r="BL457" s="104" t="n"/>
      <c r="BM457" s="104" t="n"/>
      <c r="BN457" s="104" t="n"/>
      <c r="BO457" s="104" t="n"/>
      <c r="BP457" s="104" t="n"/>
      <c r="BQ457" s="104" t="n"/>
      <c r="BR457" s="104" t="n"/>
      <c r="BS457" s="104" t="n"/>
      <c r="BT457" s="104" t="n"/>
      <c r="BU457" s="104" t="n"/>
      <c r="BV457" s="104" t="n"/>
      <c r="BW457" s="104" t="n"/>
      <c r="BX457" s="104" t="n"/>
    </row>
    <row r="458">
      <c r="AC458" s="104" t="n"/>
      <c r="AD458" s="104" t="n"/>
      <c r="AE458" s="104" t="n"/>
      <c r="AF458" s="104" t="n"/>
      <c r="AG458" s="104" t="n"/>
      <c r="AH458" s="104" t="n"/>
      <c r="AI458" s="104" t="n"/>
      <c r="AJ458" s="104" t="n"/>
      <c r="AK458" s="104" t="n"/>
      <c r="AL458" s="104" t="n"/>
      <c r="AM458" s="104" t="n"/>
      <c r="AN458" s="104" t="n"/>
      <c r="AO458" s="104" t="n"/>
      <c r="AP458" s="104" t="n"/>
      <c r="AQ458" s="104" t="n"/>
      <c r="AR458" s="104" t="n"/>
      <c r="AS458" s="104" t="n"/>
      <c r="AT458" s="104" t="n"/>
      <c r="AU458" s="104" t="n"/>
      <c r="AV458" s="104" t="n"/>
      <c r="AW458" s="104" t="n"/>
      <c r="AX458" s="104" t="n"/>
      <c r="AY458" s="104" t="n"/>
      <c r="AZ458" s="104" t="n"/>
      <c r="BA458" s="104" t="n"/>
      <c r="BB458" s="104" t="n"/>
      <c r="BC458" s="104" t="n"/>
      <c r="BD458" s="104" t="n"/>
      <c r="BE458" s="104" t="n"/>
      <c r="BF458" s="104" t="n"/>
      <c r="BG458" s="104" t="n"/>
      <c r="BH458" s="104" t="n"/>
      <c r="BI458" s="104" t="n"/>
      <c r="BJ458" s="104" t="n"/>
      <c r="BK458" s="104" t="n"/>
      <c r="BL458" s="104" t="n"/>
      <c r="BM458" s="104" t="n"/>
      <c r="BN458" s="104" t="n"/>
      <c r="BO458" s="104" t="n"/>
      <c r="BP458" s="104" t="n"/>
      <c r="BQ458" s="104" t="n"/>
      <c r="BR458" s="104" t="n"/>
      <c r="BS458" s="104" t="n"/>
      <c r="BT458" s="104" t="n"/>
      <c r="BU458" s="104" t="n"/>
      <c r="BV458" s="104" t="n"/>
      <c r="BW458" s="104" t="n"/>
      <c r="BX458" s="104" t="n"/>
    </row>
    <row r="459">
      <c r="AC459" s="104" t="n"/>
      <c r="AD459" s="104" t="n"/>
      <c r="AE459" s="104" t="n"/>
      <c r="AF459" s="104" t="n"/>
      <c r="AG459" s="104" t="n"/>
      <c r="AH459" s="104" t="n"/>
      <c r="AI459" s="104" t="n"/>
      <c r="AJ459" s="104" t="n"/>
      <c r="AK459" s="104" t="n"/>
      <c r="AL459" s="104" t="n"/>
      <c r="AM459" s="104" t="n"/>
      <c r="AN459" s="104" t="n"/>
      <c r="AO459" s="104" t="n"/>
      <c r="AP459" s="104" t="n"/>
      <c r="AQ459" s="104" t="n"/>
      <c r="AR459" s="104" t="n"/>
      <c r="AS459" s="104" t="n"/>
      <c r="AT459" s="104" t="n"/>
      <c r="AU459" s="104" t="n"/>
      <c r="AV459" s="104" t="n"/>
      <c r="AW459" s="104" t="n"/>
      <c r="AX459" s="104" t="n"/>
      <c r="AY459" s="104" t="n"/>
      <c r="AZ459" s="104" t="n"/>
      <c r="BA459" s="104" t="n"/>
      <c r="BB459" s="104" t="n"/>
      <c r="BC459" s="104" t="n"/>
      <c r="BD459" s="104" t="n"/>
      <c r="BE459" s="104" t="n"/>
      <c r="BF459" s="104" t="n"/>
      <c r="BG459" s="104" t="n"/>
      <c r="BH459" s="104" t="n"/>
      <c r="BI459" s="104" t="n"/>
      <c r="BJ459" s="104" t="n"/>
      <c r="BK459" s="104" t="n"/>
      <c r="BL459" s="104" t="n"/>
      <c r="BM459" s="104" t="n"/>
      <c r="BN459" s="104" t="n"/>
      <c r="BO459" s="104" t="n"/>
      <c r="BP459" s="104" t="n"/>
      <c r="BQ459" s="104" t="n"/>
      <c r="BR459" s="104" t="n"/>
      <c r="BS459" s="104" t="n"/>
      <c r="BT459" s="104" t="n"/>
      <c r="BU459" s="104" t="n"/>
      <c r="BV459" s="104" t="n"/>
      <c r="BW459" s="104" t="n"/>
      <c r="BX459" s="104" t="n"/>
    </row>
    <row r="460">
      <c r="AC460" s="104" t="n"/>
      <c r="AD460" s="104" t="n"/>
      <c r="AE460" s="104" t="n"/>
      <c r="AF460" s="104" t="n"/>
      <c r="AG460" s="104" t="n"/>
      <c r="AH460" s="104" t="n"/>
      <c r="AI460" s="104" t="n"/>
      <c r="AJ460" s="104" t="n"/>
      <c r="AK460" s="104" t="n"/>
      <c r="AL460" s="104" t="n"/>
      <c r="AM460" s="104" t="n"/>
      <c r="AN460" s="104" t="n"/>
      <c r="AO460" s="104" t="n"/>
      <c r="AP460" s="104" t="n"/>
      <c r="AQ460" s="104" t="n"/>
      <c r="AR460" s="104" t="n"/>
      <c r="AS460" s="104" t="n"/>
      <c r="AT460" s="104" t="n"/>
      <c r="AU460" s="104" t="n"/>
      <c r="AV460" s="104" t="n"/>
      <c r="AW460" s="104" t="n"/>
      <c r="AX460" s="104" t="n"/>
      <c r="AY460" s="104" t="n"/>
      <c r="AZ460" s="104" t="n"/>
      <c r="BA460" s="104" t="n"/>
      <c r="BB460" s="104" t="n"/>
      <c r="BC460" s="104" t="n"/>
      <c r="BD460" s="104" t="n"/>
      <c r="BE460" s="104" t="n"/>
      <c r="BF460" s="104" t="n"/>
      <c r="BG460" s="104" t="n"/>
      <c r="BH460" s="104" t="n"/>
      <c r="BI460" s="104" t="n"/>
      <c r="BJ460" s="104" t="n"/>
      <c r="BK460" s="104" t="n"/>
      <c r="BL460" s="104" t="n"/>
      <c r="BM460" s="104" t="n"/>
      <c r="BN460" s="104" t="n"/>
      <c r="BO460" s="104" t="n"/>
      <c r="BP460" s="104" t="n"/>
      <c r="BQ460" s="104" t="n"/>
      <c r="BR460" s="104" t="n"/>
      <c r="BS460" s="104" t="n"/>
      <c r="BT460" s="104" t="n"/>
      <c r="BU460" s="104" t="n"/>
      <c r="BV460" s="104" t="n"/>
      <c r="BW460" s="104" t="n"/>
      <c r="BX460" s="104" t="n"/>
    </row>
    <row r="461">
      <c r="AC461" s="104" t="n"/>
      <c r="AD461" s="104" t="n"/>
      <c r="AE461" s="104" t="n"/>
      <c r="AF461" s="104" t="n"/>
      <c r="AG461" s="104" t="n"/>
      <c r="AH461" s="104" t="n"/>
      <c r="AI461" s="104" t="n"/>
      <c r="AJ461" s="104" t="n"/>
      <c r="AK461" s="104" t="n"/>
      <c r="AL461" s="104" t="n"/>
      <c r="AM461" s="104" t="n"/>
      <c r="AN461" s="104" t="n"/>
      <c r="AO461" s="104" t="n"/>
      <c r="AP461" s="104" t="n"/>
      <c r="AQ461" s="104" t="n"/>
      <c r="AR461" s="104" t="n"/>
      <c r="AS461" s="104" t="n"/>
      <c r="AT461" s="104" t="n"/>
      <c r="AU461" s="104" t="n"/>
      <c r="AV461" s="104" t="n"/>
      <c r="AW461" s="104" t="n"/>
      <c r="AX461" s="104" t="n"/>
      <c r="AY461" s="104" t="n"/>
      <c r="AZ461" s="104" t="n"/>
      <c r="BA461" s="104" t="n"/>
      <c r="BB461" s="104" t="n"/>
      <c r="BC461" s="104" t="n"/>
      <c r="BD461" s="104" t="n"/>
      <c r="BE461" s="104" t="n"/>
      <c r="BF461" s="104" t="n"/>
      <c r="BG461" s="104" t="n"/>
      <c r="BH461" s="104" t="n"/>
      <c r="BI461" s="104" t="n"/>
      <c r="BJ461" s="104" t="n"/>
      <c r="BK461" s="104" t="n"/>
      <c r="BL461" s="104" t="n"/>
      <c r="BM461" s="104" t="n"/>
      <c r="BN461" s="104" t="n"/>
      <c r="BO461" s="104" t="n"/>
      <c r="BP461" s="104" t="n"/>
      <c r="BQ461" s="104" t="n"/>
      <c r="BR461" s="104" t="n"/>
      <c r="BS461" s="104" t="n"/>
      <c r="BT461" s="104" t="n"/>
      <c r="BU461" s="104" t="n"/>
      <c r="BV461" s="104" t="n"/>
      <c r="BW461" s="104" t="n"/>
      <c r="BX461" s="104" t="n"/>
    </row>
    <row r="462">
      <c r="AC462" s="104" t="n"/>
      <c r="AD462" s="104" t="n"/>
      <c r="AE462" s="104" t="n"/>
      <c r="AF462" s="104" t="n"/>
      <c r="AG462" s="104" t="n"/>
      <c r="AH462" s="104" t="n"/>
      <c r="AI462" s="104" t="n"/>
      <c r="AJ462" s="104" t="n"/>
      <c r="AK462" s="104" t="n"/>
      <c r="AL462" s="104" t="n"/>
      <c r="AM462" s="104" t="n"/>
      <c r="AN462" s="104" t="n"/>
      <c r="AO462" s="104" t="n"/>
      <c r="AP462" s="104" t="n"/>
      <c r="AQ462" s="104" t="n"/>
      <c r="AR462" s="104" t="n"/>
      <c r="AS462" s="104" t="n"/>
      <c r="AT462" s="104" t="n"/>
      <c r="AU462" s="104" t="n"/>
      <c r="AV462" s="104" t="n"/>
      <c r="AW462" s="104" t="n"/>
      <c r="AX462" s="104" t="n"/>
      <c r="AY462" s="104" t="n"/>
      <c r="AZ462" s="104" t="n"/>
      <c r="BA462" s="104" t="n"/>
      <c r="BB462" s="104" t="n"/>
      <c r="BC462" s="104" t="n"/>
      <c r="BD462" s="104" t="n"/>
      <c r="BE462" s="104" t="n"/>
      <c r="BF462" s="104" t="n"/>
      <c r="BG462" s="104" t="n"/>
      <c r="BH462" s="104" t="n"/>
      <c r="BI462" s="104" t="n"/>
      <c r="BJ462" s="104" t="n"/>
      <c r="BK462" s="104" t="n"/>
      <c r="BL462" s="104" t="n"/>
      <c r="BM462" s="104" t="n"/>
      <c r="BN462" s="104" t="n"/>
      <c r="BO462" s="104" t="n"/>
      <c r="BP462" s="104" t="n"/>
      <c r="BQ462" s="104" t="n"/>
      <c r="BR462" s="104" t="n"/>
      <c r="BS462" s="104" t="n"/>
      <c r="BT462" s="104" t="n"/>
      <c r="BU462" s="104" t="n"/>
      <c r="BV462" s="104" t="n"/>
      <c r="BW462" s="104" t="n"/>
      <c r="BX462" s="104" t="n"/>
    </row>
    <row r="463">
      <c r="AC463" s="104" t="n"/>
      <c r="AD463" s="104" t="n"/>
      <c r="AE463" s="104" t="n"/>
      <c r="AF463" s="104" t="n"/>
      <c r="AG463" s="104" t="n"/>
      <c r="AH463" s="104" t="n"/>
      <c r="AI463" s="104" t="n"/>
      <c r="AJ463" s="104" t="n"/>
      <c r="AK463" s="104" t="n"/>
      <c r="AL463" s="104" t="n"/>
      <c r="AM463" s="104" t="n"/>
      <c r="AN463" s="104" t="n"/>
      <c r="AO463" s="104" t="n"/>
      <c r="AP463" s="104" t="n"/>
      <c r="AQ463" s="104" t="n"/>
      <c r="AR463" s="104" t="n"/>
      <c r="AS463" s="104" t="n"/>
      <c r="AT463" s="104" t="n"/>
      <c r="AU463" s="104" t="n"/>
      <c r="AV463" s="104" t="n"/>
      <c r="AW463" s="104" t="n"/>
      <c r="AX463" s="104" t="n"/>
      <c r="AY463" s="104" t="n"/>
      <c r="AZ463" s="104" t="n"/>
      <c r="BA463" s="104" t="n"/>
      <c r="BB463" s="104" t="n"/>
      <c r="BC463" s="104" t="n"/>
      <c r="BD463" s="104" t="n"/>
      <c r="BE463" s="104" t="n"/>
      <c r="BF463" s="104" t="n"/>
      <c r="BG463" s="104" t="n"/>
      <c r="BH463" s="104" t="n"/>
      <c r="BI463" s="104" t="n"/>
      <c r="BJ463" s="104" t="n"/>
      <c r="BK463" s="104" t="n"/>
      <c r="BL463" s="104" t="n"/>
      <c r="BM463" s="104" t="n"/>
      <c r="BN463" s="104" t="n"/>
      <c r="BO463" s="104" t="n"/>
      <c r="BP463" s="104" t="n"/>
      <c r="BQ463" s="104" t="n"/>
      <c r="BR463" s="104" t="n"/>
      <c r="BS463" s="104" t="n"/>
      <c r="BT463" s="104" t="n"/>
      <c r="BU463" s="104" t="n"/>
      <c r="BV463" s="104" t="n"/>
      <c r="BW463" s="104" t="n"/>
      <c r="BX463" s="104" t="n"/>
    </row>
    <row r="464">
      <c r="AC464" s="104" t="n"/>
      <c r="AD464" s="104" t="n"/>
      <c r="AE464" s="104" t="n"/>
      <c r="AF464" s="104" t="n"/>
      <c r="AG464" s="104" t="n"/>
      <c r="AH464" s="104" t="n"/>
      <c r="AI464" s="104" t="n"/>
      <c r="AJ464" s="104" t="n"/>
      <c r="AK464" s="104" t="n"/>
      <c r="AL464" s="104" t="n"/>
      <c r="AM464" s="104" t="n"/>
      <c r="AN464" s="104" t="n"/>
      <c r="AO464" s="104" t="n"/>
      <c r="AP464" s="104" t="n"/>
      <c r="AQ464" s="104" t="n"/>
      <c r="AR464" s="104" t="n"/>
      <c r="AS464" s="104" t="n"/>
      <c r="AT464" s="104" t="n"/>
      <c r="AU464" s="104" t="n"/>
      <c r="AV464" s="104" t="n"/>
      <c r="AW464" s="104" t="n"/>
      <c r="AX464" s="104" t="n"/>
      <c r="AY464" s="104" t="n"/>
      <c r="AZ464" s="104" t="n"/>
      <c r="BA464" s="104" t="n"/>
      <c r="BB464" s="104" t="n"/>
      <c r="BC464" s="104" t="n"/>
      <c r="BD464" s="104" t="n"/>
      <c r="BE464" s="104" t="n"/>
      <c r="BF464" s="104" t="n"/>
      <c r="BG464" s="104" t="n"/>
      <c r="BH464" s="104" t="n"/>
      <c r="BI464" s="104" t="n"/>
      <c r="BJ464" s="104" t="n"/>
      <c r="BK464" s="104" t="n"/>
      <c r="BL464" s="104" t="n"/>
      <c r="BM464" s="104" t="n"/>
      <c r="BN464" s="104" t="n"/>
      <c r="BO464" s="104" t="n"/>
      <c r="BP464" s="104" t="n"/>
      <c r="BQ464" s="104" t="n"/>
      <c r="BR464" s="104" t="n"/>
      <c r="BS464" s="104" t="n"/>
      <c r="BT464" s="104" t="n"/>
      <c r="BU464" s="104" t="n"/>
      <c r="BV464" s="104" t="n"/>
      <c r="BW464" s="104" t="n"/>
      <c r="BX464" s="104" t="n"/>
    </row>
    <row r="465">
      <c r="AC465" s="104" t="n"/>
      <c r="AD465" s="104" t="n"/>
      <c r="AE465" s="104" t="n"/>
      <c r="AF465" s="104" t="n"/>
      <c r="AG465" s="104" t="n"/>
      <c r="AH465" s="104" t="n"/>
      <c r="AI465" s="104" t="n"/>
      <c r="AJ465" s="104" t="n"/>
      <c r="AK465" s="104" t="n"/>
      <c r="AL465" s="104" t="n"/>
      <c r="AM465" s="104" t="n"/>
      <c r="AN465" s="104" t="n"/>
      <c r="AO465" s="104" t="n"/>
      <c r="AP465" s="104" t="n"/>
      <c r="AQ465" s="104" t="n"/>
      <c r="AR465" s="104" t="n"/>
      <c r="AS465" s="104" t="n"/>
      <c r="AT465" s="104" t="n"/>
      <c r="AU465" s="104" t="n"/>
      <c r="AV465" s="104" t="n"/>
      <c r="AW465" s="104" t="n"/>
      <c r="AX465" s="104" t="n"/>
      <c r="AY465" s="104" t="n"/>
      <c r="AZ465" s="104" t="n"/>
      <c r="BA465" s="104" t="n"/>
      <c r="BB465" s="104" t="n"/>
      <c r="BC465" s="104" t="n"/>
      <c r="BD465" s="104" t="n"/>
      <c r="BE465" s="104" t="n"/>
      <c r="BF465" s="104" t="n"/>
      <c r="BG465" s="104" t="n"/>
      <c r="BH465" s="104" t="n"/>
      <c r="BI465" s="104" t="n"/>
      <c r="BJ465" s="104" t="n"/>
      <c r="BK465" s="104" t="n"/>
      <c r="BL465" s="104" t="n"/>
      <c r="BM465" s="104" t="n"/>
      <c r="BN465" s="104" t="n"/>
      <c r="BO465" s="104" t="n"/>
      <c r="BP465" s="104" t="n"/>
      <c r="BQ465" s="104" t="n"/>
      <c r="BR465" s="104" t="n"/>
      <c r="BS465" s="104" t="n"/>
      <c r="BT465" s="104" t="n"/>
      <c r="BU465" s="104" t="n"/>
      <c r="BV465" s="104" t="n"/>
      <c r="BW465" s="104" t="n"/>
      <c r="BX465" s="104" t="n"/>
    </row>
    <row r="466">
      <c r="AC466" s="104" t="n"/>
      <c r="AD466" s="104" t="n"/>
      <c r="AE466" s="104" t="n"/>
      <c r="AF466" s="104" t="n"/>
      <c r="AG466" s="104" t="n"/>
      <c r="AH466" s="104" t="n"/>
      <c r="AI466" s="104" t="n"/>
      <c r="AJ466" s="104" t="n"/>
      <c r="AK466" s="104" t="n"/>
      <c r="AL466" s="104" t="n"/>
      <c r="AM466" s="104" t="n"/>
      <c r="AN466" s="104" t="n"/>
      <c r="AO466" s="104" t="n"/>
      <c r="AP466" s="104" t="n"/>
      <c r="AQ466" s="104" t="n"/>
      <c r="AR466" s="104" t="n"/>
      <c r="AS466" s="104" t="n"/>
      <c r="AT466" s="104" t="n"/>
      <c r="AU466" s="104" t="n"/>
      <c r="AV466" s="104" t="n"/>
      <c r="AW466" s="104" t="n"/>
      <c r="AX466" s="104" t="n"/>
      <c r="AY466" s="104" t="n"/>
      <c r="AZ466" s="104" t="n"/>
      <c r="BA466" s="104" t="n"/>
      <c r="BB466" s="104" t="n"/>
      <c r="BC466" s="104" t="n"/>
      <c r="BD466" s="104" t="n"/>
      <c r="BE466" s="104" t="n"/>
      <c r="BF466" s="104" t="n"/>
      <c r="BG466" s="104" t="n"/>
      <c r="BH466" s="104" t="n"/>
      <c r="BI466" s="104" t="n"/>
      <c r="BJ466" s="104" t="n"/>
      <c r="BK466" s="104" t="n"/>
      <c r="BL466" s="104" t="n"/>
      <c r="BM466" s="104" t="n"/>
      <c r="BN466" s="104" t="n"/>
      <c r="BO466" s="104" t="n"/>
      <c r="BP466" s="104" t="n"/>
      <c r="BQ466" s="104" t="n"/>
      <c r="BR466" s="104" t="n"/>
      <c r="BS466" s="104" t="n"/>
      <c r="BT466" s="104" t="n"/>
      <c r="BU466" s="104" t="n"/>
      <c r="BV466" s="104" t="n"/>
      <c r="BW466" s="104" t="n"/>
      <c r="BX466" s="104" t="n"/>
    </row>
    <row r="467">
      <c r="AC467" s="104" t="n"/>
      <c r="AD467" s="104" t="n"/>
      <c r="AE467" s="104" t="n"/>
      <c r="AF467" s="104" t="n"/>
      <c r="AG467" s="104" t="n"/>
      <c r="AH467" s="104" t="n"/>
      <c r="AI467" s="104" t="n"/>
      <c r="AJ467" s="104" t="n"/>
      <c r="AK467" s="104" t="n"/>
      <c r="AL467" s="104" t="n"/>
      <c r="AM467" s="104" t="n"/>
      <c r="AN467" s="104" t="n"/>
      <c r="AO467" s="104" t="n"/>
      <c r="AP467" s="104" t="n"/>
      <c r="AQ467" s="104" t="n"/>
      <c r="AR467" s="104" t="n"/>
      <c r="AS467" s="104" t="n"/>
      <c r="AT467" s="104" t="n"/>
      <c r="AU467" s="104" t="n"/>
      <c r="AV467" s="104" t="n"/>
      <c r="AW467" s="104" t="n"/>
      <c r="AX467" s="104" t="n"/>
      <c r="AY467" s="104" t="n"/>
      <c r="AZ467" s="104" t="n"/>
      <c r="BA467" s="104" t="n"/>
      <c r="BB467" s="104" t="n"/>
      <c r="BC467" s="104" t="n"/>
      <c r="BD467" s="104" t="n"/>
      <c r="BE467" s="104" t="n"/>
      <c r="BF467" s="104" t="n"/>
      <c r="BG467" s="104" t="n"/>
      <c r="BH467" s="104" t="n"/>
      <c r="BI467" s="104" t="n"/>
      <c r="BJ467" s="104" t="n"/>
      <c r="BK467" s="104" t="n"/>
      <c r="BL467" s="104" t="n"/>
      <c r="BM467" s="104" t="n"/>
      <c r="BN467" s="104" t="n"/>
      <c r="BO467" s="104" t="n"/>
      <c r="BP467" s="104" t="n"/>
      <c r="BQ467" s="104" t="n"/>
      <c r="BR467" s="104" t="n"/>
      <c r="BS467" s="104" t="n"/>
      <c r="BT467" s="104" t="n"/>
      <c r="BU467" s="104" t="n"/>
      <c r="BV467" s="104" t="n"/>
      <c r="BW467" s="104" t="n"/>
      <c r="BX467" s="104" t="n"/>
    </row>
    <row r="468">
      <c r="AC468" s="104" t="n"/>
      <c r="AD468" s="104" t="n"/>
      <c r="AE468" s="104" t="n"/>
      <c r="AF468" s="104" t="n"/>
      <c r="AG468" s="104" t="n"/>
      <c r="AH468" s="104" t="n"/>
      <c r="AI468" s="104" t="n"/>
      <c r="AJ468" s="104" t="n"/>
      <c r="AK468" s="104" t="n"/>
      <c r="AL468" s="104" t="n"/>
      <c r="AM468" s="104" t="n"/>
      <c r="AN468" s="104" t="n"/>
      <c r="AO468" s="104" t="n"/>
      <c r="AP468" s="104" t="n"/>
      <c r="AQ468" s="104" t="n"/>
      <c r="AR468" s="104" t="n"/>
      <c r="AS468" s="104" t="n"/>
      <c r="AT468" s="104" t="n"/>
      <c r="AU468" s="104" t="n"/>
      <c r="AV468" s="104" t="n"/>
      <c r="AW468" s="104" t="n"/>
      <c r="AX468" s="104" t="n"/>
      <c r="AY468" s="104" t="n"/>
      <c r="AZ468" s="104" t="n"/>
      <c r="BA468" s="104" t="n"/>
      <c r="BB468" s="104" t="n"/>
      <c r="BC468" s="104" t="n"/>
      <c r="BD468" s="104" t="n"/>
      <c r="BE468" s="104" t="n"/>
      <c r="BF468" s="104" t="n"/>
      <c r="BG468" s="104" t="n"/>
      <c r="BH468" s="104" t="n"/>
      <c r="BI468" s="104" t="n"/>
      <c r="BJ468" s="104" t="n"/>
      <c r="BK468" s="104" t="n"/>
      <c r="BL468" s="104" t="n"/>
      <c r="BM468" s="104" t="n"/>
      <c r="BN468" s="104" t="n"/>
      <c r="BO468" s="104" t="n"/>
      <c r="BP468" s="104" t="n"/>
      <c r="BQ468" s="104" t="n"/>
      <c r="BR468" s="104" t="n"/>
      <c r="BS468" s="104" t="n"/>
      <c r="BT468" s="104" t="n"/>
      <c r="BU468" s="104" t="n"/>
      <c r="BV468" s="104" t="n"/>
      <c r="BW468" s="104" t="n"/>
      <c r="BX468" s="104" t="n"/>
    </row>
    <row r="469">
      <c r="AC469" s="104" t="n"/>
      <c r="AD469" s="104" t="n"/>
      <c r="AE469" s="104" t="n"/>
      <c r="AF469" s="104" t="n"/>
      <c r="AG469" s="104" t="n"/>
      <c r="AH469" s="104" t="n"/>
      <c r="AI469" s="104" t="n"/>
      <c r="AJ469" s="104" t="n"/>
      <c r="AK469" s="104" t="n"/>
      <c r="AL469" s="104" t="n"/>
      <c r="AM469" s="104" t="n"/>
      <c r="AN469" s="104" t="n"/>
      <c r="AO469" s="104" t="n"/>
      <c r="AP469" s="104" t="n"/>
      <c r="AQ469" s="104" t="n"/>
      <c r="AR469" s="104" t="n"/>
      <c r="AS469" s="104" t="n"/>
      <c r="AT469" s="104" t="n"/>
      <c r="AU469" s="104" t="n"/>
      <c r="AV469" s="104" t="n"/>
      <c r="AW469" s="104" t="n"/>
      <c r="AX469" s="104" t="n"/>
      <c r="AY469" s="104" t="n"/>
      <c r="AZ469" s="104" t="n"/>
      <c r="BA469" s="104" t="n"/>
      <c r="BB469" s="104" t="n"/>
      <c r="BC469" s="104" t="n"/>
      <c r="BD469" s="104" t="n"/>
      <c r="BE469" s="104" t="n"/>
      <c r="BF469" s="104" t="n"/>
      <c r="BG469" s="104" t="n"/>
      <c r="BH469" s="104" t="n"/>
      <c r="BI469" s="104" t="n"/>
      <c r="BJ469" s="104" t="n"/>
      <c r="BK469" s="104" t="n"/>
      <c r="BL469" s="104" t="n"/>
      <c r="BM469" s="104" t="n"/>
      <c r="BN469" s="104" t="n"/>
      <c r="BO469" s="104" t="n"/>
      <c r="BP469" s="104" t="n"/>
      <c r="BQ469" s="104" t="n"/>
      <c r="BR469" s="104" t="n"/>
      <c r="BS469" s="104" t="n"/>
      <c r="BT469" s="104" t="n"/>
      <c r="BU469" s="104" t="n"/>
      <c r="BV469" s="104" t="n"/>
      <c r="BW469" s="104" t="n"/>
      <c r="BX469" s="104" t="n"/>
    </row>
    <row r="470">
      <c r="AC470" s="104" t="n"/>
      <c r="AD470" s="104" t="n"/>
      <c r="AE470" s="104" t="n"/>
      <c r="AF470" s="104" t="n"/>
      <c r="AG470" s="104" t="n"/>
      <c r="AH470" s="104" t="n"/>
      <c r="AI470" s="104" t="n"/>
      <c r="AJ470" s="104" t="n"/>
      <c r="AK470" s="104" t="n"/>
      <c r="AL470" s="104" t="n"/>
      <c r="AM470" s="104" t="n"/>
      <c r="AN470" s="104" t="n"/>
      <c r="AO470" s="104" t="n"/>
      <c r="AP470" s="104" t="n"/>
      <c r="AQ470" s="104" t="n"/>
      <c r="AR470" s="104" t="n"/>
      <c r="AS470" s="104" t="n"/>
      <c r="AT470" s="104" t="n"/>
      <c r="AU470" s="104" t="n"/>
      <c r="AV470" s="104" t="n"/>
      <c r="AW470" s="104" t="n"/>
      <c r="AX470" s="104" t="n"/>
      <c r="AY470" s="104" t="n"/>
      <c r="AZ470" s="104" t="n"/>
      <c r="BA470" s="104" t="n"/>
      <c r="BB470" s="104" t="n"/>
      <c r="BC470" s="104" t="n"/>
      <c r="BD470" s="104" t="n"/>
      <c r="BE470" s="104" t="n"/>
      <c r="BF470" s="104" t="n"/>
      <c r="BG470" s="104" t="n"/>
      <c r="BH470" s="104" t="n"/>
      <c r="BI470" s="104" t="n"/>
      <c r="BJ470" s="104" t="n"/>
      <c r="BK470" s="104" t="n"/>
      <c r="BL470" s="104" t="n"/>
      <c r="BM470" s="104" t="n"/>
      <c r="BN470" s="104" t="n"/>
      <c r="BO470" s="104" t="n"/>
      <c r="BP470" s="104" t="n"/>
      <c r="BQ470" s="104" t="n"/>
      <c r="BR470" s="104" t="n"/>
      <c r="BS470" s="104" t="n"/>
      <c r="BT470" s="104" t="n"/>
      <c r="BU470" s="104" t="n"/>
      <c r="BV470" s="104" t="n"/>
      <c r="BW470" s="104" t="n"/>
      <c r="BX470" s="104" t="n"/>
    </row>
    <row r="471">
      <c r="AC471" s="104" t="n"/>
      <c r="AD471" s="104" t="n"/>
      <c r="AE471" s="104" t="n"/>
      <c r="AF471" s="104" t="n"/>
      <c r="AG471" s="104" t="n"/>
      <c r="AH471" s="104" t="n"/>
      <c r="AI471" s="104" t="n"/>
      <c r="AJ471" s="104" t="n"/>
      <c r="AK471" s="104" t="n"/>
      <c r="AL471" s="104" t="n"/>
      <c r="AM471" s="104" t="n"/>
      <c r="AN471" s="104" t="n"/>
      <c r="AO471" s="104" t="n"/>
      <c r="AP471" s="104" t="n"/>
      <c r="AQ471" s="104" t="n"/>
      <c r="AR471" s="104" t="n"/>
      <c r="AS471" s="104" t="n"/>
      <c r="AT471" s="104" t="n"/>
      <c r="AU471" s="104" t="n"/>
      <c r="AV471" s="104" t="n"/>
      <c r="AW471" s="104" t="n"/>
      <c r="AX471" s="104" t="n"/>
      <c r="AY471" s="104" t="n"/>
      <c r="AZ471" s="104" t="n"/>
      <c r="BA471" s="104" t="n"/>
      <c r="BB471" s="104" t="n"/>
      <c r="BC471" s="104" t="n"/>
      <c r="BD471" s="104" t="n"/>
      <c r="BE471" s="104" t="n"/>
      <c r="BF471" s="104" t="n"/>
      <c r="BG471" s="104" t="n"/>
      <c r="BH471" s="104" t="n"/>
      <c r="BI471" s="104" t="n"/>
      <c r="BJ471" s="104" t="n"/>
      <c r="BK471" s="104" t="n"/>
      <c r="BL471" s="104" t="n"/>
      <c r="BM471" s="104" t="n"/>
      <c r="BN471" s="104" t="n"/>
      <c r="BO471" s="104" t="n"/>
      <c r="BP471" s="104" t="n"/>
      <c r="BQ471" s="104" t="n"/>
      <c r="BR471" s="104" t="n"/>
      <c r="BS471" s="104" t="n"/>
      <c r="BT471" s="104" t="n"/>
      <c r="BU471" s="104" t="n"/>
      <c r="BV471" s="104" t="n"/>
      <c r="BW471" s="104" t="n"/>
      <c r="BX471" s="104" t="n"/>
    </row>
    <row r="472">
      <c r="AC472" s="104" t="n"/>
      <c r="AD472" s="104" t="n"/>
      <c r="AE472" s="104" t="n"/>
      <c r="AF472" s="104" t="n"/>
      <c r="AG472" s="104" t="n"/>
      <c r="AH472" s="104" t="n"/>
      <c r="AI472" s="104" t="n"/>
      <c r="AJ472" s="104" t="n"/>
      <c r="AK472" s="104" t="n"/>
      <c r="AL472" s="104" t="n"/>
      <c r="AM472" s="104" t="n"/>
      <c r="AN472" s="104" t="n"/>
      <c r="AO472" s="104" t="n"/>
      <c r="AP472" s="104" t="n"/>
      <c r="AQ472" s="104" t="n"/>
      <c r="AR472" s="104" t="n"/>
      <c r="AS472" s="104" t="n"/>
      <c r="AT472" s="104" t="n"/>
      <c r="AU472" s="104" t="n"/>
      <c r="AV472" s="104" t="n"/>
      <c r="AW472" s="104" t="n"/>
      <c r="AX472" s="104" t="n"/>
      <c r="AY472" s="104" t="n"/>
      <c r="AZ472" s="104" t="n"/>
      <c r="BA472" s="104" t="n"/>
      <c r="BB472" s="104" t="n"/>
      <c r="BC472" s="104" t="n"/>
      <c r="BD472" s="104" t="n"/>
      <c r="BE472" s="104" t="n"/>
      <c r="BF472" s="104" t="n"/>
      <c r="BG472" s="104" t="n"/>
      <c r="BH472" s="104" t="n"/>
      <c r="BI472" s="104" t="n"/>
      <c r="BJ472" s="104" t="n"/>
      <c r="BK472" s="104" t="n"/>
      <c r="BL472" s="104" t="n"/>
      <c r="BM472" s="104" t="n"/>
      <c r="BN472" s="104" t="n"/>
      <c r="BO472" s="104" t="n"/>
      <c r="BP472" s="104" t="n"/>
      <c r="BQ472" s="104" t="n"/>
      <c r="BR472" s="104" t="n"/>
      <c r="BS472" s="104" t="n"/>
      <c r="BT472" s="104" t="n"/>
      <c r="BU472" s="104" t="n"/>
      <c r="BV472" s="104" t="n"/>
      <c r="BW472" s="104" t="n"/>
      <c r="BX472" s="104" t="n"/>
    </row>
    <row r="473">
      <c r="AC473" s="104" t="n"/>
      <c r="AD473" s="104" t="n"/>
      <c r="AE473" s="104" t="n"/>
      <c r="AF473" s="104" t="n"/>
      <c r="AG473" s="104" t="n"/>
      <c r="AH473" s="104" t="n"/>
      <c r="AI473" s="104" t="n"/>
      <c r="AJ473" s="104" t="n"/>
      <c r="AK473" s="104" t="n"/>
      <c r="AL473" s="104" t="n"/>
      <c r="AM473" s="104" t="n"/>
      <c r="AN473" s="104" t="n"/>
      <c r="AO473" s="104" t="n"/>
      <c r="AP473" s="104" t="n"/>
      <c r="AQ473" s="104" t="n"/>
      <c r="AR473" s="104" t="n"/>
      <c r="AS473" s="104" t="n"/>
      <c r="AT473" s="104" t="n"/>
      <c r="AU473" s="104" t="n"/>
      <c r="AV473" s="104" t="n"/>
      <c r="AW473" s="104" t="n"/>
      <c r="AX473" s="104" t="n"/>
      <c r="AY473" s="104" t="n"/>
      <c r="AZ473" s="104" t="n"/>
      <c r="BA473" s="104" t="n"/>
      <c r="BB473" s="104" t="n"/>
      <c r="BC473" s="104" t="n"/>
      <c r="BD473" s="104" t="n"/>
      <c r="BE473" s="104" t="n"/>
      <c r="BF473" s="104" t="n"/>
      <c r="BG473" s="104" t="n"/>
      <c r="BH473" s="104" t="n"/>
      <c r="BI473" s="104" t="n"/>
      <c r="BJ473" s="104" t="n"/>
      <c r="BK473" s="104" t="n"/>
      <c r="BL473" s="104" t="n"/>
      <c r="BM473" s="104" t="n"/>
      <c r="BN473" s="104" t="n"/>
      <c r="BO473" s="104" t="n"/>
      <c r="BP473" s="104" t="n"/>
      <c r="BQ473" s="104" t="n"/>
      <c r="BR473" s="104" t="n"/>
      <c r="BS473" s="104" t="n"/>
      <c r="BT473" s="104" t="n"/>
      <c r="BU473" s="104" t="n"/>
      <c r="BV473" s="104" t="n"/>
      <c r="BW473" s="104" t="n"/>
      <c r="BX473" s="104" t="n"/>
    </row>
    <row r="474">
      <c r="AC474" s="104" t="n"/>
      <c r="AD474" s="104" t="n"/>
      <c r="AE474" s="104" t="n"/>
      <c r="AF474" s="104" t="n"/>
      <c r="AG474" s="104" t="n"/>
      <c r="AH474" s="104" t="n"/>
      <c r="AI474" s="104" t="n"/>
      <c r="AJ474" s="104" t="n"/>
      <c r="AK474" s="104" t="n"/>
      <c r="AL474" s="104" t="n"/>
      <c r="AM474" s="104" t="n"/>
      <c r="AN474" s="104" t="n"/>
      <c r="AO474" s="104" t="n"/>
      <c r="AP474" s="104" t="n"/>
      <c r="AQ474" s="104" t="n"/>
      <c r="AR474" s="104" t="n"/>
      <c r="AS474" s="104" t="n"/>
      <c r="AT474" s="104" t="n"/>
      <c r="AU474" s="104" t="n"/>
      <c r="AV474" s="104" t="n"/>
      <c r="AW474" s="104" t="n"/>
      <c r="AX474" s="104" t="n"/>
      <c r="AY474" s="104" t="n"/>
      <c r="AZ474" s="104" t="n"/>
      <c r="BA474" s="104" t="n"/>
      <c r="BB474" s="104" t="n"/>
      <c r="BC474" s="104" t="n"/>
      <c r="BD474" s="104" t="n"/>
      <c r="BE474" s="104" t="n"/>
      <c r="BF474" s="104" t="n"/>
      <c r="BG474" s="104" t="n"/>
      <c r="BH474" s="104" t="n"/>
      <c r="BI474" s="104" t="n"/>
      <c r="BJ474" s="104" t="n"/>
      <c r="BK474" s="104" t="n"/>
      <c r="BL474" s="104" t="n"/>
      <c r="BM474" s="104" t="n"/>
      <c r="BN474" s="104" t="n"/>
      <c r="BO474" s="104" t="n"/>
      <c r="BP474" s="104" t="n"/>
      <c r="BQ474" s="104" t="n"/>
      <c r="BR474" s="104" t="n"/>
      <c r="BS474" s="104" t="n"/>
      <c r="BT474" s="104" t="n"/>
      <c r="BU474" s="104" t="n"/>
      <c r="BV474" s="104" t="n"/>
      <c r="BW474" s="104" t="n"/>
      <c r="BX474" s="104" t="n"/>
    </row>
    <row r="475">
      <c r="AC475" s="104" t="n"/>
      <c r="AD475" s="104" t="n"/>
      <c r="AE475" s="104" t="n"/>
      <c r="AF475" s="104" t="n"/>
      <c r="AG475" s="104" t="n"/>
      <c r="AH475" s="104" t="n"/>
      <c r="AI475" s="104" t="n"/>
      <c r="AJ475" s="104" t="n"/>
      <c r="AK475" s="104" t="n"/>
      <c r="AL475" s="104" t="n"/>
      <c r="AM475" s="104" t="n"/>
      <c r="AN475" s="104" t="n"/>
      <c r="AO475" s="104" t="n"/>
      <c r="AP475" s="104" t="n"/>
      <c r="AQ475" s="104" t="n"/>
      <c r="AR475" s="104" t="n"/>
      <c r="AS475" s="104" t="n"/>
      <c r="AT475" s="104" t="n"/>
      <c r="AU475" s="104" t="n"/>
      <c r="AV475" s="104" t="n"/>
      <c r="AW475" s="104" t="n"/>
      <c r="AX475" s="104" t="n"/>
      <c r="AY475" s="104" t="n"/>
      <c r="AZ475" s="104" t="n"/>
      <c r="BA475" s="104" t="n"/>
      <c r="BB475" s="104" t="n"/>
      <c r="BC475" s="104" t="n"/>
      <c r="BD475" s="104" t="n"/>
      <c r="BE475" s="104" t="n"/>
      <c r="BF475" s="104" t="n"/>
      <c r="BG475" s="104" t="n"/>
      <c r="BH475" s="104" t="n"/>
      <c r="BI475" s="104" t="n"/>
      <c r="BJ475" s="104" t="n"/>
      <c r="BK475" s="104" t="n"/>
      <c r="BL475" s="104" t="n"/>
      <c r="BM475" s="104" t="n"/>
      <c r="BN475" s="104" t="n"/>
      <c r="BO475" s="104" t="n"/>
      <c r="BP475" s="104" t="n"/>
      <c r="BQ475" s="104" t="n"/>
      <c r="BR475" s="104" t="n"/>
      <c r="BS475" s="104" t="n"/>
      <c r="BT475" s="104" t="n"/>
      <c r="BU475" s="104" t="n"/>
      <c r="BV475" s="104" t="n"/>
      <c r="BW475" s="104" t="n"/>
      <c r="BX475" s="104" t="n"/>
    </row>
    <row r="476">
      <c r="AC476" s="104" t="n"/>
      <c r="AD476" s="104" t="n"/>
      <c r="AE476" s="104" t="n"/>
      <c r="AF476" s="104" t="n"/>
      <c r="AG476" s="104" t="n"/>
      <c r="AH476" s="104" t="n"/>
      <c r="AI476" s="104" t="n"/>
      <c r="AJ476" s="104" t="n"/>
      <c r="AK476" s="104" t="n"/>
      <c r="AL476" s="104" t="n"/>
      <c r="AM476" s="104" t="n"/>
      <c r="AN476" s="104" t="n"/>
      <c r="AO476" s="104" t="n"/>
      <c r="AP476" s="104" t="n"/>
      <c r="AQ476" s="104" t="n"/>
      <c r="AR476" s="104" t="n"/>
      <c r="AS476" s="104" t="n"/>
      <c r="AT476" s="104" t="n"/>
      <c r="AU476" s="104" t="n"/>
      <c r="AV476" s="104" t="n"/>
      <c r="AW476" s="104" t="n"/>
      <c r="AX476" s="104" t="n"/>
      <c r="AY476" s="104" t="n"/>
      <c r="AZ476" s="104" t="n"/>
      <c r="BA476" s="104" t="n"/>
      <c r="BB476" s="104" t="n"/>
      <c r="BC476" s="104" t="n"/>
      <c r="BD476" s="104" t="n"/>
      <c r="BE476" s="104" t="n"/>
      <c r="BF476" s="104" t="n"/>
      <c r="BG476" s="104" t="n"/>
      <c r="BH476" s="104" t="n"/>
      <c r="BI476" s="104" t="n"/>
      <c r="BJ476" s="104" t="n"/>
      <c r="BK476" s="104" t="n"/>
      <c r="BL476" s="104" t="n"/>
      <c r="BM476" s="104" t="n"/>
      <c r="BN476" s="104" t="n"/>
      <c r="BO476" s="104" t="n"/>
      <c r="BP476" s="104" t="n"/>
      <c r="BQ476" s="104" t="n"/>
      <c r="BR476" s="104" t="n"/>
      <c r="BS476" s="104" t="n"/>
      <c r="BT476" s="104" t="n"/>
      <c r="BU476" s="104" t="n"/>
      <c r="BV476" s="104" t="n"/>
      <c r="BW476" s="104" t="n"/>
      <c r="BX476" s="104" t="n"/>
    </row>
    <row r="477">
      <c r="AC477" s="104" t="n"/>
      <c r="AD477" s="104" t="n"/>
      <c r="AE477" s="104" t="n"/>
      <c r="AF477" s="104" t="n"/>
      <c r="AG477" s="104" t="n"/>
      <c r="AH477" s="104" t="n"/>
      <c r="AI477" s="104" t="n"/>
      <c r="AJ477" s="104" t="n"/>
      <c r="AK477" s="104" t="n"/>
      <c r="AL477" s="104" t="n"/>
      <c r="AM477" s="104" t="n"/>
      <c r="AN477" s="104" t="n"/>
      <c r="AO477" s="104" t="n"/>
      <c r="AP477" s="104" t="n"/>
      <c r="AQ477" s="104" t="n"/>
      <c r="AR477" s="104" t="n"/>
      <c r="AS477" s="104" t="n"/>
      <c r="AT477" s="104" t="n"/>
      <c r="AU477" s="104" t="n"/>
      <c r="AV477" s="104" t="n"/>
      <c r="AW477" s="104" t="n"/>
      <c r="AX477" s="104" t="n"/>
      <c r="AY477" s="104" t="n"/>
      <c r="AZ477" s="104" t="n"/>
      <c r="BA477" s="104" t="n"/>
      <c r="BB477" s="104" t="n"/>
      <c r="BC477" s="104" t="n"/>
      <c r="BD477" s="104" t="n"/>
      <c r="BE477" s="104" t="n"/>
      <c r="BF477" s="104" t="n"/>
      <c r="BG477" s="104" t="n"/>
      <c r="BH477" s="104" t="n"/>
      <c r="BI477" s="104" t="n"/>
      <c r="BJ477" s="104" t="n"/>
      <c r="BK477" s="104" t="n"/>
      <c r="BL477" s="104" t="n"/>
      <c r="BM477" s="104" t="n"/>
      <c r="BN477" s="104" t="n"/>
      <c r="BO477" s="104" t="n"/>
      <c r="BP477" s="104" t="n"/>
      <c r="BQ477" s="104" t="n"/>
      <c r="BR477" s="104" t="n"/>
      <c r="BS477" s="104" t="n"/>
      <c r="BT477" s="104" t="n"/>
      <c r="BU477" s="104" t="n"/>
      <c r="BV477" s="104" t="n"/>
      <c r="BW477" s="104" t="n"/>
      <c r="BX477" s="104" t="n"/>
    </row>
    <row r="478">
      <c r="AC478" s="104" t="n"/>
      <c r="AD478" s="104" t="n"/>
      <c r="AE478" s="104" t="n"/>
      <c r="AF478" s="104" t="n"/>
      <c r="AG478" s="104" t="n"/>
      <c r="AH478" s="104" t="n"/>
      <c r="AI478" s="104" t="n"/>
      <c r="AJ478" s="104" t="n"/>
      <c r="AK478" s="104" t="n"/>
      <c r="AL478" s="104" t="n"/>
      <c r="AM478" s="104" t="n"/>
      <c r="AN478" s="104" t="n"/>
      <c r="AO478" s="104" t="n"/>
      <c r="AP478" s="104" t="n"/>
      <c r="AQ478" s="104" t="n"/>
      <c r="AR478" s="104" t="n"/>
      <c r="AS478" s="104" t="n"/>
      <c r="AT478" s="104" t="n"/>
      <c r="AU478" s="104" t="n"/>
      <c r="AV478" s="104" t="n"/>
      <c r="AW478" s="104" t="n"/>
      <c r="AX478" s="104" t="n"/>
      <c r="AY478" s="104" t="n"/>
      <c r="AZ478" s="104" t="n"/>
      <c r="BA478" s="104" t="n"/>
      <c r="BB478" s="104" t="n"/>
      <c r="BC478" s="104" t="n"/>
      <c r="BD478" s="104" t="n"/>
      <c r="BE478" s="104" t="n"/>
      <c r="BF478" s="104" t="n"/>
      <c r="BG478" s="104" t="n"/>
      <c r="BH478" s="104" t="n"/>
      <c r="BI478" s="104" t="n"/>
      <c r="BJ478" s="104" t="n"/>
      <c r="BK478" s="104" t="n"/>
      <c r="BL478" s="104" t="n"/>
      <c r="BM478" s="104" t="n"/>
      <c r="BN478" s="104" t="n"/>
      <c r="BO478" s="104" t="n"/>
      <c r="BP478" s="104" t="n"/>
      <c r="BQ478" s="104" t="n"/>
      <c r="BR478" s="104" t="n"/>
      <c r="BS478" s="104" t="n"/>
      <c r="BT478" s="104" t="n"/>
      <c r="BU478" s="104" t="n"/>
      <c r="BV478" s="104" t="n"/>
      <c r="BW478" s="104" t="n"/>
      <c r="BX478" s="104" t="n"/>
    </row>
    <row r="479">
      <c r="AC479" s="104" t="n"/>
      <c r="AD479" s="104" t="n"/>
      <c r="AE479" s="104" t="n"/>
      <c r="AF479" s="104" t="n"/>
      <c r="AG479" s="104" t="n"/>
      <c r="AH479" s="104" t="n"/>
      <c r="AI479" s="104" t="n"/>
      <c r="AJ479" s="104" t="n"/>
      <c r="AK479" s="104" t="n"/>
      <c r="AL479" s="104" t="n"/>
      <c r="AM479" s="104" t="n"/>
      <c r="AN479" s="104" t="n"/>
      <c r="AO479" s="104" t="n"/>
      <c r="AP479" s="104" t="n"/>
      <c r="AQ479" s="104" t="n"/>
      <c r="AR479" s="104" t="n"/>
      <c r="AS479" s="104" t="n"/>
      <c r="AT479" s="104" t="n"/>
      <c r="AU479" s="104" t="n"/>
      <c r="AV479" s="104" t="n"/>
      <c r="AW479" s="104" t="n"/>
      <c r="AX479" s="104" t="n"/>
      <c r="AY479" s="104" t="n"/>
      <c r="AZ479" s="104" t="n"/>
      <c r="BA479" s="104" t="n"/>
      <c r="BB479" s="104" t="n"/>
      <c r="BC479" s="104" t="n"/>
      <c r="BD479" s="104" t="n"/>
      <c r="BE479" s="104" t="n"/>
      <c r="BF479" s="104" t="n"/>
      <c r="BG479" s="104" t="n"/>
      <c r="BH479" s="104" t="n"/>
      <c r="BI479" s="104" t="n"/>
      <c r="BJ479" s="104" t="n"/>
      <c r="BK479" s="104" t="n"/>
      <c r="BL479" s="104" t="n"/>
      <c r="BM479" s="104" t="n"/>
      <c r="BN479" s="104" t="n"/>
      <c r="BO479" s="104" t="n"/>
      <c r="BP479" s="104" t="n"/>
      <c r="BQ479" s="104" t="n"/>
      <c r="BR479" s="104" t="n"/>
      <c r="BS479" s="104" t="n"/>
      <c r="BT479" s="104" t="n"/>
      <c r="BU479" s="104" t="n"/>
      <c r="BV479" s="104" t="n"/>
      <c r="BW479" s="104" t="n"/>
      <c r="BX479" s="104" t="n"/>
    </row>
    <row r="480">
      <c r="AC480" s="104" t="n"/>
      <c r="AD480" s="104" t="n"/>
      <c r="AE480" s="104" t="n"/>
      <c r="AF480" s="104" t="n"/>
      <c r="AG480" s="104" t="n"/>
      <c r="AH480" s="104" t="n"/>
      <c r="AI480" s="104" t="n"/>
      <c r="AJ480" s="104" t="n"/>
      <c r="AK480" s="104" t="n"/>
      <c r="AL480" s="104" t="n"/>
      <c r="AM480" s="104" t="n"/>
      <c r="AN480" s="104" t="n"/>
      <c r="AO480" s="104" t="n"/>
      <c r="AP480" s="104" t="n"/>
      <c r="AQ480" s="104" t="n"/>
      <c r="AR480" s="104" t="n"/>
      <c r="AS480" s="104" t="n"/>
      <c r="AT480" s="104" t="n"/>
      <c r="AU480" s="104" t="n"/>
      <c r="AV480" s="104" t="n"/>
      <c r="AW480" s="104" t="n"/>
      <c r="AX480" s="104" t="n"/>
      <c r="AY480" s="104" t="n"/>
      <c r="AZ480" s="104" t="n"/>
      <c r="BA480" s="104" t="n"/>
      <c r="BB480" s="104" t="n"/>
      <c r="BC480" s="104" t="n"/>
      <c r="BD480" s="104" t="n"/>
      <c r="BE480" s="104" t="n"/>
      <c r="BF480" s="104" t="n"/>
      <c r="BG480" s="104" t="n"/>
      <c r="BH480" s="104" t="n"/>
      <c r="BI480" s="104" t="n"/>
      <c r="BJ480" s="104" t="n"/>
      <c r="BK480" s="104" t="n"/>
      <c r="BL480" s="104" t="n"/>
      <c r="BM480" s="104" t="n"/>
      <c r="BN480" s="104" t="n"/>
      <c r="BO480" s="104" t="n"/>
      <c r="BP480" s="104" t="n"/>
      <c r="BQ480" s="104" t="n"/>
      <c r="BR480" s="104" t="n"/>
      <c r="BS480" s="104" t="n"/>
      <c r="BT480" s="104" t="n"/>
      <c r="BU480" s="104" t="n"/>
      <c r="BV480" s="104" t="n"/>
      <c r="BW480" s="104" t="n"/>
      <c r="BX480" s="104" t="n"/>
    </row>
    <row r="481">
      <c r="AC481" s="104" t="n"/>
      <c r="AD481" s="104" t="n"/>
      <c r="AE481" s="104" t="n"/>
      <c r="AF481" s="104" t="n"/>
      <c r="AG481" s="104" t="n"/>
      <c r="AH481" s="104" t="n"/>
      <c r="AI481" s="104" t="n"/>
      <c r="AJ481" s="104" t="n"/>
      <c r="AK481" s="104" t="n"/>
      <c r="AL481" s="104" t="n"/>
      <c r="AM481" s="104" t="n"/>
      <c r="AN481" s="104" t="n"/>
      <c r="AO481" s="104" t="n"/>
      <c r="AP481" s="104" t="n"/>
      <c r="AQ481" s="104" t="n"/>
      <c r="AR481" s="104" t="n"/>
      <c r="AS481" s="104" t="n"/>
      <c r="AT481" s="104" t="n"/>
      <c r="AU481" s="104" t="n"/>
      <c r="AV481" s="104" t="n"/>
      <c r="AW481" s="104" t="n"/>
      <c r="AX481" s="104" t="n"/>
      <c r="AY481" s="104" t="n"/>
      <c r="AZ481" s="104" t="n"/>
      <c r="BA481" s="104" t="n"/>
      <c r="BB481" s="104" t="n"/>
      <c r="BC481" s="104" t="n"/>
      <c r="BD481" s="104" t="n"/>
      <c r="BE481" s="104" t="n"/>
      <c r="BF481" s="104" t="n"/>
      <c r="BG481" s="104" t="n"/>
      <c r="BH481" s="104" t="n"/>
      <c r="BI481" s="104" t="n"/>
      <c r="BJ481" s="104" t="n"/>
      <c r="BK481" s="104" t="n"/>
      <c r="BL481" s="104" t="n"/>
      <c r="BM481" s="104" t="n"/>
      <c r="BN481" s="104" t="n"/>
      <c r="BO481" s="104" t="n"/>
      <c r="BP481" s="104" t="n"/>
      <c r="BQ481" s="104" t="n"/>
      <c r="BR481" s="104" t="n"/>
      <c r="BS481" s="104" t="n"/>
      <c r="BT481" s="104" t="n"/>
      <c r="BU481" s="104" t="n"/>
      <c r="BV481" s="104" t="n"/>
      <c r="BW481" s="104" t="n"/>
      <c r="BX481" s="104" t="n"/>
    </row>
    <row r="482">
      <c r="AC482" s="104" t="n"/>
      <c r="AD482" s="104" t="n"/>
      <c r="AE482" s="104" t="n"/>
      <c r="AF482" s="104" t="n"/>
      <c r="AG482" s="104" t="n"/>
      <c r="AH482" s="104" t="n"/>
      <c r="AI482" s="104" t="n"/>
      <c r="AJ482" s="104" t="n"/>
      <c r="AK482" s="104" t="n"/>
      <c r="AL482" s="104" t="n"/>
      <c r="AM482" s="104" t="n"/>
      <c r="AN482" s="104" t="n"/>
      <c r="AO482" s="104" t="n"/>
      <c r="AP482" s="104" t="n"/>
      <c r="AQ482" s="104" t="n"/>
      <c r="AR482" s="104" t="n"/>
      <c r="AS482" s="104" t="n"/>
      <c r="AT482" s="104" t="n"/>
      <c r="AU482" s="104" t="n"/>
      <c r="AV482" s="104" t="n"/>
      <c r="AW482" s="104" t="n"/>
      <c r="AX482" s="104" t="n"/>
      <c r="AY482" s="104" t="n"/>
      <c r="AZ482" s="104" t="n"/>
      <c r="BA482" s="104" t="n"/>
      <c r="BB482" s="104" t="n"/>
      <c r="BC482" s="104" t="n"/>
      <c r="BD482" s="104" t="n"/>
      <c r="BE482" s="104" t="n"/>
      <c r="BF482" s="104" t="n"/>
      <c r="BG482" s="104" t="n"/>
      <c r="BH482" s="104" t="n"/>
      <c r="BI482" s="104" t="n"/>
      <c r="BJ482" s="104" t="n"/>
      <c r="BK482" s="104" t="n"/>
      <c r="BL482" s="104" t="n"/>
      <c r="BM482" s="104" t="n"/>
      <c r="BN482" s="104" t="n"/>
      <c r="BO482" s="104" t="n"/>
      <c r="BP482" s="104" t="n"/>
      <c r="BQ482" s="104" t="n"/>
      <c r="BR482" s="104" t="n"/>
      <c r="BS482" s="104" t="n"/>
      <c r="BT482" s="104" t="n"/>
      <c r="BU482" s="104" t="n"/>
      <c r="BV482" s="104" t="n"/>
      <c r="BW482" s="104" t="n"/>
      <c r="BX482" s="104" t="n"/>
    </row>
    <row r="483">
      <c r="AC483" s="104" t="n"/>
      <c r="AD483" s="104" t="n"/>
      <c r="AE483" s="104" t="n"/>
      <c r="AF483" s="104" t="n"/>
      <c r="AG483" s="104" t="n"/>
      <c r="AH483" s="104" t="n"/>
      <c r="AI483" s="104" t="n"/>
      <c r="AJ483" s="104" t="n"/>
      <c r="AK483" s="104" t="n"/>
      <c r="AL483" s="104" t="n"/>
      <c r="AM483" s="104" t="n"/>
      <c r="AN483" s="104" t="n"/>
      <c r="AO483" s="104" t="n"/>
      <c r="AP483" s="104" t="n"/>
      <c r="AQ483" s="104" t="n"/>
      <c r="AR483" s="104" t="n"/>
      <c r="AS483" s="104" t="n"/>
      <c r="AT483" s="104" t="n"/>
      <c r="AU483" s="104" t="n"/>
      <c r="AV483" s="104" t="n"/>
      <c r="AW483" s="104" t="n"/>
      <c r="AX483" s="104" t="n"/>
      <c r="AY483" s="104" t="n"/>
      <c r="AZ483" s="104" t="n"/>
      <c r="BA483" s="104" t="n"/>
      <c r="BB483" s="104" t="n"/>
      <c r="BC483" s="104" t="n"/>
      <c r="BD483" s="104" t="n"/>
      <c r="BE483" s="104" t="n"/>
      <c r="BF483" s="104" t="n"/>
      <c r="BG483" s="104" t="n"/>
      <c r="BH483" s="104" t="n"/>
      <c r="BI483" s="104" t="n"/>
      <c r="BJ483" s="104" t="n"/>
      <c r="BK483" s="104" t="n"/>
      <c r="BL483" s="104" t="n"/>
      <c r="BM483" s="104" t="n"/>
      <c r="BN483" s="104" t="n"/>
      <c r="BO483" s="104" t="n"/>
      <c r="BP483" s="104" t="n"/>
      <c r="BQ483" s="104" t="n"/>
      <c r="BR483" s="104" t="n"/>
      <c r="BS483" s="104" t="n"/>
      <c r="BT483" s="104" t="n"/>
      <c r="BU483" s="104" t="n"/>
      <c r="BV483" s="104" t="n"/>
      <c r="BW483" s="104" t="n"/>
      <c r="BX483" s="104" t="n"/>
    </row>
    <row r="484">
      <c r="AC484" s="104" t="n"/>
      <c r="AD484" s="104" t="n"/>
      <c r="AE484" s="104" t="n"/>
      <c r="AF484" s="104" t="n"/>
      <c r="AG484" s="104" t="n"/>
      <c r="AH484" s="104" t="n"/>
      <c r="AI484" s="104" t="n"/>
      <c r="AJ484" s="104" t="n"/>
      <c r="AK484" s="104" t="n"/>
      <c r="AL484" s="104" t="n"/>
      <c r="AM484" s="104" t="n"/>
      <c r="AN484" s="104" t="n"/>
      <c r="AO484" s="104" t="n"/>
      <c r="AP484" s="104" t="n"/>
      <c r="AQ484" s="104" t="n"/>
      <c r="AR484" s="104" t="n"/>
      <c r="AS484" s="104" t="n"/>
      <c r="AT484" s="104" t="n"/>
      <c r="AU484" s="104" t="n"/>
      <c r="AV484" s="104" t="n"/>
      <c r="AW484" s="104" t="n"/>
      <c r="AX484" s="104" t="n"/>
      <c r="AY484" s="104" t="n"/>
      <c r="AZ484" s="104" t="n"/>
      <c r="BA484" s="104" t="n"/>
      <c r="BB484" s="104" t="n"/>
      <c r="BC484" s="104" t="n"/>
      <c r="BD484" s="104" t="n"/>
      <c r="BE484" s="104" t="n"/>
      <c r="BF484" s="104" t="n"/>
      <c r="BG484" s="104" t="n"/>
      <c r="BH484" s="104" t="n"/>
      <c r="BI484" s="104" t="n"/>
      <c r="BJ484" s="104" t="n"/>
      <c r="BK484" s="104" t="n"/>
      <c r="BL484" s="104" t="n"/>
      <c r="BM484" s="104" t="n"/>
      <c r="BN484" s="104" t="n"/>
      <c r="BO484" s="104" t="n"/>
      <c r="BP484" s="104" t="n"/>
      <c r="BQ484" s="104" t="n"/>
      <c r="BR484" s="104" t="n"/>
      <c r="BS484" s="104" t="n"/>
      <c r="BT484" s="104" t="n"/>
      <c r="BU484" s="104" t="n"/>
      <c r="BV484" s="104" t="n"/>
      <c r="BW484" s="104" t="n"/>
      <c r="BX484" s="104" t="n"/>
    </row>
    <row r="485">
      <c r="AC485" s="104" t="n"/>
      <c r="AD485" s="104" t="n"/>
      <c r="AE485" s="104" t="n"/>
      <c r="AF485" s="104" t="n"/>
      <c r="AG485" s="104" t="n"/>
      <c r="AH485" s="104" t="n"/>
      <c r="AI485" s="104" t="n"/>
      <c r="AJ485" s="104" t="n"/>
      <c r="AK485" s="104" t="n"/>
      <c r="AL485" s="104" t="n"/>
      <c r="AM485" s="104" t="n"/>
      <c r="AN485" s="104" t="n"/>
      <c r="AO485" s="104" t="n"/>
      <c r="AP485" s="104" t="n"/>
      <c r="AQ485" s="104" t="n"/>
      <c r="AR485" s="104" t="n"/>
      <c r="AS485" s="104" t="n"/>
      <c r="AT485" s="104" t="n"/>
      <c r="AU485" s="104" t="n"/>
      <c r="AV485" s="104" t="n"/>
      <c r="AW485" s="104" t="n"/>
      <c r="AX485" s="104" t="n"/>
      <c r="AY485" s="104" t="n"/>
      <c r="AZ485" s="104" t="n"/>
      <c r="BA485" s="104" t="n"/>
      <c r="BB485" s="104" t="n"/>
      <c r="BC485" s="104" t="n"/>
      <c r="BD485" s="104" t="n"/>
      <c r="BE485" s="104" t="n"/>
      <c r="BF485" s="104" t="n"/>
      <c r="BG485" s="104" t="n"/>
      <c r="BH485" s="104" t="n"/>
      <c r="BI485" s="104" t="n"/>
      <c r="BJ485" s="104" t="n"/>
      <c r="BK485" s="104" t="n"/>
      <c r="BL485" s="104" t="n"/>
      <c r="BM485" s="104" t="n"/>
      <c r="BN485" s="104" t="n"/>
      <c r="BO485" s="104" t="n"/>
      <c r="BP485" s="104" t="n"/>
      <c r="BQ485" s="104" t="n"/>
      <c r="BR485" s="104" t="n"/>
      <c r="BS485" s="104" t="n"/>
      <c r="BT485" s="104" t="n"/>
      <c r="BU485" s="104" t="n"/>
      <c r="BV485" s="104" t="n"/>
      <c r="BW485" s="104" t="n"/>
      <c r="BX485" s="104" t="n"/>
    </row>
    <row r="486">
      <c r="AC486" s="104" t="n"/>
      <c r="AD486" s="104" t="n"/>
      <c r="AE486" s="104" t="n"/>
      <c r="AF486" s="104" t="n"/>
      <c r="AG486" s="104" t="n"/>
      <c r="AH486" s="104" t="n"/>
      <c r="AI486" s="104" t="n"/>
      <c r="AJ486" s="104" t="n"/>
      <c r="AK486" s="104" t="n"/>
      <c r="AL486" s="104" t="n"/>
      <c r="AM486" s="104" t="n"/>
      <c r="AN486" s="104" t="n"/>
      <c r="AO486" s="104" t="n"/>
      <c r="AP486" s="104" t="n"/>
      <c r="AQ486" s="104" t="n"/>
      <c r="AR486" s="104" t="n"/>
      <c r="AS486" s="104" t="n"/>
      <c r="AT486" s="104" t="n"/>
      <c r="AU486" s="104" t="n"/>
      <c r="AV486" s="104" t="n"/>
      <c r="AW486" s="104" t="n"/>
      <c r="AX486" s="104" t="n"/>
      <c r="AY486" s="104" t="n"/>
      <c r="AZ486" s="104" t="n"/>
      <c r="BA486" s="104" t="n"/>
      <c r="BB486" s="104" t="n"/>
      <c r="BC486" s="104" t="n"/>
      <c r="BD486" s="104" t="n"/>
      <c r="BE486" s="104" t="n"/>
      <c r="BF486" s="104" t="n"/>
      <c r="BG486" s="104" t="n"/>
      <c r="BH486" s="104" t="n"/>
      <c r="BI486" s="104" t="n"/>
      <c r="BJ486" s="104" t="n"/>
      <c r="BK486" s="104" t="n"/>
      <c r="BL486" s="104" t="n"/>
      <c r="BM486" s="104" t="n"/>
      <c r="BN486" s="104" t="n"/>
      <c r="BO486" s="104" t="n"/>
      <c r="BP486" s="104" t="n"/>
      <c r="BQ486" s="104" t="n"/>
      <c r="BR486" s="104" t="n"/>
      <c r="BS486" s="104" t="n"/>
      <c r="BT486" s="104" t="n"/>
      <c r="BU486" s="104" t="n"/>
      <c r="BV486" s="104" t="n"/>
      <c r="BW486" s="104" t="n"/>
      <c r="BX486" s="104" t="n"/>
    </row>
  </sheetData>
  <mergeCells count="44">
    <mergeCell ref="H38:I38"/>
    <mergeCell ref="B12:B13"/>
    <mergeCell ref="L12:L13"/>
    <mergeCell ref="B31:C31"/>
    <mergeCell ref="H31:I31"/>
    <mergeCell ref="D42:G42"/>
    <mergeCell ref="H40:I40"/>
    <mergeCell ref="K35:K36"/>
    <mergeCell ref="B43:C43"/>
    <mergeCell ref="B39:C39"/>
    <mergeCell ref="D43:I43"/>
    <mergeCell ref="H39:I39"/>
    <mergeCell ref="D6:K6"/>
    <mergeCell ref="C12:C13"/>
    <mergeCell ref="B11:L11"/>
    <mergeCell ref="G12:J12"/>
    <mergeCell ref="K12:K13"/>
    <mergeCell ref="B42:C42"/>
    <mergeCell ref="D12:D13"/>
    <mergeCell ref="K39:K40"/>
    <mergeCell ref="D8:F8"/>
    <mergeCell ref="L39:L40"/>
    <mergeCell ref="I45:L45"/>
    <mergeCell ref="L35:L36"/>
    <mergeCell ref="B38:C38"/>
    <mergeCell ref="B44:C44"/>
    <mergeCell ref="K43:L43"/>
    <mergeCell ref="D7:K7"/>
    <mergeCell ref="B45:G45"/>
    <mergeCell ref="B34:C34"/>
    <mergeCell ref="B10:C10"/>
    <mergeCell ref="D44:L44"/>
    <mergeCell ref="B40:C40"/>
    <mergeCell ref="B9:C9"/>
    <mergeCell ref="B33:L33"/>
    <mergeCell ref="B5:C7"/>
    <mergeCell ref="B36:C36"/>
    <mergeCell ref="D5:K5"/>
    <mergeCell ref="B32:L32"/>
    <mergeCell ref="L5:L7"/>
    <mergeCell ref="B35:C35"/>
    <mergeCell ref="B41:L41"/>
    <mergeCell ref="I42:L42"/>
    <mergeCell ref="B37:K37"/>
  </mergeCells>
  <printOptions horizontalCentered="1"/>
  <pageMargins left="0.25" right="0.25" top="0.75" bottom="0.75" header="0.3" footer="0.3"/>
  <pageSetup orientation="portrait" paperSize="9" scale="4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503"/>
  <sheetViews>
    <sheetView topLeftCell="A10" zoomScale="91" zoomScaleNormal="91" workbookViewId="0">
      <pane xSplit="1" topLeftCell="B1" activePane="topRight" state="frozen"/>
      <selection pane="topRight" activeCell="AI12" sqref="AI12"/>
    </sheetView>
  </sheetViews>
  <sheetFormatPr baseColWidth="8" defaultColWidth="9" defaultRowHeight="15"/>
  <cols>
    <col width="28.85546875" customWidth="1" style="1" min="2" max="2"/>
    <col width="21.85546875" customWidth="1" style="6" min="3" max="3"/>
    <col width="9" customWidth="1" style="6" min="4" max="4"/>
    <col width="13.5703125" customWidth="1" style="6" min="6" max="6"/>
    <col width="11.85546875" customWidth="1" style="6" min="7" max="9"/>
    <col width="10.140625" customWidth="1" style="6" min="10" max="10"/>
    <col width="9.42578125" customWidth="1" style="6" min="11" max="11"/>
    <col width="9.28515625" customWidth="1" style="6" min="12" max="12"/>
    <col width="12.85546875" customWidth="1" style="6" min="14" max="19"/>
    <col width="12.85546875" customWidth="1" style="7" min="20" max="20"/>
    <col width="10.85546875" customWidth="1" style="6" min="21" max="25"/>
    <col width="10.85546875" customWidth="1" style="7" min="26" max="26"/>
    <col width="10.5703125" customWidth="1" style="6" min="27" max="27"/>
    <col width="9" customWidth="1" style="7" min="32" max="32"/>
    <col width="10.85546875" customWidth="1" style="6" min="33" max="33"/>
    <col width="10.85546875" customWidth="1" style="5" min="39" max="39"/>
    <col width="8.7109375" customWidth="1" style="5" min="40" max="43"/>
    <col width="8.7109375" customWidth="1" style="8" min="44" max="44"/>
    <col width="10.85546875" customWidth="1" style="8" min="45" max="45"/>
    <col width="8.7109375" customWidth="1" style="8" min="46" max="50"/>
    <col width="11" customWidth="1" style="5" min="51" max="51"/>
    <col width="8.7109375" customWidth="1" style="5" min="52" max="55"/>
    <col width="8.7109375" customWidth="1" style="8" min="56" max="56"/>
    <col width="11" customWidth="1" style="8" min="57" max="57"/>
    <col width="8.7109375" customWidth="1" style="8" min="58" max="62"/>
    <col width="11.85546875" customWidth="1" style="8" min="63" max="63"/>
    <col width="9.42578125" customWidth="1" style="8" min="64" max="64"/>
    <col width="10" customWidth="1" style="8" min="65" max="65"/>
    <col width="9.5703125" customWidth="1" style="8" min="66" max="66"/>
    <col width="9" customWidth="1" style="7" min="67" max="68"/>
    <col width="10.85546875" customWidth="1" style="7" min="69" max="69"/>
    <col width="9" customWidth="1" style="7" min="70" max="73"/>
    <col width="9.85546875" customWidth="1" style="7" min="74" max="74"/>
    <col width="11.85546875" customWidth="1" style="7" min="75" max="75"/>
    <col width="9" customWidth="1" style="7" min="76" max="80"/>
    <col width="11.28515625" customWidth="1" style="7" min="81" max="81"/>
    <col width="9" customWidth="1" style="7" min="82" max="86"/>
    <col width="10.7109375" customWidth="1" style="7" min="87" max="87"/>
    <col width="9" customWidth="1" style="7" min="88" max="92"/>
    <col width="11.140625" customWidth="1" style="7" min="93" max="93"/>
    <col width="9" customWidth="1" style="7" min="94" max="98"/>
    <col width="11.140625" customWidth="1" style="7" min="99" max="99"/>
    <col width="9" customWidth="1" style="7" min="100" max="104"/>
    <col width="11.85546875" customWidth="1" style="7" min="105" max="105"/>
    <col width="9" customWidth="1" style="7" min="106" max="110"/>
    <col width="10.85546875" customWidth="1" style="7" min="111" max="111"/>
    <col width="8.7109375" customWidth="1" style="9" min="112" max="112"/>
    <col width="8.7109375" customWidth="1" style="10" min="113" max="113"/>
    <col width="15.42578125" customWidth="1" style="6" min="114" max="114"/>
    <col width="15.140625" customWidth="1" style="6" min="115" max="115"/>
    <col width="14.42578125" customWidth="1" style="6" min="116" max="117"/>
    <col width="14.85546875" customWidth="1" style="6" min="118" max="118"/>
    <col width="15.140625" customWidth="1" style="6" min="119" max="119"/>
    <col width="14.28515625" customWidth="1" style="6" min="120" max="120"/>
    <col width="15" customWidth="1" style="6" min="121" max="121"/>
    <col width="9.85546875" customWidth="1" style="6" min="122" max="122"/>
    <col width="14.28515625" customWidth="1" style="6" min="124" max="124"/>
    <col width="14.42578125" customWidth="1" style="6" min="125" max="126"/>
    <col width="15.42578125" customWidth="1" style="6" min="127" max="127"/>
    <col width="15.140625" customWidth="1" style="6" min="128" max="128"/>
    <col width="14.85546875" customWidth="1" style="6" min="129" max="129"/>
    <col width="16.28515625" customWidth="1" style="6" min="130" max="130"/>
    <col width="70.42578125" customWidth="1" style="6" min="131" max="131"/>
    <col width="71.42578125" customWidth="1" style="6" min="132" max="132"/>
    <col width="36.140625" customWidth="1" style="11" min="133" max="133"/>
    <col width="70.42578125" customWidth="1" style="6" min="134" max="134"/>
  </cols>
  <sheetData>
    <row r="1" ht="14.45" customHeight="1" s="6">
      <c r="A1" s="12" t="n">
        <v>1</v>
      </c>
      <c r="B1" s="12" t="n">
        <v>2</v>
      </c>
      <c r="C1" s="12" t="n">
        <v>3</v>
      </c>
      <c r="D1" s="12" t="n">
        <v>4</v>
      </c>
      <c r="E1" s="12" t="n">
        <v>5</v>
      </c>
      <c r="F1" s="12" t="n">
        <v>6</v>
      </c>
      <c r="G1" s="12" t="n">
        <v>7</v>
      </c>
      <c r="H1" s="12" t="n">
        <v>8</v>
      </c>
      <c r="I1" s="12" t="n">
        <v>9</v>
      </c>
      <c r="J1" s="12" t="n">
        <v>10</v>
      </c>
      <c r="K1" s="12" t="n">
        <v>11</v>
      </c>
      <c r="L1" s="12" t="n">
        <v>12</v>
      </c>
      <c r="M1" s="12" t="n">
        <v>13</v>
      </c>
      <c r="N1" s="12" t="n">
        <v>14</v>
      </c>
      <c r="O1" s="12" t="n">
        <v>15</v>
      </c>
      <c r="P1" s="12" t="n">
        <v>16</v>
      </c>
      <c r="Q1" s="12" t="n">
        <v>17</v>
      </c>
      <c r="R1" s="12" t="n">
        <v>18</v>
      </c>
      <c r="S1" s="12" t="n">
        <v>19</v>
      </c>
      <c r="T1" s="12" t="n">
        <v>20</v>
      </c>
      <c r="U1" s="12" t="n">
        <v>21</v>
      </c>
      <c r="V1" s="12" t="n">
        <v>22</v>
      </c>
      <c r="W1" s="12" t="n">
        <v>23</v>
      </c>
      <c r="X1" s="12" t="n">
        <v>24</v>
      </c>
      <c r="Y1" s="12" t="n">
        <v>25</v>
      </c>
      <c r="Z1" s="12" t="n">
        <v>26</v>
      </c>
      <c r="AA1" s="12" t="n">
        <v>27</v>
      </c>
      <c r="AB1" s="12" t="n">
        <v>28</v>
      </c>
      <c r="AC1" s="12" t="n">
        <v>29</v>
      </c>
      <c r="AD1" s="12" t="n">
        <v>30</v>
      </c>
      <c r="AE1" s="12" t="n">
        <v>31</v>
      </c>
      <c r="AF1" s="12" t="n">
        <v>32</v>
      </c>
      <c r="AG1" s="12" t="n">
        <v>33</v>
      </c>
      <c r="AH1" s="12" t="n">
        <v>34</v>
      </c>
      <c r="AI1" s="12" t="n">
        <v>35</v>
      </c>
      <c r="AJ1" s="12" t="n">
        <v>36</v>
      </c>
      <c r="AK1" s="12" t="n">
        <v>37</v>
      </c>
      <c r="AL1" s="12" t="n">
        <v>38</v>
      </c>
      <c r="AM1" s="12" t="n">
        <v>39</v>
      </c>
      <c r="AN1" s="12" t="n">
        <v>40</v>
      </c>
      <c r="AO1" s="12" t="n">
        <v>41</v>
      </c>
      <c r="AP1" s="12" t="n">
        <v>42</v>
      </c>
      <c r="AQ1" s="12" t="n">
        <v>43</v>
      </c>
      <c r="AR1" s="12" t="n">
        <v>44</v>
      </c>
      <c r="AS1" s="12" t="n">
        <v>45</v>
      </c>
      <c r="AT1" s="12" t="n">
        <v>46</v>
      </c>
      <c r="AU1" s="12" t="n">
        <v>47</v>
      </c>
      <c r="AV1" s="12" t="n">
        <v>48</v>
      </c>
      <c r="AW1" s="12" t="n">
        <v>49</v>
      </c>
      <c r="AX1" s="12" t="n">
        <v>50</v>
      </c>
      <c r="AY1" s="12" t="n">
        <v>51</v>
      </c>
      <c r="AZ1" s="12" t="n">
        <v>52</v>
      </c>
      <c r="BA1" s="12" t="n">
        <v>53</v>
      </c>
      <c r="BB1" s="12" t="n">
        <v>54</v>
      </c>
      <c r="BC1" s="12" t="n">
        <v>55</v>
      </c>
      <c r="BD1" s="12" t="n">
        <v>56</v>
      </c>
      <c r="BE1" s="12" t="n">
        <v>57</v>
      </c>
      <c r="BF1" s="12" t="n">
        <v>58</v>
      </c>
      <c r="BG1" s="12" t="n">
        <v>59</v>
      </c>
      <c r="BH1" s="12" t="n">
        <v>60</v>
      </c>
      <c r="BI1" s="12" t="n">
        <v>61</v>
      </c>
      <c r="BJ1" s="12" t="n">
        <v>62</v>
      </c>
      <c r="BK1" s="12" t="n">
        <v>63</v>
      </c>
      <c r="BL1" s="12" t="n">
        <v>64</v>
      </c>
      <c r="BM1" s="12" t="n">
        <v>65</v>
      </c>
      <c r="BN1" s="12" t="n">
        <v>66</v>
      </c>
      <c r="BO1" s="12" t="n">
        <v>67</v>
      </c>
      <c r="BP1" s="12" t="n">
        <v>68</v>
      </c>
      <c r="BQ1" s="12" t="n">
        <v>69</v>
      </c>
      <c r="BR1" s="12" t="n">
        <v>70</v>
      </c>
      <c r="BS1" s="12" t="n">
        <v>71</v>
      </c>
      <c r="BT1" s="12" t="n">
        <v>72</v>
      </c>
      <c r="BU1" s="12" t="n">
        <v>73</v>
      </c>
      <c r="BV1" s="12" t="n">
        <v>74</v>
      </c>
      <c r="BW1" s="12" t="n">
        <v>75</v>
      </c>
      <c r="BX1" s="12" t="n">
        <v>76</v>
      </c>
      <c r="BY1" s="12" t="n">
        <v>77</v>
      </c>
      <c r="BZ1" s="12" t="n">
        <v>78</v>
      </c>
      <c r="CA1" s="12" t="n">
        <v>79</v>
      </c>
      <c r="CB1" s="12" t="n">
        <v>80</v>
      </c>
      <c r="CC1" s="12" t="n">
        <v>81</v>
      </c>
      <c r="CD1" s="12" t="n">
        <v>82</v>
      </c>
      <c r="CE1" s="12" t="n">
        <v>83</v>
      </c>
      <c r="CF1" s="12" t="n">
        <v>84</v>
      </c>
      <c r="CG1" s="12" t="n">
        <v>85</v>
      </c>
      <c r="CH1" s="12" t="n">
        <v>86</v>
      </c>
      <c r="CI1" s="12" t="n">
        <v>87</v>
      </c>
      <c r="CJ1" s="12" t="n">
        <v>88</v>
      </c>
      <c r="CK1" s="12" t="n">
        <v>89</v>
      </c>
      <c r="CL1" s="12" t="n">
        <v>90</v>
      </c>
      <c r="CM1" s="12" t="n">
        <v>91</v>
      </c>
      <c r="CN1" s="12" t="n">
        <v>92</v>
      </c>
      <c r="CO1" s="12" t="n">
        <v>93</v>
      </c>
      <c r="CP1" s="12" t="n">
        <v>94</v>
      </c>
      <c r="CQ1" s="12" t="n">
        <v>95</v>
      </c>
      <c r="CR1" s="12" t="n">
        <v>96</v>
      </c>
      <c r="CS1" s="12" t="n">
        <v>97</v>
      </c>
      <c r="CT1" s="12" t="n">
        <v>98</v>
      </c>
      <c r="CU1" s="12" t="n">
        <v>99</v>
      </c>
      <c r="CV1" s="12" t="n">
        <v>100</v>
      </c>
      <c r="CW1" s="12" t="n">
        <v>101</v>
      </c>
      <c r="CX1" s="12" t="n">
        <v>102</v>
      </c>
      <c r="CY1" s="12" t="n">
        <v>103</v>
      </c>
      <c r="CZ1" s="12" t="n">
        <v>104</v>
      </c>
      <c r="DA1" s="12" t="n">
        <v>105</v>
      </c>
      <c r="DB1" s="12" t="n">
        <v>106</v>
      </c>
      <c r="DC1" s="12" t="n">
        <v>107</v>
      </c>
      <c r="DD1" s="12" t="n">
        <v>108</v>
      </c>
      <c r="DE1" s="12" t="n">
        <v>109</v>
      </c>
      <c r="DF1" s="12" t="n">
        <v>110</v>
      </c>
      <c r="DG1" s="12" t="n">
        <v>111</v>
      </c>
      <c r="DH1" s="12" t="n">
        <v>112</v>
      </c>
      <c r="DI1" s="12" t="n">
        <v>113</v>
      </c>
      <c r="DJ1" s="12" t="n">
        <v>114</v>
      </c>
      <c r="DK1" s="12" t="n">
        <v>115</v>
      </c>
      <c r="DL1" s="12" t="n">
        <v>116</v>
      </c>
      <c r="DM1" s="12" t="n">
        <v>117</v>
      </c>
      <c r="DN1" s="12" t="n">
        <v>118</v>
      </c>
      <c r="DO1" s="12" t="n">
        <v>119</v>
      </c>
      <c r="DP1" s="12" t="n">
        <v>120</v>
      </c>
      <c r="DQ1" s="12" t="n">
        <v>121</v>
      </c>
      <c r="DR1" s="12" t="n">
        <v>122</v>
      </c>
      <c r="DS1" s="12" t="n">
        <v>123</v>
      </c>
      <c r="DT1" s="12" t="n">
        <v>124</v>
      </c>
      <c r="DU1" s="12" t="n">
        <v>125</v>
      </c>
      <c r="DV1" s="12" t="n">
        <v>126</v>
      </c>
      <c r="DW1" s="12" t="n">
        <v>127</v>
      </c>
      <c r="DX1" s="12" t="n">
        <v>128</v>
      </c>
      <c r="DY1" s="12" t="n">
        <v>129</v>
      </c>
      <c r="DZ1" s="12" t="n">
        <v>130</v>
      </c>
      <c r="EA1" s="12" t="n">
        <v>131</v>
      </c>
      <c r="EB1" s="12" t="n">
        <v>132</v>
      </c>
      <c r="EC1" s="12" t="n">
        <v>133</v>
      </c>
      <c r="ED1" s="12" t="n">
        <v>134</v>
      </c>
    </row>
    <row r="2" ht="30.95" customFormat="1" customHeight="1" s="5">
      <c r="A2" s="13" t="n"/>
      <c r="B2" s="14" t="n"/>
      <c r="C2" s="13" t="n"/>
      <c r="D2" s="13" t="n"/>
      <c r="E2" s="13" t="n"/>
      <c r="F2" s="13" t="n"/>
      <c r="G2" s="13" t="n"/>
      <c r="H2" s="13" t="n"/>
      <c r="I2" s="13" t="n"/>
      <c r="J2" s="205" t="inlineStr">
        <is>
          <t>General Mathematics</t>
        </is>
      </c>
      <c r="K2" s="195" t="n"/>
      <c r="L2" s="195" t="n"/>
      <c r="M2" s="195" t="n"/>
      <c r="N2" s="195" t="n"/>
      <c r="O2" s="196" t="n"/>
      <c r="P2" s="194" t="inlineStr">
        <is>
          <t>English Language</t>
        </is>
      </c>
      <c r="Q2" s="195" t="n"/>
      <c r="R2" s="195" t="n"/>
      <c r="S2" s="195" t="n"/>
      <c r="T2" s="195" t="n"/>
      <c r="U2" s="196" t="n"/>
      <c r="V2" s="198" t="inlineStr">
        <is>
          <t>Basic Science</t>
        </is>
      </c>
      <c r="W2" s="195" t="n"/>
      <c r="X2" s="195" t="n"/>
      <c r="Y2" s="195" t="n"/>
      <c r="Z2" s="195" t="n"/>
      <c r="AA2" s="196" t="n"/>
      <c r="AB2" s="197" t="inlineStr">
        <is>
          <t>Basic Technology</t>
        </is>
      </c>
      <c r="AC2" s="195" t="n"/>
      <c r="AD2" s="195" t="n"/>
      <c r="AE2" s="195" t="n"/>
      <c r="AF2" s="195" t="n"/>
      <c r="AG2" s="196" t="n"/>
      <c r="AH2" s="198" t="inlineStr">
        <is>
          <t>Business Studies</t>
        </is>
      </c>
      <c r="AI2" s="195" t="n"/>
      <c r="AJ2" s="195" t="n"/>
      <c r="AK2" s="195" t="n"/>
      <c r="AL2" s="195" t="n"/>
      <c r="AM2" s="196" t="n"/>
      <c r="AN2" s="197" t="inlineStr">
        <is>
          <t>CCA</t>
        </is>
      </c>
      <c r="AO2" s="195" t="n"/>
      <c r="AP2" s="195" t="n"/>
      <c r="AQ2" s="195" t="n"/>
      <c r="AR2" s="195" t="n"/>
      <c r="AS2" s="196" t="n"/>
      <c r="AT2" s="203" t="inlineStr">
        <is>
          <t>Social Studies</t>
        </is>
      </c>
      <c r="AU2" s="195" t="n"/>
      <c r="AV2" s="195" t="n"/>
      <c r="AW2" s="195" t="n"/>
      <c r="AX2" s="195" t="n"/>
      <c r="AY2" s="196" t="n"/>
      <c r="AZ2" s="204" t="inlineStr">
        <is>
          <t>Agriculture-Science</t>
        </is>
      </c>
      <c r="BA2" s="195" t="n"/>
      <c r="BB2" s="195" t="n"/>
      <c r="BC2" s="195" t="n"/>
      <c r="BD2" s="195" t="n"/>
      <c r="BE2" s="196" t="n"/>
      <c r="BF2" s="198" t="inlineStr">
        <is>
          <t>Yoruba</t>
        </is>
      </c>
      <c r="BG2" s="195" t="n"/>
      <c r="BH2" s="195" t="n"/>
      <c r="BI2" s="195" t="n"/>
      <c r="BJ2" s="195" t="n"/>
      <c r="BK2" s="196" t="n"/>
      <c r="BL2" s="197" t="inlineStr">
        <is>
          <t>PHE</t>
        </is>
      </c>
      <c r="BM2" s="195" t="n"/>
      <c r="BN2" s="195" t="n"/>
      <c r="BO2" s="195" t="n"/>
      <c r="BP2" s="195" t="n"/>
      <c r="BQ2" s="196" t="n"/>
      <c r="BR2" s="198" t="inlineStr">
        <is>
          <t>Home-Economics</t>
        </is>
      </c>
      <c r="BS2" s="195" t="n"/>
      <c r="BT2" s="195" t="n"/>
      <c r="BU2" s="195" t="n"/>
      <c r="BV2" s="195" t="n"/>
      <c r="BW2" s="196" t="n"/>
      <c r="BX2" s="197" t="inlineStr">
        <is>
          <t>Civic Education</t>
        </is>
      </c>
      <c r="BY2" s="195" t="n"/>
      <c r="BZ2" s="195" t="n"/>
      <c r="CA2" s="195" t="n"/>
      <c r="CB2" s="195" t="n"/>
      <c r="CC2" s="196" t="n"/>
      <c r="CD2" s="198" t="inlineStr">
        <is>
          <t>Computer Studies</t>
        </is>
      </c>
      <c r="CE2" s="195" t="n"/>
      <c r="CF2" s="195" t="n"/>
      <c r="CG2" s="195" t="n"/>
      <c r="CH2" s="195" t="n"/>
      <c r="CI2" s="196" t="n"/>
      <c r="CJ2" s="197" t="inlineStr">
        <is>
          <t>History</t>
        </is>
      </c>
      <c r="CK2" s="195" t="n"/>
      <c r="CL2" s="195" t="n"/>
      <c r="CM2" s="195" t="n"/>
      <c r="CN2" s="195" t="n"/>
      <c r="CO2" s="196" t="n"/>
      <c r="CP2" s="198" t="inlineStr">
        <is>
          <t>Islamic Studies</t>
        </is>
      </c>
      <c r="CQ2" s="195" t="n"/>
      <c r="CR2" s="195" t="n"/>
      <c r="CS2" s="195" t="n"/>
      <c r="CT2" s="195" t="n"/>
      <c r="CU2" s="196" t="n"/>
      <c r="CV2" s="197" t="inlineStr">
        <is>
          <t>C.R.S</t>
        </is>
      </c>
      <c r="CW2" s="195" t="n"/>
      <c r="CX2" s="195" t="n"/>
      <c r="CY2" s="195" t="n"/>
      <c r="CZ2" s="195" t="n"/>
      <c r="DA2" s="196" t="n"/>
      <c r="DB2" s="198" t="inlineStr">
        <is>
          <t>French</t>
        </is>
      </c>
      <c r="DC2" s="195" t="n"/>
      <c r="DD2" s="195" t="n"/>
      <c r="DE2" s="195" t="n"/>
      <c r="DF2" s="195" t="n"/>
      <c r="DG2" s="196" t="n"/>
      <c r="DH2" s="32" t="n"/>
      <c r="DI2" s="35" t="n"/>
      <c r="DJ2" s="199" t="inlineStr">
        <is>
          <t>AFFECTIVE DOMAIN</t>
        </is>
      </c>
      <c r="DK2" s="200" t="n"/>
      <c r="DL2" s="200" t="n"/>
      <c r="DM2" s="200" t="n"/>
      <c r="DN2" s="200" t="n"/>
      <c r="DO2" s="200" t="n"/>
      <c r="DP2" s="200" t="n"/>
      <c r="DQ2" s="200" t="n"/>
      <c r="DR2" s="41" t="n"/>
      <c r="DS2" s="42" t="n"/>
      <c r="DT2" s="201" t="inlineStr">
        <is>
          <t>PSYCHOMOTOR DOMAIN</t>
        </is>
      </c>
      <c r="DU2" s="200" t="n"/>
      <c r="DV2" s="200" t="n"/>
      <c r="DW2" s="200" t="n"/>
      <c r="DX2" s="200" t="n"/>
      <c r="DY2" s="200" t="n"/>
      <c r="DZ2" s="202" t="n"/>
      <c r="EA2" s="46" t="n"/>
      <c r="EB2" s="47" t="n"/>
      <c r="EC2" s="47" t="n"/>
      <c r="ED2" s="47" t="n"/>
      <c r="EE2" s="48" t="n"/>
      <c r="EF2" s="48" t="n"/>
    </row>
    <row r="3" ht="69.59999999999999" customFormat="1" customHeight="1" s="5">
      <c r="A3" s="15" t="inlineStr">
        <is>
          <t>S/N</t>
        </is>
      </c>
      <c r="B3" s="16" t="inlineStr">
        <is>
          <t>Name</t>
        </is>
      </c>
      <c r="C3" s="16" t="inlineStr">
        <is>
          <t>Admission Number</t>
        </is>
      </c>
      <c r="D3" s="16" t="inlineStr">
        <is>
          <t>Gender</t>
        </is>
      </c>
      <c r="E3" s="17" t="inlineStr">
        <is>
          <t>Class</t>
        </is>
      </c>
      <c r="F3" s="17" t="inlineStr">
        <is>
          <t>NO OF STUDENTS IN CLASS</t>
        </is>
      </c>
      <c r="G3" s="17" t="inlineStr">
        <is>
          <t>NO OF TIMES SCHOOL OPENED</t>
        </is>
      </c>
      <c r="H3" s="17" t="inlineStr">
        <is>
          <t>NO OF TIMES PRESENT</t>
        </is>
      </c>
      <c r="I3" s="17" t="inlineStr">
        <is>
          <t>NO OF TIMES ABSENT</t>
        </is>
      </c>
      <c r="J3" s="23" t="inlineStr">
        <is>
          <t>3RD  TERM  C.A. (30%)</t>
        </is>
      </c>
      <c r="K3" s="23" t="inlineStr">
        <is>
          <t>3RD  TERM EXAM (70%)</t>
        </is>
      </c>
      <c r="L3" s="23" t="inlineStr">
        <is>
          <t>3RD  TERM  TOTAL (100%)</t>
        </is>
      </c>
      <c r="M3" s="23" t="inlineStr">
        <is>
          <t>2ND  TERM TOTAL (100%)</t>
        </is>
      </c>
      <c r="N3" s="23" t="inlineStr">
        <is>
          <t>1ST  TERM TOTAL  (100%)</t>
        </is>
      </c>
      <c r="O3" s="24" t="inlineStr">
        <is>
          <t xml:space="preserve"> AVERAGE SCORE</t>
        </is>
      </c>
      <c r="P3" s="25" t="inlineStr">
        <is>
          <t>3RD  TERM C.A.    (30%)</t>
        </is>
      </c>
      <c r="Q3" s="23" t="inlineStr">
        <is>
          <t>3RD  TERM  EXAM (70%)</t>
        </is>
      </c>
      <c r="R3" s="23" t="inlineStr">
        <is>
          <t>3RD  TERM  TOTAL (100%)</t>
        </is>
      </c>
      <c r="S3" s="23" t="inlineStr">
        <is>
          <t>2ND  TERM TOTAL (100%)</t>
        </is>
      </c>
      <c r="T3" s="23" t="inlineStr">
        <is>
          <t>1ST  TERM TOTAL (100%)</t>
        </is>
      </c>
      <c r="U3" s="24" t="inlineStr">
        <is>
          <t xml:space="preserve"> AVERAGE SCORE</t>
        </is>
      </c>
      <c r="V3" s="25" t="inlineStr">
        <is>
          <t>3RD TERM C.A.  (30%)</t>
        </is>
      </c>
      <c r="W3" s="25" t="inlineStr">
        <is>
          <t>3RD  TERM EXAM (70%)</t>
        </is>
      </c>
      <c r="X3" s="23" t="inlineStr">
        <is>
          <t>3RD  TERM  TOTAL (100%)</t>
        </is>
      </c>
      <c r="Y3" s="23" t="inlineStr">
        <is>
          <t>2ND  TERM TOTAL (100%)</t>
        </is>
      </c>
      <c r="Z3" s="23" t="inlineStr">
        <is>
          <t>1ST  TERM TOTAL (100%)</t>
        </is>
      </c>
      <c r="AA3" s="24" t="inlineStr">
        <is>
          <t>AVERAGE SCORE</t>
        </is>
      </c>
      <c r="AB3" s="25" t="inlineStr">
        <is>
          <t>3RD TERM C.A. (30%)</t>
        </is>
      </c>
      <c r="AC3" s="25" t="inlineStr">
        <is>
          <t>3RD  TERM EXAM (70%)</t>
        </is>
      </c>
      <c r="AD3" s="23" t="inlineStr">
        <is>
          <t>3RD  TERM  TOTAL (100%)</t>
        </is>
      </c>
      <c r="AE3" s="23" t="inlineStr">
        <is>
          <t>2ND  TERM TOTAL (100%)</t>
        </is>
      </c>
      <c r="AF3" s="23" t="inlineStr">
        <is>
          <t>1ST  TERM TOTAL (100%)</t>
        </is>
      </c>
      <c r="AG3" s="24" t="inlineStr">
        <is>
          <t>AVERAGE SCORE</t>
        </is>
      </c>
      <c r="AH3" s="25" t="inlineStr">
        <is>
          <t>3RD  TERM C.A. (30%)</t>
        </is>
      </c>
      <c r="AI3" s="25" t="inlineStr">
        <is>
          <t>3RD  TERM EXAM (70%)</t>
        </is>
      </c>
      <c r="AJ3" s="23" t="inlineStr">
        <is>
          <t>3RD  TERM  TOTAL (100%)</t>
        </is>
      </c>
      <c r="AK3" s="23" t="inlineStr">
        <is>
          <t>2ND  TERM TOTAL (100%)</t>
        </is>
      </c>
      <c r="AL3" s="23" t="inlineStr">
        <is>
          <t>1ST  TERM TOTAL (100%)</t>
        </is>
      </c>
      <c r="AM3" s="24" t="inlineStr">
        <is>
          <t>AVERAGE SCORE</t>
        </is>
      </c>
      <c r="AN3" s="25" t="inlineStr">
        <is>
          <t>3RD TERM C.A. (30%)</t>
        </is>
      </c>
      <c r="AO3" s="25" t="inlineStr">
        <is>
          <t>3RD  TERM EXAM (70%)</t>
        </is>
      </c>
      <c r="AP3" s="23" t="inlineStr">
        <is>
          <t>3RD  TERM  TOTAL   (100%)</t>
        </is>
      </c>
      <c r="AQ3" s="23" t="inlineStr">
        <is>
          <t>2ND  TERM TOTAL (100%)</t>
        </is>
      </c>
      <c r="AR3" s="23" t="inlineStr">
        <is>
          <t>1ST  TERM TOTAL (100%)</t>
        </is>
      </c>
      <c r="AS3" s="24" t="inlineStr">
        <is>
          <t>AVERAGE SCORE</t>
        </is>
      </c>
      <c r="AT3" s="25" t="inlineStr">
        <is>
          <t>3RD TERM C.A. (30%)</t>
        </is>
      </c>
      <c r="AU3" s="25" t="inlineStr">
        <is>
          <t>3RD  TERM EXAM (70%)</t>
        </is>
      </c>
      <c r="AV3" s="23" t="inlineStr">
        <is>
          <t>3RD  TERM  TOTAL (100%)</t>
        </is>
      </c>
      <c r="AW3" s="23" t="inlineStr">
        <is>
          <t>2ND  TERM TOTAL (100%)</t>
        </is>
      </c>
      <c r="AX3" s="23" t="inlineStr">
        <is>
          <t>1ST  TERM TOTAL (100%)</t>
        </is>
      </c>
      <c r="AY3" s="24" t="inlineStr">
        <is>
          <t>AVERAGE SCORE</t>
        </is>
      </c>
      <c r="AZ3" s="25" t="inlineStr">
        <is>
          <t>3RD TERM C.A. (30%)</t>
        </is>
      </c>
      <c r="BA3" s="25" t="inlineStr">
        <is>
          <t>3RD  TERM EXAM (70%)</t>
        </is>
      </c>
      <c r="BB3" s="23" t="inlineStr">
        <is>
          <t>3RD  TERM  TOTAL (100%)</t>
        </is>
      </c>
      <c r="BC3" s="23" t="inlineStr">
        <is>
          <t>2ND  TERM TOTAL (100%)</t>
        </is>
      </c>
      <c r="BD3" s="23" t="inlineStr">
        <is>
          <t>1ST  TERM TOTAL  (100%)</t>
        </is>
      </c>
      <c r="BE3" s="24" t="inlineStr">
        <is>
          <t>AVERAGE SCORE</t>
        </is>
      </c>
      <c r="BF3" s="25" t="inlineStr">
        <is>
          <t>3RD TERM C.A. (30%)</t>
        </is>
      </c>
      <c r="BG3" s="25" t="inlineStr">
        <is>
          <t>3RD  TERM EXAM (70%)</t>
        </is>
      </c>
      <c r="BH3" s="23" t="inlineStr">
        <is>
          <t>3RD  TERM  TOTAL (100%)</t>
        </is>
      </c>
      <c r="BI3" s="23" t="inlineStr">
        <is>
          <t>2ND  TERM TOTAL (100%)</t>
        </is>
      </c>
      <c r="BJ3" s="23" t="inlineStr">
        <is>
          <t>1ST  TERM TOTAL (100%)</t>
        </is>
      </c>
      <c r="BK3" s="24" t="inlineStr">
        <is>
          <t>AVERAGE SCORE</t>
        </is>
      </c>
      <c r="BL3" s="25" t="inlineStr">
        <is>
          <t>3RD TERM C.A. (30%)</t>
        </is>
      </c>
      <c r="BM3" s="25" t="inlineStr">
        <is>
          <t>3RD  TERM EXAM (70%)</t>
        </is>
      </c>
      <c r="BN3" s="23" t="inlineStr">
        <is>
          <t>3RD  TERM  TOTAL (100%)</t>
        </is>
      </c>
      <c r="BO3" s="23" t="inlineStr">
        <is>
          <t>2ND  TERM TOTAL (100%)</t>
        </is>
      </c>
      <c r="BP3" s="23" t="inlineStr">
        <is>
          <t>1ST  TERM TOTAL (100%)</t>
        </is>
      </c>
      <c r="BQ3" s="24" t="inlineStr">
        <is>
          <t>AVERAGE SCORE</t>
        </is>
      </c>
      <c r="BR3" s="25" t="inlineStr">
        <is>
          <t>3RD TERM C.A. (30%)</t>
        </is>
      </c>
      <c r="BS3" s="25" t="inlineStr">
        <is>
          <t>3RD  TERM EXAM (70%)</t>
        </is>
      </c>
      <c r="BT3" s="23" t="inlineStr">
        <is>
          <t>3RD  TERM  TOTAL (100%)</t>
        </is>
      </c>
      <c r="BU3" s="23" t="inlineStr">
        <is>
          <t>2ND  TERM TOTAL (100%)</t>
        </is>
      </c>
      <c r="BV3" s="23" t="inlineStr">
        <is>
          <t>1ST  TERM TOTAL (100%)</t>
        </is>
      </c>
      <c r="BW3" s="24" t="inlineStr">
        <is>
          <t>AVERAGE SCORE</t>
        </is>
      </c>
      <c r="BX3" s="25" t="inlineStr">
        <is>
          <t>3RD TERM C.A. (30%)</t>
        </is>
      </c>
      <c r="BY3" s="25" t="inlineStr">
        <is>
          <t>3RD  TERM EXAM (70%)</t>
        </is>
      </c>
      <c r="BZ3" s="23" t="inlineStr">
        <is>
          <t>3RD  TERM  TOTAL (100%)</t>
        </is>
      </c>
      <c r="CA3" s="23" t="inlineStr">
        <is>
          <t>2ND  TERM TOTAL (100%)</t>
        </is>
      </c>
      <c r="CB3" s="23" t="inlineStr">
        <is>
          <t>1ST  TERM TOTAL (100%)</t>
        </is>
      </c>
      <c r="CC3" s="24" t="inlineStr">
        <is>
          <t>AVERAGE SCORE</t>
        </is>
      </c>
      <c r="CD3" s="25" t="inlineStr">
        <is>
          <t>3RD TERM C.A. (30%)</t>
        </is>
      </c>
      <c r="CE3" s="25" t="inlineStr">
        <is>
          <t>3RD  TERM EXAM (70%)</t>
        </is>
      </c>
      <c r="CF3" s="23" t="inlineStr">
        <is>
          <t>3RD  TERM  TOTAL (100%)</t>
        </is>
      </c>
      <c r="CG3" s="23" t="inlineStr">
        <is>
          <t>2ND  TERM TOTAL (100%)</t>
        </is>
      </c>
      <c r="CH3" s="23" t="inlineStr">
        <is>
          <t>1ST  TERM TOTAL (100%)</t>
        </is>
      </c>
      <c r="CI3" s="24" t="inlineStr">
        <is>
          <t>AVERAGE SCORE</t>
        </is>
      </c>
      <c r="CJ3" s="25" t="inlineStr">
        <is>
          <t>3RD TERM C.A. (30%)</t>
        </is>
      </c>
      <c r="CK3" s="25" t="inlineStr">
        <is>
          <t>3RD  TERM EXAM (70%)</t>
        </is>
      </c>
      <c r="CL3" s="23" t="inlineStr">
        <is>
          <t>3RD  TERM  TOTAL (100%)</t>
        </is>
      </c>
      <c r="CM3" s="23" t="inlineStr">
        <is>
          <t>2ND  TERM TOTAL (100%)</t>
        </is>
      </c>
      <c r="CN3" s="23" t="inlineStr">
        <is>
          <t>1ST  TERM TOTAL (100%)</t>
        </is>
      </c>
      <c r="CO3" s="24" t="inlineStr">
        <is>
          <t>AVERAGE SCORE</t>
        </is>
      </c>
      <c r="CP3" s="25" t="inlineStr">
        <is>
          <t>3RD TERM C.A. (30%)</t>
        </is>
      </c>
      <c r="CQ3" s="25" t="inlineStr">
        <is>
          <t>3RD  TERM EXAM (70%)</t>
        </is>
      </c>
      <c r="CR3" s="23" t="inlineStr">
        <is>
          <t>3RD  TERM  TOTAL (100%)</t>
        </is>
      </c>
      <c r="CS3" s="23" t="inlineStr">
        <is>
          <t>2ND  TERM TOTAL (100%)</t>
        </is>
      </c>
      <c r="CT3" s="23" t="inlineStr">
        <is>
          <t>1ST  TERM TOTAL (100%)</t>
        </is>
      </c>
      <c r="CU3" s="24" t="inlineStr">
        <is>
          <t>AVERAGE SCORE</t>
        </is>
      </c>
      <c r="CV3" s="25" t="inlineStr">
        <is>
          <t>3RD TERM C.A. (30%)</t>
        </is>
      </c>
      <c r="CW3" s="25" t="inlineStr">
        <is>
          <t>3RD  TERM EXAM (70%)</t>
        </is>
      </c>
      <c r="CX3" s="23" t="inlineStr">
        <is>
          <t>3RD  TERM  TOTAL (100%)</t>
        </is>
      </c>
      <c r="CY3" s="23" t="inlineStr">
        <is>
          <t>2ND  TERM TOTAL (100%)</t>
        </is>
      </c>
      <c r="CZ3" s="23" t="inlineStr">
        <is>
          <t>1ST  TERM TOTAL (100%)</t>
        </is>
      </c>
      <c r="DA3" s="24" t="inlineStr">
        <is>
          <t>AVERAGE SCORE</t>
        </is>
      </c>
      <c r="DB3" s="25" t="inlineStr">
        <is>
          <t>3RD TERM C.A. (30%)</t>
        </is>
      </c>
      <c r="DC3" s="25" t="inlineStr">
        <is>
          <t>3RD  TERM EXAM (70%)</t>
        </is>
      </c>
      <c r="DD3" s="23" t="inlineStr">
        <is>
          <t>3RD  TERM  TOTAL (100%)</t>
        </is>
      </c>
      <c r="DE3" s="23" t="inlineStr">
        <is>
          <t>2ND  TERM TOTAL (100%)</t>
        </is>
      </c>
      <c r="DF3" s="23" t="inlineStr">
        <is>
          <t>1ST  TERM TOTAL (100%)</t>
        </is>
      </c>
      <c r="DG3" s="24" t="inlineStr">
        <is>
          <t>AVERAGE SCORE</t>
        </is>
      </c>
      <c r="DH3" s="33" t="inlineStr">
        <is>
          <t>TOTAL SCORE</t>
        </is>
      </c>
      <c r="DI3" s="36" t="inlineStr">
        <is>
          <t>POSITION</t>
        </is>
      </c>
      <c r="DJ3" s="37" t="inlineStr">
        <is>
          <t>PUNCTUALITY</t>
        </is>
      </c>
      <c r="DK3" s="38" t="inlineStr">
        <is>
          <t>NEATNESS</t>
        </is>
      </c>
      <c r="DL3" s="37" t="inlineStr">
        <is>
          <t>ATTENTIVENESS</t>
        </is>
      </c>
      <c r="DM3" s="37" t="inlineStr">
        <is>
          <t>RELATIONSHIP WITH OTHERS</t>
        </is>
      </c>
      <c r="DN3" s="37" t="inlineStr">
        <is>
          <t>POLITENESS</t>
        </is>
      </c>
      <c r="DO3" s="37" t="inlineStr">
        <is>
          <t>RESPONSIVENESS</t>
        </is>
      </c>
      <c r="DP3" s="37" t="inlineStr">
        <is>
          <t>COMMITMENT</t>
        </is>
      </c>
      <c r="DQ3" s="37" t="inlineStr">
        <is>
          <t>CONSISTENCY</t>
        </is>
      </c>
      <c r="DR3" s="43" t="inlineStr">
        <is>
          <t>ACADEMIC SESSION</t>
        </is>
      </c>
      <c r="DS3" s="43" t="inlineStr">
        <is>
          <t>TERM</t>
        </is>
      </c>
      <c r="DT3" s="44" t="inlineStr">
        <is>
          <t>CRAFTS/ DRAWING &amp; PAINTING</t>
        </is>
      </c>
      <c r="DU3" s="38" t="inlineStr">
        <is>
          <t>TECHNICAL SKILLS</t>
        </is>
      </c>
      <c r="DV3" s="38" t="inlineStr">
        <is>
          <t>ICT SKILLS</t>
        </is>
      </c>
      <c r="DW3" s="38" t="inlineStr">
        <is>
          <t>GARDENING/ FARMING SKILLS</t>
        </is>
      </c>
      <c r="DX3" s="38" t="inlineStr">
        <is>
          <t>GAMES &amp; SPORTS</t>
        </is>
      </c>
      <c r="DY3" s="38" t="inlineStr">
        <is>
          <t>CREATIVITY &amp; INITIATIVE</t>
        </is>
      </c>
      <c r="DZ3" s="49" t="inlineStr">
        <is>
          <t>VERBAL FLUENCY</t>
        </is>
      </c>
      <c r="EA3" s="50" t="inlineStr">
        <is>
          <t>CLASS TUTORS COMMENT</t>
        </is>
      </c>
      <c r="EB3" s="51" t="inlineStr">
        <is>
          <t>PRINCIPAL'S COMMENT</t>
        </is>
      </c>
      <c r="EC3" s="52" t="inlineStr">
        <is>
          <t>TUTOR'S NAME</t>
        </is>
      </c>
      <c r="ED3" s="52" t="inlineStr">
        <is>
          <t>NEXT TERM BEGINS</t>
        </is>
      </c>
    </row>
    <row r="4" ht="41.45" customHeight="1" s="6">
      <c r="A4" s="18" t="n">
        <v>1</v>
      </c>
      <c r="B4" s="19" t="inlineStr">
        <is>
          <t>ADEROGBA BLESSING A.</t>
        </is>
      </c>
      <c r="C4" s="20" t="inlineStr">
        <is>
          <t>1800</t>
        </is>
      </c>
      <c r="D4" s="128" t="inlineStr">
        <is>
          <t>Male</t>
        </is>
      </c>
      <c r="E4" s="21" t="inlineStr">
        <is>
          <t>JSS 2C</t>
        </is>
      </c>
      <c r="F4" s="21" t="n">
        <v>31</v>
      </c>
      <c r="G4" s="21" t="n">
        <v>122</v>
      </c>
      <c r="H4" s="21" t="n">
        <v>108</v>
      </c>
      <c r="I4" s="26">
        <f>G4-H4</f>
        <v/>
      </c>
      <c r="J4" s="21" t="n">
        <v>24</v>
      </c>
      <c r="K4" s="21" t="n">
        <v>24</v>
      </c>
      <c r="L4" s="27">
        <f>SUM(J4:K4)</f>
        <v/>
      </c>
      <c r="M4" s="28" t="n">
        <v>23</v>
      </c>
      <c r="N4" s="28" t="n">
        <v>28</v>
      </c>
      <c r="O4" s="29">
        <f>IF(AND(L4=0,M4=0,N4=0),0,IF(AND(L4=0,M4=0),N4/1,IF(AND(L4=0,N4=0),M4/1,IF(AND(M4=0,N4=0),L4/1,IF(L4=0,FLOOR((M4+N4)/2,0.1),IF(M4=0,(L4+N4)/2,IF(N4=0,(M4+L4)/2,FLOOR(((L4+M4+N4)/3),0.1))))))))</f>
        <v/>
      </c>
      <c r="P4" s="21" t="n">
        <v>13</v>
      </c>
      <c r="Q4" s="21" t="n">
        <v>27</v>
      </c>
      <c r="R4" s="27">
        <f>SUM(P4:Q4)</f>
        <v/>
      </c>
      <c r="S4" s="28" t="n">
        <v>34</v>
      </c>
      <c r="T4" s="28" t="n">
        <v>46</v>
      </c>
      <c r="U4" s="29">
        <f>IF(AND(R4=0,S4=0,T4=0),0,IF(AND(R4=0,S4=0),T4/1,IF(AND(R4=0,T4=0),S4/1,IF(AND(S4=0,T4=0),R4/1,IF(R4=0,FLOOR((S4+T4)/2,0.1),IF(S4=0,(R4+T4)/2,IF(T4=0,(S4+R4)/2,FLOOR(((R4+S4+T4)/3),0.1))))))))</f>
        <v/>
      </c>
      <c r="V4" s="21" t="n">
        <v>21</v>
      </c>
      <c r="W4" s="21" t="n">
        <v>12</v>
      </c>
      <c r="X4" s="27">
        <f>SUM(V4:W4)</f>
        <v/>
      </c>
      <c r="Y4" s="28" t="n">
        <v>47</v>
      </c>
      <c r="Z4" s="28" t="n">
        <v>40</v>
      </c>
      <c r="AA4" s="29">
        <f>IF(AND(X4=0,Y4=0,Z4=0),0,IF(AND(X4=0,Y4=0),Z4/1,IF(AND(X4=0,Z4=0),Y4/1,IF(AND(Y4=0,Z4=0),X4/1,IF(X4=0,FLOOR((Y4+Z4)/2,0.1),IF(Y4=0,(X4+Z4)/2,IF(Z4=0,(Y4+X4)/2,FLOOR(((X4+Y4+Z4)/3),0.1))))))))</f>
        <v/>
      </c>
      <c r="AB4" s="21" t="n">
        <v>18</v>
      </c>
      <c r="AC4" s="21" t="n">
        <v>41</v>
      </c>
      <c r="AD4" s="27">
        <f>SUM(AB4:AC4)</f>
        <v/>
      </c>
      <c r="AE4" s="28" t="n">
        <v>35</v>
      </c>
      <c r="AF4" s="28" t="n">
        <v>47</v>
      </c>
      <c r="AG4" s="29">
        <f>IF(AND(AD4=0,AE4=0,AF4=0),0,IF(AND(AD4=0,AE4=0),AF4/1,IF(AND(AD4=0,AF4=0),AE4/1,IF(AND(AE4=0,AF4=0),AD4/1,IF(AD4=0,FLOOR((AE4+AF4)/2,0.1),IF(AE4=0,(AD4+AF4)/2,IF(AF4=0,(AE4+AD4)/2,FLOOR(((AD4+AE4+AF4)/3),0.1))))))))</f>
        <v/>
      </c>
      <c r="AH4" s="21" t="n">
        <v>17</v>
      </c>
      <c r="AI4" s="21" t="n">
        <v>30</v>
      </c>
      <c r="AJ4" s="27">
        <f>SUM(AH4:AI4)</f>
        <v/>
      </c>
      <c r="AK4" s="28" t="n">
        <v>43</v>
      </c>
      <c r="AL4" s="28" t="n">
        <v>34</v>
      </c>
      <c r="AM4" s="29">
        <f>IF(AND(AJ4=0,AK4=0,AL4=0),0,IF(AND(AJ4=0,AK4=0),AL4/1,IF(AND(AJ4=0,AL4=0),AK4/1,IF(AND(AK4=0,AL4=0),AJ4/1,IF(AJ4=0,FLOOR((AK4+AL4)/2,0.1),IF(AK4=0,(AJ4+AL4)/2,IF(AL4=0,(AK4+AJ4)/2,FLOOR(((AJ4+AK4+AL4)/3),0.1))))))))</f>
        <v/>
      </c>
      <c r="AN4" s="21" t="n"/>
      <c r="AO4" s="21" t="n"/>
      <c r="AP4" s="27">
        <f>SUM(AN4:AO4)</f>
        <v/>
      </c>
      <c r="AQ4" s="28" t="n"/>
      <c r="AR4" s="30" t="n"/>
      <c r="AS4" s="29">
        <f>IF(AND(AP4=0,AQ4=0,AR4=0),0,IF(AND(AP4=0,AQ4=0),AR4/1,IF(AND(AP4=0,AR4=0),AQ4/1,IF(AND(AQ4=0,AR4=0),AP4/1,IF(AP4=0,FLOOR((AQ4+AR4)/2,0.1),IF(AQ4=0,(AP4+AR4)/2,IF(AR4=0,(AQ4+AP4)/2,FLOOR(((AP4+AQ4+AR4)/3),0.1))))))))</f>
        <v/>
      </c>
      <c r="AT4" s="21" t="n">
        <v>30</v>
      </c>
      <c r="AU4" s="21" t="n">
        <v>27</v>
      </c>
      <c r="AV4" s="27">
        <f>SUM(AT4:AU4)</f>
        <v/>
      </c>
      <c r="AW4" s="28" t="n">
        <v>37</v>
      </c>
      <c r="AX4" s="30" t="n">
        <v>49</v>
      </c>
      <c r="AY4" s="29">
        <f>IF(AND(AV4=0,AW4=0,AX4=0),0,IF(AND(AV4=0,AW4=0),AX4/1,IF(AND(AV4=0,AX4=0),AW4/1,IF(AND(AW4=0,AX4=0),AV4/1,IF(AV4=0,FLOOR((AW4+AX4)/2,0.1),IF(AW4=0,(AV4+AX4)/2,IF(AX4=0,(AW4+AV4)/2,FLOOR(((AV4+AW4+AX4)/3),0.1))))))))</f>
        <v/>
      </c>
      <c r="AZ4" s="21" t="n">
        <v>22</v>
      </c>
      <c r="BA4" s="21" t="n">
        <v>32</v>
      </c>
      <c r="BB4" s="27">
        <f>SUM(AZ4:BA4)</f>
        <v/>
      </c>
      <c r="BC4" s="28" t="n">
        <v>49</v>
      </c>
      <c r="BD4" s="28" t="n">
        <v>52</v>
      </c>
      <c r="BE4" s="29">
        <f>IF(AND(BB4=0,BC4=0,BD4=0),0,IF(AND(BB4=0,BC4=0),BD4/1,IF(AND(BB4=0,BD4=0),BC4/1,IF(AND(BC4=0,BD4=0),BB4/1,IF(BB4=0,FLOOR((BC4+BD4)/2,0.1),IF(BC4=0,(BB4+BD4)/2,IF(BD4=0,(BC4+BB4)/2,FLOOR(((BB4+BC4+BD4)/3),0.1))))))))</f>
        <v/>
      </c>
      <c r="BF4" s="21" t="n">
        <v>17</v>
      </c>
      <c r="BG4" s="21" t="n">
        <v>40</v>
      </c>
      <c r="BH4" s="27">
        <f>SUM(BF4:BG4)</f>
        <v/>
      </c>
      <c r="BI4" s="28" t="n">
        <v>49</v>
      </c>
      <c r="BJ4" s="28" t="n">
        <v>34</v>
      </c>
      <c r="BK4" s="29">
        <f>IF(AND(BH4=0,BI4=0,BJ4=0),0,IF(AND(BH4=0,BI4=0),BJ4/1,IF(AND(BH4=0,BJ4=0),BI4/1,IF(AND(BI4=0,BJ4=0),BH4/1,IF(BH4=0,FLOOR((BI4+BJ4)/2,0.1),IF(BI4=0,(BH4+BJ4)/2,IF(BJ4=0,(BI4+BH4)/2,FLOOR(((BH4+BI4+BJ4)/3),0.1))))))))</f>
        <v/>
      </c>
      <c r="BL4" s="21" t="n">
        <v>17</v>
      </c>
      <c r="BM4" s="21" t="n">
        <v>33</v>
      </c>
      <c r="BN4" s="27">
        <f>SUM(BL4:BM4)</f>
        <v/>
      </c>
      <c r="BO4" s="28" t="n">
        <v>31</v>
      </c>
      <c r="BP4" s="31" t="n">
        <v>51</v>
      </c>
      <c r="BQ4" s="29">
        <f>IF(AND(BN4=0,BO4=0,BP4=0),0,IF(AND(BN4=0,BO4=0),BP4/1,IF(AND(BN4=0,BP4=0),BO4/1,IF(AND(BO4=0,BP4=0),BN4/1,IF(BN4=0,FLOOR((BO4+BP4)/2,0.1),IF(BO4=0,(BN4+BP4)/2,IF(BP4=0,(BO4+BN4)/2,FLOOR(((BN4+BO4+BP4)/3),0.1))))))))</f>
        <v/>
      </c>
      <c r="BR4" s="21" t="n"/>
      <c r="BS4" s="21" t="n"/>
      <c r="BT4" s="27">
        <f>SUM(BR4:BS4)</f>
        <v/>
      </c>
      <c r="BU4" s="28" t="n"/>
      <c r="BV4" s="31" t="n"/>
      <c r="BW4" s="29">
        <f>IF(AND(BT4=0,BU4=0,BV4=0),0,IF(AND(BT4=0,BU4=0),BV4/1,IF(AND(BT4=0,BV4=0),BU4/1,IF(AND(BU4=0,BV4=0),BT4/1,IF(BT4=0,FLOOR((BU4+BV4)/2,0.1),IF(BU4=0,(BT4+BV4)/2,IF(BV4=0,(BU4+BT4)/2,FLOOR(((BT4+BU4+BV4)/3),0.1))))))))</f>
        <v/>
      </c>
      <c r="BX4" s="21" t="n">
        <v>20</v>
      </c>
      <c r="BY4" s="21" t="n">
        <v>58</v>
      </c>
      <c r="BZ4" s="27">
        <f>SUM(BX4:BY4)</f>
        <v/>
      </c>
      <c r="CA4" s="28" t="n">
        <v>53</v>
      </c>
      <c r="CB4" s="31" t="n">
        <v>46</v>
      </c>
      <c r="CC4" s="29">
        <f>IF(AND(BZ4=0,CA4=0,CB4=0),0,IF(AND(BZ4=0,CA4=0),CB4/1,IF(AND(BZ4=0,CB4=0),CA4/1,IF(AND(CA4=0,CB4=0),BZ4/1,IF(BZ4=0,FLOOR((CA4+CB4)/2,0.1),IF(CA4=0,(BZ4+CB4)/2,IF(CB4=0,(CA4+BZ4)/2,FLOOR(((BZ4+CA4+CB4)/3),0.1))))))))</f>
        <v/>
      </c>
      <c r="CD4" s="21" t="n">
        <v>15</v>
      </c>
      <c r="CE4" s="21" t="n">
        <v>44</v>
      </c>
      <c r="CF4" s="27">
        <f>SUM(CD4:CE4)</f>
        <v/>
      </c>
      <c r="CG4" s="28" t="n">
        <v>27</v>
      </c>
      <c r="CH4" s="31" t="n">
        <v>31</v>
      </c>
      <c r="CI4" s="29">
        <f>IF(AND(CF4=0,CG4=0,CH4=0),0,IF(AND(CF4=0,CG4=0),CH4/1,IF(AND(CF4=0,CH4=0),CG4/1,IF(AND(CG4=0,CH4=0),CF4/1,IF(CF4=0,FLOOR((CG4+CH4)/2,0.1),IF(CG4=0,(CF4+CH4)/2,IF(CH4=0,(CG4+CF4)/2,FLOOR(((CF4+CG4+CH4)/3),0.1))))))))</f>
        <v/>
      </c>
      <c r="CJ4" s="21" t="n"/>
      <c r="CK4" s="21" t="n"/>
      <c r="CL4" s="27">
        <f>SUM(CJ4:CK4)</f>
        <v/>
      </c>
      <c r="CM4" s="28" t="n"/>
      <c r="CN4" s="31" t="n"/>
      <c r="CO4" s="29">
        <f>IF(AND(CL4=0,CM4=0,CN4=0),0,IF(AND(CL4=0,CM4=0),CN4/1,IF(AND(CL4=0,CN4=0),CM4/1,IF(AND(CM4=0,CN4=0),CL4/1,IF(CL4=0,FLOOR((CM4+CN4)/2,0.1),IF(CM4=0,(CL4+CN4)/2,IF(CN4=0,(CM4+CL4)/2,FLOOR(((CL4+CM4+CN4)/3),0.1))))))))</f>
        <v/>
      </c>
      <c r="CP4" s="21" t="n"/>
      <c r="CQ4" s="21" t="n"/>
      <c r="CR4" s="27">
        <f>SUM(CP4:CQ4)</f>
        <v/>
      </c>
      <c r="CS4" s="28" t="n"/>
      <c r="CT4" s="31" t="n"/>
      <c r="CU4" s="29">
        <f>IF(AND(CR4=0,CS4=0,CT4=0),0,IF(AND(CR4=0,CS4=0),CT4/1,IF(AND(CR4=0,CT4=0),CS4/1,IF(AND(CS4=0,CT4=0),CR4/1,IF(CR4=0,FLOOR((CS4+CT4)/2,0.1),IF(CS4=0,(CR4+CT4)/2,IF(CT4=0,(CS4+CR4)/2,FLOOR(((CR4+CS4+CT4)/3),0.1))))))))</f>
        <v/>
      </c>
      <c r="CV4" s="21" t="n">
        <v>30</v>
      </c>
      <c r="CW4" s="21" t="n">
        <v>70</v>
      </c>
      <c r="CX4" s="27">
        <f>SUM(CV4:CW4)</f>
        <v/>
      </c>
      <c r="CY4" s="28" t="n">
        <v>59</v>
      </c>
      <c r="CZ4" s="31" t="n">
        <v>56</v>
      </c>
      <c r="DA4" s="29">
        <f>IF(AND(CX4=0,CY4=0,CZ4=0),0,IF(AND(CX4=0,CY4=0),CZ4/1,IF(AND(CX4=0,CZ4=0),CY4/1,IF(AND(CY4=0,CZ4=0),CX4/1,IF(CX4=0,FLOOR((CY4+CZ4)/2,0.1),IF(CY4=0,(CX4+CZ4)/2,IF(CZ4=0,(CY4+CX4)/2,FLOOR(((CX4+CY4+CZ4)/3),0.1))))))))</f>
        <v/>
      </c>
      <c r="DB4" s="21" t="n"/>
      <c r="DC4" s="21" t="n"/>
      <c r="DD4" s="27">
        <f>SUM(DB4:DC4)</f>
        <v/>
      </c>
      <c r="DE4" s="28" t="n"/>
      <c r="DF4" s="31" t="n"/>
      <c r="DG4" s="29">
        <f>IF(AND(DD4=0,DE4=0,DF4=0),0,IF(AND(DD4=0,DE4=0),DF4/1,IF(AND(DD4=0,DF4=0),DE4/1,IF(AND(DE4=0,DF4=0),DD4/1,IF(DD4=0,FLOOR((DE4+DF4)/2,0.1),IF(DE4=0,(DD4+DF4)/2,IF(DF4=0,(DE4+DD4)/2,FLOOR(((DD4+DE4+DF4)/3),0.1))))))))</f>
        <v/>
      </c>
      <c r="DH4" s="34">
        <f>SUM(O4,U4,AA4,AG4,AM4,AS4,AY4,BE4,BK4,BQ4,BW4,CC4,CI4,CO4,CU4,DA4,DG4)</f>
        <v/>
      </c>
      <c r="DI4" s="39">
        <f>RANK(DH4,DH4:DH503,0)</f>
        <v/>
      </c>
      <c r="DJ4" s="40" t="inlineStr">
        <is>
          <t>EXCELLENT(5)</t>
        </is>
      </c>
      <c r="DK4" s="40" t="inlineStr">
        <is>
          <t>GOOD(4)</t>
        </is>
      </c>
      <c r="DL4" s="40" t="inlineStr">
        <is>
          <t>EXCELLENT(5)</t>
        </is>
      </c>
      <c r="DM4" s="40" t="inlineStr">
        <is>
          <t>EXCELLENT(5)</t>
        </is>
      </c>
      <c r="DN4" s="40" t="inlineStr">
        <is>
          <t>GOOD(4)</t>
        </is>
      </c>
      <c r="DO4" s="40" t="inlineStr">
        <is>
          <t>GOOD(4)</t>
        </is>
      </c>
      <c r="DP4" s="40" t="inlineStr">
        <is>
          <t>GOOD(4)</t>
        </is>
      </c>
      <c r="DQ4" s="40" t="inlineStr">
        <is>
          <t>GOOD(4)</t>
        </is>
      </c>
      <c r="DR4" s="43" t="inlineStr">
        <is>
          <t>2024/2025</t>
        </is>
      </c>
      <c r="DS4" s="45" t="inlineStr">
        <is>
          <t>THIRD</t>
        </is>
      </c>
      <c r="DT4" s="40" t="inlineStr">
        <is>
          <t>GOOD(4)</t>
        </is>
      </c>
      <c r="DU4" s="40" t="inlineStr">
        <is>
          <t>GOOD(4)</t>
        </is>
      </c>
      <c r="DV4" s="40" t="inlineStr">
        <is>
          <t>GOOD(4)</t>
        </is>
      </c>
      <c r="DW4" s="40" t="inlineStr">
        <is>
          <t>GOOD(4)</t>
        </is>
      </c>
      <c r="DX4" s="40" t="inlineStr">
        <is>
          <t>GOOD(4)</t>
        </is>
      </c>
      <c r="DY4" s="40" t="inlineStr">
        <is>
          <t>GOOD(4)</t>
        </is>
      </c>
      <c r="DZ4" s="53" t="inlineStr">
        <is>
          <t>GOOD(4)</t>
        </is>
      </c>
      <c r="EA4" s="54" t="inlineStr">
        <is>
          <t>Shows consistent effort and improvement in academic work.</t>
        </is>
      </c>
      <c r="EB4" s="55" t="inlineStr">
        <is>
          <t>Promoted to JSS3</t>
        </is>
      </c>
      <c r="EC4" s="56" t="inlineStr">
        <is>
          <t>MR. JIMOH WASIU OLATUNDE</t>
        </is>
      </c>
      <c r="ED4" s="57" t="inlineStr">
        <is>
          <t>Next Term Begins on Monday, 15th September, 2025</t>
        </is>
      </c>
    </row>
    <row r="5" ht="30.6" customHeight="1" s="6">
      <c r="A5" s="18" t="n">
        <v>2</v>
      </c>
      <c r="B5" s="19" t="inlineStr">
        <is>
          <t xml:space="preserve">AFOLABI MATTHEW </t>
        </is>
      </c>
      <c r="C5" s="20" t="inlineStr">
        <is>
          <t>1849</t>
        </is>
      </c>
      <c r="D5" s="128" t="inlineStr">
        <is>
          <t>Male</t>
        </is>
      </c>
      <c r="E5" s="21" t="inlineStr">
        <is>
          <t>JSS 2C</t>
        </is>
      </c>
      <c r="F5" s="21" t="n">
        <v>31</v>
      </c>
      <c r="G5" s="21" t="n">
        <v>122</v>
      </c>
      <c r="H5" s="21" t="n">
        <v>116</v>
      </c>
      <c r="I5" s="26">
        <f>G5-H5</f>
        <v/>
      </c>
      <c r="J5" s="21" t="n">
        <v>18</v>
      </c>
      <c r="K5" s="21" t="n">
        <v>18</v>
      </c>
      <c r="L5" s="27">
        <f>SUM(J5:K5)</f>
        <v/>
      </c>
      <c r="M5" s="28" t="n">
        <v>33</v>
      </c>
      <c r="N5" s="28" t="n">
        <v>30</v>
      </c>
      <c r="O5" s="29">
        <f>IF(AND(L5=0,M5=0,N5=0),0,IF(AND(L5=0,M5=0),N5/1,IF(AND(L5=0,N5=0),M5/1,IF(AND(M5=0,N5=0),L5/1,IF(L5=0,FLOOR((M5+N5)/2,0.1),IF(M5=0,(L5+N5)/2,IF(N5=0,(M5+L5)/2,FLOOR(((L5+M5+N5)/3),0.1))))))))</f>
        <v/>
      </c>
      <c r="P5" s="21" t="n">
        <v>13</v>
      </c>
      <c r="Q5" s="21" t="n">
        <v>26</v>
      </c>
      <c r="R5" s="27">
        <f>SUM(P5:Q5)</f>
        <v/>
      </c>
      <c r="S5" s="28" t="n">
        <v>60</v>
      </c>
      <c r="T5" s="28" t="n">
        <v>19</v>
      </c>
      <c r="U5" s="29">
        <f>IF(AND(R5=0,S5=0,T5=0),0,IF(AND(R5=0,S5=0),T5/1,IF(AND(R5=0,T5=0),S5/1,IF(AND(S5=0,T5=0),R5/1,IF(R5=0,FLOOR((S5+T5)/2,0.1),IF(S5=0,(R5+T5)/2,IF(T5=0,(S5+R5)/2,FLOOR(((R5+S5+T5)/3),0.1))))))))</f>
        <v/>
      </c>
      <c r="V5" s="21" t="n">
        <v>22</v>
      </c>
      <c r="W5" s="21" t="n">
        <v>20</v>
      </c>
      <c r="X5" s="27">
        <f>SUM(V5:W5)</f>
        <v/>
      </c>
      <c r="Y5" s="28" t="n">
        <v>51</v>
      </c>
      <c r="Z5" s="28" t="n">
        <v>46</v>
      </c>
      <c r="AA5" s="29">
        <f>IF(AND(X5=0,Y5=0,Z5=0),0,IF(AND(X5=0,Y5=0),Z5/1,IF(AND(X5=0,Z5=0),Y5/1,IF(AND(Y5=0,Z5=0),X5/1,IF(X5=0,FLOOR((Y5+Z5)/2,0.1),IF(Y5=0,(X5+Z5)/2,IF(Z5=0,(Y5+X5)/2,FLOOR(((X5+Y5+Z5)/3),0.1))))))))</f>
        <v/>
      </c>
      <c r="AB5" s="21" t="n">
        <v>25</v>
      </c>
      <c r="AC5" s="21" t="n">
        <v>38</v>
      </c>
      <c r="AD5" s="27">
        <f>SUM(AB5:AC5)</f>
        <v/>
      </c>
      <c r="AE5" s="28" t="n">
        <v>61</v>
      </c>
      <c r="AF5" s="28" t="n">
        <v>62</v>
      </c>
      <c r="AG5" s="29">
        <f>IF(AND(AD5=0,AE5=0,AF5=0),0,IF(AND(AD5=0,AE5=0),AF5/1,IF(AND(AD5=0,AF5=0),AE5/1,IF(AND(AE5=0,AF5=0),AD5/1,IF(AD5=0,FLOOR((AE5+AF5)/2,0.1),IF(AE5=0,(AD5+AF5)/2,IF(AF5=0,(AE5+AD5)/2,FLOOR(((AD5+AE5+AF5)/3),0.1))))))))</f>
        <v/>
      </c>
      <c r="AH5" s="21" t="n">
        <v>16</v>
      </c>
      <c r="AI5" s="21" t="n">
        <v>27</v>
      </c>
      <c r="AJ5" s="27">
        <f>SUM(AH5:AI5)</f>
        <v/>
      </c>
      <c r="AK5" s="28" t="n">
        <v>47</v>
      </c>
      <c r="AL5" s="28" t="n">
        <v>35</v>
      </c>
      <c r="AM5" s="29">
        <f>IF(AND(AJ5=0,AK5=0,AL5=0),0,IF(AND(AJ5=0,AK5=0),AL5/1,IF(AND(AJ5=0,AL5=0),AK5/1,IF(AND(AK5=0,AL5=0),AJ5/1,IF(AJ5=0,FLOOR((AK5+AL5)/2,0.1),IF(AK5=0,(AJ5+AL5)/2,IF(AL5=0,(AK5+AJ5)/2,FLOOR(((AJ5+AK5+AL5)/3),0.1))))))))</f>
        <v/>
      </c>
      <c r="AN5" s="21" t="n"/>
      <c r="AO5" s="21" t="n"/>
      <c r="AP5" s="27">
        <f>SUM(AN5:AO5)</f>
        <v/>
      </c>
      <c r="AQ5" s="28" t="n"/>
      <c r="AR5" s="30" t="n"/>
      <c r="AS5" s="29">
        <f>IF(AND(AP5=0,AQ5=0,AR5=0),0,IF(AND(AP5=0,AQ5=0),AR5/1,IF(AND(AP5=0,AR5=0),AQ5/1,IF(AND(AQ5=0,AR5=0),AP5/1,IF(AP5=0,FLOOR((AQ5+AR5)/2,0.1),IF(AQ5=0,(AP5+AR5)/2,IF(AR5=0,(AQ5+AP5)/2,FLOOR(((AP5+AQ5+AR5)/3),0.1))))))))</f>
        <v/>
      </c>
      <c r="AT5" s="21" t="n">
        <v>21</v>
      </c>
      <c r="AU5" s="21" t="n">
        <v>35</v>
      </c>
      <c r="AV5" s="27">
        <f>SUM(AT5:AU5)</f>
        <v/>
      </c>
      <c r="AW5" s="28" t="n">
        <v>40</v>
      </c>
      <c r="AX5" s="30" t="n">
        <v>31</v>
      </c>
      <c r="AY5" s="29">
        <f>IF(AND(AV5=0,AW5=0,AX5=0),0,IF(AND(AV5=0,AW5=0),AX5/1,IF(AND(AV5=0,AX5=0),AW5/1,IF(AND(AW5=0,AX5=0),AV5/1,IF(AV5=0,FLOOR((AW5+AX5)/2,0.1),IF(AW5=0,(AV5+AX5)/2,IF(AX5=0,(AW5+AV5)/2,FLOOR(((AV5+AW5+AX5)/3),0.1))))))))</f>
        <v/>
      </c>
      <c r="AZ5" s="21" t="n">
        <v>22</v>
      </c>
      <c r="BA5" s="21" t="n">
        <v>30</v>
      </c>
      <c r="BB5" s="27">
        <f>SUM(AZ5:BA5)</f>
        <v/>
      </c>
      <c r="BC5" s="28" t="n">
        <v>41</v>
      </c>
      <c r="BD5" s="28" t="n">
        <v>46</v>
      </c>
      <c r="BE5" s="29">
        <f>IF(AND(BB5=0,BC5=0,BD5=0),0,IF(AND(BB5=0,BC5=0),BD5/1,IF(AND(BB5=0,BD5=0),BC5/1,IF(AND(BC5=0,BD5=0),BB5/1,IF(BB5=0,FLOOR((BC5+BD5)/2,0.1),IF(BC5=0,(BB5+BD5)/2,IF(BD5=0,(BC5+BB5)/2,FLOOR(((BB5+BC5+BD5)/3),0.1))))))))</f>
        <v/>
      </c>
      <c r="BF5" s="21" t="n">
        <v>14</v>
      </c>
      <c r="BG5" s="21" t="n">
        <v>37</v>
      </c>
      <c r="BH5" s="27">
        <f>SUM(BF5:BG5)</f>
        <v/>
      </c>
      <c r="BI5" s="28" t="n">
        <v>68</v>
      </c>
      <c r="BJ5" s="28" t="n">
        <v>28</v>
      </c>
      <c r="BK5" s="29">
        <f>IF(AND(BH5=0,BI5=0,BJ5=0),0,IF(AND(BH5=0,BI5=0),BJ5/1,IF(AND(BH5=0,BJ5=0),BI5/1,IF(AND(BI5=0,BJ5=0),BH5/1,IF(BH5=0,FLOOR((BI5+BJ5)/2,0.1),IF(BI5=0,(BH5+BJ5)/2,IF(BJ5=0,(BI5+BH5)/2,FLOOR(((BH5+BI5+BJ5)/3),0.1))))))))</f>
        <v/>
      </c>
      <c r="BL5" s="21" t="n">
        <v>15</v>
      </c>
      <c r="BM5" s="21" t="n">
        <v>37</v>
      </c>
      <c r="BN5" s="27">
        <f>SUM(BL5:BM5)</f>
        <v/>
      </c>
      <c r="BO5" s="28" t="n">
        <v>27</v>
      </c>
      <c r="BP5" s="31" t="n">
        <v>54</v>
      </c>
      <c r="BQ5" s="29">
        <f>IF(AND(BN5=0,BO5=0,BP5=0),0,IF(AND(BN5=0,BO5=0),BP5/1,IF(AND(BN5=0,BP5=0),BO5/1,IF(AND(BO5=0,BP5=0),BN5/1,IF(BN5=0,FLOOR((BO5+BP5)/2,0.1),IF(BO5=0,(BN5+BP5)/2,IF(BP5=0,(BO5+BN5)/2,FLOOR(((BN5+BO5+BP5)/3),0.1))))))))</f>
        <v/>
      </c>
      <c r="BR5" s="21" t="n"/>
      <c r="BS5" s="21" t="n"/>
      <c r="BT5" s="27">
        <f>SUM(BR5:BS5)</f>
        <v/>
      </c>
      <c r="BU5" s="28" t="n"/>
      <c r="BV5" s="31" t="n"/>
      <c r="BW5" s="29">
        <f>IF(AND(BT5=0,BU5=0,BV5=0),0,IF(AND(BT5=0,BU5=0),BV5/1,IF(AND(BT5=0,BV5=0),BU5/1,IF(AND(BU5=0,BV5=0),BT5/1,IF(BT5=0,FLOOR((BU5+BV5)/2,0.1),IF(BU5=0,(BT5+BV5)/2,IF(BV5=0,(BU5+BT5)/2,FLOOR(((BT5+BU5+BV5)/3),0.1))))))))</f>
        <v/>
      </c>
      <c r="BX5" s="21" t="n">
        <v>15</v>
      </c>
      <c r="BY5" s="21" t="n">
        <v>60</v>
      </c>
      <c r="BZ5" s="27">
        <f>SUM(BX5:BY5)</f>
        <v/>
      </c>
      <c r="CA5" s="28" t="n">
        <v>45</v>
      </c>
      <c r="CB5" s="31" t="n">
        <v>50</v>
      </c>
      <c r="CC5" s="29">
        <f>IF(AND(BZ5=0,CA5=0,CB5=0),0,IF(AND(BZ5=0,CA5=0),CB5/1,IF(AND(BZ5=0,CB5=0),CA5/1,IF(AND(CA5=0,CB5=0),BZ5/1,IF(BZ5=0,FLOOR((CA5+CB5)/2,0.1),IF(CA5=0,(BZ5+CB5)/2,IF(CB5=0,(CA5+BZ5)/2,FLOOR(((BZ5+CA5+CB5)/3),0.1))))))))</f>
        <v/>
      </c>
      <c r="CD5" s="21" t="n">
        <v>15</v>
      </c>
      <c r="CE5" s="21" t="n">
        <v>47</v>
      </c>
      <c r="CF5" s="27">
        <f>SUM(CD5:CE5)</f>
        <v/>
      </c>
      <c r="CG5" s="28" t="n">
        <v>38</v>
      </c>
      <c r="CH5" s="31" t="n">
        <v>42</v>
      </c>
      <c r="CI5" s="29">
        <f>IF(AND(CF5=0,CG5=0,CH5=0),0,IF(AND(CF5=0,CG5=0),CH5/1,IF(AND(CF5=0,CH5=0),CG5/1,IF(AND(CG5=0,CH5=0),CF5/1,IF(CF5=0,FLOOR((CG5+CH5)/2,0.1),IF(CG5=0,(CF5+CH5)/2,IF(CH5=0,(CG5+CF5)/2,FLOOR(((CF5+CG5+CH5)/3),0.1))))))))</f>
        <v/>
      </c>
      <c r="CJ5" s="21" t="n"/>
      <c r="CK5" s="21" t="n"/>
      <c r="CL5" s="27">
        <f>SUM(CJ5:CK5)</f>
        <v/>
      </c>
      <c r="CM5" s="28" t="n"/>
      <c r="CN5" s="31" t="n"/>
      <c r="CO5" s="29">
        <f>IF(AND(CL5=0,CM5=0,CN5=0),0,IF(AND(CL5=0,CM5=0),CN5/1,IF(AND(CL5=0,CN5=0),CM5/1,IF(AND(CM5=0,CN5=0),CL5/1,IF(CL5=0,FLOOR((CM5+CN5)/2,0.1),IF(CM5=0,(CL5+CN5)/2,IF(CN5=0,(CM5+CL5)/2,FLOOR(((CL5+CM5+CN5)/3),0.1))))))))</f>
        <v/>
      </c>
      <c r="CP5" s="21" t="n"/>
      <c r="CQ5" s="21" t="n"/>
      <c r="CR5" s="27">
        <f>SUM(CP5:CQ5)</f>
        <v/>
      </c>
      <c r="CS5" s="28" t="n"/>
      <c r="CT5" s="31" t="n"/>
      <c r="CU5" s="29">
        <f>IF(AND(CR5=0,CS5=0,CT5=0),0,IF(AND(CR5=0,CS5=0),CT5/1,IF(AND(CR5=0,CT5=0),CS5/1,IF(AND(CS5=0,CT5=0),CR5/1,IF(CR5=0,FLOOR((CS5+CT5)/2,0.1),IF(CS5=0,(CR5+CT5)/2,IF(CT5=0,(CS5+CR5)/2,FLOOR(((CR5+CS5+CT5)/3),0.1))))))))</f>
        <v/>
      </c>
      <c r="CV5" s="21" t="n">
        <v>30</v>
      </c>
      <c r="CW5" s="21" t="n">
        <v>26</v>
      </c>
      <c r="CX5" s="27">
        <f>SUM(CV5:CW5)</f>
        <v/>
      </c>
      <c r="CY5" s="28" t="n">
        <v>47</v>
      </c>
      <c r="CZ5" s="31" t="n">
        <v>32</v>
      </c>
      <c r="DA5" s="29">
        <f>IF(AND(CX5=0,CY5=0,CZ5=0),0,IF(AND(CX5=0,CY5=0),CZ5/1,IF(AND(CX5=0,CZ5=0),CY5/1,IF(AND(CY5=0,CZ5=0),CX5/1,IF(CX5=0,FLOOR((CY5+CZ5)/2,0.1),IF(CY5=0,(CX5+CZ5)/2,IF(CZ5=0,(CY5+CX5)/2,FLOOR(((CX5+CY5+CZ5)/3),0.1))))))))</f>
        <v/>
      </c>
      <c r="DB5" s="21" t="n"/>
      <c r="DC5" s="21" t="n"/>
      <c r="DD5" s="27">
        <f>SUM(DB5:DC5)</f>
        <v/>
      </c>
      <c r="DE5" s="28" t="n"/>
      <c r="DF5" s="31" t="n"/>
      <c r="DG5" s="29">
        <f>IF(AND(DD5=0,DE5=0,DF5=0),0,IF(AND(DD5=0,DE5=0),DF5/1,IF(AND(DD5=0,DF5=0),DE5/1,IF(AND(DE5=0,DF5=0),DD5/1,IF(DD5=0,FLOOR((DE5+DF5)/2,0.1),IF(DE5=0,(DD5+DF5)/2,IF(DF5=0,(DE5+DD5)/2,FLOOR(((DD5+DE5+DF5)/3),0.1))))))))</f>
        <v/>
      </c>
      <c r="DH5" s="34">
        <f>SUM(O5,U5,AA5,AG5,AM5,AS5,AY5,BE5,BK5,BQ5,BW5,CC5,CI5,CO5,CU5,DA5,DG5)</f>
        <v/>
      </c>
      <c r="DI5" s="39">
        <f>RANK(DH5,DH$4:DH$503)</f>
        <v/>
      </c>
      <c r="DJ5" s="40" t="inlineStr">
        <is>
          <t>EXCELLENT(5)</t>
        </is>
      </c>
      <c r="DK5" s="40" t="inlineStr">
        <is>
          <t>GOOD(4)</t>
        </is>
      </c>
      <c r="DL5" s="40" t="inlineStr">
        <is>
          <t>EXCELLENT(5)</t>
        </is>
      </c>
      <c r="DM5" s="40" t="inlineStr">
        <is>
          <t>EXCELLENT(5)</t>
        </is>
      </c>
      <c r="DN5" s="40" t="inlineStr">
        <is>
          <t>GOOD(4)</t>
        </is>
      </c>
      <c r="DO5" s="40" t="inlineStr">
        <is>
          <t>GOOD(4)</t>
        </is>
      </c>
      <c r="DP5" s="40" t="inlineStr">
        <is>
          <t>GOOD(4)</t>
        </is>
      </c>
      <c r="DQ5" s="40" t="inlineStr">
        <is>
          <t>GOOD(4)</t>
        </is>
      </c>
      <c r="DR5" s="43" t="inlineStr">
        <is>
          <t>2024/2025</t>
        </is>
      </c>
      <c r="DS5" s="45" t="inlineStr">
        <is>
          <t>THIRD</t>
        </is>
      </c>
      <c r="DT5" s="40" t="inlineStr">
        <is>
          <t>GOOD(4)</t>
        </is>
      </c>
      <c r="DU5" s="40" t="inlineStr">
        <is>
          <t>GOOD(4)</t>
        </is>
      </c>
      <c r="DV5" s="40" t="inlineStr">
        <is>
          <t>GOOD(4)</t>
        </is>
      </c>
      <c r="DW5" s="40" t="inlineStr">
        <is>
          <t>GOOD(4)</t>
        </is>
      </c>
      <c r="DX5" s="40" t="inlineStr">
        <is>
          <t>GOOD(4)</t>
        </is>
      </c>
      <c r="DY5" s="40" t="inlineStr">
        <is>
          <t>GOOD(4)</t>
        </is>
      </c>
      <c r="DZ5" s="53" t="inlineStr">
        <is>
          <t>GOOD(4)</t>
        </is>
      </c>
      <c r="EA5" s="54" t="inlineStr">
        <is>
          <t>Consistently well-behaved and sets a good example for peers.</t>
        </is>
      </c>
      <c r="EB5" s="55" t="inlineStr">
        <is>
          <t>Promoted to JSS3</t>
        </is>
      </c>
      <c r="EC5" s="56" t="inlineStr">
        <is>
          <t>MR. JIMOH WASIU OLATUNDE</t>
        </is>
      </c>
      <c r="ED5" s="57" t="inlineStr">
        <is>
          <t>Next Term Begins on Monday, 15th September, 2026</t>
        </is>
      </c>
    </row>
    <row r="6" ht="30.6" customHeight="1" s="6">
      <c r="A6" s="18" t="n">
        <v>3</v>
      </c>
      <c r="B6" s="19" t="inlineStr">
        <is>
          <t>AKEEM OPEYEMI  ABIKE</t>
        </is>
      </c>
      <c r="C6" s="20" t="inlineStr">
        <is>
          <t>1833</t>
        </is>
      </c>
      <c r="D6" s="128" t="inlineStr">
        <is>
          <t>Female</t>
        </is>
      </c>
      <c r="E6" s="21" t="inlineStr">
        <is>
          <t>JSS 2C</t>
        </is>
      </c>
      <c r="F6" s="21" t="n">
        <v>31</v>
      </c>
      <c r="G6" s="21" t="n">
        <v>122</v>
      </c>
      <c r="H6" s="21" t="n">
        <v>96</v>
      </c>
      <c r="I6" s="26">
        <f>G6-H6</f>
        <v/>
      </c>
      <c r="J6" s="21" t="n">
        <v>30</v>
      </c>
      <c r="K6" s="21" t="n">
        <v>42</v>
      </c>
      <c r="L6" s="27">
        <f>SUM(J6:K6)</f>
        <v/>
      </c>
      <c r="M6" s="28" t="n">
        <v>58</v>
      </c>
      <c r="N6" s="28" t="n">
        <v>59</v>
      </c>
      <c r="O6" s="29">
        <f>IF(AND(L6=0,M6=0,N6=0),0,IF(AND(L6=0,M6=0),N6/1,IF(AND(L6=0,N6=0),M6/1,IF(AND(M6=0,N6=0),L6/1,IF(L6=0,FLOOR((M6+N6)/2,0.1),IF(M6=0,(L6+N6)/2,IF(N6=0,(M6+L6)/2,FLOOR(((L6+M6+N6)/3),0.1))))))))</f>
        <v/>
      </c>
      <c r="P6" s="21" t="n">
        <v>22</v>
      </c>
      <c r="Q6" s="21" t="n">
        <v>44</v>
      </c>
      <c r="R6" s="27">
        <f>SUM(P6:Q6)</f>
        <v/>
      </c>
      <c r="S6" s="28" t="n">
        <v>71</v>
      </c>
      <c r="T6" s="28" t="n">
        <v>62</v>
      </c>
      <c r="U6" s="29">
        <f>IF(AND(R6=0,S6=0,T6=0),0,IF(AND(R6=0,S6=0),T6/1,IF(AND(R6=0,T6=0),S6/1,IF(AND(S6=0,T6=0),R6/1,IF(R6=0,FLOOR((S6+T6)/2,0.1),IF(S6=0,(R6+T6)/2,IF(T6=0,(S6+R6)/2,FLOOR(((R6+S6+T6)/3),0.1))))))))</f>
        <v/>
      </c>
      <c r="V6" s="21" t="n">
        <v>19</v>
      </c>
      <c r="W6" s="21" t="n">
        <v>27</v>
      </c>
      <c r="X6" s="27">
        <f>SUM(V6:W6)</f>
        <v/>
      </c>
      <c r="Y6" s="28" t="n">
        <v>49</v>
      </c>
      <c r="Z6" s="28" t="n">
        <v>48</v>
      </c>
      <c r="AA6" s="29">
        <f>IF(AND(X6=0,Y6=0,Z6=0),0,IF(AND(X6=0,Y6=0),Z6/1,IF(AND(X6=0,Z6=0),Y6/1,IF(AND(Y6=0,Z6=0),X6/1,IF(X6=0,FLOOR((Y6+Z6)/2,0.1),IF(Y6=0,(X6+Z6)/2,IF(Z6=0,(Y6+X6)/2,FLOOR(((X6+Y6+Z6)/3),0.1))))))))</f>
        <v/>
      </c>
      <c r="AB6" s="21" t="n">
        <v>25</v>
      </c>
      <c r="AC6" s="21" t="n">
        <v>62</v>
      </c>
      <c r="AD6" s="27">
        <f>SUM(AB6:AC6)</f>
        <v/>
      </c>
      <c r="AE6" s="28" t="n">
        <v>56</v>
      </c>
      <c r="AF6" s="28" t="n">
        <v>72</v>
      </c>
      <c r="AG6" s="29">
        <f>IF(AND(AD6=0,AE6=0,AF6=0),0,IF(AND(AD6=0,AE6=0),AF6/1,IF(AND(AD6=0,AF6=0),AE6/1,IF(AND(AE6=0,AF6=0),AD6/1,IF(AD6=0,FLOOR((AE6+AF6)/2,0.1),IF(AE6=0,(AD6+AF6)/2,IF(AF6=0,(AE6+AD6)/2,FLOOR(((AD6+AE6+AF6)/3),0.1))))))))</f>
        <v/>
      </c>
      <c r="AH6" s="21" t="n">
        <v>19</v>
      </c>
      <c r="AI6" s="21" t="n">
        <v>41</v>
      </c>
      <c r="AJ6" s="27">
        <f>SUM(AH6:AI6)</f>
        <v/>
      </c>
      <c r="AK6" s="28" t="n">
        <v>40</v>
      </c>
      <c r="AL6" s="28" t="n">
        <v>47</v>
      </c>
      <c r="AM6" s="29">
        <f>IF(AND(AJ6=0,AK6=0,AL6=0),0,IF(AND(AJ6=0,AK6=0),AL6/1,IF(AND(AJ6=0,AL6=0),AK6/1,IF(AND(AK6=0,AL6=0),AJ6/1,IF(AJ6=0,FLOOR((AK6+AL6)/2,0.1),IF(AK6=0,(AJ6+AL6)/2,IF(AL6=0,(AK6+AJ6)/2,FLOOR(((AJ6+AK6+AL6)/3),0.1))))))))</f>
        <v/>
      </c>
      <c r="AN6" s="21" t="n"/>
      <c r="AO6" s="21" t="n"/>
      <c r="AP6" s="27">
        <f>SUM(AN6:AO6)</f>
        <v/>
      </c>
      <c r="AQ6" s="28" t="n"/>
      <c r="AR6" s="30" t="n"/>
      <c r="AS6" s="29">
        <f>IF(AND(AP6=0,AQ6=0,AR6=0),0,IF(AND(AP6=0,AQ6=0),AR6/1,IF(AND(AP6=0,AR6=0),AQ6/1,IF(AND(AQ6=0,AR6=0),AP6/1,IF(AP6=0,FLOOR((AQ6+AR6)/2,0.1),IF(AQ6=0,(AP6+AR6)/2,IF(AR6=0,(AQ6+AP6)/2,FLOOR(((AP6+AQ6+AR6)/3),0.1))))))))</f>
        <v/>
      </c>
      <c r="AT6" s="21" t="n">
        <v>20</v>
      </c>
      <c r="AU6" s="21" t="n">
        <v>43</v>
      </c>
      <c r="AV6" s="27">
        <f>SUM(AT6:AU6)</f>
        <v/>
      </c>
      <c r="AW6" s="28" t="n">
        <v>48</v>
      </c>
      <c r="AX6" s="30" t="n">
        <v>39</v>
      </c>
      <c r="AY6" s="29">
        <f>IF(AND(AV6=0,AW6=0,AX6=0),0,IF(AND(AV6=0,AW6=0),AX6/1,IF(AND(AV6=0,AX6=0),AW6/1,IF(AND(AW6=0,AX6=0),AV6/1,IF(AV6=0,FLOOR((AW6+AX6)/2,0.1),IF(AW6=0,(AV6+AX6)/2,IF(AX6=0,(AW6+AV6)/2,FLOOR(((AV6+AW6+AX6)/3),0.1))))))))</f>
        <v/>
      </c>
      <c r="AZ6" s="21" t="n">
        <v>24</v>
      </c>
      <c r="BA6" s="21" t="n">
        <v>51</v>
      </c>
      <c r="BB6" s="27">
        <f>SUM(AZ6:BA6)</f>
        <v/>
      </c>
      <c r="BC6" s="28" t="n">
        <v>54</v>
      </c>
      <c r="BD6" s="28" t="n">
        <v>64</v>
      </c>
      <c r="BE6" s="29">
        <f>IF(AND(BB6=0,BC6=0,BD6=0),0,IF(AND(BB6=0,BC6=0),BD6/1,IF(AND(BB6=0,BD6=0),BC6/1,IF(AND(BC6=0,BD6=0),BB6/1,IF(BB6=0,FLOOR((BC6+BD6)/2,0.1),IF(BC6=0,(BB6+BD6)/2,IF(BD6=0,(BC6+BB6)/2,FLOOR(((BB6+BC6+BD6)/3),0.1))))))))</f>
        <v/>
      </c>
      <c r="BF6" s="21" t="n">
        <v>15</v>
      </c>
      <c r="BG6" s="21" t="n">
        <v>54</v>
      </c>
      <c r="BH6" s="27">
        <f>SUM(BF6:BG6)</f>
        <v/>
      </c>
      <c r="BI6" s="28" t="n">
        <v>63</v>
      </c>
      <c r="BJ6" s="28" t="n">
        <v>38</v>
      </c>
      <c r="BK6" s="29">
        <f>IF(AND(BH6=0,BI6=0,BJ6=0),0,IF(AND(BH6=0,BI6=0),BJ6/1,IF(AND(BH6=0,BJ6=0),BI6/1,IF(AND(BI6=0,BJ6=0),BH6/1,IF(BH6=0,FLOOR((BI6+BJ6)/2,0.1),IF(BI6=0,(BH6+BJ6)/2,IF(BJ6=0,(BI6+BH6)/2,FLOOR(((BH6+BI6+BJ6)/3),0.1))))))))</f>
        <v/>
      </c>
      <c r="BL6" s="21" t="n">
        <v>18</v>
      </c>
      <c r="BM6" s="21" t="n">
        <v>33</v>
      </c>
      <c r="BN6" s="27">
        <f>SUM(BL6:BM6)</f>
        <v/>
      </c>
      <c r="BO6" s="28" t="n">
        <v>31</v>
      </c>
      <c r="BP6" s="31" t="n">
        <v>44</v>
      </c>
      <c r="BQ6" s="29">
        <f>IF(AND(BN6=0,BO6=0,BP6=0),0,IF(AND(BN6=0,BO6=0),BP6/1,IF(AND(BN6=0,BP6=0),BO6/1,IF(AND(BO6=0,BP6=0),BN6/1,IF(BN6=0,FLOOR((BO6+BP6)/2,0.1),IF(BO6=0,(BN6+BP6)/2,IF(BP6=0,(BO6+BN6)/2,FLOOR(((BN6+BO6+BP6)/3),0.1))))))))</f>
        <v/>
      </c>
      <c r="BR6" s="21" t="n"/>
      <c r="BS6" s="21" t="n"/>
      <c r="BT6" s="27">
        <f>SUM(BR6:BS6)</f>
        <v/>
      </c>
      <c r="BU6" s="28" t="n"/>
      <c r="BV6" s="31" t="n"/>
      <c r="BW6" s="29">
        <f>IF(AND(BT6=0,BU6=0,BV6=0),0,IF(AND(BT6=0,BU6=0),BV6/1,IF(AND(BT6=0,BV6=0),BU6/1,IF(AND(BU6=0,BV6=0),BT6/1,IF(BT6=0,FLOOR((BU6+BV6)/2,0.1),IF(BU6=0,(BT6+BV6)/2,IF(BV6=0,(BU6+BT6)/2,FLOOR(((BT6+BU6+BV6)/3),0.1))))))))</f>
        <v/>
      </c>
      <c r="BX6" s="21" t="n">
        <v>21</v>
      </c>
      <c r="BY6" s="21" t="n">
        <v>49</v>
      </c>
      <c r="BZ6" s="27">
        <f>SUM(BX6:BY6)</f>
        <v/>
      </c>
      <c r="CA6" s="28" t="n">
        <v>63</v>
      </c>
      <c r="CB6" s="31" t="n">
        <v>74</v>
      </c>
      <c r="CC6" s="29">
        <f>IF(AND(BZ6=0,CA6=0,CB6=0),0,IF(AND(BZ6=0,CA6=0),CB6/1,IF(AND(BZ6=0,CB6=0),CA6/1,IF(AND(CA6=0,CB6=0),BZ6/1,IF(BZ6=0,FLOOR((CA6+CB6)/2,0.1),IF(CA6=0,(BZ6+CB6)/2,IF(CB6=0,(CA6+BZ6)/2,FLOOR(((BZ6+CA6+CB6)/3),0.1))))))))</f>
        <v/>
      </c>
      <c r="CD6" s="21" t="n">
        <v>15</v>
      </c>
      <c r="CE6" s="21" t="n">
        <v>46</v>
      </c>
      <c r="CF6" s="27">
        <f>SUM(CD6:CE6)</f>
        <v/>
      </c>
      <c r="CG6" s="28" t="n">
        <v>25</v>
      </c>
      <c r="CH6" s="31" t="n">
        <v>44</v>
      </c>
      <c r="CI6" s="29">
        <f>IF(AND(CF6=0,CG6=0,CH6=0),0,IF(AND(CF6=0,CG6=0),CH6/1,IF(AND(CF6=0,CH6=0),CG6/1,IF(AND(CG6=0,CH6=0),CF6/1,IF(CF6=0,FLOOR((CG6+CH6)/2,0.1),IF(CG6=0,(CF6+CH6)/2,IF(CH6=0,(CG6+CF6)/2,FLOOR(((CF6+CG6+CH6)/3),0.1))))))))</f>
        <v/>
      </c>
      <c r="CJ6" s="21" t="n"/>
      <c r="CK6" s="21" t="n"/>
      <c r="CL6" s="27">
        <f>SUM(CJ6:CK6)</f>
        <v/>
      </c>
      <c r="CM6" s="28" t="n"/>
      <c r="CN6" s="31" t="n"/>
      <c r="CO6" s="29">
        <f>IF(AND(CL6=0,CM6=0,CN6=0),0,IF(AND(CL6=0,CM6=0),CN6/1,IF(AND(CL6=0,CN6=0),CM6/1,IF(AND(CM6=0,CN6=0),CL6/1,IF(CL6=0,FLOOR((CM6+CN6)/2,0.1),IF(CM6=0,(CL6+CN6)/2,IF(CN6=0,(CM6+CL6)/2,FLOOR(((CL6+CM6+CN6)/3),0.1))))))))</f>
        <v/>
      </c>
      <c r="CP6" s="21" t="n"/>
      <c r="CQ6" s="21" t="n"/>
      <c r="CR6" s="27">
        <f>SUM(CP6:CQ6)</f>
        <v/>
      </c>
      <c r="CS6" s="28" t="n"/>
      <c r="CT6" s="31" t="n"/>
      <c r="CU6" s="29">
        <f>IF(AND(CR6=0,CS6=0,CT6=0),0,IF(AND(CR6=0,CS6=0),CT6/1,IF(AND(CR6=0,CT6=0),CS6/1,IF(AND(CS6=0,CT6=0),CR6/1,IF(CR6=0,FLOOR((CS6+CT6)/2,0.1),IF(CS6=0,(CR6+CT6)/2,IF(CT6=0,(CS6+CR6)/2,FLOOR(((CR6+CS6+CT6)/3),0.1))))))))</f>
        <v/>
      </c>
      <c r="CV6" s="21" t="n">
        <v>30</v>
      </c>
      <c r="CW6" s="21" t="n">
        <v>43</v>
      </c>
      <c r="CX6" s="27">
        <f>SUM(CV6:CW6)</f>
        <v/>
      </c>
      <c r="CY6" s="28" t="n">
        <v>23</v>
      </c>
      <c r="CZ6" s="31" t="n">
        <v>30</v>
      </c>
      <c r="DA6" s="29">
        <f>IF(AND(CX6=0,CY6=0,CZ6=0),0,IF(AND(CX6=0,CY6=0),CZ6/1,IF(AND(CX6=0,CZ6=0),CY6/1,IF(AND(CY6=0,CZ6=0),CX6/1,IF(CX6=0,FLOOR((CY6+CZ6)/2,0.1),IF(CY6=0,(CX6+CZ6)/2,IF(CZ6=0,(CY6+CX6)/2,FLOOR(((CX6+CY6+CZ6)/3),0.1))))))))</f>
        <v/>
      </c>
      <c r="DB6" s="21" t="n"/>
      <c r="DC6" s="21" t="n"/>
      <c r="DD6" s="27">
        <f>SUM(DB6:DC6)</f>
        <v/>
      </c>
      <c r="DE6" s="28" t="n"/>
      <c r="DF6" s="31" t="n"/>
      <c r="DG6" s="29">
        <f>IF(AND(DD6=0,DE6=0,DF6=0),0,IF(AND(DD6=0,DE6=0),DF6/1,IF(AND(DD6=0,DF6=0),DE6/1,IF(AND(DE6=0,DF6=0),DD6/1,IF(DD6=0,FLOOR((DE6+DF6)/2,0.1),IF(DE6=0,(DD6+DF6)/2,IF(DF6=0,(DE6+DD6)/2,FLOOR(((DD6+DE6+DF6)/3),0.1))))))))</f>
        <v/>
      </c>
      <c r="DH6" s="34">
        <f>SUM(O6,U6,AA6,AG6,AM6,AS6,AY6,BE6,BK6,BQ6,BW6,CC6,CI6,CO6,CU6,DA6,DG6)</f>
        <v/>
      </c>
      <c r="DI6" s="39">
        <f>RANK(DH6,DH$4:DH$503)</f>
        <v/>
      </c>
      <c r="DJ6" s="40" t="inlineStr">
        <is>
          <t>GOOD(4)</t>
        </is>
      </c>
      <c r="DK6" s="40" t="inlineStr">
        <is>
          <t>GOOD(4)</t>
        </is>
      </c>
      <c r="DL6" s="40" t="inlineStr">
        <is>
          <t>EXCELLENT(5)</t>
        </is>
      </c>
      <c r="DM6" s="40" t="inlineStr">
        <is>
          <t>EXCELLENT(5)</t>
        </is>
      </c>
      <c r="DN6" s="40" t="inlineStr">
        <is>
          <t>GOOD(4)</t>
        </is>
      </c>
      <c r="DO6" s="40" t="inlineStr">
        <is>
          <t>GOOD(4)</t>
        </is>
      </c>
      <c r="DP6" s="40" t="inlineStr">
        <is>
          <t>GOOD(4)</t>
        </is>
      </c>
      <c r="DQ6" s="40" t="inlineStr">
        <is>
          <t>GOOD(4)</t>
        </is>
      </c>
      <c r="DR6" s="43" t="inlineStr">
        <is>
          <t>2024/2025</t>
        </is>
      </c>
      <c r="DS6" s="45" t="inlineStr">
        <is>
          <t>THIRD</t>
        </is>
      </c>
      <c r="DT6" s="40" t="inlineStr">
        <is>
          <t>GOOD(4)</t>
        </is>
      </c>
      <c r="DU6" s="40" t="inlineStr">
        <is>
          <t>GOOD(4)</t>
        </is>
      </c>
      <c r="DV6" s="40" t="inlineStr">
        <is>
          <t>GOOD(4)</t>
        </is>
      </c>
      <c r="DW6" s="40" t="inlineStr">
        <is>
          <t>GOOD(4)</t>
        </is>
      </c>
      <c r="DX6" s="40" t="inlineStr">
        <is>
          <t>GOOD(4)</t>
        </is>
      </c>
      <c r="DY6" s="40" t="inlineStr">
        <is>
          <t>GOOD(4)</t>
        </is>
      </c>
      <c r="DZ6" s="53" t="inlineStr">
        <is>
          <t>GOOD(4)</t>
        </is>
      </c>
      <c r="EA6" s="54" t="inlineStr">
        <is>
          <t>Is a quiet student but attentive and engaged.</t>
        </is>
      </c>
      <c r="EB6" s="55" t="inlineStr">
        <is>
          <t>Promoted to JSS3</t>
        </is>
      </c>
      <c r="EC6" s="56" t="inlineStr">
        <is>
          <t>MR. JIMOH WASIU OLATUNDE</t>
        </is>
      </c>
      <c r="ED6" s="57" t="inlineStr">
        <is>
          <t>Next Term Begins on Monday, 15th September, 2027</t>
        </is>
      </c>
    </row>
    <row r="7" ht="30.6" customHeight="1" s="6">
      <c r="A7" s="18" t="n">
        <v>4</v>
      </c>
      <c r="B7" s="19" t="inlineStr">
        <is>
          <t>ALABI ELIZABETH D.</t>
        </is>
      </c>
      <c r="C7" s="20" t="inlineStr">
        <is>
          <t>1851</t>
        </is>
      </c>
      <c r="D7" s="128" t="inlineStr">
        <is>
          <t>Female</t>
        </is>
      </c>
      <c r="E7" s="21" t="inlineStr">
        <is>
          <t>JSS 2C</t>
        </is>
      </c>
      <c r="F7" s="21" t="n">
        <v>31</v>
      </c>
      <c r="G7" s="21" t="n">
        <v>122</v>
      </c>
      <c r="H7" s="21" t="n">
        <v>96</v>
      </c>
      <c r="I7" s="26">
        <f>G7-H7</f>
        <v/>
      </c>
      <c r="J7" s="21" t="n">
        <v>27</v>
      </c>
      <c r="K7" s="21" t="n">
        <v>29</v>
      </c>
      <c r="L7" s="27">
        <f>SUM(J7:K7)</f>
        <v/>
      </c>
      <c r="M7" s="28" t="n">
        <v>39</v>
      </c>
      <c r="N7" s="28" t="n">
        <v>31</v>
      </c>
      <c r="O7" s="29">
        <f>IF(AND(L7=0,M7=0,N7=0),0,IF(AND(L7=0,M7=0),N7/1,IF(AND(L7=0,N7=0),M7/1,IF(AND(M7=0,N7=0),L7/1,IF(L7=0,FLOOR((M7+N7)/2,0.1),IF(M7=0,(L7+N7)/2,IF(N7=0,(M7+L7)/2,FLOOR(((L7+M7+N7)/3),0.1))))))))</f>
        <v/>
      </c>
      <c r="P7" s="21" t="n">
        <v>23</v>
      </c>
      <c r="Q7" s="21" t="n">
        <v>45</v>
      </c>
      <c r="R7" s="27">
        <f>SUM(P7:Q7)</f>
        <v/>
      </c>
      <c r="S7" s="28" t="n">
        <v>74</v>
      </c>
      <c r="T7" s="28" t="n">
        <v>62</v>
      </c>
      <c r="U7" s="29">
        <f>IF(AND(R7=0,S7=0,T7=0),0,IF(AND(R7=0,S7=0),T7/1,IF(AND(R7=0,T7=0),S7/1,IF(AND(S7=0,T7=0),R7/1,IF(R7=0,FLOOR((S7+T7)/2,0.1),IF(S7=0,(R7+T7)/2,IF(T7=0,(S7+R7)/2,FLOOR(((R7+S7+T7)/3),0.1))))))))</f>
        <v/>
      </c>
      <c r="V7" s="21" t="n">
        <v>25</v>
      </c>
      <c r="W7" s="21" t="n">
        <v>16</v>
      </c>
      <c r="X7" s="27">
        <f>SUM(V7:W7)</f>
        <v/>
      </c>
      <c r="Y7" s="28" t="n">
        <v>49</v>
      </c>
      <c r="Z7" s="28" t="n">
        <v>45</v>
      </c>
      <c r="AA7" s="29">
        <f>IF(AND(X7=0,Y7=0,Z7=0),0,IF(AND(X7=0,Y7=0),Z7/1,IF(AND(X7=0,Z7=0),Y7/1,IF(AND(Y7=0,Z7=0),X7/1,IF(X7=0,FLOOR((Y7+Z7)/2,0.1),IF(Y7=0,(X7+Z7)/2,IF(Z7=0,(Y7+X7)/2,FLOOR(((X7+Y7+Z7)/3),0.1))))))))</f>
        <v/>
      </c>
      <c r="AB7" s="21" t="n">
        <v>25</v>
      </c>
      <c r="AC7" s="21" t="n">
        <v>59</v>
      </c>
      <c r="AD7" s="27">
        <f>SUM(AB7:AC7)</f>
        <v/>
      </c>
      <c r="AE7" s="28" t="n">
        <v>86</v>
      </c>
      <c r="AF7" s="28" t="n">
        <v>85</v>
      </c>
      <c r="AG7" s="29">
        <f>IF(AND(AD7=0,AE7=0,AF7=0),0,IF(AND(AD7=0,AE7=0),AF7/1,IF(AND(AD7=0,AF7=0),AE7/1,IF(AND(AE7=0,AF7=0),AD7/1,IF(AD7=0,FLOOR((AE7+AF7)/2,0.1),IF(AE7=0,(AD7+AF7)/2,IF(AF7=0,(AE7+AD7)/2,FLOOR(((AD7+AE7+AF7)/3),0.1))))))))</f>
        <v/>
      </c>
      <c r="AH7" s="21" t="n">
        <v>18</v>
      </c>
      <c r="AI7" s="21" t="n">
        <v>42</v>
      </c>
      <c r="AJ7" s="27">
        <f>SUM(AH7:AI7)</f>
        <v/>
      </c>
      <c r="AK7" s="28" t="n">
        <v>54</v>
      </c>
      <c r="AL7" s="28" t="n">
        <v>47</v>
      </c>
      <c r="AM7" s="29">
        <f>IF(AND(AJ7=0,AK7=0,AL7=0),0,IF(AND(AJ7=0,AK7=0),AL7/1,IF(AND(AJ7=0,AL7=0),AK7/1,IF(AND(AK7=0,AL7=0),AJ7/1,IF(AJ7=0,FLOOR((AK7+AL7)/2,0.1),IF(AK7=0,(AJ7+AL7)/2,IF(AL7=0,(AK7+AJ7)/2,FLOOR(((AJ7+AK7+AL7)/3),0.1))))))))</f>
        <v/>
      </c>
      <c r="AN7" s="21" t="n"/>
      <c r="AO7" s="21" t="n"/>
      <c r="AP7" s="27">
        <f>SUM(AN7:AO7)</f>
        <v/>
      </c>
      <c r="AQ7" s="28" t="n"/>
      <c r="AR7" s="30" t="n"/>
      <c r="AS7" s="29">
        <f>IF(AND(AP7=0,AQ7=0,AR7=0),0,IF(AND(AP7=0,AQ7=0),AR7/1,IF(AND(AP7=0,AR7=0),AQ7/1,IF(AND(AQ7=0,AR7=0),AP7/1,IF(AP7=0,FLOOR((AQ7+AR7)/2,0.1),IF(AQ7=0,(AP7+AR7)/2,IF(AR7=0,(AQ7+AP7)/2,FLOOR(((AP7+AQ7+AR7)/3),0.1))))))))</f>
        <v/>
      </c>
      <c r="AT7" s="21" t="n">
        <v>30</v>
      </c>
      <c r="AU7" s="21" t="n">
        <v>30</v>
      </c>
      <c r="AV7" s="27">
        <f>SUM(AT7:AU7)</f>
        <v/>
      </c>
      <c r="AW7" s="28" t="n">
        <v>46</v>
      </c>
      <c r="AX7" s="30" t="n">
        <v>63</v>
      </c>
      <c r="AY7" s="29">
        <f>IF(AND(AV7=0,AW7=0,AX7=0),0,IF(AND(AV7=0,AW7=0),AX7/1,IF(AND(AV7=0,AX7=0),AW7/1,IF(AND(AW7=0,AX7=0),AV7/1,IF(AV7=0,FLOOR((AW7+AX7)/2,0.1),IF(AW7=0,(AV7+AX7)/2,IF(AX7=0,(AW7+AV7)/2,FLOOR(((AV7+AW7+AX7)/3),0.1))))))))</f>
        <v/>
      </c>
      <c r="AZ7" s="21" t="n">
        <v>23</v>
      </c>
      <c r="BA7" s="21" t="n">
        <v>53</v>
      </c>
      <c r="BB7" s="27">
        <f>SUM(AZ7:BA7)</f>
        <v/>
      </c>
      <c r="BC7" s="28" t="n">
        <v>67</v>
      </c>
      <c r="BD7" s="28" t="n">
        <v>72</v>
      </c>
      <c r="BE7" s="29">
        <f>IF(AND(BB7=0,BC7=0,BD7=0),0,IF(AND(BB7=0,BC7=0),BD7/1,IF(AND(BB7=0,BD7=0),BC7/1,IF(AND(BC7=0,BD7=0),BB7/1,IF(BB7=0,FLOOR((BC7+BD7)/2,0.1),IF(BC7=0,(BB7+BD7)/2,IF(BD7=0,(BC7+BB7)/2,FLOOR(((BB7+BC7+BD7)/3),0.1))))))))</f>
        <v/>
      </c>
      <c r="BF7" s="21" t="n">
        <v>15</v>
      </c>
      <c r="BG7" s="21" t="n">
        <v>38</v>
      </c>
      <c r="BH7" s="27">
        <f>SUM(BF7:BG7)</f>
        <v/>
      </c>
      <c r="BI7" s="28" t="n">
        <v>53</v>
      </c>
      <c r="BJ7" s="28" t="n">
        <v>34</v>
      </c>
      <c r="BK7" s="29">
        <f>IF(AND(BH7=0,BI7=0,BJ7=0),0,IF(AND(BH7=0,BI7=0),BJ7/1,IF(AND(BH7=0,BJ7=0),BI7/1,IF(AND(BI7=0,BJ7=0),BH7/1,IF(BH7=0,FLOOR((BI7+BJ7)/2,0.1),IF(BI7=0,(BH7+BJ7)/2,IF(BJ7=0,(BI7+BH7)/2,FLOOR(((BH7+BI7+BJ7)/3),0.1))))))))</f>
        <v/>
      </c>
      <c r="BL7" s="21" t="n">
        <v>19</v>
      </c>
      <c r="BM7" s="21" t="n">
        <v>31</v>
      </c>
      <c r="BN7" s="27">
        <f>SUM(BL7:BM7)</f>
        <v/>
      </c>
      <c r="BO7" s="28" t="n">
        <v>32</v>
      </c>
      <c r="BP7" s="31" t="n">
        <v>51</v>
      </c>
      <c r="BQ7" s="29">
        <f>IF(AND(BN7=0,BO7=0,BP7=0),0,IF(AND(BN7=0,BO7=0),BP7/1,IF(AND(BN7=0,BP7=0),BO7/1,IF(AND(BO7=0,BP7=0),BN7/1,IF(BN7=0,FLOOR((BO7+BP7)/2,0.1),IF(BO7=0,(BN7+BP7)/2,IF(BP7=0,(BO7+BN7)/2,FLOOR(((BN7+BO7+BP7)/3),0.1))))))))</f>
        <v/>
      </c>
      <c r="BR7" s="21" t="n"/>
      <c r="BS7" s="21" t="n"/>
      <c r="BT7" s="27">
        <f>SUM(BR7:BS7)</f>
        <v/>
      </c>
      <c r="BU7" s="28" t="n"/>
      <c r="BV7" s="31" t="n"/>
      <c r="BW7" s="29">
        <f>IF(AND(BT7=0,BU7=0,BV7=0),0,IF(AND(BT7=0,BU7=0),BV7/1,IF(AND(BT7=0,BV7=0),BU7/1,IF(AND(BU7=0,BV7=0),BT7/1,IF(BT7=0,FLOOR((BU7+BV7)/2,0.1),IF(BU7=0,(BT7+BV7)/2,IF(BV7=0,(BU7+BT7)/2,FLOOR(((BT7+BU7+BV7)/3),0.1))))))))</f>
        <v/>
      </c>
      <c r="BX7" s="21" t="n">
        <v>23</v>
      </c>
      <c r="BY7" s="21" t="n">
        <v>63</v>
      </c>
      <c r="BZ7" s="27">
        <f>SUM(BX7:BY7)</f>
        <v/>
      </c>
      <c r="CA7" s="28" t="n">
        <v>57</v>
      </c>
      <c r="CB7" s="31" t="n">
        <v>54</v>
      </c>
      <c r="CC7" s="29">
        <f>IF(AND(BZ7=0,CA7=0,CB7=0),0,IF(AND(BZ7=0,CA7=0),CB7/1,IF(AND(BZ7=0,CB7=0),CA7/1,IF(AND(CA7=0,CB7=0),BZ7/1,IF(BZ7=0,FLOOR((CA7+CB7)/2,0.1),IF(CA7=0,(BZ7+CB7)/2,IF(CB7=0,(CA7+BZ7)/2,FLOOR(((BZ7+CA7+CB7)/3),0.1))))))))</f>
        <v/>
      </c>
      <c r="CD7" s="21" t="n">
        <v>16</v>
      </c>
      <c r="CE7" s="21" t="n">
        <v>51</v>
      </c>
      <c r="CF7" s="27">
        <f>SUM(CD7:CE7)</f>
        <v/>
      </c>
      <c r="CG7" s="28" t="n">
        <v>22</v>
      </c>
      <c r="CH7" s="31" t="n">
        <v>40</v>
      </c>
      <c r="CI7" s="29">
        <f>IF(AND(CF7=0,CG7=0,CH7=0),0,IF(AND(CF7=0,CG7=0),CH7/1,IF(AND(CF7=0,CH7=0),CG7/1,IF(AND(CG7=0,CH7=0),CF7/1,IF(CF7=0,FLOOR((CG7+CH7)/2,0.1),IF(CG7=0,(CF7+CH7)/2,IF(CH7=0,(CG7+CF7)/2,FLOOR(((CF7+CG7+CH7)/3),0.1))))))))</f>
        <v/>
      </c>
      <c r="CJ7" s="21" t="n"/>
      <c r="CK7" s="21" t="n"/>
      <c r="CL7" s="27">
        <f>SUM(CJ7:CK7)</f>
        <v/>
      </c>
      <c r="CM7" s="28" t="n"/>
      <c r="CN7" s="31" t="n"/>
      <c r="CO7" s="29">
        <f>IF(AND(CL7=0,CM7=0,CN7=0),0,IF(AND(CL7=0,CM7=0),CN7/1,IF(AND(CL7=0,CN7=0),CM7/1,IF(AND(CM7=0,CN7=0),CL7/1,IF(CL7=0,FLOOR((CM7+CN7)/2,0.1),IF(CM7=0,(CL7+CN7)/2,IF(CN7=0,(CM7+CL7)/2,FLOOR(((CL7+CM7+CN7)/3),0.1))))))))</f>
        <v/>
      </c>
      <c r="CP7" s="21" t="n"/>
      <c r="CQ7" s="21" t="n"/>
      <c r="CR7" s="27">
        <f>SUM(CP7:CQ7)</f>
        <v/>
      </c>
      <c r="CS7" s="28" t="n"/>
      <c r="CT7" s="31" t="n"/>
      <c r="CU7" s="29">
        <f>IF(AND(CR7=0,CS7=0,CT7=0),0,IF(AND(CR7=0,CS7=0),CT7/1,IF(AND(CR7=0,CT7=0),CS7/1,IF(AND(CS7=0,CT7=0),CR7/1,IF(CR7=0,FLOOR((CS7+CT7)/2,0.1),IF(CS7=0,(CR7+CT7)/2,IF(CT7=0,(CS7+CR7)/2,FLOOR(((CR7+CS7+CT7)/3),0.1))))))))</f>
        <v/>
      </c>
      <c r="CV7" s="21" t="n">
        <v>30</v>
      </c>
      <c r="CW7" s="21" t="n">
        <v>26</v>
      </c>
      <c r="CX7" s="27">
        <f>SUM(CV7:CW7)</f>
        <v/>
      </c>
      <c r="CY7" s="28" t="n">
        <v>59</v>
      </c>
      <c r="CZ7" s="31" t="n">
        <v>56</v>
      </c>
      <c r="DA7" s="29">
        <f>IF(AND(CX7=0,CY7=0,CZ7=0),0,IF(AND(CX7=0,CY7=0),CZ7/1,IF(AND(CX7=0,CZ7=0),CY7/1,IF(AND(CY7=0,CZ7=0),CX7/1,IF(CX7=0,FLOOR((CY7+CZ7)/2,0.1),IF(CY7=0,(CX7+CZ7)/2,IF(CZ7=0,(CY7+CX7)/2,FLOOR(((CX7+CY7+CZ7)/3),0.1))))))))</f>
        <v/>
      </c>
      <c r="DB7" s="21" t="n"/>
      <c r="DC7" s="21" t="n"/>
      <c r="DD7" s="27">
        <f>SUM(DB7:DC7)</f>
        <v/>
      </c>
      <c r="DE7" s="28" t="n"/>
      <c r="DF7" s="31" t="n"/>
      <c r="DG7" s="29">
        <f>IF(AND(DD7=0,DE7=0,DF7=0),0,IF(AND(DD7=0,DE7=0),DF7/1,IF(AND(DD7=0,DF7=0),DE7/1,IF(AND(DE7=0,DF7=0),DD7/1,IF(DD7=0,FLOOR((DE7+DF7)/2,0.1),IF(DE7=0,(DD7+DF7)/2,IF(DF7=0,(DE7+DD7)/2,FLOOR(((DD7+DE7+DF7)/3),0.1))))))))</f>
        <v/>
      </c>
      <c r="DH7" s="34">
        <f>SUM(O7,U7,AA7,AG7,AM7,AS7,AY7,BE7,BK7,BQ7,BW7,CC7,CI7,CO7,CU7,DA7,DG7)</f>
        <v/>
      </c>
      <c r="DI7" s="39">
        <f>RANK(DH7,DH$4:DH$503)</f>
        <v/>
      </c>
      <c r="DJ7" s="40" t="inlineStr">
        <is>
          <t>GOOD(4)</t>
        </is>
      </c>
      <c r="DK7" s="40" t="inlineStr">
        <is>
          <t>GOOD(4)</t>
        </is>
      </c>
      <c r="DL7" s="40" t="inlineStr">
        <is>
          <t>EXCELLENT(5)</t>
        </is>
      </c>
      <c r="DM7" s="40" t="inlineStr">
        <is>
          <t>EXCELLENT(5)</t>
        </is>
      </c>
      <c r="DN7" s="40" t="inlineStr">
        <is>
          <t>GOOD(4)</t>
        </is>
      </c>
      <c r="DO7" s="40" t="inlineStr">
        <is>
          <t>GOOD(4)</t>
        </is>
      </c>
      <c r="DP7" s="40" t="inlineStr">
        <is>
          <t>GOOD(4)</t>
        </is>
      </c>
      <c r="DQ7" s="40" t="inlineStr">
        <is>
          <t>GOOD(4)</t>
        </is>
      </c>
      <c r="DR7" s="43" t="inlineStr">
        <is>
          <t>2024/2025</t>
        </is>
      </c>
      <c r="DS7" s="45" t="inlineStr">
        <is>
          <t>THIRD</t>
        </is>
      </c>
      <c r="DT7" s="40" t="inlineStr">
        <is>
          <t>GOOD(4)</t>
        </is>
      </c>
      <c r="DU7" s="40" t="inlineStr">
        <is>
          <t>GOOD(4)</t>
        </is>
      </c>
      <c r="DV7" s="40" t="inlineStr">
        <is>
          <t>GOOD(4)</t>
        </is>
      </c>
      <c r="DW7" s="40" t="inlineStr">
        <is>
          <t>GOOD(4)</t>
        </is>
      </c>
      <c r="DX7" s="40" t="inlineStr">
        <is>
          <t>GOOD(4)</t>
        </is>
      </c>
      <c r="DY7" s="40" t="inlineStr">
        <is>
          <t>GOOD(4)</t>
        </is>
      </c>
      <c r="DZ7" s="53" t="inlineStr">
        <is>
          <t>GOOD(4)</t>
        </is>
      </c>
      <c r="EA7" s="54" t="inlineStr">
        <is>
          <t>She is developing greater self-confidence and resilience.</t>
        </is>
      </c>
      <c r="EB7" s="55" t="inlineStr">
        <is>
          <t>Promoted to JSS3</t>
        </is>
      </c>
      <c r="EC7" s="56" t="inlineStr">
        <is>
          <t>MR. JIMOH WASIU OLATUNDE</t>
        </is>
      </c>
      <c r="ED7" s="57" t="inlineStr">
        <is>
          <t>Next Term Begins on Monday, 15th September, 2028</t>
        </is>
      </c>
    </row>
    <row r="8" ht="30.6" customHeight="1" s="6">
      <c r="A8" s="18" t="n">
        <v>5</v>
      </c>
      <c r="B8" s="19" t="inlineStr">
        <is>
          <t xml:space="preserve">ALABI FATIMO </t>
        </is>
      </c>
      <c r="C8" s="20" t="inlineStr">
        <is>
          <t>1845</t>
        </is>
      </c>
      <c r="D8" s="128" t="inlineStr">
        <is>
          <t>Female</t>
        </is>
      </c>
      <c r="E8" s="21" t="inlineStr">
        <is>
          <t>JSS 2C</t>
        </is>
      </c>
      <c r="F8" s="21" t="n">
        <v>31</v>
      </c>
      <c r="G8" s="21" t="n">
        <v>122</v>
      </c>
      <c r="H8" s="21" t="n">
        <v>98</v>
      </c>
      <c r="I8" s="26">
        <f>G8-H8</f>
        <v/>
      </c>
      <c r="J8" s="21" t="n">
        <v>16</v>
      </c>
      <c r="K8" s="21" t="n">
        <v>16</v>
      </c>
      <c r="L8" s="27">
        <f>SUM(J8:K8)</f>
        <v/>
      </c>
      <c r="M8" s="28" t="n">
        <v>16</v>
      </c>
      <c r="N8" s="28" t="n">
        <v>31</v>
      </c>
      <c r="O8" s="29">
        <f>IF(AND(L8=0,M8=0,N8=0),0,IF(AND(L8=0,M8=0),N8/1,IF(AND(L8=0,N8=0),M8/1,IF(AND(M8=0,N8=0),L8/1,IF(L8=0,FLOOR((M8+N8)/2,0.1),IF(M8=0,(L8+N8)/2,IF(N8=0,(M8+L8)/2,FLOOR(((L8+M8+N8)/3),0.1))))))))</f>
        <v/>
      </c>
      <c r="P8" s="21" t="n">
        <v>11</v>
      </c>
      <c r="Q8" s="21" t="n">
        <v>23</v>
      </c>
      <c r="R8" s="27">
        <f>SUM(P8:Q8)</f>
        <v/>
      </c>
      <c r="S8" s="28" t="n">
        <v>8</v>
      </c>
      <c r="T8" s="28" t="n">
        <v>60</v>
      </c>
      <c r="U8" s="29">
        <f>IF(AND(R8=0,S8=0,T8=0),0,IF(AND(R8=0,S8=0),T8/1,IF(AND(R8=0,T8=0),S8/1,IF(AND(S8=0,T8=0),R8/1,IF(R8=0,FLOOR((S8+T8)/2,0.1),IF(S8=0,(R8+T8)/2,IF(T8=0,(S8+R8)/2,FLOOR(((R8+S8+T8)/3),0.1))))))))</f>
        <v/>
      </c>
      <c r="V8" s="21" t="n">
        <v>25</v>
      </c>
      <c r="W8" s="21" t="n">
        <v>14</v>
      </c>
      <c r="X8" s="27">
        <f>SUM(V8:W8)</f>
        <v/>
      </c>
      <c r="Y8" s="28" t="n">
        <v>52</v>
      </c>
      <c r="Z8" s="28" t="n">
        <v>46</v>
      </c>
      <c r="AA8" s="29">
        <f>IF(AND(X8=0,Y8=0,Z8=0),0,IF(AND(X8=0,Y8=0),Z8/1,IF(AND(X8=0,Z8=0),Y8/1,IF(AND(Y8=0,Z8=0),X8/1,IF(X8=0,FLOOR((Y8+Z8)/2,0.1),IF(Y8=0,(X8+Z8)/2,IF(Z8=0,(Y8+X8)/2,FLOOR(((X8+Y8+Z8)/3),0.1))))))))</f>
        <v/>
      </c>
      <c r="AB8" s="21" t="n">
        <v>25</v>
      </c>
      <c r="AC8" s="21" t="n">
        <v>32</v>
      </c>
      <c r="AD8" s="27">
        <f>SUM(AB8:AC8)</f>
        <v/>
      </c>
      <c r="AE8" s="28" t="n">
        <v>74</v>
      </c>
      <c r="AF8" s="28" t="n">
        <v>66</v>
      </c>
      <c r="AG8" s="29">
        <f>IF(AND(AD8=0,AE8=0,AF8=0),0,IF(AND(AD8=0,AE8=0),AF8/1,IF(AND(AD8=0,AF8=0),AE8/1,IF(AND(AE8=0,AF8=0),AD8/1,IF(AD8=0,FLOOR((AE8+AF8)/2,0.1),IF(AE8=0,(AD8+AF8)/2,IF(AF8=0,(AE8+AD8)/2,FLOOR(((AD8+AE8+AF8)/3),0.1))))))))</f>
        <v/>
      </c>
      <c r="AH8" s="21" t="n">
        <v>23</v>
      </c>
      <c r="AI8" s="21" t="n">
        <v>46</v>
      </c>
      <c r="AJ8" s="27">
        <f>SUM(AH8:AI8)</f>
        <v/>
      </c>
      <c r="AK8" s="28" t="n">
        <v>78</v>
      </c>
      <c r="AL8" s="28" t="n">
        <v>60</v>
      </c>
      <c r="AM8" s="29">
        <f>IF(AND(AJ8=0,AK8=0,AL8=0),0,IF(AND(AJ8=0,AK8=0),AL8/1,IF(AND(AJ8=0,AL8=0),AK8/1,IF(AND(AK8=0,AL8=0),AJ8/1,IF(AJ8=0,FLOOR((AK8+AL8)/2,0.1),IF(AK8=0,(AJ8+AL8)/2,IF(AL8=0,(AK8+AJ8)/2,FLOOR(((AJ8+AK8+AL8)/3),0.1))))))))</f>
        <v/>
      </c>
      <c r="AN8" s="21" t="n"/>
      <c r="AO8" s="21" t="n"/>
      <c r="AP8" s="27">
        <f>SUM(AN8:AO8)</f>
        <v/>
      </c>
      <c r="AQ8" s="28" t="n"/>
      <c r="AR8" s="30" t="n"/>
      <c r="AS8" s="29">
        <f>IF(AND(AP8=0,AQ8=0,AR8=0),0,IF(AND(AP8=0,AQ8=0),AR8/1,IF(AND(AP8=0,AR8=0),AQ8/1,IF(AND(AQ8=0,AR8=0),AP8/1,IF(AP8=0,FLOOR((AQ8+AR8)/2,0.1),IF(AQ8=0,(AP8+AR8)/2,IF(AR8=0,(AQ8+AP8)/2,FLOOR(((AP8+AQ8+AR8)/3),0.1))))))))</f>
        <v/>
      </c>
      <c r="AT8" s="21" t="n">
        <v>30</v>
      </c>
      <c r="AU8" s="21" t="n">
        <v>34</v>
      </c>
      <c r="AV8" s="27">
        <f>SUM(AT8:AU8)</f>
        <v/>
      </c>
      <c r="AW8" s="28" t="n">
        <v>40</v>
      </c>
      <c r="AX8" s="30" t="n">
        <v>61</v>
      </c>
      <c r="AY8" s="29">
        <f>IF(AND(AV8=0,AW8=0,AX8=0),0,IF(AND(AV8=0,AW8=0),AX8/1,IF(AND(AV8=0,AX8=0),AW8/1,IF(AND(AW8=0,AX8=0),AV8/1,IF(AV8=0,FLOOR((AW8+AX8)/2,0.1),IF(AW8=0,(AV8+AX8)/2,IF(AX8=0,(AW8+AV8)/2,FLOOR(((AV8+AW8+AX8)/3),0.1))))))))</f>
        <v/>
      </c>
      <c r="AZ8" s="21" t="n">
        <v>22</v>
      </c>
      <c r="BA8" s="21" t="n">
        <v>32</v>
      </c>
      <c r="BB8" s="27">
        <f>SUM(AZ8:BA8)</f>
        <v/>
      </c>
      <c r="BC8" s="28" t="n">
        <v>64</v>
      </c>
      <c r="BD8" s="28" t="n">
        <v>59</v>
      </c>
      <c r="BE8" s="29">
        <f>IF(AND(BB8=0,BC8=0,BD8=0),0,IF(AND(BB8=0,BC8=0),BD8/1,IF(AND(BB8=0,BD8=0),BC8/1,IF(AND(BC8=0,BD8=0),BB8/1,IF(BB8=0,FLOOR((BC8+BD8)/2,0.1),IF(BC8=0,(BB8+BD8)/2,IF(BD8=0,(BC8+BB8)/2,FLOOR(((BB8+BC8+BD8)/3),0.1))))))))</f>
        <v/>
      </c>
      <c r="BF8" s="21" t="n">
        <v>13</v>
      </c>
      <c r="BG8" s="21" t="n">
        <v>48</v>
      </c>
      <c r="BH8" s="27">
        <f>SUM(BF8:BG8)</f>
        <v/>
      </c>
      <c r="BI8" s="28" t="n">
        <v>50</v>
      </c>
      <c r="BJ8" s="28" t="n">
        <v>30</v>
      </c>
      <c r="BK8" s="29">
        <f>IF(AND(BH8=0,BI8=0,BJ8=0),0,IF(AND(BH8=0,BI8=0),BJ8/1,IF(AND(BH8=0,BJ8=0),BI8/1,IF(AND(BI8=0,BJ8=0),BH8/1,IF(BH8=0,FLOOR((BI8+BJ8)/2,0.1),IF(BI8=0,(BH8+BJ8)/2,IF(BJ8=0,(BI8+BH8)/2,FLOOR(((BH8+BI8+BJ8)/3),0.1))))))))</f>
        <v/>
      </c>
      <c r="BL8" s="21" t="n">
        <v>15</v>
      </c>
      <c r="BM8" s="21" t="n">
        <v>37</v>
      </c>
      <c r="BN8" s="27">
        <f>SUM(BL8:BM8)</f>
        <v/>
      </c>
      <c r="BO8" s="28" t="n">
        <v>35</v>
      </c>
      <c r="BP8" s="31" t="n">
        <v>37</v>
      </c>
      <c r="BQ8" s="29">
        <f>IF(AND(BN8=0,BO8=0,BP8=0),0,IF(AND(BN8=0,BO8=0),BP8/1,IF(AND(BN8=0,BP8=0),BO8/1,IF(AND(BO8=0,BP8=0),BN8/1,IF(BN8=0,FLOOR((BO8+BP8)/2,0.1),IF(BO8=0,(BN8+BP8)/2,IF(BP8=0,(BO8+BN8)/2,FLOOR(((BN8+BO8+BP8)/3),0.1))))))))</f>
        <v/>
      </c>
      <c r="BR8" s="21" t="n"/>
      <c r="BS8" s="21" t="n"/>
      <c r="BT8" s="27">
        <f>SUM(BR8:BS8)</f>
        <v/>
      </c>
      <c r="BU8" s="28" t="n"/>
      <c r="BV8" s="31" t="n"/>
      <c r="BW8" s="29">
        <f>IF(AND(BT8=0,BU8=0,BV8=0),0,IF(AND(BT8=0,BU8=0),BV8/1,IF(AND(BT8=0,BV8=0),BU8/1,IF(AND(BU8=0,BV8=0),BT8/1,IF(BT8=0,FLOOR((BU8+BV8)/2,0.1),IF(BU8=0,(BT8+BV8)/2,IF(BV8=0,(BU8+BT8)/2,FLOOR(((BT8+BU8+BV8)/3),0.1))))))))</f>
        <v/>
      </c>
      <c r="BX8" s="21" t="n">
        <v>21</v>
      </c>
      <c r="BY8" s="21" t="n">
        <v>70</v>
      </c>
      <c r="BZ8" s="27">
        <f>SUM(BX8:BY8)</f>
        <v/>
      </c>
      <c r="CA8" s="28" t="n">
        <v>50</v>
      </c>
      <c r="CB8" s="31" t="n">
        <v>39</v>
      </c>
      <c r="CC8" s="29">
        <f>IF(AND(BZ8=0,CA8=0,CB8=0),0,IF(AND(BZ8=0,CA8=0),CB8/1,IF(AND(BZ8=0,CB8=0),CA8/1,IF(AND(CA8=0,CB8=0),BZ8/1,IF(BZ8=0,FLOOR((CA8+CB8)/2,0.1),IF(CA8=0,(BZ8+CB8)/2,IF(CB8=0,(CA8+BZ8)/2,FLOOR(((BZ8+CA8+CB8)/3),0.1))))))))</f>
        <v/>
      </c>
      <c r="CD8" s="21" t="n">
        <v>15</v>
      </c>
      <c r="CE8" s="21" t="n">
        <v>44</v>
      </c>
      <c r="CF8" s="27">
        <f>SUM(CD8:CE8)</f>
        <v/>
      </c>
      <c r="CG8" s="28" t="n">
        <v>22</v>
      </c>
      <c r="CH8" s="31" t="n">
        <v>38</v>
      </c>
      <c r="CI8" s="29">
        <f>IF(AND(CF8=0,CG8=0,CH8=0),0,IF(AND(CF8=0,CG8=0),CH8/1,IF(AND(CF8=0,CH8=0),CG8/1,IF(AND(CG8=0,CH8=0),CF8/1,IF(CF8=0,FLOOR((CG8+CH8)/2,0.1),IF(CG8=0,(CF8+CH8)/2,IF(CH8=0,(CG8+CF8)/2,FLOOR(((CF8+CG8+CH8)/3),0.1))))))))</f>
        <v/>
      </c>
      <c r="CJ8" s="21" t="n"/>
      <c r="CK8" s="21" t="n"/>
      <c r="CL8" s="27">
        <f>SUM(CJ8:CK8)</f>
        <v/>
      </c>
      <c r="CM8" s="28" t="n"/>
      <c r="CN8" s="31" t="n"/>
      <c r="CO8" s="29">
        <f>IF(AND(CL8=0,CM8=0,CN8=0),0,IF(AND(CL8=0,CM8=0),CN8/1,IF(AND(CL8=0,CN8=0),CM8/1,IF(AND(CM8=0,CN8=0),CL8/1,IF(CL8=0,FLOOR((CM8+CN8)/2,0.1),IF(CM8=0,(CL8+CN8)/2,IF(CN8=0,(CM8+CL8)/2,FLOOR(((CL8+CM8+CN8)/3),0.1))))))))</f>
        <v/>
      </c>
      <c r="CP8" s="21" t="n"/>
      <c r="CQ8" s="21" t="n"/>
      <c r="CR8" s="27">
        <f>SUM(CP8:CQ8)</f>
        <v/>
      </c>
      <c r="CS8" s="28" t="n"/>
      <c r="CT8" s="31" t="n"/>
      <c r="CU8" s="29">
        <f>IF(AND(CR8=0,CS8=0,CT8=0),0,IF(AND(CR8=0,CS8=0),CT8/1,IF(AND(CR8=0,CT8=0),CS8/1,IF(AND(CS8=0,CT8=0),CR8/1,IF(CR8=0,FLOOR((CS8+CT8)/2,0.1),IF(CS8=0,(CR8+CT8)/2,IF(CT8=0,(CS8+CR8)/2,FLOOR(((CR8+CS8+CT8)/3),0.1))))))))</f>
        <v/>
      </c>
      <c r="CV8" s="21" t="n">
        <v>10</v>
      </c>
      <c r="CW8" s="21" t="n">
        <v>22</v>
      </c>
      <c r="CX8" s="27">
        <f>SUM(CV8:CW8)</f>
        <v/>
      </c>
      <c r="CY8" s="28" t="n">
        <v>42</v>
      </c>
      <c r="CZ8" s="31" t="n">
        <v>37</v>
      </c>
      <c r="DA8" s="29">
        <f>IF(AND(CX8=0,CY8=0,CZ8=0),0,IF(AND(CX8=0,CY8=0),CZ8/1,IF(AND(CX8=0,CZ8=0),CY8/1,IF(AND(CY8=0,CZ8=0),CX8/1,IF(CX8=0,FLOOR((CY8+CZ8)/2,0.1),IF(CY8=0,(CX8+CZ8)/2,IF(CZ8=0,(CY8+CX8)/2,FLOOR(((CX8+CY8+CZ8)/3),0.1))))))))</f>
        <v/>
      </c>
      <c r="DB8" s="21" t="n"/>
      <c r="DC8" s="21" t="n"/>
      <c r="DD8" s="27">
        <f>SUM(DB8:DC8)</f>
        <v/>
      </c>
      <c r="DE8" s="28" t="n"/>
      <c r="DF8" s="31" t="n"/>
      <c r="DG8" s="29">
        <f>IF(AND(DD8=0,DE8=0,DF8=0),0,IF(AND(DD8=0,DE8=0),DF8/1,IF(AND(DD8=0,DF8=0),DE8/1,IF(AND(DE8=0,DF8=0),DD8/1,IF(DD8=0,FLOOR((DE8+DF8)/2,0.1),IF(DE8=0,(DD8+DF8)/2,IF(DF8=0,(DE8+DD8)/2,FLOOR(((DD8+DE8+DF8)/3),0.1))))))))</f>
        <v/>
      </c>
      <c r="DH8" s="34">
        <f>SUM(O8,U8,AA8,AG8,AM8,AS8,AY8,BE8,BK8,BQ8,BW8,CC8,CI8,CO8,CU8,DA8,DG8)</f>
        <v/>
      </c>
      <c r="DI8" s="39">
        <f>RANK(DH8,DH$4:DH$503)</f>
        <v/>
      </c>
      <c r="DJ8" s="40" t="inlineStr">
        <is>
          <t>GOOD(4)</t>
        </is>
      </c>
      <c r="DK8" s="40" t="inlineStr">
        <is>
          <t>GOOD(4)</t>
        </is>
      </c>
      <c r="DL8" s="40" t="inlineStr">
        <is>
          <t>GOOD(4)</t>
        </is>
      </c>
      <c r="DM8" s="40" t="inlineStr">
        <is>
          <t>EXCELLENT(5)</t>
        </is>
      </c>
      <c r="DN8" s="40" t="inlineStr">
        <is>
          <t>GOOD(4)</t>
        </is>
      </c>
      <c r="DO8" s="40" t="inlineStr">
        <is>
          <t>GOOD(4)</t>
        </is>
      </c>
      <c r="DP8" s="40" t="inlineStr">
        <is>
          <t>GOOD(4)</t>
        </is>
      </c>
      <c r="DQ8" s="40" t="inlineStr">
        <is>
          <t>GOOD(4)</t>
        </is>
      </c>
      <c r="DR8" s="43" t="inlineStr">
        <is>
          <t>2024/2025</t>
        </is>
      </c>
      <c r="DS8" s="45" t="inlineStr">
        <is>
          <t>THIRD</t>
        </is>
      </c>
      <c r="DT8" s="40" t="inlineStr">
        <is>
          <t>GOOD(4)</t>
        </is>
      </c>
      <c r="DU8" s="40" t="inlineStr">
        <is>
          <t>GOOD(4)</t>
        </is>
      </c>
      <c r="DV8" s="40" t="inlineStr">
        <is>
          <t>GOOD(4)</t>
        </is>
      </c>
      <c r="DW8" s="40" t="inlineStr">
        <is>
          <t>GOOD(4)</t>
        </is>
      </c>
      <c r="DX8" s="40" t="inlineStr">
        <is>
          <t>GOOD(4)</t>
        </is>
      </c>
      <c r="DY8" s="40" t="inlineStr">
        <is>
          <t>GOOD(4)</t>
        </is>
      </c>
      <c r="DZ8" s="53" t="inlineStr">
        <is>
          <t>GOOD(4)</t>
        </is>
      </c>
      <c r="EA8" s="54" t="inlineStr">
        <is>
          <t>Requires additional support in understanding key concepts.</t>
        </is>
      </c>
      <c r="EB8" s="55" t="inlineStr">
        <is>
          <t>Promoted to JSS3</t>
        </is>
      </c>
      <c r="EC8" s="56" t="inlineStr">
        <is>
          <t>MR. JIMOH WASIU OLATUNDE</t>
        </is>
      </c>
      <c r="ED8" s="57" t="inlineStr">
        <is>
          <t>Next Term Begins on Monday, 15th September, 2029</t>
        </is>
      </c>
    </row>
    <row r="9" ht="30.6" customHeight="1" s="6">
      <c r="A9" s="18" t="n">
        <v>6</v>
      </c>
      <c r="B9" s="19" t="inlineStr">
        <is>
          <t>ALABI OJEDAYO A.</t>
        </is>
      </c>
      <c r="C9" s="20" t="inlineStr">
        <is>
          <t>1847</t>
        </is>
      </c>
      <c r="D9" s="128" t="inlineStr">
        <is>
          <t>Male</t>
        </is>
      </c>
      <c r="E9" s="21" t="inlineStr">
        <is>
          <t>JSS 2C</t>
        </is>
      </c>
      <c r="F9" s="21" t="n">
        <v>31</v>
      </c>
      <c r="G9" s="21" t="n">
        <v>122</v>
      </c>
      <c r="H9" s="21" t="n">
        <v>110</v>
      </c>
      <c r="I9" s="26">
        <f>G9-H9</f>
        <v/>
      </c>
      <c r="J9" s="21" t="n">
        <v>30</v>
      </c>
      <c r="K9" s="21" t="n">
        <v>42</v>
      </c>
      <c r="L9" s="27">
        <f>SUM(J9:K9)</f>
        <v/>
      </c>
      <c r="M9" s="28" t="n">
        <v>22</v>
      </c>
      <c r="N9" s="28" t="n">
        <v>35</v>
      </c>
      <c r="O9" s="29">
        <f>IF(AND(L9=0,M9=0,N9=0),0,IF(AND(L9=0,M9=0),N9/1,IF(AND(L9=0,N9=0),M9/1,IF(AND(M9=0,N9=0),L9/1,IF(L9=0,FLOOR((M9+N9)/2,0.1),IF(M9=0,(L9+N9)/2,IF(N9=0,(M9+L9)/2,FLOOR(((L9+M9+N9)/3),0.1))))))))</f>
        <v/>
      </c>
      <c r="P9" s="21" t="n">
        <v>16</v>
      </c>
      <c r="Q9" s="21" t="n">
        <v>33</v>
      </c>
      <c r="R9" s="27">
        <f>SUM(P9:Q9)</f>
        <v/>
      </c>
      <c r="S9" s="28" t="n">
        <v>54</v>
      </c>
      <c r="T9" s="28" t="n">
        <v>45</v>
      </c>
      <c r="U9" s="29">
        <f>IF(AND(R9=0,S9=0,T9=0),0,IF(AND(R9=0,S9=0),T9/1,IF(AND(R9=0,T9=0),S9/1,IF(AND(S9=0,T9=0),R9/1,IF(R9=0,FLOOR((S9+T9)/2,0.1),IF(S9=0,(R9+T9)/2,IF(T9=0,(S9+R9)/2,FLOOR(((R9+S9+T9)/3),0.1))))))))</f>
        <v/>
      </c>
      <c r="V9" s="21" t="n">
        <v>25</v>
      </c>
      <c r="W9" s="21" t="n">
        <v>20</v>
      </c>
      <c r="X9" s="27">
        <f>SUM(V9:W9)</f>
        <v/>
      </c>
      <c r="Y9" s="28" t="n">
        <v>52</v>
      </c>
      <c r="Z9" s="28" t="n">
        <v>48</v>
      </c>
      <c r="AA9" s="29">
        <f>IF(AND(X9=0,Y9=0,Z9=0),0,IF(AND(X9=0,Y9=0),Z9/1,IF(AND(X9=0,Z9=0),Y9/1,IF(AND(Y9=0,Z9=0),X9/1,IF(X9=0,FLOOR((Y9+Z9)/2,0.1),IF(Y9=0,(X9+Z9)/2,IF(Z9=0,(Y9+X9)/2,FLOOR(((X9+Y9+Z9)/3),0.1))))))))</f>
        <v/>
      </c>
      <c r="AB9" s="21" t="n">
        <v>17</v>
      </c>
      <c r="AC9" s="21" t="n">
        <v>35</v>
      </c>
      <c r="AD9" s="27">
        <f>SUM(AB9:AC9)</f>
        <v/>
      </c>
      <c r="AE9" s="28" t="n">
        <v>58</v>
      </c>
      <c r="AF9" s="28" t="n">
        <v>53</v>
      </c>
      <c r="AG9" s="29">
        <f>IF(AND(AD9=0,AE9=0,AF9=0),0,IF(AND(AD9=0,AE9=0),AF9/1,IF(AND(AD9=0,AF9=0),AE9/1,IF(AND(AE9=0,AF9=0),AD9/1,IF(AD9=0,FLOOR((AE9+AF9)/2,0.1),IF(AE9=0,(AD9+AF9)/2,IF(AF9=0,(AE9+AD9)/2,FLOOR(((AD9+AE9+AF9)/3),0.1))))))))</f>
        <v/>
      </c>
      <c r="AH9" s="21" t="n">
        <v>17</v>
      </c>
      <c r="AI9" s="21" t="n">
        <v>29</v>
      </c>
      <c r="AJ9" s="27">
        <f>SUM(AH9:AI9)</f>
        <v/>
      </c>
      <c r="AK9" s="28" t="n">
        <v>54</v>
      </c>
      <c r="AL9" s="28" t="n">
        <v>40</v>
      </c>
      <c r="AM9" s="29">
        <f>IF(AND(AJ9=0,AK9=0,AL9=0),0,IF(AND(AJ9=0,AK9=0),AL9/1,IF(AND(AJ9=0,AL9=0),AK9/1,IF(AND(AK9=0,AL9=0),AJ9/1,IF(AJ9=0,FLOOR((AK9+AL9)/2,0.1),IF(AK9=0,(AJ9+AL9)/2,IF(AL9=0,(AK9+AJ9)/2,FLOOR(((AJ9+AK9+AL9)/3),0.1))))))))</f>
        <v/>
      </c>
      <c r="AN9" s="21" t="n"/>
      <c r="AO9" s="21" t="n"/>
      <c r="AP9" s="27">
        <f>SUM(AN9:AO9)</f>
        <v/>
      </c>
      <c r="AQ9" s="28" t="n"/>
      <c r="AR9" s="30" t="n"/>
      <c r="AS9" s="29">
        <f>IF(AND(AP9=0,AQ9=0,AR9=0),0,IF(AND(AP9=0,AQ9=0),AR9/1,IF(AND(AP9=0,AR9=0),AQ9/1,IF(AND(AQ9=0,AR9=0),AP9/1,IF(AP9=0,FLOOR((AQ9+AR9)/2,0.1),IF(AQ9=0,(AP9+AR9)/2,IF(AR9=0,(AQ9+AP9)/2,FLOOR(((AP9+AQ9+AR9)/3),0.1))))))))</f>
        <v/>
      </c>
      <c r="AT9" s="21" t="n">
        <v>23</v>
      </c>
      <c r="AU9" s="21" t="n">
        <v>33</v>
      </c>
      <c r="AV9" s="27">
        <f>SUM(AT9:AU9)</f>
        <v/>
      </c>
      <c r="AW9" s="28" t="n">
        <v>38</v>
      </c>
      <c r="AX9" s="30" t="n">
        <v>39</v>
      </c>
      <c r="AY9" s="29">
        <f>IF(AND(AV9=0,AW9=0,AX9=0),0,IF(AND(AV9=0,AW9=0),AX9/1,IF(AND(AV9=0,AX9=0),AW9/1,IF(AND(AW9=0,AX9=0),AV9/1,IF(AV9=0,FLOOR((AW9+AX9)/2,0.1),IF(AW9=0,(AV9+AX9)/2,IF(AX9=0,(AW9+AV9)/2,FLOOR(((AV9+AW9+AX9)/3),0.1))))))))</f>
        <v/>
      </c>
      <c r="AZ9" s="21" t="n">
        <v>17</v>
      </c>
      <c r="BA9" s="21" t="n">
        <v>33</v>
      </c>
      <c r="BB9" s="27">
        <f>SUM(AZ9:BA9)</f>
        <v/>
      </c>
      <c r="BC9" s="28" t="n">
        <v>45</v>
      </c>
      <c r="BD9" s="28" t="n">
        <v>48</v>
      </c>
      <c r="BE9" s="29">
        <f>IF(AND(BB9=0,BC9=0,BD9=0),0,IF(AND(BB9=0,BC9=0),BD9/1,IF(AND(BB9=0,BD9=0),BC9/1,IF(AND(BC9=0,BD9=0),BB9/1,IF(BB9=0,FLOOR((BC9+BD9)/2,0.1),IF(BC9=0,(BB9+BD9)/2,IF(BD9=0,(BC9+BB9)/2,FLOOR(((BB9+BC9+BD9)/3),0.1))))))))</f>
        <v/>
      </c>
      <c r="BF9" s="21" t="n">
        <v>16</v>
      </c>
      <c r="BG9" s="21" t="n">
        <v>35</v>
      </c>
      <c r="BH9" s="27">
        <f>SUM(BF9:BG9)</f>
        <v/>
      </c>
      <c r="BI9" s="28" t="n">
        <v>48</v>
      </c>
      <c r="BJ9" s="28" t="n">
        <v>37</v>
      </c>
      <c r="BK9" s="29">
        <f>IF(AND(BH9=0,BI9=0,BJ9=0),0,IF(AND(BH9=0,BI9=0),BJ9/1,IF(AND(BH9=0,BJ9=0),BI9/1,IF(AND(BI9=0,BJ9=0),BH9/1,IF(BH9=0,FLOOR((BI9+BJ9)/2,0.1),IF(BI9=0,(BH9+BJ9)/2,IF(BJ9=0,(BI9+BH9)/2,FLOOR(((BH9+BI9+BJ9)/3),0.1))))))))</f>
        <v/>
      </c>
      <c r="BL9" s="21" t="n">
        <v>23</v>
      </c>
      <c r="BM9" s="21" t="n">
        <v>35</v>
      </c>
      <c r="BN9" s="27">
        <f>SUM(BL9:BM9)</f>
        <v/>
      </c>
      <c r="BO9" s="28" t="n">
        <v>47</v>
      </c>
      <c r="BP9" s="31" t="n">
        <v>57</v>
      </c>
      <c r="BQ9" s="29">
        <f>IF(AND(BN9=0,BO9=0,BP9=0),0,IF(AND(BN9=0,BO9=0),BP9/1,IF(AND(BN9=0,BP9=0),BO9/1,IF(AND(BO9=0,BP9=0),BN9/1,IF(BN9=0,FLOOR((BO9+BP9)/2,0.1),IF(BO9=0,(BN9+BP9)/2,IF(BP9=0,(BO9+BN9)/2,FLOOR(((BN9+BO9+BP9)/3),0.1))))))))</f>
        <v/>
      </c>
      <c r="BR9" s="21" t="n"/>
      <c r="BS9" s="21" t="n"/>
      <c r="BT9" s="27">
        <f>SUM(BR9:BS9)</f>
        <v/>
      </c>
      <c r="BU9" s="28" t="n"/>
      <c r="BV9" s="31" t="n"/>
      <c r="BW9" s="29">
        <f>IF(AND(BT9=0,BU9=0,BV9=0),0,IF(AND(BT9=0,BU9=0),BV9/1,IF(AND(BT9=0,BV9=0),BU9/1,IF(AND(BU9=0,BV9=0),BT9/1,IF(BT9=0,FLOOR((BU9+BV9)/2,0.1),IF(BU9=0,(BT9+BV9)/2,IF(BV9=0,(BU9+BT9)/2,FLOOR(((BT9+BU9+BV9)/3),0.1))))))))</f>
        <v/>
      </c>
      <c r="BX9" s="21" t="n">
        <v>23</v>
      </c>
      <c r="BY9" s="21" t="n">
        <v>59</v>
      </c>
      <c r="BZ9" s="27">
        <f>SUM(BX9:BY9)</f>
        <v/>
      </c>
      <c r="CA9" s="28" t="n">
        <v>47</v>
      </c>
      <c r="CB9" s="31" t="n">
        <v>42</v>
      </c>
      <c r="CC9" s="29">
        <f>IF(AND(BZ9=0,CA9=0,CB9=0),0,IF(AND(BZ9=0,CA9=0),CB9/1,IF(AND(BZ9=0,CB9=0),CA9/1,IF(AND(CA9=0,CB9=0),BZ9/1,IF(BZ9=0,FLOOR((CA9+CB9)/2,0.1),IF(CA9=0,(BZ9+CB9)/2,IF(CB9=0,(CA9+BZ9)/2,FLOOR(((BZ9+CA9+CB9)/3),0.1))))))))</f>
        <v/>
      </c>
      <c r="CD9" s="21" t="n">
        <v>15</v>
      </c>
      <c r="CE9" s="21" t="n">
        <v>38</v>
      </c>
      <c r="CF9" s="27">
        <f>SUM(CD9:CE9)</f>
        <v/>
      </c>
      <c r="CG9" s="28" t="n">
        <v>27</v>
      </c>
      <c r="CH9" s="31" t="n">
        <v>29</v>
      </c>
      <c r="CI9" s="29">
        <f>IF(AND(CF9=0,CG9=0,CH9=0),0,IF(AND(CF9=0,CG9=0),CH9/1,IF(AND(CF9=0,CH9=0),CG9/1,IF(AND(CG9=0,CH9=0),CF9/1,IF(CF9=0,FLOOR((CG9+CH9)/2,0.1),IF(CG9=0,(CF9+CH9)/2,IF(CH9=0,(CG9+CF9)/2,FLOOR(((CF9+CG9+CH9)/3),0.1))))))))</f>
        <v/>
      </c>
      <c r="CJ9" s="21" t="n"/>
      <c r="CK9" s="21" t="n"/>
      <c r="CL9" s="27">
        <f>SUM(CJ9:CK9)</f>
        <v/>
      </c>
      <c r="CM9" s="28" t="n"/>
      <c r="CN9" s="31" t="n"/>
      <c r="CO9" s="29">
        <f>IF(AND(CL9=0,CM9=0,CN9=0),0,IF(AND(CL9=0,CM9=0),CN9/1,IF(AND(CL9=0,CN9=0),CM9/1,IF(AND(CM9=0,CN9=0),CL9/1,IF(CL9=0,FLOOR((CM9+CN9)/2,0.1),IF(CM9=0,(CL9+CN9)/2,IF(CN9=0,(CM9+CL9)/2,FLOOR(((CL9+CM9+CN9)/3),0.1))))))))</f>
        <v/>
      </c>
      <c r="CP9" s="21" t="n"/>
      <c r="CQ9" s="21" t="n"/>
      <c r="CR9" s="27">
        <f>SUM(CP9:CQ9)</f>
        <v/>
      </c>
      <c r="CS9" s="28" t="n"/>
      <c r="CT9" s="31" t="n"/>
      <c r="CU9" s="29">
        <f>IF(AND(CR9=0,CS9=0,CT9=0),0,IF(AND(CR9=0,CS9=0),CT9/1,IF(AND(CR9=0,CT9=0),CS9/1,IF(AND(CS9=0,CT9=0),CR9/1,IF(CR9=0,FLOOR((CS9+CT9)/2,0.1),IF(CS9=0,(CR9+CT9)/2,IF(CT9=0,(CS9+CR9)/2,FLOOR(((CR9+CS9+CT9)/3),0.1))))))))</f>
        <v/>
      </c>
      <c r="CV9" s="21" t="n">
        <v>28</v>
      </c>
      <c r="CW9" s="21" t="n">
        <v>25</v>
      </c>
      <c r="CX9" s="27">
        <f>SUM(CV9:CW9)</f>
        <v/>
      </c>
      <c r="CY9" s="28" t="n">
        <v>29</v>
      </c>
      <c r="CZ9" s="31" t="n">
        <v>20</v>
      </c>
      <c r="DA9" s="29">
        <f>IF(AND(CX9=0,CY9=0,CZ9=0),0,IF(AND(CX9=0,CY9=0),CZ9/1,IF(AND(CX9=0,CZ9=0),CY9/1,IF(AND(CY9=0,CZ9=0),CX9/1,IF(CX9=0,FLOOR((CY9+CZ9)/2,0.1),IF(CY9=0,(CX9+CZ9)/2,IF(CZ9=0,(CY9+CX9)/2,FLOOR(((CX9+CY9+CZ9)/3),0.1))))))))</f>
        <v/>
      </c>
      <c r="DB9" s="21" t="n"/>
      <c r="DC9" s="21" t="n"/>
      <c r="DD9" s="27">
        <f>SUM(DB9:DC9)</f>
        <v/>
      </c>
      <c r="DE9" s="28" t="n"/>
      <c r="DF9" s="31" t="n"/>
      <c r="DG9" s="29">
        <f>IF(AND(DD9=0,DE9=0,DF9=0),0,IF(AND(DD9=0,DE9=0),DF9/1,IF(AND(DD9=0,DF9=0),DE9/1,IF(AND(DE9=0,DF9=0),DD9/1,IF(DD9=0,FLOOR((DE9+DF9)/2,0.1),IF(DE9=0,(DD9+DF9)/2,IF(DF9=0,(DE9+DD9)/2,FLOOR(((DD9+DE9+DF9)/3),0.1))))))))</f>
        <v/>
      </c>
      <c r="DH9" s="34">
        <f>SUM(O9,U9,AA9,AG9,AM9,AS9,AY9,BE9,BK9,BQ9,BW9,CC9,CI9,CO9,CU9,DA9,DG9)</f>
        <v/>
      </c>
      <c r="DI9" s="39">
        <f>RANK(DH9,DH$4:DH$503)</f>
        <v/>
      </c>
      <c r="DJ9" s="40" t="inlineStr">
        <is>
          <t>GOOD(4)</t>
        </is>
      </c>
      <c r="DK9" s="40" t="inlineStr">
        <is>
          <t>GOOD(4)</t>
        </is>
      </c>
      <c r="DL9" s="40" t="inlineStr">
        <is>
          <t>GOOD(4)</t>
        </is>
      </c>
      <c r="DM9" s="40" t="inlineStr">
        <is>
          <t>EXCELLENT(5)</t>
        </is>
      </c>
      <c r="DN9" s="40" t="inlineStr">
        <is>
          <t>GOOD(4)</t>
        </is>
      </c>
      <c r="DO9" s="40" t="inlineStr">
        <is>
          <t>GOOD(4)</t>
        </is>
      </c>
      <c r="DP9" s="40" t="inlineStr">
        <is>
          <t>GOOD(4)</t>
        </is>
      </c>
      <c r="DQ9" s="40" t="inlineStr">
        <is>
          <t>GOOD(4)</t>
        </is>
      </c>
      <c r="DR9" s="43" t="inlineStr">
        <is>
          <t>2024/2025</t>
        </is>
      </c>
      <c r="DS9" s="45" t="inlineStr">
        <is>
          <t>THIRD</t>
        </is>
      </c>
      <c r="DT9" s="40" t="inlineStr">
        <is>
          <t>GOOD(4)</t>
        </is>
      </c>
      <c r="DU9" s="40" t="inlineStr">
        <is>
          <t>GOOD(4)</t>
        </is>
      </c>
      <c r="DV9" s="40" t="inlineStr">
        <is>
          <t>GOOD(4)</t>
        </is>
      </c>
      <c r="DW9" s="40" t="inlineStr">
        <is>
          <t>GOOD(4)</t>
        </is>
      </c>
      <c r="DX9" s="40" t="inlineStr">
        <is>
          <t>GOOD(4)</t>
        </is>
      </c>
      <c r="DY9" s="40" t="inlineStr">
        <is>
          <t>GOOD(4)</t>
        </is>
      </c>
      <c r="DZ9" s="53" t="inlineStr">
        <is>
          <t>GOOD(4)</t>
        </is>
      </c>
      <c r="EA9" s="54" t="inlineStr">
        <is>
          <t>Excels in most subjects and demonstrates a strong grasp of concepts.</t>
        </is>
      </c>
      <c r="EB9" s="55" t="inlineStr">
        <is>
          <t>Promoted to JSS3</t>
        </is>
      </c>
      <c r="EC9" s="56" t="inlineStr">
        <is>
          <t>MR. JIMOH WASIU OLATUNDE</t>
        </is>
      </c>
      <c r="ED9" s="57" t="inlineStr">
        <is>
          <t>Next Term Begins on Monday, 15th September, 2030</t>
        </is>
      </c>
    </row>
    <row r="10" ht="30.6" customHeight="1" s="6">
      <c r="A10" s="18" t="n">
        <v>7</v>
      </c>
      <c r="B10" s="19" t="inlineStr">
        <is>
          <t xml:space="preserve">ALABI SANGODAMOLA </t>
        </is>
      </c>
      <c r="C10" s="20" t="inlineStr">
        <is>
          <t>1868</t>
        </is>
      </c>
      <c r="D10" s="128" t="inlineStr">
        <is>
          <t>Male</t>
        </is>
      </c>
      <c r="E10" s="21" t="inlineStr">
        <is>
          <t>JSS 2C</t>
        </is>
      </c>
      <c r="F10" s="21" t="n">
        <v>31</v>
      </c>
      <c r="G10" s="21" t="n">
        <v>122</v>
      </c>
      <c r="H10" s="21" t="n">
        <v>102</v>
      </c>
      <c r="I10" s="26">
        <f>G10-H10</f>
        <v/>
      </c>
      <c r="J10" s="21" t="n">
        <v>30</v>
      </c>
      <c r="K10" s="21" t="n">
        <v>34</v>
      </c>
      <c r="L10" s="27">
        <f>SUM(J10:K10)</f>
        <v/>
      </c>
      <c r="M10" s="28" t="n">
        <v>30</v>
      </c>
      <c r="N10" s="28" t="n">
        <v>61</v>
      </c>
      <c r="O10" s="29">
        <f>IF(AND(L10=0,M10=0,N10=0),0,IF(AND(L10=0,M10=0),N10/1,IF(AND(L10=0,N10=0),M10/1,IF(AND(M10=0,N10=0),L10/1,IF(L10=0,FLOOR((M10+N10)/2,0.1),IF(M10=0,(L10+N10)/2,IF(N10=0,(M10+L10)/2,FLOOR(((L10+M10+N10)/3),0.1))))))))</f>
        <v/>
      </c>
      <c r="P10" s="21" t="n">
        <v>20</v>
      </c>
      <c r="Q10" s="21" t="n">
        <v>40</v>
      </c>
      <c r="R10" s="27">
        <f>SUM(P10:Q10)</f>
        <v/>
      </c>
      <c r="S10" s="28" t="n">
        <v>71</v>
      </c>
      <c r="T10" s="28" t="n">
        <v>50</v>
      </c>
      <c r="U10" s="29">
        <f>IF(AND(R10=0,S10=0,T10=0),0,IF(AND(R10=0,S10=0),T10/1,IF(AND(R10=0,T10=0),S10/1,IF(AND(S10=0,T10=0),R10/1,IF(R10=0,FLOOR((S10+T10)/2,0.1),IF(S10=0,(R10+T10)/2,IF(T10=0,(S10+R10)/2,FLOOR(((R10+S10+T10)/3),0.1))))))))</f>
        <v/>
      </c>
      <c r="V10" s="21" t="n">
        <v>20</v>
      </c>
      <c r="W10" s="21" t="n">
        <v>30</v>
      </c>
      <c r="X10" s="27">
        <f>SUM(V10:W10)</f>
        <v/>
      </c>
      <c r="Y10" s="28" t="n">
        <v>62</v>
      </c>
      <c r="Z10" s="28" t="n">
        <v>56</v>
      </c>
      <c r="AA10" s="29">
        <f>IF(AND(X10=0,Y10=0,Z10=0),0,IF(AND(X10=0,Y10=0),Z10/1,IF(AND(X10=0,Z10=0),Y10/1,IF(AND(Y10=0,Z10=0),X10/1,IF(X10=0,FLOOR((Y10+Z10)/2,0.1),IF(Y10=0,(X10+Z10)/2,IF(Z10=0,(Y10+X10)/2,FLOOR(((X10+Y10+Z10)/3),0.1))))))))</f>
        <v/>
      </c>
      <c r="AB10" s="21" t="n">
        <v>25</v>
      </c>
      <c r="AC10" s="21" t="n">
        <v>29</v>
      </c>
      <c r="AD10" s="27">
        <f>SUM(AB10:AC10)</f>
        <v/>
      </c>
      <c r="AE10" s="28" t="n">
        <v>55</v>
      </c>
      <c r="AF10" s="28" t="n">
        <v>54</v>
      </c>
      <c r="AG10" s="29">
        <f>IF(AND(AD10=0,AE10=0,AF10=0),0,IF(AND(AD10=0,AE10=0),AF10/1,IF(AND(AD10=0,AF10=0),AE10/1,IF(AND(AE10=0,AF10=0),AD10/1,IF(AD10=0,FLOOR((AE10+AF10)/2,0.1),IF(AE10=0,(AD10+AF10)/2,IF(AF10=0,(AE10+AD10)/2,FLOOR(((AD10+AE10+AF10)/3),0.1))))))))</f>
        <v/>
      </c>
      <c r="AH10" s="21" t="n">
        <v>30</v>
      </c>
      <c r="AI10" s="21" t="n">
        <v>33</v>
      </c>
      <c r="AJ10" s="27">
        <f>SUM(AH10:AI10)</f>
        <v/>
      </c>
      <c r="AK10" s="28" t="n">
        <v>28</v>
      </c>
      <c r="AL10" s="28" t="n">
        <v>28</v>
      </c>
      <c r="AM10" s="29">
        <f>IF(AND(AJ10=0,AK10=0,AL10=0),0,IF(AND(AJ10=0,AK10=0),AL10/1,IF(AND(AJ10=0,AL10=0),AK10/1,IF(AND(AK10=0,AL10=0),AJ10/1,IF(AJ10=0,FLOOR((AK10+AL10)/2,0.1),IF(AK10=0,(AJ10+AL10)/2,IF(AL10=0,(AK10+AJ10)/2,FLOOR(((AJ10+AK10+AL10)/3),0.1))))))))</f>
        <v/>
      </c>
      <c r="AN10" s="21" t="n"/>
      <c r="AO10" s="21" t="n"/>
      <c r="AP10" s="27">
        <f>SUM(AN10:AO10)</f>
        <v/>
      </c>
      <c r="AQ10" s="28" t="n"/>
      <c r="AR10" s="30" t="n"/>
      <c r="AS10" s="29">
        <f>IF(AND(AP10=0,AQ10=0,AR10=0),0,IF(AND(AP10=0,AQ10=0),AR10/1,IF(AND(AP10=0,AR10=0),AQ10/1,IF(AND(AQ10=0,AR10=0),AP10/1,IF(AP10=0,FLOOR((AQ10+AR10)/2,0.1),IF(AQ10=0,(AP10+AR10)/2,IF(AR10=0,(AQ10+AP10)/2,FLOOR(((AP10+AQ10+AR10)/3),0.1))))))))</f>
        <v/>
      </c>
      <c r="AT10" s="21" t="n">
        <v>27</v>
      </c>
      <c r="AU10" s="21" t="n">
        <v>31</v>
      </c>
      <c r="AV10" s="27">
        <f>SUM(AT10:AU10)</f>
        <v/>
      </c>
      <c r="AW10" s="28" t="n">
        <v>47</v>
      </c>
      <c r="AX10" s="30" t="n">
        <v>38</v>
      </c>
      <c r="AY10" s="29">
        <f>IF(AND(AV10=0,AW10=0,AX10=0),0,IF(AND(AV10=0,AW10=0),AX10/1,IF(AND(AV10=0,AX10=0),AW10/1,IF(AND(AW10=0,AX10=0),AV10/1,IF(AV10=0,FLOOR((AW10+AX10)/2,0.1),IF(AW10=0,(AV10+AX10)/2,IF(AX10=0,(AW10+AV10)/2,FLOOR(((AV10+AW10+AX10)/3),0.1))))))))</f>
        <v/>
      </c>
      <c r="AZ10" s="21" t="n">
        <v>23</v>
      </c>
      <c r="BA10" s="21" t="n">
        <v>48</v>
      </c>
      <c r="BB10" s="27">
        <f>SUM(AZ10:BA10)</f>
        <v/>
      </c>
      <c r="BC10" s="28" t="n">
        <v>53</v>
      </c>
      <c r="BD10" s="28" t="n">
        <v>62</v>
      </c>
      <c r="BE10" s="29">
        <f>IF(AND(BB10=0,BC10=0,BD10=0),0,IF(AND(BB10=0,BC10=0),BD10/1,IF(AND(BB10=0,BD10=0),BC10/1,IF(AND(BC10=0,BD10=0),BB10/1,IF(BB10=0,FLOOR((BC10+BD10)/2,0.1),IF(BC10=0,(BB10+BD10)/2,IF(BD10=0,(BC10+BB10)/2,FLOOR(((BB10+BC10+BD10)/3),0.1))))))))</f>
        <v/>
      </c>
      <c r="BF10" s="21" t="n">
        <v>16</v>
      </c>
      <c r="BG10" s="21" t="n">
        <v>35</v>
      </c>
      <c r="BH10" s="27">
        <f>SUM(BF10:BG10)</f>
        <v/>
      </c>
      <c r="BI10" s="28" t="n">
        <v>50</v>
      </c>
      <c r="BJ10" s="28" t="n">
        <v>37</v>
      </c>
      <c r="BK10" s="29">
        <f>IF(AND(BH10=0,BI10=0,BJ10=0),0,IF(AND(BH10=0,BI10=0),BJ10/1,IF(AND(BH10=0,BJ10=0),BI10/1,IF(AND(BI10=0,BJ10=0),BH10/1,IF(BH10=0,FLOOR((BI10+BJ10)/2,0.1),IF(BI10=0,(BH10+BJ10)/2,IF(BJ10=0,(BI10+BH10)/2,FLOOR(((BH10+BI10+BJ10)/3),0.1))))))))</f>
        <v/>
      </c>
      <c r="BL10" s="21" t="n">
        <v>27</v>
      </c>
      <c r="BM10" s="21" t="n">
        <v>43</v>
      </c>
      <c r="BN10" s="27">
        <f>SUM(BL10:BM10)</f>
        <v/>
      </c>
      <c r="BO10" s="28" t="n">
        <v>32</v>
      </c>
      <c r="BP10" s="31" t="n">
        <v>54</v>
      </c>
      <c r="BQ10" s="29">
        <f>IF(AND(BN10=0,BO10=0,BP10=0),0,IF(AND(BN10=0,BO10=0),BP10/1,IF(AND(BN10=0,BP10=0),BO10/1,IF(AND(BO10=0,BP10=0),BN10/1,IF(BN10=0,FLOOR((BO10+BP10)/2,0.1),IF(BO10=0,(BN10+BP10)/2,IF(BP10=0,(BO10+BN10)/2,FLOOR(((BN10+BO10+BP10)/3),0.1))))))))</f>
        <v/>
      </c>
      <c r="BR10" s="21" t="n"/>
      <c r="BS10" s="21" t="n"/>
      <c r="BT10" s="27">
        <f>SUM(BR10:BS10)</f>
        <v/>
      </c>
      <c r="BU10" s="28" t="n"/>
      <c r="BV10" s="31" t="n"/>
      <c r="BW10" s="29">
        <f>IF(AND(BT10=0,BU10=0,BV10=0),0,IF(AND(BT10=0,BU10=0),BV10/1,IF(AND(BT10=0,BV10=0),BU10/1,IF(AND(BU10=0,BV10=0),BT10/1,IF(BT10=0,FLOOR((BU10+BV10)/2,0.1),IF(BU10=0,(BT10+BV10)/2,IF(BV10=0,(BU10+BT10)/2,FLOOR(((BT10+BU10+BV10)/3),0.1))))))))</f>
        <v/>
      </c>
      <c r="BX10" s="21" t="n">
        <v>20</v>
      </c>
      <c r="BY10" s="21" t="n">
        <v>62</v>
      </c>
      <c r="BZ10" s="27">
        <f>SUM(BX10:BY10)</f>
        <v/>
      </c>
      <c r="CA10" s="28" t="n">
        <v>49</v>
      </c>
      <c r="CB10" s="31" t="n">
        <v>54</v>
      </c>
      <c r="CC10" s="29">
        <f>IF(AND(BZ10=0,CA10=0,CB10=0),0,IF(AND(BZ10=0,CA10=0),CB10/1,IF(AND(BZ10=0,CB10=0),CA10/1,IF(AND(CA10=0,CB10=0),BZ10/1,IF(BZ10=0,FLOOR((CA10+CB10)/2,0.1),IF(CA10=0,(BZ10+CB10)/2,IF(CB10=0,(CA10+BZ10)/2,FLOOR(((BZ10+CA10+CB10)/3),0.1))))))))</f>
        <v/>
      </c>
      <c r="CD10" s="21" t="n">
        <v>16</v>
      </c>
      <c r="CE10" s="21" t="n">
        <v>38</v>
      </c>
      <c r="CF10" s="27">
        <f>SUM(CD10:CE10)</f>
        <v/>
      </c>
      <c r="CG10" s="28" t="n">
        <v>44</v>
      </c>
      <c r="CH10" s="31" t="n">
        <v>54</v>
      </c>
      <c r="CI10" s="29">
        <f>IF(AND(CF10=0,CG10=0,CH10=0),0,IF(AND(CF10=0,CG10=0),CH10/1,IF(AND(CF10=0,CH10=0),CG10/1,IF(AND(CG10=0,CH10=0),CF10/1,IF(CF10=0,FLOOR((CG10+CH10)/2,0.1),IF(CG10=0,(CF10+CH10)/2,IF(CH10=0,(CG10+CF10)/2,FLOOR(((CF10+CG10+CH10)/3),0.1))))))))</f>
        <v/>
      </c>
      <c r="CJ10" s="21" t="n"/>
      <c r="CK10" s="21" t="n"/>
      <c r="CL10" s="27">
        <f>SUM(CJ10:CK10)</f>
        <v/>
      </c>
      <c r="CM10" s="28" t="n"/>
      <c r="CN10" s="31" t="n"/>
      <c r="CO10" s="29">
        <f>IF(AND(CL10=0,CM10=0,CN10=0),0,IF(AND(CL10=0,CM10=0),CN10/1,IF(AND(CL10=0,CN10=0),CM10/1,IF(AND(CM10=0,CN10=0),CL10/1,IF(CL10=0,FLOOR((CM10+CN10)/2,0.1),IF(CM10=0,(CL10+CN10)/2,IF(CN10=0,(CM10+CL10)/2,FLOOR(((CL10+CM10+CN10)/3),0.1))))))))</f>
        <v/>
      </c>
      <c r="CP10" s="21" t="n"/>
      <c r="CQ10" s="21" t="n"/>
      <c r="CR10" s="27">
        <f>SUM(CP10:CQ10)</f>
        <v/>
      </c>
      <c r="CS10" s="28" t="n"/>
      <c r="CT10" s="31" t="n"/>
      <c r="CU10" s="29">
        <f>IF(AND(CR10=0,CS10=0,CT10=0),0,IF(AND(CR10=0,CS10=0),CT10/1,IF(AND(CR10=0,CT10=0),CS10/1,IF(AND(CS10=0,CT10=0),CR10/1,IF(CR10=0,FLOOR((CS10+CT10)/2,0.1),IF(CS10=0,(CR10+CT10)/2,IF(CT10=0,(CS10+CR10)/2,FLOOR(((CR10+CS10+CT10)/3),0.1))))))))</f>
        <v/>
      </c>
      <c r="CV10" s="21" t="n">
        <v>30</v>
      </c>
      <c r="CW10" s="21" t="n">
        <v>33</v>
      </c>
      <c r="CX10" s="27">
        <f>SUM(CV10:CW10)</f>
        <v/>
      </c>
      <c r="CY10" s="28" t="n">
        <v>28</v>
      </c>
      <c r="CZ10" s="31" t="n">
        <v>28</v>
      </c>
      <c r="DA10" s="29">
        <f>IF(AND(CX10=0,CY10=0,CZ10=0),0,IF(AND(CX10=0,CY10=0),CZ10/1,IF(AND(CX10=0,CZ10=0),CY10/1,IF(AND(CY10=0,CZ10=0),CX10/1,IF(CX10=0,FLOOR((CY10+CZ10)/2,0.1),IF(CY10=0,(CX10+CZ10)/2,IF(CZ10=0,(CY10+CX10)/2,FLOOR(((CX10+CY10+CZ10)/3),0.1))))))))</f>
        <v/>
      </c>
      <c r="DB10" s="21" t="n"/>
      <c r="DC10" s="21" t="n"/>
      <c r="DD10" s="27">
        <f>SUM(DB10:DC10)</f>
        <v/>
      </c>
      <c r="DE10" s="28" t="n"/>
      <c r="DF10" s="31" t="n"/>
      <c r="DG10" s="29">
        <f>IF(AND(DD10=0,DE10=0,DF10=0),0,IF(AND(DD10=0,DE10=0),DF10/1,IF(AND(DD10=0,DF10=0),DE10/1,IF(AND(DE10=0,DF10=0),DD10/1,IF(DD10=0,FLOOR((DE10+DF10)/2,0.1),IF(DE10=0,(DD10+DF10)/2,IF(DF10=0,(DE10+DD10)/2,FLOOR(((DD10+DE10+DF10)/3),0.1))))))))</f>
        <v/>
      </c>
      <c r="DH10" s="34">
        <f>SUM(O10,U10,AA10,AG10,AM10,AS10,AY10,BE10,BK10,BQ10,BW10,CC10,CI10,CO10,CU10,DA10,DG10)</f>
        <v/>
      </c>
      <c r="DI10" s="39">
        <f>RANK(DH10,DH$4:DH$503)</f>
        <v/>
      </c>
      <c r="DJ10" s="40" t="inlineStr">
        <is>
          <t>EXCELLENT(5)</t>
        </is>
      </c>
      <c r="DK10" s="40" t="inlineStr">
        <is>
          <t>GOOD(4)</t>
        </is>
      </c>
      <c r="DL10" s="40" t="inlineStr">
        <is>
          <t>GOOD(4)</t>
        </is>
      </c>
      <c r="DM10" s="40" t="inlineStr">
        <is>
          <t>EXCELLENT(5)</t>
        </is>
      </c>
      <c r="DN10" s="40" t="inlineStr">
        <is>
          <t>GOOD(4)</t>
        </is>
      </c>
      <c r="DO10" s="40" t="inlineStr">
        <is>
          <t>GOOD(4)</t>
        </is>
      </c>
      <c r="DP10" s="40" t="inlineStr">
        <is>
          <t>GOOD(4)</t>
        </is>
      </c>
      <c r="DQ10" s="40" t="inlineStr">
        <is>
          <t>GOOD(4)</t>
        </is>
      </c>
      <c r="DR10" s="43" t="inlineStr">
        <is>
          <t>2024/2025</t>
        </is>
      </c>
      <c r="DS10" s="45" t="inlineStr">
        <is>
          <t>THIRD</t>
        </is>
      </c>
      <c r="DT10" s="40" t="inlineStr">
        <is>
          <t>GOOD(4)</t>
        </is>
      </c>
      <c r="DU10" s="40" t="inlineStr">
        <is>
          <t>GOOD(4)</t>
        </is>
      </c>
      <c r="DV10" s="40" t="inlineStr">
        <is>
          <t>GOOD(4)</t>
        </is>
      </c>
      <c r="DW10" s="40" t="inlineStr">
        <is>
          <t>GOOD(4)</t>
        </is>
      </c>
      <c r="DX10" s="40" t="inlineStr">
        <is>
          <t>GOOD(4)</t>
        </is>
      </c>
      <c r="DY10" s="40" t="inlineStr">
        <is>
          <t>GOOD(4)</t>
        </is>
      </c>
      <c r="DZ10" s="53" t="inlineStr">
        <is>
          <t>GOOD(4)</t>
        </is>
      </c>
      <c r="EA10" s="54" t="inlineStr">
        <is>
          <t>Shows consistent effort and improvement in academic work.</t>
        </is>
      </c>
      <c r="EB10" s="55" t="inlineStr">
        <is>
          <t>Promoted to JSS3</t>
        </is>
      </c>
      <c r="EC10" s="56" t="inlineStr">
        <is>
          <t>MR. JIMOH WASIU OLATUNDE</t>
        </is>
      </c>
      <c r="ED10" s="57" t="inlineStr">
        <is>
          <t>Next Term Begins on Monday, 15th September, 2031</t>
        </is>
      </c>
    </row>
    <row r="11" ht="30.6" customHeight="1" s="6">
      <c r="A11" s="18" t="n">
        <v>8</v>
      </c>
      <c r="B11" s="19" t="inlineStr">
        <is>
          <t>AMAO OJEBAYO ALABI</t>
        </is>
      </c>
      <c r="C11" s="20" t="inlineStr">
        <is>
          <t>1850</t>
        </is>
      </c>
      <c r="D11" s="128" t="inlineStr">
        <is>
          <t>Male</t>
        </is>
      </c>
      <c r="E11" s="21" t="inlineStr">
        <is>
          <t>JSS 2C</t>
        </is>
      </c>
      <c r="F11" s="21" t="n">
        <v>31</v>
      </c>
      <c r="G11" s="21" t="n">
        <v>122</v>
      </c>
      <c r="H11" s="21" t="n">
        <v>90</v>
      </c>
      <c r="I11" s="26">
        <f>G11-H11</f>
        <v/>
      </c>
      <c r="J11" s="21" t="n">
        <v>30</v>
      </c>
      <c r="K11" s="21" t="n">
        <v>42</v>
      </c>
      <c r="L11" s="27">
        <f>SUM(J11:K11)</f>
        <v/>
      </c>
      <c r="M11" s="28" t="n">
        <v>26</v>
      </c>
      <c r="N11" s="28" t="n">
        <v>44</v>
      </c>
      <c r="O11" s="29">
        <f>IF(AND(L11=0,M11=0,N11=0),0,IF(AND(L11=0,M11=0),N11/1,IF(AND(L11=0,N11=0),M11/1,IF(AND(M11=0,N11=0),L11/1,IF(L11=0,FLOOR((M11+N11)/2,0.1),IF(M11=0,(L11+N11)/2,IF(N11=0,(M11+L11)/2,FLOOR(((L11+M11+N11)/3),0.1))))))))</f>
        <v/>
      </c>
      <c r="P11" s="21" t="n">
        <v>18</v>
      </c>
      <c r="Q11" s="21" t="n">
        <v>36</v>
      </c>
      <c r="R11" s="27">
        <f>SUM(P11:Q11)</f>
        <v/>
      </c>
      <c r="S11" s="28" t="n">
        <v>56</v>
      </c>
      <c r="T11" s="28" t="n">
        <v>52</v>
      </c>
      <c r="U11" s="29">
        <f>IF(AND(R11=0,S11=0,T11=0),0,IF(AND(R11=0,S11=0),T11/1,IF(AND(R11=0,T11=0),S11/1,IF(AND(S11=0,T11=0),R11/1,IF(R11=0,FLOOR((S11+T11)/2,0.1),IF(S11=0,(R11+T11)/2,IF(T11=0,(S11+R11)/2,FLOOR(((R11+S11+T11)/3),0.1))))))))</f>
        <v/>
      </c>
      <c r="V11" s="21" t="n">
        <v>24</v>
      </c>
      <c r="W11" s="21" t="n">
        <v>30</v>
      </c>
      <c r="X11" s="27">
        <f>SUM(V11:W11)</f>
        <v/>
      </c>
      <c r="Y11" s="28" t="n">
        <v>54</v>
      </c>
      <c r="Z11" s="28" t="n">
        <v>54</v>
      </c>
      <c r="AA11" s="29">
        <f>IF(AND(X11=0,Y11=0,Z11=0),0,IF(AND(X11=0,Y11=0),Z11/1,IF(AND(X11=0,Z11=0),Y11/1,IF(AND(Y11=0,Z11=0),X11/1,IF(X11=0,FLOOR((Y11+Z11)/2,0.1),IF(Y11=0,(X11+Z11)/2,IF(Z11=0,(Y11+X11)/2,FLOOR(((X11+Y11+Z11)/3),0.1))))))))</f>
        <v/>
      </c>
      <c r="AB11" s="21" t="n">
        <v>21</v>
      </c>
      <c r="AC11" s="21" t="n">
        <v>55</v>
      </c>
      <c r="AD11" s="27">
        <f>SUM(AB11:AC11)</f>
        <v/>
      </c>
      <c r="AE11" s="28" t="n">
        <v>65</v>
      </c>
      <c r="AF11" s="28" t="n">
        <v>70</v>
      </c>
      <c r="AG11" s="29">
        <f>IF(AND(AD11=0,AE11=0,AF11=0),0,IF(AND(AD11=0,AE11=0),AF11/1,IF(AND(AD11=0,AF11=0),AE11/1,IF(AND(AE11=0,AF11=0),AD11/1,IF(AD11=0,FLOOR((AE11+AF11)/2,0.1),IF(AE11=0,(AD11+AF11)/2,IF(AF11=0,(AE11+AD11)/2,FLOOR(((AD11+AE11+AF11)/3),0.1))))))))</f>
        <v/>
      </c>
      <c r="AH11" s="21" t="n">
        <v>17</v>
      </c>
      <c r="AI11" s="21" t="n">
        <v>40</v>
      </c>
      <c r="AJ11" s="27">
        <f>SUM(AH11:AI11)</f>
        <v/>
      </c>
      <c r="AK11" s="28" t="n">
        <v>60</v>
      </c>
      <c r="AL11" s="28" t="n">
        <v>56</v>
      </c>
      <c r="AM11" s="29">
        <f>IF(AND(AJ11=0,AK11=0,AL11=0),0,IF(AND(AJ11=0,AK11=0),AL11/1,IF(AND(AJ11=0,AL11=0),AK11/1,IF(AND(AK11=0,AL11=0),AJ11/1,IF(AJ11=0,FLOOR((AK11+AL11)/2,0.1),IF(AK11=0,(AJ11+AL11)/2,IF(AL11=0,(AK11+AJ11)/2,FLOOR(((AJ11+AK11+AL11)/3),0.1))))))))</f>
        <v/>
      </c>
      <c r="AN11" s="21" t="n"/>
      <c r="AO11" s="21" t="n"/>
      <c r="AP11" s="27">
        <f>SUM(AN11:AO11)</f>
        <v/>
      </c>
      <c r="AQ11" s="28" t="n"/>
      <c r="AR11" s="30" t="n"/>
      <c r="AS11" s="29">
        <f>IF(AND(AP11=0,AQ11=0,AR11=0),0,IF(AND(AP11=0,AQ11=0),AR11/1,IF(AND(AP11=0,AR11=0),AQ11/1,IF(AND(AQ11=0,AR11=0),AP11/1,IF(AP11=0,FLOOR((AQ11+AR11)/2,0.1),IF(AQ11=0,(AP11+AR11)/2,IF(AR11=0,(AQ11+AP11)/2,FLOOR(((AP11+AQ11+AR11)/3),0.1))))))))</f>
        <v/>
      </c>
      <c r="AT11" s="21" t="n">
        <v>25</v>
      </c>
      <c r="AU11" s="21" t="n">
        <v>31</v>
      </c>
      <c r="AV11" s="27">
        <f>SUM(AT11:AU11)</f>
        <v/>
      </c>
      <c r="AW11" s="28" t="n">
        <v>45</v>
      </c>
      <c r="AX11" s="30" t="n">
        <v>52</v>
      </c>
      <c r="AY11" s="29">
        <f>IF(AND(AV11=0,AW11=0,AX11=0),0,IF(AND(AV11=0,AW11=0),AX11/1,IF(AND(AV11=0,AX11=0),AW11/1,IF(AND(AW11=0,AX11=0),AV11/1,IF(AV11=0,FLOOR((AW11+AX11)/2,0.1),IF(AW11=0,(AV11+AX11)/2,IF(AX11=0,(AW11+AV11)/2,FLOOR(((AV11+AW11+AX11)/3),0.1))))))))</f>
        <v/>
      </c>
      <c r="AZ11" s="21" t="n">
        <v>24</v>
      </c>
      <c r="BA11" s="21" t="n">
        <v>41</v>
      </c>
      <c r="BB11" s="27">
        <f>SUM(AZ11:BA11)</f>
        <v/>
      </c>
      <c r="BC11" s="28" t="n">
        <v>52</v>
      </c>
      <c r="BD11" s="28" t="n">
        <v>58</v>
      </c>
      <c r="BE11" s="29">
        <f>IF(AND(BB11=0,BC11=0,BD11=0),0,IF(AND(BB11=0,BC11=0),BD11/1,IF(AND(BB11=0,BD11=0),BC11/1,IF(AND(BC11=0,BD11=0),BB11/1,IF(BB11=0,FLOOR((BC11+BD11)/2,0.1),IF(BC11=0,(BB11+BD11)/2,IF(BD11=0,(BC11+BB11)/2,FLOOR(((BB11+BC11+BD11)/3),0.1))))))))</f>
        <v/>
      </c>
      <c r="BF11" s="21" t="n">
        <v>10</v>
      </c>
      <c r="BG11" s="21" t="n">
        <v>19</v>
      </c>
      <c r="BH11" s="27">
        <f>SUM(BF11:BG11)</f>
        <v/>
      </c>
      <c r="BI11" s="28" t="n">
        <v>30</v>
      </c>
      <c r="BJ11" s="28" t="n">
        <v>22</v>
      </c>
      <c r="BK11" s="29">
        <f>IF(AND(BH11=0,BI11=0,BJ11=0),0,IF(AND(BH11=0,BI11=0),BJ11/1,IF(AND(BH11=0,BJ11=0),BI11/1,IF(AND(BI11=0,BJ11=0),BH11/1,IF(BH11=0,FLOOR((BI11+BJ11)/2,0.1),IF(BI11=0,(BH11+BJ11)/2,IF(BJ11=0,(BI11+BH11)/2,FLOOR(((BH11+BI11+BJ11)/3),0.1))))))))</f>
        <v/>
      </c>
      <c r="BL11" s="21" t="n">
        <v>24</v>
      </c>
      <c r="BM11" s="21" t="n">
        <v>38</v>
      </c>
      <c r="BN11" s="27">
        <f>SUM(BL11:BM11)</f>
        <v/>
      </c>
      <c r="BO11" s="28" t="n">
        <v>19</v>
      </c>
      <c r="BP11" s="31" t="n">
        <v>59</v>
      </c>
      <c r="BQ11" s="29">
        <f>IF(AND(BN11=0,BO11=0,BP11=0),0,IF(AND(BN11=0,BO11=0),BP11/1,IF(AND(BN11=0,BP11=0),BO11/1,IF(AND(BO11=0,BP11=0),BN11/1,IF(BN11=0,FLOOR((BO11+BP11)/2,0.1),IF(BO11=0,(BN11+BP11)/2,IF(BP11=0,(BO11+BN11)/2,FLOOR(((BN11+BO11+BP11)/3),0.1))))))))</f>
        <v/>
      </c>
      <c r="BR11" s="21" t="n"/>
      <c r="BS11" s="21" t="n"/>
      <c r="BT11" s="27">
        <f>SUM(BR11:BS11)</f>
        <v/>
      </c>
      <c r="BU11" s="28" t="n"/>
      <c r="BV11" s="31" t="n"/>
      <c r="BW11" s="29">
        <f>IF(AND(BT11=0,BU11=0,BV11=0),0,IF(AND(BT11=0,BU11=0),BV11/1,IF(AND(BT11=0,BV11=0),BU11/1,IF(AND(BU11=0,BV11=0),BT11/1,IF(BT11=0,FLOOR((BU11+BV11)/2,0.1),IF(BU11=0,(BT11+BV11)/2,IF(BV11=0,(BU11+BT11)/2,FLOOR(((BT11+BU11+BV11)/3),0.1))))))))</f>
        <v/>
      </c>
      <c r="BX11" s="21" t="n">
        <v>19</v>
      </c>
      <c r="BY11" s="21" t="n">
        <v>65</v>
      </c>
      <c r="BZ11" s="27">
        <f>SUM(BX11:BY11)</f>
        <v/>
      </c>
      <c r="CA11" s="28" t="n">
        <v>61</v>
      </c>
      <c r="CB11" s="31" t="n">
        <v>64</v>
      </c>
      <c r="CC11" s="29">
        <f>IF(AND(BZ11=0,CA11=0,CB11=0),0,IF(AND(BZ11=0,CA11=0),CB11/1,IF(AND(BZ11=0,CB11=0),CA11/1,IF(AND(CA11=0,CB11=0),BZ11/1,IF(BZ11=0,FLOOR((CA11+CB11)/2,0.1),IF(CA11=0,(BZ11+CB11)/2,IF(CB11=0,(CA11+BZ11)/2,FLOOR(((BZ11+CA11+CB11)/3),0.1))))))))</f>
        <v/>
      </c>
      <c r="CD11" s="21" t="n">
        <v>15</v>
      </c>
      <c r="CE11" s="21" t="n">
        <v>40</v>
      </c>
      <c r="CF11" s="27">
        <f>SUM(CD11:CE11)</f>
        <v/>
      </c>
      <c r="CG11" s="28" t="n">
        <v>47</v>
      </c>
      <c r="CH11" s="31" t="n">
        <v>36</v>
      </c>
      <c r="CI11" s="29">
        <f>IF(AND(CF11=0,CG11=0,CH11=0),0,IF(AND(CF11=0,CG11=0),CH11/1,IF(AND(CF11=0,CH11=0),CG11/1,IF(AND(CG11=0,CH11=0),CF11/1,IF(CF11=0,FLOOR((CG11+CH11)/2,0.1),IF(CG11=0,(CF11+CH11)/2,IF(CH11=0,(CG11+CF11)/2,FLOOR(((CF11+CG11+CH11)/3),0.1))))))))</f>
        <v/>
      </c>
      <c r="CJ11" s="21" t="n"/>
      <c r="CK11" s="21" t="n"/>
      <c r="CL11" s="27">
        <f>SUM(CJ11:CK11)</f>
        <v/>
      </c>
      <c r="CM11" s="28" t="n"/>
      <c r="CN11" s="31" t="n"/>
      <c r="CO11" s="29">
        <f>IF(AND(CL11=0,CM11=0,CN11=0),0,IF(AND(CL11=0,CM11=0),CN11/1,IF(AND(CL11=0,CN11=0),CM11/1,IF(AND(CM11=0,CN11=0),CL11/1,IF(CL11=0,FLOOR((CM11+CN11)/2,0.1),IF(CM11=0,(CL11+CN11)/2,IF(CN11=0,(CM11+CL11)/2,FLOOR(((CL11+CM11+CN11)/3),0.1))))))))</f>
        <v/>
      </c>
      <c r="CP11" s="21" t="n"/>
      <c r="CQ11" s="21" t="n"/>
      <c r="CR11" s="27">
        <f>SUM(CP11:CQ11)</f>
        <v/>
      </c>
      <c r="CS11" s="28" t="n"/>
      <c r="CT11" s="31" t="n"/>
      <c r="CU11" s="29">
        <f>IF(AND(CR11=0,CS11=0,CT11=0),0,IF(AND(CR11=0,CS11=0),CT11/1,IF(AND(CR11=0,CT11=0),CS11/1,IF(AND(CS11=0,CT11=0),CR11/1,IF(CR11=0,FLOOR((CS11+CT11)/2,0.1),IF(CS11=0,(CR11+CT11)/2,IF(CT11=0,(CS11+CR11)/2,FLOOR(((CR11+CS11+CT11)/3),0.1))))))))</f>
        <v/>
      </c>
      <c r="CV11" s="21" t="n">
        <v>30</v>
      </c>
      <c r="CW11" s="21" t="n">
        <v>30</v>
      </c>
      <c r="CX11" s="27">
        <f>SUM(CV11:CW11)</f>
        <v/>
      </c>
      <c r="CY11" s="28" t="n">
        <v>47</v>
      </c>
      <c r="CZ11" s="31" t="n">
        <v>47</v>
      </c>
      <c r="DA11" s="29">
        <f>IF(AND(CX11=0,CY11=0,CZ11=0),0,IF(AND(CX11=0,CY11=0),CZ11/1,IF(AND(CX11=0,CZ11=0),CY11/1,IF(AND(CY11=0,CZ11=0),CX11/1,IF(CX11=0,FLOOR((CY11+CZ11)/2,0.1),IF(CY11=0,(CX11+CZ11)/2,IF(CZ11=0,(CY11+CX11)/2,FLOOR(((CX11+CY11+CZ11)/3),0.1))))))))</f>
        <v/>
      </c>
      <c r="DB11" s="21" t="n"/>
      <c r="DC11" s="21" t="n"/>
      <c r="DD11" s="27">
        <f>SUM(DB11:DC11)</f>
        <v/>
      </c>
      <c r="DE11" s="28" t="n"/>
      <c r="DF11" s="31" t="n"/>
      <c r="DG11" s="29">
        <f>IF(AND(DD11=0,DE11=0,DF11=0),0,IF(AND(DD11=0,DE11=0),DF11/1,IF(AND(DD11=0,DF11=0),DE11/1,IF(AND(DE11=0,DF11=0),DD11/1,IF(DD11=0,FLOOR((DE11+DF11)/2,0.1),IF(DE11=0,(DD11+DF11)/2,IF(DF11=0,(DE11+DD11)/2,FLOOR(((DD11+DE11+DF11)/3),0.1))))))))</f>
        <v/>
      </c>
      <c r="DH11" s="34">
        <f>SUM(O11,U11,AA11,AG11,AM11,AS11,AY11,BE11,BK11,BQ11,BW11,CC11,CI11,CO11,CU11,DA11,DG11)</f>
        <v/>
      </c>
      <c r="DI11" s="39">
        <f>RANK(DH11,DH$4:DH$503)</f>
        <v/>
      </c>
      <c r="DJ11" s="40" t="inlineStr">
        <is>
          <t>GOOD(4)</t>
        </is>
      </c>
      <c r="DK11" s="40" t="inlineStr">
        <is>
          <t>GOOD(4)</t>
        </is>
      </c>
      <c r="DL11" s="40" t="inlineStr">
        <is>
          <t>EXCELLENT(5)</t>
        </is>
      </c>
      <c r="DM11" s="40" t="inlineStr">
        <is>
          <t>EXCELLENT(5)</t>
        </is>
      </c>
      <c r="DN11" s="40" t="inlineStr">
        <is>
          <t>GOOD(4)</t>
        </is>
      </c>
      <c r="DO11" s="40" t="inlineStr">
        <is>
          <t>GOOD(4)</t>
        </is>
      </c>
      <c r="DP11" s="40" t="inlineStr">
        <is>
          <t>GOOD(4)</t>
        </is>
      </c>
      <c r="DQ11" s="40" t="inlineStr">
        <is>
          <t>GOOD(4)</t>
        </is>
      </c>
      <c r="DR11" s="43" t="inlineStr">
        <is>
          <t>2024/2025</t>
        </is>
      </c>
      <c r="DS11" s="45" t="inlineStr">
        <is>
          <t>THIRD</t>
        </is>
      </c>
      <c r="DT11" s="40" t="inlineStr">
        <is>
          <t>GOOD(4)</t>
        </is>
      </c>
      <c r="DU11" s="40" t="inlineStr">
        <is>
          <t>GOOD(4)</t>
        </is>
      </c>
      <c r="DV11" s="40" t="inlineStr">
        <is>
          <t>GOOD(4)</t>
        </is>
      </c>
      <c r="DW11" s="40" t="inlineStr">
        <is>
          <t>GOOD(4)</t>
        </is>
      </c>
      <c r="DX11" s="40" t="inlineStr">
        <is>
          <t>GOOD(4)</t>
        </is>
      </c>
      <c r="DY11" s="40" t="inlineStr">
        <is>
          <t>GOOD(4)</t>
        </is>
      </c>
      <c r="DZ11" s="53" t="inlineStr">
        <is>
          <t>GOOD(4)</t>
        </is>
      </c>
      <c r="EA11" s="54" t="inlineStr">
        <is>
          <t>Shows consistent effort and improvement in academic work.</t>
        </is>
      </c>
      <c r="EB11" s="55" t="inlineStr">
        <is>
          <t>Promoted to JSS3</t>
        </is>
      </c>
      <c r="EC11" s="56" t="inlineStr">
        <is>
          <t>MR. JIMOH WASIU OLATUNDE</t>
        </is>
      </c>
      <c r="ED11" s="57" t="inlineStr">
        <is>
          <t>Next Term Begins on Monday, 15th September, 2032</t>
        </is>
      </c>
    </row>
    <row r="12" ht="30.6" customHeight="1" s="6">
      <c r="A12" s="18" t="n">
        <v>9</v>
      </c>
      <c r="B12" s="19" t="inlineStr">
        <is>
          <t xml:space="preserve">AMODU ISIAKA </t>
        </is>
      </c>
      <c r="C12" s="20" t="inlineStr">
        <is>
          <t>1820</t>
        </is>
      </c>
      <c r="D12" s="128" t="inlineStr">
        <is>
          <t>Male</t>
        </is>
      </c>
      <c r="E12" s="21" t="inlineStr">
        <is>
          <t>JSS 2C</t>
        </is>
      </c>
      <c r="F12" s="21" t="n">
        <v>31</v>
      </c>
      <c r="G12" s="21" t="n">
        <v>122</v>
      </c>
      <c r="H12" s="21" t="n">
        <v>64</v>
      </c>
      <c r="I12" s="26">
        <f>G12-H12</f>
        <v/>
      </c>
      <c r="J12" s="21" t="n">
        <v>30</v>
      </c>
      <c r="K12" s="21" t="n">
        <v>42</v>
      </c>
      <c r="L12" s="27">
        <f>SUM(J12:K12)</f>
        <v/>
      </c>
      <c r="M12" s="28" t="n">
        <v>25</v>
      </c>
      <c r="N12" s="28" t="n">
        <v>24</v>
      </c>
      <c r="O12" s="29">
        <f>IF(AND(L12=0,M12=0,N12=0),0,IF(AND(L12=0,M12=0),N12/1,IF(AND(L12=0,N12=0),M12/1,IF(AND(M12=0,N12=0),L12/1,IF(L12=0,FLOOR((M12+N12)/2,0.1),IF(M12=0,(L12+N12)/2,IF(N12=0,(M12+L12)/2,FLOOR(((L12+M12+N12)/3),0.1))))))))</f>
        <v/>
      </c>
      <c r="P12" s="21" t="n">
        <v>9</v>
      </c>
      <c r="Q12" s="21" t="n">
        <v>18</v>
      </c>
      <c r="R12" s="27">
        <f>SUM(P12:Q12)</f>
        <v/>
      </c>
      <c r="S12" s="28" t="n">
        <v>38</v>
      </c>
      <c r="T12" s="28" t="n">
        <v>17</v>
      </c>
      <c r="U12" s="29">
        <f>IF(AND(R12=0,S12=0,T12=0),0,IF(AND(R12=0,S12=0),T12/1,IF(AND(R12=0,T12=0),S12/1,IF(AND(S12=0,T12=0),R12/1,IF(R12=0,FLOOR((S12+T12)/2,0.1),IF(S12=0,(R12+T12)/2,IF(T12=0,(S12+R12)/2,FLOOR(((R12+S12+T12)/3),0.1))))))))</f>
        <v/>
      </c>
      <c r="V12" s="21" t="n">
        <v>21</v>
      </c>
      <c r="W12" s="21" t="n">
        <v>10</v>
      </c>
      <c r="X12" s="27">
        <f>SUM(V12:W12)</f>
        <v/>
      </c>
      <c r="Y12" s="28" t="n">
        <v>46</v>
      </c>
      <c r="Z12" s="28" t="n">
        <v>38</v>
      </c>
      <c r="AA12" s="29">
        <f>IF(AND(X12=0,Y12=0,Z12=0),0,IF(AND(X12=0,Y12=0),Z12/1,IF(AND(X12=0,Z12=0),Y12/1,IF(AND(Y12=0,Z12=0),X12/1,IF(X12=0,FLOOR((Y12+Z12)/2,0.1),IF(Y12=0,(X12+Z12)/2,IF(Z12=0,(Y12+X12)/2,FLOOR(((X12+Y12+Z12)/3),0.1))))))))</f>
        <v/>
      </c>
      <c r="AB12" s="21" t="n">
        <v>17</v>
      </c>
      <c r="AC12" s="21" t="n">
        <v>37</v>
      </c>
      <c r="AD12" s="27">
        <f>SUM(AB12:AC12)</f>
        <v/>
      </c>
      <c r="AE12" s="28" t="n">
        <v>59</v>
      </c>
      <c r="AF12" s="28" t="n">
        <v>56</v>
      </c>
      <c r="AG12" s="29">
        <f>IF(AND(AD12=0,AE12=0,AF12=0),0,IF(AND(AD12=0,AE12=0),AF12/1,IF(AND(AD12=0,AF12=0),AE12/1,IF(AND(AE12=0,AF12=0),AD12/1,IF(AD12=0,FLOOR((AE12+AF12)/2,0.1),IF(AE12=0,(AD12+AF12)/2,IF(AF12=0,(AE12+AD12)/2,FLOOR(((AD12+AE12+AF12)/3),0.1))))))))</f>
        <v/>
      </c>
      <c r="AH12" s="21" t="n">
        <v>16</v>
      </c>
      <c r="AI12" s="21" t="n">
        <v>32</v>
      </c>
      <c r="AJ12" s="27">
        <f>SUM(AH12:AI12)</f>
        <v/>
      </c>
      <c r="AK12" s="28" t="n">
        <v>34</v>
      </c>
      <c r="AL12" s="28" t="n">
        <v>42</v>
      </c>
      <c r="AM12" s="29">
        <f>IF(AND(AJ12=0,AK12=0,AL12=0),0,IF(AND(AJ12=0,AK12=0),AL12/1,IF(AND(AJ12=0,AL12=0),AK12/1,IF(AND(AK12=0,AL12=0),AJ12/1,IF(AJ12=0,FLOOR((AK12+AL12)/2,0.1),IF(AK12=0,(AJ12+AL12)/2,IF(AL12=0,(AK12+AJ12)/2,FLOOR(((AJ12+AK12+AL12)/3),0.1))))))))</f>
        <v/>
      </c>
      <c r="AN12" s="21" t="n"/>
      <c r="AO12" s="21" t="n"/>
      <c r="AP12" s="27">
        <f>SUM(AN12:AO12)</f>
        <v/>
      </c>
      <c r="AQ12" s="28" t="n"/>
      <c r="AR12" s="30" t="n"/>
      <c r="AS12" s="29">
        <f>IF(AND(AP12=0,AQ12=0,AR12=0),0,IF(AND(AP12=0,AQ12=0),AR12/1,IF(AND(AP12=0,AR12=0),AQ12/1,IF(AND(AQ12=0,AR12=0),AP12/1,IF(AP12=0,FLOOR((AQ12+AR12)/2,0.1),IF(AQ12=0,(AP12+AR12)/2,IF(AR12=0,(AQ12+AP12)/2,FLOOR(((AP12+AQ12+AR12)/3),0.1))))))))</f>
        <v/>
      </c>
      <c r="AT12" s="21" t="n">
        <v>18</v>
      </c>
      <c r="AU12" s="21" t="n">
        <v>32</v>
      </c>
      <c r="AV12" s="27">
        <f>SUM(AT12:AU12)</f>
        <v/>
      </c>
      <c r="AW12" s="28" t="n">
        <v>31</v>
      </c>
      <c r="AX12" s="30" t="n">
        <v>35</v>
      </c>
      <c r="AY12" s="29">
        <f>IF(AND(AV12=0,AW12=0,AX12=0),0,IF(AND(AV12=0,AW12=0),AX12/1,IF(AND(AV12=0,AX12=0),AW12/1,IF(AND(AW12=0,AX12=0),AV12/1,IF(AV12=0,FLOOR((AW12+AX12)/2,0.1),IF(AW12=0,(AV12+AX12)/2,IF(AX12=0,(AW12+AV12)/2,FLOOR(((AV12+AW12+AX12)/3),0.1))))))))</f>
        <v/>
      </c>
      <c r="AZ12" s="21" t="n">
        <v>22</v>
      </c>
      <c r="BA12" s="21" t="n">
        <v>34</v>
      </c>
      <c r="BB12" s="27">
        <f>SUM(AZ12:BA12)</f>
        <v/>
      </c>
      <c r="BC12" s="28" t="n">
        <v>46</v>
      </c>
      <c r="BD12" s="28" t="n">
        <v>51</v>
      </c>
      <c r="BE12" s="29">
        <f>IF(AND(BB12=0,BC12=0,BD12=0),0,IF(AND(BB12=0,BC12=0),BD12/1,IF(AND(BB12=0,BD12=0),BC12/1,IF(AND(BC12=0,BD12=0),BB12/1,IF(BB12=0,FLOOR((BC12+BD12)/2,0.1),IF(BC12=0,(BB12+BD12)/2,IF(BD12=0,(BC12+BB12)/2,FLOOR(((BB12+BC12+BD12)/3),0.1))))))))</f>
        <v/>
      </c>
      <c r="BF12" s="21" t="n">
        <v>14</v>
      </c>
      <c r="BG12" s="21" t="n">
        <v>41</v>
      </c>
      <c r="BH12" s="27">
        <f>SUM(BF12:BG12)</f>
        <v/>
      </c>
      <c r="BI12" s="28" t="n">
        <v>49</v>
      </c>
      <c r="BJ12" s="28" t="n">
        <v>28</v>
      </c>
      <c r="BK12" s="29">
        <f>IF(AND(BH12=0,BI12=0,BJ12=0),0,IF(AND(BH12=0,BI12=0),BJ12/1,IF(AND(BH12=0,BJ12=0),BI12/1,IF(AND(BI12=0,BJ12=0),BH12/1,IF(BH12=0,FLOOR((BI12+BJ12)/2,0.1),IF(BI12=0,(BH12+BJ12)/2,IF(BJ12=0,(BI12+BH12)/2,FLOOR(((BH12+BI12+BJ12)/3),0.1))))))))</f>
        <v/>
      </c>
      <c r="BL12" s="21" t="n">
        <v>25</v>
      </c>
      <c r="BM12" s="21" t="n">
        <v>32</v>
      </c>
      <c r="BN12" s="27">
        <f>SUM(BL12:BM12)</f>
        <v/>
      </c>
      <c r="BO12" s="28" t="n">
        <v>47</v>
      </c>
      <c r="BP12" s="31" t="n">
        <v>43</v>
      </c>
      <c r="BQ12" s="29">
        <f>IF(AND(BN12=0,BO12=0,BP12=0),0,IF(AND(BN12=0,BO12=0),BP12/1,IF(AND(BN12=0,BP12=0),BO12/1,IF(AND(BO12=0,BP12=0),BN12/1,IF(BN12=0,FLOOR((BO12+BP12)/2,0.1),IF(BO12=0,(BN12+BP12)/2,IF(BP12=0,(BO12+BN12)/2,FLOOR(((BN12+BO12+BP12)/3),0.1))))))))</f>
        <v/>
      </c>
      <c r="BR12" s="21" t="n"/>
      <c r="BS12" s="21" t="n"/>
      <c r="BT12" s="27">
        <f>SUM(BR12:BS12)</f>
        <v/>
      </c>
      <c r="BU12" s="28" t="n"/>
      <c r="BV12" s="31" t="n"/>
      <c r="BW12" s="29">
        <f>IF(AND(BT12=0,BU12=0,BV12=0),0,IF(AND(BT12=0,BU12=0),BV12/1,IF(AND(BT12=0,BV12=0),BU12/1,IF(AND(BU12=0,BV12=0),BT12/1,IF(BT12=0,FLOOR((BU12+BV12)/2,0.1),IF(BU12=0,(BT12+BV12)/2,IF(BV12=0,(BU12+BT12)/2,FLOOR(((BT12+BU12+BV12)/3),0.1))))))))</f>
        <v/>
      </c>
      <c r="BX12" s="21" t="n">
        <v>21</v>
      </c>
      <c r="BY12" s="21" t="n">
        <v>64</v>
      </c>
      <c r="BZ12" s="27">
        <f>SUM(BX12:BY12)</f>
        <v/>
      </c>
      <c r="CA12" s="28" t="n">
        <v>37</v>
      </c>
      <c r="CB12" s="31" t="n">
        <v>29</v>
      </c>
      <c r="CC12" s="29">
        <f>IF(AND(BZ12=0,CA12=0,CB12=0),0,IF(AND(BZ12=0,CA12=0),CB12/1,IF(AND(BZ12=0,CB12=0),CA12/1,IF(AND(CA12=0,CB12=0),BZ12/1,IF(BZ12=0,FLOOR((CA12+CB12)/2,0.1),IF(CA12=0,(BZ12+CB12)/2,IF(CB12=0,(CA12+BZ12)/2,FLOOR(((BZ12+CA12+CB12)/3),0.1))))))))</f>
        <v/>
      </c>
      <c r="CD12" s="21" t="n">
        <v>15</v>
      </c>
      <c r="CE12" s="21" t="n">
        <v>44</v>
      </c>
      <c r="CF12" s="27">
        <f>SUM(CD12:CE12)</f>
        <v/>
      </c>
      <c r="CG12" s="28" t="n">
        <v>18</v>
      </c>
      <c r="CH12" s="31" t="n">
        <v>40</v>
      </c>
      <c r="CI12" s="29">
        <f>IF(AND(CF12=0,CG12=0,CH12=0),0,IF(AND(CF12=0,CG12=0),CH12/1,IF(AND(CF12=0,CH12=0),CG12/1,IF(AND(CG12=0,CH12=0),CF12/1,IF(CF12=0,FLOOR((CG12+CH12)/2,0.1),IF(CG12=0,(CF12+CH12)/2,IF(CH12=0,(CG12+CF12)/2,FLOOR(((CF12+CG12+CH12)/3),0.1))))))))</f>
        <v/>
      </c>
      <c r="CJ12" s="21" t="n"/>
      <c r="CK12" s="21" t="n"/>
      <c r="CL12" s="27">
        <f>SUM(CJ12:CK12)</f>
        <v/>
      </c>
      <c r="CM12" s="28" t="n"/>
      <c r="CN12" s="31" t="n"/>
      <c r="CO12" s="29">
        <f>IF(AND(CL12=0,CM12=0,CN12=0),0,IF(AND(CL12=0,CM12=0),CN12/1,IF(AND(CL12=0,CN12=0),CM12/1,IF(AND(CM12=0,CN12=0),CL12/1,IF(CL12=0,FLOOR((CM12+CN12)/2,0.1),IF(CM12=0,(CL12+CN12)/2,IF(CN12=0,(CM12+CL12)/2,FLOOR(((CL12+CM12+CN12)/3),0.1))))))))</f>
        <v/>
      </c>
      <c r="CP12" s="21" t="n">
        <v>13</v>
      </c>
      <c r="CQ12" s="21" t="n">
        <v>28</v>
      </c>
      <c r="CR12" s="27">
        <f>SUM(CP12:CQ12)</f>
        <v/>
      </c>
      <c r="CS12" s="28" t="n">
        <v>29</v>
      </c>
      <c r="CT12" s="31" t="n">
        <v>27</v>
      </c>
      <c r="CU12" s="29">
        <f>IF(AND(CR12=0,CS12=0,CT12=0),0,IF(AND(CR12=0,CS12=0),CT12/1,IF(AND(CR12=0,CT12=0),CS12/1,IF(AND(CS12=0,CT12=0),CR12/1,IF(CR12=0,FLOOR((CS12+CT12)/2,0.1),IF(CS12=0,(CR12+CT12)/2,IF(CT12=0,(CS12+CR12)/2,FLOOR(((CR12+CS12+CT12)/3),0.1))))))))</f>
        <v/>
      </c>
      <c r="CV12" s="21" t="n"/>
      <c r="CW12" s="21" t="n"/>
      <c r="CX12" s="27">
        <f>SUM(CV12:CW12)</f>
        <v/>
      </c>
      <c r="CY12" s="28" t="n"/>
      <c r="CZ12" s="31" t="n"/>
      <c r="DA12" s="29">
        <f>IF(AND(CX12=0,CY12=0,CZ12=0),0,IF(AND(CX12=0,CY12=0),CZ12/1,IF(AND(CX12=0,CZ12=0),CY12/1,IF(AND(CY12=0,CZ12=0),CX12/1,IF(CX12=0,FLOOR((CY12+CZ12)/2,0.1),IF(CY12=0,(CX12+CZ12)/2,IF(CZ12=0,(CY12+CX12)/2,FLOOR(((CX12+CY12+CZ12)/3),0.1))))))))</f>
        <v/>
      </c>
      <c r="DB12" s="21" t="n"/>
      <c r="DC12" s="21" t="n"/>
      <c r="DD12" s="27">
        <f>SUM(DB12:DC12)</f>
        <v/>
      </c>
      <c r="DE12" s="28" t="n"/>
      <c r="DF12" s="31" t="n"/>
      <c r="DG12" s="29">
        <f>IF(AND(DD12=0,DE12=0,DF12=0),0,IF(AND(DD12=0,DE12=0),DF12/1,IF(AND(DD12=0,DF12=0),DE12/1,IF(AND(DE12=0,DF12=0),DD12/1,IF(DD12=0,FLOOR((DE12+DF12)/2,0.1),IF(DE12=0,(DD12+DF12)/2,IF(DF12=0,(DE12+DD12)/2,FLOOR(((DD12+DE12+DF12)/3),0.1))))))))</f>
        <v/>
      </c>
      <c r="DH12" s="34">
        <f>SUM(O12,U12,AA12,AG12,AM12,AS12,AY12,BE12,BK12,BQ12,BW12,CC12,CI12,CO12,CU12,DA12,DG12)</f>
        <v/>
      </c>
      <c r="DI12" s="39">
        <f>RANK(DH12,DH$4:DH$503)</f>
        <v/>
      </c>
      <c r="DJ12" s="40" t="inlineStr">
        <is>
          <t>EXCELLENT(5)</t>
        </is>
      </c>
      <c r="DK12" s="40" t="inlineStr">
        <is>
          <t>GOOD(4)</t>
        </is>
      </c>
      <c r="DL12" s="40" t="inlineStr">
        <is>
          <t>EXCELLENT(5)</t>
        </is>
      </c>
      <c r="DM12" s="40" t="inlineStr">
        <is>
          <t>EXCELLENT(5)</t>
        </is>
      </c>
      <c r="DN12" s="40" t="inlineStr">
        <is>
          <t>GOOD(4)</t>
        </is>
      </c>
      <c r="DO12" s="40" t="inlineStr">
        <is>
          <t>GOOD(4)</t>
        </is>
      </c>
      <c r="DP12" s="40" t="inlineStr">
        <is>
          <t>GOOD(4)</t>
        </is>
      </c>
      <c r="DQ12" s="40" t="inlineStr">
        <is>
          <t>GOOD(4)</t>
        </is>
      </c>
      <c r="DR12" s="43" t="inlineStr">
        <is>
          <t>2024/2025</t>
        </is>
      </c>
      <c r="DS12" s="45" t="inlineStr">
        <is>
          <t>THIRD</t>
        </is>
      </c>
      <c r="DT12" s="40" t="inlineStr">
        <is>
          <t>GOOD(4)</t>
        </is>
      </c>
      <c r="DU12" s="40" t="inlineStr">
        <is>
          <t>GOOD(4)</t>
        </is>
      </c>
      <c r="DV12" s="40" t="inlineStr">
        <is>
          <t>GOOD(4)</t>
        </is>
      </c>
      <c r="DW12" s="40" t="inlineStr">
        <is>
          <t>GOOD(4)</t>
        </is>
      </c>
      <c r="DX12" s="40" t="inlineStr">
        <is>
          <t>GOOD(4)</t>
        </is>
      </c>
      <c r="DY12" s="40" t="inlineStr">
        <is>
          <t>GOOD(4)</t>
        </is>
      </c>
      <c r="DZ12" s="53" t="inlineStr">
        <is>
          <t>GOOD(4)</t>
        </is>
      </c>
      <c r="EA12" s="54" t="inlineStr">
        <is>
          <t>Shows consistent effort and improvement in academic work.</t>
        </is>
      </c>
      <c r="EB12" s="55" t="inlineStr">
        <is>
          <t>Promoted on trial to JSS3</t>
        </is>
      </c>
      <c r="EC12" s="56" t="inlineStr">
        <is>
          <t>MR. JIMOH WASIU OLATUNDE</t>
        </is>
      </c>
      <c r="ED12" s="57" t="inlineStr">
        <is>
          <t>Next Term Begins on Monday, 15th September, 2033</t>
        </is>
      </c>
    </row>
    <row r="13" ht="30.6" customHeight="1" s="6">
      <c r="A13" s="18" t="n">
        <v>10</v>
      </c>
      <c r="B13" s="19" t="inlineStr">
        <is>
          <t xml:space="preserve">AYANWALE ABDULRAUF </t>
        </is>
      </c>
      <c r="C13" s="20" t="inlineStr">
        <is>
          <t>1844</t>
        </is>
      </c>
      <c r="D13" s="128" t="inlineStr">
        <is>
          <t>Male</t>
        </is>
      </c>
      <c r="E13" s="21" t="inlineStr">
        <is>
          <t>JSS 2C</t>
        </is>
      </c>
      <c r="F13" s="21" t="n">
        <v>31</v>
      </c>
      <c r="G13" s="21" t="n">
        <v>122</v>
      </c>
      <c r="H13" s="21" t="n">
        <v>112</v>
      </c>
      <c r="I13" s="26">
        <f>G13-H13</f>
        <v/>
      </c>
      <c r="J13" s="21" t="n">
        <v>24</v>
      </c>
      <c r="K13" s="21" t="n">
        <v>24</v>
      </c>
      <c r="L13" s="27">
        <f>SUM(J13:K13)</f>
        <v/>
      </c>
      <c r="M13" s="28" t="n">
        <v>29</v>
      </c>
      <c r="N13" s="28" t="n">
        <v>30</v>
      </c>
      <c r="O13" s="29">
        <f>IF(AND(L13=0,M13=0,N13=0),0,IF(AND(L13=0,M13=0),N13/1,IF(AND(L13=0,N13=0),M13/1,IF(AND(M13=0,N13=0),L13/1,IF(L13=0,FLOOR((M13+N13)/2,0.1),IF(M13=0,(L13+N13)/2,IF(N13=0,(M13+L13)/2,FLOOR(((L13+M13+N13)/3),0.1))))))))</f>
        <v/>
      </c>
      <c r="P13" s="21" t="n">
        <v>16</v>
      </c>
      <c r="Q13" s="21" t="n">
        <v>32</v>
      </c>
      <c r="R13" s="27">
        <f>SUM(P13:Q13)</f>
        <v/>
      </c>
      <c r="S13" s="28" t="n">
        <v>60</v>
      </c>
      <c r="T13" s="28" t="n">
        <v>35</v>
      </c>
      <c r="U13" s="29">
        <f>IF(AND(R13=0,S13=0,T13=0),0,IF(AND(R13=0,S13=0),T13/1,IF(AND(R13=0,T13=0),S13/1,IF(AND(S13=0,T13=0),R13/1,IF(R13=0,FLOOR((S13+T13)/2,0.1),IF(S13=0,(R13+T13)/2,IF(T13=0,(S13+R13)/2,FLOOR(((R13+S13+T13)/3),0.1))))))))</f>
        <v/>
      </c>
      <c r="V13" s="21" t="n">
        <v>23</v>
      </c>
      <c r="W13" s="21" t="n">
        <v>20</v>
      </c>
      <c r="X13" s="27">
        <f>SUM(V13:W13)</f>
        <v/>
      </c>
      <c r="Y13" s="28" t="n">
        <v>54</v>
      </c>
      <c r="Z13" s="28" t="n">
        <v>48</v>
      </c>
      <c r="AA13" s="29">
        <f>IF(AND(X13=0,Y13=0,Z13=0),0,IF(AND(X13=0,Y13=0),Z13/1,IF(AND(X13=0,Z13=0),Y13/1,IF(AND(Y13=0,Z13=0),X13/1,IF(X13=0,FLOOR((Y13+Z13)/2,0.1),IF(Y13=0,(X13+Z13)/2,IF(Z13=0,(Y13+X13)/2,FLOOR(((X13+Y13+Z13)/3),0.1))))))))</f>
        <v/>
      </c>
      <c r="AB13" s="21" t="n">
        <v>25</v>
      </c>
      <c r="AC13" s="21" t="n">
        <v>31</v>
      </c>
      <c r="AD13" s="27">
        <f>SUM(AB13:AC13)</f>
        <v/>
      </c>
      <c r="AE13" s="28" t="n">
        <v>75</v>
      </c>
      <c r="AF13" s="28" t="n">
        <v>66</v>
      </c>
      <c r="AG13" s="29">
        <f>IF(AND(AD13=0,AE13=0,AF13=0),0,IF(AND(AD13=0,AE13=0),AF13/1,IF(AND(AD13=0,AF13=0),AE13/1,IF(AND(AE13=0,AF13=0),AD13/1,IF(AD13=0,FLOOR((AE13+AF13)/2,0.1),IF(AE13=0,(AD13+AF13)/2,IF(AF13=0,(AE13+AD13)/2,FLOOR(((AD13+AE13+AF13)/3),0.1))))))))</f>
        <v/>
      </c>
      <c r="AH13" s="21" t="n">
        <v>17</v>
      </c>
      <c r="AI13" s="21" t="n">
        <v>28</v>
      </c>
      <c r="AJ13" s="27">
        <f>SUM(AH13:AI13)</f>
        <v/>
      </c>
      <c r="AK13" s="28" t="n">
        <v>46</v>
      </c>
      <c r="AL13" s="28" t="n">
        <v>42</v>
      </c>
      <c r="AM13" s="29">
        <f>IF(AND(AJ13=0,AK13=0,AL13=0),0,IF(AND(AJ13=0,AK13=0),AL13/1,IF(AND(AJ13=0,AL13=0),AK13/1,IF(AND(AK13=0,AL13=0),AJ13/1,IF(AJ13=0,FLOOR((AK13+AL13)/2,0.1),IF(AK13=0,(AJ13+AL13)/2,IF(AL13=0,(AK13+AJ13)/2,FLOOR(((AJ13+AK13+AL13)/3),0.1))))))))</f>
        <v/>
      </c>
      <c r="AN13" s="21" t="n"/>
      <c r="AO13" s="21" t="n"/>
      <c r="AP13" s="27">
        <f>SUM(AN13:AO13)</f>
        <v/>
      </c>
      <c r="AQ13" s="28" t="n"/>
      <c r="AR13" s="30" t="n"/>
      <c r="AS13" s="29">
        <f>IF(AND(AP13=0,AQ13=0,AR13=0),0,IF(AND(AP13=0,AQ13=0),AR13/1,IF(AND(AP13=0,AR13=0),AQ13/1,IF(AND(AQ13=0,AR13=0),AP13/1,IF(AP13=0,FLOOR((AQ13+AR13)/2,0.1),IF(AQ13=0,(AP13+AR13)/2,IF(AR13=0,(AQ13+AP13)/2,FLOOR(((AP13+AQ13+AR13)/3),0.1))))))))</f>
        <v/>
      </c>
      <c r="AT13" s="21" t="n">
        <v>21</v>
      </c>
      <c r="AU13" s="21" t="n">
        <v>30</v>
      </c>
      <c r="AV13" s="27">
        <f>SUM(AT13:AU13)</f>
        <v/>
      </c>
      <c r="AW13" s="28" t="n">
        <v>31</v>
      </c>
      <c r="AX13" s="30" t="n">
        <v>30</v>
      </c>
      <c r="AY13" s="29">
        <f>IF(AND(AV13=0,AW13=0,AX13=0),0,IF(AND(AV13=0,AW13=0),AX13/1,IF(AND(AV13=0,AX13=0),AW13/1,IF(AND(AW13=0,AX13=0),AV13/1,IF(AV13=0,FLOOR((AW13+AX13)/2,0.1),IF(AW13=0,(AV13+AX13)/2,IF(AX13=0,(AW13+AV13)/2,FLOOR(((AV13+AW13+AX13)/3),0.1))))))))</f>
        <v/>
      </c>
      <c r="AZ13" s="21" t="n">
        <v>22</v>
      </c>
      <c r="BA13" s="21" t="n">
        <v>32</v>
      </c>
      <c r="BB13" s="27">
        <f>SUM(AZ13:BA13)</f>
        <v/>
      </c>
      <c r="BC13" s="28" t="n">
        <v>48</v>
      </c>
      <c r="BD13" s="28" t="n">
        <v>51</v>
      </c>
      <c r="BE13" s="29">
        <f>IF(AND(BB13=0,BC13=0,BD13=0),0,IF(AND(BB13=0,BC13=0),BD13/1,IF(AND(BB13=0,BD13=0),BC13/1,IF(AND(BC13=0,BD13=0),BB13/1,IF(BB13=0,FLOOR((BC13+BD13)/2,0.1),IF(BC13=0,(BB13+BD13)/2,IF(BD13=0,(BC13+BB13)/2,FLOOR(((BB13+BC13+BD13)/3),0.1))))))))</f>
        <v/>
      </c>
      <c r="BF13" s="21" t="n">
        <v>16</v>
      </c>
      <c r="BG13" s="21" t="n">
        <v>38</v>
      </c>
      <c r="BH13" s="27">
        <f>SUM(BF13:BG13)</f>
        <v/>
      </c>
      <c r="BI13" s="28" t="n">
        <v>48</v>
      </c>
      <c r="BJ13" s="28" t="n">
        <v>27</v>
      </c>
      <c r="BK13" s="29">
        <f>IF(AND(BH13=0,BI13=0,BJ13=0),0,IF(AND(BH13=0,BI13=0),BJ13/1,IF(AND(BH13=0,BJ13=0),BI13/1,IF(AND(BI13=0,BJ13=0),BH13/1,IF(BH13=0,FLOOR((BI13+BJ13)/2,0.1),IF(BI13=0,(BH13+BJ13)/2,IF(BJ13=0,(BI13+BH13)/2,FLOOR(((BH13+BI13+BJ13)/3),0.1))))))))</f>
        <v/>
      </c>
      <c r="BL13" s="21" t="n">
        <v>15</v>
      </c>
      <c r="BM13" s="21" t="n">
        <v>39</v>
      </c>
      <c r="BN13" s="27">
        <f>SUM(BL13:BM13)</f>
        <v/>
      </c>
      <c r="BO13" s="28" t="n">
        <v>37</v>
      </c>
      <c r="BP13" s="31" t="n">
        <v>38</v>
      </c>
      <c r="BQ13" s="29">
        <f>IF(AND(BN13=0,BO13=0,BP13=0),0,IF(AND(BN13=0,BO13=0),BP13/1,IF(AND(BN13=0,BP13=0),BO13/1,IF(AND(BO13=0,BP13=0),BN13/1,IF(BN13=0,FLOOR((BO13+BP13)/2,0.1),IF(BO13=0,(BN13+BP13)/2,IF(BP13=0,(BO13+BN13)/2,FLOOR(((BN13+BO13+BP13)/3),0.1))))))))</f>
        <v/>
      </c>
      <c r="BR13" s="21" t="n"/>
      <c r="BS13" s="21" t="n"/>
      <c r="BT13" s="27">
        <f>SUM(BR13:BS13)</f>
        <v/>
      </c>
      <c r="BU13" s="28" t="n"/>
      <c r="BV13" s="31" t="n"/>
      <c r="BW13" s="29">
        <f>IF(AND(BT13=0,BU13=0,BV13=0),0,IF(AND(BT13=0,BU13=0),BV13/1,IF(AND(BT13=0,BV13=0),BU13/1,IF(AND(BU13=0,BV13=0),BT13/1,IF(BT13=0,FLOOR((BU13+BV13)/2,0.1),IF(BU13=0,(BT13+BV13)/2,IF(BV13=0,(BU13+BT13)/2,FLOOR(((BT13+BU13+BV13)/3),0.1))))))))</f>
        <v/>
      </c>
      <c r="BX13" s="21" t="n">
        <v>23</v>
      </c>
      <c r="BY13" s="21" t="n">
        <v>63</v>
      </c>
      <c r="BZ13" s="27">
        <f>SUM(BX13:BY13)</f>
        <v/>
      </c>
      <c r="CA13" s="28" t="n">
        <v>43</v>
      </c>
      <c r="CB13" s="31" t="n">
        <v>45</v>
      </c>
      <c r="CC13" s="29">
        <f>IF(AND(BZ13=0,CA13=0,CB13=0),0,IF(AND(BZ13=0,CA13=0),CB13/1,IF(AND(BZ13=0,CB13=0),CA13/1,IF(AND(CA13=0,CB13=0),BZ13/1,IF(BZ13=0,FLOOR((CA13+CB13)/2,0.1),IF(CA13=0,(BZ13+CB13)/2,IF(CB13=0,(CA13+BZ13)/2,FLOOR(((BZ13+CA13+CB13)/3),0.1))))))))</f>
        <v/>
      </c>
      <c r="CD13" s="21" t="n">
        <v>15</v>
      </c>
      <c r="CE13" s="21" t="n">
        <v>46</v>
      </c>
      <c r="CF13" s="27">
        <f>SUM(CD13:CE13)</f>
        <v/>
      </c>
      <c r="CG13" s="28" t="n">
        <v>29</v>
      </c>
      <c r="CH13" s="31" t="n">
        <v>32</v>
      </c>
      <c r="CI13" s="29">
        <f>IF(AND(CF13=0,CG13=0,CH13=0),0,IF(AND(CF13=0,CG13=0),CH13/1,IF(AND(CF13=0,CH13=0),CG13/1,IF(AND(CG13=0,CH13=0),CF13/1,IF(CF13=0,FLOOR((CG13+CH13)/2,0.1),IF(CG13=0,(CF13+CH13)/2,IF(CH13=0,(CG13+CF13)/2,FLOOR(((CF13+CG13+CH13)/3),0.1))))))))</f>
        <v/>
      </c>
      <c r="CJ13" s="21" t="n"/>
      <c r="CK13" s="21" t="n"/>
      <c r="CL13" s="27">
        <f>SUM(CJ13:CK13)</f>
        <v/>
      </c>
      <c r="CM13" s="28" t="n"/>
      <c r="CN13" s="31" t="n"/>
      <c r="CO13" s="29">
        <f>IF(AND(CL13=0,CM13=0,CN13=0),0,IF(AND(CL13=0,CM13=0),CN13/1,IF(AND(CL13=0,CN13=0),CM13/1,IF(AND(CM13=0,CN13=0),CL13/1,IF(CL13=0,FLOOR((CM13+CN13)/2,0.1),IF(CM13=0,(CL13+CN13)/2,IF(CN13=0,(CM13+CL13)/2,FLOOR(((CL13+CM13+CN13)/3),0.1))))))))</f>
        <v/>
      </c>
      <c r="CP13" s="21" t="n">
        <v>19</v>
      </c>
      <c r="CQ13" s="21" t="n">
        <v>31</v>
      </c>
      <c r="CR13" s="27">
        <f>SUM(CP13:CQ13)</f>
        <v/>
      </c>
      <c r="CS13" s="28" t="n">
        <v>42</v>
      </c>
      <c r="CT13" s="31" t="n">
        <v>44</v>
      </c>
      <c r="CU13" s="29">
        <f>IF(AND(CR13=0,CS13=0,CT13=0),0,IF(AND(CR13=0,CS13=0),CT13/1,IF(AND(CR13=0,CT13=0),CS13/1,IF(AND(CS13=0,CT13=0),CR13/1,IF(CR13=0,FLOOR((CS13+CT13)/2,0.1),IF(CS13=0,(CR13+CT13)/2,IF(CT13=0,(CS13+CR13)/2,FLOOR(((CR13+CS13+CT13)/3),0.1))))))))</f>
        <v/>
      </c>
      <c r="CV13" s="21" t="n"/>
      <c r="CW13" s="21" t="n"/>
      <c r="CX13" s="27">
        <f>SUM(CV13:CW13)</f>
        <v/>
      </c>
      <c r="CY13" s="28" t="n"/>
      <c r="CZ13" s="31" t="n"/>
      <c r="DA13" s="29">
        <f>IF(AND(CX13=0,CY13=0,CZ13=0),0,IF(AND(CX13=0,CY13=0),CZ13/1,IF(AND(CX13=0,CZ13=0),CY13/1,IF(AND(CY13=0,CZ13=0),CX13/1,IF(CX13=0,FLOOR((CY13+CZ13)/2,0.1),IF(CY13=0,(CX13+CZ13)/2,IF(CZ13=0,(CY13+CX13)/2,FLOOR(((CX13+CY13+CZ13)/3),0.1))))))))</f>
        <v/>
      </c>
      <c r="DB13" s="21" t="n"/>
      <c r="DC13" s="21" t="n"/>
      <c r="DD13" s="27">
        <f>SUM(DB13:DC13)</f>
        <v/>
      </c>
      <c r="DE13" s="28" t="n"/>
      <c r="DF13" s="31" t="n"/>
      <c r="DG13" s="29">
        <f>IF(AND(DD13=0,DE13=0,DF13=0),0,IF(AND(DD13=0,DE13=0),DF13/1,IF(AND(DD13=0,DF13=0),DE13/1,IF(AND(DE13=0,DF13=0),DD13/1,IF(DD13=0,FLOOR((DE13+DF13)/2,0.1),IF(DE13=0,(DD13+DF13)/2,IF(DF13=0,(DE13+DD13)/2,FLOOR(((DD13+DE13+DF13)/3),0.1))))))))</f>
        <v/>
      </c>
      <c r="DH13" s="34">
        <f>SUM(O13,U13,AA13,AG13,AM13,AS13,AY13,BE13,BK13,BQ13,BW13,CC13,CI13,CO13,CU13,DA13,DG13)</f>
        <v/>
      </c>
      <c r="DI13" s="39">
        <f>RANK(DH13,DH$4:DH$503)</f>
        <v/>
      </c>
      <c r="DJ13" s="40" t="inlineStr">
        <is>
          <t>EXCELLENT(5)</t>
        </is>
      </c>
      <c r="DK13" s="40" t="inlineStr">
        <is>
          <t>GOOD(4)</t>
        </is>
      </c>
      <c r="DL13" s="40" t="inlineStr">
        <is>
          <t>EXCELLENT(5)</t>
        </is>
      </c>
      <c r="DM13" s="40" t="inlineStr">
        <is>
          <t>EXCELLENT(5)</t>
        </is>
      </c>
      <c r="DN13" s="40" t="inlineStr">
        <is>
          <t>GOOD(4)</t>
        </is>
      </c>
      <c r="DO13" s="40" t="inlineStr">
        <is>
          <t>GOOD(4)</t>
        </is>
      </c>
      <c r="DP13" s="40" t="inlineStr">
        <is>
          <t>GOOD(4)</t>
        </is>
      </c>
      <c r="DQ13" s="40" t="inlineStr">
        <is>
          <t>GOOD(4)</t>
        </is>
      </c>
      <c r="DR13" s="43" t="inlineStr">
        <is>
          <t>2024/2025</t>
        </is>
      </c>
      <c r="DS13" s="45" t="inlineStr">
        <is>
          <t>THIRD</t>
        </is>
      </c>
      <c r="DT13" s="40" t="inlineStr">
        <is>
          <t>GOOD(4)</t>
        </is>
      </c>
      <c r="DU13" s="40" t="inlineStr">
        <is>
          <t>GOOD(4)</t>
        </is>
      </c>
      <c r="DV13" s="40" t="inlineStr">
        <is>
          <t>GOOD(4)</t>
        </is>
      </c>
      <c r="DW13" s="40" t="inlineStr">
        <is>
          <t>GOOD(4)</t>
        </is>
      </c>
      <c r="DX13" s="40" t="inlineStr">
        <is>
          <t>GOOD(4)</t>
        </is>
      </c>
      <c r="DY13" s="40" t="inlineStr">
        <is>
          <t>GOOD(4)</t>
        </is>
      </c>
      <c r="DZ13" s="53" t="inlineStr">
        <is>
          <t>GOOD(4)</t>
        </is>
      </c>
      <c r="EA13" s="54" t="inlineStr">
        <is>
          <t>Needs to focus more during lessons to achieve full potential.</t>
        </is>
      </c>
      <c r="EB13" s="55" t="inlineStr">
        <is>
          <t>Promoted to JSS3</t>
        </is>
      </c>
      <c r="EC13" s="56" t="inlineStr">
        <is>
          <t>MR. JIMOH WASIU OLATUNDE</t>
        </is>
      </c>
      <c r="ED13" s="57" t="inlineStr">
        <is>
          <t>Next Term Begins on Monday, 15th September, 2034</t>
        </is>
      </c>
    </row>
    <row r="14" ht="30.6" customHeight="1" s="6">
      <c r="A14" s="18" t="n">
        <v>11</v>
      </c>
      <c r="B14" s="19" t="inlineStr">
        <is>
          <t xml:space="preserve">BABATUNDE HALIMAT </t>
        </is>
      </c>
      <c r="C14" s="20" t="inlineStr">
        <is>
          <t>1996</t>
        </is>
      </c>
      <c r="D14" s="128" t="inlineStr">
        <is>
          <t>Female</t>
        </is>
      </c>
      <c r="E14" s="21" t="inlineStr">
        <is>
          <t>JSS 2C</t>
        </is>
      </c>
      <c r="F14" s="21" t="n">
        <v>31</v>
      </c>
      <c r="G14" s="21" t="n">
        <v>122</v>
      </c>
      <c r="H14" s="21" t="n">
        <v>114</v>
      </c>
      <c r="I14" s="26">
        <f>G14-H14</f>
        <v/>
      </c>
      <c r="J14" s="21" t="n">
        <v>20</v>
      </c>
      <c r="K14" s="21" t="n">
        <v>36</v>
      </c>
      <c r="L14" s="27">
        <f>SUM(J14:K14)</f>
        <v/>
      </c>
      <c r="M14" s="28" t="n">
        <v>32</v>
      </c>
      <c r="N14" s="28" t="n">
        <v>44</v>
      </c>
      <c r="O14" s="29">
        <f>IF(AND(L14=0,M14=0,N14=0),0,IF(AND(L14=0,M14=0),N14/1,IF(AND(L14=0,N14=0),M14/1,IF(AND(M14=0,N14=0),L14/1,IF(L14=0,FLOOR((M14+N14)/2,0.1),IF(M14=0,(L14+N14)/2,IF(N14=0,(M14+L14)/2,FLOOR(((L14+M14+N14)/3),0.1))))))))</f>
        <v/>
      </c>
      <c r="P14" s="21" t="n">
        <v>19</v>
      </c>
      <c r="Q14" s="21" t="n">
        <v>38</v>
      </c>
      <c r="R14" s="27">
        <f>SUM(P14:Q14)</f>
        <v/>
      </c>
      <c r="S14" s="28" t="n">
        <v>75</v>
      </c>
      <c r="T14" s="28" t="n">
        <v>40</v>
      </c>
      <c r="U14" s="29">
        <f>IF(AND(R14=0,S14=0,T14=0),0,IF(AND(R14=0,S14=0),T14/1,IF(AND(R14=0,T14=0),S14/1,IF(AND(S14=0,T14=0),R14/1,IF(R14=0,FLOOR((S14+T14)/2,0.1),IF(S14=0,(R14+T14)/2,IF(T14=0,(S14+R14)/2,FLOOR(((R14+S14+T14)/3),0.1))))))))</f>
        <v/>
      </c>
      <c r="V14" s="21" t="n">
        <v>22</v>
      </c>
      <c r="W14" s="21" t="n">
        <v>28</v>
      </c>
      <c r="X14" s="27">
        <f>SUM(V14:W14)</f>
        <v/>
      </c>
      <c r="Y14" s="28" t="n">
        <v>46</v>
      </c>
      <c r="Z14" s="28" t="n">
        <v>48</v>
      </c>
      <c r="AA14" s="29">
        <f>IF(AND(X14=0,Y14=0,Z14=0),0,IF(AND(X14=0,Y14=0),Z14/1,IF(AND(X14=0,Z14=0),Y14/1,IF(AND(Y14=0,Z14=0),X14/1,IF(X14=0,FLOOR((Y14+Z14)/2,0.1),IF(Y14=0,(X14+Z14)/2,IF(Z14=0,(Y14+X14)/2,FLOOR(((X14+Y14+Z14)/3),0.1))))))))</f>
        <v/>
      </c>
      <c r="AB14" s="21" t="n">
        <v>21</v>
      </c>
      <c r="AC14" s="21" t="n">
        <v>38</v>
      </c>
      <c r="AD14" s="27">
        <f>SUM(AB14:AC14)</f>
        <v/>
      </c>
      <c r="AE14" s="28" t="n">
        <v>68</v>
      </c>
      <c r="AF14" s="28" t="n">
        <v>64</v>
      </c>
      <c r="AG14" s="29">
        <f>IF(AND(AD14=0,AE14=0,AF14=0),0,IF(AND(AD14=0,AE14=0),AF14/1,IF(AND(AD14=0,AF14=0),AE14/1,IF(AND(AE14=0,AF14=0),AD14/1,IF(AD14=0,FLOOR((AE14+AF14)/2,0.1),IF(AE14=0,(AD14+AF14)/2,IF(AF14=0,(AE14+AD14)/2,FLOOR(((AD14+AE14+AF14)/3),0.1))))))))</f>
        <v/>
      </c>
      <c r="AH14" s="21" t="n">
        <v>18</v>
      </c>
      <c r="AI14" s="21" t="n">
        <v>33</v>
      </c>
      <c r="AJ14" s="27">
        <f>SUM(AH14:AI14)</f>
        <v/>
      </c>
      <c r="AK14" s="28" t="n">
        <v>39</v>
      </c>
      <c r="AL14" s="28" t="n">
        <v>20</v>
      </c>
      <c r="AM14" s="29">
        <f>IF(AND(AJ14=0,AK14=0,AL14=0),0,IF(AND(AJ14=0,AK14=0),AL14/1,IF(AND(AJ14=0,AL14=0),AK14/1,IF(AND(AK14=0,AL14=0),AJ14/1,IF(AJ14=0,FLOOR((AK14+AL14)/2,0.1),IF(AK14=0,(AJ14+AL14)/2,IF(AL14=0,(AK14+AJ14)/2,FLOOR(((AJ14+AK14+AL14)/3),0.1))))))))</f>
        <v/>
      </c>
      <c r="AN14" s="21" t="n"/>
      <c r="AO14" s="21" t="n"/>
      <c r="AP14" s="27">
        <f>SUM(AN14:AO14)</f>
        <v/>
      </c>
      <c r="AQ14" s="28" t="n"/>
      <c r="AR14" s="30" t="n"/>
      <c r="AS14" s="29">
        <f>IF(AND(AP14=0,AQ14=0,AR14=0),0,IF(AND(AP14=0,AQ14=0),AR14/1,IF(AND(AP14=0,AR14=0),AQ14/1,IF(AND(AQ14=0,AR14=0),AP14/1,IF(AP14=0,FLOOR((AQ14+AR14)/2,0.1),IF(AQ14=0,(AP14+AR14)/2,IF(AR14=0,(AQ14+AP14)/2,FLOOR(((AP14+AQ14+AR14)/3),0.1))))))))</f>
        <v/>
      </c>
      <c r="AT14" s="21" t="n">
        <v>30</v>
      </c>
      <c r="AU14" s="21" t="n">
        <v>30</v>
      </c>
      <c r="AV14" s="27">
        <f>SUM(AT14:AU14)</f>
        <v/>
      </c>
      <c r="AW14" s="28" t="n">
        <v>55</v>
      </c>
      <c r="AX14" s="30" t="n">
        <v>45</v>
      </c>
      <c r="AY14" s="29">
        <f>IF(AND(AV14=0,AW14=0,AX14=0),0,IF(AND(AV14=0,AW14=0),AX14/1,IF(AND(AV14=0,AX14=0),AW14/1,IF(AND(AW14=0,AX14=0),AV14/1,IF(AV14=0,FLOOR((AW14+AX14)/2,0.1),IF(AW14=0,(AV14+AX14)/2,IF(AX14=0,(AW14+AV14)/2,FLOOR(((AV14+AW14+AX14)/3),0.1))))))))</f>
        <v/>
      </c>
      <c r="AZ14" s="21" t="n">
        <v>23</v>
      </c>
      <c r="BA14" s="21" t="n">
        <v>40</v>
      </c>
      <c r="BB14" s="27">
        <f>SUM(AZ14:BA14)</f>
        <v/>
      </c>
      <c r="BC14" s="28" t="n">
        <v>56</v>
      </c>
      <c r="BD14" s="28" t="n">
        <v>60</v>
      </c>
      <c r="BE14" s="29">
        <f>IF(AND(BB14=0,BC14=0,BD14=0),0,IF(AND(BB14=0,BC14=0),BD14/1,IF(AND(BB14=0,BD14=0),BC14/1,IF(AND(BC14=0,BD14=0),BB14/1,IF(BB14=0,FLOOR((BC14+BD14)/2,0.1),IF(BC14=0,(BB14+BD14)/2,IF(BD14=0,(BC14+BB14)/2,FLOOR(((BB14+BC14+BD14)/3),0.1))))))))</f>
        <v/>
      </c>
      <c r="BF14" s="21" t="n">
        <v>16</v>
      </c>
      <c r="BG14" s="21" t="n">
        <v>55</v>
      </c>
      <c r="BH14" s="27">
        <f>SUM(BF14:BG14)</f>
        <v/>
      </c>
      <c r="BI14" s="28" t="n">
        <v>53</v>
      </c>
      <c r="BJ14" s="28" t="n">
        <v>62</v>
      </c>
      <c r="BK14" s="29">
        <f>IF(AND(BH14=0,BI14=0,BJ14=0),0,IF(AND(BH14=0,BI14=0),BJ14/1,IF(AND(BH14=0,BJ14=0),BI14/1,IF(AND(BI14=0,BJ14=0),BH14/1,IF(BH14=0,FLOOR((BI14+BJ14)/2,0.1),IF(BI14=0,(BH14+BJ14)/2,IF(BJ14=0,(BI14+BH14)/2,FLOOR(((BH14+BI14+BJ14)/3),0.1))))))))</f>
        <v/>
      </c>
      <c r="BL14" s="21" t="n">
        <v>18</v>
      </c>
      <c r="BM14" s="21" t="n">
        <v>32</v>
      </c>
      <c r="BN14" s="27">
        <f>SUM(BL14:BM14)</f>
        <v/>
      </c>
      <c r="BO14" s="28" t="n">
        <v>35</v>
      </c>
      <c r="BP14" s="31" t="n">
        <v>42</v>
      </c>
      <c r="BQ14" s="29">
        <f>IF(AND(BN14=0,BO14=0,BP14=0),0,IF(AND(BN14=0,BO14=0),BP14/1,IF(AND(BN14=0,BP14=0),BO14/1,IF(AND(BO14=0,BP14=0),BN14/1,IF(BN14=0,FLOOR((BO14+BP14)/2,0.1),IF(BO14=0,(BN14+BP14)/2,IF(BP14=0,(BO14+BN14)/2,FLOOR(((BN14+BO14+BP14)/3),0.1))))))))</f>
        <v/>
      </c>
      <c r="BR14" s="21" t="n"/>
      <c r="BS14" s="21" t="n"/>
      <c r="BT14" s="27">
        <f>SUM(BR14:BS14)</f>
        <v/>
      </c>
      <c r="BU14" s="28" t="n"/>
      <c r="BV14" s="31" t="n"/>
      <c r="BW14" s="29">
        <f>IF(AND(BT14=0,BU14=0,BV14=0),0,IF(AND(BT14=0,BU14=0),BV14/1,IF(AND(BT14=0,BV14=0),BU14/1,IF(AND(BU14=0,BV14=0),BT14/1,IF(BT14=0,FLOOR((BU14+BV14)/2,0.1),IF(BU14=0,(BT14+BV14)/2,IF(BV14=0,(BU14+BT14)/2,FLOOR(((BT14+BU14+BV14)/3),0.1))))))))</f>
        <v/>
      </c>
      <c r="BX14" s="21" t="n">
        <v>20</v>
      </c>
      <c r="BY14" s="21" t="n">
        <v>35</v>
      </c>
      <c r="BZ14" s="27">
        <f>SUM(BX14:BY14)</f>
        <v/>
      </c>
      <c r="CA14" s="28" t="n">
        <v>55</v>
      </c>
      <c r="CB14" s="31" t="n">
        <v>55</v>
      </c>
      <c r="CC14" s="29">
        <f>IF(AND(BZ14=0,CA14=0,CB14=0),0,IF(AND(BZ14=0,CA14=0),CB14/1,IF(AND(BZ14=0,CB14=0),CA14/1,IF(AND(CA14=0,CB14=0),BZ14/1,IF(BZ14=0,FLOOR((CA14+CB14)/2,0.1),IF(CA14=0,(BZ14+CB14)/2,IF(CB14=0,(CA14+BZ14)/2,FLOOR(((BZ14+CA14+CB14)/3),0.1))))))))</f>
        <v/>
      </c>
      <c r="CD14" s="21" t="n">
        <v>13</v>
      </c>
      <c r="CE14" s="21" t="n">
        <v>51</v>
      </c>
      <c r="CF14" s="27">
        <f>SUM(CD14:CE14)</f>
        <v/>
      </c>
      <c r="CG14" s="28" t="n">
        <v>31</v>
      </c>
      <c r="CH14" s="31" t="n">
        <v>64</v>
      </c>
      <c r="CI14" s="29">
        <f>IF(AND(CF14=0,CG14=0,CH14=0),0,IF(AND(CF14=0,CG14=0),CH14/1,IF(AND(CF14=0,CH14=0),CG14/1,IF(AND(CG14=0,CH14=0),CF14/1,IF(CF14=0,FLOOR((CG14+CH14)/2,0.1),IF(CG14=0,(CF14+CH14)/2,IF(CH14=0,(CG14+CF14)/2,FLOOR(((CF14+CG14+CH14)/3),0.1))))))))</f>
        <v/>
      </c>
      <c r="CJ14" s="21" t="n"/>
      <c r="CK14" s="21" t="n"/>
      <c r="CL14" s="27">
        <f>SUM(CJ14:CK14)</f>
        <v/>
      </c>
      <c r="CM14" s="28" t="n"/>
      <c r="CN14" s="31" t="n"/>
      <c r="CO14" s="29">
        <f>IF(AND(CL14=0,CM14=0,CN14=0),0,IF(AND(CL14=0,CM14=0),CN14/1,IF(AND(CL14=0,CN14=0),CM14/1,IF(AND(CM14=0,CN14=0),CL14/1,IF(CL14=0,FLOOR((CM14+CN14)/2,0.1),IF(CM14=0,(CL14+CN14)/2,IF(CN14=0,(CM14+CL14)/2,FLOOR(((CL14+CM14+CN14)/3),0.1))))))))</f>
        <v/>
      </c>
      <c r="CP14" s="21" t="n">
        <v>21</v>
      </c>
      <c r="CQ14" s="21" t="n">
        <v>44</v>
      </c>
      <c r="CR14" s="27">
        <f>SUM(CP14:CQ14)</f>
        <v/>
      </c>
      <c r="CS14" s="28" t="n">
        <v>47</v>
      </c>
      <c r="CT14" s="31" t="n">
        <v>20</v>
      </c>
      <c r="CU14" s="29">
        <f>IF(AND(CR14=0,CS14=0,CT14=0),0,IF(AND(CR14=0,CS14=0),CT14/1,IF(AND(CR14=0,CT14=0),CS14/1,IF(AND(CS14=0,CT14=0),CR14/1,IF(CR14=0,FLOOR((CS14+CT14)/2,0.1),IF(CS14=0,(CR14+CT14)/2,IF(CT14=0,(CS14+CR14)/2,FLOOR(((CR14+CS14+CT14)/3),0.1))))))))</f>
        <v/>
      </c>
      <c r="CV14" s="21" t="n"/>
      <c r="CW14" s="21" t="n"/>
      <c r="CX14" s="27">
        <f>SUM(CV14:CW14)</f>
        <v/>
      </c>
      <c r="CY14" s="28" t="n"/>
      <c r="CZ14" s="31" t="n"/>
      <c r="DA14" s="29">
        <f>IF(AND(CX14=0,CY14=0,CZ14=0),0,IF(AND(CX14=0,CY14=0),CZ14/1,IF(AND(CX14=0,CZ14=0),CY14/1,IF(AND(CY14=0,CZ14=0),CX14/1,IF(CX14=0,FLOOR((CY14+CZ14)/2,0.1),IF(CY14=0,(CX14+CZ14)/2,IF(CZ14=0,(CY14+CX14)/2,FLOOR(((CX14+CY14+CZ14)/3),0.1))))))))</f>
        <v/>
      </c>
      <c r="DB14" s="21" t="n"/>
      <c r="DC14" s="21" t="n"/>
      <c r="DD14" s="27">
        <f>SUM(DB14:DC14)</f>
        <v/>
      </c>
      <c r="DE14" s="28" t="n"/>
      <c r="DF14" s="31" t="n"/>
      <c r="DG14" s="29">
        <f>IF(AND(DD14=0,DE14=0,DF14=0),0,IF(AND(DD14=0,DE14=0),DF14/1,IF(AND(DD14=0,DF14=0),DE14/1,IF(AND(DE14=0,DF14=0),DD14/1,IF(DD14=0,FLOOR((DE14+DF14)/2,0.1),IF(DE14=0,(DD14+DF14)/2,IF(DF14=0,(DE14+DD14)/2,FLOOR(((DD14+DE14+DF14)/3),0.1))))))))</f>
        <v/>
      </c>
      <c r="DH14" s="34">
        <f>SUM(O14,U14,AA14,AG14,AM14,AS14,AY14,BE14,BK14,BQ14,BW14,CC14,CI14,CO14,CU14,DA14,DG14)</f>
        <v/>
      </c>
      <c r="DI14" s="39">
        <f>RANK(DH14,DH$4:DH$503)</f>
        <v/>
      </c>
      <c r="DJ14" s="40" t="inlineStr">
        <is>
          <t>FAIR(1)</t>
        </is>
      </c>
      <c r="DK14" s="40" t="inlineStr">
        <is>
          <t>FAIR(1)</t>
        </is>
      </c>
      <c r="DL14" s="40" t="inlineStr">
        <is>
          <t>FAIR(1)</t>
        </is>
      </c>
      <c r="DM14" s="40" t="inlineStr">
        <is>
          <t>FAIR(1)</t>
        </is>
      </c>
      <c r="DN14" s="40" t="inlineStr">
        <is>
          <t>FAIR(1)</t>
        </is>
      </c>
      <c r="DO14" s="40" t="inlineStr">
        <is>
          <t>GOOD(4)</t>
        </is>
      </c>
      <c r="DP14" s="40" t="inlineStr">
        <is>
          <t>GOOD(4)</t>
        </is>
      </c>
      <c r="DQ14" s="40" t="inlineStr">
        <is>
          <t>GOOD(4)</t>
        </is>
      </c>
      <c r="DR14" s="43" t="inlineStr">
        <is>
          <t>2024/2025</t>
        </is>
      </c>
      <c r="DS14" s="45" t="inlineStr">
        <is>
          <t>THIRD</t>
        </is>
      </c>
      <c r="DT14" s="40" t="inlineStr">
        <is>
          <t>GOOD(4)</t>
        </is>
      </c>
      <c r="DU14" s="40" t="inlineStr">
        <is>
          <t>GOOD(4)</t>
        </is>
      </c>
      <c r="DV14" s="40" t="inlineStr">
        <is>
          <t>GOOD(4)</t>
        </is>
      </c>
      <c r="DW14" s="40" t="inlineStr">
        <is>
          <t>GOOD(4)</t>
        </is>
      </c>
      <c r="DX14" s="40" t="inlineStr">
        <is>
          <t>GOOD(4)</t>
        </is>
      </c>
      <c r="DY14" s="40" t="inlineStr">
        <is>
          <t>GOOD(4)</t>
        </is>
      </c>
      <c r="DZ14" s="53" t="inlineStr">
        <is>
          <t>GOOD(4)</t>
        </is>
      </c>
      <c r="EA14" s="54" t="n"/>
      <c r="EB14" s="55" t="inlineStr">
        <is>
          <t>Promoted to JSS3</t>
        </is>
      </c>
      <c r="EC14" s="56" t="inlineStr">
        <is>
          <t>MR. JIMOH WASIU OLATUNDE</t>
        </is>
      </c>
      <c r="ED14" s="57" t="inlineStr">
        <is>
          <t>Next Term Begins on Monday, 15th September, 2035</t>
        </is>
      </c>
    </row>
    <row r="15" ht="30.6" customHeight="1" s="6">
      <c r="A15" s="18" t="n">
        <v>12</v>
      </c>
      <c r="B15" s="19" t="inlineStr">
        <is>
          <t>DAVID SERAH ERIOLUWA</t>
        </is>
      </c>
      <c r="C15" s="20" t="inlineStr">
        <is>
          <t>1831</t>
        </is>
      </c>
      <c r="D15" s="128" t="inlineStr">
        <is>
          <t>Female</t>
        </is>
      </c>
      <c r="E15" s="21" t="inlineStr">
        <is>
          <t>JSS 2C</t>
        </is>
      </c>
      <c r="F15" s="21" t="n">
        <v>31</v>
      </c>
      <c r="G15" s="21" t="n">
        <v>122</v>
      </c>
      <c r="H15" s="21" t="n">
        <v>116</v>
      </c>
      <c r="I15" s="26">
        <f>G15-H15</f>
        <v/>
      </c>
      <c r="J15" s="21" t="n">
        <v>30</v>
      </c>
      <c r="K15" s="21" t="n">
        <v>38</v>
      </c>
      <c r="L15" s="27">
        <f>SUM(J15:K15)</f>
        <v/>
      </c>
      <c r="M15" s="28" t="n">
        <v>26</v>
      </c>
      <c r="N15" s="28" t="n">
        <v>25</v>
      </c>
      <c r="O15" s="29">
        <f>IF(AND(L15=0,M15=0,N15=0),0,IF(AND(L15=0,M15=0),N15/1,IF(AND(L15=0,N15=0),M15/1,IF(AND(M15=0,N15=0),L15/1,IF(L15=0,FLOOR((M15+N15)/2,0.1),IF(M15=0,(L15+N15)/2,IF(N15=0,(M15+L15)/2,FLOOR(((L15+M15+N15)/3),0.1))))))))</f>
        <v/>
      </c>
      <c r="P15" s="21" t="n">
        <v>21</v>
      </c>
      <c r="Q15" s="21" t="n">
        <v>13</v>
      </c>
      <c r="R15" s="27">
        <f>SUM(P15:Q15)</f>
        <v/>
      </c>
      <c r="S15" s="28" t="n">
        <v>68</v>
      </c>
      <c r="T15" s="28" t="n">
        <v>58</v>
      </c>
      <c r="U15" s="29">
        <f>IF(AND(R15=0,S15=0,T15=0),0,IF(AND(R15=0,S15=0),T15/1,IF(AND(R15=0,T15=0),S15/1,IF(AND(S15=0,T15=0),R15/1,IF(R15=0,FLOOR((S15+T15)/2,0.1),IF(S15=0,(R15+T15)/2,IF(T15=0,(S15+R15)/2,FLOOR(((R15+S15+T15)/3),0.1))))))))</f>
        <v/>
      </c>
      <c r="V15" s="21" t="n">
        <v>23</v>
      </c>
      <c r="W15" s="21" t="n">
        <v>16</v>
      </c>
      <c r="X15" s="27">
        <f>SUM(V15:W15)</f>
        <v/>
      </c>
      <c r="Y15" s="28" t="n">
        <v>59</v>
      </c>
      <c r="Z15" s="28" t="n">
        <v>49</v>
      </c>
      <c r="AA15" s="29">
        <f>IF(AND(X15=0,Y15=0,Z15=0),0,IF(AND(X15=0,Y15=0),Z15/1,IF(AND(X15=0,Z15=0),Y15/1,IF(AND(Y15=0,Z15=0),X15/1,IF(X15=0,FLOOR((Y15+Z15)/2,0.1),IF(Y15=0,(X15+Z15)/2,IF(Z15=0,(Y15+X15)/2,FLOOR(((X15+Y15+Z15)/3),0.1))))))))</f>
        <v/>
      </c>
      <c r="AB15" s="21" t="n">
        <v>16</v>
      </c>
      <c r="AC15" s="21" t="n">
        <v>29</v>
      </c>
      <c r="AD15" s="27">
        <f>SUM(AB15:AC15)</f>
        <v/>
      </c>
      <c r="AE15" s="28" t="n">
        <v>50</v>
      </c>
      <c r="AF15" s="28" t="n">
        <v>48</v>
      </c>
      <c r="AG15" s="29">
        <f>IF(AND(AD15=0,AE15=0,AF15=0),0,IF(AND(AD15=0,AE15=0),AF15/1,IF(AND(AD15=0,AF15=0),AE15/1,IF(AND(AE15=0,AF15=0),AD15/1,IF(AD15=0,FLOOR((AE15+AF15)/2,0.1),IF(AE15=0,(AD15+AF15)/2,IF(AF15=0,(AE15+AD15)/2,FLOOR(((AD15+AE15+AF15)/3),0.1))))))))</f>
        <v/>
      </c>
      <c r="AH15" s="21" t="n">
        <v>18</v>
      </c>
      <c r="AI15" s="21" t="n">
        <v>42</v>
      </c>
      <c r="AJ15" s="27">
        <f>SUM(AH15:AI15)</f>
        <v/>
      </c>
      <c r="AK15" s="28" t="n">
        <v>52</v>
      </c>
      <c r="AL15" s="28" t="n">
        <v>44</v>
      </c>
      <c r="AM15" s="29">
        <f>IF(AND(AJ15=0,AK15=0,AL15=0),0,IF(AND(AJ15=0,AK15=0),AL15/1,IF(AND(AJ15=0,AL15=0),AK15/1,IF(AND(AK15=0,AL15=0),AJ15/1,IF(AJ15=0,FLOOR((AK15+AL15)/2,0.1),IF(AK15=0,(AJ15+AL15)/2,IF(AL15=0,(AK15+AJ15)/2,FLOOR(((AJ15+AK15+AL15)/3),0.1))))))))</f>
        <v/>
      </c>
      <c r="AN15" s="21" t="n"/>
      <c r="AO15" s="21" t="n"/>
      <c r="AP15" s="27">
        <f>SUM(AN15:AO15)</f>
        <v/>
      </c>
      <c r="AQ15" s="28" t="n"/>
      <c r="AR15" s="30" t="n"/>
      <c r="AS15" s="29">
        <f>IF(AND(AP15=0,AQ15=0,AR15=0),0,IF(AND(AP15=0,AQ15=0),AR15/1,IF(AND(AP15=0,AR15=0),AQ15/1,IF(AND(AQ15=0,AR15=0),AP15/1,IF(AP15=0,FLOOR((AQ15+AR15)/2,0.1),IF(AQ15=0,(AP15+AR15)/2,IF(AR15=0,(AQ15+AP15)/2,FLOOR(((AP15+AQ15+AR15)/3),0.1))))))))</f>
        <v/>
      </c>
      <c r="AT15" s="21" t="n">
        <v>29</v>
      </c>
      <c r="AU15" s="21" t="n">
        <v>32</v>
      </c>
      <c r="AV15" s="27">
        <f>SUM(AT15:AU15)</f>
        <v/>
      </c>
      <c r="AW15" s="28" t="n">
        <v>45</v>
      </c>
      <c r="AX15" s="30" t="n">
        <v>57</v>
      </c>
      <c r="AY15" s="29">
        <f>IF(AND(AV15=0,AW15=0,AX15=0),0,IF(AND(AV15=0,AW15=0),AX15/1,IF(AND(AV15=0,AX15=0),AW15/1,IF(AND(AW15=0,AX15=0),AV15/1,IF(AV15=0,FLOOR((AW15+AX15)/2,0.1),IF(AW15=0,(AV15+AX15)/2,IF(AX15=0,(AW15+AV15)/2,FLOOR(((AV15+AW15+AX15)/3),0.1))))))))</f>
        <v/>
      </c>
      <c r="AZ15" s="21" t="n">
        <v>23</v>
      </c>
      <c r="BA15" s="21" t="n">
        <v>26</v>
      </c>
      <c r="BB15" s="27">
        <f>SUM(AZ15:BA15)</f>
        <v/>
      </c>
      <c r="BC15" s="28" t="n">
        <v>59</v>
      </c>
      <c r="BD15" s="28" t="n">
        <v>54</v>
      </c>
      <c r="BE15" s="29">
        <f>IF(AND(BB15=0,BC15=0,BD15=0),0,IF(AND(BB15=0,BC15=0),BD15/1,IF(AND(BB15=0,BD15=0),BC15/1,IF(AND(BC15=0,BD15=0),BB15/1,IF(BB15=0,FLOOR((BC15+BD15)/2,0.1),IF(BC15=0,(BB15+BD15)/2,IF(BD15=0,(BC15+BB15)/2,FLOOR(((BB15+BC15+BD15)/3),0.1))))))))</f>
        <v/>
      </c>
      <c r="BF15" s="21" t="n">
        <v>16</v>
      </c>
      <c r="BG15" s="21" t="n">
        <v>38</v>
      </c>
      <c r="BH15" s="27">
        <f>SUM(BF15:BG15)</f>
        <v/>
      </c>
      <c r="BI15" s="28" t="n">
        <v>60</v>
      </c>
      <c r="BJ15" s="28" t="n">
        <v>44</v>
      </c>
      <c r="BK15" s="29">
        <f>IF(AND(BH15=0,BI15=0,BJ15=0),0,IF(AND(BH15=0,BI15=0),BJ15/1,IF(AND(BH15=0,BJ15=0),BI15/1,IF(AND(BI15=0,BJ15=0),BH15/1,IF(BH15=0,FLOOR((BI15+BJ15)/2,0.1),IF(BI15=0,(BH15+BJ15)/2,IF(BJ15=0,(BI15+BH15)/2,FLOOR(((BH15+BI15+BJ15)/3),0.1))))))))</f>
        <v/>
      </c>
      <c r="BL15" s="21" t="n">
        <v>15</v>
      </c>
      <c r="BM15" s="21" t="n">
        <v>39</v>
      </c>
      <c r="BN15" s="27">
        <f>SUM(BL15:BM15)</f>
        <v/>
      </c>
      <c r="BO15" s="28" t="n">
        <v>24</v>
      </c>
      <c r="BP15" s="31" t="n">
        <v>57</v>
      </c>
      <c r="BQ15" s="29">
        <f>IF(AND(BN15=0,BO15=0,BP15=0),0,IF(AND(BN15=0,BO15=0),BP15/1,IF(AND(BN15=0,BP15=0),BO15/1,IF(AND(BO15=0,BP15=0),BN15/1,IF(BN15=0,FLOOR((BO15+BP15)/2,0.1),IF(BO15=0,(BN15+BP15)/2,IF(BP15=0,(BO15+BN15)/2,FLOOR(((BN15+BO15+BP15)/3),0.1))))))))</f>
        <v/>
      </c>
      <c r="BR15" s="21" t="n"/>
      <c r="BS15" s="21" t="n"/>
      <c r="BT15" s="27">
        <f>SUM(BR15:BS15)</f>
        <v/>
      </c>
      <c r="BU15" s="28" t="n"/>
      <c r="BV15" s="31" t="n"/>
      <c r="BW15" s="29">
        <f>IF(AND(BT15=0,BU15=0,BV15=0),0,IF(AND(BT15=0,BU15=0),BV15/1,IF(AND(BT15=0,BV15=0),BU15/1,IF(AND(BU15=0,BV15=0),BT15/1,IF(BT15=0,FLOOR((BU15+BV15)/2,0.1),IF(BU15=0,(BT15+BV15)/2,IF(BV15=0,(BU15+BT15)/2,FLOOR(((BT15+BU15+BV15)/3),0.1))))))))</f>
        <v/>
      </c>
      <c r="BX15" s="21" t="n">
        <v>23</v>
      </c>
      <c r="BY15" s="21" t="n">
        <v>69</v>
      </c>
      <c r="BZ15" s="27">
        <f>SUM(BX15:BY15)</f>
        <v/>
      </c>
      <c r="CA15" s="28" t="n">
        <v>49</v>
      </c>
      <c r="CB15" s="31" t="n">
        <v>54</v>
      </c>
      <c r="CC15" s="29">
        <f>IF(AND(BZ15=0,CA15=0,CB15=0),0,IF(AND(BZ15=0,CA15=0),CB15/1,IF(AND(BZ15=0,CB15=0),CA15/1,IF(AND(CA15=0,CB15=0),BZ15/1,IF(BZ15=0,FLOOR((CA15+CB15)/2,0.1),IF(CA15=0,(BZ15+CB15)/2,IF(CB15=0,(CA15+BZ15)/2,FLOOR(((BZ15+CA15+CB15)/3),0.1))))))))</f>
        <v/>
      </c>
      <c r="CD15" s="21" t="n">
        <v>17</v>
      </c>
      <c r="CE15" s="21" t="n">
        <v>49</v>
      </c>
      <c r="CF15" s="27">
        <f>SUM(CD15:CE15)</f>
        <v/>
      </c>
      <c r="CG15" s="28" t="n">
        <v>32</v>
      </c>
      <c r="CH15" s="31" t="n">
        <v>25</v>
      </c>
      <c r="CI15" s="29">
        <f>IF(AND(CF15=0,CG15=0,CH15=0),0,IF(AND(CF15=0,CG15=0),CH15/1,IF(AND(CF15=0,CH15=0),CG15/1,IF(AND(CG15=0,CH15=0),CF15/1,IF(CF15=0,FLOOR((CG15+CH15)/2,0.1),IF(CG15=0,(CF15+CH15)/2,IF(CH15=0,(CG15+CF15)/2,FLOOR(((CF15+CG15+CH15)/3),0.1))))))))</f>
        <v/>
      </c>
      <c r="CJ15" s="21" t="n"/>
      <c r="CK15" s="21" t="n"/>
      <c r="CL15" s="27">
        <f>SUM(CJ15:CK15)</f>
        <v/>
      </c>
      <c r="CM15" s="28" t="n"/>
      <c r="CN15" s="31" t="n"/>
      <c r="CO15" s="29">
        <f>IF(AND(CL15=0,CM15=0,CN15=0),0,IF(AND(CL15=0,CM15=0),CN15/1,IF(AND(CL15=0,CN15=0),CM15/1,IF(AND(CM15=0,CN15=0),CL15/1,IF(CL15=0,FLOOR((CM15+CN15)/2,0.1),IF(CM15=0,(CL15+CN15)/2,IF(CN15=0,(CM15+CL15)/2,FLOOR(((CL15+CM15+CN15)/3),0.1))))))))</f>
        <v/>
      </c>
      <c r="CP15" s="21" t="n"/>
      <c r="CQ15" s="21" t="n"/>
      <c r="CR15" s="27">
        <f>SUM(CP15:CQ15)</f>
        <v/>
      </c>
      <c r="CS15" s="28" t="n"/>
      <c r="CT15" s="31" t="n"/>
      <c r="CU15" s="29">
        <f>IF(AND(CR15=0,CS15=0,CT15=0),0,IF(AND(CR15=0,CS15=0),CT15/1,IF(AND(CR15=0,CT15=0),CS15/1,IF(AND(CS15=0,CT15=0),CR15/1,IF(CR15=0,FLOOR((CS15+CT15)/2,0.1),IF(CS15=0,(CR15+CT15)/2,IF(CT15=0,(CS15+CR15)/2,FLOOR(((CR15+CS15+CT15)/3),0.1))))))))</f>
        <v/>
      </c>
      <c r="CV15" s="21" t="n">
        <v>30</v>
      </c>
      <c r="CW15" s="21" t="n">
        <v>30</v>
      </c>
      <c r="CX15" s="27">
        <f>SUM(CV15:CW15)</f>
        <v/>
      </c>
      <c r="CY15" s="28" t="n">
        <v>52</v>
      </c>
      <c r="CZ15" s="31" t="n">
        <v>53</v>
      </c>
      <c r="DA15" s="29">
        <f>IF(AND(CX15=0,CY15=0,CZ15=0),0,IF(AND(CX15=0,CY15=0),CZ15/1,IF(AND(CX15=0,CZ15=0),CY15/1,IF(AND(CY15=0,CZ15=0),CX15/1,IF(CX15=0,FLOOR((CY15+CZ15)/2,0.1),IF(CY15=0,(CX15+CZ15)/2,IF(CZ15=0,(CY15+CX15)/2,FLOOR(((CX15+CY15+CZ15)/3),0.1))))))))</f>
        <v/>
      </c>
      <c r="DB15" s="21" t="n"/>
      <c r="DC15" s="21" t="n"/>
      <c r="DD15" s="27">
        <f>SUM(DB15:DC15)</f>
        <v/>
      </c>
      <c r="DE15" s="28" t="n"/>
      <c r="DF15" s="31" t="n"/>
      <c r="DG15" s="29">
        <f>IF(AND(DD15=0,DE15=0,DF15=0),0,IF(AND(DD15=0,DE15=0),DF15/1,IF(AND(DD15=0,DF15=0),DE15/1,IF(AND(DE15=0,DF15=0),DD15/1,IF(DD15=0,FLOOR((DE15+DF15)/2,0.1),IF(DE15=0,(DD15+DF15)/2,IF(DF15=0,(DE15+DD15)/2,FLOOR(((DD15+DE15+DF15)/3),0.1))))))))</f>
        <v/>
      </c>
      <c r="DH15" s="34">
        <f>SUM(O15,U15,AA15,AG15,AM15,AS15,AY15,BE15,BK15,BQ15,BW15,CC15,CI15,CO15,CU15,DA15,DG15)</f>
        <v/>
      </c>
      <c r="DI15" s="39">
        <f>RANK(DH15,DH$4:DH$503)</f>
        <v/>
      </c>
      <c r="DJ15" s="40" t="inlineStr">
        <is>
          <t>EXCELLENT(5)</t>
        </is>
      </c>
      <c r="DK15" s="40" t="inlineStr">
        <is>
          <t>GOOD(4)</t>
        </is>
      </c>
      <c r="DL15" s="40" t="inlineStr">
        <is>
          <t>EXCELLENT(5)</t>
        </is>
      </c>
      <c r="DM15" s="40" t="inlineStr">
        <is>
          <t>EXCELLENT(5)</t>
        </is>
      </c>
      <c r="DN15" s="40" t="inlineStr">
        <is>
          <t>GOOD(4)</t>
        </is>
      </c>
      <c r="DO15" s="40" t="inlineStr">
        <is>
          <t>GOOD(4)</t>
        </is>
      </c>
      <c r="DP15" s="40" t="inlineStr">
        <is>
          <t>GOOD(4)</t>
        </is>
      </c>
      <c r="DQ15" s="40" t="inlineStr">
        <is>
          <t>GOOD(4)</t>
        </is>
      </c>
      <c r="DR15" s="43" t="inlineStr">
        <is>
          <t>2024/2025</t>
        </is>
      </c>
      <c r="DS15" s="45" t="inlineStr">
        <is>
          <t>THIRD</t>
        </is>
      </c>
      <c r="DT15" s="40" t="inlineStr">
        <is>
          <t>GOOD(4)</t>
        </is>
      </c>
      <c r="DU15" s="40" t="inlineStr">
        <is>
          <t>GOOD(4)</t>
        </is>
      </c>
      <c r="DV15" s="40" t="inlineStr">
        <is>
          <t>GOOD(4)</t>
        </is>
      </c>
      <c r="DW15" s="40" t="inlineStr">
        <is>
          <t>GOOD(4)</t>
        </is>
      </c>
      <c r="DX15" s="40" t="inlineStr">
        <is>
          <t>GOOD(4)</t>
        </is>
      </c>
      <c r="DY15" s="40" t="inlineStr">
        <is>
          <t>GOOD(4)</t>
        </is>
      </c>
      <c r="DZ15" s="53" t="inlineStr">
        <is>
          <t>GOOD(4)</t>
        </is>
      </c>
      <c r="EA15" s="54" t="inlineStr">
        <is>
          <t>Completes assignments on time and with care.</t>
        </is>
      </c>
      <c r="EB15" s="55" t="inlineStr">
        <is>
          <t>Promoted to JSS3</t>
        </is>
      </c>
      <c r="EC15" s="56" t="inlineStr">
        <is>
          <t>MR. JIMOH WASIU OLATUNDE</t>
        </is>
      </c>
      <c r="ED15" s="57" t="inlineStr">
        <is>
          <t>Next Term Begins on Monday, 15th September, 2036</t>
        </is>
      </c>
    </row>
    <row r="16" ht="30.6" customHeight="1" s="6">
      <c r="A16" s="18" t="n">
        <v>13</v>
      </c>
      <c r="B16" s="19" t="inlineStr">
        <is>
          <t xml:space="preserve">HANNATU AYUBA </t>
        </is>
      </c>
      <c r="C16" s="20" t="inlineStr">
        <is>
          <t>1894</t>
        </is>
      </c>
      <c r="D16" s="128" t="inlineStr">
        <is>
          <t>Male</t>
        </is>
      </c>
      <c r="E16" s="21" t="inlineStr">
        <is>
          <t>JSS 2C</t>
        </is>
      </c>
      <c r="F16" s="21" t="n">
        <v>31</v>
      </c>
      <c r="G16" s="21" t="n">
        <v>122</v>
      </c>
      <c r="H16" s="21" t="n">
        <v>0</v>
      </c>
      <c r="I16" s="26">
        <f>G16-H16</f>
        <v/>
      </c>
      <c r="J16" s="21" t="n">
        <v>20</v>
      </c>
      <c r="K16" s="21" t="n">
        <v>15</v>
      </c>
      <c r="L16" s="27">
        <f>SUM(J16:K16)</f>
        <v/>
      </c>
      <c r="M16" s="28" t="n">
        <v>20</v>
      </c>
      <c r="N16" s="28" t="n">
        <v>38</v>
      </c>
      <c r="O16" s="29">
        <f>IF(AND(L16=0,M16=0,N16=0),0,IF(AND(L16=0,M16=0),N16/1,IF(AND(L16=0,N16=0),M16/1,IF(AND(M16=0,N16=0),L16/1,IF(L16=0,FLOOR((M16+N16)/2,0.1),IF(M16=0,(L16+N16)/2,IF(N16=0,(M16+L16)/2,FLOOR(((L16+M16+N16)/3),0.1))))))))</f>
        <v/>
      </c>
      <c r="P16" s="21" t="n">
        <v>18</v>
      </c>
      <c r="Q16" s="21" t="n">
        <v>35</v>
      </c>
      <c r="R16" s="27">
        <f>SUM(P16:Q16)</f>
        <v/>
      </c>
      <c r="S16" s="28" t="n">
        <v>37</v>
      </c>
      <c r="T16" s="28" t="n">
        <v>68</v>
      </c>
      <c r="U16" s="29">
        <f>IF(AND(R16=0,S16=0,T16=0),0,IF(AND(R16=0,S16=0),T16/1,IF(AND(R16=0,T16=0),S16/1,IF(AND(S16=0,T16=0),R16/1,IF(R16=0,FLOOR((S16+T16)/2,0.1),IF(S16=0,(R16+T16)/2,IF(T16=0,(S16+R16)/2,FLOOR(((R16+S16+T16)/3),0.1))))))))</f>
        <v/>
      </c>
      <c r="V16" s="21" t="n">
        <v>20</v>
      </c>
      <c r="W16" s="21" t="n">
        <v>10</v>
      </c>
      <c r="X16" s="27">
        <f>SUM(V16:W16)</f>
        <v/>
      </c>
      <c r="Y16" s="28" t="n">
        <v>20</v>
      </c>
      <c r="Z16" s="28" t="n">
        <v>25</v>
      </c>
      <c r="AA16" s="29">
        <f>IF(AND(X16=0,Y16=0,Z16=0),0,IF(AND(X16=0,Y16=0),Z16/1,IF(AND(X16=0,Z16=0),Y16/1,IF(AND(Y16=0,Z16=0),X16/1,IF(X16=0,FLOOR((Y16+Z16)/2,0.1),IF(Y16=0,(X16+Z16)/2,IF(Z16=0,(Y16+X16)/2,FLOOR(((X16+Y16+Z16)/3),0.1))))))))</f>
        <v/>
      </c>
      <c r="AB16" s="21" t="n">
        <v>18</v>
      </c>
      <c r="AC16" s="21" t="n">
        <v>35</v>
      </c>
      <c r="AD16" s="27">
        <f>SUM(AB16:AC16)</f>
        <v/>
      </c>
      <c r="AE16" s="28" t="n">
        <v>38</v>
      </c>
      <c r="AF16" s="28" t="n">
        <v>68</v>
      </c>
      <c r="AG16" s="29">
        <f>IF(AND(AD16=0,AE16=0,AF16=0),0,IF(AND(AD16=0,AE16=0),AF16/1,IF(AND(AD16=0,AF16=0),AE16/1,IF(AND(AE16=0,AF16=0),AD16/1,IF(AD16=0,FLOOR((AE16+AF16)/2,0.1),IF(AE16=0,(AD16+AF16)/2,IF(AF16=0,(AE16+AD16)/2,FLOOR(((AD16+AE16+AF16)/3),0.1))))))))</f>
        <v/>
      </c>
      <c r="AH16" s="21" t="n">
        <v>10</v>
      </c>
      <c r="AI16" s="21" t="n">
        <v>15</v>
      </c>
      <c r="AJ16" s="27">
        <f>SUM(AH16:AI16)</f>
        <v/>
      </c>
      <c r="AK16" s="28" t="n">
        <v>15</v>
      </c>
      <c r="AL16" s="28" t="n">
        <v>10</v>
      </c>
      <c r="AM16" s="29">
        <f>IF(AND(AJ16=0,AK16=0,AL16=0),0,IF(AND(AJ16=0,AK16=0),AL16/1,IF(AND(AJ16=0,AL16=0),AK16/1,IF(AND(AK16=0,AL16=0),AJ16/1,IF(AJ16=0,FLOOR((AK16+AL16)/2,0.1),IF(AK16=0,(AJ16+AL16)/2,IF(AL16=0,(AK16+AJ16)/2,FLOOR(((AJ16+AK16+AL16)/3),0.1))))))))</f>
        <v/>
      </c>
      <c r="AN16" s="21" t="n"/>
      <c r="AO16" s="21" t="n"/>
      <c r="AP16" s="27">
        <f>SUM(AN16:AO16)</f>
        <v/>
      </c>
      <c r="AQ16" s="28" t="n"/>
      <c r="AR16" s="30" t="n"/>
      <c r="AS16" s="29">
        <f>IF(AND(AP16=0,AQ16=0,AR16=0),0,IF(AND(AP16=0,AQ16=0),AR16/1,IF(AND(AP16=0,AR16=0),AQ16/1,IF(AND(AQ16=0,AR16=0),AP16/1,IF(AP16=0,FLOOR((AQ16+AR16)/2,0.1),IF(AQ16=0,(AP16+AR16)/2,IF(AR16=0,(AQ16+AP16)/2,FLOOR(((AP16+AQ16+AR16)/3),0.1))))))))</f>
        <v/>
      </c>
      <c r="AT16" s="21" t="n">
        <v>14</v>
      </c>
      <c r="AU16" s="21" t="n">
        <v>25</v>
      </c>
      <c r="AV16" s="27">
        <f>SUM(AT16:AU16)</f>
        <v/>
      </c>
      <c r="AW16" s="28" t="n">
        <v>39</v>
      </c>
      <c r="AX16" s="30" t="n">
        <v>39</v>
      </c>
      <c r="AY16" s="29">
        <f>IF(AND(AV16=0,AW16=0,AX16=0),0,IF(AND(AV16=0,AW16=0),AX16/1,IF(AND(AV16=0,AX16=0),AW16/1,IF(AND(AW16=0,AX16=0),AV16/1,IF(AV16=0,FLOOR((AW16+AX16)/2,0.1),IF(AW16=0,(AV16+AX16)/2,IF(AX16=0,(AW16+AV16)/2,FLOOR(((AV16+AW16+AX16)/3),0.1))))))))</f>
        <v/>
      </c>
      <c r="AZ16" s="21" t="n">
        <v>11</v>
      </c>
      <c r="BA16" s="21" t="n">
        <v>12</v>
      </c>
      <c r="BB16" s="27">
        <f>SUM(AZ16:BA16)</f>
        <v/>
      </c>
      <c r="BC16" s="28" t="n">
        <v>21</v>
      </c>
      <c r="BD16" s="28" t="n">
        <v>14</v>
      </c>
      <c r="BE16" s="29">
        <f>IF(AND(BB16=0,BC16=0,BD16=0),0,IF(AND(BB16=0,BC16=0),BD16/1,IF(AND(BB16=0,BD16=0),BC16/1,IF(AND(BC16=0,BD16=0),BB16/1,IF(BB16=0,FLOOR((BC16+BD16)/2,0.1),IF(BC16=0,(BB16+BD16)/2,IF(BD16=0,(BC16+BB16)/2,FLOOR(((BB16+BC16+BD16)/3),0.1))))))))</f>
        <v/>
      </c>
      <c r="BF16" s="21" t="n">
        <v>1</v>
      </c>
      <c r="BG16" s="21" t="n">
        <v>38</v>
      </c>
      <c r="BH16" s="27">
        <f>SUM(BF16:BG16)</f>
        <v/>
      </c>
      <c r="BI16" s="28" t="n">
        <v>60</v>
      </c>
      <c r="BJ16" s="28" t="n">
        <v>44</v>
      </c>
      <c r="BK16" s="29">
        <f>IF(AND(BH16=0,BI16=0,BJ16=0),0,IF(AND(BH16=0,BI16=0),BJ16/1,IF(AND(BH16=0,BJ16=0),BI16/1,IF(AND(BI16=0,BJ16=0),BH16/1,IF(BH16=0,FLOOR((BI16+BJ16)/2,0.1),IF(BI16=0,(BH16+BJ16)/2,IF(BJ16=0,(BI16+BH16)/2,FLOOR(((BH16+BI16+BJ16)/3),0.1))))))))</f>
        <v/>
      </c>
      <c r="BL16" s="21" t="n">
        <v>15</v>
      </c>
      <c r="BM16" s="21" t="n">
        <v>13</v>
      </c>
      <c r="BN16" s="27">
        <f>SUM(BL16:BM16)</f>
        <v/>
      </c>
      <c r="BO16" s="28" t="n">
        <v>13</v>
      </c>
      <c r="BP16" s="31" t="n">
        <v>16</v>
      </c>
      <c r="BQ16" s="29">
        <f>IF(AND(BN16=0,BO16=0,BP16=0),0,IF(AND(BN16=0,BO16=0),BP16/1,IF(AND(BN16=0,BP16=0),BO16/1,IF(AND(BO16=0,BP16=0),BN16/1,IF(BN16=0,FLOOR((BO16+BP16)/2,0.1),IF(BO16=0,(BN16+BP16)/2,IF(BP16=0,(BO16+BN16)/2,FLOOR(((BN16+BO16+BP16)/3),0.1))))))))</f>
        <v/>
      </c>
      <c r="BR16" s="21" t="n"/>
      <c r="BS16" s="21" t="n"/>
      <c r="BT16" s="27">
        <f>SUM(BR16:BS16)</f>
        <v/>
      </c>
      <c r="BU16" s="28" t="n"/>
      <c r="BV16" s="31" t="n"/>
      <c r="BW16" s="29">
        <f>IF(AND(BT16=0,BU16=0,BV16=0),0,IF(AND(BT16=0,BU16=0),BV16/1,IF(AND(BT16=0,BV16=0),BU16/1,IF(AND(BU16=0,BV16=0),BT16/1,IF(BT16=0,FLOOR((BU16+BV16)/2,0.1),IF(BU16=0,(BT16+BV16)/2,IF(BV16=0,(BU16+BT16)/2,FLOOR(((BT16+BU16+BV16)/3),0.1))))))))</f>
        <v/>
      </c>
      <c r="BX16" s="21" t="n">
        <v>24</v>
      </c>
      <c r="BY16" s="21" t="n">
        <v>70</v>
      </c>
      <c r="BZ16" s="27">
        <f>SUM(BX16:BY16)</f>
        <v/>
      </c>
      <c r="CA16" s="28" t="n">
        <v>22</v>
      </c>
      <c r="CB16" s="31" t="n">
        <v>61</v>
      </c>
      <c r="CC16" s="29">
        <f>IF(AND(BZ16=0,CA16=0,CB16=0),0,IF(AND(BZ16=0,CA16=0),CB16/1,IF(AND(BZ16=0,CB16=0),CA16/1,IF(AND(CA16=0,CB16=0),BZ16/1,IF(BZ16=0,FLOOR((CA16+CB16)/2,0.1),IF(CA16=0,(BZ16+CB16)/2,IF(CB16=0,(CA16+BZ16)/2,FLOOR(((BZ16+CA16+CB16)/3),0.1))))))))</f>
        <v/>
      </c>
      <c r="CD16" s="21" t="n">
        <v>17</v>
      </c>
      <c r="CE16" s="21" t="n">
        <v>12</v>
      </c>
      <c r="CF16" s="27">
        <f>SUM(CD16:CE16)</f>
        <v/>
      </c>
      <c r="CG16" s="28" t="n">
        <v>13</v>
      </c>
      <c r="CH16" s="31" t="n">
        <v>43</v>
      </c>
      <c r="CI16" s="29">
        <f>IF(AND(CF16=0,CG16=0,CH16=0),0,IF(AND(CF16=0,CG16=0),CH16/1,IF(AND(CF16=0,CH16=0),CG16/1,IF(AND(CG16=0,CH16=0),CF16/1,IF(CF16=0,FLOOR((CG16+CH16)/2,0.1),IF(CG16=0,(CF16+CH16)/2,IF(CH16=0,(CG16+CF16)/2,FLOOR(((CF16+CG16+CH16)/3),0.1))))))))</f>
        <v/>
      </c>
      <c r="CJ16" s="21" t="n"/>
      <c r="CK16" s="21" t="n"/>
      <c r="CL16" s="27">
        <f>SUM(CJ16:CK16)</f>
        <v/>
      </c>
      <c r="CM16" s="28" t="n"/>
      <c r="CN16" s="31" t="n"/>
      <c r="CO16" s="29">
        <f>IF(AND(CL16=0,CM16=0,CN16=0),0,IF(AND(CL16=0,CM16=0),CN16/1,IF(AND(CL16=0,CN16=0),CM16/1,IF(AND(CM16=0,CN16=0),CL16/1,IF(CL16=0,FLOOR((CM16+CN16)/2,0.1),IF(CM16=0,(CL16+CN16)/2,IF(CN16=0,(CM16+CL16)/2,FLOOR(((CL16+CM16+CN16)/3),0.1))))))))</f>
        <v/>
      </c>
      <c r="CP16" s="21" t="n">
        <v>12</v>
      </c>
      <c r="CQ16" s="21" t="n">
        <v>38</v>
      </c>
      <c r="CR16" s="27">
        <f>SUM(CP16:CQ16)</f>
        <v/>
      </c>
      <c r="CS16" s="28" t="n">
        <v>42</v>
      </c>
      <c r="CT16" s="31" t="n">
        <v>40</v>
      </c>
      <c r="CU16" s="29">
        <f>IF(AND(CR16=0,CS16=0,CT16=0),0,IF(AND(CR16=0,CS16=0),CT16/1,IF(AND(CR16=0,CT16=0),CS16/1,IF(AND(CS16=0,CT16=0),CR16/1,IF(CR16=0,FLOOR((CS16+CT16)/2,0.1),IF(CS16=0,(CR16+CT16)/2,IF(CT16=0,(CS16+CR16)/2,FLOOR(((CR16+CS16+CT16)/3),0.1))))))))</f>
        <v/>
      </c>
      <c r="CV16" s="21" t="n"/>
      <c r="CW16" s="21" t="n"/>
      <c r="CX16" s="27">
        <f>SUM(CV16:CW16)</f>
        <v/>
      </c>
      <c r="CY16" s="28" t="n"/>
      <c r="CZ16" s="31" t="n"/>
      <c r="DA16" s="29">
        <f>IF(AND(CX16=0,CY16=0,CZ16=0),0,IF(AND(CX16=0,CY16=0),CZ16/1,IF(AND(CX16=0,CZ16=0),CY16/1,IF(AND(CY16=0,CZ16=0),CX16/1,IF(CX16=0,FLOOR((CY16+CZ16)/2,0.1),IF(CY16=0,(CX16+CZ16)/2,IF(CZ16=0,(CY16+CX16)/2,FLOOR(((CX16+CY16+CZ16)/3),0.1))))))))</f>
        <v/>
      </c>
      <c r="DB16" s="21" t="n"/>
      <c r="DC16" s="21" t="n"/>
      <c r="DD16" s="27">
        <f>SUM(DB16:DC16)</f>
        <v/>
      </c>
      <c r="DE16" s="28" t="n"/>
      <c r="DF16" s="31" t="n"/>
      <c r="DG16" s="29">
        <f>IF(AND(DD16=0,DE16=0,DF16=0),0,IF(AND(DD16=0,DE16=0),DF16/1,IF(AND(DD16=0,DF16=0),DE16/1,IF(AND(DE16=0,DF16=0),DD16/1,IF(DD16=0,FLOOR((DE16+DF16)/2,0.1),IF(DE16=0,(DD16+DF16)/2,IF(DF16=0,(DE16+DD16)/2,FLOOR(((DD16+DE16+DF16)/3),0.1))))))))</f>
        <v/>
      </c>
      <c r="DH16" s="34">
        <f>SUM(O16,U16,AA16,AG16,AM16,AS16,AY16,BE16,BK16,BQ16,BW16,CC16,CI16,CO16,CU16,DA16,DG16)</f>
        <v/>
      </c>
      <c r="DI16" s="39">
        <f>RANK(DH16,DH$4:DH$503)</f>
        <v/>
      </c>
      <c r="DJ16" s="40" t="inlineStr">
        <is>
          <t>GOOD(4)</t>
        </is>
      </c>
      <c r="DK16" s="40" t="inlineStr">
        <is>
          <t>GOOD(4)</t>
        </is>
      </c>
      <c r="DL16" s="40" t="inlineStr">
        <is>
          <t>GOOD(4)</t>
        </is>
      </c>
      <c r="DM16" s="40" t="inlineStr">
        <is>
          <t>EXCELLENT(5)</t>
        </is>
      </c>
      <c r="DN16" s="40" t="inlineStr">
        <is>
          <t>GOOD(4)</t>
        </is>
      </c>
      <c r="DO16" s="40" t="inlineStr">
        <is>
          <t>GOOD(4)</t>
        </is>
      </c>
      <c r="DP16" s="40" t="inlineStr">
        <is>
          <t>GOOD(4)</t>
        </is>
      </c>
      <c r="DQ16" s="40" t="inlineStr">
        <is>
          <t>GOOD(4)</t>
        </is>
      </c>
      <c r="DR16" s="43" t="inlineStr">
        <is>
          <t>2024/2025</t>
        </is>
      </c>
      <c r="DS16" s="45" t="inlineStr">
        <is>
          <t>THIRD</t>
        </is>
      </c>
      <c r="DT16" s="40" t="inlineStr">
        <is>
          <t>GOOD(4)</t>
        </is>
      </c>
      <c r="DU16" s="40" t="inlineStr">
        <is>
          <t>GOOD(4)</t>
        </is>
      </c>
      <c r="DV16" s="40" t="inlineStr">
        <is>
          <t>GOOD(4)</t>
        </is>
      </c>
      <c r="DW16" s="40" t="inlineStr">
        <is>
          <t>GOOD(4)</t>
        </is>
      </c>
      <c r="DX16" s="40" t="inlineStr">
        <is>
          <t>GOOD(4)</t>
        </is>
      </c>
      <c r="DY16" s="40" t="inlineStr">
        <is>
          <t>GOOD(4)</t>
        </is>
      </c>
      <c r="DZ16" s="53" t="inlineStr">
        <is>
          <t>GOOD(4)</t>
        </is>
      </c>
      <c r="EA16" s="54" t="inlineStr">
        <is>
          <t>Demonstrates a positive attitude and respect for rules.</t>
        </is>
      </c>
      <c r="EB16" s="55" t="inlineStr">
        <is>
          <t>To repeat JSS2</t>
        </is>
      </c>
      <c r="EC16" s="56" t="inlineStr">
        <is>
          <t>MR. JIMOH WASIU OLATUNDE</t>
        </is>
      </c>
      <c r="ED16" s="57" t="inlineStr">
        <is>
          <t>Next Term Begins on Monday, 15th September, 2037</t>
        </is>
      </c>
    </row>
    <row r="17" ht="30.6" customHeight="1" s="6">
      <c r="A17" s="18" t="n">
        <v>14</v>
      </c>
      <c r="B17" s="19" t="inlineStr">
        <is>
          <t xml:space="preserve">HASSAN ABDULKAREEM </t>
        </is>
      </c>
      <c r="C17" s="20" t="inlineStr">
        <is>
          <t>1896</t>
        </is>
      </c>
      <c r="D17" s="128" t="inlineStr">
        <is>
          <t>Male</t>
        </is>
      </c>
      <c r="E17" s="21" t="inlineStr">
        <is>
          <t>JSS 2C</t>
        </is>
      </c>
      <c r="F17" s="21" t="n">
        <v>31</v>
      </c>
      <c r="G17" s="21" t="n">
        <v>122</v>
      </c>
      <c r="H17" s="21" t="n">
        <v>0</v>
      </c>
      <c r="I17" s="26">
        <f>G17-H17</f>
        <v/>
      </c>
      <c r="J17" s="21" t="n">
        <v>12</v>
      </c>
      <c r="K17" s="21" t="n">
        <v>14</v>
      </c>
      <c r="L17" s="27">
        <f>SUM(J17:K17)</f>
        <v/>
      </c>
      <c r="M17" s="28" t="n">
        <v>37</v>
      </c>
      <c r="N17" s="28" t="n">
        <v>25</v>
      </c>
      <c r="O17" s="29">
        <f>IF(AND(L17=0,M17=0,N17=0),0,IF(AND(L17=0,M17=0),N17/1,IF(AND(L17=0,N17=0),M17/1,IF(AND(M17=0,N17=0),L17/1,IF(L17=0,FLOOR((M17+N17)/2,0.1),IF(M17=0,(L17+N17)/2,IF(N17=0,(M17+L17)/2,FLOOR(((L17+M17+N17)/3),0.1))))))))</f>
        <v/>
      </c>
      <c r="P17" s="21" t="n">
        <v>11</v>
      </c>
      <c r="Q17" s="21" t="n">
        <v>22</v>
      </c>
      <c r="R17" s="27">
        <f>SUM(P17:Q17)</f>
        <v/>
      </c>
      <c r="S17" s="28" t="n">
        <v>32</v>
      </c>
      <c r="T17" s="28" t="n">
        <v>34</v>
      </c>
      <c r="U17" s="29">
        <f>IF(AND(R17=0,S17=0,T17=0),0,IF(AND(R17=0,S17=0),T17/1,IF(AND(R17=0,T17=0),S17/1,IF(AND(S17=0,T17=0),R17/1,IF(R17=0,FLOOR((S17+T17)/2,0.1),IF(S17=0,(R17+T17)/2,IF(T17=0,(S17+R17)/2,FLOOR(((R17+S17+T17)/3),0.1))))))))</f>
        <v/>
      </c>
      <c r="V17" s="21" t="n">
        <v>10</v>
      </c>
      <c r="W17" s="21" t="n">
        <v>10</v>
      </c>
      <c r="X17" s="27">
        <f>SUM(V17:W17)</f>
        <v/>
      </c>
      <c r="Y17" s="28" t="n">
        <v>13</v>
      </c>
      <c r="Z17" s="28" t="n">
        <v>16</v>
      </c>
      <c r="AA17" s="29">
        <f>IF(AND(X17=0,Y17=0,Z17=0),0,IF(AND(X17=0,Y17=0),Z17/1,IF(AND(X17=0,Z17=0),Y17/1,IF(AND(Y17=0,Z17=0),X17/1,IF(X17=0,FLOOR((Y17+Z17)/2,0.1),IF(Y17=0,(X17+Z17)/2,IF(Z17=0,(Y17+X17)/2,FLOOR(((X17+Y17+Z17)/3),0.1))))))))</f>
        <v/>
      </c>
      <c r="AB17" s="21" t="n">
        <v>16</v>
      </c>
      <c r="AC17" s="21" t="n">
        <v>25</v>
      </c>
      <c r="AD17" s="27">
        <f>SUM(AB17:AC17)</f>
        <v/>
      </c>
      <c r="AE17" s="28" t="n">
        <v>41</v>
      </c>
      <c r="AF17" s="28" t="n">
        <v>41</v>
      </c>
      <c r="AG17" s="29">
        <f>IF(AND(AD17=0,AE17=0,AF17=0),0,IF(AND(AD17=0,AE17=0),AF17/1,IF(AND(AD17=0,AF17=0),AE17/1,IF(AND(AE17=0,AF17=0),AD17/1,IF(AD17=0,FLOOR((AE17+AF17)/2,0.1),IF(AE17=0,(AD17+AF17)/2,IF(AF17=0,(AE17+AD17)/2,FLOOR(((AD17+AE17+AF17)/3),0.1))))))))</f>
        <v/>
      </c>
      <c r="AH17" s="21" t="n">
        <v>11</v>
      </c>
      <c r="AI17" s="21" t="n">
        <v>22</v>
      </c>
      <c r="AJ17" s="27">
        <f>SUM(AH17:AI17)</f>
        <v/>
      </c>
      <c r="AK17" s="28" t="n">
        <v>32</v>
      </c>
      <c r="AL17" s="28" t="n">
        <v>34</v>
      </c>
      <c r="AM17" s="29">
        <f>IF(AND(AJ17=0,AK17=0,AL17=0),0,IF(AND(AJ17=0,AK17=0),AL17/1,IF(AND(AJ17=0,AL17=0),AK17/1,IF(AND(AK17=0,AL17=0),AJ17/1,IF(AJ17=0,FLOOR((AK17+AL17)/2,0.1),IF(AK17=0,(AJ17+AL17)/2,IF(AL17=0,(AK17+AJ17)/2,FLOOR(((AJ17+AK17+AL17)/3),0.1))))))))</f>
        <v/>
      </c>
      <c r="AN17" s="21" t="n"/>
      <c r="AO17" s="21" t="n"/>
      <c r="AP17" s="27">
        <f>SUM(AN17:AO17)</f>
        <v/>
      </c>
      <c r="AQ17" s="28" t="n"/>
      <c r="AR17" s="30" t="n"/>
      <c r="AS17" s="29">
        <f>IF(AND(AP17=0,AQ17=0,AR17=0),0,IF(AND(AP17=0,AQ17=0),AR17/1,IF(AND(AP17=0,AR17=0),AQ17/1,IF(AND(AQ17=0,AR17=0),AP17/1,IF(AP17=0,FLOOR((AQ17+AR17)/2,0.1),IF(AQ17=0,(AP17+AR17)/2,IF(AR17=0,(AQ17+AP17)/2,FLOOR(((AP17+AQ17+AR17)/3),0.1))))))))</f>
        <v/>
      </c>
      <c r="AT17" s="21" t="n">
        <v>14</v>
      </c>
      <c r="AU17" s="21" t="n">
        <v>25</v>
      </c>
      <c r="AV17" s="27">
        <f>SUM(AT17:AU17)</f>
        <v/>
      </c>
      <c r="AW17" s="28" t="n">
        <v>39</v>
      </c>
      <c r="AX17" s="30" t="n">
        <v>39</v>
      </c>
      <c r="AY17" s="29">
        <f>IF(AND(AV17=0,AW17=0,AX17=0),0,IF(AND(AV17=0,AW17=0),AX17/1,IF(AND(AV17=0,AX17=0),AW17/1,IF(AND(AW17=0,AX17=0),AV17/1,IF(AV17=0,FLOOR((AW17+AX17)/2,0.1),IF(AW17=0,(AV17+AX17)/2,IF(AX17=0,(AW17+AV17)/2,FLOOR(((AV17+AW17+AX17)/3),0.1))))))))</f>
        <v/>
      </c>
      <c r="AZ17" s="21" t="n">
        <v>10</v>
      </c>
      <c r="BA17" s="21" t="n">
        <v>27</v>
      </c>
      <c r="BB17" s="27">
        <f>SUM(AZ17:BA17)</f>
        <v/>
      </c>
      <c r="BC17" s="28" t="n">
        <v>37</v>
      </c>
      <c r="BD17" s="28" t="n">
        <v>37</v>
      </c>
      <c r="BE17" s="29">
        <f>IF(AND(BB17=0,BC17=0,BD17=0),0,IF(AND(BB17=0,BC17=0),BD17/1,IF(AND(BB17=0,BD17=0),BC17/1,IF(AND(BC17=0,BD17=0),BB17/1,IF(BB17=0,FLOOR((BC17+BD17)/2,0.1),IF(BC17=0,(BB17+BD17)/2,IF(BD17=0,(BC17+BB17)/2,FLOOR(((BB17+BC17+BD17)/3),0.1))))))))</f>
        <v/>
      </c>
      <c r="BF17" s="21" t="n">
        <v>10</v>
      </c>
      <c r="BG17" s="21" t="n">
        <v>29</v>
      </c>
      <c r="BH17" s="27">
        <f>SUM(BF17:BG17)</f>
        <v/>
      </c>
      <c r="BI17" s="28" t="n">
        <v>39</v>
      </c>
      <c r="BJ17" s="28" t="n">
        <v>39</v>
      </c>
      <c r="BK17" s="29">
        <f>IF(AND(BH17=0,BI17=0,BJ17=0),0,IF(AND(BH17=0,BI17=0),BJ17/1,IF(AND(BH17=0,BJ17=0),BI17/1,IF(AND(BI17=0,BJ17=0),BH17/1,IF(BH17=0,FLOOR((BI17+BJ17)/2,0.1),IF(BI17=0,(BH17+BJ17)/2,IF(BJ17=0,(BI17+BH17)/2,FLOOR(((BH17+BI17+BJ17)/3),0.1))))))))</f>
        <v/>
      </c>
      <c r="BL17" s="21" t="n">
        <v>15</v>
      </c>
      <c r="BM17" s="21" t="n">
        <v>13</v>
      </c>
      <c r="BN17" s="27">
        <f>SUM(BL17:BM17)</f>
        <v/>
      </c>
      <c r="BO17" s="28" t="n">
        <v>13</v>
      </c>
      <c r="BP17" s="31" t="n">
        <v>16</v>
      </c>
      <c r="BQ17" s="29">
        <f>IF(AND(BN17=0,BO17=0,BP17=0),0,IF(AND(BN17=0,BO17=0),BP17/1,IF(AND(BN17=0,BP17=0),BO17/1,IF(AND(BO17=0,BP17=0),BN17/1,IF(BN17=0,FLOOR((BO17+BP17)/2,0.1),IF(BO17=0,(BN17+BP17)/2,IF(BP17=0,(BO17+BN17)/2,FLOOR(((BN17+BO17+BP17)/3),0.1))))))))</f>
        <v/>
      </c>
      <c r="BR17" s="21" t="n"/>
      <c r="BS17" s="21" t="n"/>
      <c r="BT17" s="27">
        <f>SUM(BR17:BS17)</f>
        <v/>
      </c>
      <c r="BU17" s="28" t="n"/>
      <c r="BV17" s="31" t="n"/>
      <c r="BW17" s="29">
        <f>IF(AND(BT17=0,BU17=0,BV17=0),0,IF(AND(BT17=0,BU17=0),BV17/1,IF(AND(BT17=0,BV17=0),BU17/1,IF(AND(BU17=0,BV17=0),BT17/1,IF(BT17=0,FLOOR((BU17+BV17)/2,0.1),IF(BU17=0,(BT17+BV17)/2,IF(BV17=0,(BU17+BT17)/2,FLOOR(((BT17+BU17+BV17)/3),0.1))))))))</f>
        <v/>
      </c>
      <c r="BX17" s="21" t="n">
        <v>15</v>
      </c>
      <c r="BY17" s="21" t="n">
        <v>35</v>
      </c>
      <c r="BZ17" s="27">
        <f>SUM(BX17:BY17)</f>
        <v/>
      </c>
      <c r="CA17" s="28" t="n">
        <v>22</v>
      </c>
      <c r="CB17" s="31" t="n">
        <v>13</v>
      </c>
      <c r="CC17" s="29">
        <f>IF(AND(BZ17=0,CA17=0,CB17=0),0,IF(AND(BZ17=0,CA17=0),CB17/1,IF(AND(BZ17=0,CB17=0),CA17/1,IF(AND(CA17=0,CB17=0),BZ17/1,IF(BZ17=0,FLOOR((CA17+CB17)/2,0.1),IF(CA17=0,(BZ17+CB17)/2,IF(CB17=0,(CA17+BZ17)/2,FLOOR(((BZ17+CA17+CB17)/3),0.1))))))))</f>
        <v/>
      </c>
      <c r="CD17" s="21" t="n">
        <v>11</v>
      </c>
      <c r="CE17" s="21" t="n">
        <v>12</v>
      </c>
      <c r="CF17" s="27">
        <f>SUM(CD17:CE17)</f>
        <v/>
      </c>
      <c r="CG17" s="28" t="n">
        <v>14</v>
      </c>
      <c r="CH17" s="31" t="n">
        <v>13</v>
      </c>
      <c r="CI17" s="29">
        <f>IF(AND(CF17=0,CG17=0,CH17=0),0,IF(AND(CF17=0,CG17=0),CH17/1,IF(AND(CF17=0,CH17=0),CG17/1,IF(AND(CG17=0,CH17=0),CF17/1,IF(CF17=0,FLOOR((CG17+CH17)/2,0.1),IF(CG17=0,(CF17+CH17)/2,IF(CH17=0,(CG17+CF17)/2,FLOOR(((CF17+CG17+CH17)/3),0.1))))))))</f>
        <v/>
      </c>
      <c r="CJ17" s="21" t="n"/>
      <c r="CK17" s="21" t="n"/>
      <c r="CL17" s="27">
        <f>SUM(CJ17:CK17)</f>
        <v/>
      </c>
      <c r="CM17" s="28" t="n"/>
      <c r="CN17" s="31" t="n"/>
      <c r="CO17" s="29">
        <f>IF(AND(CL17=0,CM17=0,CN17=0),0,IF(AND(CL17=0,CM17=0),CN17/1,IF(AND(CL17=0,CN17=0),CM17/1,IF(AND(CM17=0,CN17=0),CL17/1,IF(CL17=0,FLOOR((CM17+CN17)/2,0.1),IF(CM17=0,(CL17+CN17)/2,IF(CN17=0,(CM17+CL17)/2,FLOOR(((CL17+CM17+CN17)/3),0.1))))))))</f>
        <v/>
      </c>
      <c r="CP17" s="21" t="n">
        <v>10</v>
      </c>
      <c r="CQ17" s="21" t="n">
        <v>29</v>
      </c>
      <c r="CR17" s="27">
        <f>SUM(CP17:CQ17)</f>
        <v/>
      </c>
      <c r="CS17" s="28" t="n">
        <v>24</v>
      </c>
      <c r="CT17" s="31" t="n">
        <v>23</v>
      </c>
      <c r="CU17" s="29">
        <f>IF(AND(CR17=0,CS17=0,CT17=0),0,IF(AND(CR17=0,CS17=0),CT17/1,IF(AND(CR17=0,CT17=0),CS17/1,IF(AND(CS17=0,CT17=0),CR17/1,IF(CR17=0,FLOOR((CS17+CT17)/2,0.1),IF(CS17=0,(CR17+CT17)/2,IF(CT17=0,(CS17+CR17)/2,FLOOR(((CR17+CS17+CT17)/3),0.1))))))))</f>
        <v/>
      </c>
      <c r="CV17" s="21" t="n"/>
      <c r="CW17" s="21" t="n"/>
      <c r="CX17" s="27">
        <f>SUM(CV17:CW17)</f>
        <v/>
      </c>
      <c r="CY17" s="28" t="n"/>
      <c r="CZ17" s="31" t="n"/>
      <c r="DA17" s="29">
        <f>IF(AND(CX17=0,CY17=0,CZ17=0),0,IF(AND(CX17=0,CY17=0),CZ17/1,IF(AND(CX17=0,CZ17=0),CY17/1,IF(AND(CY17=0,CZ17=0),CX17/1,IF(CX17=0,FLOOR((CY17+CZ17)/2,0.1),IF(CY17=0,(CX17+CZ17)/2,IF(CZ17=0,(CY17+CX17)/2,FLOOR(((CX17+CY17+CZ17)/3),0.1))))))))</f>
        <v/>
      </c>
      <c r="DB17" s="21" t="n"/>
      <c r="DC17" s="21" t="n"/>
      <c r="DD17" s="27">
        <f>SUM(DB17:DC17)</f>
        <v/>
      </c>
      <c r="DE17" s="28" t="n"/>
      <c r="DF17" s="31" t="n"/>
      <c r="DG17" s="29">
        <f>IF(AND(DD17=0,DE17=0,DF17=0),0,IF(AND(DD17=0,DE17=0),DF17/1,IF(AND(DD17=0,DF17=0),DE17/1,IF(AND(DE17=0,DF17=0),DD17/1,IF(DD17=0,FLOOR((DE17+DF17)/2,0.1),IF(DE17=0,(DD17+DF17)/2,IF(DF17=0,(DE17+DD17)/2,FLOOR(((DD17+DE17+DF17)/3),0.1))))))))</f>
        <v/>
      </c>
      <c r="DH17" s="34">
        <f>SUM(O17,U17,AA17,AG17,AM17,AS17,AY17,BE17,BK17,BQ17,BW17,CC17,CI17,CO17,CU17,DA17,DG17)</f>
        <v/>
      </c>
      <c r="DI17" s="39">
        <f>RANK(DH17,DH$4:DH$503)</f>
        <v/>
      </c>
      <c r="DJ17" s="40" t="inlineStr">
        <is>
          <t>FAIR(1)</t>
        </is>
      </c>
      <c r="DK17" s="40" t="inlineStr">
        <is>
          <t>GOOD(4)</t>
        </is>
      </c>
      <c r="DL17" s="40" t="inlineStr">
        <is>
          <t>GOOD(4)</t>
        </is>
      </c>
      <c r="DM17" s="40" t="inlineStr">
        <is>
          <t>EXCELLENT(5)</t>
        </is>
      </c>
      <c r="DN17" s="40" t="inlineStr">
        <is>
          <t>GOOD(4)</t>
        </is>
      </c>
      <c r="DO17" s="40" t="inlineStr">
        <is>
          <t>GOOD(4)</t>
        </is>
      </c>
      <c r="DP17" s="40" t="inlineStr">
        <is>
          <t>GOOD(4)</t>
        </is>
      </c>
      <c r="DQ17" s="40" t="inlineStr">
        <is>
          <t>GOOD(4)</t>
        </is>
      </c>
      <c r="DR17" s="43" t="inlineStr">
        <is>
          <t>2024/2025</t>
        </is>
      </c>
      <c r="DS17" s="45" t="inlineStr">
        <is>
          <t>THIRD</t>
        </is>
      </c>
      <c r="DT17" s="40" t="inlineStr">
        <is>
          <t>GOOD(4)</t>
        </is>
      </c>
      <c r="DU17" s="40" t="inlineStr">
        <is>
          <t>GOOD(4)</t>
        </is>
      </c>
      <c r="DV17" s="40" t="inlineStr">
        <is>
          <t>GOOD(4)</t>
        </is>
      </c>
      <c r="DW17" s="40" t="inlineStr">
        <is>
          <t>GOOD(4)</t>
        </is>
      </c>
      <c r="DX17" s="40" t="inlineStr">
        <is>
          <t>GOOD(4)</t>
        </is>
      </c>
      <c r="DY17" s="40" t="inlineStr">
        <is>
          <t>GOOD(4)</t>
        </is>
      </c>
      <c r="DZ17" s="53" t="inlineStr">
        <is>
          <t>GOOD(4)</t>
        </is>
      </c>
      <c r="EA17" s="54" t="inlineStr">
        <is>
          <t>Needs to focus more during lessons to achieve full potential.</t>
        </is>
      </c>
      <c r="EB17" s="55" t="inlineStr">
        <is>
          <t>To repeat JSS2</t>
        </is>
      </c>
      <c r="EC17" s="56" t="inlineStr">
        <is>
          <t>MR. JIMOH WASIU OLATUNDE</t>
        </is>
      </c>
      <c r="ED17" s="57" t="inlineStr">
        <is>
          <t>Next Term Begins on Monday, 15th September, 2038</t>
        </is>
      </c>
    </row>
    <row r="18" ht="30.6" customHeight="1" s="6">
      <c r="A18" s="18" t="n">
        <v>15</v>
      </c>
      <c r="B18" s="19" t="inlineStr">
        <is>
          <t>JAMIU ASIAT ATOKE</t>
        </is>
      </c>
      <c r="C18" s="20" t="inlineStr">
        <is>
          <t>1806</t>
        </is>
      </c>
      <c r="D18" s="128" t="inlineStr">
        <is>
          <t>Female</t>
        </is>
      </c>
      <c r="E18" s="21" t="inlineStr">
        <is>
          <t>JSS 2C</t>
        </is>
      </c>
      <c r="F18" s="21" t="n">
        <v>31</v>
      </c>
      <c r="G18" s="21" t="n">
        <v>122</v>
      </c>
      <c r="H18" s="21" t="n">
        <v>114</v>
      </c>
      <c r="I18" s="26">
        <f>G18-H18</f>
        <v/>
      </c>
      <c r="J18" s="21" t="n">
        <v>20</v>
      </c>
      <c r="K18" s="21" t="n">
        <v>28</v>
      </c>
      <c r="L18" s="27">
        <f>SUM(J18:K18)</f>
        <v/>
      </c>
      <c r="M18" s="28" t="n">
        <v>31</v>
      </c>
      <c r="N18" s="28" t="n">
        <v>34</v>
      </c>
      <c r="O18" s="29">
        <f>IF(AND(L18=0,M18=0,N18=0),0,IF(AND(L18=0,M18=0),N18/1,IF(AND(L18=0,N18=0),M18/1,IF(AND(M18=0,N18=0),L18/1,IF(L18=0,FLOOR((M18+N18)/2,0.1),IF(M18=0,(L18+N18)/2,IF(N18=0,(M18+L18)/2,FLOOR(((L18+M18+N18)/3),0.1))))))))</f>
        <v/>
      </c>
      <c r="P18" s="21" t="n">
        <v>10</v>
      </c>
      <c r="Q18" s="21" t="n">
        <v>20</v>
      </c>
      <c r="R18" s="27">
        <f>SUM(P18:Q18)</f>
        <v/>
      </c>
      <c r="S18" s="28" t="n">
        <v>42</v>
      </c>
      <c r="T18" s="28" t="n">
        <v>17</v>
      </c>
      <c r="U18" s="29">
        <f>IF(AND(R18=0,S18=0,T18=0),0,IF(AND(R18=0,S18=0),T18/1,IF(AND(R18=0,T18=0),S18/1,IF(AND(S18=0,T18=0),R18/1,IF(R18=0,FLOOR((S18+T18)/2,0.1),IF(S18=0,(R18+T18)/2,IF(T18=0,(S18+R18)/2,FLOOR(((R18+S18+T18)/3),0.1))))))))</f>
        <v/>
      </c>
      <c r="V18" s="21" t="n">
        <v>25</v>
      </c>
      <c r="W18" s="21" t="n">
        <v>20</v>
      </c>
      <c r="X18" s="27">
        <f>SUM(V18:W18)</f>
        <v/>
      </c>
      <c r="Y18" s="28" t="n">
        <v>52</v>
      </c>
      <c r="Z18" s="28" t="n">
        <v>48</v>
      </c>
      <c r="AA18" s="29">
        <f>IF(AND(X18=0,Y18=0,Z18=0),0,IF(AND(X18=0,Y18=0),Z18/1,IF(AND(X18=0,Z18=0),Y18/1,IF(AND(Y18=0,Z18=0),X18/1,IF(X18=0,FLOOR((Y18+Z18)/2,0.1),IF(Y18=0,(X18+Z18)/2,IF(Z18=0,(Y18+X18)/2,FLOOR(((X18+Y18+Z18)/3),0.1))))))))</f>
        <v/>
      </c>
      <c r="AB18" s="21" t="n">
        <v>15</v>
      </c>
      <c r="AC18" s="21" t="n">
        <v>36</v>
      </c>
      <c r="AD18" s="27">
        <f>SUM(AB18:AC18)</f>
        <v/>
      </c>
      <c r="AE18" s="28" t="n">
        <v>70</v>
      </c>
      <c r="AF18" s="28" t="n">
        <v>60</v>
      </c>
      <c r="AG18" s="29">
        <f>IF(AND(AD18=0,AE18=0,AF18=0),0,IF(AND(AD18=0,AE18=0),AF18/1,IF(AND(AD18=0,AF18=0),AE18/1,IF(AND(AE18=0,AF18=0),AD18/1,IF(AD18=0,FLOOR((AE18+AF18)/2,0.1),IF(AE18=0,(AD18+AF18)/2,IF(AF18=0,(AE18+AD18)/2,FLOOR(((AD18+AE18+AF18)/3),0.1))))))))</f>
        <v/>
      </c>
      <c r="AH18" s="21" t="n">
        <v>17</v>
      </c>
      <c r="AI18" s="21" t="n">
        <v>31</v>
      </c>
      <c r="AJ18" s="27">
        <f>SUM(AH18:AI18)</f>
        <v/>
      </c>
      <c r="AK18" s="28" t="n">
        <v>50</v>
      </c>
      <c r="AL18" s="28" t="n">
        <v>48</v>
      </c>
      <c r="AM18" s="29">
        <f>IF(AND(AJ18=0,AK18=0,AL18=0),0,IF(AND(AJ18=0,AK18=0),AL18/1,IF(AND(AJ18=0,AL18=0),AK18/1,IF(AND(AK18=0,AL18=0),AJ18/1,IF(AJ18=0,FLOOR((AK18+AL18)/2,0.1),IF(AK18=0,(AJ18+AL18)/2,IF(AL18=0,(AK18+AJ18)/2,FLOOR(((AJ18+AK18+AL18)/3),0.1))))))))</f>
        <v/>
      </c>
      <c r="AN18" s="21" t="n"/>
      <c r="AO18" s="21" t="n"/>
      <c r="AP18" s="27">
        <f>SUM(AN18:AO18)</f>
        <v/>
      </c>
      <c r="AQ18" s="28" t="n"/>
      <c r="AR18" s="30" t="n"/>
      <c r="AS18" s="29">
        <f>IF(AND(AP18=0,AQ18=0,AR18=0),0,IF(AND(AP18=0,AQ18=0),AR18/1,IF(AND(AP18=0,AR18=0),AQ18/1,IF(AND(AQ18=0,AR18=0),AP18/1,IF(AP18=0,FLOOR((AQ18+AR18)/2,0.1),IF(AQ18=0,(AP18+AR18)/2,IF(AR18=0,(AQ18+AP18)/2,FLOOR(((AP18+AQ18+AR18)/3),0.1))))))))</f>
        <v/>
      </c>
      <c r="AT18" s="21" t="n">
        <v>20</v>
      </c>
      <c r="AU18" s="21" t="n">
        <v>30</v>
      </c>
      <c r="AV18" s="27">
        <f>SUM(AT18:AU18)</f>
        <v/>
      </c>
      <c r="AW18" s="28" t="n">
        <v>33</v>
      </c>
      <c r="AX18" s="30" t="n">
        <v>49</v>
      </c>
      <c r="AY18" s="29">
        <f>IF(AND(AV18=0,AW18=0,AX18=0),0,IF(AND(AV18=0,AW18=0),AX18/1,IF(AND(AV18=0,AX18=0),AW18/1,IF(AND(AW18=0,AX18=0),AV18/1,IF(AV18=0,FLOOR((AW18+AX18)/2,0.1),IF(AW18=0,(AV18+AX18)/2,IF(AX18=0,(AW18+AV18)/2,FLOOR(((AV18+AW18+AX18)/3),0.1))))))))</f>
        <v/>
      </c>
      <c r="AZ18" s="21" t="n">
        <v>25</v>
      </c>
      <c r="BA18" s="21" t="n">
        <v>30</v>
      </c>
      <c r="BB18" s="27">
        <f>SUM(AZ18:BA18)</f>
        <v/>
      </c>
      <c r="BC18" s="28" t="n">
        <v>55</v>
      </c>
      <c r="BD18" s="28" t="n">
        <v>55</v>
      </c>
      <c r="BE18" s="29">
        <f>IF(AND(BB18=0,BC18=0,BD18=0),0,IF(AND(BB18=0,BC18=0),BD18/1,IF(AND(BB18=0,BD18=0),BC18/1,IF(AND(BC18=0,BD18=0),BB18/1,IF(BB18=0,FLOOR((BC18+BD18)/2,0.1),IF(BC18=0,(BB18+BD18)/2,IF(BD18=0,(BC18+BB18)/2,FLOOR(((BB18+BC18+BD18)/3),0.1))))))))</f>
        <v/>
      </c>
      <c r="BF18" s="21" t="n">
        <v>14</v>
      </c>
      <c r="BG18" s="21" t="n">
        <v>34</v>
      </c>
      <c r="BH18" s="27">
        <f>SUM(BF18:BG18)</f>
        <v/>
      </c>
      <c r="BI18" s="28" t="n">
        <v>48</v>
      </c>
      <c r="BJ18" s="28" t="n">
        <v>24</v>
      </c>
      <c r="BK18" s="29">
        <f>IF(AND(BH18=0,BI18=0,BJ18=0),0,IF(AND(BH18=0,BI18=0),BJ18/1,IF(AND(BH18=0,BJ18=0),BI18/1,IF(AND(BI18=0,BJ18=0),BH18/1,IF(BH18=0,FLOOR((BI18+BJ18)/2,0.1),IF(BI18=0,(BH18+BJ18)/2,IF(BJ18=0,(BI18+BH18)/2,FLOOR(((BH18+BI18+BJ18)/3),0.1))))))))</f>
        <v/>
      </c>
      <c r="BL18" s="21" t="n">
        <v>20</v>
      </c>
      <c r="BM18" s="21" t="n">
        <v>30</v>
      </c>
      <c r="BN18" s="27">
        <f>SUM(BL18:BM18)</f>
        <v/>
      </c>
      <c r="BO18" s="28" t="n">
        <v>55</v>
      </c>
      <c r="BP18" s="31" t="n">
        <v>46</v>
      </c>
      <c r="BQ18" s="29">
        <f>IF(AND(BN18=0,BO18=0,BP18=0),0,IF(AND(BN18=0,BO18=0),BP18/1,IF(AND(BN18=0,BP18=0),BO18/1,IF(AND(BO18=0,BP18=0),BN18/1,IF(BN18=0,FLOOR((BO18+BP18)/2,0.1),IF(BO18=0,(BN18+BP18)/2,IF(BP18=0,(BO18+BN18)/2,FLOOR(((BN18+BO18+BP18)/3),0.1))))))))</f>
        <v/>
      </c>
      <c r="BR18" s="21" t="n"/>
      <c r="BS18" s="21" t="n"/>
      <c r="BT18" s="27">
        <f>SUM(BR18:BS18)</f>
        <v/>
      </c>
      <c r="BU18" s="28" t="n"/>
      <c r="BV18" s="31" t="n"/>
      <c r="BW18" s="29">
        <f>IF(AND(BT18=0,BU18=0,BV18=0),0,IF(AND(BT18=0,BU18=0),BV18/1,IF(AND(BT18=0,BV18=0),BU18/1,IF(AND(BU18=0,BV18=0),BT18/1,IF(BT18=0,FLOOR((BU18+BV18)/2,0.1),IF(BU18=0,(BT18+BV18)/2,IF(BV18=0,(BU18+BT18)/2,FLOOR(((BT18+BU18+BV18)/3),0.1))))))))</f>
        <v/>
      </c>
      <c r="BX18" s="21" t="n">
        <v>22</v>
      </c>
      <c r="BY18" s="21" t="n">
        <v>58</v>
      </c>
      <c r="BZ18" s="27">
        <f>SUM(BX18:BY18)</f>
        <v/>
      </c>
      <c r="CA18" s="28" t="n">
        <v>75</v>
      </c>
      <c r="CB18" s="31" t="n">
        <v>63</v>
      </c>
      <c r="CC18" s="29">
        <f>IF(AND(BZ18=0,CA18=0,CB18=0),0,IF(AND(BZ18=0,CA18=0),CB18/1,IF(AND(BZ18=0,CB18=0),CA18/1,IF(AND(CA18=0,CB18=0),BZ18/1,IF(BZ18=0,FLOOR((CA18+CB18)/2,0.1),IF(CA18=0,(BZ18+CB18)/2,IF(CB18=0,(CA18+BZ18)/2,FLOOR(((BZ18+CA18+CB18)/3),0.1))))))))</f>
        <v/>
      </c>
      <c r="CD18" s="21" t="n">
        <v>15</v>
      </c>
      <c r="CE18" s="21" t="n">
        <v>50</v>
      </c>
      <c r="CF18" s="27">
        <f>SUM(CD18:CE18)</f>
        <v/>
      </c>
      <c r="CG18" s="28" t="n">
        <v>21</v>
      </c>
      <c r="CH18" s="31" t="n">
        <v>22</v>
      </c>
      <c r="CI18" s="29">
        <f>IF(AND(CF18=0,CG18=0,CH18=0),0,IF(AND(CF18=0,CG18=0),CH18/1,IF(AND(CF18=0,CH18=0),CG18/1,IF(AND(CG18=0,CH18=0),CF18/1,IF(CF18=0,FLOOR((CG18+CH18)/2,0.1),IF(CG18=0,(CF18+CH18)/2,IF(CH18=0,(CG18+CF18)/2,FLOOR(((CF18+CG18+CH18)/3),0.1))))))))</f>
        <v/>
      </c>
      <c r="CJ18" s="21" t="n"/>
      <c r="CK18" s="21" t="n"/>
      <c r="CL18" s="27">
        <f>SUM(CJ18:CK18)</f>
        <v/>
      </c>
      <c r="CM18" s="28" t="n"/>
      <c r="CN18" s="31" t="n"/>
      <c r="CO18" s="29">
        <f>IF(AND(CL18=0,CM18=0,CN18=0),0,IF(AND(CL18=0,CM18=0),CN18/1,IF(AND(CL18=0,CN18=0),CM18/1,IF(AND(CM18=0,CN18=0),CL18/1,IF(CL18=0,FLOOR((CM18+CN18)/2,0.1),IF(CM18=0,(CL18+CN18)/2,IF(CN18=0,(CM18+CL18)/2,FLOOR(((CL18+CM18+CN18)/3),0.1))))))))</f>
        <v/>
      </c>
      <c r="CP18" s="21" t="n">
        <v>13</v>
      </c>
      <c r="CQ18" s="21" t="n">
        <v>31</v>
      </c>
      <c r="CR18" s="27">
        <f>SUM(CP18:CQ18)</f>
        <v/>
      </c>
      <c r="CS18" s="28" t="n">
        <v>35</v>
      </c>
      <c r="CT18" s="31" t="n">
        <v>25</v>
      </c>
      <c r="CU18" s="29">
        <f>IF(AND(CR18=0,CS18=0,CT18=0),0,IF(AND(CR18=0,CS18=0),CT18/1,IF(AND(CR18=0,CT18=0),CS18/1,IF(AND(CS18=0,CT18=0),CR18/1,IF(CR18=0,FLOOR((CS18+CT18)/2,0.1),IF(CS18=0,(CR18+CT18)/2,IF(CT18=0,(CS18+CR18)/2,FLOOR(((CR18+CS18+CT18)/3),0.1))))))))</f>
        <v/>
      </c>
      <c r="CV18" s="21" t="n"/>
      <c r="CW18" s="21" t="n"/>
      <c r="CX18" s="27">
        <f>SUM(CV18:CW18)</f>
        <v/>
      </c>
      <c r="CY18" s="28" t="n"/>
      <c r="CZ18" s="31" t="n"/>
      <c r="DA18" s="29">
        <f>IF(AND(CX18=0,CY18=0,CZ18=0),0,IF(AND(CX18=0,CY18=0),CZ18/1,IF(AND(CX18=0,CZ18=0),CY18/1,IF(AND(CY18=0,CZ18=0),CX18/1,IF(CX18=0,FLOOR((CY18+CZ18)/2,0.1),IF(CY18=0,(CX18+CZ18)/2,IF(CZ18=0,(CY18+CX18)/2,FLOOR(((CX18+CY18+CZ18)/3),0.1))))))))</f>
        <v/>
      </c>
      <c r="DB18" s="21" t="n"/>
      <c r="DC18" s="21" t="n"/>
      <c r="DD18" s="27">
        <f>SUM(DB18:DC18)</f>
        <v/>
      </c>
      <c r="DE18" s="28" t="n"/>
      <c r="DF18" s="31" t="n"/>
      <c r="DG18" s="29">
        <f>IF(AND(DD18=0,DE18=0,DF18=0),0,IF(AND(DD18=0,DE18=0),DF18/1,IF(AND(DD18=0,DF18=0),DE18/1,IF(AND(DE18=0,DF18=0),DD18/1,IF(DD18=0,FLOOR((DE18+DF18)/2,0.1),IF(DE18=0,(DD18+DF18)/2,IF(DF18=0,(DE18+DD18)/2,FLOOR(((DD18+DE18+DF18)/3),0.1))))))))</f>
        <v/>
      </c>
      <c r="DH18" s="34">
        <f>SUM(O18,U18,AA18,AG18,AM18,AS18,AY18,BE18,BK18,BQ18,BW18,CC18,CI18,CO18,CU18,DA18,DG18)</f>
        <v/>
      </c>
      <c r="DI18" s="39">
        <f>RANK(DH18,DH$4:DH$503)</f>
        <v/>
      </c>
      <c r="DJ18" s="40" t="inlineStr">
        <is>
          <t>GOOD(4)</t>
        </is>
      </c>
      <c r="DK18" s="40" t="inlineStr">
        <is>
          <t>GOOD(4)</t>
        </is>
      </c>
      <c r="DL18" s="40" t="inlineStr">
        <is>
          <t>GOOD(4)</t>
        </is>
      </c>
      <c r="DM18" s="40" t="inlineStr">
        <is>
          <t>EXCELLENT(5)</t>
        </is>
      </c>
      <c r="DN18" s="40" t="inlineStr">
        <is>
          <t>GOOD(4)</t>
        </is>
      </c>
      <c r="DO18" s="40" t="inlineStr">
        <is>
          <t>GOOD(4)</t>
        </is>
      </c>
      <c r="DP18" s="40" t="inlineStr">
        <is>
          <t>GOOD(4)</t>
        </is>
      </c>
      <c r="DQ18" s="40" t="inlineStr">
        <is>
          <t>GOOD(4)</t>
        </is>
      </c>
      <c r="DR18" s="43" t="inlineStr">
        <is>
          <t>2024/2025</t>
        </is>
      </c>
      <c r="DS18" s="45" t="inlineStr">
        <is>
          <t>THIRD</t>
        </is>
      </c>
      <c r="DT18" s="40" t="inlineStr">
        <is>
          <t>GOOD(4)</t>
        </is>
      </c>
      <c r="DU18" s="40" t="inlineStr">
        <is>
          <t>GOOD(4)</t>
        </is>
      </c>
      <c r="DV18" s="40" t="inlineStr">
        <is>
          <t>GOOD(4)</t>
        </is>
      </c>
      <c r="DW18" s="40" t="inlineStr">
        <is>
          <t>GOOD(4)</t>
        </is>
      </c>
      <c r="DX18" s="40" t="inlineStr">
        <is>
          <t>GOOD(4)</t>
        </is>
      </c>
      <c r="DY18" s="40" t="inlineStr">
        <is>
          <t>GOOD(4)</t>
        </is>
      </c>
      <c r="DZ18" s="53" t="inlineStr">
        <is>
          <t>GOOD(4)</t>
        </is>
      </c>
      <c r="EA18" s="54" t="inlineStr">
        <is>
          <t>Shows consistent effort and improvement in academic work.</t>
        </is>
      </c>
      <c r="EB18" s="55" t="inlineStr">
        <is>
          <t>Promoted to JSS3</t>
        </is>
      </c>
      <c r="EC18" s="56" t="inlineStr">
        <is>
          <t>MR. JIMOH WASIU OLATUNDE</t>
        </is>
      </c>
      <c r="ED18" s="57" t="inlineStr">
        <is>
          <t>Next Term Begins on Monday, 15th September, 2039</t>
        </is>
      </c>
    </row>
    <row r="19" ht="30.6" customHeight="1" s="6">
      <c r="A19" s="18" t="n">
        <v>16</v>
      </c>
      <c r="B19" s="19" t="inlineStr">
        <is>
          <t xml:space="preserve">JOB AYOMIDE </t>
        </is>
      </c>
      <c r="C19" s="20" t="inlineStr">
        <is>
          <t>1733</t>
        </is>
      </c>
      <c r="D19" s="128" t="inlineStr">
        <is>
          <t>Male</t>
        </is>
      </c>
      <c r="E19" s="21" t="inlineStr">
        <is>
          <t>JSS 2C</t>
        </is>
      </c>
      <c r="F19" s="21" t="n">
        <v>31</v>
      </c>
      <c r="G19" s="21" t="n">
        <v>122</v>
      </c>
      <c r="H19" s="22" t="n">
        <v>106</v>
      </c>
      <c r="I19" s="26">
        <f>G19-H19</f>
        <v/>
      </c>
      <c r="J19" s="21" t="n">
        <v>30</v>
      </c>
      <c r="K19" s="21" t="n">
        <v>44</v>
      </c>
      <c r="L19" s="27">
        <f>SUM(J19:K19)</f>
        <v/>
      </c>
      <c r="M19" s="28" t="n">
        <v>29</v>
      </c>
      <c r="N19" s="28" t="n">
        <v>31</v>
      </c>
      <c r="O19" s="29">
        <f>IF(AND(L19=0,M19=0,N19=0),0,IF(AND(L19=0,M19=0),N19/1,IF(AND(L19=0,N19=0),M19/1,IF(AND(M19=0,N19=0),L19/1,IF(L19=0,FLOOR((M19+N19)/2,0.1),IF(M19=0,(L19+N19)/2,IF(N19=0,(M19+L19)/2,FLOOR(((L19+M19+N19)/3),0.1))))))))</f>
        <v/>
      </c>
      <c r="P19" s="21" t="n">
        <v>17</v>
      </c>
      <c r="Q19" s="21" t="n">
        <v>34</v>
      </c>
      <c r="R19" s="27">
        <f>SUM(P19:Q19)</f>
        <v/>
      </c>
      <c r="S19" s="28" t="n">
        <v>67</v>
      </c>
      <c r="T19" s="28" t="n">
        <v>34</v>
      </c>
      <c r="U19" s="29">
        <f>IF(AND(R19=0,S19=0,T19=0),0,IF(AND(R19=0,S19=0),T19/1,IF(AND(R19=0,T19=0),S19/1,IF(AND(S19=0,T19=0),R19/1,IF(R19=0,FLOOR((S19+T19)/2,0.1),IF(S19=0,(R19+T19)/2,IF(T19=0,(S19+R19)/2,FLOOR(((R19+S19+T19)/3),0.1))))))))</f>
        <v/>
      </c>
      <c r="V19" s="21" t="n">
        <v>25</v>
      </c>
      <c r="W19" s="21" t="n">
        <v>29</v>
      </c>
      <c r="X19" s="27">
        <f>SUM(V19:W19)</f>
        <v/>
      </c>
      <c r="Y19" s="28" t="n">
        <v>58</v>
      </c>
      <c r="Z19" s="28" t="n">
        <v>56</v>
      </c>
      <c r="AA19" s="29">
        <f>IF(AND(X19=0,Y19=0,Z19=0),0,IF(AND(X19=0,Y19=0),Z19/1,IF(AND(X19=0,Z19=0),Y19/1,IF(AND(Y19=0,Z19=0),X19/1,IF(X19=0,FLOOR((Y19+Z19)/2,0.1),IF(Y19=0,(X19+Z19)/2,IF(Z19=0,(Y19+X19)/2,FLOOR(((X19+Y19+Z19)/3),0.1))))))))</f>
        <v/>
      </c>
      <c r="AB19" s="21" t="n">
        <v>17</v>
      </c>
      <c r="AC19" s="21" t="n">
        <v>38</v>
      </c>
      <c r="AD19" s="27">
        <f>SUM(AB19:AC19)</f>
        <v/>
      </c>
      <c r="AE19" s="28" t="n">
        <v>57</v>
      </c>
      <c r="AF19" s="28" t="n">
        <v>56</v>
      </c>
      <c r="AG19" s="29">
        <f>IF(AND(AD19=0,AE19=0,AF19=0),0,IF(AND(AD19=0,AE19=0),AF19/1,IF(AND(AD19=0,AF19=0),AE19/1,IF(AND(AE19=0,AF19=0),AD19/1,IF(AD19=0,FLOOR((AE19+AF19)/2,0.1),IF(AE19=0,(AD19+AF19)/2,IF(AF19=0,(AE19+AD19)/2,FLOOR(((AD19+AE19+AF19)/3),0.1))))))))</f>
        <v/>
      </c>
      <c r="AH19" s="21" t="n">
        <v>16</v>
      </c>
      <c r="AI19" s="21" t="n">
        <v>31</v>
      </c>
      <c r="AJ19" s="27">
        <f>SUM(AH19:AI19)</f>
        <v/>
      </c>
      <c r="AK19" s="28" t="n">
        <v>59</v>
      </c>
      <c r="AL19" s="28" t="n">
        <v>42</v>
      </c>
      <c r="AM19" s="29">
        <f>IF(AND(AJ19=0,AK19=0,AL19=0),0,IF(AND(AJ19=0,AK19=0),AL19/1,IF(AND(AJ19=0,AL19=0),AK19/1,IF(AND(AK19=0,AL19=0),AJ19/1,IF(AJ19=0,FLOOR((AK19+AL19)/2,0.1),IF(AK19=0,(AJ19+AL19)/2,IF(AL19=0,(AK19+AJ19)/2,FLOOR(((AJ19+AK19+AL19)/3),0.1))))))))</f>
        <v/>
      </c>
      <c r="AN19" s="21" t="n"/>
      <c r="AO19" s="21" t="n"/>
      <c r="AP19" s="27">
        <f>SUM(AN19:AO19)</f>
        <v/>
      </c>
      <c r="AQ19" s="28" t="n"/>
      <c r="AR19" s="30" t="n"/>
      <c r="AS19" s="29">
        <f>IF(AND(AP19=0,AQ19=0,AR19=0),0,IF(AND(AP19=0,AQ19=0),AR19/1,IF(AND(AP19=0,AR19=0),AQ19/1,IF(AND(AQ19=0,AR19=0),AP19/1,IF(AP19=0,FLOOR((AQ19+AR19)/2,0.1),IF(AQ19=0,(AP19+AR19)/2,IF(AR19=0,(AQ19+AP19)/2,FLOOR(((AP19+AQ19+AR19)/3),0.1))))))))</f>
        <v/>
      </c>
      <c r="AT19" s="21" t="n">
        <v>22</v>
      </c>
      <c r="AU19" s="21" t="n">
        <v>32</v>
      </c>
      <c r="AV19" s="27">
        <f>SUM(AT19:AU19)</f>
        <v/>
      </c>
      <c r="AW19" s="28" t="n">
        <v>33</v>
      </c>
      <c r="AX19" s="30" t="n">
        <v>42</v>
      </c>
      <c r="AY19" s="29">
        <f>IF(AND(AV19=0,AW19=0,AX19=0),0,IF(AND(AV19=0,AW19=0),AX19/1,IF(AND(AV19=0,AX19=0),AW19/1,IF(AND(AW19=0,AX19=0),AV19/1,IF(AV19=0,FLOOR((AW19+AX19)/2,0.1),IF(AW19=0,(AV19+AX19)/2,IF(AX19=0,(AW19+AV19)/2,FLOOR(((AV19+AW19+AX19)/3),0.1))))))))</f>
        <v/>
      </c>
      <c r="AZ19" s="21" t="n">
        <v>24</v>
      </c>
      <c r="BA19" s="21" t="n">
        <v>45</v>
      </c>
      <c r="BB19" s="27">
        <f>SUM(AZ19:BA19)</f>
        <v/>
      </c>
      <c r="BC19" s="28" t="n">
        <v>50</v>
      </c>
      <c r="BD19" s="28" t="n">
        <v>60</v>
      </c>
      <c r="BE19" s="29">
        <f>IF(AND(BB19=0,BC19=0,BD19=0),0,IF(AND(BB19=0,BC19=0),BD19/1,IF(AND(BB19=0,BD19=0),BC19/1,IF(AND(BC19=0,BD19=0),BB19/1,IF(BB19=0,FLOOR((BC19+BD19)/2,0.1),IF(BC19=0,(BB19+BD19)/2,IF(BD19=0,(BC19+BB19)/2,FLOOR(((BB19+BC19+BD19)/3),0.1))))))))</f>
        <v/>
      </c>
      <c r="BF19" s="21" t="n">
        <v>14</v>
      </c>
      <c r="BG19" s="21" t="n">
        <v>35</v>
      </c>
      <c r="BH19" s="27">
        <f>SUM(BF19:BG19)</f>
        <v/>
      </c>
      <c r="BI19" s="28" t="n">
        <v>46</v>
      </c>
      <c r="BJ19" s="28" t="n">
        <v>28</v>
      </c>
      <c r="BK19" s="29">
        <f>IF(AND(BH19=0,BI19=0,BJ19=0),0,IF(AND(BH19=0,BI19=0),BJ19/1,IF(AND(BH19=0,BJ19=0),BI19/1,IF(AND(BI19=0,BJ19=0),BH19/1,IF(BH19=0,FLOOR((BI19+BJ19)/2,0.1),IF(BI19=0,(BH19+BJ19)/2,IF(BJ19=0,(BI19+BH19)/2,FLOOR(((BH19+BI19+BJ19)/3),0.1))))))))</f>
        <v/>
      </c>
      <c r="BL19" s="21" t="n">
        <v>25</v>
      </c>
      <c r="BM19" s="21" t="n">
        <v>30</v>
      </c>
      <c r="BN19" s="27">
        <f>SUM(BL19:BM19)</f>
        <v/>
      </c>
      <c r="BO19" s="28" t="n">
        <v>37</v>
      </c>
      <c r="BP19" s="31" t="n">
        <v>40</v>
      </c>
      <c r="BQ19" s="29">
        <f>IF(AND(BN19=0,BO19=0,BP19=0),0,IF(AND(BN19=0,BO19=0),BP19/1,IF(AND(BN19=0,BP19=0),BO19/1,IF(AND(BO19=0,BP19=0),BN19/1,IF(BN19=0,FLOOR((BO19+BP19)/2,0.1),IF(BO19=0,(BN19+BP19)/2,IF(BP19=0,(BO19+BN19)/2,FLOOR(((BN19+BO19+BP19)/3),0.1))))))))</f>
        <v/>
      </c>
      <c r="BR19" s="21" t="n"/>
      <c r="BS19" s="21" t="n"/>
      <c r="BT19" s="27">
        <f>SUM(BR19:BS19)</f>
        <v/>
      </c>
      <c r="BU19" s="28" t="n"/>
      <c r="BV19" s="31" t="n"/>
      <c r="BW19" s="29">
        <f>IF(AND(BT19=0,BU19=0,BV19=0),0,IF(AND(BT19=0,BU19=0),BV19/1,IF(AND(BT19=0,BV19=0),BU19/1,IF(AND(BU19=0,BV19=0),BT19/1,IF(BT19=0,FLOOR((BU19+BV19)/2,0.1),IF(BU19=0,(BT19+BV19)/2,IF(BV19=0,(BU19+BT19)/2,FLOOR(((BT19+BU19+BV19)/3),0.1))))))))</f>
        <v/>
      </c>
      <c r="BX19" s="21" t="n">
        <v>20</v>
      </c>
      <c r="BY19" s="21" t="n">
        <v>64</v>
      </c>
      <c r="BZ19" s="27">
        <f>SUM(BX19:BY19)</f>
        <v/>
      </c>
      <c r="CA19" s="28" t="n">
        <v>67</v>
      </c>
      <c r="CB19" s="31" t="n">
        <v>62</v>
      </c>
      <c r="CC19" s="29">
        <f>IF(AND(BZ19=0,CA19=0,CB19=0),0,IF(AND(BZ19=0,CA19=0),CB19/1,IF(AND(BZ19=0,CB19=0),CA19/1,IF(AND(CA19=0,CB19=0),BZ19/1,IF(BZ19=0,FLOOR((CA19+CB19)/2,0.1),IF(CA19=0,(BZ19+CB19)/2,IF(CB19=0,(CA19+BZ19)/2,FLOOR(((BZ19+CA19+CB19)/3),0.1))))))))</f>
        <v/>
      </c>
      <c r="CD19" s="21" t="n">
        <v>14</v>
      </c>
      <c r="CE19" s="21" t="n">
        <v>45</v>
      </c>
      <c r="CF19" s="27">
        <f>SUM(CD19:CE19)</f>
        <v/>
      </c>
      <c r="CG19" s="28" t="n">
        <v>35</v>
      </c>
      <c r="CH19" s="31" t="n">
        <v>22</v>
      </c>
      <c r="CI19" s="29">
        <f>IF(AND(CF19=0,CG19=0,CH19=0),0,IF(AND(CF19=0,CG19=0),CH19/1,IF(AND(CF19=0,CH19=0),CG19/1,IF(AND(CG19=0,CH19=0),CF19/1,IF(CF19=0,FLOOR((CG19+CH19)/2,0.1),IF(CG19=0,(CF19+CH19)/2,IF(CH19=0,(CG19+CF19)/2,FLOOR(((CF19+CG19+CH19)/3),0.1))))))))</f>
        <v/>
      </c>
      <c r="CJ19" s="21" t="n"/>
      <c r="CK19" s="21" t="n"/>
      <c r="CL19" s="27">
        <f>SUM(CJ19:CK19)</f>
        <v/>
      </c>
      <c r="CM19" s="28" t="n"/>
      <c r="CN19" s="31" t="n"/>
      <c r="CO19" s="29">
        <f>IF(AND(CL19=0,CM19=0,CN19=0),0,IF(AND(CL19=0,CM19=0),CN19/1,IF(AND(CL19=0,CN19=0),CM19/1,IF(AND(CM19=0,CN19=0),CL19/1,IF(CL19=0,FLOOR((CM19+CN19)/2,0.1),IF(CM19=0,(CL19+CN19)/2,IF(CN19=0,(CM19+CL19)/2,FLOOR(((CL19+CM19+CN19)/3),0.1))))))))</f>
        <v/>
      </c>
      <c r="CP19" s="21" t="n"/>
      <c r="CQ19" s="21" t="n"/>
      <c r="CR19" s="27">
        <f>SUM(CP19:CQ19)</f>
        <v/>
      </c>
      <c r="CS19" s="28" t="n"/>
      <c r="CT19" s="31" t="n"/>
      <c r="CU19" s="29">
        <f>IF(AND(CR19=0,CS19=0,CT19=0),0,IF(AND(CR19=0,CS19=0),CT19/1,IF(AND(CR19=0,CT19=0),CS19/1,IF(AND(CS19=0,CT19=0),CR19/1,IF(CR19=0,FLOOR((CS19+CT19)/2,0.1),IF(CS19=0,(CR19+CT19)/2,IF(CT19=0,(CS19+CR19)/2,FLOOR(((CR19+CS19+CT19)/3),0.1))))))))</f>
        <v/>
      </c>
      <c r="CV19" s="21" t="n">
        <v>30</v>
      </c>
      <c r="CW19" s="21" t="n">
        <v>30</v>
      </c>
      <c r="CX19" s="27">
        <f>SUM(CV19:CW19)</f>
        <v/>
      </c>
      <c r="CY19" s="28" t="n">
        <v>43</v>
      </c>
      <c r="CZ19" s="31" t="n">
        <v>20</v>
      </c>
      <c r="DA19" s="29">
        <f>IF(AND(CX19=0,CY19=0,CZ19=0),0,IF(AND(CX19=0,CY19=0),CZ19/1,IF(AND(CX19=0,CZ19=0),CY19/1,IF(AND(CY19=0,CZ19=0),CX19/1,IF(CX19=0,FLOOR((CY19+CZ19)/2,0.1),IF(CY19=0,(CX19+CZ19)/2,IF(CZ19=0,(CY19+CX19)/2,FLOOR(((CX19+CY19+CZ19)/3),0.1))))))))</f>
        <v/>
      </c>
      <c r="DB19" s="21" t="n"/>
      <c r="DC19" s="21" t="n"/>
      <c r="DD19" s="27">
        <f>SUM(DB19:DC19)</f>
        <v/>
      </c>
      <c r="DE19" s="28" t="n"/>
      <c r="DF19" s="31" t="n"/>
      <c r="DG19" s="29">
        <f>IF(AND(DD19=0,DE19=0,DF19=0),0,IF(AND(DD19=0,DE19=0),DF19/1,IF(AND(DD19=0,DF19=0),DE19/1,IF(AND(DE19=0,DF19=0),DD19/1,IF(DD19=0,FLOOR((DE19+DF19)/2,0.1),IF(DE19=0,(DD19+DF19)/2,IF(DF19=0,(DE19+DD19)/2,FLOOR(((DD19+DE19+DF19)/3),0.1))))))))</f>
        <v/>
      </c>
      <c r="DH19" s="34">
        <f>SUM(O19,U19,AA19,AG19,AM19,AS19,AY19,BE19,BK19,BQ19,BW19,CC19,CI19,CO19,CU19,DA19,DG19)</f>
        <v/>
      </c>
      <c r="DI19" s="39">
        <f>RANK(DH19,DH$4:DH$503)</f>
        <v/>
      </c>
      <c r="DJ19" s="40" t="inlineStr">
        <is>
          <t>EXCELLENT(5)</t>
        </is>
      </c>
      <c r="DK19" s="40" t="inlineStr">
        <is>
          <t>GOOD(4)</t>
        </is>
      </c>
      <c r="DL19" s="40" t="inlineStr">
        <is>
          <t>GOOD(4)</t>
        </is>
      </c>
      <c r="DM19" s="40" t="inlineStr">
        <is>
          <t>EXCELLENT(5)</t>
        </is>
      </c>
      <c r="DN19" s="40" t="inlineStr">
        <is>
          <t>GOOD(4)</t>
        </is>
      </c>
      <c r="DO19" s="40" t="inlineStr">
        <is>
          <t>GOOD(4)</t>
        </is>
      </c>
      <c r="DP19" s="40" t="inlineStr">
        <is>
          <t>GOOD(4)</t>
        </is>
      </c>
      <c r="DQ19" s="40" t="inlineStr">
        <is>
          <t>GOOD(4)</t>
        </is>
      </c>
      <c r="DR19" s="43" t="inlineStr">
        <is>
          <t>2024/2025</t>
        </is>
      </c>
      <c r="DS19" s="45" t="inlineStr">
        <is>
          <t>THIRD</t>
        </is>
      </c>
      <c r="DT19" s="40" t="inlineStr">
        <is>
          <t>GOOD(4)</t>
        </is>
      </c>
      <c r="DU19" s="40" t="inlineStr">
        <is>
          <t>GOOD(4)</t>
        </is>
      </c>
      <c r="DV19" s="40" t="inlineStr">
        <is>
          <t>GOOD(4)</t>
        </is>
      </c>
      <c r="DW19" s="40" t="inlineStr">
        <is>
          <t>GOOD(4)</t>
        </is>
      </c>
      <c r="DX19" s="40" t="inlineStr">
        <is>
          <t>GOOD(4)</t>
        </is>
      </c>
      <c r="DY19" s="40" t="inlineStr">
        <is>
          <t>GOOD(4)</t>
        </is>
      </c>
      <c r="DZ19" s="53" t="inlineStr">
        <is>
          <t>GOOD(4)</t>
        </is>
      </c>
      <c r="EA19" s="54" t="inlineStr">
        <is>
          <t>Excels in most subjects and demonstrates a strong grasp of concepts.</t>
        </is>
      </c>
      <c r="EB19" s="55" t="inlineStr">
        <is>
          <t>Promoted to JSS3</t>
        </is>
      </c>
      <c r="EC19" s="56" t="inlineStr">
        <is>
          <t>MR. JIMOH WASIU OLATUNDE</t>
        </is>
      </c>
      <c r="ED19" s="57" t="inlineStr">
        <is>
          <t>Next Term Begins on Monday, 15th September, 2040</t>
        </is>
      </c>
    </row>
    <row r="20" ht="30.6" customHeight="1" s="6">
      <c r="A20" s="18" t="n">
        <v>17</v>
      </c>
      <c r="B20" s="19" t="inlineStr">
        <is>
          <t xml:space="preserve">KAZEEM BARAKAT </t>
        </is>
      </c>
      <c r="C20" s="20" t="inlineStr">
        <is>
          <t>1808</t>
        </is>
      </c>
      <c r="D20" s="128" t="inlineStr">
        <is>
          <t>Female</t>
        </is>
      </c>
      <c r="E20" s="21" t="inlineStr">
        <is>
          <t>JSS 2C</t>
        </is>
      </c>
      <c r="F20" s="21" t="n">
        <v>31</v>
      </c>
      <c r="G20" s="21" t="n">
        <v>122</v>
      </c>
      <c r="H20" s="22" t="n">
        <v>26</v>
      </c>
      <c r="I20" s="26">
        <f>G20-H20</f>
        <v/>
      </c>
      <c r="J20" s="21" t="n">
        <v>16</v>
      </c>
      <c r="K20" s="21" t="n">
        <v>20</v>
      </c>
      <c r="L20" s="27">
        <f>SUM(J20:K20)</f>
        <v/>
      </c>
      <c r="M20" s="28" t="n">
        <v>28</v>
      </c>
      <c r="N20" s="28" t="n">
        <v>25</v>
      </c>
      <c r="O20" s="29">
        <f>IF(AND(L20=0,M20=0,N20=0),0,IF(AND(L20=0,M20=0),N20/1,IF(AND(L20=0,N20=0),M20/1,IF(AND(M20=0,N20=0),L20/1,IF(L20=0,FLOOR((M20+N20)/2,0.1),IF(M20=0,(L20+N20)/2,IF(N20=0,(M20+L20)/2,FLOOR(((L20+M20+N20)/3),0.1))))))))</f>
        <v/>
      </c>
      <c r="P20" s="21" t="n">
        <v>15</v>
      </c>
      <c r="Q20" s="21" t="n">
        <v>31</v>
      </c>
      <c r="R20" s="27">
        <f>SUM(P20:Q20)</f>
        <v/>
      </c>
      <c r="S20" s="28" t="n">
        <v>60</v>
      </c>
      <c r="T20" s="28" t="n">
        <v>32</v>
      </c>
      <c r="U20" s="29">
        <f>IF(AND(R20=0,S20=0,T20=0),0,IF(AND(R20=0,S20=0),T20/1,IF(AND(R20=0,T20=0),S20/1,IF(AND(S20=0,T20=0),R20/1,IF(R20=0,FLOOR((S20+T20)/2,0.1),IF(S20=0,(R20+T20)/2,IF(T20=0,(S20+R20)/2,FLOOR(((R20+S20+T20)/3),0.1))))))))</f>
        <v/>
      </c>
      <c r="V20" s="21" t="n">
        <v>23</v>
      </c>
      <c r="W20" s="21" t="n">
        <v>10</v>
      </c>
      <c r="X20" s="27">
        <f>SUM(V20:W20)</f>
        <v/>
      </c>
      <c r="Y20" s="28" t="n">
        <v>58</v>
      </c>
      <c r="Z20" s="28" t="n">
        <v>46</v>
      </c>
      <c r="AA20" s="29">
        <f>IF(AND(X20=0,Y20=0,Z20=0),0,IF(AND(X20=0,Y20=0),Z20/1,IF(AND(X20=0,Z20=0),Y20/1,IF(AND(Y20=0,Z20=0),X20/1,IF(X20=0,FLOOR((Y20+Z20)/2,0.1),IF(Y20=0,(X20+Z20)/2,IF(Z20=0,(Y20+X20)/2,FLOOR(((X20+Y20+Z20)/3),0.1))))))))</f>
        <v/>
      </c>
      <c r="AB20" s="21" t="n">
        <v>15</v>
      </c>
      <c r="AC20" s="21" t="n">
        <v>20</v>
      </c>
      <c r="AD20" s="27">
        <f>SUM(AB20:AC20)</f>
        <v/>
      </c>
      <c r="AE20" s="28" t="n">
        <v>79</v>
      </c>
      <c r="AF20" s="28" t="n">
        <v>57</v>
      </c>
      <c r="AG20" s="29">
        <f>IF(AND(AD20=0,AE20=0,AF20=0),0,IF(AND(AD20=0,AE20=0),AF20/1,IF(AND(AD20=0,AF20=0),AE20/1,IF(AND(AE20=0,AF20=0),AD20/1,IF(AD20=0,FLOOR((AE20+AF20)/2,0.1),IF(AE20=0,(AD20+AF20)/2,IF(AF20=0,(AE20+AD20)/2,FLOOR(((AD20+AE20+AF20)/3),0.1))))))))</f>
        <v/>
      </c>
      <c r="AH20" s="21" t="n">
        <v>16</v>
      </c>
      <c r="AI20" s="21" t="n">
        <v>32</v>
      </c>
      <c r="AJ20" s="27">
        <f>SUM(AH20:AI20)</f>
        <v/>
      </c>
      <c r="AK20" s="28" t="n">
        <v>60</v>
      </c>
      <c r="AL20" s="28" t="n">
        <v>35</v>
      </c>
      <c r="AM20" s="29">
        <f>IF(AND(AJ20=0,AK20=0,AL20=0),0,IF(AND(AJ20=0,AK20=0),AL20/1,IF(AND(AJ20=0,AL20=0),AK20/1,IF(AND(AK20=0,AL20=0),AJ20/1,IF(AJ20=0,FLOOR((AK20+AL20)/2,0.1),IF(AK20=0,(AJ20+AL20)/2,IF(AL20=0,(AK20+AJ20)/2,FLOOR(((AJ20+AK20+AL20)/3),0.1))))))))</f>
        <v/>
      </c>
      <c r="AN20" s="21" t="n"/>
      <c r="AO20" s="21" t="n"/>
      <c r="AP20" s="27">
        <f>SUM(AN20:AO20)</f>
        <v/>
      </c>
      <c r="AQ20" s="28" t="n"/>
      <c r="AR20" s="30" t="n"/>
      <c r="AS20" s="29">
        <f>IF(AND(AP20=0,AQ20=0,AR20=0),0,IF(AND(AP20=0,AQ20=0),AR20/1,IF(AND(AP20=0,AR20=0),AQ20/1,IF(AND(AQ20=0,AR20=0),AP20/1,IF(AP20=0,FLOOR((AQ20+AR20)/2,0.1),IF(AQ20=0,(AP20+AR20)/2,IF(AR20=0,(AQ20+AP20)/2,FLOOR(((AP20+AQ20+AR20)/3),0.1))))))))</f>
        <v/>
      </c>
      <c r="AT20" s="21" t="n">
        <v>16</v>
      </c>
      <c r="AU20" s="21" t="n">
        <v>23</v>
      </c>
      <c r="AV20" s="27">
        <f>SUM(AT20:AU20)</f>
        <v/>
      </c>
      <c r="AW20" s="28" t="n">
        <v>39</v>
      </c>
      <c r="AX20" s="30" t="n">
        <v>39</v>
      </c>
      <c r="AY20" s="29">
        <f>IF(AND(AV20=0,AW20=0,AX20=0),0,IF(AND(AV20=0,AW20=0),AX20/1,IF(AND(AV20=0,AX20=0),AW20/1,IF(AND(AW20=0,AX20=0),AV20/1,IF(AV20=0,FLOOR((AW20+AX20)/2,0.1),IF(AW20=0,(AV20+AX20)/2,IF(AX20=0,(AW20+AV20)/2,FLOOR(((AV20+AW20+AX20)/3),0.1))))))))</f>
        <v/>
      </c>
      <c r="AZ20" s="21" t="n">
        <v>0</v>
      </c>
      <c r="BA20" s="21" t="n">
        <v>0</v>
      </c>
      <c r="BB20" s="27">
        <f>SUM(AZ20:BA20)</f>
        <v/>
      </c>
      <c r="BC20" s="28" t="n">
        <v>59</v>
      </c>
      <c r="BD20" s="28" t="n">
        <v>0</v>
      </c>
      <c r="BE20" s="29">
        <f>IF(AND(BB20=0,BC20=0,BD20=0),0,IF(AND(BB20=0,BC20=0),BD20/1,IF(AND(BB20=0,BD20=0),BC20/1,IF(AND(BC20=0,BD20=0),BB20/1,IF(BB20=0,FLOOR((BC20+BD20)/2,0.1),IF(BC20=0,(BB20+BD20)/2,IF(BD20=0,(BC20+BB20)/2,FLOOR(((BB20+BC20+BD20)/3),0.1))))))))</f>
        <v/>
      </c>
      <c r="BF20" s="21" t="n">
        <v>10</v>
      </c>
      <c r="BG20" s="21" t="n">
        <v>29</v>
      </c>
      <c r="BH20" s="27">
        <f>SUM(BF20:BG20)</f>
        <v/>
      </c>
      <c r="BI20" s="28" t="n">
        <v>63</v>
      </c>
      <c r="BJ20" s="28" t="n">
        <v>51</v>
      </c>
      <c r="BK20" s="29">
        <f>IF(AND(BH20=0,BI20=0,BJ20=0),0,IF(AND(BH20=0,BI20=0),BJ20/1,IF(AND(BH20=0,BJ20=0),BI20/1,IF(AND(BI20=0,BJ20=0),BH20/1,IF(BH20=0,FLOOR((BI20+BJ20)/2,0.1),IF(BI20=0,(BH20+BJ20)/2,IF(BJ20=0,(BI20+BH20)/2,FLOOR(((BH20+BI20+BJ20)/3),0.1))))))))</f>
        <v/>
      </c>
      <c r="BL20" s="21" t="n">
        <v>10</v>
      </c>
      <c r="BM20" s="21" t="n">
        <v>15</v>
      </c>
      <c r="BN20" s="27">
        <f>SUM(BL20:BM20)</f>
        <v/>
      </c>
      <c r="BO20" s="28" t="n">
        <v>41</v>
      </c>
      <c r="BP20" s="31" t="n">
        <v>12</v>
      </c>
      <c r="BQ20" s="29">
        <f>IF(AND(BN20=0,BO20=0,BP20=0),0,IF(AND(BN20=0,BO20=0),BP20/1,IF(AND(BN20=0,BP20=0),BO20/1,IF(AND(BO20=0,BP20=0),BN20/1,IF(BN20=0,FLOOR((BO20+BP20)/2,0.1),IF(BO20=0,(BN20+BP20)/2,IF(BP20=0,(BO20+BN20)/2,FLOOR(((BN20+BO20+BP20)/3),0.1))))))))</f>
        <v/>
      </c>
      <c r="BR20" s="21" t="n"/>
      <c r="BS20" s="21" t="n"/>
      <c r="BT20" s="27">
        <f>SUM(BR20:BS20)</f>
        <v/>
      </c>
      <c r="BU20" s="28" t="n"/>
      <c r="BV20" s="31" t="n"/>
      <c r="BW20" s="29">
        <f>IF(AND(BT20=0,BU20=0,BV20=0),0,IF(AND(BT20=0,BU20=0),BV20/1,IF(AND(BT20=0,BV20=0),BU20/1,IF(AND(BU20=0,BV20=0),BT20/1,IF(BT20=0,FLOOR((BU20+BV20)/2,0.1),IF(BU20=0,(BT20+BV20)/2,IF(BV20=0,(BU20+BT20)/2,FLOOR(((BT20+BU20+BV20)/3),0.1))))))))</f>
        <v/>
      </c>
      <c r="BX20" s="21" t="n">
        <v>25</v>
      </c>
      <c r="BY20" s="21" t="n">
        <v>67</v>
      </c>
      <c r="BZ20" s="27">
        <f>SUM(BX20:BY20)</f>
        <v/>
      </c>
      <c r="CA20" s="28" t="n">
        <v>59</v>
      </c>
      <c r="CB20" s="31" t="n">
        <v>45</v>
      </c>
      <c r="CC20" s="29">
        <f>IF(AND(BZ20=0,CA20=0,CB20=0),0,IF(AND(BZ20=0,CA20=0),CB20/1,IF(AND(BZ20=0,CB20=0),CA20/1,IF(AND(CA20=0,CB20=0),BZ20/1,IF(BZ20=0,FLOOR((CA20+CB20)/2,0.1),IF(CA20=0,(BZ20+CB20)/2,IF(CB20=0,(CA20+BZ20)/2,FLOOR(((BZ20+CA20+CB20)/3),0.1))))))))</f>
        <v/>
      </c>
      <c r="CD20" s="21" t="n">
        <v>14</v>
      </c>
      <c r="CE20" s="21" t="n">
        <v>12</v>
      </c>
      <c r="CF20" s="27">
        <f>SUM(CD20:CE20)</f>
        <v/>
      </c>
      <c r="CG20" s="28" t="n">
        <v>23</v>
      </c>
      <c r="CH20" s="31" t="n">
        <v>11</v>
      </c>
      <c r="CI20" s="29">
        <f>IF(AND(CF20=0,CG20=0,CH20=0),0,IF(AND(CF20=0,CG20=0),CH20/1,IF(AND(CF20=0,CH20=0),CG20/1,IF(AND(CG20=0,CH20=0),CF20/1,IF(CF20=0,FLOOR((CG20+CH20)/2,0.1),IF(CG20=0,(CF20+CH20)/2,IF(CH20=0,(CG20+CF20)/2,FLOOR(((CF20+CG20+CH20)/3),0.1))))))))</f>
        <v/>
      </c>
      <c r="CJ20" s="21" t="n"/>
      <c r="CK20" s="21" t="n"/>
      <c r="CL20" s="27">
        <f>SUM(CJ20:CK20)</f>
        <v/>
      </c>
      <c r="CM20" s="28" t="n"/>
      <c r="CN20" s="31" t="n"/>
      <c r="CO20" s="29">
        <f>IF(AND(CL20=0,CM20=0,CN20=0),0,IF(AND(CL20=0,CM20=0),CN20/1,IF(AND(CL20=0,CN20=0),CM20/1,IF(AND(CM20=0,CN20=0),CL20/1,IF(CL20=0,FLOOR((CM20+CN20)/2,0.1),IF(CM20=0,(CL20+CN20)/2,IF(CN20=0,(CM20+CL20)/2,FLOOR(((CL20+CM20+CN20)/3),0.1))))))))</f>
        <v/>
      </c>
      <c r="CP20" s="21" t="n">
        <v>10</v>
      </c>
      <c r="CQ20" s="21" t="n">
        <v>29</v>
      </c>
      <c r="CR20" s="27">
        <f>SUM(CP20:CQ20)</f>
        <v/>
      </c>
      <c r="CS20" s="28" t="n">
        <v>21</v>
      </c>
      <c r="CT20" s="31" t="n">
        <v>23</v>
      </c>
      <c r="CU20" s="29">
        <f>IF(AND(CR20=0,CS20=0,CT20=0),0,IF(AND(CR20=0,CS20=0),CT20/1,IF(AND(CR20=0,CT20=0),CS20/1,IF(AND(CS20=0,CT20=0),CR20/1,IF(CR20=0,FLOOR((CS20+CT20)/2,0.1),IF(CS20=0,(CR20+CT20)/2,IF(CT20=0,(CS20+CR20)/2,FLOOR(((CR20+CS20+CT20)/3),0.1))))))))</f>
        <v/>
      </c>
      <c r="CV20" s="21" t="n"/>
      <c r="CW20" s="21" t="n"/>
      <c r="CX20" s="27">
        <f>SUM(CV20:CW20)</f>
        <v/>
      </c>
      <c r="CY20" s="28" t="n"/>
      <c r="CZ20" s="31" t="n"/>
      <c r="DA20" s="29">
        <f>IF(AND(CX20=0,CY20=0,CZ20=0),0,IF(AND(CX20=0,CY20=0),CZ20/1,IF(AND(CX20=0,CZ20=0),CY20/1,IF(AND(CY20=0,CZ20=0),CX20/1,IF(CX20=0,FLOOR((CY20+CZ20)/2,0.1),IF(CY20=0,(CX20+CZ20)/2,IF(CZ20=0,(CY20+CX20)/2,FLOOR(((CX20+CY20+CZ20)/3),0.1))))))))</f>
        <v/>
      </c>
      <c r="DB20" s="21" t="n"/>
      <c r="DC20" s="21" t="n"/>
      <c r="DD20" s="27">
        <f>SUM(DB20:DC20)</f>
        <v/>
      </c>
      <c r="DE20" s="28" t="n"/>
      <c r="DF20" s="31" t="n"/>
      <c r="DG20" s="29">
        <f>IF(AND(DD20=0,DE20=0,DF20=0),0,IF(AND(DD20=0,DE20=0),DF20/1,IF(AND(DD20=0,DF20=0),DE20/1,IF(AND(DE20=0,DF20=0),DD20/1,IF(DD20=0,FLOOR((DE20+DF20)/2,0.1),IF(DE20=0,(DD20+DF20)/2,IF(DF20=0,(DE20+DD20)/2,FLOOR(((DD20+DE20+DF20)/3),0.1))))))))</f>
        <v/>
      </c>
      <c r="DH20" s="34">
        <f>SUM(O20,U20,AA20,AG20,AM20,AS20,AY20,BE20,BK20,BQ20,BW20,CC20,CI20,CO20,CU20,DA20,DG20)</f>
        <v/>
      </c>
      <c r="DI20" s="39">
        <f>RANK(DH20,DH$4:DH$503)</f>
        <v/>
      </c>
      <c r="DJ20" s="40" t="inlineStr">
        <is>
          <t>BELOW AVERAGE(2)</t>
        </is>
      </c>
      <c r="DK20" s="40" t="inlineStr">
        <is>
          <t>AVERAGE(3)</t>
        </is>
      </c>
      <c r="DL20" s="40" t="inlineStr">
        <is>
          <t>BELOW AVERAGE(2)</t>
        </is>
      </c>
      <c r="DM20" s="40" t="inlineStr">
        <is>
          <t>EXCELLENT(5)</t>
        </is>
      </c>
      <c r="DN20" s="40" t="inlineStr">
        <is>
          <t>BELOW AVERAGE(2)</t>
        </is>
      </c>
      <c r="DO20" s="40" t="inlineStr">
        <is>
          <t>GOOD(4)</t>
        </is>
      </c>
      <c r="DP20" s="40" t="inlineStr">
        <is>
          <t>GOOD(4)</t>
        </is>
      </c>
      <c r="DQ20" s="40" t="inlineStr">
        <is>
          <t>GOOD(4)</t>
        </is>
      </c>
      <c r="DR20" s="43" t="inlineStr">
        <is>
          <t>2024/2025</t>
        </is>
      </c>
      <c r="DS20" s="45" t="inlineStr">
        <is>
          <t>THIRD</t>
        </is>
      </c>
      <c r="DT20" s="40" t="inlineStr">
        <is>
          <t>GOOD(4)</t>
        </is>
      </c>
      <c r="DU20" s="40" t="inlineStr">
        <is>
          <t>GOOD(4)</t>
        </is>
      </c>
      <c r="DV20" s="40" t="inlineStr">
        <is>
          <t>GOOD(4)</t>
        </is>
      </c>
      <c r="DW20" s="40" t="inlineStr">
        <is>
          <t>GOOD(4)</t>
        </is>
      </c>
      <c r="DX20" s="40" t="inlineStr">
        <is>
          <t>GOOD(4)</t>
        </is>
      </c>
      <c r="DY20" s="40" t="inlineStr">
        <is>
          <t>GOOD(4)</t>
        </is>
      </c>
      <c r="DZ20" s="53" t="inlineStr">
        <is>
          <t>GOOD(4)</t>
        </is>
      </c>
      <c r="EA20" s="54" t="inlineStr">
        <is>
          <t>Demonstrates a positive attitude and respect for rules.</t>
        </is>
      </c>
      <c r="EB20" s="55" t="inlineStr">
        <is>
          <t>To repeat JSS2</t>
        </is>
      </c>
      <c r="EC20" s="56" t="inlineStr">
        <is>
          <t>MR. JIMOH WASIU OLATUNDE</t>
        </is>
      </c>
      <c r="ED20" s="57" t="inlineStr">
        <is>
          <t>Next Term Begins on Monday, 15th September, 2041</t>
        </is>
      </c>
    </row>
    <row r="21" ht="30.6" customHeight="1" s="6">
      <c r="A21" s="18" t="n">
        <v>18</v>
      </c>
      <c r="B21" s="19" t="inlineStr">
        <is>
          <t xml:space="preserve">MURITALA ALIYAT </t>
        </is>
      </c>
      <c r="C21" s="20" t="inlineStr">
        <is>
          <t>1795</t>
        </is>
      </c>
      <c r="D21" s="128" t="inlineStr">
        <is>
          <t>Female</t>
        </is>
      </c>
      <c r="E21" s="21" t="inlineStr">
        <is>
          <t>JSS 2C</t>
        </is>
      </c>
      <c r="F21" s="21" t="n">
        <v>31</v>
      </c>
      <c r="G21" s="21" t="n">
        <v>122</v>
      </c>
      <c r="H21" s="22" t="n">
        <v>116</v>
      </c>
      <c r="I21" s="26">
        <f>G21-H21</f>
        <v/>
      </c>
      <c r="J21" s="21" t="n">
        <v>28</v>
      </c>
      <c r="K21" s="21" t="n">
        <v>32</v>
      </c>
      <c r="L21" s="27">
        <f>SUM(J21:K21)</f>
        <v/>
      </c>
      <c r="M21" s="28" t="n">
        <v>26</v>
      </c>
      <c r="N21" s="28" t="n">
        <v>53</v>
      </c>
      <c r="O21" s="29">
        <f>IF(AND(L21=0,M21=0,N21=0),0,IF(AND(L21=0,M21=0),N21/1,IF(AND(L21=0,N21=0),M21/1,IF(AND(M21=0,N21=0),L21/1,IF(L21=0,FLOOR((M21+N21)/2,0.1),IF(M21=0,(L21+N21)/2,IF(N21=0,(M21+L21)/2,FLOOR(((L21+M21+N21)/3),0.1))))))))</f>
        <v/>
      </c>
      <c r="P21" s="21" t="n">
        <v>16</v>
      </c>
      <c r="Q21" s="21" t="n">
        <v>32</v>
      </c>
      <c r="R21" s="27">
        <f>SUM(P21:Q21)</f>
        <v/>
      </c>
      <c r="S21" s="28" t="n">
        <v>73</v>
      </c>
      <c r="T21" s="28" t="n">
        <v>24</v>
      </c>
      <c r="U21" s="29">
        <f>IF(AND(R21=0,S21=0,T21=0),0,IF(AND(R21=0,S21=0),T21/1,IF(AND(R21=0,T21=0),S21/1,IF(AND(S21=0,T21=0),R21/1,IF(R21=0,FLOOR((S21+T21)/2,0.1),IF(S21=0,(R21+T21)/2,IF(T21=0,(S21+R21)/2,FLOOR(((R21+S21+T21)/3),0.1))))))))</f>
        <v/>
      </c>
      <c r="V21" s="21" t="n">
        <v>26</v>
      </c>
      <c r="W21" s="21" t="n">
        <v>17</v>
      </c>
      <c r="X21" s="27">
        <f>SUM(V21:W21)</f>
        <v/>
      </c>
      <c r="Y21" s="28" t="n">
        <v>41</v>
      </c>
      <c r="Z21" s="28" t="n">
        <v>42</v>
      </c>
      <c r="AA21" s="29">
        <f>IF(AND(X21=0,Y21=0,Z21=0),0,IF(AND(X21=0,Y21=0),Z21/1,IF(AND(X21=0,Z21=0),Y21/1,IF(AND(Y21=0,Z21=0),X21/1,IF(X21=0,FLOOR((Y21+Z21)/2,0.1),IF(Y21=0,(X21+Z21)/2,IF(Z21=0,(Y21+X21)/2,FLOOR(((X21+Y21+Z21)/3),0.1))))))))</f>
        <v/>
      </c>
      <c r="AB21" s="21" t="n">
        <v>20</v>
      </c>
      <c r="AC21" s="21" t="n">
        <v>42</v>
      </c>
      <c r="AD21" s="27">
        <f>SUM(AB21:AC21)</f>
        <v/>
      </c>
      <c r="AE21" s="28" t="n">
        <v>95</v>
      </c>
      <c r="AF21" s="28" t="n">
        <v>78</v>
      </c>
      <c r="AG21" s="29">
        <f>IF(AND(AD21=0,AE21=0,AF21=0),0,IF(AND(AD21=0,AE21=0),AF21/1,IF(AND(AD21=0,AF21=0),AE21/1,IF(AND(AE21=0,AF21=0),AD21/1,IF(AD21=0,FLOOR((AE21+AF21)/2,0.1),IF(AE21=0,(AD21+AF21)/2,IF(AF21=0,(AE21+AD21)/2,FLOOR(((AD21+AE21+AF21)/3),0.1))))))))</f>
        <v/>
      </c>
      <c r="AH21" s="21" t="n">
        <v>15</v>
      </c>
      <c r="AI21" s="21" t="n">
        <v>28</v>
      </c>
      <c r="AJ21" s="27">
        <f>SUM(AH21:AI21)</f>
        <v/>
      </c>
      <c r="AK21" s="28" t="n">
        <v>45</v>
      </c>
      <c r="AL21" s="28" t="n">
        <v>39</v>
      </c>
      <c r="AM21" s="29">
        <f>IF(AND(AJ21=0,AK21=0,AL21=0),0,IF(AND(AJ21=0,AK21=0),AL21/1,IF(AND(AJ21=0,AL21=0),AK21/1,IF(AND(AK21=0,AL21=0),AJ21/1,IF(AJ21=0,FLOOR((AK21+AL21)/2,0.1),IF(AK21=0,(AJ21+AL21)/2,IF(AL21=0,(AK21+AJ21)/2,FLOOR(((AJ21+AK21+AL21)/3),0.1))))))))</f>
        <v/>
      </c>
      <c r="AN21" s="21" t="n"/>
      <c r="AO21" s="21" t="n"/>
      <c r="AP21" s="27">
        <f>SUM(AN21:AO21)</f>
        <v/>
      </c>
      <c r="AQ21" s="28" t="n"/>
      <c r="AR21" s="30" t="n"/>
      <c r="AS21" s="29">
        <f>IF(AND(AP21=0,AQ21=0,AR21=0),0,IF(AND(AP21=0,AQ21=0),AR21/1,IF(AND(AP21=0,AR21=0),AQ21/1,IF(AND(AQ21=0,AR21=0),AP21/1,IF(AP21=0,FLOOR((AQ21+AR21)/2,0.1),IF(AQ21=0,(AP21+AR21)/2,IF(AR21=0,(AQ21+AP21)/2,FLOOR(((AP21+AQ21+AR21)/3),0.1))))))))</f>
        <v/>
      </c>
      <c r="AT21" s="21" t="n">
        <v>21</v>
      </c>
      <c r="AU21" s="21" t="n">
        <v>30</v>
      </c>
      <c r="AV21" s="27">
        <f>SUM(AT21:AU21)</f>
        <v/>
      </c>
      <c r="AW21" s="28" t="n">
        <v>41</v>
      </c>
      <c r="AX21" s="30" t="n">
        <v>53</v>
      </c>
      <c r="AY21" s="29">
        <f>IF(AND(AV21=0,AW21=0,AX21=0),0,IF(AND(AV21=0,AW21=0),AX21/1,IF(AND(AV21=0,AX21=0),AW21/1,IF(AND(AW21=0,AX21=0),AV21/1,IF(AV21=0,FLOOR((AW21+AX21)/2,0.1),IF(AW21=0,(AV21+AX21)/2,IF(AX21=0,(AW21+AV21)/2,FLOOR(((AV21+AW21+AX21)/3),0.1))))))))</f>
        <v/>
      </c>
      <c r="AZ21" s="21" t="n">
        <v>22</v>
      </c>
      <c r="BA21" s="21" t="n">
        <v>40</v>
      </c>
      <c r="BB21" s="27">
        <f>SUM(AZ21:BA21)</f>
        <v/>
      </c>
      <c r="BC21" s="28" t="n">
        <v>58</v>
      </c>
      <c r="BD21" s="28" t="n">
        <v>60</v>
      </c>
      <c r="BE21" s="29">
        <f>IF(AND(BB21=0,BC21=0,BD21=0),0,IF(AND(BB21=0,BC21=0),BD21/1,IF(AND(BB21=0,BD21=0),BC21/1,IF(AND(BC21=0,BD21=0),BB21/1,IF(BB21=0,FLOOR((BC21+BD21)/2,0.1),IF(BC21=0,(BB21+BD21)/2,IF(BD21=0,(BC21+BB21)/2,FLOOR(((BB21+BC21+BD21)/3),0.1))))))))</f>
        <v/>
      </c>
      <c r="BF21" s="21" t="n">
        <v>16</v>
      </c>
      <c r="BG21" s="21" t="n">
        <v>36</v>
      </c>
      <c r="BH21" s="27">
        <f>SUM(BF21:BG21)</f>
        <v/>
      </c>
      <c r="BI21" s="28" t="n">
        <v>69</v>
      </c>
      <c r="BJ21" s="28" t="n">
        <v>23</v>
      </c>
      <c r="BK21" s="29">
        <f>IF(AND(BH21=0,BI21=0,BJ21=0),0,IF(AND(BH21=0,BI21=0),BJ21/1,IF(AND(BH21=0,BJ21=0),BI21/1,IF(AND(BI21=0,BJ21=0),BH21/1,IF(BH21=0,FLOOR((BI21+BJ21)/2,0.1),IF(BI21=0,(BH21+BJ21)/2,IF(BJ21=0,(BI21+BH21)/2,FLOOR(((BH21+BI21+BJ21)/3),0.1))))))))</f>
        <v/>
      </c>
      <c r="BL21" s="21" t="n">
        <v>15</v>
      </c>
      <c r="BM21" s="21" t="n">
        <v>38</v>
      </c>
      <c r="BN21" s="27">
        <f>SUM(BL21:BM21)</f>
        <v/>
      </c>
      <c r="BO21" s="28" t="n">
        <v>37</v>
      </c>
      <c r="BP21" s="31" t="n">
        <v>51</v>
      </c>
      <c r="BQ21" s="29">
        <f>IF(AND(BN21=0,BO21=0,BP21=0),0,IF(AND(BN21=0,BO21=0),BP21/1,IF(AND(BN21=0,BP21=0),BO21/1,IF(AND(BO21=0,BP21=0),BN21/1,IF(BN21=0,FLOOR((BO21+BP21)/2,0.1),IF(BO21=0,(BN21+BP21)/2,IF(BP21=0,(BO21+BN21)/2,FLOOR(((BN21+BO21+BP21)/3),0.1))))))))</f>
        <v/>
      </c>
      <c r="BR21" s="21" t="n"/>
      <c r="BS21" s="21" t="n"/>
      <c r="BT21" s="27">
        <f>SUM(BR21:BS21)</f>
        <v/>
      </c>
      <c r="BU21" s="28" t="n"/>
      <c r="BV21" s="31" t="n"/>
      <c r="BW21" s="29">
        <f>IF(AND(BT21=0,BU21=0,BV21=0),0,IF(AND(BT21=0,BU21=0),BV21/1,IF(AND(BT21=0,BV21=0),BU21/1,IF(AND(BU21=0,BV21=0),BT21/1,IF(BT21=0,FLOOR((BU21+BV21)/2,0.1),IF(BU21=0,(BT21+BV21)/2,IF(BV21=0,(BU21+BT21)/2,FLOOR(((BT21+BU21+BV21)/3),0.1))))))))</f>
        <v/>
      </c>
      <c r="BX21" s="21" t="n">
        <v>26</v>
      </c>
      <c r="BY21" s="21" t="n">
        <v>69</v>
      </c>
      <c r="BZ21" s="27">
        <f>SUM(BX21:BY21)</f>
        <v/>
      </c>
      <c r="CA21" s="28" t="n">
        <v>60</v>
      </c>
      <c r="CB21" s="31" t="n">
        <v>75</v>
      </c>
      <c r="CC21" s="29">
        <f>IF(AND(BZ21=0,CA21=0,CB21=0),0,IF(AND(BZ21=0,CA21=0),CB21/1,IF(AND(BZ21=0,CB21=0),CA21/1,IF(AND(CA21=0,CB21=0),BZ21/1,IF(BZ21=0,FLOOR((CA21+CB21)/2,0.1),IF(CA21=0,(BZ21+CB21)/2,IF(CB21=0,(CA21+BZ21)/2,FLOOR(((BZ21+CA21+CB21)/3),0.1))))))))</f>
        <v/>
      </c>
      <c r="CD21" s="21" t="n">
        <v>12</v>
      </c>
      <c r="CE21" s="21" t="n">
        <v>52</v>
      </c>
      <c r="CF21" s="27">
        <f>SUM(CD21:CE21)</f>
        <v/>
      </c>
      <c r="CG21" s="28" t="n">
        <v>32</v>
      </c>
      <c r="CH21" s="31" t="n">
        <v>22</v>
      </c>
      <c r="CI21" s="29">
        <f>IF(AND(CF21=0,CG21=0,CH21=0),0,IF(AND(CF21=0,CG21=0),CH21/1,IF(AND(CF21=0,CH21=0),CG21/1,IF(AND(CG21=0,CH21=0),CF21/1,IF(CF21=0,FLOOR((CG21+CH21)/2,0.1),IF(CG21=0,(CF21+CH21)/2,IF(CH21=0,(CG21+CF21)/2,FLOOR(((CF21+CG21+CH21)/3),0.1))))))))</f>
        <v/>
      </c>
      <c r="CJ21" s="21" t="n"/>
      <c r="CK21" s="21" t="n"/>
      <c r="CL21" s="27">
        <f>SUM(CJ21:CK21)</f>
        <v/>
      </c>
      <c r="CM21" s="28" t="n"/>
      <c r="CN21" s="31" t="n"/>
      <c r="CO21" s="29">
        <f>IF(AND(CL21=0,CM21=0,CN21=0),0,IF(AND(CL21=0,CM21=0),CN21/1,IF(AND(CL21=0,CN21=0),CM21/1,IF(AND(CM21=0,CN21=0),CL21/1,IF(CL21=0,FLOOR((CM21+CN21)/2,0.1),IF(CM21=0,(CL21+CN21)/2,IF(CN21=0,(CM21+CL21)/2,FLOOR(((CL21+CM21+CN21)/3),0.1))))))))</f>
        <v/>
      </c>
      <c r="CP21" s="21" t="n">
        <v>14</v>
      </c>
      <c r="CQ21" s="21" t="n">
        <v>41</v>
      </c>
      <c r="CR21" s="27">
        <f>SUM(CP21:CQ21)</f>
        <v/>
      </c>
      <c r="CS21" s="28" t="n">
        <v>42</v>
      </c>
      <c r="CT21" s="31" t="n">
        <v>42</v>
      </c>
      <c r="CU21" s="29">
        <f>IF(AND(CR21=0,CS21=0,CT21=0),0,IF(AND(CR21=0,CS21=0),CT21/1,IF(AND(CR21=0,CT21=0),CS21/1,IF(AND(CS21=0,CT21=0),CR21/1,IF(CR21=0,FLOOR((CS21+CT21)/2,0.1),IF(CS21=0,(CR21+CT21)/2,IF(CT21=0,(CS21+CR21)/2,FLOOR(((CR21+CS21+CT21)/3),0.1))))))))</f>
        <v/>
      </c>
      <c r="CV21" s="21" t="n"/>
      <c r="CW21" s="21" t="n"/>
      <c r="CX21" s="27">
        <f>SUM(CV21:CW21)</f>
        <v/>
      </c>
      <c r="CY21" s="28" t="n"/>
      <c r="CZ21" s="31" t="n"/>
      <c r="DA21" s="29">
        <f>IF(AND(CX21=0,CY21=0,CZ21=0),0,IF(AND(CX21=0,CY21=0),CZ21/1,IF(AND(CX21=0,CZ21=0),CY21/1,IF(AND(CY21=0,CZ21=0),CX21/1,IF(CX21=0,FLOOR((CY21+CZ21)/2,0.1),IF(CY21=0,(CX21+CZ21)/2,IF(CZ21=0,(CY21+CX21)/2,FLOOR(((CX21+CY21+CZ21)/3),0.1))))))))</f>
        <v/>
      </c>
      <c r="DB21" s="21" t="n"/>
      <c r="DC21" s="21" t="n"/>
      <c r="DD21" s="27">
        <f>SUM(DB21:DC21)</f>
        <v/>
      </c>
      <c r="DE21" s="28" t="n"/>
      <c r="DF21" s="31" t="n"/>
      <c r="DG21" s="29">
        <f>IF(AND(DD21=0,DE21=0,DF21=0),0,IF(AND(DD21=0,DE21=0),DF21/1,IF(AND(DD21=0,DF21=0),DE21/1,IF(AND(DE21=0,DF21=0),DD21/1,IF(DD21=0,FLOOR((DE21+DF21)/2,0.1),IF(DE21=0,(DD21+DF21)/2,IF(DF21=0,(DE21+DD21)/2,FLOOR(((DD21+DE21+DF21)/3),0.1))))))))</f>
        <v/>
      </c>
      <c r="DH21" s="34">
        <f>SUM(O21,U21,AA21,AG21,AM21,AS21,AY21,BE21,BK21,BQ21,BW21,CC21,CI21,CO21,CU21,DA21,DG21)</f>
        <v/>
      </c>
      <c r="DI21" s="39">
        <f>RANK(DH21,DH$4:DH$503)</f>
        <v/>
      </c>
      <c r="DJ21" s="40" t="inlineStr">
        <is>
          <t>GOOD(4)</t>
        </is>
      </c>
      <c r="DK21" s="40" t="inlineStr">
        <is>
          <t>GOOD(4)</t>
        </is>
      </c>
      <c r="DL21" s="40" t="inlineStr">
        <is>
          <t>GOOD(4)</t>
        </is>
      </c>
      <c r="DM21" s="40" t="inlineStr">
        <is>
          <t>EXCELLENT(5)</t>
        </is>
      </c>
      <c r="DN21" s="40" t="inlineStr">
        <is>
          <t>GOOD(4)</t>
        </is>
      </c>
      <c r="DO21" s="40" t="inlineStr">
        <is>
          <t>GOOD(4)</t>
        </is>
      </c>
      <c r="DP21" s="40" t="inlineStr">
        <is>
          <t>GOOD(4)</t>
        </is>
      </c>
      <c r="DQ21" s="40" t="inlineStr">
        <is>
          <t>GOOD(4)</t>
        </is>
      </c>
      <c r="DR21" s="43" t="inlineStr">
        <is>
          <t>2024/2025</t>
        </is>
      </c>
      <c r="DS21" s="45" t="inlineStr">
        <is>
          <t>THIRD</t>
        </is>
      </c>
      <c r="DT21" s="40" t="inlineStr">
        <is>
          <t>GOOD(4)</t>
        </is>
      </c>
      <c r="DU21" s="40" t="inlineStr">
        <is>
          <t>GOOD(4)</t>
        </is>
      </c>
      <c r="DV21" s="40" t="inlineStr">
        <is>
          <t>GOOD(4)</t>
        </is>
      </c>
      <c r="DW21" s="40" t="inlineStr">
        <is>
          <t>GOOD(4)</t>
        </is>
      </c>
      <c r="DX21" s="40" t="inlineStr">
        <is>
          <t>GOOD(4)</t>
        </is>
      </c>
      <c r="DY21" s="40" t="inlineStr">
        <is>
          <t>GOOD(4)</t>
        </is>
      </c>
      <c r="DZ21" s="53" t="inlineStr">
        <is>
          <t>GOOD(4)</t>
        </is>
      </c>
      <c r="EA21" s="54" t="inlineStr">
        <is>
          <t>Consistently well-behaved and sets a good example for peers.</t>
        </is>
      </c>
      <c r="EB21" s="55" t="inlineStr">
        <is>
          <t>Promoted to JSS3</t>
        </is>
      </c>
      <c r="EC21" s="56" t="inlineStr">
        <is>
          <t>MR. JIMOH WASIU OLATUNDE</t>
        </is>
      </c>
      <c r="ED21" s="57" t="inlineStr">
        <is>
          <t>Next Term Begins on Monday, 15th September, 2042</t>
        </is>
      </c>
    </row>
    <row r="22" ht="30.6" customHeight="1" s="6">
      <c r="A22" s="18" t="n">
        <v>19</v>
      </c>
      <c r="B22" s="19" t="inlineStr">
        <is>
          <t xml:space="preserve">NURUDEEN JELILAT </t>
        </is>
      </c>
      <c r="C22" s="20" t="inlineStr">
        <is>
          <t>1815</t>
        </is>
      </c>
      <c r="D22" s="128" t="inlineStr">
        <is>
          <t>Female</t>
        </is>
      </c>
      <c r="E22" s="21" t="inlineStr">
        <is>
          <t>JSS 2C</t>
        </is>
      </c>
      <c r="F22" s="21" t="n">
        <v>31</v>
      </c>
      <c r="G22" s="21" t="n">
        <v>122</v>
      </c>
      <c r="H22" s="22" t="n">
        <v>120</v>
      </c>
      <c r="I22" s="26">
        <f>G22-H22</f>
        <v/>
      </c>
      <c r="J22" s="21" t="n">
        <v>28</v>
      </c>
      <c r="K22" s="21" t="n">
        <v>39</v>
      </c>
      <c r="L22" s="27">
        <f>SUM(J22:K22)</f>
        <v/>
      </c>
      <c r="M22" s="28" t="n">
        <v>31</v>
      </c>
      <c r="N22" s="28" t="n">
        <v>64</v>
      </c>
      <c r="O22" s="29">
        <f>IF(AND(L22=0,M22=0,N22=0),0,IF(AND(L22=0,M22=0),N22/1,IF(AND(L22=0,N22=0),M22/1,IF(AND(M22=0,N22=0),L22/1,IF(L22=0,FLOOR((M22+N22)/2,0.1),IF(M22=0,(L22+N22)/2,IF(N22=0,(M22+L22)/2,FLOOR(((L22+M22+N22)/3),0.1))))))))</f>
        <v/>
      </c>
      <c r="P22" s="21" t="n">
        <v>26</v>
      </c>
      <c r="Q22" s="21" t="n">
        <v>52</v>
      </c>
      <c r="R22" s="27">
        <f>SUM(P22:Q22)</f>
        <v/>
      </c>
      <c r="S22" s="28" t="n">
        <v>74</v>
      </c>
      <c r="T22" s="28" t="n">
        <v>81</v>
      </c>
      <c r="U22" s="29">
        <f>IF(AND(R22=0,S22=0,T22=0),0,IF(AND(R22=0,S22=0),T22/1,IF(AND(R22=0,T22=0),S22/1,IF(AND(S22=0,T22=0),R22/1,IF(R22=0,FLOOR((S22+T22)/2,0.1),IF(S22=0,(R22+T22)/2,IF(T22=0,(S22+R22)/2,FLOOR(((R22+S22+T22)/3),0.1))))))))</f>
        <v/>
      </c>
      <c r="V22" s="21" t="n">
        <v>25</v>
      </c>
      <c r="W22" s="21" t="n">
        <v>24</v>
      </c>
      <c r="X22" s="27">
        <f>SUM(V22:W22)</f>
        <v/>
      </c>
      <c r="Y22" s="28" t="n">
        <v>55</v>
      </c>
      <c r="Z22" s="28" t="n">
        <v>52</v>
      </c>
      <c r="AA22" s="29">
        <f>IF(AND(X22=0,Y22=0,Z22=0),0,IF(AND(X22=0,Y22=0),Z22/1,IF(AND(X22=0,Z22=0),Y22/1,IF(AND(Y22=0,Z22=0),X22/1,IF(X22=0,FLOOR((Y22+Z22)/2,0.1),IF(Y22=0,(X22+Z22)/2,IF(Z22=0,(Y22+X22)/2,FLOOR(((X22+Y22+Z22)/3),0.1))))))))</f>
        <v/>
      </c>
      <c r="AB22" s="21" t="n">
        <v>24</v>
      </c>
      <c r="AC22" s="21" t="n">
        <v>50</v>
      </c>
      <c r="AD22" s="27">
        <f>SUM(AB22:AC22)</f>
        <v/>
      </c>
      <c r="AE22" s="28" t="n">
        <v>100</v>
      </c>
      <c r="AF22" s="28" t="n">
        <v>87</v>
      </c>
      <c r="AG22" s="29">
        <f>IF(AND(AD22=0,AE22=0,AF22=0),0,IF(AND(AD22=0,AE22=0),AF22/1,IF(AND(AD22=0,AF22=0),AE22/1,IF(AND(AE22=0,AF22=0),AD22/1,IF(AD22=0,FLOOR((AE22+AF22)/2,0.1),IF(AE22=0,(AD22+AF22)/2,IF(AF22=0,(AE22+AD22)/2,FLOOR(((AD22+AE22+AF22)/3),0.1))))))))</f>
        <v/>
      </c>
      <c r="AH22" s="21" t="n">
        <v>16</v>
      </c>
      <c r="AI22" s="21" t="n">
        <v>32</v>
      </c>
      <c r="AJ22" s="27">
        <f>SUM(AH22:AI22)</f>
        <v/>
      </c>
      <c r="AK22" s="28" t="n">
        <v>65</v>
      </c>
      <c r="AL22" s="28" t="n">
        <v>44</v>
      </c>
      <c r="AM22" s="29">
        <f>IF(AND(AJ22=0,AK22=0,AL22=0),0,IF(AND(AJ22=0,AK22=0),AL22/1,IF(AND(AJ22=0,AL22=0),AK22/1,IF(AND(AK22=0,AL22=0),AJ22/1,IF(AJ22=0,FLOOR((AK22+AL22)/2,0.1),IF(AK22=0,(AJ22+AL22)/2,IF(AL22=0,(AK22+AJ22)/2,FLOOR(((AJ22+AK22+AL22)/3),0.1))))))))</f>
        <v/>
      </c>
      <c r="AN22" s="21" t="n"/>
      <c r="AO22" s="21" t="n"/>
      <c r="AP22" s="27">
        <f>SUM(AN22:AO22)</f>
        <v/>
      </c>
      <c r="AQ22" s="28" t="n"/>
      <c r="AR22" s="30" t="n"/>
      <c r="AS22" s="29">
        <f>IF(AND(AP22=0,AQ22=0,AR22=0),0,IF(AND(AP22=0,AQ22=0),AR22/1,IF(AND(AP22=0,AR22=0),AQ22/1,IF(AND(AQ22=0,AR22=0),AP22/1,IF(AP22=0,FLOOR((AQ22+AR22)/2,0.1),IF(AQ22=0,(AP22+AR22)/2,IF(AR22=0,(AQ22+AP22)/2,FLOOR(((AP22+AQ22+AR22)/3),0.1))))))))</f>
        <v/>
      </c>
      <c r="AT22" s="21" t="n">
        <v>30</v>
      </c>
      <c r="AU22" s="21" t="n">
        <v>50</v>
      </c>
      <c r="AV22" s="27">
        <f>SUM(AT22:AU22)</f>
        <v/>
      </c>
      <c r="AW22" s="28" t="n">
        <v>61</v>
      </c>
      <c r="AX22" s="30" t="n">
        <v>55</v>
      </c>
      <c r="AY22" s="29">
        <f>IF(AND(AV22=0,AW22=0,AX22=0),0,IF(AND(AV22=0,AW22=0),AX22/1,IF(AND(AV22=0,AX22=0),AW22/1,IF(AND(AW22=0,AX22=0),AV22/1,IF(AV22=0,FLOOR((AW22+AX22)/2,0.1),IF(AW22=0,(AV22+AX22)/2,IF(AX22=0,(AW22+AV22)/2,FLOOR(((AV22+AW22+AX22)/3),0.1))))))))</f>
        <v/>
      </c>
      <c r="AZ22" s="21" t="n">
        <v>25</v>
      </c>
      <c r="BA22" s="21" t="n">
        <v>30</v>
      </c>
      <c r="BB22" s="27">
        <f>SUM(AZ22:BA22)</f>
        <v/>
      </c>
      <c r="BC22" s="28" t="n">
        <v>58</v>
      </c>
      <c r="BD22" s="28" t="n">
        <v>56</v>
      </c>
      <c r="BE22" s="29">
        <f>IF(AND(BB22=0,BC22=0,BD22=0),0,IF(AND(BB22=0,BC22=0),BD22/1,IF(AND(BB22=0,BD22=0),BC22/1,IF(AND(BC22=0,BD22=0),BB22/1,IF(BB22=0,FLOOR((BC22+BD22)/2,0.1),IF(BC22=0,(BB22+BD22)/2,IF(BD22=0,(BC22+BB22)/2,FLOOR(((BB22+BC22+BD22)/3),0.1))))))))</f>
        <v/>
      </c>
      <c r="BF22" s="21" t="n">
        <v>15</v>
      </c>
      <c r="BG22" s="21" t="n">
        <v>38</v>
      </c>
      <c r="BH22" s="27">
        <f>SUM(BF22:BG22)</f>
        <v/>
      </c>
      <c r="BI22" s="28" t="n">
        <v>69</v>
      </c>
      <c r="BJ22" s="28" t="n">
        <v>55</v>
      </c>
      <c r="BK22" s="29">
        <f>IF(AND(BH22=0,BI22=0,BJ22=0),0,IF(AND(BH22=0,BI22=0),BJ22/1,IF(AND(BH22=0,BJ22=0),BI22/1,IF(AND(BI22=0,BJ22=0),BH22/1,IF(BH22=0,FLOOR((BI22+BJ22)/2,0.1),IF(BI22=0,(BH22+BJ22)/2,IF(BJ22=0,(BI22+BH22)/2,FLOOR(((BH22+BI22+BJ22)/3),0.1))))))))</f>
        <v/>
      </c>
      <c r="BL22" s="21" t="n">
        <v>17</v>
      </c>
      <c r="BM22" s="21" t="n">
        <v>43</v>
      </c>
      <c r="BN22" s="27">
        <f>SUM(BL22:BM22)</f>
        <v/>
      </c>
      <c r="BO22" s="28" t="n">
        <v>63</v>
      </c>
      <c r="BP22" s="31" t="n">
        <v>39</v>
      </c>
      <c r="BQ22" s="29">
        <f>IF(AND(BN22=0,BO22=0,BP22=0),0,IF(AND(BN22=0,BO22=0),BP22/1,IF(AND(BN22=0,BP22=0),BO22/1,IF(AND(BO22=0,BP22=0),BN22/1,IF(BN22=0,FLOOR((BO22+BP22)/2,0.1),IF(BO22=0,(BN22+BP22)/2,IF(BP22=0,(BO22+BN22)/2,FLOOR(((BN22+BO22+BP22)/3),0.1))))))))</f>
        <v/>
      </c>
      <c r="BR22" s="21" t="n"/>
      <c r="BS22" s="21" t="n"/>
      <c r="BT22" s="27">
        <f>SUM(BR22:BS22)</f>
        <v/>
      </c>
      <c r="BU22" s="28" t="n"/>
      <c r="BV22" s="31" t="n"/>
      <c r="BW22" s="29">
        <f>IF(AND(BT22=0,BU22=0,BV22=0),0,IF(AND(BT22=0,BU22=0),BV22/1,IF(AND(BT22=0,BV22=0),BU22/1,IF(AND(BU22=0,BV22=0),BT22/1,IF(BT22=0,FLOOR((BU22+BV22)/2,0.1),IF(BU22=0,(BT22+BV22)/2,IF(BV22=0,(BU22+BT22)/2,FLOOR(((BT22+BU22+BV22)/3),0.1))))))))</f>
        <v/>
      </c>
      <c r="BX22" s="21" t="n">
        <v>23</v>
      </c>
      <c r="BY22" s="21" t="n">
        <v>70</v>
      </c>
      <c r="BZ22" s="27">
        <f>SUM(BX22:BY22)</f>
        <v/>
      </c>
      <c r="CA22" s="28" t="n">
        <v>87</v>
      </c>
      <c r="CB22" s="31" t="n">
        <v>89</v>
      </c>
      <c r="CC22" s="29">
        <f>IF(AND(BZ22=0,CA22=0,CB22=0),0,IF(AND(BZ22=0,CA22=0),CB22/1,IF(AND(BZ22=0,CB22=0),CA22/1,IF(AND(CA22=0,CB22=0),BZ22/1,IF(BZ22=0,FLOOR((CA22+CB22)/2,0.1),IF(CA22=0,(BZ22+CB22)/2,IF(CB22=0,(CA22+BZ22)/2,FLOOR(((BZ22+CA22+CB22)/3),0.1))))))))</f>
        <v/>
      </c>
      <c r="CD22" s="21" t="n">
        <v>11</v>
      </c>
      <c r="CE22" s="21" t="n">
        <v>50</v>
      </c>
      <c r="CF22" s="27">
        <f>SUM(CD22:CE22)</f>
        <v/>
      </c>
      <c r="CG22" s="28" t="n">
        <v>41</v>
      </c>
      <c r="CH22" s="31" t="n">
        <v>38</v>
      </c>
      <c r="CI22" s="29">
        <f>IF(AND(CF22=0,CG22=0,CH22=0),0,IF(AND(CF22=0,CG22=0),CH22/1,IF(AND(CF22=0,CH22=0),CG22/1,IF(AND(CG22=0,CH22=0),CF22/1,IF(CF22=0,FLOOR((CG22+CH22)/2,0.1),IF(CG22=0,(CF22+CH22)/2,IF(CH22=0,(CG22+CF22)/2,FLOOR(((CF22+CG22+CH22)/3),0.1))))))))</f>
        <v/>
      </c>
      <c r="CJ22" s="21" t="n"/>
      <c r="CK22" s="21" t="n"/>
      <c r="CL22" s="27">
        <f>SUM(CJ22:CK22)</f>
        <v/>
      </c>
      <c r="CM22" s="28" t="n"/>
      <c r="CN22" s="31" t="n"/>
      <c r="CO22" s="29">
        <f>IF(AND(CL22=0,CM22=0,CN22=0),0,IF(AND(CL22=0,CM22=0),CN22/1,IF(AND(CL22=0,CN22=0),CM22/1,IF(AND(CM22=0,CN22=0),CL22/1,IF(CL22=0,FLOOR((CM22+CN22)/2,0.1),IF(CM22=0,(CL22+CN22)/2,IF(CN22=0,(CM22+CL22)/2,FLOOR(((CL22+CM22+CN22)/3),0.1))))))))</f>
        <v/>
      </c>
      <c r="CP22" s="21" t="n">
        <v>23</v>
      </c>
      <c r="CQ22" s="21" t="n">
        <v>55</v>
      </c>
      <c r="CR22" s="27">
        <f>SUM(CP22:CQ22)</f>
        <v/>
      </c>
      <c r="CS22" s="28" t="n">
        <v>44</v>
      </c>
      <c r="CT22" s="31" t="n">
        <v>62</v>
      </c>
      <c r="CU22" s="29">
        <f>IF(AND(CR22=0,CS22=0,CT22=0),0,IF(AND(CR22=0,CS22=0),CT22/1,IF(AND(CR22=0,CT22=0),CS22/1,IF(AND(CS22=0,CT22=0),CR22/1,IF(CR22=0,FLOOR((CS22+CT22)/2,0.1),IF(CS22=0,(CR22+CT22)/2,IF(CT22=0,(CS22+CR22)/2,FLOOR(((CR22+CS22+CT22)/3),0.1))))))))</f>
        <v/>
      </c>
      <c r="CV22" s="21" t="n"/>
      <c r="CW22" s="21" t="n"/>
      <c r="CX22" s="27">
        <f>SUM(CV22:CW22)</f>
        <v/>
      </c>
      <c r="CY22" s="28" t="n"/>
      <c r="CZ22" s="31" t="n"/>
      <c r="DA22" s="29">
        <f>IF(AND(CX22=0,CY22=0,CZ22=0),0,IF(AND(CX22=0,CY22=0),CZ22/1,IF(AND(CX22=0,CZ22=0),CY22/1,IF(AND(CY22=0,CZ22=0),CX22/1,IF(CX22=0,FLOOR((CY22+CZ22)/2,0.1),IF(CY22=0,(CX22+CZ22)/2,IF(CZ22=0,(CY22+CX22)/2,FLOOR(((CX22+CY22+CZ22)/3),0.1))))))))</f>
        <v/>
      </c>
      <c r="DB22" s="21" t="n"/>
      <c r="DC22" s="21" t="n"/>
      <c r="DD22" s="27">
        <f>SUM(DB22:DC22)</f>
        <v/>
      </c>
      <c r="DE22" s="28" t="n"/>
      <c r="DF22" s="31" t="n"/>
      <c r="DG22" s="29">
        <f>IF(AND(DD22=0,DE22=0,DF22=0),0,IF(AND(DD22=0,DE22=0),DF22/1,IF(AND(DD22=0,DF22=0),DE22/1,IF(AND(DE22=0,DF22=0),DD22/1,IF(DD22=0,FLOOR((DE22+DF22)/2,0.1),IF(DE22=0,(DD22+DF22)/2,IF(DF22=0,(DE22+DD22)/2,FLOOR(((DD22+DE22+DF22)/3),0.1))))))))</f>
        <v/>
      </c>
      <c r="DH22" s="34">
        <f>SUM(O22,U22,AA22,AG22,AM22,AS22,AY22,BE22,BK22,BQ22,BW22,CC22,CI22,CO22,CU22,DA22,DG22)</f>
        <v/>
      </c>
      <c r="DI22" s="39">
        <f>RANK(DH22,DH$4:DH$503)</f>
        <v/>
      </c>
      <c r="DJ22" s="40" t="inlineStr">
        <is>
          <t>GOOD(4)</t>
        </is>
      </c>
      <c r="DK22" s="40" t="inlineStr">
        <is>
          <t>GOOD(4)</t>
        </is>
      </c>
      <c r="DL22" s="40" t="inlineStr">
        <is>
          <t>GOOD(4)</t>
        </is>
      </c>
      <c r="DM22" s="40" t="inlineStr">
        <is>
          <t>EXCELLENT(5)</t>
        </is>
      </c>
      <c r="DN22" s="40" t="inlineStr">
        <is>
          <t>GOOD(4)</t>
        </is>
      </c>
      <c r="DO22" s="40" t="inlineStr">
        <is>
          <t>GOOD(4)</t>
        </is>
      </c>
      <c r="DP22" s="40" t="inlineStr">
        <is>
          <t>GOOD(4)</t>
        </is>
      </c>
      <c r="DQ22" s="40" t="inlineStr">
        <is>
          <t>GOOD(4)</t>
        </is>
      </c>
      <c r="DR22" s="43" t="inlineStr">
        <is>
          <t>2024/2025</t>
        </is>
      </c>
      <c r="DS22" s="45" t="inlineStr">
        <is>
          <t>THIRD</t>
        </is>
      </c>
      <c r="DT22" s="40" t="inlineStr">
        <is>
          <t>GOOD(4)</t>
        </is>
      </c>
      <c r="DU22" s="40" t="inlineStr">
        <is>
          <t>GOOD(4)</t>
        </is>
      </c>
      <c r="DV22" s="40" t="inlineStr">
        <is>
          <t>GOOD(4)</t>
        </is>
      </c>
      <c r="DW22" s="40" t="inlineStr">
        <is>
          <t>GOOD(4)</t>
        </is>
      </c>
      <c r="DX22" s="40" t="inlineStr">
        <is>
          <t>GOOD(4)</t>
        </is>
      </c>
      <c r="DY22" s="40" t="inlineStr">
        <is>
          <t>GOOD(4)</t>
        </is>
      </c>
      <c r="DZ22" s="53" t="inlineStr">
        <is>
          <t>GOOD(4)</t>
        </is>
      </c>
      <c r="EA22" s="54" t="inlineStr">
        <is>
          <t>Shows leadership qualities and a willingness to help others.</t>
        </is>
      </c>
      <c r="EB22" s="55" t="inlineStr">
        <is>
          <t>Promoted to JSS3</t>
        </is>
      </c>
      <c r="EC22" s="56" t="inlineStr">
        <is>
          <t>MR. JIMOH WASIU OLATUNDE</t>
        </is>
      </c>
      <c r="ED22" s="57" t="inlineStr">
        <is>
          <t>Next Term Begins on Monday, 15th September, 2043</t>
        </is>
      </c>
    </row>
    <row r="23" ht="30.6" customHeight="1" s="6">
      <c r="A23" s="18" t="n">
        <v>20</v>
      </c>
      <c r="B23" s="19" t="inlineStr">
        <is>
          <t xml:space="preserve">ODEDELE FAITH </t>
        </is>
      </c>
      <c r="C23" s="20" t="inlineStr">
        <is>
          <t>1897</t>
        </is>
      </c>
      <c r="D23" s="128" t="inlineStr">
        <is>
          <t>Male</t>
        </is>
      </c>
      <c r="E23" s="21" t="inlineStr">
        <is>
          <t>JSS 2C</t>
        </is>
      </c>
      <c r="F23" s="21" t="n">
        <v>31</v>
      </c>
      <c r="G23" s="21" t="n">
        <v>122</v>
      </c>
      <c r="H23" s="22" t="n">
        <v>102</v>
      </c>
      <c r="I23" s="26">
        <f>G23-H23</f>
        <v/>
      </c>
      <c r="J23" s="21" t="n">
        <v>16</v>
      </c>
      <c r="K23" s="21" t="n">
        <v>33</v>
      </c>
      <c r="L23" s="27">
        <f>SUM(J23:K23)</f>
        <v/>
      </c>
      <c r="M23" s="28" t="n">
        <v>77</v>
      </c>
      <c r="N23" s="28" t="n">
        <v>21</v>
      </c>
      <c r="O23" s="29">
        <f>IF(AND(L23=0,M23=0,N23=0),0,IF(AND(L23=0,M23=0),N23/1,IF(AND(L23=0,N23=0),M23/1,IF(AND(M23=0,N23=0),L23/1,IF(L23=0,FLOOR((M23+N23)/2,0.1),IF(M23=0,(L23+N23)/2,IF(N23=0,(M23+L23)/2,FLOOR(((L23+M23+N23)/3),0.1))))))))</f>
        <v/>
      </c>
      <c r="P23" s="21" t="n">
        <v>16</v>
      </c>
      <c r="Q23" s="21" t="n">
        <v>33</v>
      </c>
      <c r="R23" s="27">
        <f>SUM(P23:Q23)</f>
        <v/>
      </c>
      <c r="S23" s="28" t="n">
        <v>77</v>
      </c>
      <c r="T23" s="28" t="n">
        <v>21</v>
      </c>
      <c r="U23" s="29">
        <f>IF(AND(R23=0,S23=0,T23=0),0,IF(AND(R23=0,S23=0),T23/1,IF(AND(R23=0,T23=0),S23/1,IF(AND(S23=0,T23=0),R23/1,IF(R23=0,FLOOR((S23+T23)/2,0.1),IF(S23=0,(R23+T23)/2,IF(T23=0,(S23+R23)/2,FLOOR(((R23+S23+T23)/3),0.1))))))))</f>
        <v/>
      </c>
      <c r="V23" s="21" t="n">
        <v>25</v>
      </c>
      <c r="W23" s="21" t="n">
        <v>21</v>
      </c>
      <c r="X23" s="27">
        <f>SUM(V23:W23)</f>
        <v/>
      </c>
      <c r="Y23" s="28" t="n">
        <v>66</v>
      </c>
      <c r="Z23" s="28" t="n">
        <v>56</v>
      </c>
      <c r="AA23" s="29">
        <f>IF(AND(X23=0,Y23=0,Z23=0),0,IF(AND(X23=0,Y23=0),Z23/1,IF(AND(X23=0,Z23=0),Y23/1,IF(AND(Y23=0,Z23=0),X23/1,IF(X23=0,FLOOR((Y23+Z23)/2,0.1),IF(Y23=0,(X23+Z23)/2,IF(Z23=0,(Y23+X23)/2,FLOOR(((X23+Y23+Z23)/3),0.1))))))))</f>
        <v/>
      </c>
      <c r="AB23" s="21" t="n">
        <v>18</v>
      </c>
      <c r="AC23" s="21" t="n">
        <v>34</v>
      </c>
      <c r="AD23" s="27">
        <f>SUM(AB23:AC23)</f>
        <v/>
      </c>
      <c r="AE23" s="28" t="n">
        <v>51</v>
      </c>
      <c r="AF23" s="28" t="n">
        <v>52</v>
      </c>
      <c r="AG23" s="29">
        <f>IF(AND(AD23=0,AE23=0,AF23=0),0,IF(AND(AD23=0,AE23=0),AF23/1,IF(AND(AD23=0,AF23=0),AE23/1,IF(AND(AE23=0,AF23=0),AD23/1,IF(AD23=0,FLOOR((AE23+AF23)/2,0.1),IF(AE23=0,(AD23+AF23)/2,IF(AF23=0,(AE23+AD23)/2,FLOOR(((AD23+AE23+AF23)/3),0.1))))))))</f>
        <v/>
      </c>
      <c r="AH23" s="21" t="n">
        <v>18</v>
      </c>
      <c r="AI23" s="21" t="n">
        <v>31</v>
      </c>
      <c r="AJ23" s="27">
        <f>SUM(AH23:AI23)</f>
        <v/>
      </c>
      <c r="AK23" s="28" t="n">
        <v>59</v>
      </c>
      <c r="AL23" s="28" t="n">
        <v>17</v>
      </c>
      <c r="AM23" s="29">
        <f>IF(AND(AJ23=0,AK23=0,AL23=0),0,IF(AND(AJ23=0,AK23=0),AL23/1,IF(AND(AJ23=0,AL23=0),AK23/1,IF(AND(AK23=0,AL23=0),AJ23/1,IF(AJ23=0,FLOOR((AK23+AL23)/2,0.1),IF(AK23=0,(AJ23+AL23)/2,IF(AL23=0,(AK23+AJ23)/2,FLOOR(((AJ23+AK23+AL23)/3),0.1))))))))</f>
        <v/>
      </c>
      <c r="AN23" s="21" t="n"/>
      <c r="AO23" s="21" t="n"/>
      <c r="AP23" s="27">
        <f>SUM(AN23:AO23)</f>
        <v/>
      </c>
      <c r="AQ23" s="28" t="n"/>
      <c r="AR23" s="30" t="n"/>
      <c r="AS23" s="29">
        <f>IF(AND(AP23=0,AQ23=0,AR23=0),0,IF(AND(AP23=0,AQ23=0),AR23/1,IF(AND(AP23=0,AR23=0),AQ23/1,IF(AND(AQ23=0,AR23=0),AP23/1,IF(AP23=0,FLOOR((AQ23+AR23)/2,0.1),IF(AQ23=0,(AP23+AR23)/2,IF(AR23=0,(AQ23+AP23)/2,FLOOR(((AP23+AQ23+AR23)/3),0.1))))))))</f>
        <v/>
      </c>
      <c r="AT23" s="21" t="n">
        <v>20</v>
      </c>
      <c r="AU23" s="21" t="n">
        <v>31</v>
      </c>
      <c r="AV23" s="27">
        <f>SUM(AT23:AU23)</f>
        <v/>
      </c>
      <c r="AW23" s="28" t="n">
        <v>31</v>
      </c>
      <c r="AX23" s="30" t="n">
        <v>29</v>
      </c>
      <c r="AY23" s="29">
        <f>IF(AND(AV23=0,AW23=0,AX23=0),0,IF(AND(AV23=0,AW23=0),AX23/1,IF(AND(AV23=0,AX23=0),AW23/1,IF(AND(AW23=0,AX23=0),AV23/1,IF(AV23=0,FLOOR((AW23+AX23)/2,0.1),IF(AW23=0,(AV23+AX23)/2,IF(AX23=0,(AW23+AV23)/2,FLOOR(((AV23+AW23+AX23)/3),0.1))))))))</f>
        <v/>
      </c>
      <c r="AZ23" s="21" t="n">
        <v>20</v>
      </c>
      <c r="BA23" s="21" t="n">
        <v>35</v>
      </c>
      <c r="BB23" s="27">
        <f>SUM(AZ23:BA23)</f>
        <v/>
      </c>
      <c r="BC23" s="28" t="n">
        <v>73</v>
      </c>
      <c r="BD23" s="28" t="n">
        <v>64</v>
      </c>
      <c r="BE23" s="29">
        <f>IF(AND(BB23=0,BC23=0,BD23=0),0,IF(AND(BB23=0,BC23=0),BD23/1,IF(AND(BB23=0,BD23=0),BC23/1,IF(AND(BC23=0,BD23=0),BB23/1,IF(BB23=0,FLOOR((BC23+BD23)/2,0.1),IF(BC23=0,(BB23+BD23)/2,IF(BD23=0,(BC23+BB23)/2,FLOOR(((BB23+BC23+BD23)/3),0.1))))))))</f>
        <v/>
      </c>
      <c r="BF23" s="21" t="n">
        <v>14</v>
      </c>
      <c r="BG23" s="21" t="n">
        <v>40</v>
      </c>
      <c r="BH23" s="27">
        <f>SUM(BF23:BG23)</f>
        <v/>
      </c>
      <c r="BI23" s="28" t="n">
        <v>49</v>
      </c>
      <c r="BJ23" s="28" t="n">
        <v>27</v>
      </c>
      <c r="BK23" s="29">
        <f>IF(AND(BH23=0,BI23=0,BJ23=0),0,IF(AND(BH23=0,BI23=0),BJ23/1,IF(AND(BH23=0,BJ23=0),BI23/1,IF(AND(BI23=0,BJ23=0),BH23/1,IF(BH23=0,FLOOR((BI23+BJ23)/2,0.1),IF(BI23=0,(BH23+BJ23)/2,IF(BJ23=0,(BI23+BH23)/2,FLOOR(((BH23+BI23+BJ23)/3),0.1))))))))</f>
        <v/>
      </c>
      <c r="BL23" s="21" t="n">
        <v>20</v>
      </c>
      <c r="BM23" s="21" t="n">
        <v>30</v>
      </c>
      <c r="BN23" s="27">
        <f>SUM(BL23:BM23)</f>
        <v/>
      </c>
      <c r="BO23" s="28" t="n">
        <v>70</v>
      </c>
      <c r="BP23" s="31" t="n">
        <v>50</v>
      </c>
      <c r="BQ23" s="29">
        <f>IF(AND(BN23=0,BO23=0,BP23=0),0,IF(AND(BN23=0,BO23=0),BP23/1,IF(AND(BN23=0,BP23=0),BO23/1,IF(AND(BO23=0,BP23=0),BN23/1,IF(BN23=0,FLOOR((BO23+BP23)/2,0.1),IF(BO23=0,(BN23+BP23)/2,IF(BP23=0,(BO23+BN23)/2,FLOOR(((BN23+BO23+BP23)/3),0.1))))))))</f>
        <v/>
      </c>
      <c r="BR23" s="21" t="n"/>
      <c r="BS23" s="21" t="n"/>
      <c r="BT23" s="27">
        <f>SUM(BR23:BS23)</f>
        <v/>
      </c>
      <c r="BU23" s="28" t="n"/>
      <c r="BV23" s="31" t="n"/>
      <c r="BW23" s="29">
        <f>IF(AND(BT23=0,BU23=0,BV23=0),0,IF(AND(BT23=0,BU23=0),BV23/1,IF(AND(BT23=0,BV23=0),BU23/1,IF(AND(BU23=0,BV23=0),BT23/1,IF(BT23=0,FLOOR((BU23+BV23)/2,0.1),IF(BU23=0,(BT23+BV23)/2,IF(BV23=0,(BU23+BT23)/2,FLOOR(((BT23+BU23+BV23)/3),0.1))))))))</f>
        <v/>
      </c>
      <c r="BX23" s="21" t="n">
        <v>24</v>
      </c>
      <c r="BY23" s="21" t="n">
        <v>69</v>
      </c>
      <c r="BZ23" s="27">
        <f>SUM(BX23:BY23)</f>
        <v/>
      </c>
      <c r="CA23" s="28" t="n">
        <v>52</v>
      </c>
      <c r="CB23" s="31" t="n">
        <v>55</v>
      </c>
      <c r="CC23" s="29">
        <f>IF(AND(BZ23=0,CA23=0,CB23=0),0,IF(AND(BZ23=0,CA23=0),CB23/1,IF(AND(BZ23=0,CB23=0),CA23/1,IF(AND(CA23=0,CB23=0),BZ23/1,IF(BZ23=0,FLOOR((CA23+CB23)/2,0.1),IF(CA23=0,(BZ23+CB23)/2,IF(CB23=0,(CA23+BZ23)/2,FLOOR(((BZ23+CA23+CB23)/3),0.1))))))))</f>
        <v/>
      </c>
      <c r="CD23" s="21" t="n">
        <v>15</v>
      </c>
      <c r="CE23" s="21" t="n">
        <v>35</v>
      </c>
      <c r="CF23" s="27">
        <f>SUM(CD23:CE23)</f>
        <v/>
      </c>
      <c r="CG23" s="28" t="n">
        <v>36</v>
      </c>
      <c r="CH23" s="31" t="n">
        <v>38</v>
      </c>
      <c r="CI23" s="29">
        <f>IF(AND(CF23=0,CG23=0,CH23=0),0,IF(AND(CF23=0,CG23=0),CH23/1,IF(AND(CF23=0,CH23=0),CG23/1,IF(AND(CG23=0,CH23=0),CF23/1,IF(CF23=0,FLOOR((CG23+CH23)/2,0.1),IF(CG23=0,(CF23+CH23)/2,IF(CH23=0,(CG23+CF23)/2,FLOOR(((CF23+CG23+CH23)/3),0.1))))))))</f>
        <v/>
      </c>
      <c r="CJ23" s="21" t="n"/>
      <c r="CK23" s="21" t="n"/>
      <c r="CL23" s="27">
        <f>SUM(CJ23:CK23)</f>
        <v/>
      </c>
      <c r="CM23" s="28" t="n"/>
      <c r="CN23" s="31" t="n"/>
      <c r="CO23" s="29">
        <f>IF(AND(CL23=0,CM23=0,CN23=0),0,IF(AND(CL23=0,CM23=0),CN23/1,IF(AND(CL23=0,CN23=0),CM23/1,IF(AND(CM23=0,CN23=0),CL23/1,IF(CL23=0,FLOOR((CM23+CN23)/2,0.1),IF(CM23=0,(CL23+CN23)/2,IF(CN23=0,(CM23+CL23)/2,FLOOR(((CL23+CM23+CN23)/3),0.1))))))))</f>
        <v/>
      </c>
      <c r="CP23" s="21" t="n"/>
      <c r="CQ23" s="21" t="n"/>
      <c r="CR23" s="27">
        <f>SUM(CP23:CQ23)</f>
        <v/>
      </c>
      <c r="CS23" s="28" t="n"/>
      <c r="CT23" s="31" t="n"/>
      <c r="CU23" s="29">
        <f>IF(AND(CR23=0,CS23=0,CT23=0),0,IF(AND(CR23=0,CS23=0),CT23/1,IF(AND(CR23=0,CT23=0),CS23/1,IF(AND(CS23=0,CT23=0),CR23/1,IF(CR23=0,FLOOR((CS23+CT23)/2,0.1),IF(CS23=0,(CR23+CT23)/2,IF(CT23=0,(CS23+CR23)/2,FLOOR(((CR23+CS23+CT23)/3),0.1))))))))</f>
        <v/>
      </c>
      <c r="CV23" s="21" t="n">
        <v>10</v>
      </c>
      <c r="CW23" s="21" t="n">
        <v>30</v>
      </c>
      <c r="CX23" s="27">
        <f>SUM(CV23:CW23)</f>
        <v/>
      </c>
      <c r="CY23" s="28" t="n">
        <v>38</v>
      </c>
      <c r="CZ23" s="31" t="n">
        <v>35</v>
      </c>
      <c r="DA23" s="29">
        <f>IF(AND(CX23=0,CY23=0,CZ23=0),0,IF(AND(CX23=0,CY23=0),CZ23/1,IF(AND(CX23=0,CZ23=0),CY23/1,IF(AND(CY23=0,CZ23=0),CX23/1,IF(CX23=0,FLOOR((CY23+CZ23)/2,0.1),IF(CY23=0,(CX23+CZ23)/2,IF(CZ23=0,(CY23+CX23)/2,FLOOR(((CX23+CY23+CZ23)/3),0.1))))))))</f>
        <v/>
      </c>
      <c r="DB23" s="21" t="n"/>
      <c r="DC23" s="21" t="n"/>
      <c r="DD23" s="27">
        <f>SUM(DB23:DC23)</f>
        <v/>
      </c>
      <c r="DE23" s="28" t="n"/>
      <c r="DF23" s="31" t="n"/>
      <c r="DG23" s="29">
        <f>IF(AND(DD23=0,DE23=0,DF23=0),0,IF(AND(DD23=0,DE23=0),DF23/1,IF(AND(DD23=0,DF23=0),DE23/1,IF(AND(DE23=0,DF23=0),DD23/1,IF(DD23=0,FLOOR((DE23+DF23)/2,0.1),IF(DE23=0,(DD23+DF23)/2,IF(DF23=0,(DE23+DD23)/2,FLOOR(((DD23+DE23+DF23)/3),0.1))))))))</f>
        <v/>
      </c>
      <c r="DH23" s="34">
        <f>SUM(O23,U23,AA23,AG23,AM23,AS23,AY23,BE23,BK23,BQ23,BW23,CC23,CI23,CO23,CU23,DA23,DG23)</f>
        <v/>
      </c>
      <c r="DI23" s="39">
        <f>RANK(DH23,DH$4:DH$503)</f>
        <v/>
      </c>
      <c r="DJ23" s="40" t="inlineStr">
        <is>
          <t>GOOD(4)</t>
        </is>
      </c>
      <c r="DK23" s="40" t="inlineStr">
        <is>
          <t>GOOD(4)</t>
        </is>
      </c>
      <c r="DL23" s="40" t="inlineStr">
        <is>
          <t>GOOD(4)</t>
        </is>
      </c>
      <c r="DM23" s="40" t="inlineStr">
        <is>
          <t>EXCELLENT(5)</t>
        </is>
      </c>
      <c r="DN23" s="40" t="inlineStr">
        <is>
          <t>GOOD(4)</t>
        </is>
      </c>
      <c r="DO23" s="40" t="inlineStr">
        <is>
          <t>GOOD(4)</t>
        </is>
      </c>
      <c r="DP23" s="40" t="inlineStr">
        <is>
          <t>GOOD(4)</t>
        </is>
      </c>
      <c r="DQ23" s="40" t="inlineStr">
        <is>
          <t>GOOD(4)</t>
        </is>
      </c>
      <c r="DR23" s="43" t="inlineStr">
        <is>
          <t>2024/2025</t>
        </is>
      </c>
      <c r="DS23" s="45" t="inlineStr">
        <is>
          <t>THIRD</t>
        </is>
      </c>
      <c r="DT23" s="40" t="inlineStr">
        <is>
          <t>GOOD(4)</t>
        </is>
      </c>
      <c r="DU23" s="40" t="inlineStr">
        <is>
          <t>GOOD(4)</t>
        </is>
      </c>
      <c r="DV23" s="40" t="inlineStr">
        <is>
          <t>GOOD(4)</t>
        </is>
      </c>
      <c r="DW23" s="40" t="inlineStr">
        <is>
          <t>GOOD(4)</t>
        </is>
      </c>
      <c r="DX23" s="40" t="inlineStr">
        <is>
          <t>GOOD(4)</t>
        </is>
      </c>
      <c r="DY23" s="40" t="inlineStr">
        <is>
          <t>GOOD(4)</t>
        </is>
      </c>
      <c r="DZ23" s="53" t="inlineStr">
        <is>
          <t>GOOD(4)</t>
        </is>
      </c>
      <c r="EA23" s="54" t="inlineStr">
        <is>
          <t>Has made noticeable progress in social and emotional growth.</t>
        </is>
      </c>
      <c r="EB23" s="55" t="inlineStr">
        <is>
          <t>Promoted to JSS3</t>
        </is>
      </c>
      <c r="EC23" s="56" t="inlineStr">
        <is>
          <t>MR. JIMOH WASIU OLATUNDE</t>
        </is>
      </c>
      <c r="ED23" s="57" t="inlineStr">
        <is>
          <t>Next Term Begins on Monday, 15th September, 2044</t>
        </is>
      </c>
    </row>
    <row r="24" ht="30.6" customHeight="1" s="6">
      <c r="A24" s="18" t="n">
        <v>21</v>
      </c>
      <c r="B24" s="19" t="inlineStr">
        <is>
          <t>ODEJIDE ISRAEL A.</t>
        </is>
      </c>
      <c r="C24" s="20" t="inlineStr">
        <is>
          <t>1829</t>
        </is>
      </c>
      <c r="D24" s="128" t="inlineStr">
        <is>
          <t>Male</t>
        </is>
      </c>
      <c r="E24" s="21" t="inlineStr">
        <is>
          <t>JSS 2C</t>
        </is>
      </c>
      <c r="F24" s="21" t="n">
        <v>31</v>
      </c>
      <c r="G24" s="21" t="n">
        <v>122</v>
      </c>
      <c r="H24" s="22" t="n">
        <v>120</v>
      </c>
      <c r="I24" s="26">
        <f>G24-H24</f>
        <v/>
      </c>
      <c r="J24" s="21" t="n">
        <v>20</v>
      </c>
      <c r="K24" s="21" t="n">
        <v>36</v>
      </c>
      <c r="L24" s="27">
        <f>SUM(J24:K24)</f>
        <v/>
      </c>
      <c r="M24" s="28" t="n">
        <v>23</v>
      </c>
      <c r="N24" s="28" t="n">
        <v>30</v>
      </c>
      <c r="O24" s="29">
        <f>IF(AND(L24=0,M24=0,N24=0),0,IF(AND(L24=0,M24=0),N24/1,IF(AND(L24=0,N24=0),M24/1,IF(AND(M24=0,N24=0),L24/1,IF(L24=0,FLOOR((M24+N24)/2,0.1),IF(M24=0,(L24+N24)/2,IF(N24=0,(M24+L24)/2,FLOOR(((L24+M24+N24)/3),0.1))))))))</f>
        <v/>
      </c>
      <c r="P24" s="21" t="n">
        <v>16</v>
      </c>
      <c r="Q24" s="21" t="n">
        <v>31</v>
      </c>
      <c r="R24" s="27">
        <f>SUM(P24:Q24)</f>
        <v/>
      </c>
      <c r="S24" s="28" t="n">
        <v>57</v>
      </c>
      <c r="T24" s="28" t="n">
        <v>36</v>
      </c>
      <c r="U24" s="29">
        <f>IF(AND(R24=0,S24=0,T24=0),0,IF(AND(R24=0,S24=0),T24/1,IF(AND(R24=0,T24=0),S24/1,IF(AND(S24=0,T24=0),R24/1,IF(R24=0,FLOOR((S24+T24)/2,0.1),IF(S24=0,(R24+T24)/2,IF(T24=0,(S24+R24)/2,FLOOR(((R24+S24+T24)/3),0.1))))))))</f>
        <v/>
      </c>
      <c r="V24" s="21" t="n">
        <v>21</v>
      </c>
      <c r="W24" s="21" t="n">
        <v>13</v>
      </c>
      <c r="X24" s="27">
        <f>SUM(V24:W24)</f>
        <v/>
      </c>
      <c r="Y24" s="28" t="n">
        <v>48</v>
      </c>
      <c r="Z24" s="28" t="n">
        <v>41</v>
      </c>
      <c r="AA24" s="29">
        <f>IF(AND(X24=0,Y24=0,Z24=0),0,IF(AND(X24=0,Y24=0),Z24/1,IF(AND(X24=0,Z24=0),Y24/1,IF(AND(Y24=0,Z24=0),X24/1,IF(X24=0,FLOOR((Y24+Z24)/2,0.1),IF(Y24=0,(X24+Z24)/2,IF(Z24=0,(Y24+X24)/2,FLOOR(((X24+Y24+Z24)/3),0.1))))))))</f>
        <v/>
      </c>
      <c r="AB24" s="21" t="n">
        <v>19</v>
      </c>
      <c r="AC24" s="21" t="n">
        <v>29</v>
      </c>
      <c r="AD24" s="27">
        <f>SUM(AB24:AC24)</f>
        <v/>
      </c>
      <c r="AE24" s="28" t="n">
        <v>52</v>
      </c>
      <c r="AF24" s="28" t="n">
        <v>50</v>
      </c>
      <c r="AG24" s="29">
        <f>IF(AND(AD24=0,AE24=0,AF24=0),0,IF(AND(AD24=0,AE24=0),AF24/1,IF(AND(AD24=0,AF24=0),AE24/1,IF(AND(AE24=0,AF24=0),AD24/1,IF(AD24=0,FLOOR((AE24+AF24)/2,0.1),IF(AE24=0,(AD24+AF24)/2,IF(AF24=0,(AE24+AD24)/2,FLOOR(((AD24+AE24+AF24)/3),0.1))))))))</f>
        <v/>
      </c>
      <c r="AH24" s="21" t="n">
        <v>16</v>
      </c>
      <c r="AI24" s="21" t="n">
        <v>28</v>
      </c>
      <c r="AJ24" s="27">
        <f>SUM(AH24:AI24)</f>
        <v/>
      </c>
      <c r="AK24" s="28" t="n">
        <v>42</v>
      </c>
      <c r="AL24" s="28" t="n">
        <v>37</v>
      </c>
      <c r="AM24" s="29">
        <f>IF(AND(AJ24=0,AK24=0,AL24=0),0,IF(AND(AJ24=0,AK24=0),AL24/1,IF(AND(AJ24=0,AL24=0),AK24/1,IF(AND(AK24=0,AL24=0),AJ24/1,IF(AJ24=0,FLOOR((AK24+AL24)/2,0.1),IF(AK24=0,(AJ24+AL24)/2,IF(AL24=0,(AK24+AJ24)/2,FLOOR(((AJ24+AK24+AL24)/3),0.1))))))))</f>
        <v/>
      </c>
      <c r="AN24" s="21" t="n"/>
      <c r="AO24" s="21" t="n"/>
      <c r="AP24" s="27">
        <f>SUM(AN24:AO24)</f>
        <v/>
      </c>
      <c r="AQ24" s="28" t="n"/>
      <c r="AR24" s="30" t="n"/>
      <c r="AS24" s="29">
        <f>IF(AND(AP24=0,AQ24=0,AR24=0),0,IF(AND(AP24=0,AQ24=0),AR24/1,IF(AND(AP24=0,AR24=0),AQ24/1,IF(AND(AQ24=0,AR24=0),AP24/1,IF(AP24=0,FLOOR((AQ24+AR24)/2,0.1),IF(AQ24=0,(AP24+AR24)/2,IF(AR24=0,(AQ24+AP24)/2,FLOOR(((AP24+AQ24+AR24)/3),0.1))))))))</f>
        <v/>
      </c>
      <c r="AT24" s="21" t="n">
        <v>20</v>
      </c>
      <c r="AU24" s="21" t="n">
        <v>32</v>
      </c>
      <c r="AV24" s="27">
        <f>SUM(AT24:AU24)</f>
        <v/>
      </c>
      <c r="AW24" s="28" t="n">
        <v>34</v>
      </c>
      <c r="AX24" s="30" t="n">
        <v>45</v>
      </c>
      <c r="AY24" s="29">
        <f>IF(AND(AV24=0,AW24=0,AX24=0),0,IF(AND(AV24=0,AW24=0),AX24/1,IF(AND(AV24=0,AX24=0),AW24/1,IF(AND(AW24=0,AX24=0),AV24/1,IF(AV24=0,FLOOR((AW24+AX24)/2,0.1),IF(AW24=0,(AV24+AX24)/2,IF(AX24=0,(AW24+AV24)/2,FLOOR(((AV24+AW24+AX24)/3),0.1))))))))</f>
        <v/>
      </c>
      <c r="AZ24" s="21" t="n">
        <v>19</v>
      </c>
      <c r="BA24" s="21" t="n">
        <v>32</v>
      </c>
      <c r="BB24" s="27">
        <f>SUM(AZ24:BA24)</f>
        <v/>
      </c>
      <c r="BC24" s="28" t="n">
        <v>48</v>
      </c>
      <c r="BD24" s="28" t="n">
        <v>50</v>
      </c>
      <c r="BE24" s="29">
        <f>IF(AND(BB24=0,BC24=0,BD24=0),0,IF(AND(BB24=0,BC24=0),BD24/1,IF(AND(BB24=0,BD24=0),BC24/1,IF(AND(BC24=0,BD24=0),BB24/1,IF(BB24=0,FLOOR((BC24+BD24)/2,0.1),IF(BC24=0,(BB24+BD24)/2,IF(BD24=0,(BC24+BB24)/2,FLOOR(((BB24+BC24+BD24)/3),0.1))))))))</f>
        <v/>
      </c>
      <c r="BF24" s="21" t="n">
        <v>17</v>
      </c>
      <c r="BG24" s="21" t="n">
        <v>36</v>
      </c>
      <c r="BH24" s="27">
        <f>SUM(BF24:BG24)</f>
        <v/>
      </c>
      <c r="BI24" s="28" t="n">
        <v>50</v>
      </c>
      <c r="BJ24" s="28" t="n">
        <v>25</v>
      </c>
      <c r="BK24" s="29">
        <f>IF(AND(BH24=0,BI24=0,BJ24=0),0,IF(AND(BH24=0,BI24=0),BJ24/1,IF(AND(BH24=0,BJ24=0),BI24/1,IF(AND(BI24=0,BJ24=0),BH24/1,IF(BH24=0,FLOOR((BI24+BJ24)/2,0.1),IF(BI24=0,(BH24+BJ24)/2,IF(BJ24=0,(BI24+BH24)/2,FLOOR(((BH24+BI24+BJ24)/3),0.1))))))))</f>
        <v/>
      </c>
      <c r="BL24" s="21" t="n">
        <v>20</v>
      </c>
      <c r="BM24" s="21" t="n">
        <v>30</v>
      </c>
      <c r="BN24" s="27">
        <f>SUM(BL24:BM24)</f>
        <v/>
      </c>
      <c r="BO24" s="28" t="n">
        <v>40</v>
      </c>
      <c r="BP24" s="31" t="n">
        <v>40</v>
      </c>
      <c r="BQ24" s="29">
        <f>IF(AND(BN24=0,BO24=0,BP24=0),0,IF(AND(BN24=0,BO24=0),BP24/1,IF(AND(BN24=0,BP24=0),BO24/1,IF(AND(BO24=0,BP24=0),BN24/1,IF(BN24=0,FLOOR((BO24+BP24)/2,0.1),IF(BO24=0,(BN24+BP24)/2,IF(BP24=0,(BO24+BN24)/2,FLOOR(((BN24+BO24+BP24)/3),0.1))))))))</f>
        <v/>
      </c>
      <c r="BR24" s="21" t="n"/>
      <c r="BS24" s="21" t="n"/>
      <c r="BT24" s="27">
        <f>SUM(BR24:BS24)</f>
        <v/>
      </c>
      <c r="BU24" s="28" t="n"/>
      <c r="BV24" s="31" t="n"/>
      <c r="BW24" s="29">
        <f>IF(AND(BT24=0,BU24=0,BV24=0),0,IF(AND(BT24=0,BU24=0),BV24/1,IF(AND(BT24=0,BV24=0),BU24/1,IF(AND(BU24=0,BV24=0),BT24/1,IF(BT24=0,FLOOR((BU24+BV24)/2,0.1),IF(BU24=0,(BT24+BV24)/2,IF(BV24=0,(BU24+BT24)/2,FLOOR(((BT24+BU24+BV24)/3),0.1))))))))</f>
        <v/>
      </c>
      <c r="BX24" s="21" t="n">
        <v>25</v>
      </c>
      <c r="BY24" s="21" t="n">
        <v>68</v>
      </c>
      <c r="BZ24" s="27">
        <f>SUM(BX24:BY24)</f>
        <v/>
      </c>
      <c r="CA24" s="28" t="n">
        <v>47</v>
      </c>
      <c r="CB24" s="31" t="n">
        <v>31</v>
      </c>
      <c r="CC24" s="29">
        <f>IF(AND(BZ24=0,CA24=0,CB24=0),0,IF(AND(BZ24=0,CA24=0),CB24/1,IF(AND(BZ24=0,CB24=0),CA24/1,IF(AND(CA24=0,CB24=0),BZ24/1,IF(BZ24=0,FLOOR((CA24+CB24)/2,0.1),IF(CA24=0,(BZ24+CB24)/2,IF(CB24=0,(CA24+BZ24)/2,FLOOR(((BZ24+CA24+CB24)/3),0.1))))))))</f>
        <v/>
      </c>
      <c r="CD24" s="21" t="n">
        <v>14</v>
      </c>
      <c r="CE24" s="21" t="n">
        <v>48</v>
      </c>
      <c r="CF24" s="27">
        <f>SUM(CD24:CE24)</f>
        <v/>
      </c>
      <c r="CG24" s="28" t="n">
        <v>24</v>
      </c>
      <c r="CH24" s="31" t="n">
        <v>34</v>
      </c>
      <c r="CI24" s="29">
        <f>IF(AND(CF24=0,CG24=0,CH24=0),0,IF(AND(CF24=0,CG24=0),CH24/1,IF(AND(CF24=0,CH24=0),CG24/1,IF(AND(CG24=0,CH24=0),CF24/1,IF(CF24=0,FLOOR((CG24+CH24)/2,0.1),IF(CG24=0,(CF24+CH24)/2,IF(CH24=0,(CG24+CF24)/2,FLOOR(((CF24+CG24+CH24)/3),0.1))))))))</f>
        <v/>
      </c>
      <c r="CJ24" s="21" t="n"/>
      <c r="CK24" s="21" t="n"/>
      <c r="CL24" s="27">
        <f>SUM(CJ24:CK24)</f>
        <v/>
      </c>
      <c r="CM24" s="28" t="n"/>
      <c r="CN24" s="31" t="n"/>
      <c r="CO24" s="29">
        <f>IF(AND(CL24=0,CM24=0,CN24=0),0,IF(AND(CL24=0,CM24=0),CN24/1,IF(AND(CL24=0,CN24=0),CM24/1,IF(AND(CM24=0,CN24=0),CL24/1,IF(CL24=0,FLOOR((CM24+CN24)/2,0.1),IF(CM24=0,(CL24+CN24)/2,IF(CN24=0,(CM24+CL24)/2,FLOOR(((CL24+CM24+CN24)/3),0.1))))))))</f>
        <v/>
      </c>
      <c r="CP24" s="21" t="n"/>
      <c r="CQ24" s="21" t="n"/>
      <c r="CR24" s="27">
        <f>SUM(CP24:CQ24)</f>
        <v/>
      </c>
      <c r="CS24" s="28" t="n"/>
      <c r="CT24" s="31" t="n"/>
      <c r="CU24" s="29">
        <f>IF(AND(CR24=0,CS24=0,CT24=0),0,IF(AND(CR24=0,CS24=0),CT24/1,IF(AND(CR24=0,CT24=0),CS24/1,IF(AND(CS24=0,CT24=0),CR24/1,IF(CR24=0,FLOOR((CS24+CT24)/2,0.1),IF(CS24=0,(CR24+CT24)/2,IF(CT24=0,(CS24+CR24)/2,FLOOR(((CR24+CS24+CT24)/3),0.1))))))))</f>
        <v/>
      </c>
      <c r="CV24" s="21" t="n">
        <v>28</v>
      </c>
      <c r="CW24" s="21" t="n">
        <v>21</v>
      </c>
      <c r="CX24" s="27">
        <f>SUM(CV24:CW24)</f>
        <v/>
      </c>
      <c r="CY24" s="28" t="n">
        <v>12</v>
      </c>
      <c r="CZ24" s="31" t="n">
        <v>15</v>
      </c>
      <c r="DA24" s="29">
        <f>IF(AND(CX24=0,CY24=0,CZ24=0),0,IF(AND(CX24=0,CY24=0),CZ24/1,IF(AND(CX24=0,CZ24=0),CY24/1,IF(AND(CY24=0,CZ24=0),CX24/1,IF(CX24=0,FLOOR((CY24+CZ24)/2,0.1),IF(CY24=0,(CX24+CZ24)/2,IF(CZ24=0,(CY24+CX24)/2,FLOOR(((CX24+CY24+CZ24)/3),0.1))))))))</f>
        <v/>
      </c>
      <c r="DB24" s="21" t="n"/>
      <c r="DC24" s="21" t="n"/>
      <c r="DD24" s="27">
        <f>SUM(DB24:DC24)</f>
        <v/>
      </c>
      <c r="DE24" s="28" t="n"/>
      <c r="DF24" s="31" t="n"/>
      <c r="DG24" s="29">
        <f>IF(AND(DD24=0,DE24=0,DF24=0),0,IF(AND(DD24=0,DE24=0),DF24/1,IF(AND(DD24=0,DF24=0),DE24/1,IF(AND(DE24=0,DF24=0),DD24/1,IF(DD24=0,FLOOR((DE24+DF24)/2,0.1),IF(DE24=0,(DD24+DF24)/2,IF(DF24=0,(DE24+DD24)/2,FLOOR(((DD24+DE24+DF24)/3),0.1))))))))</f>
        <v/>
      </c>
      <c r="DH24" s="34">
        <f>SUM(O24,U24,AA24,AG24,AM24,AS24,AY24,BE24,BK24,BQ24,BW24,CC24,CI24,CO24,CU24,DA24,DG24)</f>
        <v/>
      </c>
      <c r="DI24" s="39">
        <f>RANK(DH24,DH$4:DH$503)</f>
        <v/>
      </c>
      <c r="DJ24" s="40" t="inlineStr">
        <is>
          <t>EXCELLENT(5)</t>
        </is>
      </c>
      <c r="DK24" s="40" t="inlineStr">
        <is>
          <t>GOOD(4)</t>
        </is>
      </c>
      <c r="DL24" s="40" t="inlineStr">
        <is>
          <t>GOOD(4)</t>
        </is>
      </c>
      <c r="DM24" s="40" t="inlineStr">
        <is>
          <t>EXCELLENT(5)</t>
        </is>
      </c>
      <c r="DN24" s="40" t="inlineStr">
        <is>
          <t>GOOD(4)</t>
        </is>
      </c>
      <c r="DO24" s="40" t="inlineStr">
        <is>
          <t>GOOD(4)</t>
        </is>
      </c>
      <c r="DP24" s="40" t="inlineStr">
        <is>
          <t>GOOD(4)</t>
        </is>
      </c>
      <c r="DQ24" s="40" t="inlineStr">
        <is>
          <t>GOOD(4)</t>
        </is>
      </c>
      <c r="DR24" s="43" t="inlineStr">
        <is>
          <t>2024/2025</t>
        </is>
      </c>
      <c r="DS24" s="45" t="inlineStr">
        <is>
          <t>THIRD</t>
        </is>
      </c>
      <c r="DT24" s="40" t="inlineStr">
        <is>
          <t>GOOD(4)</t>
        </is>
      </c>
      <c r="DU24" s="40" t="inlineStr">
        <is>
          <t>GOOD(4)</t>
        </is>
      </c>
      <c r="DV24" s="40" t="inlineStr">
        <is>
          <t>GOOD(4)</t>
        </is>
      </c>
      <c r="DW24" s="40" t="inlineStr">
        <is>
          <t>GOOD(4)</t>
        </is>
      </c>
      <c r="DX24" s="40" t="inlineStr">
        <is>
          <t>GOOD(4)</t>
        </is>
      </c>
      <c r="DY24" s="40" t="inlineStr">
        <is>
          <t>GOOD(4)</t>
        </is>
      </c>
      <c r="DZ24" s="53" t="inlineStr">
        <is>
          <t>GOOD(4)</t>
        </is>
      </c>
      <c r="EA24" s="54" t="inlineStr">
        <is>
          <t>Needs to focus more during lessons to achieve full potential.</t>
        </is>
      </c>
      <c r="EB24" s="55" t="inlineStr">
        <is>
          <t>Promoted on trial to JSS3</t>
        </is>
      </c>
      <c r="EC24" s="56" t="inlineStr">
        <is>
          <t>MR. JIMOH WASIU OLATUNDE</t>
        </is>
      </c>
      <c r="ED24" s="57" t="inlineStr">
        <is>
          <t>Next Term Begins on Monday, 15th September, 2045</t>
        </is>
      </c>
    </row>
    <row r="25" ht="30.6" customHeight="1" s="6">
      <c r="A25" s="18" t="n">
        <v>22</v>
      </c>
      <c r="B25" s="19" t="inlineStr">
        <is>
          <t xml:space="preserve">OGUNBAYO TAIWO </t>
        </is>
      </c>
      <c r="C25" s="20" t="inlineStr">
        <is>
          <t>2050</t>
        </is>
      </c>
      <c r="D25" s="128" t="inlineStr">
        <is>
          <t>Male</t>
        </is>
      </c>
      <c r="E25" s="21" t="inlineStr">
        <is>
          <t>JSS 2C</t>
        </is>
      </c>
      <c r="F25" s="21" t="n">
        <v>31</v>
      </c>
      <c r="G25" s="21" t="n">
        <v>122</v>
      </c>
      <c r="H25" s="22" t="n">
        <v>0</v>
      </c>
      <c r="I25" s="26">
        <f>G25-H25</f>
        <v/>
      </c>
      <c r="J25" s="21" t="n">
        <v>20</v>
      </c>
      <c r="K25" s="21" t="n">
        <v>14</v>
      </c>
      <c r="L25" s="27">
        <f>SUM(J25:K25)</f>
        <v/>
      </c>
      <c r="M25" s="28" t="n">
        <v>20</v>
      </c>
      <c r="N25" s="28" t="n">
        <v>12</v>
      </c>
      <c r="O25" s="29">
        <f>IF(AND(L25=0,M25=0,N25=0),0,IF(AND(L25=0,M25=0),N25/1,IF(AND(L25=0,N25=0),M25/1,IF(AND(M25=0,N25=0),L25/1,IF(L25=0,FLOOR((M25+N25)/2,0.1),IF(M25=0,(L25+N25)/2,IF(N25=0,(M25+L25)/2,FLOOR(((L25+M25+N25)/3),0.1))))))))</f>
        <v/>
      </c>
      <c r="P25" s="21" t="n">
        <v>12</v>
      </c>
      <c r="Q25" s="21" t="n">
        <v>23</v>
      </c>
      <c r="R25" s="27">
        <f>SUM(P25:Q25)</f>
        <v/>
      </c>
      <c r="S25" s="28" t="n">
        <v>34</v>
      </c>
      <c r="T25" s="28" t="n">
        <v>36</v>
      </c>
      <c r="U25" s="29">
        <f>IF(AND(R25=0,S25=0,T25=0),0,IF(AND(R25=0,S25=0),T25/1,IF(AND(R25=0,T25=0),S25/1,IF(AND(S25=0,T25=0),R25/1,IF(R25=0,FLOOR((S25+T25)/2,0.1),IF(S25=0,(R25+T25)/2,IF(T25=0,(S25+R25)/2,FLOOR(((R25+S25+T25)/3),0.1))))))))</f>
        <v/>
      </c>
      <c r="V25" s="21" t="n">
        <v>10</v>
      </c>
      <c r="W25" s="21" t="n">
        <v>11</v>
      </c>
      <c r="X25" s="27">
        <f>SUM(V25:W25)</f>
        <v/>
      </c>
      <c r="Y25" s="28" t="n">
        <v>12</v>
      </c>
      <c r="Z25" s="28" t="n">
        <v>16</v>
      </c>
      <c r="AA25" s="29">
        <f>IF(AND(X25=0,Y25=0,Z25=0),0,IF(AND(X25=0,Y25=0),Z25/1,IF(AND(X25=0,Z25=0),Y25/1,IF(AND(Y25=0,Z25=0),X25/1,IF(X25=0,FLOOR((Y25+Z25)/2,0.1),IF(Y25=0,(X25+Z25)/2,IF(Z25=0,(Y25+X25)/2,FLOOR(((X25+Y25+Z25)/3),0.1))))))))</f>
        <v/>
      </c>
      <c r="AB25" s="21" t="n">
        <v>15</v>
      </c>
      <c r="AC25" s="21" t="n">
        <v>26</v>
      </c>
      <c r="AD25" s="27">
        <f>SUM(AB25:AC25)</f>
        <v/>
      </c>
      <c r="AE25" s="28" t="n">
        <v>41</v>
      </c>
      <c r="AF25" s="28" t="n">
        <v>41</v>
      </c>
      <c r="AG25" s="29">
        <f>IF(AND(AD25=0,AE25=0,AF25=0),0,IF(AND(AD25=0,AE25=0),AF25/1,IF(AND(AD25=0,AF25=0),AE25/1,IF(AND(AE25=0,AF25=0),AD25/1,IF(AD25=0,FLOOR((AE25+AF25)/2,0.1),IF(AE25=0,(AD25+AF25)/2,IF(AF25=0,(AE25+AD25)/2,FLOOR(((AD25+AE25+AF25)/3),0.1))))))))</f>
        <v/>
      </c>
      <c r="AH25" s="21" t="n">
        <v>10</v>
      </c>
      <c r="AI25" s="21" t="n">
        <v>15</v>
      </c>
      <c r="AJ25" s="27">
        <f>SUM(AH25:AI25)</f>
        <v/>
      </c>
      <c r="AK25" s="28" t="n">
        <v>20</v>
      </c>
      <c r="AL25" s="28" t="n">
        <v>16</v>
      </c>
      <c r="AM25" s="29">
        <f>IF(AND(AJ25=0,AK25=0,AL25=0),0,IF(AND(AJ25=0,AK25=0),AL25/1,IF(AND(AJ25=0,AL25=0),AK25/1,IF(AND(AK25=0,AL25=0),AJ25/1,IF(AJ25=0,FLOOR((AK25+AL25)/2,0.1),IF(AK25=0,(AJ25+AL25)/2,IF(AL25=0,(AK25+AJ25)/2,FLOOR(((AJ25+AK25+AL25)/3),0.1))))))))</f>
        <v/>
      </c>
      <c r="AN25" s="21" t="n"/>
      <c r="AO25" s="21" t="n"/>
      <c r="AP25" s="27">
        <f>SUM(AN25:AO25)</f>
        <v/>
      </c>
      <c r="AQ25" s="28" t="n"/>
      <c r="AR25" s="30" t="n"/>
      <c r="AS25" s="29">
        <f>IF(AND(AP25=0,AQ25=0,AR25=0),0,IF(AND(AP25=0,AQ25=0),AR25/1,IF(AND(AP25=0,AR25=0),AQ25/1,IF(AND(AQ25=0,AR25=0),AP25/1,IF(AP25=0,FLOOR((AQ25+AR25)/2,0.1),IF(AQ25=0,(AP25+AR25)/2,IF(AR25=0,(AQ25+AP25)/2,FLOOR(((AP25+AQ25+AR25)/3),0.1))))))))</f>
        <v/>
      </c>
      <c r="AT25" s="21" t="n">
        <v>17</v>
      </c>
      <c r="AU25" s="21" t="n">
        <v>22</v>
      </c>
      <c r="AV25" s="27">
        <f>SUM(AT25:AU25)</f>
        <v/>
      </c>
      <c r="AW25" s="28" t="n">
        <v>39</v>
      </c>
      <c r="AX25" s="30" t="n">
        <v>39</v>
      </c>
      <c r="AY25" s="29">
        <f>IF(AND(AV25=0,AW25=0,AX25=0),0,IF(AND(AV25=0,AW25=0),AX25/1,IF(AND(AV25=0,AX25=0),AW25/1,IF(AND(AW25=0,AX25=0),AV25/1,IF(AV25=0,FLOOR((AW25+AX25)/2,0.1),IF(AW25=0,(AV25+AX25)/2,IF(AX25=0,(AW25+AV25)/2,FLOOR(((AV25+AW25+AX25)/3),0.1))))))))</f>
        <v/>
      </c>
      <c r="AZ25" s="21" t="n">
        <v>11</v>
      </c>
      <c r="BA25" s="21" t="n">
        <v>14</v>
      </c>
      <c r="BB25" s="27">
        <f>SUM(AZ25:BA25)</f>
        <v/>
      </c>
      <c r="BC25" s="28" t="n">
        <v>31</v>
      </c>
      <c r="BD25" s="28" t="n">
        <v>12</v>
      </c>
      <c r="BE25" s="29">
        <f>IF(AND(BB25=0,BC25=0,BD25=0),0,IF(AND(BB25=0,BC25=0),BD25/1,IF(AND(BB25=0,BD25=0),BC25/1,IF(AND(BC25=0,BD25=0),BB25/1,IF(BB25=0,FLOOR((BC25+BD25)/2,0.1),IF(BC25=0,(BB25+BD25)/2,IF(BD25=0,(BC25+BB25)/2,FLOOR(((BB25+BC25+BD25)/3),0.1))))))))</f>
        <v/>
      </c>
      <c r="BF25" s="21" t="n">
        <v>10</v>
      </c>
      <c r="BG25" s="21" t="n">
        <v>13</v>
      </c>
      <c r="BH25" s="27">
        <f>SUM(BF25:BG25)</f>
        <v/>
      </c>
      <c r="BI25" s="28" t="n">
        <v>23</v>
      </c>
      <c r="BJ25" s="28" t="n">
        <v>23</v>
      </c>
      <c r="BK25" s="29">
        <f>IF(AND(BH25=0,BI25=0,BJ25=0),0,IF(AND(BH25=0,BI25=0),BJ25/1,IF(AND(BH25=0,BJ25=0),BI25/1,IF(AND(BI25=0,BJ25=0),BH25/1,IF(BH25=0,FLOOR((BI25+BJ25)/2,0.1),IF(BI25=0,(BH25+BJ25)/2,IF(BJ25=0,(BI25+BH25)/2,FLOOR(((BH25+BI25+BJ25)/3),0.1))))))))</f>
        <v/>
      </c>
      <c r="BL25" s="21" t="n">
        <v>10</v>
      </c>
      <c r="BM25" s="21" t="n">
        <v>17</v>
      </c>
      <c r="BN25" s="27">
        <f>SUM(BL25:BM25)</f>
        <v/>
      </c>
      <c r="BO25" s="28" t="n">
        <v>18</v>
      </c>
      <c r="BP25" s="31" t="n">
        <v>13</v>
      </c>
      <c r="BQ25" s="29">
        <f>IF(AND(BN25=0,BO25=0,BP25=0),0,IF(AND(BN25=0,BO25=0),BP25/1,IF(AND(BN25=0,BP25=0),BO25/1,IF(AND(BO25=0,BP25=0),BN25/1,IF(BN25=0,FLOOR((BO25+BP25)/2,0.1),IF(BO25=0,(BN25+BP25)/2,IF(BP25=0,(BO25+BN25)/2,FLOOR(((BN25+BO25+BP25)/3),0.1))))))))</f>
        <v/>
      </c>
      <c r="BR25" s="21" t="n"/>
      <c r="BS25" s="21" t="n"/>
      <c r="BT25" s="27">
        <f>SUM(BR25:BS25)</f>
        <v/>
      </c>
      <c r="BU25" s="28" t="n"/>
      <c r="BV25" s="31" t="n"/>
      <c r="BW25" s="29">
        <f>IF(AND(BT25=0,BU25=0,BV25=0),0,IF(AND(BT25=0,BU25=0),BV25/1,IF(AND(BT25=0,BV25=0),BU25/1,IF(AND(BU25=0,BV25=0),BT25/1,IF(BT25=0,FLOOR((BU25+BV25)/2,0.1),IF(BU25=0,(BT25+BV25)/2,IF(BV25=0,(BU25+BT25)/2,FLOOR(((BT25+BU25+BV25)/3),0.1))))))))</f>
        <v/>
      </c>
      <c r="BX25" s="21" t="n">
        <v>15</v>
      </c>
      <c r="BY25" s="21" t="n">
        <v>37</v>
      </c>
      <c r="BZ25" s="27">
        <f>SUM(BX25:BY25)</f>
        <v/>
      </c>
      <c r="CA25" s="28" t="n">
        <v>40</v>
      </c>
      <c r="CB25" s="31" t="n">
        <v>25</v>
      </c>
      <c r="CC25" s="29">
        <f>IF(AND(BZ25=0,CA25=0,CB25=0),0,IF(AND(BZ25=0,CA25=0),CB25/1,IF(AND(BZ25=0,CB25=0),CA25/1,IF(AND(CA25=0,CB25=0),BZ25/1,IF(BZ25=0,FLOOR((CA25+CB25)/2,0.1),IF(CA25=0,(BZ25+CB25)/2,IF(CB25=0,(CA25+BZ25)/2,FLOOR(((BZ25+CA25+CB25)/3),0.1))))))))</f>
        <v/>
      </c>
      <c r="CD25" s="21" t="n">
        <v>14</v>
      </c>
      <c r="CE25" s="21" t="n">
        <v>12</v>
      </c>
      <c r="CF25" s="27">
        <f>SUM(CD25:CE25)</f>
        <v/>
      </c>
      <c r="CG25" s="28" t="n">
        <v>26</v>
      </c>
      <c r="CH25" s="31" t="n">
        <v>26</v>
      </c>
      <c r="CI25" s="29">
        <f>IF(AND(CF25=0,CG25=0,CH25=0),0,IF(AND(CF25=0,CG25=0),CH25/1,IF(AND(CF25=0,CH25=0),CG25/1,IF(AND(CG25=0,CH25=0),CF25/1,IF(CF25=0,FLOOR((CG25+CH25)/2,0.1),IF(CG25=0,(CF25+CH25)/2,IF(CH25=0,(CG25+CF25)/2,FLOOR(((CF25+CG25+CH25)/3),0.1))))))))</f>
        <v/>
      </c>
      <c r="CJ25" s="21" t="n"/>
      <c r="CK25" s="21" t="n"/>
      <c r="CL25" s="27">
        <f>SUM(CJ25:CK25)</f>
        <v/>
      </c>
      <c r="CM25" s="28" t="n"/>
      <c r="CN25" s="31" t="n"/>
      <c r="CO25" s="29">
        <f>IF(AND(CL25=0,CM25=0,CN25=0),0,IF(AND(CL25=0,CM25=0),CN25/1,IF(AND(CL25=0,CN25=0),CM25/1,IF(AND(CM25=0,CN25=0),CL25/1,IF(CL25=0,FLOOR((CM25+CN25)/2,0.1),IF(CM25=0,(CL25+CN25)/2,IF(CN25=0,(CM25+CL25)/2,FLOOR(((CL25+CM25+CN25)/3),0.1))))))))</f>
        <v/>
      </c>
      <c r="CP25" s="21" t="n"/>
      <c r="CQ25" s="21" t="n"/>
      <c r="CR25" s="27">
        <f>SUM(CP25:CQ25)</f>
        <v/>
      </c>
      <c r="CS25" s="28" t="n"/>
      <c r="CT25" s="31" t="n"/>
      <c r="CU25" s="29">
        <f>IF(AND(CR25=0,CS25=0,CT25=0),0,IF(AND(CR25=0,CS25=0),CT25/1,IF(AND(CR25=0,CT25=0),CS25/1,IF(AND(CS25=0,CT25=0),CR25/1,IF(CR25=0,FLOOR((CS25+CT25)/2,0.1),IF(CS25=0,(CR25+CT25)/2,IF(CT25=0,(CS25+CR25)/2,FLOOR(((CR25+CS25+CT25)/3),0.1))))))))</f>
        <v/>
      </c>
      <c r="CV25" s="21" t="n">
        <v>10</v>
      </c>
      <c r="CW25" s="21" t="n">
        <v>15</v>
      </c>
      <c r="CX25" s="27">
        <f>SUM(CV25:CW25)</f>
        <v/>
      </c>
      <c r="CY25" s="28" t="n">
        <v>20</v>
      </c>
      <c r="CZ25" s="31" t="n">
        <v>15</v>
      </c>
      <c r="DA25" s="29">
        <f>IF(AND(CX25=0,CY25=0,CZ25=0),0,IF(AND(CX25=0,CY25=0),CZ25/1,IF(AND(CX25=0,CZ25=0),CY25/1,IF(AND(CY25=0,CZ25=0),CX25/1,IF(CX25=0,FLOOR((CY25+CZ25)/2,0.1),IF(CY25=0,(CX25+CZ25)/2,IF(CZ25=0,(CY25+CX25)/2,FLOOR(((CX25+CY25+CZ25)/3),0.1))))))))</f>
        <v/>
      </c>
      <c r="DB25" s="21" t="n"/>
      <c r="DC25" s="21" t="n"/>
      <c r="DD25" s="27">
        <f>SUM(DB25:DC25)</f>
        <v/>
      </c>
      <c r="DE25" s="28" t="n"/>
      <c r="DF25" s="31" t="n"/>
      <c r="DG25" s="29">
        <f>IF(AND(DD25=0,DE25=0,DF25=0),0,IF(AND(DD25=0,DE25=0),DF25/1,IF(AND(DD25=0,DF25=0),DE25/1,IF(AND(DE25=0,DF25=0),DD25/1,IF(DD25=0,FLOOR((DE25+DF25)/2,0.1),IF(DE25=0,(DD25+DF25)/2,IF(DF25=0,(DE25+DD25)/2,FLOOR(((DD25+DE25+DF25)/3),0.1))))))))</f>
        <v/>
      </c>
      <c r="DH25" s="34">
        <f>SUM(O25,U25,AA25,AG25,AM25,AS25,AY25,BE25,BK25,BQ25,BW25,CC25,CI25,CO25,CU25,DA25,DG25)</f>
        <v/>
      </c>
      <c r="DI25" s="39">
        <f>RANK(DH25,DH$4:DH$503)</f>
        <v/>
      </c>
      <c r="DJ25" s="40" t="inlineStr">
        <is>
          <t>FAIR(1)</t>
        </is>
      </c>
      <c r="DK25" s="40" t="inlineStr">
        <is>
          <t>FAIR(1)</t>
        </is>
      </c>
      <c r="DL25" s="40" t="inlineStr">
        <is>
          <t>FAIR(1)</t>
        </is>
      </c>
      <c r="DM25" s="40" t="inlineStr">
        <is>
          <t>FAIR(1)</t>
        </is>
      </c>
      <c r="DN25" s="40" t="inlineStr">
        <is>
          <t>FAIR(1)</t>
        </is>
      </c>
      <c r="DO25" s="40" t="inlineStr">
        <is>
          <t>AVERAGE(3)</t>
        </is>
      </c>
      <c r="DP25" s="40" t="inlineStr">
        <is>
          <t>GOOD(4)</t>
        </is>
      </c>
      <c r="DQ25" s="40" t="inlineStr">
        <is>
          <t>GOOD(4)</t>
        </is>
      </c>
      <c r="DR25" s="43" t="inlineStr">
        <is>
          <t>2024/2025</t>
        </is>
      </c>
      <c r="DS25" s="45" t="inlineStr">
        <is>
          <t>THIRD</t>
        </is>
      </c>
      <c r="DT25" s="40" t="inlineStr">
        <is>
          <t>GOOD(4)</t>
        </is>
      </c>
      <c r="DU25" s="40" t="inlineStr">
        <is>
          <t>GOOD(4)</t>
        </is>
      </c>
      <c r="DV25" s="40" t="inlineStr">
        <is>
          <t>GOOD(4)</t>
        </is>
      </c>
      <c r="DW25" s="40" t="inlineStr">
        <is>
          <t>GOOD(4)</t>
        </is>
      </c>
      <c r="DX25" s="40" t="inlineStr">
        <is>
          <t>GOOD(4)</t>
        </is>
      </c>
      <c r="DY25" s="40" t="inlineStr">
        <is>
          <t>GOOD(4)</t>
        </is>
      </c>
      <c r="DZ25" s="53" t="inlineStr">
        <is>
          <t>GOOD(4)</t>
        </is>
      </c>
      <c r="EA25" s="54" t="inlineStr">
        <is>
          <t>Add the Tutor's Comment . . .</t>
        </is>
      </c>
      <c r="EB25" s="55" t="inlineStr">
        <is>
          <t>To repeat JSS2</t>
        </is>
      </c>
      <c r="EC25" s="56" t="inlineStr">
        <is>
          <t>MR. JIMOH WASIU OLATUNDE</t>
        </is>
      </c>
      <c r="ED25" s="57" t="inlineStr">
        <is>
          <t>Next Term Begins on Monday, 15th September, 2046</t>
        </is>
      </c>
    </row>
    <row r="26" ht="30.6" customHeight="1" s="6">
      <c r="A26" s="18" t="n">
        <v>23</v>
      </c>
      <c r="B26" s="19" t="inlineStr">
        <is>
          <t xml:space="preserve">OJEBISI OJEYIOLA </t>
        </is>
      </c>
      <c r="C26" s="20" t="inlineStr">
        <is>
          <t>1828</t>
        </is>
      </c>
      <c r="D26" s="128" t="inlineStr">
        <is>
          <t>Female</t>
        </is>
      </c>
      <c r="E26" s="21" t="inlineStr">
        <is>
          <t>JSS 2C</t>
        </is>
      </c>
      <c r="F26" s="21" t="n">
        <v>31</v>
      </c>
      <c r="G26" s="21" t="n">
        <v>122</v>
      </c>
      <c r="H26" s="22" t="n">
        <v>118</v>
      </c>
      <c r="I26" s="26">
        <f>G26-H26</f>
        <v/>
      </c>
      <c r="J26" s="21" t="n">
        <v>28</v>
      </c>
      <c r="K26" s="21" t="n">
        <v>37</v>
      </c>
      <c r="L26" s="27">
        <f>SUM(J26:K26)</f>
        <v/>
      </c>
      <c r="M26" s="28" t="n">
        <v>29</v>
      </c>
      <c r="N26" s="28" t="n">
        <v>68</v>
      </c>
      <c r="O26" s="29">
        <f>IF(AND(L26=0,M26=0,N26=0),0,IF(AND(L26=0,M26=0),N26/1,IF(AND(L26=0,N26=0),M26/1,IF(AND(M26=0,N26=0),L26/1,IF(L26=0,FLOOR((M26+N26)/2,0.1),IF(M26=0,(L26+N26)/2,IF(N26=0,(M26+L26)/2,FLOOR(((L26+M26+N26)/3),0.1))))))))</f>
        <v/>
      </c>
      <c r="P26" s="21" t="n">
        <v>26</v>
      </c>
      <c r="Q26" s="21" t="n">
        <v>52</v>
      </c>
      <c r="R26" s="27">
        <f>SUM(P26:Q26)</f>
        <v/>
      </c>
      <c r="S26" s="28" t="n">
        <v>74</v>
      </c>
      <c r="T26" s="28" t="n">
        <v>81</v>
      </c>
      <c r="U26" s="29">
        <f>IF(AND(R26=0,S26=0,T26=0),0,IF(AND(R26=0,S26=0),T26/1,IF(AND(R26=0,T26=0),S26/1,IF(AND(S26=0,T26=0),R26/1,IF(R26=0,FLOOR((S26+T26)/2,0.1),IF(S26=0,(R26+T26)/2,IF(T26=0,(S26+R26)/2,FLOOR(((R26+S26+T26)/3),0.1))))))))</f>
        <v/>
      </c>
      <c r="V26" s="21" t="n">
        <v>21</v>
      </c>
      <c r="W26" s="21" t="n">
        <v>28</v>
      </c>
      <c r="X26" s="27">
        <f>SUM(V26:W26)</f>
        <v/>
      </c>
      <c r="Y26" s="28" t="n">
        <v>58</v>
      </c>
      <c r="Z26" s="28" t="n">
        <v>54</v>
      </c>
      <c r="AA26" s="29">
        <f>IF(AND(X26=0,Y26=0,Z26=0),0,IF(AND(X26=0,Y26=0),Z26/1,IF(AND(X26=0,Z26=0),Y26/1,IF(AND(Y26=0,Z26=0),X26/1,IF(X26=0,FLOOR((Y26+Z26)/2,0.1),IF(Y26=0,(X26+Z26)/2,IF(Z26=0,(Y26+X26)/2,FLOOR(((X26+Y26+Z26)/3),0.1))))))))</f>
        <v/>
      </c>
      <c r="AB26" s="21" t="n">
        <v>24</v>
      </c>
      <c r="AC26" s="21" t="n">
        <v>60</v>
      </c>
      <c r="AD26" s="27">
        <f>SUM(AB26:AC26)</f>
        <v/>
      </c>
      <c r="AE26" s="28" t="n">
        <v>100</v>
      </c>
      <c r="AF26" s="28" t="n">
        <v>92</v>
      </c>
      <c r="AG26" s="29">
        <f>IF(AND(AD26=0,AE26=0,AF26=0),0,IF(AND(AD26=0,AE26=0),AF26/1,IF(AND(AD26=0,AF26=0),AE26/1,IF(AND(AE26=0,AF26=0),AD26/1,IF(AD26=0,FLOOR((AE26+AF26)/2,0.1),IF(AE26=0,(AD26+AF26)/2,IF(AF26=0,(AE26+AD26)/2,FLOOR(((AD26+AE26+AF26)/3),0.1))))))))</f>
        <v/>
      </c>
      <c r="AH26" s="21" t="n">
        <v>17</v>
      </c>
      <c r="AI26" s="21" t="n">
        <v>38</v>
      </c>
      <c r="AJ26" s="27">
        <f>SUM(AH26:AI26)</f>
        <v/>
      </c>
      <c r="AK26" s="28" t="n">
        <v>57</v>
      </c>
      <c r="AL26" s="28" t="n">
        <v>58</v>
      </c>
      <c r="AM26" s="29">
        <f>IF(AND(AJ26=0,AK26=0,AL26=0),0,IF(AND(AJ26=0,AK26=0),AL26/1,IF(AND(AJ26=0,AL26=0),AK26/1,IF(AND(AK26=0,AL26=0),AJ26/1,IF(AJ26=0,FLOOR((AK26+AL26)/2,0.1),IF(AK26=0,(AJ26+AL26)/2,IF(AL26=0,(AK26+AJ26)/2,FLOOR(((AJ26+AK26+AL26)/3),0.1))))))))</f>
        <v/>
      </c>
      <c r="AN26" s="21" t="n"/>
      <c r="AO26" s="21" t="n"/>
      <c r="AP26" s="27">
        <f>SUM(AN26:AO26)</f>
        <v/>
      </c>
      <c r="AQ26" s="28" t="n"/>
      <c r="AR26" s="30" t="n"/>
      <c r="AS26" s="29">
        <f>IF(AND(AP26=0,AQ26=0,AR26=0),0,IF(AND(AP26=0,AQ26=0),AR26/1,IF(AND(AP26=0,AR26=0),AQ26/1,IF(AND(AQ26=0,AR26=0),AP26/1,IF(AP26=0,FLOOR((AQ26+AR26)/2,0.1),IF(AQ26=0,(AP26+AR26)/2,IF(AR26=0,(AQ26+AP26)/2,FLOOR(((AP26+AQ26+AR26)/3),0.1))))))))</f>
        <v/>
      </c>
      <c r="AT26" s="21" t="n">
        <v>30</v>
      </c>
      <c r="AU26" s="21" t="n">
        <v>50</v>
      </c>
      <c r="AV26" s="27">
        <f>SUM(AT26:AU26)</f>
        <v/>
      </c>
      <c r="AW26" s="28" t="n">
        <v>60</v>
      </c>
      <c r="AX26" s="30" t="n">
        <v>59</v>
      </c>
      <c r="AY26" s="29">
        <f>IF(AND(AV26=0,AW26=0,AX26=0),0,IF(AND(AV26=0,AW26=0),AX26/1,IF(AND(AV26=0,AX26=0),AW26/1,IF(AND(AW26=0,AX26=0),AV26/1,IF(AV26=0,FLOOR((AW26+AX26)/2,0.1),IF(AW26=0,(AV26+AX26)/2,IF(AX26=0,(AW26+AV26)/2,FLOOR(((AV26+AW26+AX26)/3),0.1))))))))</f>
        <v/>
      </c>
      <c r="AZ26" s="21" t="n">
        <v>24</v>
      </c>
      <c r="BA26" s="21" t="n">
        <v>32</v>
      </c>
      <c r="BB26" s="27">
        <f>SUM(AZ26:BA26)</f>
        <v/>
      </c>
      <c r="BC26" s="28" t="n">
        <v>62</v>
      </c>
      <c r="BD26" s="28" t="n">
        <v>59</v>
      </c>
      <c r="BE26" s="29">
        <f>IF(AND(BB26=0,BC26=0,BD26=0),0,IF(AND(BB26=0,BC26=0),BD26/1,IF(AND(BB26=0,BD26=0),BC26/1,IF(AND(BC26=0,BD26=0),BB26/1,IF(BB26=0,FLOOR((BC26+BD26)/2,0.1),IF(BC26=0,(BB26+BD26)/2,IF(BD26=0,(BC26+BB26)/2,FLOOR(((BB26+BC26+BD26)/3),0.1))))))))</f>
        <v/>
      </c>
      <c r="BF26" s="21" t="n">
        <v>15</v>
      </c>
      <c r="BG26" s="21" t="n">
        <v>34</v>
      </c>
      <c r="BH26" s="27">
        <f>SUM(BF26:BG26)</f>
        <v/>
      </c>
      <c r="BI26" s="28" t="n">
        <v>68</v>
      </c>
      <c r="BJ26" s="28" t="n">
        <v>49</v>
      </c>
      <c r="BK26" s="29">
        <f>IF(AND(BH26=0,BI26=0,BJ26=0),0,IF(AND(BH26=0,BI26=0),BJ26/1,IF(AND(BH26=0,BJ26=0),BI26/1,IF(AND(BI26=0,BJ26=0),BH26/1,IF(BH26=0,FLOOR((BI26+BJ26)/2,0.1),IF(BI26=0,(BH26+BJ26)/2,IF(BJ26=0,(BI26+BH26)/2,FLOOR(((BH26+BI26+BJ26)/3),0.1))))))))</f>
        <v/>
      </c>
      <c r="BL26" s="21" t="n">
        <v>16</v>
      </c>
      <c r="BM26" s="21" t="n">
        <v>35</v>
      </c>
      <c r="BN26" s="27">
        <f>SUM(BL26:BM26)</f>
        <v/>
      </c>
      <c r="BO26" s="28" t="n">
        <v>71</v>
      </c>
      <c r="BP26" s="31" t="n">
        <v>45</v>
      </c>
      <c r="BQ26" s="29">
        <f>IF(AND(BN26=0,BO26=0,BP26=0),0,IF(AND(BN26=0,BO26=0),BP26/1,IF(AND(BN26=0,BP26=0),BO26/1,IF(AND(BO26=0,BP26=0),BN26/1,IF(BN26=0,FLOOR((BO26+BP26)/2,0.1),IF(BO26=0,(BN26+BP26)/2,IF(BP26=0,(BO26+BN26)/2,FLOOR(((BN26+BO26+BP26)/3),0.1))))))))</f>
        <v/>
      </c>
      <c r="BR26" s="21" t="n"/>
      <c r="BS26" s="21" t="n"/>
      <c r="BT26" s="27">
        <f>SUM(BR26:BS26)</f>
        <v/>
      </c>
      <c r="BU26" s="28" t="n"/>
      <c r="BV26" s="31" t="n"/>
      <c r="BW26" s="29">
        <f>IF(AND(BT26=0,BU26=0,BV26=0),0,IF(AND(BT26=0,BU26=0),BV26/1,IF(AND(BT26=0,BV26=0),BU26/1,IF(AND(BU26=0,BV26=0),BT26/1,IF(BT26=0,FLOOR((BU26+BV26)/2,0.1),IF(BU26=0,(BT26+BV26)/2,IF(BV26=0,(BU26+BT26)/2,FLOOR(((BT26+BU26+BV26)/3),0.1))))))))</f>
        <v/>
      </c>
      <c r="BX26" s="21" t="n">
        <v>24</v>
      </c>
      <c r="BY26" s="21" t="n">
        <v>59</v>
      </c>
      <c r="BZ26" s="27">
        <f>SUM(BX26:BY26)</f>
        <v/>
      </c>
      <c r="CA26" s="28" t="n">
        <v>89</v>
      </c>
      <c r="CB26" s="31" t="n">
        <v>10</v>
      </c>
      <c r="CC26" s="29">
        <f>IF(AND(BZ26=0,CA26=0,CB26=0),0,IF(AND(BZ26=0,CA26=0),CB26/1,IF(AND(BZ26=0,CB26=0),CA26/1,IF(AND(CA26=0,CB26=0),BZ26/1,IF(BZ26=0,FLOOR((CA26+CB26)/2,0.1),IF(CA26=0,(BZ26+CB26)/2,IF(CB26=0,(CA26+BZ26)/2,FLOOR(((BZ26+CA26+CB26)/3),0.1))))))))</f>
        <v/>
      </c>
      <c r="CD26" s="21" t="n">
        <v>14</v>
      </c>
      <c r="CE26" s="21" t="n">
        <v>51</v>
      </c>
      <c r="CF26" s="27">
        <f>SUM(CD26:CE26)</f>
        <v/>
      </c>
      <c r="CG26" s="28" t="n">
        <v>43</v>
      </c>
      <c r="CH26" s="31" t="n">
        <v>42</v>
      </c>
      <c r="CI26" s="29">
        <f>IF(AND(CF26=0,CG26=0,CH26=0),0,IF(AND(CF26=0,CG26=0),CH26/1,IF(AND(CF26=0,CH26=0),CG26/1,IF(AND(CG26=0,CH26=0),CF26/1,IF(CF26=0,FLOOR((CG26+CH26)/2,0.1),IF(CG26=0,(CF26+CH26)/2,IF(CH26=0,(CG26+CF26)/2,FLOOR(((CF26+CG26+CH26)/3),0.1))))))))</f>
        <v/>
      </c>
      <c r="CJ26" s="21" t="n"/>
      <c r="CK26" s="21" t="n"/>
      <c r="CL26" s="27">
        <f>SUM(CJ26:CK26)</f>
        <v/>
      </c>
      <c r="CM26" s="28" t="n"/>
      <c r="CN26" s="31" t="n"/>
      <c r="CO26" s="29">
        <f>IF(AND(CL26=0,CM26=0,CN26=0),0,IF(AND(CL26=0,CM26=0),CN26/1,IF(AND(CL26=0,CN26=0),CM26/1,IF(AND(CM26=0,CN26=0),CL26/1,IF(CL26=0,FLOOR((CM26+CN26)/2,0.1),IF(CM26=0,(CL26+CN26)/2,IF(CN26=0,(CM26+CL26)/2,FLOOR(((CL26+CM26+CN26)/3),0.1))))))))</f>
        <v/>
      </c>
      <c r="CP26" s="21" t="n"/>
      <c r="CQ26" s="21" t="n"/>
      <c r="CR26" s="27">
        <f>SUM(CP26:CQ26)</f>
        <v/>
      </c>
      <c r="CS26" s="28" t="n"/>
      <c r="CT26" s="31" t="n"/>
      <c r="CU26" s="29">
        <f>IF(AND(CR26=0,CS26=0,CT26=0),0,IF(AND(CR26=0,CS26=0),CT26/1,IF(AND(CR26=0,CT26=0),CS26/1,IF(AND(CS26=0,CT26=0),CR26/1,IF(CR26=0,FLOOR((CS26+CT26)/2,0.1),IF(CS26=0,(CR26+CT26)/2,IF(CT26=0,(CS26+CR26)/2,FLOOR(((CR26+CS26+CT26)/3),0.1))))))))</f>
        <v/>
      </c>
      <c r="CV26" s="21" t="n">
        <v>30</v>
      </c>
      <c r="CW26" s="21" t="n">
        <v>36</v>
      </c>
      <c r="CX26" s="27">
        <f>SUM(CV26:CW26)</f>
        <v/>
      </c>
      <c r="CY26" s="28" t="n">
        <v>32</v>
      </c>
      <c r="CZ26" s="31" t="n">
        <v>25</v>
      </c>
      <c r="DA26" s="29">
        <f>IF(AND(CX26=0,CY26=0,CZ26=0),0,IF(AND(CX26=0,CY26=0),CZ26/1,IF(AND(CX26=0,CZ26=0),CY26/1,IF(AND(CY26=0,CZ26=0),CX26/1,IF(CX26=0,FLOOR((CY26+CZ26)/2,0.1),IF(CY26=0,(CX26+CZ26)/2,IF(CZ26=0,(CY26+CX26)/2,FLOOR(((CX26+CY26+CZ26)/3),0.1))))))))</f>
        <v/>
      </c>
      <c r="DB26" s="21" t="n"/>
      <c r="DC26" s="21" t="n"/>
      <c r="DD26" s="27">
        <f>SUM(DB26:DC26)</f>
        <v/>
      </c>
      <c r="DE26" s="28" t="n"/>
      <c r="DF26" s="31" t="n"/>
      <c r="DG26" s="29">
        <f>IF(AND(DD26=0,DE26=0,DF26=0),0,IF(AND(DD26=0,DE26=0),DF26/1,IF(AND(DD26=0,DF26=0),DE26/1,IF(AND(DE26=0,DF26=0),DD26/1,IF(DD26=0,FLOOR((DE26+DF26)/2,0.1),IF(DE26=0,(DD26+DF26)/2,IF(DF26=0,(DE26+DD26)/2,FLOOR(((DD26+DE26+DF26)/3),0.1))))))))</f>
        <v/>
      </c>
      <c r="DH26" s="34">
        <f>SUM(O26,U26,AA26,AG26,AM26,AS26,AY26,BE26,BK26,BQ26,BW26,CC26,CI26,CO26,CU26,DA26,DG26)</f>
        <v/>
      </c>
      <c r="DI26" s="39">
        <f>RANK(DH26,DH$4:DH$503)</f>
        <v/>
      </c>
      <c r="DJ26" s="40" t="inlineStr">
        <is>
          <t>GOOD(4)</t>
        </is>
      </c>
      <c r="DK26" s="40" t="inlineStr">
        <is>
          <t>GOOD(4)</t>
        </is>
      </c>
      <c r="DL26" s="40" t="inlineStr">
        <is>
          <t>GOOD(4)</t>
        </is>
      </c>
      <c r="DM26" s="40" t="inlineStr">
        <is>
          <t>EXCELLENT(5)</t>
        </is>
      </c>
      <c r="DN26" s="40" t="inlineStr">
        <is>
          <t>GOOD(4)</t>
        </is>
      </c>
      <c r="DO26" s="40" t="inlineStr">
        <is>
          <t>GOOD(4)</t>
        </is>
      </c>
      <c r="DP26" s="40" t="inlineStr">
        <is>
          <t>GOOD(4)</t>
        </is>
      </c>
      <c r="DQ26" s="40" t="inlineStr">
        <is>
          <t>GOOD(4)</t>
        </is>
      </c>
      <c r="DR26" s="43" t="inlineStr">
        <is>
          <t>2024/2025</t>
        </is>
      </c>
      <c r="DS26" s="45" t="inlineStr">
        <is>
          <t>THIRD</t>
        </is>
      </c>
      <c r="DT26" s="40" t="inlineStr">
        <is>
          <t>GOOD(4)</t>
        </is>
      </c>
      <c r="DU26" s="40" t="inlineStr">
        <is>
          <t>GOOD(4)</t>
        </is>
      </c>
      <c r="DV26" s="40" t="inlineStr">
        <is>
          <t>GOOD(4)</t>
        </is>
      </c>
      <c r="DW26" s="40" t="inlineStr">
        <is>
          <t>GOOD(4)</t>
        </is>
      </c>
      <c r="DX26" s="40" t="inlineStr">
        <is>
          <t>GOOD(4)</t>
        </is>
      </c>
      <c r="DY26" s="40" t="inlineStr">
        <is>
          <t>GOOD(4)</t>
        </is>
      </c>
      <c r="DZ26" s="53" t="inlineStr">
        <is>
          <t>GOOD(4)</t>
        </is>
      </c>
      <c r="EA26" s="54" t="inlineStr">
        <is>
          <t>Demonstrates a positive attitude and respect for rules.</t>
        </is>
      </c>
      <c r="EB26" s="55" t="inlineStr">
        <is>
          <t>Promoted on trial to JSS3</t>
        </is>
      </c>
      <c r="EC26" s="56" t="inlineStr">
        <is>
          <t>MR. JIMOH WASIU OLATUNDE</t>
        </is>
      </c>
      <c r="ED26" s="57" t="inlineStr">
        <is>
          <t>Next Term Begins on Monday, 15th September, 2047</t>
        </is>
      </c>
    </row>
    <row r="27" ht="30.6" customHeight="1" s="6">
      <c r="A27" s="18" t="n">
        <v>24</v>
      </c>
      <c r="B27" s="19" t="inlineStr">
        <is>
          <t xml:space="preserve">OJO JOHNSON </t>
        </is>
      </c>
      <c r="C27" s="20" t="inlineStr">
        <is>
          <t>1735</t>
        </is>
      </c>
      <c r="D27" s="128" t="inlineStr">
        <is>
          <t>Male</t>
        </is>
      </c>
      <c r="E27" s="21" t="inlineStr">
        <is>
          <t>JSS 2C</t>
        </is>
      </c>
      <c r="F27" s="21" t="n">
        <v>31</v>
      </c>
      <c r="G27" s="21" t="n">
        <v>122</v>
      </c>
      <c r="H27" s="22" t="n">
        <v>110</v>
      </c>
      <c r="I27" s="26">
        <f>G27-H27</f>
        <v/>
      </c>
      <c r="J27" s="21" t="n">
        <v>15</v>
      </c>
      <c r="K27" s="21" t="n">
        <v>17</v>
      </c>
      <c r="L27" s="27">
        <f>SUM(J27:K27)</f>
        <v/>
      </c>
      <c r="M27" s="28" t="n">
        <v>24</v>
      </c>
      <c r="N27" s="28" t="n">
        <v>23</v>
      </c>
      <c r="O27" s="29">
        <f>IF(AND(L27=0,M27=0,N27=0),0,IF(AND(L27=0,M27=0),N27/1,IF(AND(L27=0,N27=0),M27/1,IF(AND(M27=0,N27=0),L27/1,IF(L27=0,FLOOR((M27+N27)/2,0.1),IF(M27=0,(L27+N27)/2,IF(N27=0,(M27+L27)/2,FLOOR(((L27+M27+N27)/3),0.1))))))))</f>
        <v/>
      </c>
      <c r="P27" s="21" t="n">
        <v>11</v>
      </c>
      <c r="Q27" s="21" t="n">
        <v>22</v>
      </c>
      <c r="R27" s="27">
        <f>SUM(P27:Q27)</f>
        <v/>
      </c>
      <c r="S27" s="28" t="n">
        <v>57</v>
      </c>
      <c r="T27" s="28" t="n">
        <v>10</v>
      </c>
      <c r="U27" s="29">
        <f>IF(AND(R27=0,S27=0,T27=0),0,IF(AND(R27=0,S27=0),T27/1,IF(AND(R27=0,T27=0),S27/1,IF(AND(S27=0,T27=0),R27/1,IF(R27=0,FLOOR((S27+T27)/2,0.1),IF(S27=0,(R27+T27)/2,IF(T27=0,(S27+R27)/2,FLOOR(((R27+S27+T27)/3),0.1))))))))</f>
        <v/>
      </c>
      <c r="V27" s="21" t="n">
        <v>24</v>
      </c>
      <c r="W27" s="21" t="n">
        <v>20</v>
      </c>
      <c r="X27" s="27">
        <f>SUM(V27:W27)</f>
        <v/>
      </c>
      <c r="Y27" s="28" t="n">
        <v>51</v>
      </c>
      <c r="Z27" s="28" t="n">
        <v>48</v>
      </c>
      <c r="AA27" s="29">
        <f>IF(AND(X27=0,Y27=0,Z27=0),0,IF(AND(X27=0,Y27=0),Z27/1,IF(AND(X27=0,Z27=0),Y27/1,IF(AND(Y27=0,Z27=0),X27/1,IF(X27=0,FLOOR((Y27+Z27)/2,0.1),IF(Y27=0,(X27+Z27)/2,IF(Z27=0,(Y27+X27)/2,FLOOR(((X27+Y27+Z27)/3),0.1))))))))</f>
        <v/>
      </c>
      <c r="AB27" s="21" t="n">
        <v>18</v>
      </c>
      <c r="AC27" s="21" t="n">
        <v>39</v>
      </c>
      <c r="AD27" s="27">
        <f>SUM(AB27:AC27)</f>
        <v/>
      </c>
      <c r="AE27" s="28" t="n">
        <v>40</v>
      </c>
      <c r="AF27" s="28" t="n">
        <v>48</v>
      </c>
      <c r="AG27" s="29">
        <f>IF(AND(AD27=0,AE27=0,AF27=0),0,IF(AND(AD27=0,AE27=0),AF27/1,IF(AND(AD27=0,AF27=0),AE27/1,IF(AND(AE27=0,AF27=0),AD27/1,IF(AD27=0,FLOOR((AE27+AF27)/2,0.1),IF(AE27=0,(AD27+AF27)/2,IF(AF27=0,(AE27+AD27)/2,FLOOR(((AD27+AE27+AF27)/3),0.1))))))))</f>
        <v/>
      </c>
      <c r="AH27" s="21" t="n">
        <v>17</v>
      </c>
      <c r="AI27" s="21" t="n">
        <v>29</v>
      </c>
      <c r="AJ27" s="27">
        <f>SUM(AH27:AI27)</f>
        <v/>
      </c>
      <c r="AK27" s="28" t="n">
        <v>54</v>
      </c>
      <c r="AL27" s="28" t="n">
        <v>24</v>
      </c>
      <c r="AM27" s="29">
        <f>IF(AND(AJ27=0,AK27=0,AL27=0),0,IF(AND(AJ27=0,AK27=0),AL27/1,IF(AND(AJ27=0,AL27=0),AK27/1,IF(AND(AK27=0,AL27=0),AJ27/1,IF(AJ27=0,FLOOR((AK27+AL27)/2,0.1),IF(AK27=0,(AJ27+AL27)/2,IF(AL27=0,(AK27+AJ27)/2,FLOOR(((AJ27+AK27+AL27)/3),0.1))))))))</f>
        <v/>
      </c>
      <c r="AN27" s="21" t="n"/>
      <c r="AO27" s="21" t="n"/>
      <c r="AP27" s="27">
        <f>SUM(AN27:AO27)</f>
        <v/>
      </c>
      <c r="AQ27" s="28" t="n"/>
      <c r="AR27" s="30" t="n"/>
      <c r="AS27" s="29">
        <f>IF(AND(AP27=0,AQ27=0,AR27=0),0,IF(AND(AP27=0,AQ27=0),AR27/1,IF(AND(AP27=0,AR27=0),AQ27/1,IF(AND(AQ27=0,AR27=0),AP27/1,IF(AP27=0,FLOOR((AQ27+AR27)/2,0.1),IF(AQ27=0,(AP27+AR27)/2,IF(AR27=0,(AQ27+AP27)/2,FLOOR(((AP27+AQ27+AR27)/3),0.1))))))))</f>
        <v/>
      </c>
      <c r="AT27" s="21" t="n">
        <v>20</v>
      </c>
      <c r="AU27" s="21" t="n">
        <v>30</v>
      </c>
      <c r="AV27" s="27">
        <f>SUM(AT27:AU27)</f>
        <v/>
      </c>
      <c r="AW27" s="28" t="n">
        <v>31</v>
      </c>
      <c r="AX27" s="30" t="n">
        <v>50</v>
      </c>
      <c r="AY27" s="29">
        <f>IF(AND(AV27=0,AW27=0,AX27=0),0,IF(AND(AV27=0,AW27=0),AX27/1,IF(AND(AV27=0,AX27=0),AW27/1,IF(AND(AW27=0,AX27=0),AV27/1,IF(AV27=0,FLOOR((AW27+AX27)/2,0.1),IF(AW27=0,(AV27+AX27)/2,IF(AX27=0,(AW27+AV27)/2,FLOOR(((AV27+AW27+AX27)/3),0.1))))))))</f>
        <v/>
      </c>
      <c r="AZ27" s="21" t="n">
        <v>24</v>
      </c>
      <c r="BA27" s="21" t="n">
        <v>28</v>
      </c>
      <c r="BB27" s="27">
        <f>SUM(AZ27:BA27)</f>
        <v/>
      </c>
      <c r="BC27" s="28" t="n">
        <v>56</v>
      </c>
      <c r="BD27" s="28" t="n">
        <v>54</v>
      </c>
      <c r="BE27" s="29">
        <f>IF(AND(BB27=0,BC27=0,BD27=0),0,IF(AND(BB27=0,BC27=0),BD27/1,IF(AND(BB27=0,BD27=0),BC27/1,IF(AND(BC27=0,BD27=0),BB27/1,IF(BB27=0,FLOOR((BC27+BD27)/2,0.1),IF(BC27=0,(BB27+BD27)/2,IF(BD27=0,(BC27+BB27)/2,FLOOR(((BB27+BC27+BD27)/3),0.1))))))))</f>
        <v/>
      </c>
      <c r="BF27" s="21" t="n">
        <v>15</v>
      </c>
      <c r="BG27" s="21" t="n">
        <v>38</v>
      </c>
      <c r="BH27" s="27">
        <f>SUM(BF27:BG27)</f>
        <v/>
      </c>
      <c r="BI27" s="28" t="n">
        <v>47</v>
      </c>
      <c r="BJ27" s="28" t="n">
        <v>36</v>
      </c>
      <c r="BK27" s="29">
        <f>IF(AND(BH27=0,BI27=0,BJ27=0),0,IF(AND(BH27=0,BI27=0),BJ27/1,IF(AND(BH27=0,BJ27=0),BI27/1,IF(AND(BI27=0,BJ27=0),BH27/1,IF(BH27=0,FLOOR((BI27+BJ27)/2,0.1),IF(BI27=0,(BH27+BJ27)/2,IF(BJ27=0,(BI27+BH27)/2,FLOOR(((BH27+BI27+BJ27)/3),0.1))))))))</f>
        <v/>
      </c>
      <c r="BL27" s="21" t="n">
        <v>17</v>
      </c>
      <c r="BM27" s="21" t="n">
        <v>35</v>
      </c>
      <c r="BN27" s="27">
        <f>SUM(BL27:BM27)</f>
        <v/>
      </c>
      <c r="BO27" s="28" t="n">
        <v>31</v>
      </c>
      <c r="BP27" s="31" t="n">
        <v>40</v>
      </c>
      <c r="BQ27" s="29">
        <f>IF(AND(BN27=0,BO27=0,BP27=0),0,IF(AND(BN27=0,BO27=0),BP27/1,IF(AND(BN27=0,BP27=0),BO27/1,IF(AND(BO27=0,BP27=0),BN27/1,IF(BN27=0,FLOOR((BO27+BP27)/2,0.1),IF(BO27=0,(BN27+BP27)/2,IF(BP27=0,(BO27+BN27)/2,FLOOR(((BN27+BO27+BP27)/3),0.1))))))))</f>
        <v/>
      </c>
      <c r="BR27" s="21" t="n"/>
      <c r="BS27" s="21" t="n"/>
      <c r="BT27" s="27">
        <f>SUM(BR27:BS27)</f>
        <v/>
      </c>
      <c r="BU27" s="28" t="n"/>
      <c r="BV27" s="31" t="n"/>
      <c r="BW27" s="29">
        <f>IF(AND(BT27=0,BU27=0,BV27=0),0,IF(AND(BT27=0,BU27=0),BV27/1,IF(AND(BT27=0,BV27=0),BU27/1,IF(AND(BU27=0,BV27=0),BT27/1,IF(BT27=0,FLOOR((BU27+BV27)/2,0.1),IF(BU27=0,(BT27+BV27)/2,IF(BV27=0,(BU27+BT27)/2,FLOOR(((BT27+BU27+BV27)/3),0.1))))))))</f>
        <v/>
      </c>
      <c r="BX27" s="21" t="n">
        <v>23</v>
      </c>
      <c r="BY27" s="21" t="n">
        <v>67</v>
      </c>
      <c r="BZ27" s="27">
        <f>SUM(BX27:BY27)</f>
        <v/>
      </c>
      <c r="CA27" s="28" t="n">
        <v>31</v>
      </c>
      <c r="CB27" s="31" t="n">
        <v>44</v>
      </c>
      <c r="CC27" s="29">
        <f>IF(AND(BZ27=0,CA27=0,CB27=0),0,IF(AND(BZ27=0,CA27=0),CB27/1,IF(AND(BZ27=0,CB27=0),CA27/1,IF(AND(CA27=0,CB27=0),BZ27/1,IF(BZ27=0,FLOOR((CA27+CB27)/2,0.1),IF(CA27=0,(BZ27+CB27)/2,IF(CB27=0,(CA27+BZ27)/2,FLOOR(((BZ27+CA27+CB27)/3),0.1))))))))</f>
        <v/>
      </c>
      <c r="CD27" s="21" t="n">
        <v>12</v>
      </c>
      <c r="CE27" s="21" t="n">
        <v>40</v>
      </c>
      <c r="CF27" s="27">
        <f>SUM(CD27:CE27)</f>
        <v/>
      </c>
      <c r="CG27" s="28" t="n">
        <v>30</v>
      </c>
      <c r="CH27" s="31" t="n">
        <v>33</v>
      </c>
      <c r="CI27" s="29">
        <f>IF(AND(CF27=0,CG27=0,CH27=0),0,IF(AND(CF27=0,CG27=0),CH27/1,IF(AND(CF27=0,CH27=0),CG27/1,IF(AND(CG27=0,CH27=0),CF27/1,IF(CF27=0,FLOOR((CG27+CH27)/2,0.1),IF(CG27=0,(CF27+CH27)/2,IF(CH27=0,(CG27+CF27)/2,FLOOR(((CF27+CG27+CH27)/3),0.1))))))))</f>
        <v/>
      </c>
      <c r="CJ27" s="21" t="n"/>
      <c r="CK27" s="21" t="n"/>
      <c r="CL27" s="27">
        <f>SUM(CJ27:CK27)</f>
        <v/>
      </c>
      <c r="CM27" s="28" t="n"/>
      <c r="CN27" s="31" t="n"/>
      <c r="CO27" s="29">
        <f>IF(AND(CL27=0,CM27=0,CN27=0),0,IF(AND(CL27=0,CM27=0),CN27/1,IF(AND(CL27=0,CN27=0),CM27/1,IF(AND(CM27=0,CN27=0),CL27/1,IF(CL27=0,FLOOR((CM27+CN27)/2,0.1),IF(CM27=0,(CL27+CN27)/2,IF(CN27=0,(CM27+CL27)/2,FLOOR(((CL27+CM27+CN27)/3),0.1))))))))</f>
        <v/>
      </c>
      <c r="CP27" s="21" t="n"/>
      <c r="CQ27" s="21" t="n"/>
      <c r="CR27" s="27">
        <f>SUM(CP27:CQ27)</f>
        <v/>
      </c>
      <c r="CS27" s="28" t="n"/>
      <c r="CT27" s="31" t="n"/>
      <c r="CU27" s="29">
        <f>IF(AND(CR27=0,CS27=0,CT27=0),0,IF(AND(CR27=0,CS27=0),CT27/1,IF(AND(CR27=0,CT27=0),CS27/1,IF(AND(CS27=0,CT27=0),CR27/1,IF(CR27=0,FLOOR((CS27+CT27)/2,0.1),IF(CS27=0,(CR27+CT27)/2,IF(CT27=0,(CS27+CR27)/2,FLOOR(((CR27+CS27+CT27)/3),0.1))))))))</f>
        <v/>
      </c>
      <c r="CV27" s="21" t="n">
        <v>30</v>
      </c>
      <c r="CW27" s="21" t="n">
        <v>28</v>
      </c>
      <c r="CX27" s="27">
        <f>SUM(CV27:CW27)</f>
        <v/>
      </c>
      <c r="CY27" s="28" t="n">
        <v>36</v>
      </c>
      <c r="CZ27" s="31" t="n">
        <v>30</v>
      </c>
      <c r="DA27" s="29">
        <f>IF(AND(CX27=0,CY27=0,CZ27=0),0,IF(AND(CX27=0,CY27=0),CZ27/1,IF(AND(CX27=0,CZ27=0),CY27/1,IF(AND(CY27=0,CZ27=0),CX27/1,IF(CX27=0,FLOOR((CY27+CZ27)/2,0.1),IF(CY27=0,(CX27+CZ27)/2,IF(CZ27=0,(CY27+CX27)/2,FLOOR(((CX27+CY27+CZ27)/3),0.1))))))))</f>
        <v/>
      </c>
      <c r="DB27" s="21" t="n"/>
      <c r="DC27" s="21" t="n"/>
      <c r="DD27" s="27">
        <f>SUM(DB27:DC27)</f>
        <v/>
      </c>
      <c r="DE27" s="28" t="n"/>
      <c r="DF27" s="31" t="n"/>
      <c r="DG27" s="29">
        <f>IF(AND(DD27=0,DE27=0,DF27=0),0,IF(AND(DD27=0,DE27=0),DF27/1,IF(AND(DD27=0,DF27=0),DE27/1,IF(AND(DE27=0,DF27=0),DD27/1,IF(DD27=0,FLOOR((DE27+DF27)/2,0.1),IF(DE27=0,(DD27+DF27)/2,IF(DF27=0,(DE27+DD27)/2,FLOOR(((DD27+DE27+DF27)/3),0.1))))))))</f>
        <v/>
      </c>
      <c r="DH27" s="34">
        <f>SUM(O27,U27,AA27,AG27,AM27,AS27,AY27,BE27,BK27,BQ27,BW27,CC27,CI27,CO27,CU27,DA27,DG27)</f>
        <v/>
      </c>
      <c r="DI27" s="39">
        <f>RANK(DH27,DH$4:DH$503)</f>
        <v/>
      </c>
      <c r="DJ27" s="40" t="inlineStr">
        <is>
          <t>EXCELLENT(5)</t>
        </is>
      </c>
      <c r="DK27" s="40" t="inlineStr">
        <is>
          <t>GOOD(4)</t>
        </is>
      </c>
      <c r="DL27" s="40" t="inlineStr">
        <is>
          <t>GOOD(4)</t>
        </is>
      </c>
      <c r="DM27" s="40" t="inlineStr">
        <is>
          <t>EXCELLENT(5)</t>
        </is>
      </c>
      <c r="DN27" s="40" t="inlineStr">
        <is>
          <t>GOOD(4)</t>
        </is>
      </c>
      <c r="DO27" s="40" t="inlineStr">
        <is>
          <t>GOOD(4)</t>
        </is>
      </c>
      <c r="DP27" s="40" t="inlineStr">
        <is>
          <t>GOOD(4)</t>
        </is>
      </c>
      <c r="DQ27" s="40" t="inlineStr">
        <is>
          <t>GOOD(4)</t>
        </is>
      </c>
      <c r="DR27" s="43" t="inlineStr">
        <is>
          <t>2024/2025</t>
        </is>
      </c>
      <c r="DS27" s="45" t="inlineStr">
        <is>
          <t>THIRD</t>
        </is>
      </c>
      <c r="DT27" s="40" t="inlineStr">
        <is>
          <t>GOOD(4)</t>
        </is>
      </c>
      <c r="DU27" s="40" t="inlineStr">
        <is>
          <t>GOOD(4)</t>
        </is>
      </c>
      <c r="DV27" s="40" t="inlineStr">
        <is>
          <t>GOOD(4)</t>
        </is>
      </c>
      <c r="DW27" s="40" t="inlineStr">
        <is>
          <t>GOOD(4)</t>
        </is>
      </c>
      <c r="DX27" s="40" t="inlineStr">
        <is>
          <t>GOOD(4)</t>
        </is>
      </c>
      <c r="DY27" s="40" t="inlineStr">
        <is>
          <t>GOOD(4)</t>
        </is>
      </c>
      <c r="DZ27" s="53" t="inlineStr">
        <is>
          <t>GOOD(4)</t>
        </is>
      </c>
      <c r="EA27" s="54" t="inlineStr">
        <is>
          <t>Needs to focus more during lessons to achieve full potential.</t>
        </is>
      </c>
      <c r="EB27" s="55" t="inlineStr">
        <is>
          <t>Promoted on trial to JSS3</t>
        </is>
      </c>
      <c r="EC27" s="56" t="inlineStr">
        <is>
          <t>MR. JIMOH WASIU OLATUNDE</t>
        </is>
      </c>
      <c r="ED27" s="57" t="inlineStr">
        <is>
          <t>Next Term Begins on Monday, 15th September, 2048</t>
        </is>
      </c>
    </row>
    <row r="28" ht="30.6" customHeight="1" s="6">
      <c r="A28" s="18" t="n">
        <v>25</v>
      </c>
      <c r="B28" s="19" t="inlineStr">
        <is>
          <t>OJO PRECIOUS O.</t>
        </is>
      </c>
      <c r="C28" s="20" t="inlineStr">
        <is>
          <t>1852</t>
        </is>
      </c>
      <c r="D28" s="128" t="inlineStr">
        <is>
          <t>Female</t>
        </is>
      </c>
      <c r="E28" s="21" t="inlineStr">
        <is>
          <t>JSS 2C</t>
        </is>
      </c>
      <c r="F28" s="21" t="n">
        <v>31</v>
      </c>
      <c r="G28" s="21" t="n">
        <v>122</v>
      </c>
      <c r="H28" s="22" t="n">
        <v>110</v>
      </c>
      <c r="I28" s="26">
        <f>G28-H28</f>
        <v/>
      </c>
      <c r="J28" s="21" t="n">
        <v>18</v>
      </c>
      <c r="K28" s="21" t="n">
        <v>18</v>
      </c>
      <c r="L28" s="27">
        <f>SUM(J28:K28)</f>
        <v/>
      </c>
      <c r="M28" s="28" t="n">
        <v>26</v>
      </c>
      <c r="N28" s="28" t="n">
        <v>28</v>
      </c>
      <c r="O28" s="29">
        <f>IF(AND(L28=0,M28=0,N28=0),0,IF(AND(L28=0,M28=0),N28/1,IF(AND(L28=0,N28=0),M28/1,IF(AND(M28=0,N28=0),L28/1,IF(L28=0,FLOOR((M28+N28)/2,0.1),IF(M28=0,(L28+N28)/2,IF(N28=0,(M28+L28)/2,FLOOR(((L28+M28+N28)/3),0.1))))))))</f>
        <v/>
      </c>
      <c r="P28" s="21" t="n">
        <v>15</v>
      </c>
      <c r="Q28" s="21" t="n">
        <v>30</v>
      </c>
      <c r="R28" s="27">
        <f>SUM(P28:Q28)</f>
        <v/>
      </c>
      <c r="S28" s="28" t="n">
        <v>54</v>
      </c>
      <c r="T28" s="28" t="n">
        <v>37</v>
      </c>
      <c r="U28" s="29">
        <f>IF(AND(R28=0,S28=0,T28=0),0,IF(AND(R28=0,S28=0),T28/1,IF(AND(R28=0,T28=0),S28/1,IF(AND(S28=0,T28=0),R28/1,IF(R28=0,FLOOR((S28+T28)/2,0.1),IF(S28=0,(R28+T28)/2,IF(T28=0,(S28+R28)/2,FLOOR(((R28+S28+T28)/3),0.1))))))))</f>
        <v/>
      </c>
      <c r="V28" s="21" t="n">
        <v>22</v>
      </c>
      <c r="W28" s="21" t="n">
        <v>10</v>
      </c>
      <c r="X28" s="27">
        <f>SUM(V28:W28)</f>
        <v/>
      </c>
      <c r="Y28" s="28" t="n">
        <v>35</v>
      </c>
      <c r="Z28" s="28" t="n">
        <v>34</v>
      </c>
      <c r="AA28" s="29">
        <f>IF(AND(X28=0,Y28=0,Z28=0),0,IF(AND(X28=0,Y28=0),Z28/1,IF(AND(X28=0,Z28=0),Y28/1,IF(AND(Y28=0,Z28=0),X28/1,IF(X28=0,FLOOR((Y28+Z28)/2,0.1),IF(Y28=0,(X28+Z28)/2,IF(Z28=0,(Y28+X28)/2,FLOOR(((X28+Y28+Z28)/3),0.1))))))))</f>
        <v/>
      </c>
      <c r="AB28" s="21" t="n">
        <v>22</v>
      </c>
      <c r="AC28" s="21" t="n">
        <v>39</v>
      </c>
      <c r="AD28" s="27">
        <f>SUM(AB28:AC28)</f>
        <v/>
      </c>
      <c r="AE28" s="28" t="n">
        <v>63</v>
      </c>
      <c r="AF28" s="28" t="n">
        <v>62</v>
      </c>
      <c r="AG28" s="29">
        <f>IF(AND(AD28=0,AE28=0,AF28=0),0,IF(AND(AD28=0,AE28=0),AF28/1,IF(AND(AD28=0,AF28=0),AE28/1,IF(AND(AE28=0,AF28=0),AD28/1,IF(AD28=0,FLOOR((AE28+AF28)/2,0.1),IF(AE28=0,(AD28+AF28)/2,IF(AF28=0,(AE28+AD28)/2,FLOOR(((AD28+AE28+AF28)/3),0.1))))))))</f>
        <v/>
      </c>
      <c r="AH28" s="21" t="n">
        <v>20</v>
      </c>
      <c r="AI28" s="21" t="n">
        <v>32</v>
      </c>
      <c r="AJ28" s="27">
        <f>SUM(AH28:AI28)</f>
        <v/>
      </c>
      <c r="AK28" s="28" t="n">
        <v>49</v>
      </c>
      <c r="AL28" s="28" t="n">
        <v>28</v>
      </c>
      <c r="AM28" s="29">
        <f>IF(AND(AJ28=0,AK28=0,AL28=0),0,IF(AND(AJ28=0,AK28=0),AL28/1,IF(AND(AJ28=0,AL28=0),AK28/1,IF(AND(AK28=0,AL28=0),AJ28/1,IF(AJ28=0,FLOOR((AK28+AL28)/2,0.1),IF(AK28=0,(AJ28+AL28)/2,IF(AL28=0,(AK28+AJ28)/2,FLOOR(((AJ28+AK28+AL28)/3),0.1))))))))</f>
        <v/>
      </c>
      <c r="AN28" s="21" t="n"/>
      <c r="AO28" s="21" t="n"/>
      <c r="AP28" s="27">
        <f>SUM(AN28:AO28)</f>
        <v/>
      </c>
      <c r="AQ28" s="28" t="n"/>
      <c r="AR28" s="30" t="n"/>
      <c r="AS28" s="29">
        <f>IF(AND(AP28=0,AQ28=0,AR28=0),0,IF(AND(AP28=0,AQ28=0),AR28/1,IF(AND(AP28=0,AR28=0),AQ28/1,IF(AND(AQ28=0,AR28=0),AP28/1,IF(AP28=0,FLOOR((AQ28+AR28)/2,0.1),IF(AQ28=0,(AP28+AR28)/2,IF(AR28=0,(AQ28+AP28)/2,FLOOR(((AP28+AQ28+AR28)/3),0.1))))))))</f>
        <v/>
      </c>
      <c r="AT28" s="21" t="n">
        <v>28</v>
      </c>
      <c r="AU28" s="21" t="n">
        <v>30</v>
      </c>
      <c r="AV28" s="27">
        <f>SUM(AT28:AU28)</f>
        <v/>
      </c>
      <c r="AW28" s="28" t="n">
        <v>35</v>
      </c>
      <c r="AX28" s="30" t="n">
        <v>40</v>
      </c>
      <c r="AY28" s="29">
        <f>IF(AND(AV28=0,AW28=0,AX28=0),0,IF(AND(AV28=0,AW28=0),AX28/1,IF(AND(AV28=0,AX28=0),AW28/1,IF(AND(AW28=0,AX28=0),AV28/1,IF(AV28=0,FLOOR((AW28+AX28)/2,0.1),IF(AW28=0,(AV28+AX28)/2,IF(AX28=0,(AW28+AV28)/2,FLOOR(((AV28+AW28+AX28)/3),0.1))))))))</f>
        <v/>
      </c>
      <c r="AZ28" s="21" t="n">
        <v>21</v>
      </c>
      <c r="BA28" s="21" t="n">
        <v>30</v>
      </c>
      <c r="BB28" s="27">
        <f>SUM(AZ28:BA28)</f>
        <v/>
      </c>
      <c r="BC28" s="28" t="n">
        <v>42</v>
      </c>
      <c r="BD28" s="28" t="n">
        <v>46</v>
      </c>
      <c r="BE28" s="29">
        <f>IF(AND(BB28=0,BC28=0,BD28=0),0,IF(AND(BB28=0,BC28=0),BD28/1,IF(AND(BB28=0,BD28=0),BC28/1,IF(AND(BC28=0,BD28=0),BB28/1,IF(BB28=0,FLOOR((BC28+BD28)/2,0.1),IF(BC28=0,(BB28+BD28)/2,IF(BD28=0,(BC28+BB28)/2,FLOOR(((BB28+BC28+BD28)/3),0.1))))))))</f>
        <v/>
      </c>
      <c r="BF28" s="21" t="n">
        <v>16</v>
      </c>
      <c r="BG28" s="21" t="n">
        <v>43</v>
      </c>
      <c r="BH28" s="27">
        <f>SUM(BF28:BG28)</f>
        <v/>
      </c>
      <c r="BI28" s="28" t="n">
        <v>55</v>
      </c>
      <c r="BJ28" s="28" t="n">
        <v>31</v>
      </c>
      <c r="BK28" s="29">
        <f>IF(AND(BH28=0,BI28=0,BJ28=0),0,IF(AND(BH28=0,BI28=0),BJ28/1,IF(AND(BH28=0,BJ28=0),BI28/1,IF(AND(BI28=0,BJ28=0),BH28/1,IF(BH28=0,FLOOR((BI28+BJ28)/2,0.1),IF(BI28=0,(BH28+BJ28)/2,IF(BJ28=0,(BI28+BH28)/2,FLOOR(((BH28+BI28+BJ28)/3),0.1))))))))</f>
        <v/>
      </c>
      <c r="BL28" s="21" t="n">
        <v>17</v>
      </c>
      <c r="BM28" s="21" t="n">
        <v>33</v>
      </c>
      <c r="BN28" s="27">
        <f>SUM(BL28:BM28)</f>
        <v/>
      </c>
      <c r="BO28" s="28" t="n">
        <v>24</v>
      </c>
      <c r="BP28" s="31" t="n">
        <v>44</v>
      </c>
      <c r="BQ28" s="29">
        <f>IF(AND(BN28=0,BO28=0,BP28=0),0,IF(AND(BN28=0,BO28=0),BP28/1,IF(AND(BN28=0,BP28=0),BO28/1,IF(AND(BO28=0,BP28=0),BN28/1,IF(BN28=0,FLOOR((BO28+BP28)/2,0.1),IF(BO28=0,(BN28+BP28)/2,IF(BP28=0,(BO28+BN28)/2,FLOOR(((BN28+BO28+BP28)/3),0.1))))))))</f>
        <v/>
      </c>
      <c r="BR28" s="21" t="n"/>
      <c r="BS28" s="21" t="n"/>
      <c r="BT28" s="27">
        <f>SUM(BR28:BS28)</f>
        <v/>
      </c>
      <c r="BU28" s="28" t="n"/>
      <c r="BV28" s="31" t="n"/>
      <c r="BW28" s="29">
        <f>IF(AND(BT28=0,BU28=0,BV28=0),0,IF(AND(BT28=0,BU28=0),BV28/1,IF(AND(BT28=0,BV28=0),BU28/1,IF(AND(BU28=0,BV28=0),BT28/1,IF(BT28=0,FLOOR((BU28+BV28)/2,0.1),IF(BU28=0,(BT28+BV28)/2,IF(BV28=0,(BU28+BT28)/2,FLOOR(((BT28+BU28+BV28)/3),0.1))))))))</f>
        <v/>
      </c>
      <c r="BX28" s="21" t="n">
        <v>22</v>
      </c>
      <c r="BY28" s="21" t="n">
        <v>70</v>
      </c>
      <c r="BZ28" s="27">
        <f>SUM(BX28:BY28)</f>
        <v/>
      </c>
      <c r="CA28" s="28" t="n">
        <v>39</v>
      </c>
      <c r="CB28" s="31" t="n">
        <v>43</v>
      </c>
      <c r="CC28" s="29">
        <f>IF(AND(BZ28=0,CA28=0,CB28=0),0,IF(AND(BZ28=0,CA28=0),CB28/1,IF(AND(BZ28=0,CB28=0),CA28/1,IF(AND(CA28=0,CB28=0),BZ28/1,IF(BZ28=0,FLOOR((CA28+CB28)/2,0.1),IF(CA28=0,(BZ28+CB28)/2,IF(CB28=0,(CA28+BZ28)/2,FLOOR(((BZ28+CA28+CB28)/3),0.1))))))))</f>
        <v/>
      </c>
      <c r="CD28" s="21" t="n">
        <v>13</v>
      </c>
      <c r="CE28" s="21" t="n">
        <v>42</v>
      </c>
      <c r="CF28" s="27">
        <f>SUM(CD28:CE28)</f>
        <v/>
      </c>
      <c r="CG28" s="28" t="n">
        <v>28</v>
      </c>
      <c r="CH28" s="31" t="n">
        <v>36</v>
      </c>
      <c r="CI28" s="29">
        <f>IF(AND(CF28=0,CG28=0,CH28=0),0,IF(AND(CF28=0,CG28=0),CH28/1,IF(AND(CF28=0,CH28=0),CG28/1,IF(AND(CG28=0,CH28=0),CF28/1,IF(CF28=0,FLOOR((CG28+CH28)/2,0.1),IF(CG28=0,(CF28+CH28)/2,IF(CH28=0,(CG28+CF28)/2,FLOOR(((CF28+CG28+CH28)/3),0.1))))))))</f>
        <v/>
      </c>
      <c r="CJ28" s="21" t="n"/>
      <c r="CK28" s="21" t="n"/>
      <c r="CL28" s="27">
        <f>SUM(CJ28:CK28)</f>
        <v/>
      </c>
      <c r="CM28" s="28" t="n"/>
      <c r="CN28" s="31" t="n"/>
      <c r="CO28" s="29">
        <f>IF(AND(CL28=0,CM28=0,CN28=0),0,IF(AND(CL28=0,CM28=0),CN28/1,IF(AND(CL28=0,CN28=0),CM28/1,IF(AND(CM28=0,CN28=0),CL28/1,IF(CL28=0,FLOOR((CM28+CN28)/2,0.1),IF(CM28=0,(CL28+CN28)/2,IF(CN28=0,(CM28+CL28)/2,FLOOR(((CL28+CM28+CN28)/3),0.1))))))))</f>
        <v/>
      </c>
      <c r="CP28" s="21" t="n"/>
      <c r="CQ28" s="21" t="n"/>
      <c r="CR28" s="27">
        <f>SUM(CP28:CQ28)</f>
        <v/>
      </c>
      <c r="CS28" s="28" t="n"/>
      <c r="CT28" s="31" t="n"/>
      <c r="CU28" s="29">
        <f>IF(AND(CR28=0,CS28=0,CT28=0),0,IF(AND(CR28=0,CS28=0),CT28/1,IF(AND(CR28=0,CT28=0),CS28/1,IF(AND(CS28=0,CT28=0),CR28/1,IF(CR28=0,FLOOR((CS28+CT28)/2,0.1),IF(CS28=0,(CR28+CT28)/2,IF(CT28=0,(CS28+CR28)/2,FLOOR(((CR28+CS28+CT28)/3),0.1))))))))</f>
        <v/>
      </c>
      <c r="CV28" s="21" t="n">
        <v>28</v>
      </c>
      <c r="CW28" s="21" t="n">
        <v>25</v>
      </c>
      <c r="CX28" s="27">
        <f>SUM(CV28:CW28)</f>
        <v/>
      </c>
      <c r="CY28" s="28" t="n">
        <v>23</v>
      </c>
      <c r="CZ28" s="31" t="n">
        <v>27</v>
      </c>
      <c r="DA28" s="29">
        <f>IF(AND(CX28=0,CY28=0,CZ28=0),0,IF(AND(CX28=0,CY28=0),CZ28/1,IF(AND(CX28=0,CZ28=0),CY28/1,IF(AND(CY28=0,CZ28=0),CX28/1,IF(CX28=0,FLOOR((CY28+CZ28)/2,0.1),IF(CY28=0,(CX28+CZ28)/2,IF(CZ28=0,(CY28+CX28)/2,FLOOR(((CX28+CY28+CZ28)/3),0.1))))))))</f>
        <v/>
      </c>
      <c r="DB28" s="21" t="n"/>
      <c r="DC28" s="21" t="n"/>
      <c r="DD28" s="27">
        <f>SUM(DB28:DC28)</f>
        <v/>
      </c>
      <c r="DE28" s="28" t="n"/>
      <c r="DF28" s="31" t="n"/>
      <c r="DG28" s="29">
        <f>IF(AND(DD28=0,DE28=0,DF28=0),0,IF(AND(DD28=0,DE28=0),DF28/1,IF(AND(DD28=0,DF28=0),DE28/1,IF(AND(DE28=0,DF28=0),DD28/1,IF(DD28=0,FLOOR((DE28+DF28)/2,0.1),IF(DE28=0,(DD28+DF28)/2,IF(DF28=0,(DE28+DD28)/2,FLOOR(((DD28+DE28+DF28)/3),0.1))))))))</f>
        <v/>
      </c>
      <c r="DH28" s="34">
        <f>SUM(O28,U28,AA28,AG28,AM28,AS28,AY28,BE28,BK28,BQ28,BW28,CC28,CI28,CO28,CU28,DA28,DG28)</f>
        <v/>
      </c>
      <c r="DI28" s="39">
        <f>RANK(DH28,DH$4:DH$503)</f>
        <v/>
      </c>
      <c r="DJ28" s="40" t="inlineStr">
        <is>
          <t>EXCELLENT(5)</t>
        </is>
      </c>
      <c r="DK28" s="40" t="inlineStr">
        <is>
          <t>GOOD(4)</t>
        </is>
      </c>
      <c r="DL28" s="40" t="inlineStr">
        <is>
          <t>GOOD(4)</t>
        </is>
      </c>
      <c r="DM28" s="40" t="inlineStr">
        <is>
          <t>EXCELLENT(5)</t>
        </is>
      </c>
      <c r="DN28" s="40" t="inlineStr">
        <is>
          <t>GOOD(4)</t>
        </is>
      </c>
      <c r="DO28" s="40" t="inlineStr">
        <is>
          <t>GOOD(4)</t>
        </is>
      </c>
      <c r="DP28" s="40" t="inlineStr">
        <is>
          <t>GOOD(4)</t>
        </is>
      </c>
      <c r="DQ28" s="40" t="inlineStr">
        <is>
          <t>GOOD(4)</t>
        </is>
      </c>
      <c r="DR28" s="43" t="inlineStr">
        <is>
          <t>2024/2025</t>
        </is>
      </c>
      <c r="DS28" s="45" t="inlineStr">
        <is>
          <t>THIRD</t>
        </is>
      </c>
      <c r="DT28" s="40" t="inlineStr">
        <is>
          <t>GOOD(4)</t>
        </is>
      </c>
      <c r="DU28" s="40" t="inlineStr">
        <is>
          <t>GOOD(4)</t>
        </is>
      </c>
      <c r="DV28" s="40" t="inlineStr">
        <is>
          <t>GOOD(4)</t>
        </is>
      </c>
      <c r="DW28" s="40" t="inlineStr">
        <is>
          <t>GOOD(4)</t>
        </is>
      </c>
      <c r="DX28" s="40" t="inlineStr">
        <is>
          <t>GOOD(4)</t>
        </is>
      </c>
      <c r="DY28" s="40" t="inlineStr">
        <is>
          <t>GOOD(4)</t>
        </is>
      </c>
      <c r="DZ28" s="53" t="inlineStr">
        <is>
          <t>GOOD(4)</t>
        </is>
      </c>
      <c r="EA28" s="54" t="inlineStr">
        <is>
          <t>Needs to focus more during lessons to achieve full potential.</t>
        </is>
      </c>
      <c r="EB28" s="55" t="inlineStr">
        <is>
          <t>Promoted on trial to JSS3</t>
        </is>
      </c>
      <c r="EC28" s="56" t="inlineStr">
        <is>
          <t>MR. JIMOH WASIU OLATUNDE</t>
        </is>
      </c>
      <c r="ED28" s="57" t="inlineStr">
        <is>
          <t>Next Term Begins on Monday, 15th September, 2049</t>
        </is>
      </c>
    </row>
    <row r="29" ht="30.6" customHeight="1" s="6">
      <c r="A29" s="18" t="n">
        <v>26</v>
      </c>
      <c r="B29" s="19" t="inlineStr">
        <is>
          <t xml:space="preserve">OLAGBEMIRO MARY </t>
        </is>
      </c>
      <c r="C29" s="20" t="inlineStr">
        <is>
          <t>1853</t>
        </is>
      </c>
      <c r="D29" s="128" t="inlineStr">
        <is>
          <t>Female</t>
        </is>
      </c>
      <c r="E29" s="21" t="inlineStr">
        <is>
          <t>JSS 2C</t>
        </is>
      </c>
      <c r="F29" s="21" t="n">
        <v>31</v>
      </c>
      <c r="G29" s="21" t="n">
        <v>122</v>
      </c>
      <c r="H29" s="22" t="n">
        <v>118</v>
      </c>
      <c r="I29" s="26">
        <f>G29-H29</f>
        <v/>
      </c>
      <c r="J29" s="21" t="n">
        <v>24</v>
      </c>
      <c r="K29" s="21" t="n">
        <v>24</v>
      </c>
      <c r="L29" s="27">
        <f>SUM(J29:K29)</f>
        <v/>
      </c>
      <c r="M29" s="28" t="n">
        <v>23</v>
      </c>
      <c r="N29" s="28" t="n">
        <v>41</v>
      </c>
      <c r="O29" s="29">
        <f>IF(AND(L29=0,M29=0,N29=0),0,IF(AND(L29=0,M29=0),N29/1,IF(AND(L29=0,N29=0),M29/1,IF(AND(M29=0,N29=0),L29/1,IF(L29=0,FLOOR((M29+N29)/2,0.1),IF(M29=0,(L29+N29)/2,IF(N29=0,(M29+L29)/2,FLOOR(((L29+M29+N29)/3),0.1))))))))</f>
        <v/>
      </c>
      <c r="P29" s="21" t="n">
        <v>20</v>
      </c>
      <c r="Q29" s="21" t="n">
        <v>39</v>
      </c>
      <c r="R29" s="27">
        <f>SUM(P29:Q29)</f>
        <v/>
      </c>
      <c r="S29" s="28" t="n">
        <v>59</v>
      </c>
      <c r="T29" s="28" t="n">
        <v>59</v>
      </c>
      <c r="U29" s="29">
        <f>IF(AND(R29=0,S29=0,T29=0),0,IF(AND(R29=0,S29=0),T29/1,IF(AND(R29=0,T29=0),S29/1,IF(AND(S29=0,T29=0),R29/1,IF(R29=0,FLOOR((S29+T29)/2,0.1),IF(S29=0,(R29+T29)/2,IF(T29=0,(S29+R29)/2,FLOOR(((R29+S29+T29)/3),0.1))))))))</f>
        <v/>
      </c>
      <c r="V29" s="21" t="n">
        <v>25</v>
      </c>
      <c r="W29" s="21" t="n">
        <v>20</v>
      </c>
      <c r="X29" s="27">
        <f>SUM(V29:W29)</f>
        <v/>
      </c>
      <c r="Y29" s="28" t="n">
        <v>30</v>
      </c>
      <c r="Z29" s="28" t="n">
        <v>38</v>
      </c>
      <c r="AA29" s="29">
        <f>IF(AND(X29=0,Y29=0,Z29=0),0,IF(AND(X29=0,Y29=0),Z29/1,IF(AND(X29=0,Z29=0),Y29/1,IF(AND(Y29=0,Z29=0),X29/1,IF(X29=0,FLOOR((Y29+Z29)/2,0.1),IF(Y29=0,(X29+Z29)/2,IF(Z29=0,(Y29+X29)/2,FLOOR(((X29+Y29+Z29)/3),0.1))))))))</f>
        <v/>
      </c>
      <c r="AB29" s="21" t="n">
        <v>25</v>
      </c>
      <c r="AC29" s="21" t="n">
        <v>52</v>
      </c>
      <c r="AD29" s="27">
        <f>SUM(AB29:AC29)</f>
        <v/>
      </c>
      <c r="AE29" s="28" t="n">
        <v>79</v>
      </c>
      <c r="AF29" s="28" t="n">
        <v>78</v>
      </c>
      <c r="AG29" s="29">
        <f>IF(AND(AD29=0,AE29=0,AF29=0),0,IF(AND(AD29=0,AE29=0),AF29/1,IF(AND(AD29=0,AF29=0),AE29/1,IF(AND(AE29=0,AF29=0),AD29/1,IF(AD29=0,FLOOR((AE29+AF29)/2,0.1),IF(AE29=0,(AD29+AF29)/2,IF(AF29=0,(AE29+AD29)/2,FLOOR(((AD29+AE29+AF29)/3),0.1))))))))</f>
        <v/>
      </c>
      <c r="AH29" s="21" t="n">
        <v>20</v>
      </c>
      <c r="AI29" s="21" t="n">
        <v>42</v>
      </c>
      <c r="AJ29" s="27">
        <f>SUM(AH29:AI29)</f>
        <v/>
      </c>
      <c r="AK29" s="28" t="n">
        <v>37</v>
      </c>
      <c r="AL29" s="28" t="n">
        <v>73</v>
      </c>
      <c r="AM29" s="29">
        <f>IF(AND(AJ29=0,AK29=0,AL29=0),0,IF(AND(AJ29=0,AK29=0),AL29/1,IF(AND(AJ29=0,AL29=0),AK29/1,IF(AND(AK29=0,AL29=0),AJ29/1,IF(AJ29=0,FLOOR((AK29+AL29)/2,0.1),IF(AK29=0,(AJ29+AL29)/2,IF(AL29=0,(AK29+AJ29)/2,FLOOR(((AJ29+AK29+AL29)/3),0.1))))))))</f>
        <v/>
      </c>
      <c r="AN29" s="21" t="n"/>
      <c r="AO29" s="21" t="n"/>
      <c r="AP29" s="27">
        <f>SUM(AN29:AO29)</f>
        <v/>
      </c>
      <c r="AQ29" s="28" t="n"/>
      <c r="AR29" s="30" t="n"/>
      <c r="AS29" s="29">
        <f>IF(AND(AP29=0,AQ29=0,AR29=0),0,IF(AND(AP29=0,AQ29=0),AR29/1,IF(AND(AP29=0,AR29=0),AQ29/1,IF(AND(AQ29=0,AR29=0),AP29/1,IF(AP29=0,FLOOR((AQ29+AR29)/2,0.1),IF(AQ29=0,(AP29+AR29)/2,IF(AR29=0,(AQ29+AP29)/2,FLOOR(((AP29+AQ29+AR29)/3),0.1))))))))</f>
        <v/>
      </c>
      <c r="AT29" s="21" t="n">
        <v>28</v>
      </c>
      <c r="AU29" s="21" t="n">
        <v>30</v>
      </c>
      <c r="AV29" s="27">
        <f>SUM(AT29:AU29)</f>
        <v/>
      </c>
      <c r="AW29" s="28" t="n">
        <v>40</v>
      </c>
      <c r="AX29" s="30" t="n">
        <v>55</v>
      </c>
      <c r="AY29" s="29">
        <f>IF(AND(AV29=0,AW29=0,AX29=0),0,IF(AND(AV29=0,AW29=0),AX29/1,IF(AND(AV29=0,AX29=0),AW29/1,IF(AND(AW29=0,AX29=0),AV29/1,IF(AV29=0,FLOOR((AW29+AX29)/2,0.1),IF(AW29=0,(AV29+AX29)/2,IF(AX29=0,(AW29+AV29)/2,FLOOR(((AV29+AW29+AX29)/3),0.1))))))))</f>
        <v/>
      </c>
      <c r="AZ29" s="21" t="n">
        <v>21</v>
      </c>
      <c r="BA29" s="21" t="n">
        <v>33</v>
      </c>
      <c r="BB29" s="27">
        <f>SUM(AZ29:BA29)</f>
        <v/>
      </c>
      <c r="BC29" s="28" t="n">
        <v>49</v>
      </c>
      <c r="BD29" s="28" t="n">
        <v>52</v>
      </c>
      <c r="BE29" s="29">
        <f>IF(AND(BB29=0,BC29=0,BD29=0),0,IF(AND(BB29=0,BC29=0),BD29/1,IF(AND(BB29=0,BD29=0),BC29/1,IF(AND(BC29=0,BD29=0),BB29/1,IF(BB29=0,FLOOR((BC29+BD29)/2,0.1),IF(BC29=0,(BB29+BD29)/2,IF(BD29=0,(BC29+BB29)/2,FLOOR(((BB29+BC29+BD29)/3),0.1))))))))</f>
        <v/>
      </c>
      <c r="BF29" s="21" t="n">
        <v>16</v>
      </c>
      <c r="BG29" s="21" t="n">
        <v>35</v>
      </c>
      <c r="BH29" s="27">
        <f>SUM(BF29:BG29)</f>
        <v/>
      </c>
      <c r="BI29" s="28" t="n">
        <v>58</v>
      </c>
      <c r="BJ29" s="28" t="n">
        <v>47</v>
      </c>
      <c r="BK29" s="29">
        <f>IF(AND(BH29=0,BI29=0,BJ29=0),0,IF(AND(BH29=0,BI29=0),BJ29/1,IF(AND(BH29=0,BJ29=0),BI29/1,IF(AND(BI29=0,BJ29=0),BH29/1,IF(BH29=0,FLOOR((BI29+BJ29)/2,0.1),IF(BI29=0,(BH29+BJ29)/2,IF(BJ29=0,(BI29+BH29)/2,FLOOR(((BH29+BI29+BJ29)/3),0.1))))))))</f>
        <v/>
      </c>
      <c r="BL29" s="21" t="n">
        <v>18</v>
      </c>
      <c r="BM29" s="21" t="n">
        <v>33</v>
      </c>
      <c r="BN29" s="27">
        <f>SUM(BL29:BM29)</f>
        <v/>
      </c>
      <c r="BO29" s="28" t="n">
        <v>47</v>
      </c>
      <c r="BP29" s="31" t="n">
        <v>66</v>
      </c>
      <c r="BQ29" s="29">
        <f>IF(AND(BN29=0,BO29=0,BP29=0),0,IF(AND(BN29=0,BO29=0),BP29/1,IF(AND(BN29=0,BP29=0),BO29/1,IF(AND(BO29=0,BP29=0),BN29/1,IF(BN29=0,FLOOR((BO29+BP29)/2,0.1),IF(BO29=0,(BN29+BP29)/2,IF(BP29=0,(BO29+BN29)/2,FLOOR(((BN29+BO29+BP29)/3),0.1))))))))</f>
        <v/>
      </c>
      <c r="BR29" s="21" t="n"/>
      <c r="BS29" s="21" t="n"/>
      <c r="BT29" s="27">
        <f>SUM(BR29:BS29)</f>
        <v/>
      </c>
      <c r="BU29" s="28" t="n"/>
      <c r="BV29" s="31" t="n"/>
      <c r="BW29" s="29">
        <f>IF(AND(BT29=0,BU29=0,BV29=0),0,IF(AND(BT29=0,BU29=0),BV29/1,IF(AND(BT29=0,BV29=0),BU29/1,IF(AND(BU29=0,BV29=0),BT29/1,IF(BT29=0,FLOOR((BU29+BV29)/2,0.1),IF(BU29=0,(BT29+BV29)/2,IF(BV29=0,(BU29+BT29)/2,FLOOR(((BT29+BU29+BV29)/3),0.1))))))))</f>
        <v/>
      </c>
      <c r="BX29" s="21" t="n">
        <v>26</v>
      </c>
      <c r="BY29" s="21" t="n">
        <v>69</v>
      </c>
      <c r="BZ29" s="27">
        <f>SUM(BX29:BY29)</f>
        <v/>
      </c>
      <c r="CA29" s="28" t="n">
        <v>60</v>
      </c>
      <c r="CB29" s="31" t="n">
        <v>71</v>
      </c>
      <c r="CC29" s="29">
        <f>IF(AND(BZ29=0,CA29=0,CB29=0),0,IF(AND(BZ29=0,CA29=0),CB29/1,IF(AND(BZ29=0,CB29=0),CA29/1,IF(AND(CA29=0,CB29=0),BZ29/1,IF(BZ29=0,FLOOR((CA29+CB29)/2,0.1),IF(CA29=0,(BZ29+CB29)/2,IF(CB29=0,(CA29+BZ29)/2,FLOOR(((BZ29+CA29+CB29)/3),0.1))))))))</f>
        <v/>
      </c>
      <c r="CD29" s="21" t="n">
        <v>18</v>
      </c>
      <c r="CE29" s="21" t="n">
        <v>47</v>
      </c>
      <c r="CF29" s="27">
        <f>SUM(CD29:CE29)</f>
        <v/>
      </c>
      <c r="CG29" s="28" t="n">
        <v>43</v>
      </c>
      <c r="CH29" s="31" t="n">
        <v>41</v>
      </c>
      <c r="CI29" s="29">
        <f>IF(AND(CF29=0,CG29=0,CH29=0),0,IF(AND(CF29=0,CG29=0),CH29/1,IF(AND(CF29=0,CH29=0),CG29/1,IF(AND(CG29=0,CH29=0),CF29/1,IF(CF29=0,FLOOR((CG29+CH29)/2,0.1),IF(CG29=0,(CF29+CH29)/2,IF(CH29=0,(CG29+CF29)/2,FLOOR(((CF29+CG29+CH29)/3),0.1))))))))</f>
        <v/>
      </c>
      <c r="CJ29" s="21" t="n"/>
      <c r="CK29" s="21" t="n"/>
      <c r="CL29" s="27">
        <f>SUM(CJ29:CK29)</f>
        <v/>
      </c>
      <c r="CM29" s="28" t="n"/>
      <c r="CN29" s="31" t="n"/>
      <c r="CO29" s="29">
        <f>IF(AND(CL29=0,CM29=0,CN29=0),0,IF(AND(CL29=0,CM29=0),CN29/1,IF(AND(CL29=0,CN29=0),CM29/1,IF(AND(CM29=0,CN29=0),CL29/1,IF(CL29=0,FLOOR((CM29+CN29)/2,0.1),IF(CM29=0,(CL29+CN29)/2,IF(CN29=0,(CM29+CL29)/2,FLOOR(((CL29+CM29+CN29)/3),0.1))))))))</f>
        <v/>
      </c>
      <c r="CP29" s="21" t="n"/>
      <c r="CQ29" s="21" t="n"/>
      <c r="CR29" s="27">
        <f>SUM(CP29:CQ29)</f>
        <v/>
      </c>
      <c r="CS29" s="28" t="n"/>
      <c r="CT29" s="31" t="n"/>
      <c r="CU29" s="29">
        <f>IF(AND(CR29=0,CS29=0,CT29=0),0,IF(AND(CR29=0,CS29=0),CT29/1,IF(AND(CR29=0,CT29=0),CS29/1,IF(AND(CS29=0,CT29=0),CR29/1,IF(CR29=0,FLOOR((CS29+CT29)/2,0.1),IF(CS29=0,(CR29+CT29)/2,IF(CT29=0,(CS29+CR29)/2,FLOOR(((CR29+CS29+CT29)/3),0.1))))))))</f>
        <v/>
      </c>
      <c r="CV29" s="21" t="n">
        <v>30</v>
      </c>
      <c r="CW29" s="21" t="n">
        <v>29</v>
      </c>
      <c r="CX29" s="27">
        <f>SUM(CV29:CW29)</f>
        <v/>
      </c>
      <c r="CY29" s="28" t="n">
        <v>36</v>
      </c>
      <c r="CZ29" s="31" t="n">
        <v>37</v>
      </c>
      <c r="DA29" s="29">
        <f>IF(AND(CX29=0,CY29=0,CZ29=0),0,IF(AND(CX29=0,CY29=0),CZ29/1,IF(AND(CX29=0,CZ29=0),CY29/1,IF(AND(CY29=0,CZ29=0),CX29/1,IF(CX29=0,FLOOR((CY29+CZ29)/2,0.1),IF(CY29=0,(CX29+CZ29)/2,IF(CZ29=0,(CY29+CX29)/2,FLOOR(((CX29+CY29+CZ29)/3),0.1))))))))</f>
        <v/>
      </c>
      <c r="DB29" s="21" t="n"/>
      <c r="DC29" s="21" t="n"/>
      <c r="DD29" s="27">
        <f>SUM(DB29:DC29)</f>
        <v/>
      </c>
      <c r="DE29" s="28" t="n"/>
      <c r="DF29" s="31" t="n"/>
      <c r="DG29" s="29">
        <f>IF(AND(DD29=0,DE29=0,DF29=0),0,IF(AND(DD29=0,DE29=0),DF29/1,IF(AND(DD29=0,DF29=0),DE29/1,IF(AND(DE29=0,DF29=0),DD29/1,IF(DD29=0,FLOOR((DE29+DF29)/2,0.1),IF(DE29=0,(DD29+DF29)/2,IF(DF29=0,(DE29+DD29)/2,FLOOR(((DD29+DE29+DF29)/3),0.1))))))))</f>
        <v/>
      </c>
      <c r="DH29" s="34">
        <f>SUM(O29,U29,AA29,AG29,AM29,AS29,AY29,BE29,BK29,BQ29,BW29,CC29,CI29,CO29,CU29,DA29,DG29)</f>
        <v/>
      </c>
      <c r="DI29" s="39">
        <f>RANK(DH29,DH$4:DH$503)</f>
        <v/>
      </c>
      <c r="DJ29" s="40" t="inlineStr">
        <is>
          <t>EXCELLENT(5)</t>
        </is>
      </c>
      <c r="DK29" s="40" t="inlineStr">
        <is>
          <t>GOOD(4)</t>
        </is>
      </c>
      <c r="DL29" s="40" t="inlineStr">
        <is>
          <t>GOOD(4)</t>
        </is>
      </c>
      <c r="DM29" s="40" t="inlineStr">
        <is>
          <t>EXCELLENT(5)</t>
        </is>
      </c>
      <c r="DN29" s="40" t="inlineStr">
        <is>
          <t>GOOD(4)</t>
        </is>
      </c>
      <c r="DO29" s="40" t="inlineStr">
        <is>
          <t>GOOD(4)</t>
        </is>
      </c>
      <c r="DP29" s="40" t="inlineStr">
        <is>
          <t>GOOD(4)</t>
        </is>
      </c>
      <c r="DQ29" s="40" t="inlineStr">
        <is>
          <t>GOOD(4)</t>
        </is>
      </c>
      <c r="DR29" s="43" t="inlineStr">
        <is>
          <t>2024/2025</t>
        </is>
      </c>
      <c r="DS29" s="45" t="inlineStr">
        <is>
          <t>THIRD</t>
        </is>
      </c>
      <c r="DT29" s="40" t="inlineStr">
        <is>
          <t>GOOD(4)</t>
        </is>
      </c>
      <c r="DU29" s="40" t="inlineStr">
        <is>
          <t>GOOD(4)</t>
        </is>
      </c>
      <c r="DV29" s="40" t="inlineStr">
        <is>
          <t>GOOD(4)</t>
        </is>
      </c>
      <c r="DW29" s="40" t="inlineStr">
        <is>
          <t>GOOD(4)</t>
        </is>
      </c>
      <c r="DX29" s="40" t="inlineStr">
        <is>
          <t>GOOD(4)</t>
        </is>
      </c>
      <c r="DY29" s="40" t="inlineStr">
        <is>
          <t>GOOD(4)</t>
        </is>
      </c>
      <c r="DZ29" s="53" t="inlineStr">
        <is>
          <t>GOOD(4)</t>
        </is>
      </c>
      <c r="EA29" s="54" t="inlineStr">
        <is>
          <t>Shows consistent effort and improvement in academic work.</t>
        </is>
      </c>
      <c r="EB29" s="55" t="inlineStr">
        <is>
          <t>Promoted to JSS3</t>
        </is>
      </c>
      <c r="EC29" s="56" t="inlineStr">
        <is>
          <t>MR. JIMOH WASIU OLATUNDE</t>
        </is>
      </c>
      <c r="ED29" s="57" t="inlineStr">
        <is>
          <t>Next Term Begins on Monday, 15th September, 2050</t>
        </is>
      </c>
    </row>
    <row r="30" ht="30.6" customHeight="1" s="6">
      <c r="A30" s="18" t="n">
        <v>27</v>
      </c>
      <c r="B30" s="19" t="inlineStr">
        <is>
          <t xml:space="preserve">OMOTOSHO ALIMOT </t>
        </is>
      </c>
      <c r="C30" s="20" t="inlineStr">
        <is>
          <t>1799</t>
        </is>
      </c>
      <c r="D30" s="128" t="inlineStr">
        <is>
          <t>Female</t>
        </is>
      </c>
      <c r="E30" s="21" t="inlineStr">
        <is>
          <t>JSS 2C</t>
        </is>
      </c>
      <c r="F30" s="21" t="n">
        <v>31</v>
      </c>
      <c r="G30" s="21" t="n">
        <v>122</v>
      </c>
      <c r="H30" s="22" t="n">
        <v>118</v>
      </c>
      <c r="I30" s="26">
        <f>G30-H30</f>
        <v/>
      </c>
      <c r="J30" s="21" t="n">
        <v>26</v>
      </c>
      <c r="K30" s="21" t="n">
        <v>35</v>
      </c>
      <c r="L30" s="27">
        <f>SUM(J30:K30)</f>
        <v/>
      </c>
      <c r="M30" s="28" t="n">
        <v>37</v>
      </c>
      <c r="N30" s="28" t="n">
        <v>50</v>
      </c>
      <c r="O30" s="29">
        <f>IF(AND(L30=0,M30=0,N30=0),0,IF(AND(L30=0,M30=0),N30/1,IF(AND(L30=0,N30=0),M30/1,IF(AND(M30=0,N30=0),L30/1,IF(L30=0,FLOOR((M30+N30)/2,0.1),IF(M30=0,(L30+N30)/2,IF(N30=0,(M30+L30)/2,FLOOR(((L30+M30+N30)/3),0.1))))))))</f>
        <v/>
      </c>
      <c r="P30" s="21" t="n">
        <v>22</v>
      </c>
      <c r="Q30" s="21" t="n">
        <v>43</v>
      </c>
      <c r="R30" s="27">
        <f>SUM(P30:Q30)</f>
        <v/>
      </c>
      <c r="S30" s="28" t="n">
        <v>75</v>
      </c>
      <c r="T30" s="28" t="n">
        <v>54</v>
      </c>
      <c r="U30" s="29">
        <f>IF(AND(R30=0,S30=0,T30=0),0,IF(AND(R30=0,S30=0),T30/1,IF(AND(R30=0,T30=0),S30/1,IF(AND(S30=0,T30=0),R30/1,IF(R30=0,FLOOR((S30+T30)/2,0.1),IF(S30=0,(R30+T30)/2,IF(T30=0,(S30+R30)/2,FLOOR(((R30+S30+T30)/3),0.1))))))))</f>
        <v/>
      </c>
      <c r="V30" s="21" t="n">
        <v>22</v>
      </c>
      <c r="W30" s="21" t="n">
        <v>21</v>
      </c>
      <c r="X30" s="27">
        <f>SUM(V30:W30)</f>
        <v/>
      </c>
      <c r="Y30" s="28" t="n">
        <v>57</v>
      </c>
      <c r="Z30" s="28" t="n">
        <v>50</v>
      </c>
      <c r="AA30" s="29">
        <f>IF(AND(X30=0,Y30=0,Z30=0),0,IF(AND(X30=0,Y30=0),Z30/1,IF(AND(X30=0,Z30=0),Y30/1,IF(AND(Y30=0,Z30=0),X30/1,IF(X30=0,FLOOR((Y30+Z30)/2,0.1),IF(Y30=0,(X30+Z30)/2,IF(Z30=0,(Y30+X30)/2,FLOOR(((X30+Y30+Z30)/3),0.1))))))))</f>
        <v/>
      </c>
      <c r="AB30" s="21" t="n">
        <v>21</v>
      </c>
      <c r="AC30" s="21" t="n">
        <v>38</v>
      </c>
      <c r="AD30" s="27">
        <f>SUM(AB30:AC30)</f>
        <v/>
      </c>
      <c r="AE30" s="28" t="n">
        <v>100</v>
      </c>
      <c r="AF30" s="28" t="n">
        <v>80</v>
      </c>
      <c r="AG30" s="29">
        <f>IF(AND(AD30=0,AE30=0,AF30=0),0,IF(AND(AD30=0,AE30=0),AF30/1,IF(AND(AD30=0,AF30=0),AE30/1,IF(AND(AE30=0,AF30=0),AD30/1,IF(AD30=0,FLOOR((AE30+AF30)/2,0.1),IF(AE30=0,(AD30+AF30)/2,IF(AF30=0,(AE30+AD30)/2,FLOOR(((AD30+AE30+AF30)/3),0.1))))))))</f>
        <v/>
      </c>
      <c r="AH30" s="21" t="n">
        <v>23</v>
      </c>
      <c r="AI30" s="21" t="n">
        <v>40</v>
      </c>
      <c r="AJ30" s="27">
        <f>SUM(AH30:AI30)</f>
        <v/>
      </c>
      <c r="AK30" s="28" t="n">
        <v>63</v>
      </c>
      <c r="AL30" s="28" t="n">
        <v>56</v>
      </c>
      <c r="AM30" s="29">
        <f>IF(AND(AJ30=0,AK30=0,AL30=0),0,IF(AND(AJ30=0,AK30=0),AL30/1,IF(AND(AJ30=0,AL30=0),AK30/1,IF(AND(AK30=0,AL30=0),AJ30/1,IF(AJ30=0,FLOOR((AK30+AL30)/2,0.1),IF(AK30=0,(AJ30+AL30)/2,IF(AL30=0,(AK30+AJ30)/2,FLOOR(((AJ30+AK30+AL30)/3),0.1))))))))</f>
        <v/>
      </c>
      <c r="AN30" s="21" t="n"/>
      <c r="AO30" s="21" t="n"/>
      <c r="AP30" s="27">
        <f>SUM(AN30:AO30)</f>
        <v/>
      </c>
      <c r="AQ30" s="28" t="n"/>
      <c r="AR30" s="30" t="n"/>
      <c r="AS30" s="29">
        <f>IF(AND(AP30=0,AQ30=0,AR30=0),0,IF(AND(AP30=0,AQ30=0),AR30/1,IF(AND(AP30=0,AR30=0),AQ30/1,IF(AND(AQ30=0,AR30=0),AP30/1,IF(AP30=0,FLOOR((AQ30+AR30)/2,0.1),IF(AQ30=0,(AP30+AR30)/2,IF(AR30=0,(AQ30+AP30)/2,FLOOR(((AP30+AQ30+AR30)/3),0.1))))))))</f>
        <v/>
      </c>
      <c r="AT30" s="21" t="n">
        <v>30</v>
      </c>
      <c r="AU30" s="21" t="n">
        <v>51</v>
      </c>
      <c r="AV30" s="27">
        <f>SUM(AT30:AU30)</f>
        <v/>
      </c>
      <c r="AW30" s="28" t="n">
        <v>77</v>
      </c>
      <c r="AX30" s="30" t="n">
        <v>49</v>
      </c>
      <c r="AY30" s="29">
        <f>IF(AND(AV30=0,AW30=0,AX30=0),0,IF(AND(AV30=0,AW30=0),AX30/1,IF(AND(AV30=0,AX30=0),AW30/1,IF(AND(AW30=0,AX30=0),AV30/1,IF(AV30=0,FLOOR((AW30+AX30)/2,0.1),IF(AW30=0,(AV30+AX30)/2,IF(AX30=0,(AW30+AV30)/2,FLOOR(((AV30+AW30+AX30)/3),0.1))))))))</f>
        <v/>
      </c>
      <c r="AZ30" s="21" t="n">
        <v>27</v>
      </c>
      <c r="BA30" s="21" t="n">
        <v>35</v>
      </c>
      <c r="BB30" s="27">
        <f>SUM(AZ30:BA30)</f>
        <v/>
      </c>
      <c r="BC30" s="28" t="n">
        <v>64</v>
      </c>
      <c r="BD30" s="28" t="n">
        <v>63</v>
      </c>
      <c r="BE30" s="29">
        <f>IF(AND(BB30=0,BC30=0,BD30=0),0,IF(AND(BB30=0,BC30=0),BD30/1,IF(AND(BB30=0,BD30=0),BC30/1,IF(AND(BC30=0,BD30=0),BB30/1,IF(BB30=0,FLOOR((BC30+BD30)/2,0.1),IF(BC30=0,(BB30+BD30)/2,IF(BD30=0,(BC30+BB30)/2,FLOOR(((BB30+BC30+BD30)/3),0.1))))))))</f>
        <v/>
      </c>
      <c r="BF30" s="21" t="n">
        <v>16</v>
      </c>
      <c r="BG30" s="21" t="n">
        <v>41</v>
      </c>
      <c r="BH30" s="27">
        <f>SUM(BF30:BG30)</f>
        <v/>
      </c>
      <c r="BI30" s="28" t="n">
        <v>69</v>
      </c>
      <c r="BJ30" s="28" t="n">
        <v>26</v>
      </c>
      <c r="BK30" s="29">
        <f>IF(AND(BH30=0,BI30=0,BJ30=0),0,IF(AND(BH30=0,BI30=0),BJ30/1,IF(AND(BH30=0,BJ30=0),BI30/1,IF(AND(BI30=0,BJ30=0),BH30/1,IF(BH30=0,FLOOR((BI30+BJ30)/2,0.1),IF(BI30=0,(BH30+BJ30)/2,IF(BJ30=0,(BI30+BH30)/2,FLOOR(((BH30+BI30+BJ30)/3),0.1))))))))</f>
        <v/>
      </c>
      <c r="BL30" s="21" t="n">
        <v>15</v>
      </c>
      <c r="BM30" s="21" t="n">
        <v>38</v>
      </c>
      <c r="BN30" s="27">
        <f>SUM(BL30:BM30)</f>
        <v/>
      </c>
      <c r="BO30" s="28" t="n">
        <v>62</v>
      </c>
      <c r="BP30" s="31" t="n">
        <v>71</v>
      </c>
      <c r="BQ30" s="29">
        <f>IF(AND(BN30=0,BO30=0,BP30=0),0,IF(AND(BN30=0,BO30=0),BP30/1,IF(AND(BN30=0,BP30=0),BO30/1,IF(AND(BO30=0,BP30=0),BN30/1,IF(BN30=0,FLOOR((BO30+BP30)/2,0.1),IF(BO30=0,(BN30+BP30)/2,IF(BP30=0,(BO30+BN30)/2,FLOOR(((BN30+BO30+BP30)/3),0.1))))))))</f>
        <v/>
      </c>
      <c r="BR30" s="21" t="n"/>
      <c r="BS30" s="21" t="n"/>
      <c r="BT30" s="27">
        <f>SUM(BR30:BS30)</f>
        <v/>
      </c>
      <c r="BU30" s="28" t="n"/>
      <c r="BV30" s="31" t="n"/>
      <c r="BW30" s="29">
        <f>IF(AND(BT30=0,BU30=0,BV30=0),0,IF(AND(BT30=0,BU30=0),BV30/1,IF(AND(BT30=0,BV30=0),BU30/1,IF(AND(BU30=0,BV30=0),BT30/1,IF(BT30=0,FLOOR((BU30+BV30)/2,0.1),IF(BU30=0,(BT30+BV30)/2,IF(BV30=0,(BU30+BT30)/2,FLOOR(((BT30+BU30+BV30)/3),0.1))))))))</f>
        <v/>
      </c>
      <c r="BX30" s="21" t="n">
        <v>25</v>
      </c>
      <c r="BY30" s="21" t="n">
        <v>70</v>
      </c>
      <c r="BZ30" s="27">
        <f>SUM(BX30:BY30)</f>
        <v/>
      </c>
      <c r="CA30" s="28" t="n">
        <v>83</v>
      </c>
      <c r="CB30" s="31" t="n">
        <v>61</v>
      </c>
      <c r="CC30" s="29">
        <f>IF(AND(BZ30=0,CA30=0,CB30=0),0,IF(AND(BZ30=0,CA30=0),CB30/1,IF(AND(BZ30=0,CB30=0),CA30/1,IF(AND(CA30=0,CB30=0),BZ30/1,IF(BZ30=0,FLOOR((CA30+CB30)/2,0.1),IF(CA30=0,(BZ30+CB30)/2,IF(CB30=0,(CA30+BZ30)/2,FLOOR(((BZ30+CA30+CB30)/3),0.1))))))))</f>
        <v/>
      </c>
      <c r="CD30" s="21" t="n">
        <v>13</v>
      </c>
      <c r="CE30" s="21" t="n">
        <v>50</v>
      </c>
      <c r="CF30" s="27">
        <f>SUM(CD30:CE30)</f>
        <v/>
      </c>
      <c r="CG30" s="28" t="n">
        <v>53</v>
      </c>
      <c r="CH30" s="31" t="n">
        <v>36</v>
      </c>
      <c r="CI30" s="29">
        <f>IF(AND(CF30=0,CG30=0,CH30=0),0,IF(AND(CF30=0,CG30=0),CH30/1,IF(AND(CF30=0,CH30=0),CG30/1,IF(AND(CG30=0,CH30=0),CF30/1,IF(CF30=0,FLOOR((CG30+CH30)/2,0.1),IF(CG30=0,(CF30+CH30)/2,IF(CH30=0,(CG30+CF30)/2,FLOOR(((CF30+CG30+CH30)/3),0.1))))))))</f>
        <v/>
      </c>
      <c r="CJ30" s="21" t="n"/>
      <c r="CK30" s="21" t="n"/>
      <c r="CL30" s="27">
        <f>SUM(CJ30:CK30)</f>
        <v/>
      </c>
      <c r="CM30" s="28" t="n"/>
      <c r="CN30" s="31" t="n"/>
      <c r="CO30" s="29">
        <f>IF(AND(CL30=0,CM30=0,CN30=0),0,IF(AND(CL30=0,CM30=0),CN30/1,IF(AND(CL30=0,CN30=0),CM30/1,IF(AND(CM30=0,CN30=0),CL30/1,IF(CL30=0,FLOOR((CM30+CN30)/2,0.1),IF(CM30=0,(CL30+CN30)/2,IF(CN30=0,(CM30+CL30)/2,FLOOR(((CL30+CM30+CN30)/3),0.1))))))))</f>
        <v/>
      </c>
      <c r="CP30" s="21" t="n">
        <v>16</v>
      </c>
      <c r="CQ30" s="21" t="n">
        <v>53</v>
      </c>
      <c r="CR30" s="27">
        <f>SUM(CP30:CQ30)</f>
        <v/>
      </c>
      <c r="CS30" s="28" t="n">
        <v>65</v>
      </c>
      <c r="CT30" s="31" t="n">
        <v>72</v>
      </c>
      <c r="CU30" s="29">
        <f>IF(AND(CR30=0,CS30=0,CT30=0),0,IF(AND(CR30=0,CS30=0),CT30/1,IF(AND(CR30=0,CT30=0),CS30/1,IF(AND(CS30=0,CT30=0),CR30/1,IF(CR30=0,FLOOR((CS30+CT30)/2,0.1),IF(CS30=0,(CR30+CT30)/2,IF(CT30=0,(CS30+CR30)/2,FLOOR(((CR30+CS30+CT30)/3),0.1))))))))</f>
        <v/>
      </c>
      <c r="CV30" s="21" t="n"/>
      <c r="CW30" s="21" t="n"/>
      <c r="CX30" s="27">
        <f>SUM(CV30:CW30)</f>
        <v/>
      </c>
      <c r="CY30" s="28" t="n"/>
      <c r="CZ30" s="31" t="n"/>
      <c r="DA30" s="29">
        <f>IF(AND(CX30=0,CY30=0,CZ30=0),0,IF(AND(CX30=0,CY30=0),CZ30/1,IF(AND(CX30=0,CZ30=0),CY30/1,IF(AND(CY30=0,CZ30=0),CX30/1,IF(CX30=0,FLOOR((CY30+CZ30)/2,0.1),IF(CY30=0,(CX30+CZ30)/2,IF(CZ30=0,(CY30+CX30)/2,FLOOR(((CX30+CY30+CZ30)/3),0.1))))))))</f>
        <v/>
      </c>
      <c r="DB30" s="21" t="n"/>
      <c r="DC30" s="21" t="n"/>
      <c r="DD30" s="27">
        <f>SUM(DB30:DC30)</f>
        <v/>
      </c>
      <c r="DE30" s="28" t="n"/>
      <c r="DF30" s="31" t="n"/>
      <c r="DG30" s="29">
        <f>IF(AND(DD30=0,DE30=0,DF30=0),0,IF(AND(DD30=0,DE30=0),DF30/1,IF(AND(DD30=0,DF30=0),DE30/1,IF(AND(DE30=0,DF30=0),DD30/1,IF(DD30=0,FLOOR((DE30+DF30)/2,0.1),IF(DE30=0,(DD30+DF30)/2,IF(DF30=0,(DE30+DD30)/2,FLOOR(((DD30+DE30+DF30)/3),0.1))))))))</f>
        <v/>
      </c>
      <c r="DH30" s="34">
        <f>SUM(O30,U30,AA30,AG30,AM30,AS30,AY30,BE30,BK30,BQ30,BW30,CC30,CI30,CO30,CU30,DA30,DG30)</f>
        <v/>
      </c>
      <c r="DI30" s="39">
        <f>RANK(DH30,DH$4:DH$503)</f>
        <v/>
      </c>
      <c r="DJ30" s="40" t="inlineStr">
        <is>
          <t>EXCELLENT(5)</t>
        </is>
      </c>
      <c r="DK30" s="40" t="inlineStr">
        <is>
          <t>GOOD(4)</t>
        </is>
      </c>
      <c r="DL30" s="40" t="inlineStr">
        <is>
          <t>EXCELLENT(5)</t>
        </is>
      </c>
      <c r="DM30" s="40" t="inlineStr">
        <is>
          <t>EXCELLENT(5)</t>
        </is>
      </c>
      <c r="DN30" s="40" t="inlineStr">
        <is>
          <t>GOOD(4)</t>
        </is>
      </c>
      <c r="DO30" s="40" t="inlineStr">
        <is>
          <t>GOOD(4)</t>
        </is>
      </c>
      <c r="DP30" s="40" t="inlineStr">
        <is>
          <t>GOOD(4)</t>
        </is>
      </c>
      <c r="DQ30" s="40" t="inlineStr">
        <is>
          <t>GOOD(4)</t>
        </is>
      </c>
      <c r="DR30" s="43" t="inlineStr">
        <is>
          <t>2024/2025</t>
        </is>
      </c>
      <c r="DS30" s="45" t="inlineStr">
        <is>
          <t>THIRD</t>
        </is>
      </c>
      <c r="DT30" s="40" t="inlineStr">
        <is>
          <t>GOOD(4)</t>
        </is>
      </c>
      <c r="DU30" s="40" t="inlineStr">
        <is>
          <t>GOOD(4)</t>
        </is>
      </c>
      <c r="DV30" s="40" t="inlineStr">
        <is>
          <t>GOOD(4)</t>
        </is>
      </c>
      <c r="DW30" s="40" t="inlineStr">
        <is>
          <t>GOOD(4)</t>
        </is>
      </c>
      <c r="DX30" s="40" t="inlineStr">
        <is>
          <t>GOOD(4)</t>
        </is>
      </c>
      <c r="DY30" s="40" t="inlineStr">
        <is>
          <t>GOOD(4)</t>
        </is>
      </c>
      <c r="DZ30" s="53" t="inlineStr">
        <is>
          <t>GOOD(4)</t>
        </is>
      </c>
      <c r="EA30" s="54" t="inlineStr">
        <is>
          <t>Demonstrates a positive attitude and respect for rules.</t>
        </is>
      </c>
      <c r="EB30" s="55" t="inlineStr">
        <is>
          <t>Promoted to JSS3</t>
        </is>
      </c>
      <c r="EC30" s="56" t="inlineStr">
        <is>
          <t>MR. JIMOH WASIU OLATUNDE</t>
        </is>
      </c>
      <c r="ED30" s="57" t="inlineStr">
        <is>
          <t>Next Term Begins on Monday, 15th September, 2051</t>
        </is>
      </c>
    </row>
    <row r="31" ht="30.6" customHeight="1" s="6">
      <c r="A31" s="18" t="n">
        <v>28</v>
      </c>
      <c r="B31" s="19" t="inlineStr">
        <is>
          <t xml:space="preserve">OYEBISI RAMOTA </t>
        </is>
      </c>
      <c r="C31" s="20" t="inlineStr">
        <is>
          <t>1780</t>
        </is>
      </c>
      <c r="D31" s="128" t="inlineStr">
        <is>
          <t>Female</t>
        </is>
      </c>
      <c r="E31" s="21" t="inlineStr">
        <is>
          <t>JSS 2C</t>
        </is>
      </c>
      <c r="F31" s="21" t="n">
        <v>31</v>
      </c>
      <c r="G31" s="21" t="n">
        <v>122</v>
      </c>
      <c r="H31" s="22" t="n">
        <v>114</v>
      </c>
      <c r="I31" s="26">
        <f>G31-H31</f>
        <v/>
      </c>
      <c r="J31" s="21" t="n">
        <v>20</v>
      </c>
      <c r="K31" s="21" t="n">
        <v>32</v>
      </c>
      <c r="L31" s="27">
        <f>SUM(J31:K31)</f>
        <v/>
      </c>
      <c r="M31" s="28" t="n">
        <v>25</v>
      </c>
      <c r="N31" s="28" t="n">
        <v>49</v>
      </c>
      <c r="O31" s="29">
        <f>IF(AND(L31=0,M31=0,N31=0),0,IF(AND(L31=0,M31=0),N31/1,IF(AND(L31=0,N31=0),M31/1,IF(AND(M31=0,N31=0),L31/1,IF(L31=0,FLOOR((M31+N31)/2,0.1),IF(M31=0,(L31+N31)/2,IF(N31=0,(M31+L31)/2,FLOOR(((L31+M31+N31)/3),0.1))))))))</f>
        <v/>
      </c>
      <c r="P31" s="21" t="n">
        <v>17</v>
      </c>
      <c r="Q31" s="21" t="n">
        <v>33</v>
      </c>
      <c r="R31" s="27">
        <f>SUM(P31:Q31)</f>
        <v/>
      </c>
      <c r="S31" s="28" t="n">
        <v>66</v>
      </c>
      <c r="T31" s="28" t="n">
        <v>34</v>
      </c>
      <c r="U31" s="29">
        <f>IF(AND(R31=0,S31=0,T31=0),0,IF(AND(R31=0,S31=0),T31/1,IF(AND(R31=0,T31=0),S31/1,IF(AND(S31=0,T31=0),R31/1,IF(R31=0,FLOOR((S31+T31)/2,0.1),IF(S31=0,(R31+T31)/2,IF(T31=0,(S31+R31)/2,FLOOR(((R31+S31+T31)/3),0.1))))))))</f>
        <v/>
      </c>
      <c r="V31" s="21" t="n">
        <v>23</v>
      </c>
      <c r="W31" s="21" t="n">
        <v>27</v>
      </c>
      <c r="X31" s="27">
        <f>SUM(V31:W31)</f>
        <v/>
      </c>
      <c r="Y31" s="28" t="n">
        <v>44</v>
      </c>
      <c r="Z31" s="28" t="n">
        <v>47</v>
      </c>
      <c r="AA31" s="29">
        <f>IF(AND(X31=0,Y31=0,Z31=0),0,IF(AND(X31=0,Y31=0),Z31/1,IF(AND(X31=0,Z31=0),Y31/1,IF(AND(Y31=0,Z31=0),X31/1,IF(X31=0,FLOOR((Y31+Z31)/2,0.1),IF(Y31=0,(X31+Z31)/2,IF(Z31=0,(Y31+X31)/2,FLOOR(((X31+Y31+Z31)/3),0.1))))))))</f>
        <v/>
      </c>
      <c r="AB31" s="21" t="n">
        <v>20</v>
      </c>
      <c r="AC31" s="21" t="n">
        <v>40</v>
      </c>
      <c r="AD31" s="27">
        <f>SUM(AB31:AC31)</f>
        <v/>
      </c>
      <c r="AE31" s="28" t="n">
        <v>59</v>
      </c>
      <c r="AF31" s="28" t="n">
        <v>60</v>
      </c>
      <c r="AG31" s="29">
        <f>IF(AND(AD31=0,AE31=0,AF31=0),0,IF(AND(AD31=0,AE31=0),AF31/1,IF(AND(AD31=0,AF31=0),AE31/1,IF(AND(AE31=0,AF31=0),AD31/1,IF(AD31=0,FLOOR((AE31+AF31)/2,0.1),IF(AE31=0,(AD31+AF31)/2,IF(AF31=0,(AE31+AD31)/2,FLOOR(((AD31+AE31+AF31)/3),0.1))))))))</f>
        <v/>
      </c>
      <c r="AH31" s="21" t="n">
        <v>17</v>
      </c>
      <c r="AI31" s="21" t="n">
        <v>28</v>
      </c>
      <c r="AJ31" s="27">
        <f>SUM(AH31:AI31)</f>
        <v/>
      </c>
      <c r="AK31" s="28" t="n">
        <v>52</v>
      </c>
      <c r="AL31" s="28" t="n">
        <v>38</v>
      </c>
      <c r="AM31" s="29">
        <f>IF(AND(AJ31=0,AK31=0,AL31=0),0,IF(AND(AJ31=0,AK31=0),AL31/1,IF(AND(AJ31=0,AL31=0),AK31/1,IF(AND(AK31=0,AL31=0),AJ31/1,IF(AJ31=0,FLOOR((AK31+AL31)/2,0.1),IF(AK31=0,(AJ31+AL31)/2,IF(AL31=0,(AK31+AJ31)/2,FLOOR(((AJ31+AK31+AL31)/3),0.1))))))))</f>
        <v/>
      </c>
      <c r="AN31" s="21" t="n"/>
      <c r="AO31" s="21" t="n"/>
      <c r="AP31" s="27">
        <f>SUM(AN31:AO31)</f>
        <v/>
      </c>
      <c r="AQ31" s="28" t="n"/>
      <c r="AR31" s="30" t="n"/>
      <c r="AS31" s="29">
        <f>IF(AND(AP31=0,AQ31=0,AR31=0),0,IF(AND(AP31=0,AQ31=0),AR31/1,IF(AND(AP31=0,AR31=0),AQ31/1,IF(AND(AQ31=0,AR31=0),AP31/1,IF(AP31=0,FLOOR((AQ31+AR31)/2,0.1),IF(AQ31=0,(AP31+AR31)/2,IF(AR31=0,(AQ31+AP31)/2,FLOOR(((AP31+AQ31+AR31)/3),0.1))))))))</f>
        <v/>
      </c>
      <c r="AT31" s="21" t="n">
        <v>19</v>
      </c>
      <c r="AU31" s="21" t="n">
        <v>31</v>
      </c>
      <c r="AV31" s="27">
        <f>SUM(AT31:AU31)</f>
        <v/>
      </c>
      <c r="AW31" s="28" t="n">
        <v>45</v>
      </c>
      <c r="AX31" s="30" t="n">
        <v>55</v>
      </c>
      <c r="AY31" s="29">
        <f>IF(AND(AV31=0,AW31=0,AX31=0),0,IF(AND(AV31=0,AW31=0),AX31/1,IF(AND(AV31=0,AX31=0),AW31/1,IF(AND(AW31=0,AX31=0),AV31/1,IF(AV31=0,FLOOR((AW31+AX31)/2,0.1),IF(AW31=0,(AV31+AX31)/2,IF(AX31=0,(AW31+AV31)/2,FLOOR(((AV31+AW31+AX31)/3),0.1))))))))</f>
        <v/>
      </c>
      <c r="AZ31" s="21" t="n">
        <v>23</v>
      </c>
      <c r="BA31" s="21" t="n">
        <v>38</v>
      </c>
      <c r="BB31" s="27">
        <f>SUM(AZ31:BA31)</f>
        <v/>
      </c>
      <c r="BC31" s="28" t="n">
        <v>65</v>
      </c>
      <c r="BD31" s="28" t="n">
        <v>63</v>
      </c>
      <c r="BE31" s="29">
        <f>IF(AND(BB31=0,BC31=0,BD31=0),0,IF(AND(BB31=0,BC31=0),BD31/1,IF(AND(BB31=0,BD31=0),BC31/1,IF(AND(BC31=0,BD31=0),BB31/1,IF(BB31=0,FLOOR((BC31+BD31)/2,0.1),IF(BC31=0,(BB31+BD31)/2,IF(BD31=0,(BC31+BB31)/2,FLOOR(((BB31+BC31+BD31)/3),0.1))))))))</f>
        <v/>
      </c>
      <c r="BF31" s="21" t="n">
        <v>15</v>
      </c>
      <c r="BG31" s="21" t="n">
        <v>36</v>
      </c>
      <c r="BH31" s="27">
        <f>SUM(BF31:BG31)</f>
        <v/>
      </c>
      <c r="BI31" s="28" t="n">
        <v>48</v>
      </c>
      <c r="BJ31" s="28" t="n">
        <v>27</v>
      </c>
      <c r="BK31" s="29">
        <f>IF(AND(BH31=0,BI31=0,BJ31=0),0,IF(AND(BH31=0,BI31=0),BJ31/1,IF(AND(BH31=0,BJ31=0),BI31/1,IF(AND(BI31=0,BJ31=0),BH31/1,IF(BH31=0,FLOOR((BI31+BJ31)/2,0.1),IF(BI31=0,(BH31+BJ31)/2,IF(BJ31=0,(BI31+BH31)/2,FLOOR(((BH31+BI31+BJ31)/3),0.1))))))))</f>
        <v/>
      </c>
      <c r="BL31" s="21" t="n">
        <v>19</v>
      </c>
      <c r="BM31" s="21" t="n">
        <v>34</v>
      </c>
      <c r="BN31" s="27">
        <f>SUM(BL31:BM31)</f>
        <v/>
      </c>
      <c r="BO31" s="28" t="n">
        <v>28</v>
      </c>
      <c r="BP31" s="31" t="n">
        <v>51</v>
      </c>
      <c r="BQ31" s="29">
        <f>IF(AND(BN31=0,BO31=0,BP31=0),0,IF(AND(BN31=0,BO31=0),BP31/1,IF(AND(BN31=0,BP31=0),BO31/1,IF(AND(BO31=0,BP31=0),BN31/1,IF(BN31=0,FLOOR((BO31+BP31)/2,0.1),IF(BO31=0,(BN31+BP31)/2,IF(BP31=0,(BO31+BN31)/2,FLOOR(((BN31+BO31+BP31)/3),0.1))))))))</f>
        <v/>
      </c>
      <c r="BR31" s="21" t="n"/>
      <c r="BS31" s="21" t="n"/>
      <c r="BT31" s="27">
        <f>SUM(BR31:BS31)</f>
        <v/>
      </c>
      <c r="BU31" s="28" t="n"/>
      <c r="BV31" s="31" t="n"/>
      <c r="BW31" s="29">
        <f>IF(AND(BT31=0,BU31=0,BV31=0),0,IF(AND(BT31=0,BU31=0),BV31/1,IF(AND(BT31=0,BV31=0),BU31/1,IF(AND(BU31=0,BV31=0),BT31/1,IF(BT31=0,FLOOR((BU31+BV31)/2,0.1),IF(BU31=0,(BT31+BV31)/2,IF(BV31=0,(BU31+BT31)/2,FLOOR(((BT31+BU31+BV31)/3),0.1))))))))</f>
        <v/>
      </c>
      <c r="BX31" s="21" t="n">
        <v>24</v>
      </c>
      <c r="BY31" s="21" t="n">
        <v>69</v>
      </c>
      <c r="BZ31" s="27">
        <f>SUM(BX31:BY31)</f>
        <v/>
      </c>
      <c r="CA31" s="28" t="n">
        <v>54</v>
      </c>
      <c r="CB31" s="31" t="n">
        <v>42</v>
      </c>
      <c r="CC31" s="29">
        <f>IF(AND(BZ31=0,CA31=0,CB31=0),0,IF(AND(BZ31=0,CA31=0),CB31/1,IF(AND(BZ31=0,CB31=0),CA31/1,IF(AND(CA31=0,CB31=0),BZ31/1,IF(BZ31=0,FLOOR((CA31+CB31)/2,0.1),IF(CA31=0,(BZ31+CB31)/2,IF(CB31=0,(CA31+BZ31)/2,FLOOR(((BZ31+CA31+CB31)/3),0.1))))))))</f>
        <v/>
      </c>
      <c r="CD31" s="21" t="n">
        <v>12</v>
      </c>
      <c r="CE31" s="21" t="n">
        <v>47</v>
      </c>
      <c r="CF31" s="27">
        <f>SUM(CD31:CE31)</f>
        <v/>
      </c>
      <c r="CG31" s="28" t="n">
        <v>45</v>
      </c>
      <c r="CH31" s="31" t="n">
        <v>19</v>
      </c>
      <c r="CI31" s="29">
        <f>IF(AND(CF31=0,CG31=0,CH31=0),0,IF(AND(CF31=0,CG31=0),CH31/1,IF(AND(CF31=0,CH31=0),CG31/1,IF(AND(CG31=0,CH31=0),CF31/1,IF(CF31=0,FLOOR((CG31+CH31)/2,0.1),IF(CG31=0,(CF31+CH31)/2,IF(CH31=0,(CG31+CF31)/2,FLOOR(((CF31+CG31+CH31)/3),0.1))))))))</f>
        <v/>
      </c>
      <c r="CJ31" s="21" t="n"/>
      <c r="CK31" s="21" t="n"/>
      <c r="CL31" s="27">
        <f>SUM(CJ31:CK31)</f>
        <v/>
      </c>
      <c r="CM31" s="28" t="n"/>
      <c r="CN31" s="31" t="n"/>
      <c r="CO31" s="29">
        <f>IF(AND(CL31=0,CM31=0,CN31=0),0,IF(AND(CL31=0,CM31=0),CN31/1,IF(AND(CL31=0,CN31=0),CM31/1,IF(AND(CM31=0,CN31=0),CL31/1,IF(CL31=0,FLOOR((CM31+CN31)/2,0.1),IF(CM31=0,(CL31+CN31)/2,IF(CN31=0,(CM31+CL31)/2,FLOOR(((CL31+CM31+CN31)/3),0.1))))))))</f>
        <v/>
      </c>
      <c r="CP31" s="21" t="n">
        <v>12</v>
      </c>
      <c r="CQ31" s="21" t="n">
        <v>44</v>
      </c>
      <c r="CR31" s="27">
        <f>SUM(CP31:CQ31)</f>
        <v/>
      </c>
      <c r="CS31" s="28" t="n">
        <v>46</v>
      </c>
      <c r="CT31" s="31" t="n">
        <v>44</v>
      </c>
      <c r="CU31" s="29">
        <f>IF(AND(CR31=0,CS31=0,CT31=0),0,IF(AND(CR31=0,CS31=0),CT31/1,IF(AND(CR31=0,CT31=0),CS31/1,IF(AND(CS31=0,CT31=0),CR31/1,IF(CR31=0,FLOOR((CS31+CT31)/2,0.1),IF(CS31=0,(CR31+CT31)/2,IF(CT31=0,(CS31+CR31)/2,FLOOR(((CR31+CS31+CT31)/3),0.1))))))))</f>
        <v/>
      </c>
      <c r="CV31" s="21" t="n"/>
      <c r="CW31" s="21" t="n"/>
      <c r="CX31" s="27">
        <f>SUM(CV31:CW31)</f>
        <v/>
      </c>
      <c r="CY31" s="28" t="n"/>
      <c r="CZ31" s="31" t="n"/>
      <c r="DA31" s="29">
        <f>IF(AND(CX31=0,CY31=0,CZ31=0),0,IF(AND(CX31=0,CY31=0),CZ31/1,IF(AND(CX31=0,CZ31=0),CY31/1,IF(AND(CY31=0,CZ31=0),CX31/1,IF(CX31=0,FLOOR((CY31+CZ31)/2,0.1),IF(CY31=0,(CX31+CZ31)/2,IF(CZ31=0,(CY31+CX31)/2,FLOOR(((CX31+CY31+CZ31)/3),0.1))))))))</f>
        <v/>
      </c>
      <c r="DB31" s="21" t="n"/>
      <c r="DC31" s="21" t="n"/>
      <c r="DD31" s="27">
        <f>SUM(DB31:DC31)</f>
        <v/>
      </c>
      <c r="DE31" s="28" t="n"/>
      <c r="DF31" s="31" t="n"/>
      <c r="DG31" s="29">
        <f>IF(AND(DD31=0,DE31=0,DF31=0),0,IF(AND(DD31=0,DE31=0),DF31/1,IF(AND(DD31=0,DF31=0),DE31/1,IF(AND(DE31=0,DF31=0),DD31/1,IF(DD31=0,FLOOR((DE31+DF31)/2,0.1),IF(DE31=0,(DD31+DF31)/2,IF(DF31=0,(DE31+DD31)/2,FLOOR(((DD31+DE31+DF31)/3),0.1))))))))</f>
        <v/>
      </c>
      <c r="DH31" s="34">
        <f>SUM(O31,U31,AA31,AG31,AM31,AS31,AY31,BE31,BK31,BQ31,BW31,CC31,CI31,CO31,CU31,DA31,DG31)</f>
        <v/>
      </c>
      <c r="DI31" s="39">
        <f>RANK(DH31,DH$4:DH$503)</f>
        <v/>
      </c>
      <c r="DJ31" s="40" t="inlineStr">
        <is>
          <t>EXCELLENT(5)</t>
        </is>
      </c>
      <c r="DK31" s="40" t="inlineStr">
        <is>
          <t>GOOD(4)</t>
        </is>
      </c>
      <c r="DL31" s="40" t="inlineStr">
        <is>
          <t>EXCELLENT(5)</t>
        </is>
      </c>
      <c r="DM31" s="40" t="inlineStr">
        <is>
          <t>EXCELLENT(5)</t>
        </is>
      </c>
      <c r="DN31" s="40" t="inlineStr">
        <is>
          <t>GOOD(4)</t>
        </is>
      </c>
      <c r="DO31" s="40" t="inlineStr">
        <is>
          <t>GOOD(4)</t>
        </is>
      </c>
      <c r="DP31" s="40" t="inlineStr">
        <is>
          <t>GOOD(4)</t>
        </is>
      </c>
      <c r="DQ31" s="40" t="inlineStr">
        <is>
          <t>GOOD(4)</t>
        </is>
      </c>
      <c r="DR31" s="43" t="inlineStr">
        <is>
          <t>2024/2025</t>
        </is>
      </c>
      <c r="DS31" s="45" t="inlineStr">
        <is>
          <t>THIRD</t>
        </is>
      </c>
      <c r="DT31" s="40" t="inlineStr">
        <is>
          <t>GOOD(4)</t>
        </is>
      </c>
      <c r="DU31" s="40" t="inlineStr">
        <is>
          <t>GOOD(4)</t>
        </is>
      </c>
      <c r="DV31" s="40" t="inlineStr">
        <is>
          <t>GOOD(4)</t>
        </is>
      </c>
      <c r="DW31" s="40" t="inlineStr">
        <is>
          <t>GOOD(4)</t>
        </is>
      </c>
      <c r="DX31" s="40" t="inlineStr">
        <is>
          <t>GOOD(4)</t>
        </is>
      </c>
      <c r="DY31" s="40" t="inlineStr">
        <is>
          <t>GOOD(4)</t>
        </is>
      </c>
      <c r="DZ31" s="53" t="inlineStr">
        <is>
          <t>GOOD(4)</t>
        </is>
      </c>
      <c r="EA31" s="54" t="inlineStr">
        <is>
          <t>Completes assignments on time and with care.</t>
        </is>
      </c>
      <c r="EB31" s="55" t="inlineStr">
        <is>
          <t>Promoted to JSS3</t>
        </is>
      </c>
      <c r="EC31" s="56" t="inlineStr">
        <is>
          <t>MR. JIMOH WASIU OLATUNDE</t>
        </is>
      </c>
      <c r="ED31" s="57" t="inlineStr">
        <is>
          <t>Next Term Begins on Monday, 15th September, 2052</t>
        </is>
      </c>
    </row>
    <row r="32" ht="30.6" customHeight="1" s="6">
      <c r="A32" s="18" t="n">
        <v>29</v>
      </c>
      <c r="B32" s="19" t="inlineStr">
        <is>
          <t xml:space="preserve">OYEBISI ROFIAT </t>
        </is>
      </c>
      <c r="C32" s="20" t="inlineStr">
        <is>
          <t>1867</t>
        </is>
      </c>
      <c r="D32" s="128" t="inlineStr">
        <is>
          <t>Female</t>
        </is>
      </c>
      <c r="E32" s="21" t="inlineStr">
        <is>
          <t>JSS 2C</t>
        </is>
      </c>
      <c r="F32" s="21" t="n">
        <v>31</v>
      </c>
      <c r="G32" s="21" t="n">
        <v>122</v>
      </c>
      <c r="H32" s="22" t="n">
        <v>114</v>
      </c>
      <c r="I32" s="26">
        <f>G32-H32</f>
        <v/>
      </c>
      <c r="J32" s="21" t="n">
        <v>10</v>
      </c>
      <c r="K32" s="21" t="n">
        <v>26</v>
      </c>
      <c r="L32" s="27">
        <f>SUM(J32:K32)</f>
        <v/>
      </c>
      <c r="M32" s="28" t="n">
        <v>25</v>
      </c>
      <c r="N32" s="28" t="n">
        <v>42</v>
      </c>
      <c r="O32" s="29">
        <f>IF(AND(L32=0,M32=0,N32=0),0,IF(AND(L32=0,M32=0),N32/1,IF(AND(L32=0,N32=0),M32/1,IF(AND(M32=0,N32=0),L32/1,IF(L32=0,FLOOR((M32+N32)/2,0.1),IF(M32=0,(L32+N32)/2,IF(N32=0,(M32+L32)/2,FLOOR(((L32+M32+N32)/3),0.1))))))))</f>
        <v/>
      </c>
      <c r="P32" s="21" t="n">
        <v>16</v>
      </c>
      <c r="Q32" s="21" t="n">
        <v>33</v>
      </c>
      <c r="R32" s="27">
        <f>SUM(P32:Q32)</f>
        <v/>
      </c>
      <c r="S32" s="28" t="n">
        <v>46</v>
      </c>
      <c r="T32" s="28" t="n">
        <v>52</v>
      </c>
      <c r="U32" s="29">
        <f>IF(AND(R32=0,S32=0,T32=0),0,IF(AND(R32=0,S32=0),T32/1,IF(AND(R32=0,T32=0),S32/1,IF(AND(S32=0,T32=0),R32/1,IF(R32=0,FLOOR((S32+T32)/2,0.1),IF(S32=0,(R32+T32)/2,IF(T32=0,(S32+R32)/2,FLOOR(((R32+S32+T32)/3),0.1))))))))</f>
        <v/>
      </c>
      <c r="V32" s="21" t="n">
        <v>25</v>
      </c>
      <c r="W32" s="21" t="n">
        <v>16</v>
      </c>
      <c r="X32" s="27">
        <f>SUM(V32:W32)</f>
        <v/>
      </c>
      <c r="Y32" s="28" t="n">
        <v>22</v>
      </c>
      <c r="Z32" s="28" t="n">
        <v>32</v>
      </c>
      <c r="AA32" s="29">
        <f>IF(AND(X32=0,Y32=0,Z32=0),0,IF(AND(X32=0,Y32=0),Z32/1,IF(AND(X32=0,Z32=0),Y32/1,IF(AND(Y32=0,Z32=0),X32/1,IF(X32=0,FLOOR((Y32+Z32)/2,0.1),IF(Y32=0,(X32+Z32)/2,IF(Z32=0,(Y32+X32)/2,FLOOR(((X32+Y32+Z32)/3),0.1))))))))</f>
        <v/>
      </c>
      <c r="AB32" s="21" t="n">
        <v>27</v>
      </c>
      <c r="AC32" s="21" t="n">
        <v>36</v>
      </c>
      <c r="AD32" s="27">
        <f>SUM(AB32:AC32)</f>
        <v/>
      </c>
      <c r="AE32" s="28" t="n">
        <v>63</v>
      </c>
      <c r="AF32" s="28" t="n">
        <v>63</v>
      </c>
      <c r="AG32" s="29">
        <f>IF(AND(AD32=0,AE32=0,AF32=0),0,IF(AND(AD32=0,AE32=0),AF32/1,IF(AND(AD32=0,AF32=0),AE32/1,IF(AND(AE32=0,AF32=0),AD32/1,IF(AD32=0,FLOOR((AE32+AF32)/2,0.1),IF(AE32=0,(AD32+AF32)/2,IF(AF32=0,(AE32+AD32)/2,FLOOR(((AD32+AE32+AF32)/3),0.1))))))))</f>
        <v/>
      </c>
      <c r="AH32" s="21" t="n">
        <v>25</v>
      </c>
      <c r="AI32" s="21" t="n">
        <v>30</v>
      </c>
      <c r="AJ32" s="27">
        <f>SUM(AH32:AI32)</f>
        <v/>
      </c>
      <c r="AK32" s="28" t="n">
        <v>42</v>
      </c>
      <c r="AL32" s="28" t="n">
        <v>48</v>
      </c>
      <c r="AM32" s="29">
        <f>IF(AND(AJ32=0,AK32=0,AL32=0),0,IF(AND(AJ32=0,AK32=0),AL32/1,IF(AND(AJ32=0,AL32=0),AK32/1,IF(AND(AK32=0,AL32=0),AJ32/1,IF(AJ32=0,FLOOR((AK32+AL32)/2,0.1),IF(AK32=0,(AJ32+AL32)/2,IF(AL32=0,(AK32+AJ32)/2,FLOOR(((AJ32+AK32+AL32)/3),0.1))))))))</f>
        <v/>
      </c>
      <c r="AN32" s="21" t="n"/>
      <c r="AO32" s="21" t="n"/>
      <c r="AP32" s="27">
        <f>SUM(AN32:AO32)</f>
        <v/>
      </c>
      <c r="AQ32" s="28" t="n"/>
      <c r="AR32" s="30" t="n"/>
      <c r="AS32" s="29">
        <f>IF(AND(AP32=0,AQ32=0,AR32=0),0,IF(AND(AP32=0,AQ32=0),AR32/1,IF(AND(AP32=0,AR32=0),AQ32/1,IF(AND(AQ32=0,AR32=0),AP32/1,IF(AP32=0,FLOOR((AQ32+AR32)/2,0.1),IF(AQ32=0,(AP32+AR32)/2,IF(AR32=0,(AQ32+AP32)/2,FLOOR(((AP32+AQ32+AR32)/3),0.1))))))))</f>
        <v/>
      </c>
      <c r="AT32" s="21" t="n">
        <v>15</v>
      </c>
      <c r="AU32" s="21" t="n">
        <v>36</v>
      </c>
      <c r="AV32" s="27">
        <f>SUM(AT32:AU32)</f>
        <v/>
      </c>
      <c r="AW32" s="28" t="n">
        <v>31</v>
      </c>
      <c r="AX32" s="30" t="n">
        <v>29</v>
      </c>
      <c r="AY32" s="29">
        <f>IF(AND(AV32=0,AW32=0,AX32=0),0,IF(AND(AV32=0,AW32=0),AX32/1,IF(AND(AV32=0,AX32=0),AW32/1,IF(AND(AW32=0,AX32=0),AV32/1,IF(AV32=0,FLOOR((AW32+AX32)/2,0.1),IF(AW32=0,(AV32+AX32)/2,IF(AX32=0,(AW32+AV32)/2,FLOOR(((AV32+AW32+AX32)/3),0.1))))))))</f>
        <v/>
      </c>
      <c r="AZ32" s="21" t="n">
        <v>25</v>
      </c>
      <c r="BA32" s="21" t="n">
        <v>30</v>
      </c>
      <c r="BB32" s="27">
        <f>SUM(AZ32:BA32)</f>
        <v/>
      </c>
      <c r="BC32" s="28" t="n">
        <v>42</v>
      </c>
      <c r="BD32" s="28" t="n">
        <v>48</v>
      </c>
      <c r="BE32" s="29">
        <f>IF(AND(BB32=0,BC32=0,BD32=0),0,IF(AND(BB32=0,BC32=0),BD32/1,IF(AND(BB32=0,BD32=0),BC32/1,IF(AND(BC32=0,BD32=0),BB32/1,IF(BB32=0,FLOOR((BC32+BD32)/2,0.1),IF(BC32=0,(BB32+BD32)/2,IF(BD32=0,(BC32+BB32)/2,FLOOR(((BB32+BC32+BD32)/3),0.1))))))))</f>
        <v/>
      </c>
      <c r="BF32" s="21" t="n">
        <v>16</v>
      </c>
      <c r="BG32" s="21" t="n">
        <v>36</v>
      </c>
      <c r="BH32" s="27">
        <f>SUM(BF32:BG32)</f>
        <v/>
      </c>
      <c r="BI32" s="28" t="n">
        <v>48</v>
      </c>
      <c r="BJ32" s="28" t="n">
        <v>18</v>
      </c>
      <c r="BK32" s="29">
        <f>IF(AND(BH32=0,BI32=0,BJ32=0),0,IF(AND(BH32=0,BI32=0),BJ32/1,IF(AND(BH32=0,BJ32=0),BI32/1,IF(AND(BI32=0,BJ32=0),BH32/1,IF(BH32=0,FLOOR((BI32+BJ32)/2,0.1),IF(BI32=0,(BH32+BJ32)/2,IF(BJ32=0,(BI32+BH32)/2,FLOOR(((BH32+BI32+BJ32)/3),0.1))))))))</f>
        <v/>
      </c>
      <c r="BL32" s="21" t="n">
        <v>19</v>
      </c>
      <c r="BM32" s="21" t="n">
        <v>31</v>
      </c>
      <c r="BN32" s="27">
        <f>SUM(BL32:BM32)</f>
        <v/>
      </c>
      <c r="BO32" s="28" t="n">
        <v>32</v>
      </c>
      <c r="BP32" s="31" t="n">
        <v>47</v>
      </c>
      <c r="BQ32" s="29">
        <f>IF(AND(BN32=0,BO32=0,BP32=0),0,IF(AND(BN32=0,BO32=0),BP32/1,IF(AND(BN32=0,BP32=0),BO32/1,IF(AND(BO32=0,BP32=0),BN32/1,IF(BN32=0,FLOOR((BO32+BP32)/2,0.1),IF(BO32=0,(BN32+BP32)/2,IF(BP32=0,(BO32+BN32)/2,FLOOR(((BN32+BO32+BP32)/3),0.1))))))))</f>
        <v/>
      </c>
      <c r="BR32" s="21" t="n"/>
      <c r="BS32" s="21" t="n"/>
      <c r="BT32" s="27">
        <f>SUM(BR32:BS32)</f>
        <v/>
      </c>
      <c r="BU32" s="28" t="n"/>
      <c r="BV32" s="31" t="n"/>
      <c r="BW32" s="29">
        <f>IF(AND(BT32=0,BU32=0,BV32=0),0,IF(AND(BT32=0,BU32=0),BV32/1,IF(AND(BT32=0,BV32=0),BU32/1,IF(AND(BU32=0,BV32=0),BT32/1,IF(BT32=0,FLOOR((BU32+BV32)/2,0.1),IF(BU32=0,(BT32+BV32)/2,IF(BV32=0,(BU32+BT32)/2,FLOOR(((BT32+BU32+BV32)/3),0.1))))))))</f>
        <v/>
      </c>
      <c r="BX32" s="21" t="n">
        <v>24</v>
      </c>
      <c r="BY32" s="21" t="n">
        <v>68</v>
      </c>
      <c r="BZ32" s="27">
        <f>SUM(BX32:BY32)</f>
        <v/>
      </c>
      <c r="CA32" s="28" t="n">
        <v>37</v>
      </c>
      <c r="CB32" s="31" t="n">
        <v>45</v>
      </c>
      <c r="CC32" s="29">
        <f>IF(AND(BZ32=0,CA32=0,CB32=0),0,IF(AND(BZ32=0,CA32=0),CB32/1,IF(AND(BZ32=0,CB32=0),CA32/1,IF(AND(CA32=0,CB32=0),BZ32/1,IF(BZ32=0,FLOOR((CA32+CB32)/2,0.1),IF(CA32=0,(BZ32+CB32)/2,IF(CB32=0,(CA32+BZ32)/2,FLOOR(((BZ32+CA32+CB32)/3),0.1))))))))</f>
        <v/>
      </c>
      <c r="CD32" s="21" t="n">
        <v>10</v>
      </c>
      <c r="CE32" s="21" t="n">
        <v>40</v>
      </c>
      <c r="CF32" s="27">
        <f>SUM(CD32:CE32)</f>
        <v/>
      </c>
      <c r="CG32" s="28" t="n">
        <v>15</v>
      </c>
      <c r="CH32" s="31" t="n">
        <v>20</v>
      </c>
      <c r="CI32" s="29">
        <f>IF(AND(CF32=0,CG32=0,CH32=0),0,IF(AND(CF32=0,CG32=0),CH32/1,IF(AND(CF32=0,CH32=0),CG32/1,IF(AND(CG32=0,CH32=0),CF32/1,IF(CF32=0,FLOOR((CG32+CH32)/2,0.1),IF(CG32=0,(CF32+CH32)/2,IF(CH32=0,(CG32+CF32)/2,FLOOR(((CF32+CG32+CH32)/3),0.1))))))))</f>
        <v/>
      </c>
      <c r="CJ32" s="21" t="n"/>
      <c r="CK32" s="21" t="n"/>
      <c r="CL32" s="27">
        <f>SUM(CJ32:CK32)</f>
        <v/>
      </c>
      <c r="CM32" s="28" t="n"/>
      <c r="CN32" s="31" t="n"/>
      <c r="CO32" s="29">
        <f>IF(AND(CL32=0,CM32=0,CN32=0),0,IF(AND(CL32=0,CM32=0),CN32/1,IF(AND(CL32=0,CN32=0),CM32/1,IF(AND(CM32=0,CN32=0),CL32/1,IF(CL32=0,FLOOR((CM32+CN32)/2,0.1),IF(CM32=0,(CL32+CN32)/2,IF(CN32=0,(CM32+CL32)/2,FLOOR(((CL32+CM32+CN32)/3),0.1))))))))</f>
        <v/>
      </c>
      <c r="CP32" s="21" t="n">
        <v>12</v>
      </c>
      <c r="CQ32" s="21" t="n">
        <v>28</v>
      </c>
      <c r="CR32" s="27">
        <f>SUM(CP32:CQ32)</f>
        <v/>
      </c>
      <c r="CS32" s="28" t="n">
        <v>35</v>
      </c>
      <c r="CT32" s="31" t="n">
        <v>46</v>
      </c>
      <c r="CU32" s="29">
        <f>IF(AND(CR32=0,CS32=0,CT32=0),0,IF(AND(CR32=0,CS32=0),CT32/1,IF(AND(CR32=0,CT32=0),CS32/1,IF(AND(CS32=0,CT32=0),CR32/1,IF(CR32=0,FLOOR((CS32+CT32)/2,0.1),IF(CS32=0,(CR32+CT32)/2,IF(CT32=0,(CS32+CR32)/2,FLOOR(((CR32+CS32+CT32)/3),0.1))))))))</f>
        <v/>
      </c>
      <c r="CV32" s="21" t="n"/>
      <c r="CW32" s="21" t="n"/>
      <c r="CX32" s="27">
        <f>SUM(CV32:CW32)</f>
        <v/>
      </c>
      <c r="CY32" s="28" t="n"/>
      <c r="CZ32" s="31" t="n"/>
      <c r="DA32" s="29">
        <f>IF(AND(CX32=0,CY32=0,CZ32=0),0,IF(AND(CX32=0,CY32=0),CZ32/1,IF(AND(CX32=0,CZ32=0),CY32/1,IF(AND(CY32=0,CZ32=0),CX32/1,IF(CX32=0,FLOOR((CY32+CZ32)/2,0.1),IF(CY32=0,(CX32+CZ32)/2,IF(CZ32=0,(CY32+CX32)/2,FLOOR(((CX32+CY32+CZ32)/3),0.1))))))))</f>
        <v/>
      </c>
      <c r="DB32" s="21" t="n"/>
      <c r="DC32" s="21" t="n"/>
      <c r="DD32" s="27">
        <f>SUM(DB32:DC32)</f>
        <v/>
      </c>
      <c r="DE32" s="28" t="n"/>
      <c r="DF32" s="31" t="n"/>
      <c r="DG32" s="29">
        <f>IF(AND(DD32=0,DE32=0,DF32=0),0,IF(AND(DD32=0,DE32=0),DF32/1,IF(AND(DD32=0,DF32=0),DE32/1,IF(AND(DE32=0,DF32=0),DD32/1,IF(DD32=0,FLOOR((DE32+DF32)/2,0.1),IF(DE32=0,(DD32+DF32)/2,IF(DF32=0,(DE32+DD32)/2,FLOOR(((DD32+DE32+DF32)/3),0.1))))))))</f>
        <v/>
      </c>
      <c r="DH32" s="34">
        <f>SUM(O32,U32,AA32,AG32,AM32,AS32,AY32,BE32,BK32,BQ32,BW32,CC32,CI32,CO32,CU32,DA32,DG32)</f>
        <v/>
      </c>
      <c r="DI32" s="39">
        <f>RANK(DH32,DH$4:DH$503)</f>
        <v/>
      </c>
      <c r="DJ32" s="40" t="inlineStr">
        <is>
          <t>EXCELLENT(5)</t>
        </is>
      </c>
      <c r="DK32" s="40" t="inlineStr">
        <is>
          <t>GOOD(4)</t>
        </is>
      </c>
      <c r="DL32" s="40" t="inlineStr">
        <is>
          <t>EXCELLENT(5)</t>
        </is>
      </c>
      <c r="DM32" s="40" t="inlineStr">
        <is>
          <t>EXCELLENT(5)</t>
        </is>
      </c>
      <c r="DN32" s="40" t="inlineStr">
        <is>
          <t>GOOD(4)</t>
        </is>
      </c>
      <c r="DO32" s="40" t="inlineStr">
        <is>
          <t>GOOD(4)</t>
        </is>
      </c>
      <c r="DP32" s="40" t="inlineStr">
        <is>
          <t>GOOD(4)</t>
        </is>
      </c>
      <c r="DQ32" s="40" t="inlineStr">
        <is>
          <t>GOOD(4)</t>
        </is>
      </c>
      <c r="DR32" s="43" t="inlineStr">
        <is>
          <t>2024/2025</t>
        </is>
      </c>
      <c r="DS32" s="45" t="inlineStr">
        <is>
          <t>THIRD</t>
        </is>
      </c>
      <c r="DT32" s="40" t="inlineStr">
        <is>
          <t>GOOD(4)</t>
        </is>
      </c>
      <c r="DU32" s="40" t="inlineStr">
        <is>
          <t>GOOD(4)</t>
        </is>
      </c>
      <c r="DV32" s="40" t="inlineStr">
        <is>
          <t>GOOD(4)</t>
        </is>
      </c>
      <c r="DW32" s="40" t="inlineStr">
        <is>
          <t>GOOD(4)</t>
        </is>
      </c>
      <c r="DX32" s="40" t="inlineStr">
        <is>
          <t>GOOD(4)</t>
        </is>
      </c>
      <c r="DY32" s="40" t="inlineStr">
        <is>
          <t>GOOD(4)</t>
        </is>
      </c>
      <c r="DZ32" s="53" t="inlineStr">
        <is>
          <t>GOOD(4)</t>
        </is>
      </c>
      <c r="EA32" s="54" t="inlineStr">
        <is>
          <t>Excels in most subjects and demonstrates a strong grasp of concepts.</t>
        </is>
      </c>
      <c r="EB32" s="55" t="inlineStr">
        <is>
          <t>Promoted on trial to JSS3</t>
        </is>
      </c>
      <c r="EC32" s="56" t="inlineStr">
        <is>
          <t>MR. JIMOH WASIU OLATUNDE</t>
        </is>
      </c>
      <c r="ED32" s="57" t="inlineStr">
        <is>
          <t>Next Term Begins on Monday, 15th September, 2053</t>
        </is>
      </c>
    </row>
    <row r="33" ht="30.6" customHeight="1" s="6">
      <c r="A33" s="18" t="n">
        <v>30</v>
      </c>
      <c r="B33" s="19" t="inlineStr">
        <is>
          <t>OYEKANMI PETER O.</t>
        </is>
      </c>
      <c r="C33" s="20" t="inlineStr">
        <is>
          <t>1869</t>
        </is>
      </c>
      <c r="D33" s="128" t="inlineStr">
        <is>
          <t>Male</t>
        </is>
      </c>
      <c r="E33" s="21" t="inlineStr">
        <is>
          <t>JSS 2C</t>
        </is>
      </c>
      <c r="F33" s="21" t="n">
        <v>31</v>
      </c>
      <c r="G33" s="21" t="n">
        <v>122</v>
      </c>
      <c r="H33" s="22" t="n">
        <v>114</v>
      </c>
      <c r="I33" s="26">
        <f>G33-H33</f>
        <v/>
      </c>
      <c r="J33" s="21" t="n">
        <v>17</v>
      </c>
      <c r="K33" s="21" t="n">
        <v>34</v>
      </c>
      <c r="L33" s="27">
        <f>SUM(J33:K33)</f>
        <v/>
      </c>
      <c r="M33" s="28" t="n">
        <v>61</v>
      </c>
      <c r="N33" s="28" t="n">
        <v>41</v>
      </c>
      <c r="O33" s="29">
        <f>IF(AND(L33=0,M33=0,N33=0),0,IF(AND(L33=0,M33=0),N33/1,IF(AND(L33=0,N33=0),M33/1,IF(AND(M33=0,N33=0),L33/1,IF(L33=0,FLOOR((M33+N33)/2,0.1),IF(M33=0,(L33+N33)/2,IF(N33=0,(M33+L33)/2,FLOOR(((L33+M33+N33)/3),0.1))))))))</f>
        <v/>
      </c>
      <c r="P33" s="21" t="n">
        <v>17</v>
      </c>
      <c r="Q33" s="21" t="n">
        <v>34</v>
      </c>
      <c r="R33" s="27">
        <f>SUM(P33:Q33)</f>
        <v/>
      </c>
      <c r="S33" s="28" t="n">
        <v>61</v>
      </c>
      <c r="T33" s="28" t="n">
        <v>41</v>
      </c>
      <c r="U33" s="29">
        <f>IF(AND(R33=0,S33=0,T33=0),0,IF(AND(R33=0,S33=0),T33/1,IF(AND(R33=0,T33=0),S33/1,IF(AND(S33=0,T33=0),R33/1,IF(R33=0,FLOOR((S33+T33)/2,0.1),IF(S33=0,(R33+T33)/2,IF(T33=0,(S33+R33)/2,FLOOR(((R33+S33+T33)/3),0.1))))))))</f>
        <v/>
      </c>
      <c r="V33" s="21" t="n">
        <v>20</v>
      </c>
      <c r="W33" s="21" t="n">
        <v>22</v>
      </c>
      <c r="X33" s="27">
        <f>SUM(V33:W33)</f>
        <v/>
      </c>
      <c r="Y33" s="28" t="n">
        <v>32</v>
      </c>
      <c r="Z33" s="28" t="n">
        <v>37</v>
      </c>
      <c r="AA33" s="29">
        <f>IF(AND(X33=0,Y33=0,Z33=0),0,IF(AND(X33=0,Y33=0),Z33/1,IF(AND(X33=0,Z33=0),Y33/1,IF(AND(Y33=0,Z33=0),X33/1,IF(X33=0,FLOOR((Y33+Z33)/2,0.1),IF(Y33=0,(X33+Z33)/2,IF(Z33=0,(Y33+X33)/2,FLOOR(((X33+Y33+Z33)/3),0.1))))))))</f>
        <v/>
      </c>
      <c r="AB33" s="21" t="n">
        <v>26</v>
      </c>
      <c r="AC33" s="21" t="n">
        <v>24</v>
      </c>
      <c r="AD33" s="27">
        <f>SUM(AB33:AC33)</f>
        <v/>
      </c>
      <c r="AE33" s="28" t="n">
        <v>43</v>
      </c>
      <c r="AF33" s="28" t="n">
        <v>46</v>
      </c>
      <c r="AG33" s="29">
        <f>IF(AND(AD33=0,AE33=0,AF33=0),0,IF(AND(AD33=0,AE33=0),AF33/1,IF(AND(AD33=0,AF33=0),AE33/1,IF(AND(AE33=0,AF33=0),AD33/1,IF(AD33=0,FLOOR((AE33+AF33)/2,0.1),IF(AE33=0,(AD33+AF33)/2,IF(AF33=0,(AE33+AD33)/2,FLOOR(((AD33+AE33+AF33)/3),0.1))))))))</f>
        <v/>
      </c>
      <c r="AH33" s="21" t="n">
        <v>21</v>
      </c>
      <c r="AI33" s="21" t="n">
        <v>37</v>
      </c>
      <c r="AJ33" s="27">
        <f>SUM(AH33:AI33)</f>
        <v/>
      </c>
      <c r="AK33" s="28" t="n">
        <v>33</v>
      </c>
      <c r="AL33" s="28" t="n">
        <v>49</v>
      </c>
      <c r="AM33" s="29">
        <f>IF(AND(AJ33=0,AK33=0,AL33=0),0,IF(AND(AJ33=0,AK33=0),AL33/1,IF(AND(AJ33=0,AL33=0),AK33/1,IF(AND(AK33=0,AL33=0),AJ33/1,IF(AJ33=0,FLOOR((AK33+AL33)/2,0.1),IF(AK33=0,(AJ33+AL33)/2,IF(AL33=0,(AK33+AJ33)/2,FLOOR(((AJ33+AK33+AL33)/3),0.1))))))))</f>
        <v/>
      </c>
      <c r="AN33" s="21" t="n"/>
      <c r="AO33" s="21" t="n"/>
      <c r="AP33" s="27">
        <f>SUM(AN33:AO33)</f>
        <v/>
      </c>
      <c r="AQ33" s="28" t="n"/>
      <c r="AR33" s="30" t="n"/>
      <c r="AS33" s="29">
        <f>IF(AND(AP33=0,AQ33=0,AR33=0),0,IF(AND(AP33=0,AQ33=0),AR33/1,IF(AND(AP33=0,AR33=0),AQ33/1,IF(AND(AQ33=0,AR33=0),AP33/1,IF(AP33=0,FLOOR((AQ33+AR33)/2,0.1),IF(AQ33=0,(AP33+AR33)/2,IF(AR33=0,(AQ33+AP33)/2,FLOOR(((AP33+AQ33+AR33)/3),0.1))))))))</f>
        <v/>
      </c>
      <c r="AT33" s="21" t="n">
        <v>21</v>
      </c>
      <c r="AU33" s="21" t="n">
        <v>32</v>
      </c>
      <c r="AV33" s="27">
        <f>SUM(AT33:AU33)</f>
        <v/>
      </c>
      <c r="AW33" s="28" t="n">
        <v>41</v>
      </c>
      <c r="AX33" s="30" t="n">
        <v>29</v>
      </c>
      <c r="AY33" s="29">
        <f>IF(AND(AV33=0,AW33=0,AX33=0),0,IF(AND(AV33=0,AW33=0),AX33/1,IF(AND(AV33=0,AX33=0),AW33/1,IF(AND(AW33=0,AX33=0),AV33/1,IF(AV33=0,FLOOR((AW33+AX33)/2,0.1),IF(AW33=0,(AV33+AX33)/2,IF(AX33=0,(AW33+AV33)/2,FLOOR(((AV33+AW33+AX33)/3),0.1))))))))</f>
        <v/>
      </c>
      <c r="AZ33" s="21" t="n">
        <v>21</v>
      </c>
      <c r="BA33" s="21" t="n">
        <v>32</v>
      </c>
      <c r="BB33" s="27">
        <f>SUM(AZ33:BA33)</f>
        <v/>
      </c>
      <c r="BC33" s="28" t="n">
        <v>48</v>
      </c>
      <c r="BD33" s="28" t="n">
        <v>50</v>
      </c>
      <c r="BE33" s="29">
        <f>IF(AND(BB33=0,BC33=0,BD33=0),0,IF(AND(BB33=0,BC33=0),BD33/1,IF(AND(BB33=0,BD33=0),BC33/1,IF(AND(BC33=0,BD33=0),BB33/1,IF(BB33=0,FLOOR((BC33+BD33)/2,0.1),IF(BC33=0,(BB33+BD33)/2,IF(BD33=0,(BC33+BB33)/2,FLOOR(((BB33+BC33+BD33)/3),0.1))))))))</f>
        <v/>
      </c>
      <c r="BF33" s="21" t="n">
        <v>16</v>
      </c>
      <c r="BG33" s="21" t="n">
        <v>36</v>
      </c>
      <c r="BH33" s="27">
        <f>SUM(BF33:BG33)</f>
        <v/>
      </c>
      <c r="BI33" s="28" t="n">
        <v>53</v>
      </c>
      <c r="BJ33" s="28" t="n">
        <v>34</v>
      </c>
      <c r="BK33" s="29">
        <f>IF(AND(BH33=0,BI33=0,BJ33=0),0,IF(AND(BH33=0,BI33=0),BJ33/1,IF(AND(BH33=0,BJ33=0),BI33/1,IF(AND(BI33=0,BJ33=0),BH33/1,IF(BH33=0,FLOOR((BI33+BJ33)/2,0.1),IF(BI33=0,(BH33+BJ33)/2,IF(BJ33=0,(BI33+BH33)/2,FLOOR(((BH33+BI33+BJ33)/3),0.1))))))))</f>
        <v/>
      </c>
      <c r="BL33" s="21" t="n">
        <v>19</v>
      </c>
      <c r="BM33" s="21" t="n">
        <v>31</v>
      </c>
      <c r="BN33" s="27">
        <f>SUM(BL33:BM33)</f>
        <v/>
      </c>
      <c r="BO33" s="28" t="n">
        <v>40</v>
      </c>
      <c r="BP33" s="31" t="n">
        <v>44</v>
      </c>
      <c r="BQ33" s="29">
        <f>IF(AND(BN33=0,BO33=0,BP33=0),0,IF(AND(BN33=0,BO33=0),BP33/1,IF(AND(BN33=0,BP33=0),BO33/1,IF(AND(BO33=0,BP33=0),BN33/1,IF(BN33=0,FLOOR((BO33+BP33)/2,0.1),IF(BO33=0,(BN33+BP33)/2,IF(BP33=0,(BO33+BN33)/2,FLOOR(((BN33+BO33+BP33)/3),0.1))))))))</f>
        <v/>
      </c>
      <c r="BR33" s="21" t="n"/>
      <c r="BS33" s="21" t="n"/>
      <c r="BT33" s="27">
        <f>SUM(BR33:BS33)</f>
        <v/>
      </c>
      <c r="BU33" s="28" t="n"/>
      <c r="BV33" s="31" t="n"/>
      <c r="BW33" s="29">
        <f>IF(AND(BT33=0,BU33=0,BV33=0),0,IF(AND(BT33=0,BU33=0),BV33/1,IF(AND(BT33=0,BV33=0),BU33/1,IF(AND(BU33=0,BV33=0),BT33/1,IF(BT33=0,FLOOR((BU33+BV33)/2,0.1),IF(BU33=0,(BT33+BV33)/2,IF(BV33=0,(BU33+BT33)/2,FLOOR(((BT33+BU33+BV33)/3),0.1))))))))</f>
        <v/>
      </c>
      <c r="BX33" s="21" t="n">
        <v>20</v>
      </c>
      <c r="BY33" s="21" t="n">
        <v>70</v>
      </c>
      <c r="BZ33" s="27">
        <f>SUM(BX33:BY33)</f>
        <v/>
      </c>
      <c r="CA33" s="28" t="n">
        <v>39</v>
      </c>
      <c r="CB33" s="31" t="n">
        <v>42</v>
      </c>
      <c r="CC33" s="29">
        <f>IF(AND(BZ33=0,CA33=0,CB33=0),0,IF(AND(BZ33=0,CA33=0),CB33/1,IF(AND(BZ33=0,CB33=0),CA33/1,IF(AND(CA33=0,CB33=0),BZ33/1,IF(BZ33=0,FLOOR((CA33+CB33)/2,0.1),IF(CA33=0,(BZ33+CB33)/2,IF(CB33=0,(CA33+BZ33)/2,FLOOR(((BZ33+CA33+CB33)/3),0.1))))))))</f>
        <v/>
      </c>
      <c r="CD33" s="21" t="n">
        <v>17</v>
      </c>
      <c r="CE33" s="21" t="n">
        <v>46</v>
      </c>
      <c r="CF33" s="27">
        <f>SUM(CD33:CE33)</f>
        <v/>
      </c>
      <c r="CG33" s="28" t="n">
        <v>24</v>
      </c>
      <c r="CH33" s="31" t="n">
        <v>36</v>
      </c>
      <c r="CI33" s="29">
        <f>IF(AND(CF33=0,CG33=0,CH33=0),0,IF(AND(CF33=0,CG33=0),CH33/1,IF(AND(CF33=0,CH33=0),CG33/1,IF(AND(CG33=0,CH33=0),CF33/1,IF(CF33=0,FLOOR((CG33+CH33)/2,0.1),IF(CG33=0,(CF33+CH33)/2,IF(CH33=0,(CG33+CF33)/2,FLOOR(((CF33+CG33+CH33)/3),0.1))))))))</f>
        <v/>
      </c>
      <c r="CJ33" s="21" t="n"/>
      <c r="CK33" s="21" t="n"/>
      <c r="CL33" s="27">
        <f>SUM(CJ33:CK33)</f>
        <v/>
      </c>
      <c r="CM33" s="28" t="n"/>
      <c r="CN33" s="31" t="n"/>
      <c r="CO33" s="29">
        <f>IF(AND(CL33=0,CM33=0,CN33=0),0,IF(AND(CL33=0,CM33=0),CN33/1,IF(AND(CL33=0,CN33=0),CM33/1,IF(AND(CM33=0,CN33=0),CL33/1,IF(CL33=0,FLOOR((CM33+CN33)/2,0.1),IF(CM33=0,(CL33+CN33)/2,IF(CN33=0,(CM33+CL33)/2,FLOOR(((CL33+CM33+CN33)/3),0.1))))))))</f>
        <v/>
      </c>
      <c r="CP33" s="21" t="n"/>
      <c r="CQ33" s="21" t="n"/>
      <c r="CR33" s="27">
        <f>SUM(CP33:CQ33)</f>
        <v/>
      </c>
      <c r="CS33" s="28" t="n"/>
      <c r="CT33" s="31" t="n"/>
      <c r="CU33" s="29">
        <f>IF(AND(CR33=0,CS33=0,CT33=0),0,IF(AND(CR33=0,CS33=0),CT33/1,IF(AND(CR33=0,CT33=0),CS33/1,IF(AND(CS33=0,CT33=0),CR33/1,IF(CR33=0,FLOOR((CS33+CT33)/2,0.1),IF(CS33=0,(CR33+CT33)/2,IF(CT33=0,(CS33+CR33)/2,FLOOR(((CR33+CS33+CT33)/3),0.1))))))))</f>
        <v/>
      </c>
      <c r="CV33" s="21" t="n">
        <v>28</v>
      </c>
      <c r="CW33" s="21" t="n">
        <v>32</v>
      </c>
      <c r="CX33" s="27">
        <f>SUM(CV33:CW33)</f>
        <v/>
      </c>
      <c r="CY33" s="28" t="n">
        <v>10</v>
      </c>
      <c r="CZ33" s="31" t="n">
        <v>15</v>
      </c>
      <c r="DA33" s="29">
        <f>IF(AND(CX33=0,CY33=0,CZ33=0),0,IF(AND(CX33=0,CY33=0),CZ33/1,IF(AND(CX33=0,CZ33=0),CY33/1,IF(AND(CY33=0,CZ33=0),CX33/1,IF(CX33=0,FLOOR((CY33+CZ33)/2,0.1),IF(CY33=0,(CX33+CZ33)/2,IF(CZ33=0,(CY33+CX33)/2,FLOOR(((CX33+CY33+CZ33)/3),0.1))))))))</f>
        <v/>
      </c>
      <c r="DB33" s="21" t="n"/>
      <c r="DC33" s="21" t="n"/>
      <c r="DD33" s="27">
        <f>SUM(DB33:DC33)</f>
        <v/>
      </c>
      <c r="DE33" s="28" t="n"/>
      <c r="DF33" s="31" t="n"/>
      <c r="DG33" s="29">
        <f>IF(AND(DD33=0,DE33=0,DF33=0),0,IF(AND(DD33=0,DE33=0),DF33/1,IF(AND(DD33=0,DF33=0),DE33/1,IF(AND(DE33=0,DF33=0),DD33/1,IF(DD33=0,FLOOR((DE33+DF33)/2,0.1),IF(DE33=0,(DD33+DF33)/2,IF(DF33=0,(DE33+DD33)/2,FLOOR(((DD33+DE33+DF33)/3),0.1))))))))</f>
        <v/>
      </c>
      <c r="DH33" s="34">
        <f>SUM(O33,U33,AA33,AG33,AM33,AS33,AY33,BE33,BK33,BQ33,BW33,CC33,CI33,CO33,CU33,DA33,DG33)</f>
        <v/>
      </c>
      <c r="DI33" s="39">
        <f>RANK(DH33,DH$4:DH$503)</f>
        <v/>
      </c>
      <c r="DJ33" s="40" t="inlineStr">
        <is>
          <t>EXCELLENT(5)</t>
        </is>
      </c>
      <c r="DK33" s="40" t="inlineStr">
        <is>
          <t>GOOD(4)</t>
        </is>
      </c>
      <c r="DL33" s="40" t="inlineStr">
        <is>
          <t>EXCELLENT(5)</t>
        </is>
      </c>
      <c r="DM33" s="40" t="inlineStr">
        <is>
          <t>EXCELLENT(5)</t>
        </is>
      </c>
      <c r="DN33" s="40" t="inlineStr">
        <is>
          <t>GOOD(4)</t>
        </is>
      </c>
      <c r="DO33" s="40" t="inlineStr">
        <is>
          <t>GOOD(4)</t>
        </is>
      </c>
      <c r="DP33" s="40" t="inlineStr">
        <is>
          <t>GOOD(4)</t>
        </is>
      </c>
      <c r="DQ33" s="40" t="inlineStr">
        <is>
          <t>GOOD(4)</t>
        </is>
      </c>
      <c r="DR33" s="43" t="inlineStr">
        <is>
          <t>2024/2025</t>
        </is>
      </c>
      <c r="DS33" s="45" t="inlineStr">
        <is>
          <t>THIRD</t>
        </is>
      </c>
      <c r="DT33" s="40" t="inlineStr">
        <is>
          <t>GOOD(4)</t>
        </is>
      </c>
      <c r="DU33" s="40" t="inlineStr">
        <is>
          <t>GOOD(4)</t>
        </is>
      </c>
      <c r="DV33" s="40" t="inlineStr">
        <is>
          <t>GOOD(4)</t>
        </is>
      </c>
      <c r="DW33" s="40" t="inlineStr">
        <is>
          <t>GOOD(4)</t>
        </is>
      </c>
      <c r="DX33" s="40" t="inlineStr">
        <is>
          <t>GOOD(4)</t>
        </is>
      </c>
      <c r="DY33" s="40" t="inlineStr">
        <is>
          <t>GOOD(4)</t>
        </is>
      </c>
      <c r="DZ33" s="53" t="inlineStr">
        <is>
          <t>GOOD(4)</t>
        </is>
      </c>
      <c r="EA33" s="54" t="inlineStr">
        <is>
          <t>Needs to focus more during lessons to achieve full potential.</t>
        </is>
      </c>
      <c r="EB33" s="55" t="inlineStr">
        <is>
          <t>Promoted to JSS3</t>
        </is>
      </c>
      <c r="EC33" s="56" t="inlineStr">
        <is>
          <t>MR. JIMOH WASIU OLATUNDE</t>
        </is>
      </c>
      <c r="ED33" s="57" t="inlineStr">
        <is>
          <t>Next Term Begins on Monday, 15th September, 2054</t>
        </is>
      </c>
    </row>
    <row r="34" ht="30.6" customHeight="1" s="6">
      <c r="A34" s="18" t="n">
        <v>31</v>
      </c>
      <c r="B34" s="19" t="inlineStr">
        <is>
          <t xml:space="preserve">SAHEED JELILAT </t>
        </is>
      </c>
      <c r="C34" s="20" t="inlineStr">
        <is>
          <t>1794</t>
        </is>
      </c>
      <c r="D34" s="128" t="inlineStr">
        <is>
          <t>Female</t>
        </is>
      </c>
      <c r="E34" s="21" t="inlineStr">
        <is>
          <t>JSS 2C</t>
        </is>
      </c>
      <c r="F34" s="21" t="n">
        <v>31</v>
      </c>
      <c r="G34" s="21" t="n">
        <v>122</v>
      </c>
      <c r="H34" s="22" t="n">
        <v>108</v>
      </c>
      <c r="I34" s="26">
        <f>G34-H34</f>
        <v/>
      </c>
      <c r="J34" s="21" t="n">
        <v>20</v>
      </c>
      <c r="K34" s="21" t="n">
        <v>32</v>
      </c>
      <c r="L34" s="27">
        <f>SUM(J34:K34)</f>
        <v/>
      </c>
      <c r="M34" s="28" t="n">
        <v>41</v>
      </c>
      <c r="N34" s="28" t="n">
        <v>57</v>
      </c>
      <c r="O34" s="29">
        <f>IF(AND(L34=0,M34=0,N34=0),0,IF(AND(L34=0,M34=0),N34/1,IF(AND(L34=0,N34=0),M34/1,IF(AND(M34=0,N34=0),L34/1,IF(L34=0,FLOOR((M34+N34)/2,0.1),IF(M34=0,(L34+N34)/2,IF(N34=0,(M34+L34)/2,FLOOR(((L34+M34+N34)/3),0.1))))))))</f>
        <v/>
      </c>
      <c r="P34" s="21" t="n">
        <v>20</v>
      </c>
      <c r="Q34" s="21" t="n">
        <v>40</v>
      </c>
      <c r="R34" s="27">
        <f>SUM(P34:Q34)</f>
        <v/>
      </c>
      <c r="S34" s="28" t="n">
        <v>70</v>
      </c>
      <c r="T34" s="28" t="n">
        <v>51</v>
      </c>
      <c r="U34" s="29">
        <f>IF(AND(R34=0,S34=0,T34=0),0,IF(AND(R34=0,S34=0),T34/1,IF(AND(R34=0,T34=0),S34/1,IF(AND(S34=0,T34=0),R34/1,IF(R34=0,FLOOR((S34+T34)/2,0.1),IF(S34=0,(R34+T34)/2,IF(T34=0,(S34+R34)/2,FLOOR(((R34+S34+T34)/3),0.1))))))))</f>
        <v/>
      </c>
      <c r="V34" s="21" t="n">
        <v>25</v>
      </c>
      <c r="W34" s="21" t="n">
        <v>18</v>
      </c>
      <c r="X34" s="27">
        <f>SUM(V34:W34)</f>
        <v/>
      </c>
      <c r="Y34" s="28" t="n">
        <v>64</v>
      </c>
      <c r="Z34" s="28" t="n">
        <v>54</v>
      </c>
      <c r="AA34" s="29">
        <f>IF(AND(X34=0,Y34=0,Z34=0),0,IF(AND(X34=0,Y34=0),Z34/1,IF(AND(X34=0,Z34=0),Y34/1,IF(AND(Y34=0,Z34=0),X34/1,IF(X34=0,FLOOR((Y34+Z34)/2,0.1),IF(Y34=0,(X34+Z34)/2,IF(Z34=0,(Y34+X34)/2,FLOOR(((X34+Y34+Z34)/3),0.1))))))))</f>
        <v/>
      </c>
      <c r="AB34" s="21" t="n">
        <v>20</v>
      </c>
      <c r="AC34" s="21" t="n">
        <v>42</v>
      </c>
      <c r="AD34" s="27">
        <f>SUM(AB34:AC34)</f>
        <v/>
      </c>
      <c r="AE34" s="28" t="n">
        <v>77</v>
      </c>
      <c r="AF34" s="28" t="n">
        <v>70</v>
      </c>
      <c r="AG34" s="29">
        <f>IF(AND(AD34=0,AE34=0,AF34=0),0,IF(AND(AD34=0,AE34=0),AF34/1,IF(AND(AD34=0,AF34=0),AE34/1,IF(AND(AE34=0,AF34=0),AD34/1,IF(AD34=0,FLOOR((AE34+AF34)/2,0.1),IF(AE34=0,(AD34+AF34)/2,IF(AF34=0,(AE34+AD34)/2,FLOOR(((AD34+AE34+AF34)/3),0.1))))))))</f>
        <v/>
      </c>
      <c r="AH34" s="21" t="n">
        <v>24</v>
      </c>
      <c r="AI34" s="21" t="n">
        <v>43</v>
      </c>
      <c r="AJ34" s="27">
        <f>SUM(AH34:AI34)</f>
        <v/>
      </c>
      <c r="AK34" s="28" t="n">
        <v>48</v>
      </c>
      <c r="AL34" s="28" t="n">
        <v>58</v>
      </c>
      <c r="AM34" s="29">
        <f>IF(AND(AJ34=0,AK34=0,AL34=0),0,IF(AND(AJ34=0,AK34=0),AL34/1,IF(AND(AJ34=0,AL34=0),AK34/1,IF(AND(AK34=0,AL34=0),AJ34/1,IF(AJ34=0,FLOOR((AK34+AL34)/2,0.1),IF(AK34=0,(AJ34+AL34)/2,IF(AL34=0,(AK34+AJ34)/2,FLOOR(((AJ34+AK34+AL34)/3),0.1))))))))</f>
        <v/>
      </c>
      <c r="AN34" s="21" t="n"/>
      <c r="AO34" s="21" t="n"/>
      <c r="AP34" s="27">
        <f>SUM(AN34:AO34)</f>
        <v/>
      </c>
      <c r="AQ34" s="28" t="n"/>
      <c r="AR34" s="30" t="n"/>
      <c r="AS34" s="29">
        <f>IF(AND(AP34=0,AQ34=0,AR34=0),0,IF(AND(AP34=0,AQ34=0),AR34/1,IF(AND(AP34=0,AR34=0),AQ34/1,IF(AND(AQ34=0,AR34=0),AP34/1,IF(AP34=0,FLOOR((AQ34+AR34)/2,0.1),IF(AQ34=0,(AP34+AR34)/2,IF(AR34=0,(AQ34+AP34)/2,FLOOR(((AP34+AQ34+AR34)/3),0.1))))))))</f>
        <v/>
      </c>
      <c r="AT34" s="21" t="n">
        <v>27</v>
      </c>
      <c r="AU34" s="21" t="n">
        <v>34</v>
      </c>
      <c r="AV34" s="27">
        <f>SUM(AT34:AU34)</f>
        <v/>
      </c>
      <c r="AW34" s="28" t="n">
        <v>51</v>
      </c>
      <c r="AX34" s="30" t="n">
        <v>53</v>
      </c>
      <c r="AY34" s="29">
        <f>IF(AND(AV34=0,AW34=0,AX34=0),0,IF(AND(AV34=0,AW34=0),AX34/1,IF(AND(AV34=0,AX34=0),AW34/1,IF(AND(AW34=0,AX34=0),AV34/1,IF(AV34=0,FLOOR((AW34+AX34)/2,0.1),IF(AW34=0,(AV34+AX34)/2,IF(AX34=0,(AW34+AV34)/2,FLOOR(((AV34+AW34+AX34)/3),0.1))))))))</f>
        <v/>
      </c>
      <c r="AZ34" s="21" t="n">
        <v>24</v>
      </c>
      <c r="BA34" s="21" t="n">
        <v>43</v>
      </c>
      <c r="BB34" s="27">
        <f>SUM(AZ34:BA34)</f>
        <v/>
      </c>
      <c r="BC34" s="28" t="n">
        <v>48</v>
      </c>
      <c r="BD34" s="28" t="n">
        <v>58</v>
      </c>
      <c r="BE34" s="29">
        <f>IF(AND(BB34=0,BC34=0,BD34=0),0,IF(AND(BB34=0,BC34=0),BD34/1,IF(AND(BB34=0,BD34=0),BC34/1,IF(AND(BC34=0,BD34=0),BB34/1,IF(BB34=0,FLOOR((BC34+BD34)/2,0.1),IF(BC34=0,(BB34+BD34)/2,IF(BD34=0,(BC34+BB34)/2,FLOOR(((BB34+BC34+BD34)/3),0.1))))))))</f>
        <v/>
      </c>
      <c r="BF34" s="21" t="n">
        <v>15</v>
      </c>
      <c r="BG34" s="21" t="n">
        <v>38</v>
      </c>
      <c r="BH34" s="27">
        <f>SUM(BF34:BG34)</f>
        <v/>
      </c>
      <c r="BI34" s="28" t="n">
        <v>60</v>
      </c>
      <c r="BJ34" s="28" t="n">
        <v>40</v>
      </c>
      <c r="BK34" s="29">
        <f>IF(AND(BH34=0,BI34=0,BJ34=0),0,IF(AND(BH34=0,BI34=0),BJ34/1,IF(AND(BH34=0,BJ34=0),BI34/1,IF(AND(BI34=0,BJ34=0),BH34/1,IF(BH34=0,FLOOR((BI34+BJ34)/2,0.1),IF(BI34=0,(BH34+BJ34)/2,IF(BJ34=0,(BI34+BH34)/2,FLOOR(((BH34+BI34+BJ34)/3),0.1))))))))</f>
        <v/>
      </c>
      <c r="BL34" s="21" t="n">
        <v>17</v>
      </c>
      <c r="BM34" s="21" t="n">
        <v>34</v>
      </c>
      <c r="BN34" s="27">
        <f>SUM(BL34:BM34)</f>
        <v/>
      </c>
      <c r="BO34" s="28" t="n">
        <v>43</v>
      </c>
      <c r="BP34" s="31" t="n">
        <v>68</v>
      </c>
      <c r="BQ34" s="29">
        <f>IF(AND(BN34=0,BO34=0,BP34=0),0,IF(AND(BN34=0,BO34=0),BP34/1,IF(AND(BN34=0,BP34=0),BO34/1,IF(AND(BO34=0,BP34=0),BN34/1,IF(BN34=0,FLOOR((BO34+BP34)/2,0.1),IF(BO34=0,(BN34+BP34)/2,IF(BP34=0,(BO34+BN34)/2,FLOOR(((BN34+BO34+BP34)/3),0.1))))))))</f>
        <v/>
      </c>
      <c r="BR34" s="21" t="n"/>
      <c r="BS34" s="21" t="n"/>
      <c r="BT34" s="27">
        <f>SUM(BR34:BS34)</f>
        <v/>
      </c>
      <c r="BU34" s="28" t="n"/>
      <c r="BV34" s="31" t="n"/>
      <c r="BW34" s="29">
        <f>IF(AND(BT34=0,BU34=0,BV34=0),0,IF(AND(BT34=0,BU34=0),BV34/1,IF(AND(BT34=0,BV34=0),BU34/1,IF(AND(BU34=0,BV34=0),BT34/1,IF(BT34=0,FLOOR((BU34+BV34)/2,0.1),IF(BU34=0,(BT34+BV34)/2,IF(BV34=0,(BU34+BT34)/2,FLOOR(((BT34+BU34+BV34)/3),0.1))))))))</f>
        <v/>
      </c>
      <c r="BX34" s="21" t="n">
        <v>24</v>
      </c>
      <c r="BY34" s="21" t="n">
        <v>69</v>
      </c>
      <c r="BZ34" s="27">
        <f>SUM(BX34:BY34)</f>
        <v/>
      </c>
      <c r="CA34" s="28" t="n">
        <v>58</v>
      </c>
      <c r="CB34" s="31" t="n">
        <v>63</v>
      </c>
      <c r="CC34" s="29">
        <f>IF(AND(BZ34=0,CA34=0,CB34=0),0,IF(AND(BZ34=0,CA34=0),CB34/1,IF(AND(BZ34=0,CB34=0),CA34/1,IF(AND(CA34=0,CB34=0),BZ34/1,IF(BZ34=0,FLOOR((CA34+CB34)/2,0.1),IF(CA34=0,(BZ34+CB34)/2,IF(CB34=0,(CA34+BZ34)/2,FLOOR(((BZ34+CA34+CB34)/3),0.1))))))))</f>
        <v/>
      </c>
      <c r="CD34" s="21" t="n">
        <v>12</v>
      </c>
      <c r="CE34" s="21" t="n">
        <v>50</v>
      </c>
      <c r="CF34" s="27">
        <f>SUM(CD34:CE34)</f>
        <v/>
      </c>
      <c r="CG34" s="28" t="n">
        <v>32</v>
      </c>
      <c r="CH34" s="31" t="n">
        <v>32</v>
      </c>
      <c r="CI34" s="29">
        <f>IF(AND(CF34=0,CG34=0,CH34=0),0,IF(AND(CF34=0,CG34=0),CH34/1,IF(AND(CF34=0,CH34=0),CG34/1,IF(AND(CG34=0,CH34=0),CF34/1,IF(CF34=0,FLOOR((CG34+CH34)/2,0.1),IF(CG34=0,(CF34+CH34)/2,IF(CH34=0,(CG34+CF34)/2,FLOOR(((CF34+CG34+CH34)/3),0.1))))))))</f>
        <v/>
      </c>
      <c r="CJ34" s="21" t="n"/>
      <c r="CK34" s="21" t="n"/>
      <c r="CL34" s="27">
        <f>SUM(CJ34:CK34)</f>
        <v/>
      </c>
      <c r="CM34" s="28" t="n"/>
      <c r="CN34" s="31" t="n"/>
      <c r="CO34" s="29">
        <f>IF(AND(CL34=0,CM34=0,CN34=0),0,IF(AND(CL34=0,CM34=0),CN34/1,IF(AND(CL34=0,CN34=0),CM34/1,IF(AND(CM34=0,CN34=0),CL34/1,IF(CL34=0,FLOOR((CM34+CN34)/2,0.1),IF(CM34=0,(CL34+CN34)/2,IF(CN34=0,(CM34+CL34)/2,FLOOR(((CL34+CM34+CN34)/3),0.1))))))))</f>
        <v/>
      </c>
      <c r="CP34" s="21" t="n">
        <v>17</v>
      </c>
      <c r="CQ34" s="21" t="n">
        <v>47</v>
      </c>
      <c r="CR34" s="27">
        <f>SUM(CP34:CQ34)</f>
        <v/>
      </c>
      <c r="CS34" s="28" t="n">
        <v>46</v>
      </c>
      <c r="CT34" s="31" t="n">
        <v>45</v>
      </c>
      <c r="CU34" s="29">
        <f>IF(AND(CR34=0,CS34=0,CT34=0),0,IF(AND(CR34=0,CS34=0),CT34/1,IF(AND(CR34=0,CT34=0),CS34/1,IF(AND(CS34=0,CT34=0),CR34/1,IF(CR34=0,FLOOR((CS34+CT34)/2,0.1),IF(CS34=0,(CR34+CT34)/2,IF(CT34=0,(CS34+CR34)/2,FLOOR(((CR34+CS34+CT34)/3),0.1))))))))</f>
        <v/>
      </c>
      <c r="CV34" s="21" t="n"/>
      <c r="CW34" s="21" t="n"/>
      <c r="CX34" s="27">
        <f>SUM(CV34:CW34)</f>
        <v/>
      </c>
      <c r="CY34" s="28" t="n"/>
      <c r="CZ34" s="31" t="n"/>
      <c r="DA34" s="29">
        <f>IF(AND(CX34=0,CY34=0,CZ34=0),0,IF(AND(CX34=0,CY34=0),CZ34/1,IF(AND(CX34=0,CZ34=0),CY34/1,IF(AND(CY34=0,CZ34=0),CX34/1,IF(CX34=0,FLOOR((CY34+CZ34)/2,0.1),IF(CY34=0,(CX34+CZ34)/2,IF(CZ34=0,(CY34+CX34)/2,FLOOR(((CX34+CY34+CZ34)/3),0.1))))))))</f>
        <v/>
      </c>
      <c r="DB34" s="21" t="n"/>
      <c r="DC34" s="21" t="n"/>
      <c r="DD34" s="27">
        <f>SUM(DB34:DC34)</f>
        <v/>
      </c>
      <c r="DE34" s="28" t="n"/>
      <c r="DF34" s="31" t="n"/>
      <c r="DG34" s="29">
        <f>IF(AND(DD34=0,DE34=0,DF34=0),0,IF(AND(DD34=0,DE34=0),DF34/1,IF(AND(DD34=0,DF34=0),DE34/1,IF(AND(DE34=0,DF34=0),DD34/1,IF(DD34=0,FLOOR((DE34+DF34)/2,0.1),IF(DE34=0,(DD34+DF34)/2,IF(DF34=0,(DE34+DD34)/2,FLOOR(((DD34+DE34+DF34)/3),0.1))))))))</f>
        <v/>
      </c>
      <c r="DH34" s="34">
        <f>SUM(O34,U34,AA34,AG34,AM34,AS34,AY34,BE34,BK34,BQ34,BW34,CC34,CI34,CO34,CU34,DA34,DG34)</f>
        <v/>
      </c>
      <c r="DI34" s="39">
        <f>RANK(DH34,DH$4:DH$503)</f>
        <v/>
      </c>
      <c r="DJ34" s="40" t="inlineStr">
        <is>
          <t>GOOD(4)</t>
        </is>
      </c>
      <c r="DK34" s="40" t="inlineStr">
        <is>
          <t>GOOD(4)</t>
        </is>
      </c>
      <c r="DL34" s="40" t="inlineStr">
        <is>
          <t>EXCELLENT(5)</t>
        </is>
      </c>
      <c r="DM34" s="40" t="inlineStr">
        <is>
          <t>EXCELLENT(5)</t>
        </is>
      </c>
      <c r="DN34" s="40" t="inlineStr">
        <is>
          <t>GOOD(4)</t>
        </is>
      </c>
      <c r="DO34" s="40" t="inlineStr">
        <is>
          <t>GOOD(4)</t>
        </is>
      </c>
      <c r="DP34" s="40" t="inlineStr">
        <is>
          <t>GOOD(4)</t>
        </is>
      </c>
      <c r="DQ34" s="40" t="inlineStr">
        <is>
          <t>GOOD(4)</t>
        </is>
      </c>
      <c r="DR34" s="43" t="inlineStr">
        <is>
          <t>2024/2025</t>
        </is>
      </c>
      <c r="DS34" s="45" t="inlineStr">
        <is>
          <t>THIRD</t>
        </is>
      </c>
      <c r="DT34" s="40" t="inlineStr">
        <is>
          <t>GOOD(4)</t>
        </is>
      </c>
      <c r="DU34" s="40" t="inlineStr">
        <is>
          <t>GOOD(4)</t>
        </is>
      </c>
      <c r="DV34" s="40" t="inlineStr">
        <is>
          <t>GOOD(4)</t>
        </is>
      </c>
      <c r="DW34" s="40" t="inlineStr">
        <is>
          <t>GOOD(4)</t>
        </is>
      </c>
      <c r="DX34" s="40" t="inlineStr">
        <is>
          <t>GOOD(4)</t>
        </is>
      </c>
      <c r="DY34" s="40" t="inlineStr">
        <is>
          <t>GOOD(4)</t>
        </is>
      </c>
      <c r="DZ34" s="53" t="inlineStr">
        <is>
          <t>GOOD(4)</t>
        </is>
      </c>
      <c r="EA34" s="54" t="inlineStr">
        <is>
          <t>Excels in most subjects and demonstrates a strong grasp of concepts.</t>
        </is>
      </c>
      <c r="EB34" s="55" t="inlineStr">
        <is>
          <t>Promoted to JSS3</t>
        </is>
      </c>
      <c r="EC34" s="56" t="inlineStr">
        <is>
          <t>MR. JIMOH WASIU OLATUNDE</t>
        </is>
      </c>
      <c r="ED34" s="57" t="inlineStr">
        <is>
          <t>Next Term Begins on Monday, 15th September, 2055</t>
        </is>
      </c>
    </row>
    <row r="35" ht="30.6" customHeight="1" s="6">
      <c r="A35" s="18" t="n">
        <v>32</v>
      </c>
      <c r="B35" s="19" t="n"/>
      <c r="C35" s="20" t="n"/>
      <c r="D35" s="128" t="n"/>
      <c r="E35" s="21" t="n"/>
      <c r="F35" s="22" t="n"/>
      <c r="G35" s="22" t="n"/>
      <c r="H35" s="22" t="n"/>
      <c r="I35" s="26">
        <f>G35-H35</f>
        <v/>
      </c>
      <c r="J35" s="21" t="n"/>
      <c r="K35" s="21" t="n"/>
      <c r="L35" s="27">
        <f>SUM(J35:K35)</f>
        <v/>
      </c>
      <c r="M35" s="28" t="n"/>
      <c r="N35" s="28" t="n"/>
      <c r="O35" s="29">
        <f>IF(AND(L35=0,M35=0,N35=0),0,IF(AND(L35=0,M35=0),N35/1,IF(AND(L35=0,N35=0),M35/1,IF(AND(M35=0,N35=0),L35/1,IF(L35=0,FLOOR((M35+N35)/2,0.1),IF(M35=0,(L35+N35)/2,IF(N35=0,(M35+L35)/2,FLOOR(((L35+M35+N35)/3),0.1))))))))</f>
        <v/>
      </c>
      <c r="P35" s="21" t="n"/>
      <c r="Q35" s="21" t="n"/>
      <c r="R35" s="27">
        <f>SUM(P35:Q35)</f>
        <v/>
      </c>
      <c r="S35" s="28" t="n"/>
      <c r="T35" s="28" t="n"/>
      <c r="U35" s="29">
        <f>IF(AND(R35=0,S35=0,T35=0),0,IF(AND(R35=0,S35=0),T35/1,IF(AND(R35=0,T35=0),S35/1,IF(AND(S35=0,T35=0),R35/1,IF(R35=0,FLOOR((S35+T35)/2,0.1),IF(S35=0,(R35+T35)/2,IF(T35=0,(S35+R35)/2,FLOOR(((R35+S35+T35)/3),0.1))))))))</f>
        <v/>
      </c>
      <c r="V35" s="21" t="n"/>
      <c r="W35" s="21" t="n"/>
      <c r="X35" s="27">
        <f>SUM(V35:W35)</f>
        <v/>
      </c>
      <c r="Y35" s="28" t="n"/>
      <c r="Z35" s="28" t="n"/>
      <c r="AA35" s="29">
        <f>IF(AND(X35=0,Y35=0,Z35=0),0,IF(AND(X35=0,Y35=0),Z35/1,IF(AND(X35=0,Z35=0),Y35/1,IF(AND(Y35=0,Z35=0),X35/1,IF(X35=0,FLOOR((Y35+Z35)/2,0.1),IF(Y35=0,(X35+Z35)/2,IF(Z35=0,(Y35+X35)/2,FLOOR(((X35+Y35+Z35)/3),0.1))))))))</f>
        <v/>
      </c>
      <c r="AB35" s="21" t="n"/>
      <c r="AC35" s="21" t="n"/>
      <c r="AD35" s="27">
        <f>SUM(AB35:AC35)</f>
        <v/>
      </c>
      <c r="AE35" s="28" t="n"/>
      <c r="AF35" s="28" t="n"/>
      <c r="AG35" s="29">
        <f>IF(AND(AD35=0,AE35=0,AF35=0),0,IF(AND(AD35=0,AE35=0),AF35/1,IF(AND(AD35=0,AF35=0),AE35/1,IF(AND(AE35=0,AF35=0),AD35/1,IF(AD35=0,FLOOR((AE35+AF35)/2,0.1),IF(AE35=0,(AD35+AF35)/2,IF(AF35=0,(AE35+AD35)/2,FLOOR(((AD35+AE35+AF35)/3),0.1))))))))</f>
        <v/>
      </c>
      <c r="AH35" s="21" t="n"/>
      <c r="AI35" s="21" t="n"/>
      <c r="AJ35" s="27">
        <f>SUM(AH35:AI35)</f>
        <v/>
      </c>
      <c r="AK35" s="28" t="n"/>
      <c r="AL35" s="28" t="n"/>
      <c r="AM35" s="29">
        <f>IF(AND(AJ35=0,AK35=0,AL35=0),0,IF(AND(AJ35=0,AK35=0),AL35/1,IF(AND(AJ35=0,AL35=0),AK35/1,IF(AND(AK35=0,AL35=0),AJ35/1,IF(AJ35=0,FLOOR((AK35+AL35)/2,0.1),IF(AK35=0,(AJ35+AL35)/2,IF(AL35=0,(AK35+AJ35)/2,FLOOR(((AJ35+AK35+AL35)/3),0.1))))))))</f>
        <v/>
      </c>
      <c r="AN35" s="21" t="n"/>
      <c r="AO35" s="21" t="n"/>
      <c r="AP35" s="27">
        <f>SUM(AN35:AO35)</f>
        <v/>
      </c>
      <c r="AQ35" s="28" t="n"/>
      <c r="AR35" s="30" t="n"/>
      <c r="AS35" s="29">
        <f>IF(AND(AP35=0,AQ35=0,AR35=0),0,IF(AND(AP35=0,AQ35=0),AR35/1,IF(AND(AP35=0,AR35=0),AQ35/1,IF(AND(AQ35=0,AR35=0),AP35/1,IF(AP35=0,FLOOR((AQ35+AR35)/2,0.1),IF(AQ35=0,(AP35+AR35)/2,IF(AR35=0,(AQ35+AP35)/2,FLOOR(((AP35+AQ35+AR35)/3),0.1))))))))</f>
        <v/>
      </c>
      <c r="AT35" s="21" t="n"/>
      <c r="AU35" s="21" t="n"/>
      <c r="AV35" s="27">
        <f>SUM(AT35:AU35)</f>
        <v/>
      </c>
      <c r="AW35" s="28" t="n"/>
      <c r="AX35" s="30" t="n"/>
      <c r="AY35" s="29">
        <f>IF(AND(AV35=0,AW35=0,AX35=0),0,IF(AND(AV35=0,AW35=0),AX35/1,IF(AND(AV35=0,AX35=0),AW35/1,IF(AND(AW35=0,AX35=0),AV35/1,IF(AV35=0,FLOOR((AW35+AX35)/2,0.1),IF(AW35=0,(AV35+AX35)/2,IF(AX35=0,(AW35+AV35)/2,FLOOR(((AV35+AW35+AX35)/3),0.1))))))))</f>
        <v/>
      </c>
      <c r="AZ35" s="21" t="n"/>
      <c r="BA35" s="21" t="n"/>
      <c r="BB35" s="27">
        <f>SUM(AZ35:BA35)</f>
        <v/>
      </c>
      <c r="BC35" s="28" t="n"/>
      <c r="BD35" s="28" t="n"/>
      <c r="BE35" s="29">
        <f>IF(AND(BB35=0,BC35=0,BD35=0),0,IF(AND(BB35=0,BC35=0),BD35/1,IF(AND(BB35=0,BD35=0),BC35/1,IF(AND(BC35=0,BD35=0),BB35/1,IF(BB35=0,FLOOR((BC35+BD35)/2,0.1),IF(BC35=0,(BB35+BD35)/2,IF(BD35=0,(BC35+BB35)/2,FLOOR(((BB35+BC35+BD35)/3),0.1))))))))</f>
        <v/>
      </c>
      <c r="BF35" s="21" t="n"/>
      <c r="BG35" s="21" t="n"/>
      <c r="BH35" s="27">
        <f>SUM(BF35:BG35)</f>
        <v/>
      </c>
      <c r="BI35" s="28" t="n"/>
      <c r="BJ35" s="28" t="n"/>
      <c r="BK35" s="29">
        <f>IF(AND(BH35=0,BI35=0,BJ35=0),0,IF(AND(BH35=0,BI35=0),BJ35/1,IF(AND(BH35=0,BJ35=0),BI35/1,IF(AND(BI35=0,BJ35=0),BH35/1,IF(BH35=0,FLOOR((BI35+BJ35)/2,0.1),IF(BI35=0,(BH35+BJ35)/2,IF(BJ35=0,(BI35+BH35)/2,FLOOR(((BH35+BI35+BJ35)/3),0.1))))))))</f>
        <v/>
      </c>
      <c r="BL35" s="21" t="n"/>
      <c r="BM35" s="21" t="n"/>
      <c r="BN35" s="27">
        <f>SUM(BL35:BM35)</f>
        <v/>
      </c>
      <c r="BO35" s="28" t="n"/>
      <c r="BP35" s="31" t="n"/>
      <c r="BQ35" s="29">
        <f>IF(AND(BN35=0,BO35=0,BP35=0),0,IF(AND(BN35=0,BO35=0),BP35/1,IF(AND(BN35=0,BP35=0),BO35/1,IF(AND(BO35=0,BP35=0),BN35/1,IF(BN35=0,FLOOR((BO35+BP35)/2,0.1),IF(BO35=0,(BN35+BP35)/2,IF(BP35=0,(BO35+BN35)/2,FLOOR(((BN35+BO35+BP35)/3),0.1))))))))</f>
        <v/>
      </c>
      <c r="BR35" s="21" t="n"/>
      <c r="BS35" s="21" t="n"/>
      <c r="BT35" s="27">
        <f>SUM(BR35:BS35)</f>
        <v/>
      </c>
      <c r="BU35" s="28" t="n"/>
      <c r="BV35" s="31" t="n"/>
      <c r="BW35" s="29">
        <f>IF(AND(BT35=0,BU35=0,BV35=0),0,IF(AND(BT35=0,BU35=0),BV35/1,IF(AND(BT35=0,BV35=0),BU35/1,IF(AND(BU35=0,BV35=0),BT35/1,IF(BT35=0,FLOOR((BU35+BV35)/2,0.1),IF(BU35=0,(BT35+BV35)/2,IF(BV35=0,(BU35+BT35)/2,FLOOR(((BT35+BU35+BV35)/3),0.1))))))))</f>
        <v/>
      </c>
      <c r="BX35" s="21" t="n"/>
      <c r="BY35" s="21" t="n"/>
      <c r="BZ35" s="27">
        <f>SUM(BX35:BY35)</f>
        <v/>
      </c>
      <c r="CA35" s="28" t="n"/>
      <c r="CB35" s="31" t="n"/>
      <c r="CC35" s="29">
        <f>IF(AND(BZ35=0,CA35=0,CB35=0),0,IF(AND(BZ35=0,CA35=0),CB35/1,IF(AND(BZ35=0,CB35=0),CA35/1,IF(AND(CA35=0,CB35=0),BZ35/1,IF(BZ35=0,FLOOR((CA35+CB35)/2,0.1),IF(CA35=0,(BZ35+CB35)/2,IF(CB35=0,(CA35+BZ35)/2,FLOOR(((BZ35+CA35+CB35)/3),0.1))))))))</f>
        <v/>
      </c>
      <c r="CD35" s="21" t="n"/>
      <c r="CE35" s="21" t="n"/>
      <c r="CF35" s="27">
        <f>SUM(CD35:CE35)</f>
        <v/>
      </c>
      <c r="CG35" s="28" t="n"/>
      <c r="CH35" s="31" t="n"/>
      <c r="CI35" s="29">
        <f>IF(AND(CF35=0,CG35=0,CH35=0),0,IF(AND(CF35=0,CG35=0),CH35/1,IF(AND(CF35=0,CH35=0),CG35/1,IF(AND(CG35=0,CH35=0),CF35/1,IF(CF35=0,FLOOR((CG35+CH35)/2,0.1),IF(CG35=0,(CF35+CH35)/2,IF(CH35=0,(CG35+CF35)/2,FLOOR(((CF35+CG35+CH35)/3),0.1))))))))</f>
        <v/>
      </c>
      <c r="CJ35" s="21" t="n"/>
      <c r="CK35" s="21" t="n"/>
      <c r="CL35" s="27">
        <f>SUM(CJ35:CK35)</f>
        <v/>
      </c>
      <c r="CM35" s="28" t="n"/>
      <c r="CN35" s="31" t="n"/>
      <c r="CO35" s="29">
        <f>IF(AND(CL35=0,CM35=0,CN35=0),0,IF(AND(CL35=0,CM35=0),CN35/1,IF(AND(CL35=0,CN35=0),CM35/1,IF(AND(CM35=0,CN35=0),CL35/1,IF(CL35=0,FLOOR((CM35+CN35)/2,0.1),IF(CM35=0,(CL35+CN35)/2,IF(CN35=0,(CM35+CL35)/2,FLOOR(((CL35+CM35+CN35)/3),0.1))))))))</f>
        <v/>
      </c>
      <c r="CP35" s="21" t="n"/>
      <c r="CQ35" s="21" t="n"/>
      <c r="CR35" s="27">
        <f>SUM(CP35:CQ35)</f>
        <v/>
      </c>
      <c r="CS35" s="28" t="n"/>
      <c r="CT35" s="31" t="n"/>
      <c r="CU35" s="29">
        <f>IF(AND(CR35=0,CS35=0,CT35=0),0,IF(AND(CR35=0,CS35=0),CT35/1,IF(AND(CR35=0,CT35=0),CS35/1,IF(AND(CS35=0,CT35=0),CR35/1,IF(CR35=0,FLOOR((CS35+CT35)/2,0.1),IF(CS35=0,(CR35+CT35)/2,IF(CT35=0,(CS35+CR35)/2,FLOOR(((CR35+CS35+CT35)/3),0.1))))))))</f>
        <v/>
      </c>
      <c r="CV35" s="21" t="n"/>
      <c r="CW35" s="21" t="n"/>
      <c r="CX35" s="27">
        <f>SUM(CV35:CW35)</f>
        <v/>
      </c>
      <c r="CY35" s="28" t="n"/>
      <c r="CZ35" s="31" t="n"/>
      <c r="DA35" s="29">
        <f>IF(AND(CX35=0,CY35=0,CZ35=0),0,IF(AND(CX35=0,CY35=0),CZ35/1,IF(AND(CX35=0,CZ35=0),CY35/1,IF(AND(CY35=0,CZ35=0),CX35/1,IF(CX35=0,FLOOR((CY35+CZ35)/2,0.1),IF(CY35=0,(CX35+CZ35)/2,IF(CZ35=0,(CY35+CX35)/2,FLOOR(((CX35+CY35+CZ35)/3),0.1))))))))</f>
        <v/>
      </c>
      <c r="DB35" s="21" t="n"/>
      <c r="DC35" s="21" t="n"/>
      <c r="DD35" s="27">
        <f>SUM(DB35:DC35)</f>
        <v/>
      </c>
      <c r="DE35" s="28" t="n"/>
      <c r="DF35" s="31" t="n"/>
      <c r="DG35" s="29">
        <f>IF(AND(DD35=0,DE35=0,DF35=0),0,IF(AND(DD35=0,DE35=0),DF35/1,IF(AND(DD35=0,DF35=0),DE35/1,IF(AND(DE35=0,DF35=0),DD35/1,IF(DD35=0,FLOOR((DE35+DF35)/2,0.1),IF(DE35=0,(DD35+DF35)/2,IF(DF35=0,(DE35+DD35)/2,FLOOR(((DD35+DE35+DF35)/3),0.1))))))))</f>
        <v/>
      </c>
      <c r="DH35" s="34">
        <f>SUM(O35,U35,AA35,AG35,AM35,AS35,AY35,BE35,BK35,BQ35,BW35,CC35,CI35,CO35,CU35,DA35,DG35)</f>
        <v/>
      </c>
      <c r="DI35" s="39">
        <f>RANK(DH35,DH$4:DH$503)</f>
        <v/>
      </c>
      <c r="DJ35" s="40" t="inlineStr">
        <is>
          <t>CHOOSE RATING</t>
        </is>
      </c>
      <c r="DK35" s="40" t="inlineStr">
        <is>
          <t>CHOOSE RATING</t>
        </is>
      </c>
      <c r="DL35" s="40" t="inlineStr">
        <is>
          <t>CHOOSE RATING</t>
        </is>
      </c>
      <c r="DM35" s="40" t="inlineStr">
        <is>
          <t>CHOOSE RATING</t>
        </is>
      </c>
      <c r="DN35" s="40" t="inlineStr">
        <is>
          <t>CHOOSE RATING</t>
        </is>
      </c>
      <c r="DO35" s="40" t="inlineStr">
        <is>
          <t>CHOOSE RATING</t>
        </is>
      </c>
      <c r="DP35" s="40" t="inlineStr">
        <is>
          <t>CHOOSE RATING</t>
        </is>
      </c>
      <c r="DQ35" s="40" t="inlineStr">
        <is>
          <t>CHOOSE RATING</t>
        </is>
      </c>
      <c r="DR35" s="43" t="inlineStr">
        <is>
          <t>2024/2025</t>
        </is>
      </c>
      <c r="DS35" s="45" t="inlineStr">
        <is>
          <t>THIRD</t>
        </is>
      </c>
      <c r="DT35" s="40" t="inlineStr">
        <is>
          <t>CHOOSE RATING</t>
        </is>
      </c>
      <c r="DU35" s="40" t="inlineStr">
        <is>
          <t>CHOOSE RATING</t>
        </is>
      </c>
      <c r="DV35" s="40" t="inlineStr">
        <is>
          <t>CHOOSE RATING</t>
        </is>
      </c>
      <c r="DW35" s="40" t="inlineStr">
        <is>
          <t>CHOOSE RATING</t>
        </is>
      </c>
      <c r="DX35" s="40" t="inlineStr">
        <is>
          <t>CHOOSE RATING</t>
        </is>
      </c>
      <c r="DY35" s="40" t="inlineStr">
        <is>
          <t>CHOOSE RATING</t>
        </is>
      </c>
      <c r="DZ35" s="53" t="inlineStr">
        <is>
          <t>CHOOSE RATING</t>
        </is>
      </c>
      <c r="EA35" s="54" t="inlineStr">
        <is>
          <t>Add the Tutor's Comment . . .</t>
        </is>
      </c>
      <c r="EB35" s="55" t="inlineStr">
        <is>
          <t>Choose Principals comment</t>
        </is>
      </c>
      <c r="EC35" s="56" t="n"/>
      <c r="ED35" s="57" t="n"/>
    </row>
    <row r="36" ht="30.6" customHeight="1" s="6">
      <c r="A36" s="18" t="n">
        <v>33</v>
      </c>
      <c r="B36" s="19" t="n"/>
      <c r="C36" s="20" t="n"/>
      <c r="D36" s="128" t="n"/>
      <c r="E36" s="21" t="n"/>
      <c r="F36" s="22" t="n"/>
      <c r="G36" s="22" t="n"/>
      <c r="H36" s="22" t="n"/>
      <c r="I36" s="26">
        <f>G36-H36</f>
        <v/>
      </c>
      <c r="J36" s="21" t="n"/>
      <c r="K36" s="21" t="n"/>
      <c r="L36" s="27">
        <f>SUM(J36:K36)</f>
        <v/>
      </c>
      <c r="M36" s="28" t="n"/>
      <c r="N36" s="28" t="n"/>
      <c r="O36" s="29">
        <f>IF(AND(L36=0,M36=0,N36=0),0,IF(AND(L36=0,M36=0),N36/1,IF(AND(L36=0,N36=0),M36/1,IF(AND(M36=0,N36=0),L36/1,IF(L36=0,FLOOR((M36+N36)/2,0.1),IF(M36=0,(L36+N36)/2,IF(N36=0,(M36+L36)/2,FLOOR(((L36+M36+N36)/3),0.1))))))))</f>
        <v/>
      </c>
      <c r="P36" s="21" t="n"/>
      <c r="Q36" s="21" t="n"/>
      <c r="R36" s="27">
        <f>SUM(P36:Q36)</f>
        <v/>
      </c>
      <c r="S36" s="28" t="n"/>
      <c r="T36" s="28" t="n"/>
      <c r="U36" s="29">
        <f>IF(AND(R36=0,S36=0,T36=0),0,IF(AND(R36=0,S36=0),T36/1,IF(AND(R36=0,T36=0),S36/1,IF(AND(S36=0,T36=0),R36/1,IF(R36=0,FLOOR((S36+T36)/2,0.1),IF(S36=0,(R36+T36)/2,IF(T36=0,(S36+R36)/2,FLOOR(((R36+S36+T36)/3),0.1))))))))</f>
        <v/>
      </c>
      <c r="V36" s="21" t="n"/>
      <c r="W36" s="21" t="n"/>
      <c r="X36" s="27">
        <f>SUM(V36:W36)</f>
        <v/>
      </c>
      <c r="Y36" s="28" t="n"/>
      <c r="Z36" s="28" t="n"/>
      <c r="AA36" s="29">
        <f>IF(AND(X36=0,Y36=0,Z36=0),0,IF(AND(X36=0,Y36=0),Z36/1,IF(AND(X36=0,Z36=0),Y36/1,IF(AND(Y36=0,Z36=0),X36/1,IF(X36=0,FLOOR((Y36+Z36)/2,0.1),IF(Y36=0,(X36+Z36)/2,IF(Z36=0,(Y36+X36)/2,FLOOR(((X36+Y36+Z36)/3),0.1))))))))</f>
        <v/>
      </c>
      <c r="AB36" s="21" t="n"/>
      <c r="AC36" s="21" t="n"/>
      <c r="AD36" s="27">
        <f>SUM(AB36:AC36)</f>
        <v/>
      </c>
      <c r="AE36" s="28" t="n"/>
      <c r="AF36" s="28" t="n"/>
      <c r="AG36" s="29">
        <f>IF(AND(AD36=0,AE36=0,AF36=0),0,IF(AND(AD36=0,AE36=0),AF36/1,IF(AND(AD36=0,AF36=0),AE36/1,IF(AND(AE36=0,AF36=0),AD36/1,IF(AD36=0,FLOOR((AE36+AF36)/2,0.1),IF(AE36=0,(AD36+AF36)/2,IF(AF36=0,(AE36+AD36)/2,FLOOR(((AD36+AE36+AF36)/3),0.1))))))))</f>
        <v/>
      </c>
      <c r="AH36" s="21" t="n"/>
      <c r="AI36" s="21" t="n"/>
      <c r="AJ36" s="27">
        <f>SUM(AH36:AI36)</f>
        <v/>
      </c>
      <c r="AK36" s="28" t="n"/>
      <c r="AL36" s="28" t="n"/>
      <c r="AM36" s="29">
        <f>IF(AND(AJ36=0,AK36=0,AL36=0),0,IF(AND(AJ36=0,AK36=0),AL36/1,IF(AND(AJ36=0,AL36=0),AK36/1,IF(AND(AK36=0,AL36=0),AJ36/1,IF(AJ36=0,FLOOR((AK36+AL36)/2,0.1),IF(AK36=0,(AJ36+AL36)/2,IF(AL36=0,(AK36+AJ36)/2,FLOOR(((AJ36+AK36+AL36)/3),0.1))))))))</f>
        <v/>
      </c>
      <c r="AN36" s="21" t="n"/>
      <c r="AO36" s="21" t="n"/>
      <c r="AP36" s="27">
        <f>SUM(AN36:AO36)</f>
        <v/>
      </c>
      <c r="AQ36" s="28" t="n"/>
      <c r="AR36" s="30" t="n"/>
      <c r="AS36" s="29">
        <f>IF(AND(AP36=0,AQ36=0,AR36=0),0,IF(AND(AP36=0,AQ36=0),AR36/1,IF(AND(AP36=0,AR36=0),AQ36/1,IF(AND(AQ36=0,AR36=0),AP36/1,IF(AP36=0,FLOOR((AQ36+AR36)/2,0.1),IF(AQ36=0,(AP36+AR36)/2,IF(AR36=0,(AQ36+AP36)/2,FLOOR(((AP36+AQ36+AR36)/3),0.1))))))))</f>
        <v/>
      </c>
      <c r="AT36" s="21" t="n"/>
      <c r="AU36" s="21" t="n"/>
      <c r="AV36" s="27">
        <f>SUM(AT36:AU36)</f>
        <v/>
      </c>
      <c r="AW36" s="28" t="n"/>
      <c r="AX36" s="30" t="n"/>
      <c r="AY36" s="29">
        <f>IF(AND(AV36=0,AW36=0,AX36=0),0,IF(AND(AV36=0,AW36=0),AX36/1,IF(AND(AV36=0,AX36=0),AW36/1,IF(AND(AW36=0,AX36=0),AV36/1,IF(AV36=0,FLOOR((AW36+AX36)/2,0.1),IF(AW36=0,(AV36+AX36)/2,IF(AX36=0,(AW36+AV36)/2,FLOOR(((AV36+AW36+AX36)/3),0.1))))))))</f>
        <v/>
      </c>
      <c r="AZ36" s="21" t="n"/>
      <c r="BA36" s="21" t="n"/>
      <c r="BB36" s="27">
        <f>SUM(AZ36:BA36)</f>
        <v/>
      </c>
      <c r="BC36" s="28" t="n"/>
      <c r="BD36" s="28" t="n"/>
      <c r="BE36" s="29">
        <f>IF(AND(BB36=0,BC36=0,BD36=0),0,IF(AND(BB36=0,BC36=0),BD36/1,IF(AND(BB36=0,BD36=0),BC36/1,IF(AND(BC36=0,BD36=0),BB36/1,IF(BB36=0,FLOOR((BC36+BD36)/2,0.1),IF(BC36=0,(BB36+BD36)/2,IF(BD36=0,(BC36+BB36)/2,FLOOR(((BB36+BC36+BD36)/3),0.1))))))))</f>
        <v/>
      </c>
      <c r="BF36" s="21" t="n"/>
      <c r="BG36" s="21" t="n"/>
      <c r="BH36" s="27">
        <f>SUM(BF36:BG36)</f>
        <v/>
      </c>
      <c r="BI36" s="28" t="n"/>
      <c r="BJ36" s="28" t="n"/>
      <c r="BK36" s="29">
        <f>IF(AND(BH36=0,BI36=0,BJ36=0),0,IF(AND(BH36=0,BI36=0),BJ36/1,IF(AND(BH36=0,BJ36=0),BI36/1,IF(AND(BI36=0,BJ36=0),BH36/1,IF(BH36=0,FLOOR((BI36+BJ36)/2,0.1),IF(BI36=0,(BH36+BJ36)/2,IF(BJ36=0,(BI36+BH36)/2,FLOOR(((BH36+BI36+BJ36)/3),0.1))))))))</f>
        <v/>
      </c>
      <c r="BL36" s="21" t="n"/>
      <c r="BM36" s="21" t="n"/>
      <c r="BN36" s="27">
        <f>SUM(BL36:BM36)</f>
        <v/>
      </c>
      <c r="BO36" s="28" t="n"/>
      <c r="BP36" s="31" t="n"/>
      <c r="BQ36" s="29">
        <f>IF(AND(BN36=0,BO36=0,BP36=0),0,IF(AND(BN36=0,BO36=0),BP36/1,IF(AND(BN36=0,BP36=0),BO36/1,IF(AND(BO36=0,BP36=0),BN36/1,IF(BN36=0,FLOOR((BO36+BP36)/2,0.1),IF(BO36=0,(BN36+BP36)/2,IF(BP36=0,(BO36+BN36)/2,FLOOR(((BN36+BO36+BP36)/3),0.1))))))))</f>
        <v/>
      </c>
      <c r="BR36" s="21" t="n"/>
      <c r="BS36" s="21" t="n"/>
      <c r="BT36" s="27">
        <f>SUM(BR36:BS36)</f>
        <v/>
      </c>
      <c r="BU36" s="28" t="n"/>
      <c r="BV36" s="31" t="n"/>
      <c r="BW36" s="29">
        <f>IF(AND(BT36=0,BU36=0,BV36=0),0,IF(AND(BT36=0,BU36=0),BV36/1,IF(AND(BT36=0,BV36=0),BU36/1,IF(AND(BU36=0,BV36=0),BT36/1,IF(BT36=0,FLOOR((BU36+BV36)/2,0.1),IF(BU36=0,(BT36+BV36)/2,IF(BV36=0,(BU36+BT36)/2,FLOOR(((BT36+BU36+BV36)/3),0.1))))))))</f>
        <v/>
      </c>
      <c r="BX36" s="21" t="n"/>
      <c r="BY36" s="21" t="n"/>
      <c r="BZ36" s="27">
        <f>SUM(BX36:BY36)</f>
        <v/>
      </c>
      <c r="CA36" s="28" t="n"/>
      <c r="CB36" s="31" t="n"/>
      <c r="CC36" s="29">
        <f>IF(AND(BZ36=0,CA36=0,CB36=0),0,IF(AND(BZ36=0,CA36=0),CB36/1,IF(AND(BZ36=0,CB36=0),CA36/1,IF(AND(CA36=0,CB36=0),BZ36/1,IF(BZ36=0,FLOOR((CA36+CB36)/2,0.1),IF(CA36=0,(BZ36+CB36)/2,IF(CB36=0,(CA36+BZ36)/2,FLOOR(((BZ36+CA36+CB36)/3),0.1))))))))</f>
        <v/>
      </c>
      <c r="CD36" s="21" t="n"/>
      <c r="CE36" s="21" t="n"/>
      <c r="CF36" s="27">
        <f>SUM(CD36:CE36)</f>
        <v/>
      </c>
      <c r="CG36" s="28" t="n"/>
      <c r="CH36" s="31" t="n"/>
      <c r="CI36" s="29">
        <f>IF(AND(CF36=0,CG36=0,CH36=0),0,IF(AND(CF36=0,CG36=0),CH36/1,IF(AND(CF36=0,CH36=0),CG36/1,IF(AND(CG36=0,CH36=0),CF36/1,IF(CF36=0,FLOOR((CG36+CH36)/2,0.1),IF(CG36=0,(CF36+CH36)/2,IF(CH36=0,(CG36+CF36)/2,FLOOR(((CF36+CG36+CH36)/3),0.1))))))))</f>
        <v/>
      </c>
      <c r="CJ36" s="21" t="n"/>
      <c r="CK36" s="21" t="n"/>
      <c r="CL36" s="27">
        <f>SUM(CJ36:CK36)</f>
        <v/>
      </c>
      <c r="CM36" s="28" t="n"/>
      <c r="CN36" s="31" t="n"/>
      <c r="CO36" s="29">
        <f>IF(AND(CL36=0,CM36=0,CN36=0),0,IF(AND(CL36=0,CM36=0),CN36/1,IF(AND(CL36=0,CN36=0),CM36/1,IF(AND(CM36=0,CN36=0),CL36/1,IF(CL36=0,FLOOR((CM36+CN36)/2,0.1),IF(CM36=0,(CL36+CN36)/2,IF(CN36=0,(CM36+CL36)/2,FLOOR(((CL36+CM36+CN36)/3),0.1))))))))</f>
        <v/>
      </c>
      <c r="CP36" s="21" t="n"/>
      <c r="CQ36" s="21" t="n"/>
      <c r="CR36" s="27">
        <f>SUM(CP36:CQ36)</f>
        <v/>
      </c>
      <c r="CS36" s="28" t="n"/>
      <c r="CT36" s="31" t="n"/>
      <c r="CU36" s="29">
        <f>IF(AND(CR36=0,CS36=0,CT36=0),0,IF(AND(CR36=0,CS36=0),CT36/1,IF(AND(CR36=0,CT36=0),CS36/1,IF(AND(CS36=0,CT36=0),CR36/1,IF(CR36=0,FLOOR((CS36+CT36)/2,0.1),IF(CS36=0,(CR36+CT36)/2,IF(CT36=0,(CS36+CR36)/2,FLOOR(((CR36+CS36+CT36)/3),0.1))))))))</f>
        <v/>
      </c>
      <c r="CV36" s="21" t="n"/>
      <c r="CW36" s="21" t="n"/>
      <c r="CX36" s="27">
        <f>SUM(CV36:CW36)</f>
        <v/>
      </c>
      <c r="CY36" s="28" t="n"/>
      <c r="CZ36" s="31" t="n"/>
      <c r="DA36" s="29">
        <f>IF(AND(CX36=0,CY36=0,CZ36=0),0,IF(AND(CX36=0,CY36=0),CZ36/1,IF(AND(CX36=0,CZ36=0),CY36/1,IF(AND(CY36=0,CZ36=0),CX36/1,IF(CX36=0,FLOOR((CY36+CZ36)/2,0.1),IF(CY36=0,(CX36+CZ36)/2,IF(CZ36=0,(CY36+CX36)/2,FLOOR(((CX36+CY36+CZ36)/3),0.1))))))))</f>
        <v/>
      </c>
      <c r="DB36" s="21" t="n"/>
      <c r="DC36" s="21" t="n"/>
      <c r="DD36" s="27">
        <f>SUM(DB36:DC36)</f>
        <v/>
      </c>
      <c r="DE36" s="28" t="n"/>
      <c r="DF36" s="31" t="n"/>
      <c r="DG36" s="29">
        <f>IF(AND(DD36=0,DE36=0,DF36=0),0,IF(AND(DD36=0,DE36=0),DF36/1,IF(AND(DD36=0,DF36=0),DE36/1,IF(AND(DE36=0,DF36=0),DD36/1,IF(DD36=0,FLOOR((DE36+DF36)/2,0.1),IF(DE36=0,(DD36+DF36)/2,IF(DF36=0,(DE36+DD36)/2,FLOOR(((DD36+DE36+DF36)/3),0.1))))))))</f>
        <v/>
      </c>
      <c r="DH36" s="34">
        <f>SUM(O36,U36,AA36,AG36,AM36,AS36,AY36,BE36,BK36,BQ36,BW36,CC36,CI36,CO36,CU36,DA36,DG36)</f>
        <v/>
      </c>
      <c r="DI36" s="39">
        <f>RANK(DH36,DH$4:DH$503)</f>
        <v/>
      </c>
      <c r="DJ36" s="40" t="inlineStr">
        <is>
          <t>CHOOSE RATING</t>
        </is>
      </c>
      <c r="DK36" s="40" t="inlineStr">
        <is>
          <t>CHOOSE RATING</t>
        </is>
      </c>
      <c r="DL36" s="40" t="inlineStr">
        <is>
          <t>CHOOSE RATING</t>
        </is>
      </c>
      <c r="DM36" s="40" t="inlineStr">
        <is>
          <t>CHOOSE RATING</t>
        </is>
      </c>
      <c r="DN36" s="40" t="inlineStr">
        <is>
          <t>CHOOSE RATING</t>
        </is>
      </c>
      <c r="DO36" s="40" t="inlineStr">
        <is>
          <t>CHOOSE RATING</t>
        </is>
      </c>
      <c r="DP36" s="40" t="inlineStr">
        <is>
          <t>CHOOSE RATING</t>
        </is>
      </c>
      <c r="DQ36" s="40" t="inlineStr">
        <is>
          <t>CHOOSE RATING</t>
        </is>
      </c>
      <c r="DR36" s="43" t="inlineStr">
        <is>
          <t>2024/2025</t>
        </is>
      </c>
      <c r="DS36" s="45" t="inlineStr">
        <is>
          <t>THIRD</t>
        </is>
      </c>
      <c r="DT36" s="40" t="inlineStr">
        <is>
          <t>CHOOSE RATING</t>
        </is>
      </c>
      <c r="DU36" s="40" t="inlineStr">
        <is>
          <t>CHOOSE RATING</t>
        </is>
      </c>
      <c r="DV36" s="40" t="inlineStr">
        <is>
          <t>CHOOSE RATING</t>
        </is>
      </c>
      <c r="DW36" s="40" t="inlineStr">
        <is>
          <t>CHOOSE RATING</t>
        </is>
      </c>
      <c r="DX36" s="40" t="inlineStr">
        <is>
          <t>CHOOSE RATING</t>
        </is>
      </c>
      <c r="DY36" s="40" t="inlineStr">
        <is>
          <t>CHOOSE RATING</t>
        </is>
      </c>
      <c r="DZ36" s="53" t="inlineStr">
        <is>
          <t>CHOOSE RATING</t>
        </is>
      </c>
      <c r="EA36" s="54" t="inlineStr">
        <is>
          <t>Add the Tutor's Comment . . .</t>
        </is>
      </c>
      <c r="EB36" s="55" t="inlineStr">
        <is>
          <t>Choose Principals comment</t>
        </is>
      </c>
      <c r="EC36" s="56" t="n"/>
      <c r="ED36" s="57" t="inlineStr">
        <is>
          <t>Next Term Begins on Monday, 22nd September, 2025</t>
        </is>
      </c>
    </row>
    <row r="37" ht="30.6" customHeight="1" s="6">
      <c r="A37" s="18" t="n">
        <v>34</v>
      </c>
      <c r="B37" s="19" t="n"/>
      <c r="C37" s="20" t="n"/>
      <c r="D37" s="128" t="n"/>
      <c r="E37" s="21" t="n"/>
      <c r="F37" s="22" t="n"/>
      <c r="G37" s="22" t="n"/>
      <c r="H37" s="22" t="n"/>
      <c r="I37" s="26">
        <f>G37-H37</f>
        <v/>
      </c>
      <c r="J37" s="21" t="n"/>
      <c r="K37" s="21" t="n"/>
      <c r="L37" s="27">
        <f>SUM(J37:K37)</f>
        <v/>
      </c>
      <c r="M37" s="28" t="n"/>
      <c r="N37" s="28" t="n"/>
      <c r="O37" s="29">
        <f>IF(AND(L37=0,M37=0,N37=0),0,IF(AND(L37=0,M37=0),N37/1,IF(AND(L37=0,N37=0),M37/1,IF(AND(M37=0,N37=0),L37/1,IF(L37=0,FLOOR((M37+N37)/2,0.1),IF(M37=0,(L37+N37)/2,IF(N37=0,(M37+L37)/2,FLOOR(((L37+M37+N37)/3),0.1))))))))</f>
        <v/>
      </c>
      <c r="P37" s="21" t="n"/>
      <c r="Q37" s="21" t="n"/>
      <c r="R37" s="27">
        <f>SUM(P37:Q37)</f>
        <v/>
      </c>
      <c r="S37" s="28" t="n"/>
      <c r="T37" s="28" t="n"/>
      <c r="U37" s="29">
        <f>IF(AND(R37=0,S37=0,T37=0),0,IF(AND(R37=0,S37=0),T37/1,IF(AND(R37=0,T37=0),S37/1,IF(AND(S37=0,T37=0),R37/1,IF(R37=0,FLOOR((S37+T37)/2,0.1),IF(S37=0,(R37+T37)/2,IF(T37=0,(S37+R37)/2,FLOOR(((R37+S37+T37)/3),0.1))))))))</f>
        <v/>
      </c>
      <c r="V37" s="21" t="n"/>
      <c r="W37" s="21" t="n"/>
      <c r="X37" s="27">
        <f>SUM(V37:W37)</f>
        <v/>
      </c>
      <c r="Y37" s="28" t="n"/>
      <c r="Z37" s="28" t="n"/>
      <c r="AA37" s="29">
        <f>IF(AND(X37=0,Y37=0,Z37=0),0,IF(AND(X37=0,Y37=0),Z37/1,IF(AND(X37=0,Z37=0),Y37/1,IF(AND(Y37=0,Z37=0),X37/1,IF(X37=0,FLOOR((Y37+Z37)/2,0.1),IF(Y37=0,(X37+Z37)/2,IF(Z37=0,(Y37+X37)/2,FLOOR(((X37+Y37+Z37)/3),0.1))))))))</f>
        <v/>
      </c>
      <c r="AB37" s="21" t="n"/>
      <c r="AC37" s="21" t="n"/>
      <c r="AD37" s="27">
        <f>SUM(AB37:AC37)</f>
        <v/>
      </c>
      <c r="AE37" s="28" t="n"/>
      <c r="AF37" s="28" t="n"/>
      <c r="AG37" s="29">
        <f>IF(AND(AD37=0,AE37=0,AF37=0),0,IF(AND(AD37=0,AE37=0),AF37/1,IF(AND(AD37=0,AF37=0),AE37/1,IF(AND(AE37=0,AF37=0),AD37/1,IF(AD37=0,FLOOR((AE37+AF37)/2,0.1),IF(AE37=0,(AD37+AF37)/2,IF(AF37=0,(AE37+AD37)/2,FLOOR(((AD37+AE37+AF37)/3),0.1))))))))</f>
        <v/>
      </c>
      <c r="AH37" s="21" t="n"/>
      <c r="AI37" s="21" t="n"/>
      <c r="AJ37" s="27">
        <f>SUM(AH37:AI37)</f>
        <v/>
      </c>
      <c r="AK37" s="28" t="n"/>
      <c r="AL37" s="28" t="n"/>
      <c r="AM37" s="29">
        <f>IF(AND(AJ37=0,AK37=0,AL37=0),0,IF(AND(AJ37=0,AK37=0),AL37/1,IF(AND(AJ37=0,AL37=0),AK37/1,IF(AND(AK37=0,AL37=0),AJ37/1,IF(AJ37=0,FLOOR((AK37+AL37)/2,0.1),IF(AK37=0,(AJ37+AL37)/2,IF(AL37=0,(AK37+AJ37)/2,FLOOR(((AJ37+AK37+AL37)/3),0.1))))))))</f>
        <v/>
      </c>
      <c r="AN37" s="21" t="n"/>
      <c r="AO37" s="21" t="n"/>
      <c r="AP37" s="27">
        <f>SUM(AN37:AO37)</f>
        <v/>
      </c>
      <c r="AQ37" s="28" t="n"/>
      <c r="AR37" s="30" t="n"/>
      <c r="AS37" s="29">
        <f>IF(AND(AP37=0,AQ37=0,AR37=0),0,IF(AND(AP37=0,AQ37=0),AR37/1,IF(AND(AP37=0,AR37=0),AQ37/1,IF(AND(AQ37=0,AR37=0),AP37/1,IF(AP37=0,FLOOR((AQ37+AR37)/2,0.1),IF(AQ37=0,(AP37+AR37)/2,IF(AR37=0,(AQ37+AP37)/2,FLOOR(((AP37+AQ37+AR37)/3),0.1))))))))</f>
        <v/>
      </c>
      <c r="AT37" s="21" t="n"/>
      <c r="AU37" s="21" t="n"/>
      <c r="AV37" s="27">
        <f>SUM(AT37:AU37)</f>
        <v/>
      </c>
      <c r="AW37" s="28" t="n"/>
      <c r="AX37" s="30" t="n"/>
      <c r="AY37" s="29">
        <f>IF(AND(AV37=0,AW37=0,AX37=0),0,IF(AND(AV37=0,AW37=0),AX37/1,IF(AND(AV37=0,AX37=0),AW37/1,IF(AND(AW37=0,AX37=0),AV37/1,IF(AV37=0,FLOOR((AW37+AX37)/2,0.1),IF(AW37=0,(AV37+AX37)/2,IF(AX37=0,(AW37+AV37)/2,FLOOR(((AV37+AW37+AX37)/3),0.1))))))))</f>
        <v/>
      </c>
      <c r="AZ37" s="21" t="n"/>
      <c r="BA37" s="21" t="n"/>
      <c r="BB37" s="27">
        <f>SUM(AZ37:BA37)</f>
        <v/>
      </c>
      <c r="BC37" s="28" t="n"/>
      <c r="BD37" s="28" t="n"/>
      <c r="BE37" s="29">
        <f>IF(AND(BB37=0,BC37=0,BD37=0),0,IF(AND(BB37=0,BC37=0),BD37/1,IF(AND(BB37=0,BD37=0),BC37/1,IF(AND(BC37=0,BD37=0),BB37/1,IF(BB37=0,FLOOR((BC37+BD37)/2,0.1),IF(BC37=0,(BB37+BD37)/2,IF(BD37=0,(BC37+BB37)/2,FLOOR(((BB37+BC37+BD37)/3),0.1))))))))</f>
        <v/>
      </c>
      <c r="BF37" s="21" t="n"/>
      <c r="BG37" s="21" t="n"/>
      <c r="BH37" s="27">
        <f>SUM(BF37:BG37)</f>
        <v/>
      </c>
      <c r="BI37" s="28" t="n"/>
      <c r="BJ37" s="28" t="n"/>
      <c r="BK37" s="29">
        <f>IF(AND(BH37=0,BI37=0,BJ37=0),0,IF(AND(BH37=0,BI37=0),BJ37/1,IF(AND(BH37=0,BJ37=0),BI37/1,IF(AND(BI37=0,BJ37=0),BH37/1,IF(BH37=0,FLOOR((BI37+BJ37)/2,0.1),IF(BI37=0,(BH37+BJ37)/2,IF(BJ37=0,(BI37+BH37)/2,FLOOR(((BH37+BI37+BJ37)/3),0.1))))))))</f>
        <v/>
      </c>
      <c r="BL37" s="21" t="n"/>
      <c r="BM37" s="21" t="n"/>
      <c r="BN37" s="27">
        <f>SUM(BL37:BM37)</f>
        <v/>
      </c>
      <c r="BO37" s="28" t="n"/>
      <c r="BP37" s="31" t="n"/>
      <c r="BQ37" s="29">
        <f>IF(AND(BN37=0,BO37=0,BP37=0),0,IF(AND(BN37=0,BO37=0),BP37/1,IF(AND(BN37=0,BP37=0),BO37/1,IF(AND(BO37=0,BP37=0),BN37/1,IF(BN37=0,FLOOR((BO37+BP37)/2,0.1),IF(BO37=0,(BN37+BP37)/2,IF(BP37=0,(BO37+BN37)/2,FLOOR(((BN37+BO37+BP37)/3),0.1))))))))</f>
        <v/>
      </c>
      <c r="BR37" s="21" t="n"/>
      <c r="BS37" s="21" t="n"/>
      <c r="BT37" s="27">
        <f>SUM(BR37:BS37)</f>
        <v/>
      </c>
      <c r="BU37" s="28" t="n"/>
      <c r="BV37" s="31" t="n"/>
      <c r="BW37" s="29">
        <f>IF(AND(BT37=0,BU37=0,BV37=0),0,IF(AND(BT37=0,BU37=0),BV37/1,IF(AND(BT37=0,BV37=0),BU37/1,IF(AND(BU37=0,BV37=0),BT37/1,IF(BT37=0,FLOOR((BU37+BV37)/2,0.1),IF(BU37=0,(BT37+BV37)/2,IF(BV37=0,(BU37+BT37)/2,FLOOR(((BT37+BU37+BV37)/3),0.1))))))))</f>
        <v/>
      </c>
      <c r="BX37" s="21" t="n"/>
      <c r="BY37" s="21" t="n"/>
      <c r="BZ37" s="27">
        <f>SUM(BX37:BY37)</f>
        <v/>
      </c>
      <c r="CA37" s="28" t="n"/>
      <c r="CB37" s="31" t="n"/>
      <c r="CC37" s="29">
        <f>IF(AND(BZ37=0,CA37=0,CB37=0),0,IF(AND(BZ37=0,CA37=0),CB37/1,IF(AND(BZ37=0,CB37=0),CA37/1,IF(AND(CA37=0,CB37=0),BZ37/1,IF(BZ37=0,FLOOR((CA37+CB37)/2,0.1),IF(CA37=0,(BZ37+CB37)/2,IF(CB37=0,(CA37+BZ37)/2,FLOOR(((BZ37+CA37+CB37)/3),0.1))))))))</f>
        <v/>
      </c>
      <c r="CD37" s="21" t="n"/>
      <c r="CE37" s="21" t="n"/>
      <c r="CF37" s="27">
        <f>SUM(CD37:CE37)</f>
        <v/>
      </c>
      <c r="CG37" s="28" t="n"/>
      <c r="CH37" s="31" t="n"/>
      <c r="CI37" s="29">
        <f>IF(AND(CF37=0,CG37=0,CH37=0),0,IF(AND(CF37=0,CG37=0),CH37/1,IF(AND(CF37=0,CH37=0),CG37/1,IF(AND(CG37=0,CH37=0),CF37/1,IF(CF37=0,FLOOR((CG37+CH37)/2,0.1),IF(CG37=0,(CF37+CH37)/2,IF(CH37=0,(CG37+CF37)/2,FLOOR(((CF37+CG37+CH37)/3),0.1))))))))</f>
        <v/>
      </c>
      <c r="CJ37" s="21" t="n"/>
      <c r="CK37" s="21" t="n"/>
      <c r="CL37" s="27">
        <f>SUM(CJ37:CK37)</f>
        <v/>
      </c>
      <c r="CM37" s="28" t="n"/>
      <c r="CN37" s="31" t="n"/>
      <c r="CO37" s="29">
        <f>IF(AND(CL37=0,CM37=0,CN37=0),0,IF(AND(CL37=0,CM37=0),CN37/1,IF(AND(CL37=0,CN37=0),CM37/1,IF(AND(CM37=0,CN37=0),CL37/1,IF(CL37=0,FLOOR((CM37+CN37)/2,0.1),IF(CM37=0,(CL37+CN37)/2,IF(CN37=0,(CM37+CL37)/2,FLOOR(((CL37+CM37+CN37)/3),0.1))))))))</f>
        <v/>
      </c>
      <c r="CP37" s="21" t="n"/>
      <c r="CQ37" s="21" t="n"/>
      <c r="CR37" s="27">
        <f>SUM(CP37:CQ37)</f>
        <v/>
      </c>
      <c r="CS37" s="28" t="n"/>
      <c r="CT37" s="31" t="n"/>
      <c r="CU37" s="29">
        <f>IF(AND(CR37=0,CS37=0,CT37=0),0,IF(AND(CR37=0,CS37=0),CT37/1,IF(AND(CR37=0,CT37=0),CS37/1,IF(AND(CS37=0,CT37=0),CR37/1,IF(CR37=0,FLOOR((CS37+CT37)/2,0.1),IF(CS37=0,(CR37+CT37)/2,IF(CT37=0,(CS37+CR37)/2,FLOOR(((CR37+CS37+CT37)/3),0.1))))))))</f>
        <v/>
      </c>
      <c r="CV37" s="21" t="n"/>
      <c r="CW37" s="21" t="n"/>
      <c r="CX37" s="27">
        <f>SUM(CV37:CW37)</f>
        <v/>
      </c>
      <c r="CY37" s="28" t="n"/>
      <c r="CZ37" s="31" t="n"/>
      <c r="DA37" s="29">
        <f>IF(AND(CX37=0,CY37=0,CZ37=0),0,IF(AND(CX37=0,CY37=0),CZ37/1,IF(AND(CX37=0,CZ37=0),CY37/1,IF(AND(CY37=0,CZ37=0),CX37/1,IF(CX37=0,FLOOR((CY37+CZ37)/2,0.1),IF(CY37=0,(CX37+CZ37)/2,IF(CZ37=0,(CY37+CX37)/2,FLOOR(((CX37+CY37+CZ37)/3),0.1))))))))</f>
        <v/>
      </c>
      <c r="DB37" s="21" t="n"/>
      <c r="DC37" s="21" t="n"/>
      <c r="DD37" s="27">
        <f>SUM(DB37:DC37)</f>
        <v/>
      </c>
      <c r="DE37" s="28" t="n"/>
      <c r="DF37" s="31" t="n"/>
      <c r="DG37" s="29">
        <f>IF(AND(DD37=0,DE37=0,DF37=0),0,IF(AND(DD37=0,DE37=0),DF37/1,IF(AND(DD37=0,DF37=0),DE37/1,IF(AND(DE37=0,DF37=0),DD37/1,IF(DD37=0,FLOOR((DE37+DF37)/2,0.1),IF(DE37=0,(DD37+DF37)/2,IF(DF37=0,(DE37+DD37)/2,FLOOR(((DD37+DE37+DF37)/3),0.1))))))))</f>
        <v/>
      </c>
      <c r="DH37" s="34">
        <f>SUM(O37,U37,AA37,AG37,AM37,AS37,AY37,BE37,BK37,BQ37,BW37,CC37,CI37,CO37,CU37,DA37,DG37)</f>
        <v/>
      </c>
      <c r="DI37" s="39">
        <f>RANK(DH37,DH$4:DH$503)</f>
        <v/>
      </c>
      <c r="DJ37" s="40" t="inlineStr">
        <is>
          <t>CHOOSE RATING</t>
        </is>
      </c>
      <c r="DK37" s="40" t="inlineStr">
        <is>
          <t>CHOOSE RATING</t>
        </is>
      </c>
      <c r="DL37" s="40" t="inlineStr">
        <is>
          <t>CHOOSE RATING</t>
        </is>
      </c>
      <c r="DM37" s="40" t="inlineStr">
        <is>
          <t>CHOOSE RATING</t>
        </is>
      </c>
      <c r="DN37" s="40" t="inlineStr">
        <is>
          <t>CHOOSE RATING</t>
        </is>
      </c>
      <c r="DO37" s="40" t="inlineStr">
        <is>
          <t>CHOOSE RATING</t>
        </is>
      </c>
      <c r="DP37" s="40" t="inlineStr">
        <is>
          <t>CHOOSE RATING</t>
        </is>
      </c>
      <c r="DQ37" s="40" t="inlineStr">
        <is>
          <t>CHOOSE RATING</t>
        </is>
      </c>
      <c r="DR37" s="43" t="inlineStr">
        <is>
          <t>2024/2025</t>
        </is>
      </c>
      <c r="DS37" s="45" t="inlineStr">
        <is>
          <t>THIRD</t>
        </is>
      </c>
      <c r="DT37" s="40" t="inlineStr">
        <is>
          <t>CHOOSE RATING</t>
        </is>
      </c>
      <c r="DU37" s="40" t="inlineStr">
        <is>
          <t>CHOOSE RATING</t>
        </is>
      </c>
      <c r="DV37" s="40" t="inlineStr">
        <is>
          <t>CHOOSE RATING</t>
        </is>
      </c>
      <c r="DW37" s="40" t="inlineStr">
        <is>
          <t>CHOOSE RATING</t>
        </is>
      </c>
      <c r="DX37" s="40" t="inlineStr">
        <is>
          <t>CHOOSE RATING</t>
        </is>
      </c>
      <c r="DY37" s="40" t="inlineStr">
        <is>
          <t>CHOOSE RATING</t>
        </is>
      </c>
      <c r="DZ37" s="53" t="inlineStr">
        <is>
          <t>CHOOSE RATING</t>
        </is>
      </c>
      <c r="EA37" s="54" t="inlineStr">
        <is>
          <t>Add the Tutor's Comment . . .</t>
        </is>
      </c>
      <c r="EB37" s="55" t="inlineStr">
        <is>
          <t>Choose Principals comment</t>
        </is>
      </c>
      <c r="EC37" s="56" t="n"/>
      <c r="ED37" s="57" t="inlineStr">
        <is>
          <t>Next Term Begins on Monday, 22nd September, 2025</t>
        </is>
      </c>
    </row>
    <row r="38" ht="30.6" customHeight="1" s="6">
      <c r="A38" s="18" t="n">
        <v>35</v>
      </c>
      <c r="B38" s="19" t="n"/>
      <c r="C38" s="20" t="n"/>
      <c r="D38" s="128" t="n"/>
      <c r="E38" s="21" t="n"/>
      <c r="F38" s="22" t="n"/>
      <c r="G38" s="22" t="n"/>
      <c r="H38" s="22" t="n"/>
      <c r="I38" s="26">
        <f>G38-H38</f>
        <v/>
      </c>
      <c r="J38" s="21" t="n"/>
      <c r="K38" s="21" t="n"/>
      <c r="L38" s="27">
        <f>SUM(J38:K38)</f>
        <v/>
      </c>
      <c r="M38" s="28" t="n"/>
      <c r="N38" s="28" t="n"/>
      <c r="O38" s="29">
        <f>IF(AND(L38=0,M38=0,N38=0),0,IF(AND(L38=0,M38=0),N38/1,IF(AND(L38=0,N38=0),M38/1,IF(AND(M38=0,N38=0),L38/1,IF(L38=0,FLOOR((M38+N38)/2,0.1),IF(M38=0,(L38+N38)/2,IF(N38=0,(M38+L38)/2,FLOOR(((L38+M38+N38)/3),0.1))))))))</f>
        <v/>
      </c>
      <c r="P38" s="21" t="n"/>
      <c r="Q38" s="21" t="n"/>
      <c r="R38" s="27">
        <f>SUM(P38:Q38)</f>
        <v/>
      </c>
      <c r="S38" s="28" t="n"/>
      <c r="T38" s="28" t="n"/>
      <c r="U38" s="29">
        <f>IF(AND(R38=0,S38=0,T38=0),0,IF(AND(R38=0,S38=0),T38/1,IF(AND(R38=0,T38=0),S38/1,IF(AND(S38=0,T38=0),R38/1,IF(R38=0,FLOOR((S38+T38)/2,0.1),IF(S38=0,(R38+T38)/2,IF(T38=0,(S38+R38)/2,FLOOR(((R38+S38+T38)/3),0.1))))))))</f>
        <v/>
      </c>
      <c r="V38" s="21" t="n"/>
      <c r="W38" s="21" t="n"/>
      <c r="X38" s="27">
        <f>SUM(V38:W38)</f>
        <v/>
      </c>
      <c r="Y38" s="28" t="n"/>
      <c r="Z38" s="28" t="n"/>
      <c r="AA38" s="29">
        <f>IF(AND(X38=0,Y38=0,Z38=0),0,IF(AND(X38=0,Y38=0),Z38/1,IF(AND(X38=0,Z38=0),Y38/1,IF(AND(Y38=0,Z38=0),X38/1,IF(X38=0,FLOOR((Y38+Z38)/2,0.1),IF(Y38=0,(X38+Z38)/2,IF(Z38=0,(Y38+X38)/2,FLOOR(((X38+Y38+Z38)/3),0.1))))))))</f>
        <v/>
      </c>
      <c r="AB38" s="21" t="n"/>
      <c r="AC38" s="21" t="n"/>
      <c r="AD38" s="27">
        <f>SUM(AB38:AC38)</f>
        <v/>
      </c>
      <c r="AE38" s="28" t="n"/>
      <c r="AF38" s="28" t="n"/>
      <c r="AG38" s="29">
        <f>IF(AND(AD38=0,AE38=0,AF38=0),0,IF(AND(AD38=0,AE38=0),AF38/1,IF(AND(AD38=0,AF38=0),AE38/1,IF(AND(AE38=0,AF38=0),AD38/1,IF(AD38=0,FLOOR((AE38+AF38)/2,0.1),IF(AE38=0,(AD38+AF38)/2,IF(AF38=0,(AE38+AD38)/2,FLOOR(((AD38+AE38+AF38)/3),0.1))))))))</f>
        <v/>
      </c>
      <c r="AH38" s="21" t="n"/>
      <c r="AI38" s="21" t="n"/>
      <c r="AJ38" s="27">
        <f>SUM(AH38:AI38)</f>
        <v/>
      </c>
      <c r="AK38" s="28" t="n"/>
      <c r="AL38" s="28" t="n"/>
      <c r="AM38" s="29">
        <f>IF(AND(AJ38=0,AK38=0,AL38=0),0,IF(AND(AJ38=0,AK38=0),AL38/1,IF(AND(AJ38=0,AL38=0),AK38/1,IF(AND(AK38=0,AL38=0),AJ38/1,IF(AJ38=0,FLOOR((AK38+AL38)/2,0.1),IF(AK38=0,(AJ38+AL38)/2,IF(AL38=0,(AK38+AJ38)/2,FLOOR(((AJ38+AK38+AL38)/3),0.1))))))))</f>
        <v/>
      </c>
      <c r="AN38" s="21" t="n"/>
      <c r="AO38" s="21" t="n"/>
      <c r="AP38" s="27">
        <f>SUM(AN38:AO38)</f>
        <v/>
      </c>
      <c r="AQ38" s="28" t="n"/>
      <c r="AR38" s="30" t="n"/>
      <c r="AS38" s="29">
        <f>IF(AND(AP38=0,AQ38=0,AR38=0),0,IF(AND(AP38=0,AQ38=0),AR38/1,IF(AND(AP38=0,AR38=0),AQ38/1,IF(AND(AQ38=0,AR38=0),AP38/1,IF(AP38=0,FLOOR((AQ38+AR38)/2,0.1),IF(AQ38=0,(AP38+AR38)/2,IF(AR38=0,(AQ38+AP38)/2,FLOOR(((AP38+AQ38+AR38)/3),0.1))))))))</f>
        <v/>
      </c>
      <c r="AT38" s="21" t="n"/>
      <c r="AU38" s="21" t="n"/>
      <c r="AV38" s="27">
        <f>SUM(AT38:AU38)</f>
        <v/>
      </c>
      <c r="AW38" s="28" t="n"/>
      <c r="AX38" s="30" t="n"/>
      <c r="AY38" s="29">
        <f>IF(AND(AV38=0,AW38=0,AX38=0),0,IF(AND(AV38=0,AW38=0),AX38/1,IF(AND(AV38=0,AX38=0),AW38/1,IF(AND(AW38=0,AX38=0),AV38/1,IF(AV38=0,FLOOR((AW38+AX38)/2,0.1),IF(AW38=0,(AV38+AX38)/2,IF(AX38=0,(AW38+AV38)/2,FLOOR(((AV38+AW38+AX38)/3),0.1))))))))</f>
        <v/>
      </c>
      <c r="AZ38" s="21" t="n"/>
      <c r="BA38" s="21" t="n"/>
      <c r="BB38" s="27">
        <f>SUM(AZ38:BA38)</f>
        <v/>
      </c>
      <c r="BC38" s="28" t="n"/>
      <c r="BD38" s="28" t="n"/>
      <c r="BE38" s="29">
        <f>IF(AND(BB38=0,BC38=0,BD38=0),0,IF(AND(BB38=0,BC38=0),BD38/1,IF(AND(BB38=0,BD38=0),BC38/1,IF(AND(BC38=0,BD38=0),BB38/1,IF(BB38=0,FLOOR((BC38+BD38)/2,0.1),IF(BC38=0,(BB38+BD38)/2,IF(BD38=0,(BC38+BB38)/2,FLOOR(((BB38+BC38+BD38)/3),0.1))))))))</f>
        <v/>
      </c>
      <c r="BF38" s="21" t="n"/>
      <c r="BG38" s="21" t="n"/>
      <c r="BH38" s="27">
        <f>SUM(BF38:BG38)</f>
        <v/>
      </c>
      <c r="BI38" s="28" t="n"/>
      <c r="BJ38" s="28" t="n"/>
      <c r="BK38" s="29">
        <f>IF(AND(BH38=0,BI38=0,BJ38=0),0,IF(AND(BH38=0,BI38=0),BJ38/1,IF(AND(BH38=0,BJ38=0),BI38/1,IF(AND(BI38=0,BJ38=0),BH38/1,IF(BH38=0,FLOOR((BI38+BJ38)/2,0.1),IF(BI38=0,(BH38+BJ38)/2,IF(BJ38=0,(BI38+BH38)/2,FLOOR(((BH38+BI38+BJ38)/3),0.1))))))))</f>
        <v/>
      </c>
      <c r="BL38" s="21" t="n"/>
      <c r="BM38" s="21" t="n"/>
      <c r="BN38" s="27">
        <f>SUM(BL38:BM38)</f>
        <v/>
      </c>
      <c r="BO38" s="28" t="n"/>
      <c r="BP38" s="31" t="n"/>
      <c r="BQ38" s="29">
        <f>IF(AND(BN38=0,BO38=0,BP38=0),0,IF(AND(BN38=0,BO38=0),BP38/1,IF(AND(BN38=0,BP38=0),BO38/1,IF(AND(BO38=0,BP38=0),BN38/1,IF(BN38=0,FLOOR((BO38+BP38)/2,0.1),IF(BO38=0,(BN38+BP38)/2,IF(BP38=0,(BO38+BN38)/2,FLOOR(((BN38+BO38+BP38)/3),0.1))))))))</f>
        <v/>
      </c>
      <c r="BR38" s="21" t="n"/>
      <c r="BS38" s="21" t="n"/>
      <c r="BT38" s="27">
        <f>SUM(BR38:BS38)</f>
        <v/>
      </c>
      <c r="BU38" s="28" t="n"/>
      <c r="BV38" s="31" t="n"/>
      <c r="BW38" s="29">
        <f>IF(AND(BT38=0,BU38=0,BV38=0),0,IF(AND(BT38=0,BU38=0),BV38/1,IF(AND(BT38=0,BV38=0),BU38/1,IF(AND(BU38=0,BV38=0),BT38/1,IF(BT38=0,FLOOR((BU38+BV38)/2,0.1),IF(BU38=0,(BT38+BV38)/2,IF(BV38=0,(BU38+BT38)/2,FLOOR(((BT38+BU38+BV38)/3),0.1))))))))</f>
        <v/>
      </c>
      <c r="BX38" s="21" t="n"/>
      <c r="BY38" s="21" t="n"/>
      <c r="BZ38" s="27">
        <f>SUM(BX38:BY38)</f>
        <v/>
      </c>
      <c r="CA38" s="28" t="n"/>
      <c r="CB38" s="31" t="n"/>
      <c r="CC38" s="29">
        <f>IF(AND(BZ38=0,CA38=0,CB38=0),0,IF(AND(BZ38=0,CA38=0),CB38/1,IF(AND(BZ38=0,CB38=0),CA38/1,IF(AND(CA38=0,CB38=0),BZ38/1,IF(BZ38=0,FLOOR((CA38+CB38)/2,0.1),IF(CA38=0,(BZ38+CB38)/2,IF(CB38=0,(CA38+BZ38)/2,FLOOR(((BZ38+CA38+CB38)/3),0.1))))))))</f>
        <v/>
      </c>
      <c r="CD38" s="21" t="n"/>
      <c r="CE38" s="21" t="n"/>
      <c r="CF38" s="27">
        <f>SUM(CD38:CE38)</f>
        <v/>
      </c>
      <c r="CG38" s="28" t="n"/>
      <c r="CH38" s="31" t="n"/>
      <c r="CI38" s="29">
        <f>IF(AND(CF38=0,CG38=0,CH38=0),0,IF(AND(CF38=0,CG38=0),CH38/1,IF(AND(CF38=0,CH38=0),CG38/1,IF(AND(CG38=0,CH38=0),CF38/1,IF(CF38=0,FLOOR((CG38+CH38)/2,0.1),IF(CG38=0,(CF38+CH38)/2,IF(CH38=0,(CG38+CF38)/2,FLOOR(((CF38+CG38+CH38)/3),0.1))))))))</f>
        <v/>
      </c>
      <c r="CJ38" s="21" t="n"/>
      <c r="CK38" s="21" t="n"/>
      <c r="CL38" s="27">
        <f>SUM(CJ38:CK38)</f>
        <v/>
      </c>
      <c r="CM38" s="28" t="n"/>
      <c r="CN38" s="31" t="n"/>
      <c r="CO38" s="29">
        <f>IF(AND(CL38=0,CM38=0,CN38=0),0,IF(AND(CL38=0,CM38=0),CN38/1,IF(AND(CL38=0,CN38=0),CM38/1,IF(AND(CM38=0,CN38=0),CL38/1,IF(CL38=0,FLOOR((CM38+CN38)/2,0.1),IF(CM38=0,(CL38+CN38)/2,IF(CN38=0,(CM38+CL38)/2,FLOOR(((CL38+CM38+CN38)/3),0.1))))))))</f>
        <v/>
      </c>
      <c r="CP38" s="21" t="n"/>
      <c r="CQ38" s="21" t="n"/>
      <c r="CR38" s="27">
        <f>SUM(CP38:CQ38)</f>
        <v/>
      </c>
      <c r="CS38" s="28" t="n"/>
      <c r="CT38" s="31" t="n"/>
      <c r="CU38" s="29">
        <f>IF(AND(CR38=0,CS38=0,CT38=0),0,IF(AND(CR38=0,CS38=0),CT38/1,IF(AND(CR38=0,CT38=0),CS38/1,IF(AND(CS38=0,CT38=0),CR38/1,IF(CR38=0,FLOOR((CS38+CT38)/2,0.1),IF(CS38=0,(CR38+CT38)/2,IF(CT38=0,(CS38+CR38)/2,FLOOR(((CR38+CS38+CT38)/3),0.1))))))))</f>
        <v/>
      </c>
      <c r="CV38" s="21" t="n"/>
      <c r="CW38" s="21" t="n"/>
      <c r="CX38" s="27">
        <f>SUM(CV38:CW38)</f>
        <v/>
      </c>
      <c r="CY38" s="28" t="n"/>
      <c r="CZ38" s="31" t="n"/>
      <c r="DA38" s="29">
        <f>IF(AND(CX38=0,CY38=0,CZ38=0),0,IF(AND(CX38=0,CY38=0),CZ38/1,IF(AND(CX38=0,CZ38=0),CY38/1,IF(AND(CY38=0,CZ38=0),CX38/1,IF(CX38=0,FLOOR((CY38+CZ38)/2,0.1),IF(CY38=0,(CX38+CZ38)/2,IF(CZ38=0,(CY38+CX38)/2,FLOOR(((CX38+CY38+CZ38)/3),0.1))))))))</f>
        <v/>
      </c>
      <c r="DB38" s="21" t="n"/>
      <c r="DC38" s="21" t="n"/>
      <c r="DD38" s="27">
        <f>SUM(DB38:DC38)</f>
        <v/>
      </c>
      <c r="DE38" s="28" t="n"/>
      <c r="DF38" s="31" t="n"/>
      <c r="DG38" s="29">
        <f>IF(AND(DD38=0,DE38=0,DF38=0),0,IF(AND(DD38=0,DE38=0),DF38/1,IF(AND(DD38=0,DF38=0),DE38/1,IF(AND(DE38=0,DF38=0),DD38/1,IF(DD38=0,FLOOR((DE38+DF38)/2,0.1),IF(DE38=0,(DD38+DF38)/2,IF(DF38=0,(DE38+DD38)/2,FLOOR(((DD38+DE38+DF38)/3),0.1))))))))</f>
        <v/>
      </c>
      <c r="DH38" s="34">
        <f>SUM(O38,U38,AA38,AG38,AM38,AS38,AY38,BE38,BK38,BQ38,BW38,CC38,CI38,CO38,CU38,DA38,DG38)</f>
        <v/>
      </c>
      <c r="DI38" s="39">
        <f>RANK(DH38,DH$4:DH$503)</f>
        <v/>
      </c>
      <c r="DJ38" s="40" t="inlineStr">
        <is>
          <t>CHOOSE RATING</t>
        </is>
      </c>
      <c r="DK38" s="40" t="inlineStr">
        <is>
          <t>CHOOSE RATING</t>
        </is>
      </c>
      <c r="DL38" s="40" t="inlineStr">
        <is>
          <t>CHOOSE RATING</t>
        </is>
      </c>
      <c r="DM38" s="40" t="inlineStr">
        <is>
          <t>CHOOSE RATING</t>
        </is>
      </c>
      <c r="DN38" s="40" t="inlineStr">
        <is>
          <t>CHOOSE RATING</t>
        </is>
      </c>
      <c r="DO38" s="40" t="inlineStr">
        <is>
          <t>CHOOSE RATING</t>
        </is>
      </c>
      <c r="DP38" s="40" t="inlineStr">
        <is>
          <t>CHOOSE RATING</t>
        </is>
      </c>
      <c r="DQ38" s="40" t="inlineStr">
        <is>
          <t>CHOOSE RATING</t>
        </is>
      </c>
      <c r="DR38" s="43" t="inlineStr">
        <is>
          <t>2024/2025</t>
        </is>
      </c>
      <c r="DS38" s="45" t="inlineStr">
        <is>
          <t>THIRD</t>
        </is>
      </c>
      <c r="DT38" s="40" t="inlineStr">
        <is>
          <t>CHOOSE RATING</t>
        </is>
      </c>
      <c r="DU38" s="40" t="inlineStr">
        <is>
          <t>CHOOSE RATING</t>
        </is>
      </c>
      <c r="DV38" s="40" t="inlineStr">
        <is>
          <t>CHOOSE RATING</t>
        </is>
      </c>
      <c r="DW38" s="40" t="inlineStr">
        <is>
          <t>CHOOSE RATING</t>
        </is>
      </c>
      <c r="DX38" s="40" t="inlineStr">
        <is>
          <t>CHOOSE RATING</t>
        </is>
      </c>
      <c r="DY38" s="40" t="inlineStr">
        <is>
          <t>CHOOSE RATING</t>
        </is>
      </c>
      <c r="DZ38" s="53" t="inlineStr">
        <is>
          <t>CHOOSE RATING</t>
        </is>
      </c>
      <c r="EA38" s="54" t="inlineStr">
        <is>
          <t>Add the Tutor's Comment . . .</t>
        </is>
      </c>
      <c r="EB38" s="55" t="inlineStr">
        <is>
          <t>Choose Principals comment</t>
        </is>
      </c>
      <c r="EC38" s="56" t="n"/>
      <c r="ED38" s="57" t="inlineStr">
        <is>
          <t>Next Term Begins on Monday, 22nd September, 2025</t>
        </is>
      </c>
    </row>
    <row r="39" ht="30.6" customHeight="1" s="6">
      <c r="A39" s="18" t="n">
        <v>36</v>
      </c>
      <c r="B39" s="19" t="n"/>
      <c r="C39" s="20" t="n"/>
      <c r="D39" s="128" t="n"/>
      <c r="E39" s="21" t="n"/>
      <c r="F39" s="22" t="n"/>
      <c r="G39" s="22" t="n"/>
      <c r="H39" s="22" t="n"/>
      <c r="I39" s="26">
        <f>G39-H39</f>
        <v/>
      </c>
      <c r="J39" s="21" t="n"/>
      <c r="K39" s="21" t="n"/>
      <c r="L39" s="27">
        <f>SUM(J39:K39)</f>
        <v/>
      </c>
      <c r="M39" s="28" t="n"/>
      <c r="N39" s="28" t="n"/>
      <c r="O39" s="29">
        <f>IF(AND(L39=0,M39=0,N39=0),0,IF(AND(L39=0,M39=0),N39/1,IF(AND(L39=0,N39=0),M39/1,IF(AND(M39=0,N39=0),L39/1,IF(L39=0,FLOOR((M39+N39)/2,0.1),IF(M39=0,(L39+N39)/2,IF(N39=0,(M39+L39)/2,FLOOR(((L39+M39+N39)/3),0.1))))))))</f>
        <v/>
      </c>
      <c r="P39" s="21" t="n"/>
      <c r="Q39" s="21" t="n"/>
      <c r="R39" s="27">
        <f>SUM(P39:Q39)</f>
        <v/>
      </c>
      <c r="S39" s="28" t="n"/>
      <c r="T39" s="28" t="n"/>
      <c r="U39" s="29">
        <f>IF(AND(R39=0,S39=0,T39=0),0,IF(AND(R39=0,S39=0),T39/1,IF(AND(R39=0,T39=0),S39/1,IF(AND(S39=0,T39=0),R39/1,IF(R39=0,FLOOR((S39+T39)/2,0.1),IF(S39=0,(R39+T39)/2,IF(T39=0,(S39+R39)/2,FLOOR(((R39+S39+T39)/3),0.1))))))))</f>
        <v/>
      </c>
      <c r="V39" s="21" t="n"/>
      <c r="W39" s="21" t="n"/>
      <c r="X39" s="27">
        <f>SUM(V39:W39)</f>
        <v/>
      </c>
      <c r="Y39" s="28" t="n"/>
      <c r="Z39" s="28" t="n"/>
      <c r="AA39" s="29">
        <f>IF(AND(X39=0,Y39=0,Z39=0),0,IF(AND(X39=0,Y39=0),Z39/1,IF(AND(X39=0,Z39=0),Y39/1,IF(AND(Y39=0,Z39=0),X39/1,IF(X39=0,FLOOR((Y39+Z39)/2,0.1),IF(Y39=0,(X39+Z39)/2,IF(Z39=0,(Y39+X39)/2,FLOOR(((X39+Y39+Z39)/3),0.1))))))))</f>
        <v/>
      </c>
      <c r="AB39" s="21" t="n"/>
      <c r="AC39" s="21" t="n"/>
      <c r="AD39" s="27">
        <f>SUM(AB39:AC39)</f>
        <v/>
      </c>
      <c r="AE39" s="28" t="n"/>
      <c r="AF39" s="28" t="n"/>
      <c r="AG39" s="29">
        <f>IF(AND(AD39=0,AE39=0,AF39=0),0,IF(AND(AD39=0,AE39=0),AF39/1,IF(AND(AD39=0,AF39=0),AE39/1,IF(AND(AE39=0,AF39=0),AD39/1,IF(AD39=0,FLOOR((AE39+AF39)/2,0.1),IF(AE39=0,(AD39+AF39)/2,IF(AF39=0,(AE39+AD39)/2,FLOOR(((AD39+AE39+AF39)/3),0.1))))))))</f>
        <v/>
      </c>
      <c r="AH39" s="21" t="n"/>
      <c r="AI39" s="21" t="n"/>
      <c r="AJ39" s="27">
        <f>SUM(AH39:AI39)</f>
        <v/>
      </c>
      <c r="AK39" s="28" t="n"/>
      <c r="AL39" s="28" t="n"/>
      <c r="AM39" s="29">
        <f>IF(AND(AJ39=0,AK39=0,AL39=0),0,IF(AND(AJ39=0,AK39=0),AL39/1,IF(AND(AJ39=0,AL39=0),AK39/1,IF(AND(AK39=0,AL39=0),AJ39/1,IF(AJ39=0,FLOOR((AK39+AL39)/2,0.1),IF(AK39=0,(AJ39+AL39)/2,IF(AL39=0,(AK39+AJ39)/2,FLOOR(((AJ39+AK39+AL39)/3),0.1))))))))</f>
        <v/>
      </c>
      <c r="AN39" s="21" t="n"/>
      <c r="AO39" s="21" t="n"/>
      <c r="AP39" s="27">
        <f>SUM(AN39:AO39)</f>
        <v/>
      </c>
      <c r="AQ39" s="28" t="n"/>
      <c r="AR39" s="30" t="n"/>
      <c r="AS39" s="29">
        <f>IF(AND(AP39=0,AQ39=0,AR39=0),0,IF(AND(AP39=0,AQ39=0),AR39/1,IF(AND(AP39=0,AR39=0),AQ39/1,IF(AND(AQ39=0,AR39=0),AP39/1,IF(AP39=0,FLOOR((AQ39+AR39)/2,0.1),IF(AQ39=0,(AP39+AR39)/2,IF(AR39=0,(AQ39+AP39)/2,FLOOR(((AP39+AQ39+AR39)/3),0.1))))))))</f>
        <v/>
      </c>
      <c r="AT39" s="21" t="n"/>
      <c r="AU39" s="21" t="n"/>
      <c r="AV39" s="27">
        <f>SUM(AT39:AU39)</f>
        <v/>
      </c>
      <c r="AW39" s="28" t="n"/>
      <c r="AX39" s="30" t="n"/>
      <c r="AY39" s="29">
        <f>IF(AND(AV39=0,AW39=0,AX39=0),0,IF(AND(AV39=0,AW39=0),AX39/1,IF(AND(AV39=0,AX39=0),AW39/1,IF(AND(AW39=0,AX39=0),AV39/1,IF(AV39=0,FLOOR((AW39+AX39)/2,0.1),IF(AW39=0,(AV39+AX39)/2,IF(AX39=0,(AW39+AV39)/2,FLOOR(((AV39+AW39+AX39)/3),0.1))))))))</f>
        <v/>
      </c>
      <c r="AZ39" s="21" t="n"/>
      <c r="BA39" s="21" t="n"/>
      <c r="BB39" s="27">
        <f>SUM(AZ39:BA39)</f>
        <v/>
      </c>
      <c r="BC39" s="28" t="n"/>
      <c r="BD39" s="28" t="n"/>
      <c r="BE39" s="29">
        <f>IF(AND(BB39=0,BC39=0,BD39=0),0,IF(AND(BB39=0,BC39=0),BD39/1,IF(AND(BB39=0,BD39=0),BC39/1,IF(AND(BC39=0,BD39=0),BB39/1,IF(BB39=0,FLOOR((BC39+BD39)/2,0.1),IF(BC39=0,(BB39+BD39)/2,IF(BD39=0,(BC39+BB39)/2,FLOOR(((BB39+BC39+BD39)/3),0.1))))))))</f>
        <v/>
      </c>
      <c r="BF39" s="21" t="n"/>
      <c r="BG39" s="21" t="n"/>
      <c r="BH39" s="27">
        <f>SUM(BF39:BG39)</f>
        <v/>
      </c>
      <c r="BI39" s="28" t="n"/>
      <c r="BJ39" s="28" t="n"/>
      <c r="BK39" s="29">
        <f>IF(AND(BH39=0,BI39=0,BJ39=0),0,IF(AND(BH39=0,BI39=0),BJ39/1,IF(AND(BH39=0,BJ39=0),BI39/1,IF(AND(BI39=0,BJ39=0),BH39/1,IF(BH39=0,FLOOR((BI39+BJ39)/2,0.1),IF(BI39=0,(BH39+BJ39)/2,IF(BJ39=0,(BI39+BH39)/2,FLOOR(((BH39+BI39+BJ39)/3),0.1))))))))</f>
        <v/>
      </c>
      <c r="BL39" s="21" t="n"/>
      <c r="BM39" s="21" t="n"/>
      <c r="BN39" s="27">
        <f>SUM(BL39:BM39)</f>
        <v/>
      </c>
      <c r="BO39" s="28" t="n"/>
      <c r="BP39" s="31" t="n"/>
      <c r="BQ39" s="29">
        <f>IF(AND(BN39=0,BO39=0,BP39=0),0,IF(AND(BN39=0,BO39=0),BP39/1,IF(AND(BN39=0,BP39=0),BO39/1,IF(AND(BO39=0,BP39=0),BN39/1,IF(BN39=0,FLOOR((BO39+BP39)/2,0.1),IF(BO39=0,(BN39+BP39)/2,IF(BP39=0,(BO39+BN39)/2,FLOOR(((BN39+BO39+BP39)/3),0.1))))))))</f>
        <v/>
      </c>
      <c r="BR39" s="21" t="n"/>
      <c r="BS39" s="21" t="n"/>
      <c r="BT39" s="27">
        <f>SUM(BR39:BS39)</f>
        <v/>
      </c>
      <c r="BU39" s="28" t="n"/>
      <c r="BV39" s="31" t="n"/>
      <c r="BW39" s="29">
        <f>IF(AND(BT39=0,BU39=0,BV39=0),0,IF(AND(BT39=0,BU39=0),BV39/1,IF(AND(BT39=0,BV39=0),BU39/1,IF(AND(BU39=0,BV39=0),BT39/1,IF(BT39=0,FLOOR((BU39+BV39)/2,0.1),IF(BU39=0,(BT39+BV39)/2,IF(BV39=0,(BU39+BT39)/2,FLOOR(((BT39+BU39+BV39)/3),0.1))))))))</f>
        <v/>
      </c>
      <c r="BX39" s="21" t="n"/>
      <c r="BY39" s="21" t="n"/>
      <c r="BZ39" s="27">
        <f>SUM(BX39:BY39)</f>
        <v/>
      </c>
      <c r="CA39" s="28" t="n"/>
      <c r="CB39" s="31" t="n"/>
      <c r="CC39" s="29">
        <f>IF(AND(BZ39=0,CA39=0,CB39=0),0,IF(AND(BZ39=0,CA39=0),CB39/1,IF(AND(BZ39=0,CB39=0),CA39/1,IF(AND(CA39=0,CB39=0),BZ39/1,IF(BZ39=0,FLOOR((CA39+CB39)/2,0.1),IF(CA39=0,(BZ39+CB39)/2,IF(CB39=0,(CA39+BZ39)/2,FLOOR(((BZ39+CA39+CB39)/3),0.1))))))))</f>
        <v/>
      </c>
      <c r="CD39" s="21" t="n"/>
      <c r="CE39" s="21" t="n"/>
      <c r="CF39" s="27">
        <f>SUM(CD39:CE39)</f>
        <v/>
      </c>
      <c r="CG39" s="28" t="n"/>
      <c r="CH39" s="31" t="n"/>
      <c r="CI39" s="29">
        <f>IF(AND(CF39=0,CG39=0,CH39=0),0,IF(AND(CF39=0,CG39=0),CH39/1,IF(AND(CF39=0,CH39=0),CG39/1,IF(AND(CG39=0,CH39=0),CF39/1,IF(CF39=0,FLOOR((CG39+CH39)/2,0.1),IF(CG39=0,(CF39+CH39)/2,IF(CH39=0,(CG39+CF39)/2,FLOOR(((CF39+CG39+CH39)/3),0.1))))))))</f>
        <v/>
      </c>
      <c r="CJ39" s="21" t="n"/>
      <c r="CK39" s="21" t="n"/>
      <c r="CL39" s="27">
        <f>SUM(CJ39:CK39)</f>
        <v/>
      </c>
      <c r="CM39" s="28" t="n"/>
      <c r="CN39" s="31" t="n"/>
      <c r="CO39" s="29">
        <f>IF(AND(CL39=0,CM39=0,CN39=0),0,IF(AND(CL39=0,CM39=0),CN39/1,IF(AND(CL39=0,CN39=0),CM39/1,IF(AND(CM39=0,CN39=0),CL39/1,IF(CL39=0,FLOOR((CM39+CN39)/2,0.1),IF(CM39=0,(CL39+CN39)/2,IF(CN39=0,(CM39+CL39)/2,FLOOR(((CL39+CM39+CN39)/3),0.1))))))))</f>
        <v/>
      </c>
      <c r="CP39" s="21" t="n"/>
      <c r="CQ39" s="21" t="n"/>
      <c r="CR39" s="27">
        <f>SUM(CP39:CQ39)</f>
        <v/>
      </c>
      <c r="CS39" s="28" t="n"/>
      <c r="CT39" s="31" t="n"/>
      <c r="CU39" s="29">
        <f>IF(AND(CR39=0,CS39=0,CT39=0),0,IF(AND(CR39=0,CS39=0),CT39/1,IF(AND(CR39=0,CT39=0),CS39/1,IF(AND(CS39=0,CT39=0),CR39/1,IF(CR39=0,FLOOR((CS39+CT39)/2,0.1),IF(CS39=0,(CR39+CT39)/2,IF(CT39=0,(CS39+CR39)/2,FLOOR(((CR39+CS39+CT39)/3),0.1))))))))</f>
        <v/>
      </c>
      <c r="CV39" s="21" t="n"/>
      <c r="CW39" s="21" t="n"/>
      <c r="CX39" s="27">
        <f>SUM(CV39:CW39)</f>
        <v/>
      </c>
      <c r="CY39" s="28" t="n"/>
      <c r="CZ39" s="31" t="n"/>
      <c r="DA39" s="29">
        <f>IF(AND(CX39=0,CY39=0,CZ39=0),0,IF(AND(CX39=0,CY39=0),CZ39/1,IF(AND(CX39=0,CZ39=0),CY39/1,IF(AND(CY39=0,CZ39=0),CX39/1,IF(CX39=0,FLOOR((CY39+CZ39)/2,0.1),IF(CY39=0,(CX39+CZ39)/2,IF(CZ39=0,(CY39+CX39)/2,FLOOR(((CX39+CY39+CZ39)/3),0.1))))))))</f>
        <v/>
      </c>
      <c r="DB39" s="21" t="n"/>
      <c r="DC39" s="21" t="n"/>
      <c r="DD39" s="27">
        <f>SUM(DB39:DC39)</f>
        <v/>
      </c>
      <c r="DE39" s="28" t="n"/>
      <c r="DF39" s="31" t="n"/>
      <c r="DG39" s="29">
        <f>IF(AND(DD39=0,DE39=0,DF39=0),0,IF(AND(DD39=0,DE39=0),DF39/1,IF(AND(DD39=0,DF39=0),DE39/1,IF(AND(DE39=0,DF39=0),DD39/1,IF(DD39=0,FLOOR((DE39+DF39)/2,0.1),IF(DE39=0,(DD39+DF39)/2,IF(DF39=0,(DE39+DD39)/2,FLOOR(((DD39+DE39+DF39)/3),0.1))))))))</f>
        <v/>
      </c>
      <c r="DH39" s="34">
        <f>SUM(O39,U39,AA39,AG39,AM39,AS39,AY39,BE39,BK39,BQ39,BW39,CC39,CI39,CO39,CU39,DA39,DG39)</f>
        <v/>
      </c>
      <c r="DI39" s="39">
        <f>RANK(DH39,DH$4:DH$503)</f>
        <v/>
      </c>
      <c r="DJ39" s="40" t="inlineStr">
        <is>
          <t>CHOOSE RATING</t>
        </is>
      </c>
      <c r="DK39" s="40" t="inlineStr">
        <is>
          <t>CHOOSE RATING</t>
        </is>
      </c>
      <c r="DL39" s="40" t="inlineStr">
        <is>
          <t>CHOOSE RATING</t>
        </is>
      </c>
      <c r="DM39" s="40" t="inlineStr">
        <is>
          <t>CHOOSE RATING</t>
        </is>
      </c>
      <c r="DN39" s="40" t="inlineStr">
        <is>
          <t>CHOOSE RATING</t>
        </is>
      </c>
      <c r="DO39" s="40" t="inlineStr">
        <is>
          <t>GOOD(4)</t>
        </is>
      </c>
      <c r="DP39" s="40" t="inlineStr">
        <is>
          <t>CHOOSE RATING</t>
        </is>
      </c>
      <c r="DQ39" s="40" t="inlineStr">
        <is>
          <t>CHOOSE RATING</t>
        </is>
      </c>
      <c r="DR39" s="43" t="inlineStr">
        <is>
          <t>2024/2025</t>
        </is>
      </c>
      <c r="DS39" s="45" t="inlineStr">
        <is>
          <t>THIRD</t>
        </is>
      </c>
      <c r="DT39" s="40" t="inlineStr">
        <is>
          <t>CHOOSE RATING</t>
        </is>
      </c>
      <c r="DU39" s="40" t="inlineStr">
        <is>
          <t>CHOOSE RATING</t>
        </is>
      </c>
      <c r="DV39" s="40" t="inlineStr">
        <is>
          <t>CHOOSE RATING</t>
        </is>
      </c>
      <c r="DW39" s="40" t="inlineStr">
        <is>
          <t>CHOOSE RATING</t>
        </is>
      </c>
      <c r="DX39" s="40" t="inlineStr">
        <is>
          <t>CHOOSE RATING</t>
        </is>
      </c>
      <c r="DY39" s="40" t="inlineStr">
        <is>
          <t>CHOOSE RATING</t>
        </is>
      </c>
      <c r="DZ39" s="53" t="inlineStr">
        <is>
          <t>CHOOSE RATING</t>
        </is>
      </c>
      <c r="EA39" s="54" t="inlineStr">
        <is>
          <t>Add the Tutor's Comment . . .</t>
        </is>
      </c>
      <c r="EB39" s="55" t="inlineStr">
        <is>
          <t>Choose Principals comment</t>
        </is>
      </c>
      <c r="EC39" s="56" t="n"/>
      <c r="ED39" s="57" t="inlineStr">
        <is>
          <t>Next Term Begins on Monday, 22nd September, 2025</t>
        </is>
      </c>
    </row>
    <row r="40" ht="30.6" customHeight="1" s="6">
      <c r="A40" s="18" t="n">
        <v>37</v>
      </c>
      <c r="B40" s="19" t="n"/>
      <c r="C40" s="20" t="n"/>
      <c r="D40" s="128" t="n"/>
      <c r="E40" s="21" t="n"/>
      <c r="F40" s="22" t="n"/>
      <c r="G40" s="22" t="n"/>
      <c r="H40" s="22" t="n"/>
      <c r="I40" s="26">
        <f>G40-H40</f>
        <v/>
      </c>
      <c r="J40" s="21" t="n"/>
      <c r="K40" s="21" t="n"/>
      <c r="L40" s="27">
        <f>SUM(J40:K40)</f>
        <v/>
      </c>
      <c r="M40" s="28" t="n"/>
      <c r="N40" s="28" t="n"/>
      <c r="O40" s="29">
        <f>IF(AND(L40=0,M40=0,N40=0),0,IF(AND(L40=0,M40=0),N40/1,IF(AND(L40=0,N40=0),M40/1,IF(AND(M40=0,N40=0),L40/1,IF(L40=0,FLOOR((M40+N40)/2,0.1),IF(M40=0,(L40+N40)/2,IF(N40=0,(M40+L40)/2,FLOOR(((L40+M40+N40)/3),0.1))))))))</f>
        <v/>
      </c>
      <c r="P40" s="21" t="n"/>
      <c r="Q40" s="21" t="n"/>
      <c r="R40" s="27">
        <f>SUM(P40:Q40)</f>
        <v/>
      </c>
      <c r="S40" s="28" t="n"/>
      <c r="T40" s="28" t="n"/>
      <c r="U40" s="29">
        <f>IF(AND(R40=0,S40=0,T40=0),0,IF(AND(R40=0,S40=0),T40/1,IF(AND(R40=0,T40=0),S40/1,IF(AND(S40=0,T40=0),R40/1,IF(R40=0,FLOOR((S40+T40)/2,0.1),IF(S40=0,(R40+T40)/2,IF(T40=0,(S40+R40)/2,FLOOR(((R40+S40+T40)/3),0.1))))))))</f>
        <v/>
      </c>
      <c r="V40" s="21" t="n"/>
      <c r="W40" s="21" t="n"/>
      <c r="X40" s="27">
        <f>SUM(V40:W40)</f>
        <v/>
      </c>
      <c r="Y40" s="28" t="n"/>
      <c r="Z40" s="28" t="n"/>
      <c r="AA40" s="29">
        <f>IF(AND(X40=0,Y40=0,Z40=0),0,IF(AND(X40=0,Y40=0),Z40/1,IF(AND(X40=0,Z40=0),Y40/1,IF(AND(Y40=0,Z40=0),X40/1,IF(X40=0,FLOOR((Y40+Z40)/2,0.1),IF(Y40=0,(X40+Z40)/2,IF(Z40=0,(Y40+X40)/2,FLOOR(((X40+Y40+Z40)/3),0.1))))))))</f>
        <v/>
      </c>
      <c r="AB40" s="21" t="n"/>
      <c r="AC40" s="21" t="n"/>
      <c r="AD40" s="27">
        <f>SUM(AB40:AC40)</f>
        <v/>
      </c>
      <c r="AE40" s="28" t="n"/>
      <c r="AF40" s="28" t="n"/>
      <c r="AG40" s="29">
        <f>IF(AND(AD40=0,AE40=0,AF40=0),0,IF(AND(AD40=0,AE40=0),AF40/1,IF(AND(AD40=0,AF40=0),AE40/1,IF(AND(AE40=0,AF40=0),AD40/1,IF(AD40=0,FLOOR((AE40+AF40)/2,0.1),IF(AE40=0,(AD40+AF40)/2,IF(AF40=0,(AE40+AD40)/2,FLOOR(((AD40+AE40+AF40)/3),0.1))))))))</f>
        <v/>
      </c>
      <c r="AH40" s="21" t="n"/>
      <c r="AI40" s="21" t="n"/>
      <c r="AJ40" s="27">
        <f>SUM(AH40:AI40)</f>
        <v/>
      </c>
      <c r="AK40" s="28" t="n"/>
      <c r="AL40" s="28" t="n"/>
      <c r="AM40" s="29">
        <f>IF(AND(AJ40=0,AK40=0,AL40=0),0,IF(AND(AJ40=0,AK40=0),AL40/1,IF(AND(AJ40=0,AL40=0),AK40/1,IF(AND(AK40=0,AL40=0),AJ40/1,IF(AJ40=0,FLOOR((AK40+AL40)/2,0.1),IF(AK40=0,(AJ40+AL40)/2,IF(AL40=0,(AK40+AJ40)/2,FLOOR(((AJ40+AK40+AL40)/3),0.1))))))))</f>
        <v/>
      </c>
      <c r="AN40" s="21" t="n"/>
      <c r="AO40" s="21" t="n"/>
      <c r="AP40" s="27">
        <f>SUM(AN40:AO40)</f>
        <v/>
      </c>
      <c r="AQ40" s="28" t="n"/>
      <c r="AR40" s="30" t="n"/>
      <c r="AS40" s="29">
        <f>IF(AND(AP40=0,AQ40=0,AR40=0),0,IF(AND(AP40=0,AQ40=0),AR40/1,IF(AND(AP40=0,AR40=0),AQ40/1,IF(AND(AQ40=0,AR40=0),AP40/1,IF(AP40=0,FLOOR((AQ40+AR40)/2,0.1),IF(AQ40=0,(AP40+AR40)/2,IF(AR40=0,(AQ40+AP40)/2,FLOOR(((AP40+AQ40+AR40)/3),0.1))))))))</f>
        <v/>
      </c>
      <c r="AT40" s="21" t="n"/>
      <c r="AU40" s="21" t="n"/>
      <c r="AV40" s="27">
        <f>SUM(AT40:AU40)</f>
        <v/>
      </c>
      <c r="AW40" s="28" t="n"/>
      <c r="AX40" s="30" t="n"/>
      <c r="AY40" s="29">
        <f>IF(AND(AV40=0,AW40=0,AX40=0),0,IF(AND(AV40=0,AW40=0),AX40/1,IF(AND(AV40=0,AX40=0),AW40/1,IF(AND(AW40=0,AX40=0),AV40/1,IF(AV40=0,FLOOR((AW40+AX40)/2,0.1),IF(AW40=0,(AV40+AX40)/2,IF(AX40=0,(AW40+AV40)/2,FLOOR(((AV40+AW40+AX40)/3),0.1))))))))</f>
        <v/>
      </c>
      <c r="AZ40" s="21" t="n"/>
      <c r="BA40" s="21" t="n"/>
      <c r="BB40" s="27">
        <f>SUM(AZ40:BA40)</f>
        <v/>
      </c>
      <c r="BC40" s="28" t="n"/>
      <c r="BD40" s="28" t="n"/>
      <c r="BE40" s="29">
        <f>IF(AND(BB40=0,BC40=0,BD40=0),0,IF(AND(BB40=0,BC40=0),BD40/1,IF(AND(BB40=0,BD40=0),BC40/1,IF(AND(BC40=0,BD40=0),BB40/1,IF(BB40=0,FLOOR((BC40+BD40)/2,0.1),IF(BC40=0,(BB40+BD40)/2,IF(BD40=0,(BC40+BB40)/2,FLOOR(((BB40+BC40+BD40)/3),0.1))))))))</f>
        <v/>
      </c>
      <c r="BF40" s="21" t="n"/>
      <c r="BG40" s="21" t="n"/>
      <c r="BH40" s="27">
        <f>SUM(BF40:BG40)</f>
        <v/>
      </c>
      <c r="BI40" s="28" t="n"/>
      <c r="BJ40" s="28" t="n"/>
      <c r="BK40" s="29">
        <f>IF(AND(BH40=0,BI40=0,BJ40=0),0,IF(AND(BH40=0,BI40=0),BJ40/1,IF(AND(BH40=0,BJ40=0),BI40/1,IF(AND(BI40=0,BJ40=0),BH40/1,IF(BH40=0,FLOOR((BI40+BJ40)/2,0.1),IF(BI40=0,(BH40+BJ40)/2,IF(BJ40=0,(BI40+BH40)/2,FLOOR(((BH40+BI40+BJ40)/3),0.1))))))))</f>
        <v/>
      </c>
      <c r="BL40" s="21" t="n"/>
      <c r="BM40" s="21" t="n"/>
      <c r="BN40" s="27">
        <f>SUM(BL40:BM40)</f>
        <v/>
      </c>
      <c r="BO40" s="28" t="n"/>
      <c r="BP40" s="31" t="n"/>
      <c r="BQ40" s="29">
        <f>IF(AND(BN40=0,BO40=0,BP40=0),0,IF(AND(BN40=0,BO40=0),BP40/1,IF(AND(BN40=0,BP40=0),BO40/1,IF(AND(BO40=0,BP40=0),BN40/1,IF(BN40=0,FLOOR((BO40+BP40)/2,0.1),IF(BO40=0,(BN40+BP40)/2,IF(BP40=0,(BO40+BN40)/2,FLOOR(((BN40+BO40+BP40)/3),0.1))))))))</f>
        <v/>
      </c>
      <c r="BR40" s="21" t="n"/>
      <c r="BS40" s="21" t="n"/>
      <c r="BT40" s="27">
        <f>SUM(BR40:BS40)</f>
        <v/>
      </c>
      <c r="BU40" s="28" t="n"/>
      <c r="BV40" s="31" t="n"/>
      <c r="BW40" s="29">
        <f>IF(AND(BT40=0,BU40=0,BV40=0),0,IF(AND(BT40=0,BU40=0),BV40/1,IF(AND(BT40=0,BV40=0),BU40/1,IF(AND(BU40=0,BV40=0),BT40/1,IF(BT40=0,FLOOR((BU40+BV40)/2,0.1),IF(BU40=0,(BT40+BV40)/2,IF(BV40=0,(BU40+BT40)/2,FLOOR(((BT40+BU40+BV40)/3),0.1))))))))</f>
        <v/>
      </c>
      <c r="BX40" s="21" t="n"/>
      <c r="BY40" s="21" t="n"/>
      <c r="BZ40" s="27">
        <f>SUM(BX40:BY40)</f>
        <v/>
      </c>
      <c r="CA40" s="28" t="n"/>
      <c r="CB40" s="31" t="n"/>
      <c r="CC40" s="29">
        <f>IF(AND(BZ40=0,CA40=0,CB40=0),0,IF(AND(BZ40=0,CA40=0),CB40/1,IF(AND(BZ40=0,CB40=0),CA40/1,IF(AND(CA40=0,CB40=0),BZ40/1,IF(BZ40=0,FLOOR((CA40+CB40)/2,0.1),IF(CA40=0,(BZ40+CB40)/2,IF(CB40=0,(CA40+BZ40)/2,FLOOR(((BZ40+CA40+CB40)/3),0.1))))))))</f>
        <v/>
      </c>
      <c r="CD40" s="21" t="n"/>
      <c r="CE40" s="21" t="n"/>
      <c r="CF40" s="27">
        <f>SUM(CD40:CE40)</f>
        <v/>
      </c>
      <c r="CG40" s="28" t="n"/>
      <c r="CH40" s="31" t="n"/>
      <c r="CI40" s="29">
        <f>IF(AND(CF40=0,CG40=0,CH40=0),0,IF(AND(CF40=0,CG40=0),CH40/1,IF(AND(CF40=0,CH40=0),CG40/1,IF(AND(CG40=0,CH40=0),CF40/1,IF(CF40=0,FLOOR((CG40+CH40)/2,0.1),IF(CG40=0,(CF40+CH40)/2,IF(CH40=0,(CG40+CF40)/2,FLOOR(((CF40+CG40+CH40)/3),0.1))))))))</f>
        <v/>
      </c>
      <c r="CJ40" s="21" t="n"/>
      <c r="CK40" s="21" t="n"/>
      <c r="CL40" s="27">
        <f>SUM(CJ40:CK40)</f>
        <v/>
      </c>
      <c r="CM40" s="28" t="n"/>
      <c r="CN40" s="31" t="n"/>
      <c r="CO40" s="29">
        <f>IF(AND(CL40=0,CM40=0,CN40=0),0,IF(AND(CL40=0,CM40=0),CN40/1,IF(AND(CL40=0,CN40=0),CM40/1,IF(AND(CM40=0,CN40=0),CL40/1,IF(CL40=0,FLOOR((CM40+CN40)/2,0.1),IF(CM40=0,(CL40+CN40)/2,IF(CN40=0,(CM40+CL40)/2,FLOOR(((CL40+CM40+CN40)/3),0.1))))))))</f>
        <v/>
      </c>
      <c r="CP40" s="21" t="n"/>
      <c r="CQ40" s="21" t="n"/>
      <c r="CR40" s="27">
        <f>SUM(CP40:CQ40)</f>
        <v/>
      </c>
      <c r="CS40" s="28" t="n"/>
      <c r="CT40" s="31" t="n"/>
      <c r="CU40" s="29">
        <f>IF(AND(CR40=0,CS40=0,CT40=0),0,IF(AND(CR40=0,CS40=0),CT40/1,IF(AND(CR40=0,CT40=0),CS40/1,IF(AND(CS40=0,CT40=0),CR40/1,IF(CR40=0,FLOOR((CS40+CT40)/2,0.1),IF(CS40=0,(CR40+CT40)/2,IF(CT40=0,(CS40+CR40)/2,FLOOR(((CR40+CS40+CT40)/3),0.1))))))))</f>
        <v/>
      </c>
      <c r="CV40" s="21" t="n"/>
      <c r="CW40" s="21" t="n"/>
      <c r="CX40" s="27">
        <f>SUM(CV40:CW40)</f>
        <v/>
      </c>
      <c r="CY40" s="28" t="n"/>
      <c r="CZ40" s="31" t="n"/>
      <c r="DA40" s="29">
        <f>IF(AND(CX40=0,CY40=0,CZ40=0),0,IF(AND(CX40=0,CY40=0),CZ40/1,IF(AND(CX40=0,CZ40=0),CY40/1,IF(AND(CY40=0,CZ40=0),CX40/1,IF(CX40=0,FLOOR((CY40+CZ40)/2,0.1),IF(CY40=0,(CX40+CZ40)/2,IF(CZ40=0,(CY40+CX40)/2,FLOOR(((CX40+CY40+CZ40)/3),0.1))))))))</f>
        <v/>
      </c>
      <c r="DB40" s="21" t="n"/>
      <c r="DC40" s="21" t="n"/>
      <c r="DD40" s="27">
        <f>SUM(DB40:DC40)</f>
        <v/>
      </c>
      <c r="DE40" s="28" t="n"/>
      <c r="DF40" s="31" t="n"/>
      <c r="DG40" s="29">
        <f>IF(AND(DD40=0,DE40=0,DF40=0),0,IF(AND(DD40=0,DE40=0),DF40/1,IF(AND(DD40=0,DF40=0),DE40/1,IF(AND(DE40=0,DF40=0),DD40/1,IF(DD40=0,FLOOR((DE40+DF40)/2,0.1),IF(DE40=0,(DD40+DF40)/2,IF(DF40=0,(DE40+DD40)/2,FLOOR(((DD40+DE40+DF40)/3),0.1))))))))</f>
        <v/>
      </c>
      <c r="DH40" s="34">
        <f>SUM(O40,U40,AA40,AG40,AM40,AS40,AY40,BE40,BK40,BQ40,BW40,CC40,CI40,CO40,CU40,DA40,DG40)</f>
        <v/>
      </c>
      <c r="DI40" s="39">
        <f>RANK(DH40,DH$4:DH$503)</f>
        <v/>
      </c>
      <c r="DJ40" s="40" t="inlineStr">
        <is>
          <t>CHOOSE RATING</t>
        </is>
      </c>
      <c r="DK40" s="40" t="inlineStr">
        <is>
          <t>CHOOSE RATING</t>
        </is>
      </c>
      <c r="DL40" s="40" t="inlineStr">
        <is>
          <t>CHOOSE RATING</t>
        </is>
      </c>
      <c r="DM40" s="40" t="inlineStr">
        <is>
          <t>CHOOSE RATING</t>
        </is>
      </c>
      <c r="DN40" s="40" t="inlineStr">
        <is>
          <t>CHOOSE RATING</t>
        </is>
      </c>
      <c r="DO40" s="40" t="inlineStr">
        <is>
          <t>CHOOSE RATING</t>
        </is>
      </c>
      <c r="DP40" s="40" t="inlineStr">
        <is>
          <t>CHOOSE RATING</t>
        </is>
      </c>
      <c r="DQ40" s="40" t="inlineStr">
        <is>
          <t>CHOOSE RATING</t>
        </is>
      </c>
      <c r="DR40" s="43" t="inlineStr">
        <is>
          <t>2024/2025</t>
        </is>
      </c>
      <c r="DS40" s="45" t="inlineStr">
        <is>
          <t>THIRD</t>
        </is>
      </c>
      <c r="DT40" s="40" t="inlineStr">
        <is>
          <t>CHOOSE RATING</t>
        </is>
      </c>
      <c r="DU40" s="40" t="inlineStr">
        <is>
          <t>CHOOSE RATING</t>
        </is>
      </c>
      <c r="DV40" s="40" t="inlineStr">
        <is>
          <t>CHOOSE RATING</t>
        </is>
      </c>
      <c r="DW40" s="40" t="inlineStr">
        <is>
          <t>CHOOSE RATING</t>
        </is>
      </c>
      <c r="DX40" s="40" t="inlineStr">
        <is>
          <t>CHOOSE RATING</t>
        </is>
      </c>
      <c r="DY40" s="40" t="inlineStr">
        <is>
          <t>CHOOSE RATING</t>
        </is>
      </c>
      <c r="DZ40" s="53" t="inlineStr">
        <is>
          <t>CHOOSE RATING</t>
        </is>
      </c>
      <c r="EA40" s="54" t="inlineStr">
        <is>
          <t>Add the Tutor's Comment . . .</t>
        </is>
      </c>
      <c r="EB40" s="55" t="inlineStr">
        <is>
          <t>Choose Principals comment</t>
        </is>
      </c>
      <c r="EC40" s="56" t="n"/>
      <c r="ED40" s="57" t="inlineStr">
        <is>
          <t>Next Term Begins on Monday, 22nd September, 2025</t>
        </is>
      </c>
    </row>
    <row r="41" ht="30.6" customHeight="1" s="6">
      <c r="A41" s="18" t="n">
        <v>38</v>
      </c>
      <c r="B41" s="19" t="n"/>
      <c r="C41" s="20" t="n"/>
      <c r="D41" s="128" t="n"/>
      <c r="E41" s="21" t="n"/>
      <c r="F41" s="22" t="n"/>
      <c r="G41" s="22" t="n"/>
      <c r="H41" s="22" t="n"/>
      <c r="I41" s="26">
        <f>G41-H41</f>
        <v/>
      </c>
      <c r="J41" s="21" t="n"/>
      <c r="K41" s="21" t="n"/>
      <c r="L41" s="27">
        <f>SUM(J41:K41)</f>
        <v/>
      </c>
      <c r="M41" s="28" t="n"/>
      <c r="N41" s="28" t="n"/>
      <c r="O41" s="29">
        <f>IF(AND(L41=0,M41=0,N41=0),0,IF(AND(L41=0,M41=0),N41/1,IF(AND(L41=0,N41=0),M41/1,IF(AND(M41=0,N41=0),L41/1,IF(L41=0,FLOOR((M41+N41)/2,0.1),IF(M41=0,(L41+N41)/2,IF(N41=0,(M41+L41)/2,FLOOR(((L41+M41+N41)/3),0.1))))))))</f>
        <v/>
      </c>
      <c r="P41" s="21" t="n"/>
      <c r="Q41" s="21" t="n"/>
      <c r="R41" s="27">
        <f>SUM(P41:Q41)</f>
        <v/>
      </c>
      <c r="S41" s="28" t="n"/>
      <c r="T41" s="28" t="n"/>
      <c r="U41" s="29">
        <f>IF(AND(R41=0,S41=0,T41=0),0,IF(AND(R41=0,S41=0),T41/1,IF(AND(R41=0,T41=0),S41/1,IF(AND(S41=0,T41=0),R41/1,IF(R41=0,FLOOR((S41+T41)/2,0.1),IF(S41=0,(R41+T41)/2,IF(T41=0,(S41+R41)/2,FLOOR(((R41+S41+T41)/3),0.1))))))))</f>
        <v/>
      </c>
      <c r="V41" s="21" t="n"/>
      <c r="W41" s="21" t="n"/>
      <c r="X41" s="27">
        <f>SUM(V41:W41)</f>
        <v/>
      </c>
      <c r="Y41" s="28" t="n"/>
      <c r="Z41" s="28" t="n"/>
      <c r="AA41" s="29">
        <f>IF(AND(X41=0,Y41=0,Z41=0),0,IF(AND(X41=0,Y41=0),Z41/1,IF(AND(X41=0,Z41=0),Y41/1,IF(AND(Y41=0,Z41=0),X41/1,IF(X41=0,FLOOR((Y41+Z41)/2,0.1),IF(Y41=0,(X41+Z41)/2,IF(Z41=0,(Y41+X41)/2,FLOOR(((X41+Y41+Z41)/3),0.1))))))))</f>
        <v/>
      </c>
      <c r="AB41" s="21" t="n"/>
      <c r="AC41" s="21" t="n"/>
      <c r="AD41" s="27">
        <f>SUM(AB41:AC41)</f>
        <v/>
      </c>
      <c r="AE41" s="28" t="n"/>
      <c r="AF41" s="28" t="n"/>
      <c r="AG41" s="29">
        <f>IF(AND(AD41=0,AE41=0,AF41=0),0,IF(AND(AD41=0,AE41=0),AF41/1,IF(AND(AD41=0,AF41=0),AE41/1,IF(AND(AE41=0,AF41=0),AD41/1,IF(AD41=0,FLOOR((AE41+AF41)/2,0.1),IF(AE41=0,(AD41+AF41)/2,IF(AF41=0,(AE41+AD41)/2,FLOOR(((AD41+AE41+AF41)/3),0.1))))))))</f>
        <v/>
      </c>
      <c r="AH41" s="21" t="n"/>
      <c r="AI41" s="21" t="n"/>
      <c r="AJ41" s="27">
        <f>SUM(AH41:AI41)</f>
        <v/>
      </c>
      <c r="AK41" s="28" t="n"/>
      <c r="AL41" s="28" t="n"/>
      <c r="AM41" s="29">
        <f>IF(AND(AJ41=0,AK41=0,AL41=0),0,IF(AND(AJ41=0,AK41=0),AL41/1,IF(AND(AJ41=0,AL41=0),AK41/1,IF(AND(AK41=0,AL41=0),AJ41/1,IF(AJ41=0,FLOOR((AK41+AL41)/2,0.1),IF(AK41=0,(AJ41+AL41)/2,IF(AL41=0,(AK41+AJ41)/2,FLOOR(((AJ41+AK41+AL41)/3),0.1))))))))</f>
        <v/>
      </c>
      <c r="AN41" s="21" t="n"/>
      <c r="AO41" s="21" t="n"/>
      <c r="AP41" s="27">
        <f>SUM(AN41:AO41)</f>
        <v/>
      </c>
      <c r="AQ41" s="28" t="n"/>
      <c r="AR41" s="30" t="n"/>
      <c r="AS41" s="29">
        <f>IF(AND(AP41=0,AQ41=0,AR41=0),0,IF(AND(AP41=0,AQ41=0),AR41/1,IF(AND(AP41=0,AR41=0),AQ41/1,IF(AND(AQ41=0,AR41=0),AP41/1,IF(AP41=0,FLOOR((AQ41+AR41)/2,0.1),IF(AQ41=0,(AP41+AR41)/2,IF(AR41=0,(AQ41+AP41)/2,FLOOR(((AP41+AQ41+AR41)/3),0.1))))))))</f>
        <v/>
      </c>
      <c r="AT41" s="21" t="n"/>
      <c r="AU41" s="21" t="n"/>
      <c r="AV41" s="27">
        <f>SUM(AT41:AU41)</f>
        <v/>
      </c>
      <c r="AW41" s="28" t="n"/>
      <c r="AX41" s="30" t="n"/>
      <c r="AY41" s="29">
        <f>IF(AND(AV41=0,AW41=0,AX41=0),0,IF(AND(AV41=0,AW41=0),AX41/1,IF(AND(AV41=0,AX41=0),AW41/1,IF(AND(AW41=0,AX41=0),AV41/1,IF(AV41=0,FLOOR((AW41+AX41)/2,0.1),IF(AW41=0,(AV41+AX41)/2,IF(AX41=0,(AW41+AV41)/2,FLOOR(((AV41+AW41+AX41)/3),0.1))))))))</f>
        <v/>
      </c>
      <c r="AZ41" s="21" t="n"/>
      <c r="BA41" s="21" t="n"/>
      <c r="BB41" s="27">
        <f>SUM(AZ41:BA41)</f>
        <v/>
      </c>
      <c r="BC41" s="28" t="n"/>
      <c r="BD41" s="28" t="n"/>
      <c r="BE41" s="29">
        <f>IF(AND(BB41=0,BC41=0,BD41=0),0,IF(AND(BB41=0,BC41=0),BD41/1,IF(AND(BB41=0,BD41=0),BC41/1,IF(AND(BC41=0,BD41=0),BB41/1,IF(BB41=0,FLOOR((BC41+BD41)/2,0.1),IF(BC41=0,(BB41+BD41)/2,IF(BD41=0,(BC41+BB41)/2,FLOOR(((BB41+BC41+BD41)/3),0.1))))))))</f>
        <v/>
      </c>
      <c r="BF41" s="21" t="n"/>
      <c r="BG41" s="21" t="n"/>
      <c r="BH41" s="27">
        <f>SUM(BF41:BG41)</f>
        <v/>
      </c>
      <c r="BI41" s="28" t="n"/>
      <c r="BJ41" s="28" t="n"/>
      <c r="BK41" s="29">
        <f>IF(AND(BH41=0,BI41=0,BJ41=0),0,IF(AND(BH41=0,BI41=0),BJ41/1,IF(AND(BH41=0,BJ41=0),BI41/1,IF(AND(BI41=0,BJ41=0),BH41/1,IF(BH41=0,FLOOR((BI41+BJ41)/2,0.1),IF(BI41=0,(BH41+BJ41)/2,IF(BJ41=0,(BI41+BH41)/2,FLOOR(((BH41+BI41+BJ41)/3),0.1))))))))</f>
        <v/>
      </c>
      <c r="BL41" s="21" t="n"/>
      <c r="BM41" s="21" t="n"/>
      <c r="BN41" s="27">
        <f>SUM(BL41:BM41)</f>
        <v/>
      </c>
      <c r="BO41" s="28" t="n"/>
      <c r="BP41" s="31" t="n"/>
      <c r="BQ41" s="29">
        <f>IF(AND(BN41=0,BO41=0,BP41=0),0,IF(AND(BN41=0,BO41=0),BP41/1,IF(AND(BN41=0,BP41=0),BO41/1,IF(AND(BO41=0,BP41=0),BN41/1,IF(BN41=0,FLOOR((BO41+BP41)/2,0.1),IF(BO41=0,(BN41+BP41)/2,IF(BP41=0,(BO41+BN41)/2,FLOOR(((BN41+BO41+BP41)/3),0.1))))))))</f>
        <v/>
      </c>
      <c r="BR41" s="21" t="n"/>
      <c r="BS41" s="21" t="n"/>
      <c r="BT41" s="27">
        <f>SUM(BR41:BS41)</f>
        <v/>
      </c>
      <c r="BU41" s="28" t="n"/>
      <c r="BV41" s="31" t="n"/>
      <c r="BW41" s="29">
        <f>IF(AND(BT41=0,BU41=0,BV41=0),0,IF(AND(BT41=0,BU41=0),BV41/1,IF(AND(BT41=0,BV41=0),BU41/1,IF(AND(BU41=0,BV41=0),BT41/1,IF(BT41=0,FLOOR((BU41+BV41)/2,0.1),IF(BU41=0,(BT41+BV41)/2,IF(BV41=0,(BU41+BT41)/2,FLOOR(((BT41+BU41+BV41)/3),0.1))))))))</f>
        <v/>
      </c>
      <c r="BX41" s="21" t="n"/>
      <c r="BY41" s="21" t="n"/>
      <c r="BZ41" s="27">
        <f>SUM(BX41:BY41)</f>
        <v/>
      </c>
      <c r="CA41" s="28" t="n"/>
      <c r="CB41" s="31" t="n"/>
      <c r="CC41" s="29">
        <f>IF(AND(BZ41=0,CA41=0,CB41=0),0,IF(AND(BZ41=0,CA41=0),CB41/1,IF(AND(BZ41=0,CB41=0),CA41/1,IF(AND(CA41=0,CB41=0),BZ41/1,IF(BZ41=0,FLOOR((CA41+CB41)/2,0.1),IF(CA41=0,(BZ41+CB41)/2,IF(CB41=0,(CA41+BZ41)/2,FLOOR(((BZ41+CA41+CB41)/3),0.1))))))))</f>
        <v/>
      </c>
      <c r="CD41" s="21" t="n"/>
      <c r="CE41" s="21" t="n"/>
      <c r="CF41" s="27">
        <f>SUM(CD41:CE41)</f>
        <v/>
      </c>
      <c r="CG41" s="28" t="n"/>
      <c r="CH41" s="31" t="n"/>
      <c r="CI41" s="29">
        <f>IF(AND(CF41=0,CG41=0,CH41=0),0,IF(AND(CF41=0,CG41=0),CH41/1,IF(AND(CF41=0,CH41=0),CG41/1,IF(AND(CG41=0,CH41=0),CF41/1,IF(CF41=0,FLOOR((CG41+CH41)/2,0.1),IF(CG41=0,(CF41+CH41)/2,IF(CH41=0,(CG41+CF41)/2,FLOOR(((CF41+CG41+CH41)/3),0.1))))))))</f>
        <v/>
      </c>
      <c r="CJ41" s="21" t="n"/>
      <c r="CK41" s="21" t="n"/>
      <c r="CL41" s="27">
        <f>SUM(CJ41:CK41)</f>
        <v/>
      </c>
      <c r="CM41" s="28" t="n"/>
      <c r="CN41" s="31" t="n"/>
      <c r="CO41" s="29">
        <f>IF(AND(CL41=0,CM41=0,CN41=0),0,IF(AND(CL41=0,CM41=0),CN41/1,IF(AND(CL41=0,CN41=0),CM41/1,IF(AND(CM41=0,CN41=0),CL41/1,IF(CL41=0,FLOOR((CM41+CN41)/2,0.1),IF(CM41=0,(CL41+CN41)/2,IF(CN41=0,(CM41+CL41)/2,FLOOR(((CL41+CM41+CN41)/3),0.1))))))))</f>
        <v/>
      </c>
      <c r="CP41" s="21" t="n"/>
      <c r="CQ41" s="21" t="n"/>
      <c r="CR41" s="27">
        <f>SUM(CP41:CQ41)</f>
        <v/>
      </c>
      <c r="CS41" s="28" t="n"/>
      <c r="CT41" s="31" t="n"/>
      <c r="CU41" s="29">
        <f>IF(AND(CR41=0,CS41=0,CT41=0),0,IF(AND(CR41=0,CS41=0),CT41/1,IF(AND(CR41=0,CT41=0),CS41/1,IF(AND(CS41=0,CT41=0),CR41/1,IF(CR41=0,FLOOR((CS41+CT41)/2,0.1),IF(CS41=0,(CR41+CT41)/2,IF(CT41=0,(CS41+CR41)/2,FLOOR(((CR41+CS41+CT41)/3),0.1))))))))</f>
        <v/>
      </c>
      <c r="CV41" s="21" t="n"/>
      <c r="CW41" s="21" t="n"/>
      <c r="CX41" s="27">
        <f>SUM(CV41:CW41)</f>
        <v/>
      </c>
      <c r="CY41" s="28" t="n"/>
      <c r="CZ41" s="31" t="n"/>
      <c r="DA41" s="29">
        <f>IF(AND(CX41=0,CY41=0,CZ41=0),0,IF(AND(CX41=0,CY41=0),CZ41/1,IF(AND(CX41=0,CZ41=0),CY41/1,IF(AND(CY41=0,CZ41=0),CX41/1,IF(CX41=0,FLOOR((CY41+CZ41)/2,0.1),IF(CY41=0,(CX41+CZ41)/2,IF(CZ41=0,(CY41+CX41)/2,FLOOR(((CX41+CY41+CZ41)/3),0.1))))))))</f>
        <v/>
      </c>
      <c r="DB41" s="21" t="n"/>
      <c r="DC41" s="21" t="n"/>
      <c r="DD41" s="27">
        <f>SUM(DB41:DC41)</f>
        <v/>
      </c>
      <c r="DE41" s="28" t="n"/>
      <c r="DF41" s="31" t="n"/>
      <c r="DG41" s="29">
        <f>IF(AND(DD41=0,DE41=0,DF41=0),0,IF(AND(DD41=0,DE41=0),DF41/1,IF(AND(DD41=0,DF41=0),DE41/1,IF(AND(DE41=0,DF41=0),DD41/1,IF(DD41=0,FLOOR((DE41+DF41)/2,0.1),IF(DE41=0,(DD41+DF41)/2,IF(DF41=0,(DE41+DD41)/2,FLOOR(((DD41+DE41+DF41)/3),0.1))))))))</f>
        <v/>
      </c>
      <c r="DH41" s="34">
        <f>SUM(O41,U41,AA41,AG41,AM41,AS41,AY41,BE41,BK41,BQ41,BW41,CC41,CI41,CO41,CU41,DA41,DG41)</f>
        <v/>
      </c>
      <c r="DI41" s="39">
        <f>RANK(DH41,DH$4:DH$503)</f>
        <v/>
      </c>
      <c r="DJ41" s="40" t="inlineStr">
        <is>
          <t>CHOOSE RATING</t>
        </is>
      </c>
      <c r="DK41" s="40" t="inlineStr">
        <is>
          <t>CHOOSE RATING</t>
        </is>
      </c>
      <c r="DL41" s="40" t="inlineStr">
        <is>
          <t>CHOOSE RATING</t>
        </is>
      </c>
      <c r="DM41" s="40" t="inlineStr">
        <is>
          <t>CHOOSE RATING</t>
        </is>
      </c>
      <c r="DN41" s="40" t="inlineStr">
        <is>
          <t>CHOOSE RATING</t>
        </is>
      </c>
      <c r="DO41" s="40" t="inlineStr">
        <is>
          <t>CHOOSE RATING</t>
        </is>
      </c>
      <c r="DP41" s="40" t="inlineStr">
        <is>
          <t>CHOOSE RATING</t>
        </is>
      </c>
      <c r="DQ41" s="40" t="inlineStr">
        <is>
          <t>CHOOSE RATING</t>
        </is>
      </c>
      <c r="DR41" s="43" t="inlineStr">
        <is>
          <t>2024/2025</t>
        </is>
      </c>
      <c r="DS41" s="45" t="inlineStr">
        <is>
          <t>THIRD</t>
        </is>
      </c>
      <c r="DT41" s="40" t="inlineStr">
        <is>
          <t>CHOOSE RATING</t>
        </is>
      </c>
      <c r="DU41" s="40" t="inlineStr">
        <is>
          <t>CHOOSE RATING</t>
        </is>
      </c>
      <c r="DV41" s="40" t="inlineStr">
        <is>
          <t>CHOOSE RATING</t>
        </is>
      </c>
      <c r="DW41" s="40" t="inlineStr">
        <is>
          <t>CHOOSE RATING</t>
        </is>
      </c>
      <c r="DX41" s="40" t="inlineStr">
        <is>
          <t>CHOOSE RATING</t>
        </is>
      </c>
      <c r="DY41" s="40" t="inlineStr">
        <is>
          <t>CHOOSE RATING</t>
        </is>
      </c>
      <c r="DZ41" s="53" t="inlineStr">
        <is>
          <t>CHOOSE RATING</t>
        </is>
      </c>
      <c r="EA41" s="54" t="inlineStr">
        <is>
          <t>Add the Tutor's Comment . . .</t>
        </is>
      </c>
      <c r="EB41" s="55" t="inlineStr">
        <is>
          <t>Choose Principals comment</t>
        </is>
      </c>
      <c r="EC41" s="56" t="n"/>
      <c r="ED41" s="57" t="inlineStr">
        <is>
          <t>Next Term Begins on Monday, 22nd September, 2025</t>
        </is>
      </c>
    </row>
    <row r="42" ht="30.6" customHeight="1" s="6">
      <c r="A42" s="18" t="n">
        <v>39</v>
      </c>
      <c r="B42" s="19" t="n"/>
      <c r="C42" s="20" t="n"/>
      <c r="D42" s="128" t="n"/>
      <c r="E42" s="21" t="n"/>
      <c r="F42" s="22" t="n"/>
      <c r="G42" s="22" t="n"/>
      <c r="H42" s="22" t="n"/>
      <c r="I42" s="26">
        <f>G42-H42</f>
        <v/>
      </c>
      <c r="J42" s="21" t="n"/>
      <c r="K42" s="21" t="n"/>
      <c r="L42" s="27">
        <f>SUM(J42:K42)</f>
        <v/>
      </c>
      <c r="M42" s="28" t="n"/>
      <c r="N42" s="28" t="n"/>
      <c r="O42" s="29">
        <f>IF(AND(L42=0,M42=0,N42=0),0,IF(AND(L42=0,M42=0),N42/1,IF(AND(L42=0,N42=0),M42/1,IF(AND(M42=0,N42=0),L42/1,IF(L42=0,FLOOR((M42+N42)/2,0.1),IF(M42=0,(L42+N42)/2,IF(N42=0,(M42+L42)/2,FLOOR(((L42+M42+N42)/3),0.1))))))))</f>
        <v/>
      </c>
      <c r="P42" s="21" t="n"/>
      <c r="Q42" s="21" t="n"/>
      <c r="R42" s="27">
        <f>SUM(P42:Q42)</f>
        <v/>
      </c>
      <c r="S42" s="28" t="n"/>
      <c r="T42" s="28" t="n"/>
      <c r="U42" s="29">
        <f>IF(AND(R42=0,S42=0,T42=0),0,IF(AND(R42=0,S42=0),T42/1,IF(AND(R42=0,T42=0),S42/1,IF(AND(S42=0,T42=0),R42/1,IF(R42=0,FLOOR((S42+T42)/2,0.1),IF(S42=0,(R42+T42)/2,IF(T42=0,(S42+R42)/2,FLOOR(((R42+S42+T42)/3),0.1))))))))</f>
        <v/>
      </c>
      <c r="V42" s="21" t="n"/>
      <c r="W42" s="21" t="n"/>
      <c r="X42" s="27">
        <f>SUM(V42:W42)</f>
        <v/>
      </c>
      <c r="Y42" s="28" t="n"/>
      <c r="Z42" s="28" t="n"/>
      <c r="AA42" s="29">
        <f>IF(AND(X42=0,Y42=0,Z42=0),0,IF(AND(X42=0,Y42=0),Z42/1,IF(AND(X42=0,Z42=0),Y42/1,IF(AND(Y42=0,Z42=0),X42/1,IF(X42=0,FLOOR((Y42+Z42)/2,0.1),IF(Y42=0,(X42+Z42)/2,IF(Z42=0,(Y42+X42)/2,FLOOR(((X42+Y42+Z42)/3),0.1))))))))</f>
        <v/>
      </c>
      <c r="AB42" s="21" t="n"/>
      <c r="AC42" s="21" t="n"/>
      <c r="AD42" s="27">
        <f>SUM(AB42:AC42)</f>
        <v/>
      </c>
      <c r="AE42" s="28" t="n"/>
      <c r="AF42" s="28" t="n"/>
      <c r="AG42" s="29">
        <f>IF(AND(AD42=0,AE42=0,AF42=0),0,IF(AND(AD42=0,AE42=0),AF42/1,IF(AND(AD42=0,AF42=0),AE42/1,IF(AND(AE42=0,AF42=0),AD42/1,IF(AD42=0,FLOOR((AE42+AF42)/2,0.1),IF(AE42=0,(AD42+AF42)/2,IF(AF42=0,(AE42+AD42)/2,FLOOR(((AD42+AE42+AF42)/3),0.1))))))))</f>
        <v/>
      </c>
      <c r="AH42" s="21" t="n"/>
      <c r="AI42" s="21" t="n"/>
      <c r="AJ42" s="27">
        <f>SUM(AH42:AI42)</f>
        <v/>
      </c>
      <c r="AK42" s="28" t="n"/>
      <c r="AL42" s="28" t="n"/>
      <c r="AM42" s="29">
        <f>IF(AND(AJ42=0,AK42=0,AL42=0),0,IF(AND(AJ42=0,AK42=0),AL42/1,IF(AND(AJ42=0,AL42=0),AK42/1,IF(AND(AK42=0,AL42=0),AJ42/1,IF(AJ42=0,FLOOR((AK42+AL42)/2,0.1),IF(AK42=0,(AJ42+AL42)/2,IF(AL42=0,(AK42+AJ42)/2,FLOOR(((AJ42+AK42+AL42)/3),0.1))))))))</f>
        <v/>
      </c>
      <c r="AN42" s="21" t="n"/>
      <c r="AO42" s="21" t="n"/>
      <c r="AP42" s="27">
        <f>SUM(AN42:AO42)</f>
        <v/>
      </c>
      <c r="AQ42" s="28" t="n"/>
      <c r="AR42" s="30" t="n"/>
      <c r="AS42" s="29">
        <f>IF(AND(AP42=0,AQ42=0,AR42=0),0,IF(AND(AP42=0,AQ42=0),AR42/1,IF(AND(AP42=0,AR42=0),AQ42/1,IF(AND(AQ42=0,AR42=0),AP42/1,IF(AP42=0,FLOOR((AQ42+AR42)/2,0.1),IF(AQ42=0,(AP42+AR42)/2,IF(AR42=0,(AQ42+AP42)/2,FLOOR(((AP42+AQ42+AR42)/3),0.1))))))))</f>
        <v/>
      </c>
      <c r="AT42" s="21" t="n"/>
      <c r="AU42" s="21" t="n"/>
      <c r="AV42" s="27">
        <f>SUM(AT42:AU42)</f>
        <v/>
      </c>
      <c r="AW42" s="28" t="n"/>
      <c r="AX42" s="30" t="n"/>
      <c r="AY42" s="29">
        <f>IF(AND(AV42=0,AW42=0,AX42=0),0,IF(AND(AV42=0,AW42=0),AX42/1,IF(AND(AV42=0,AX42=0),AW42/1,IF(AND(AW42=0,AX42=0),AV42/1,IF(AV42=0,FLOOR((AW42+AX42)/2,0.1),IF(AW42=0,(AV42+AX42)/2,IF(AX42=0,(AW42+AV42)/2,FLOOR(((AV42+AW42+AX42)/3),0.1))))))))</f>
        <v/>
      </c>
      <c r="AZ42" s="21" t="n"/>
      <c r="BA42" s="21" t="n"/>
      <c r="BB42" s="27">
        <f>SUM(AZ42:BA42)</f>
        <v/>
      </c>
      <c r="BC42" s="28" t="n"/>
      <c r="BD42" s="28" t="n"/>
      <c r="BE42" s="29">
        <f>IF(AND(BB42=0,BC42=0,BD42=0),0,IF(AND(BB42=0,BC42=0),BD42/1,IF(AND(BB42=0,BD42=0),BC42/1,IF(AND(BC42=0,BD42=0),BB42/1,IF(BB42=0,FLOOR((BC42+BD42)/2,0.1),IF(BC42=0,(BB42+BD42)/2,IF(BD42=0,(BC42+BB42)/2,FLOOR(((BB42+BC42+BD42)/3),0.1))))))))</f>
        <v/>
      </c>
      <c r="BF42" s="21" t="n"/>
      <c r="BG42" s="21" t="n"/>
      <c r="BH42" s="27">
        <f>SUM(BF42:BG42)</f>
        <v/>
      </c>
      <c r="BI42" s="28" t="n"/>
      <c r="BJ42" s="28" t="n"/>
      <c r="BK42" s="29">
        <f>IF(AND(BH42=0,BI42=0,BJ42=0),0,IF(AND(BH42=0,BI42=0),BJ42/1,IF(AND(BH42=0,BJ42=0),BI42/1,IF(AND(BI42=0,BJ42=0),BH42/1,IF(BH42=0,FLOOR((BI42+BJ42)/2,0.1),IF(BI42=0,(BH42+BJ42)/2,IF(BJ42=0,(BI42+BH42)/2,FLOOR(((BH42+BI42+BJ42)/3),0.1))))))))</f>
        <v/>
      </c>
      <c r="BL42" s="21" t="n"/>
      <c r="BM42" s="21" t="n"/>
      <c r="BN42" s="27">
        <f>SUM(BL42:BM42)</f>
        <v/>
      </c>
      <c r="BO42" s="28" t="n"/>
      <c r="BP42" s="31" t="n"/>
      <c r="BQ42" s="29">
        <f>IF(AND(BN42=0,BO42=0,BP42=0),0,IF(AND(BN42=0,BO42=0),BP42/1,IF(AND(BN42=0,BP42=0),BO42/1,IF(AND(BO42=0,BP42=0),BN42/1,IF(BN42=0,FLOOR((BO42+BP42)/2,0.1),IF(BO42=0,(BN42+BP42)/2,IF(BP42=0,(BO42+BN42)/2,FLOOR(((BN42+BO42+BP42)/3),0.1))))))))</f>
        <v/>
      </c>
      <c r="BR42" s="21" t="n"/>
      <c r="BS42" s="21" t="n"/>
      <c r="BT42" s="27">
        <f>SUM(BR42:BS42)</f>
        <v/>
      </c>
      <c r="BU42" s="28" t="n"/>
      <c r="BV42" s="31" t="n"/>
      <c r="BW42" s="29">
        <f>IF(AND(BT42=0,BU42=0,BV42=0),0,IF(AND(BT42=0,BU42=0),BV42/1,IF(AND(BT42=0,BV42=0),BU42/1,IF(AND(BU42=0,BV42=0),BT42/1,IF(BT42=0,FLOOR((BU42+BV42)/2,0.1),IF(BU42=0,(BT42+BV42)/2,IF(BV42=0,(BU42+BT42)/2,FLOOR(((BT42+BU42+BV42)/3),0.1))))))))</f>
        <v/>
      </c>
      <c r="BX42" s="21" t="n"/>
      <c r="BY42" s="21" t="n"/>
      <c r="BZ42" s="27">
        <f>SUM(BX42:BY42)</f>
        <v/>
      </c>
      <c r="CA42" s="28" t="n"/>
      <c r="CB42" s="31" t="n"/>
      <c r="CC42" s="29">
        <f>IF(AND(BZ42=0,CA42=0,CB42=0),0,IF(AND(BZ42=0,CA42=0),CB42/1,IF(AND(BZ42=0,CB42=0),CA42/1,IF(AND(CA42=0,CB42=0),BZ42/1,IF(BZ42=0,FLOOR((CA42+CB42)/2,0.1),IF(CA42=0,(BZ42+CB42)/2,IF(CB42=0,(CA42+BZ42)/2,FLOOR(((BZ42+CA42+CB42)/3),0.1))))))))</f>
        <v/>
      </c>
      <c r="CD42" s="21" t="n"/>
      <c r="CE42" s="21" t="n"/>
      <c r="CF42" s="27">
        <f>SUM(CD42:CE42)</f>
        <v/>
      </c>
      <c r="CG42" s="28" t="n"/>
      <c r="CH42" s="31" t="n"/>
      <c r="CI42" s="29">
        <f>IF(AND(CF42=0,CG42=0,CH42=0),0,IF(AND(CF42=0,CG42=0),CH42/1,IF(AND(CF42=0,CH42=0),CG42/1,IF(AND(CG42=0,CH42=0),CF42/1,IF(CF42=0,FLOOR((CG42+CH42)/2,0.1),IF(CG42=0,(CF42+CH42)/2,IF(CH42=0,(CG42+CF42)/2,FLOOR(((CF42+CG42+CH42)/3),0.1))))))))</f>
        <v/>
      </c>
      <c r="CJ42" s="21" t="n"/>
      <c r="CK42" s="21" t="n"/>
      <c r="CL42" s="27">
        <f>SUM(CJ42:CK42)</f>
        <v/>
      </c>
      <c r="CM42" s="28" t="n"/>
      <c r="CN42" s="31" t="n"/>
      <c r="CO42" s="29">
        <f>IF(AND(CL42=0,CM42=0,CN42=0),0,IF(AND(CL42=0,CM42=0),CN42/1,IF(AND(CL42=0,CN42=0),CM42/1,IF(AND(CM42=0,CN42=0),CL42/1,IF(CL42=0,FLOOR((CM42+CN42)/2,0.1),IF(CM42=0,(CL42+CN42)/2,IF(CN42=0,(CM42+CL42)/2,FLOOR(((CL42+CM42+CN42)/3),0.1))))))))</f>
        <v/>
      </c>
      <c r="CP42" s="21" t="n"/>
      <c r="CQ42" s="21" t="n"/>
      <c r="CR42" s="27">
        <f>SUM(CP42:CQ42)</f>
        <v/>
      </c>
      <c r="CS42" s="28" t="n"/>
      <c r="CT42" s="31" t="n"/>
      <c r="CU42" s="29">
        <f>IF(AND(CR42=0,CS42=0,CT42=0),0,IF(AND(CR42=0,CS42=0),CT42/1,IF(AND(CR42=0,CT42=0),CS42/1,IF(AND(CS42=0,CT42=0),CR42/1,IF(CR42=0,FLOOR((CS42+CT42)/2,0.1),IF(CS42=0,(CR42+CT42)/2,IF(CT42=0,(CS42+CR42)/2,FLOOR(((CR42+CS42+CT42)/3),0.1))))))))</f>
        <v/>
      </c>
      <c r="CV42" s="21" t="n"/>
      <c r="CW42" s="21" t="n"/>
      <c r="CX42" s="27">
        <f>SUM(CV42:CW42)</f>
        <v/>
      </c>
      <c r="CY42" s="28" t="n"/>
      <c r="CZ42" s="31" t="n"/>
      <c r="DA42" s="29">
        <f>IF(AND(CX42=0,CY42=0,CZ42=0),0,IF(AND(CX42=0,CY42=0),CZ42/1,IF(AND(CX42=0,CZ42=0),CY42/1,IF(AND(CY42=0,CZ42=0),CX42/1,IF(CX42=0,FLOOR((CY42+CZ42)/2,0.1),IF(CY42=0,(CX42+CZ42)/2,IF(CZ42=0,(CY42+CX42)/2,FLOOR(((CX42+CY42+CZ42)/3),0.1))))))))</f>
        <v/>
      </c>
      <c r="DB42" s="21" t="n"/>
      <c r="DC42" s="21" t="n"/>
      <c r="DD42" s="27">
        <f>SUM(DB42:DC42)</f>
        <v/>
      </c>
      <c r="DE42" s="28" t="n"/>
      <c r="DF42" s="31" t="n"/>
      <c r="DG42" s="29">
        <f>IF(AND(DD42=0,DE42=0,DF42=0),0,IF(AND(DD42=0,DE42=0),DF42/1,IF(AND(DD42=0,DF42=0),DE42/1,IF(AND(DE42=0,DF42=0),DD42/1,IF(DD42=0,FLOOR((DE42+DF42)/2,0.1),IF(DE42=0,(DD42+DF42)/2,IF(DF42=0,(DE42+DD42)/2,FLOOR(((DD42+DE42+DF42)/3),0.1))))))))</f>
        <v/>
      </c>
      <c r="DH42" s="34">
        <f>SUM(O42,U42,AA42,AG42,AM42,AS42,AY42,BE42,BK42,BQ42,BW42,CC42,CI42,CO42,CU42,DA42,DG42)</f>
        <v/>
      </c>
      <c r="DI42" s="39">
        <f>RANK(DH42,DH$4:DH$503)</f>
        <v/>
      </c>
      <c r="DJ42" s="40" t="inlineStr">
        <is>
          <t>CHOOSE RATING</t>
        </is>
      </c>
      <c r="DK42" s="40" t="inlineStr">
        <is>
          <t>CHOOSE RATING</t>
        </is>
      </c>
      <c r="DL42" s="40" t="inlineStr">
        <is>
          <t>CHOOSE RATING</t>
        </is>
      </c>
      <c r="DM42" s="40" t="inlineStr">
        <is>
          <t>CHOOSE RATING</t>
        </is>
      </c>
      <c r="DN42" s="40" t="inlineStr">
        <is>
          <t>CHOOSE RATING</t>
        </is>
      </c>
      <c r="DO42" s="40" t="inlineStr">
        <is>
          <t>CHOOSE RATING</t>
        </is>
      </c>
      <c r="DP42" s="40" t="inlineStr">
        <is>
          <t>CHOOSE RATING</t>
        </is>
      </c>
      <c r="DQ42" s="40" t="inlineStr">
        <is>
          <t>CHOOSE RATING</t>
        </is>
      </c>
      <c r="DR42" s="43" t="inlineStr">
        <is>
          <t>2024/2025</t>
        </is>
      </c>
      <c r="DS42" s="45" t="inlineStr">
        <is>
          <t>THIRD</t>
        </is>
      </c>
      <c r="DT42" s="40" t="inlineStr">
        <is>
          <t>CHOOSE RATING</t>
        </is>
      </c>
      <c r="DU42" s="40" t="inlineStr">
        <is>
          <t>CHOOSE RATING</t>
        </is>
      </c>
      <c r="DV42" s="40" t="inlineStr">
        <is>
          <t>CHOOSE RATING</t>
        </is>
      </c>
      <c r="DW42" s="40" t="inlineStr">
        <is>
          <t>CHOOSE RATING</t>
        </is>
      </c>
      <c r="DX42" s="40" t="inlineStr">
        <is>
          <t>CHOOSE RATING</t>
        </is>
      </c>
      <c r="DY42" s="40" t="inlineStr">
        <is>
          <t>CHOOSE RATING</t>
        </is>
      </c>
      <c r="DZ42" s="53" t="inlineStr">
        <is>
          <t>CHOOSE RATING</t>
        </is>
      </c>
      <c r="EA42" s="54" t="inlineStr">
        <is>
          <t>Add the Tutor's Comment . . .</t>
        </is>
      </c>
      <c r="EB42" s="55" t="inlineStr">
        <is>
          <t>Choose Principals comment</t>
        </is>
      </c>
      <c r="EC42" s="56" t="n"/>
      <c r="ED42" s="57" t="inlineStr">
        <is>
          <t>Next Term Begins on Monday, 22nd September, 2025</t>
        </is>
      </c>
    </row>
    <row r="43" ht="30.6" customHeight="1" s="6">
      <c r="A43" s="18" t="n">
        <v>40</v>
      </c>
      <c r="B43" s="19" t="n"/>
      <c r="C43" s="20" t="n"/>
      <c r="D43" s="128" t="n"/>
      <c r="E43" s="21" t="n"/>
      <c r="F43" s="22" t="n"/>
      <c r="G43" s="22" t="n"/>
      <c r="H43" s="22" t="n"/>
      <c r="I43" s="26">
        <f>G43-H43</f>
        <v/>
      </c>
      <c r="J43" s="21" t="n"/>
      <c r="K43" s="21" t="n"/>
      <c r="L43" s="27">
        <f>SUM(J43:K43)</f>
        <v/>
      </c>
      <c r="M43" s="28" t="n"/>
      <c r="N43" s="28" t="n"/>
      <c r="O43" s="29">
        <f>IF(AND(L43=0,M43=0,N43=0),0,IF(AND(L43=0,M43=0),N43/1,IF(AND(L43=0,N43=0),M43/1,IF(AND(M43=0,N43=0),L43/1,IF(L43=0,FLOOR((M43+N43)/2,0.1),IF(M43=0,(L43+N43)/2,IF(N43=0,(M43+L43)/2,FLOOR(((L43+M43+N43)/3),0.1))))))))</f>
        <v/>
      </c>
      <c r="P43" s="21" t="n"/>
      <c r="Q43" s="21" t="n"/>
      <c r="R43" s="27">
        <f>SUM(P43:Q43)</f>
        <v/>
      </c>
      <c r="S43" s="28" t="n"/>
      <c r="T43" s="28" t="n"/>
      <c r="U43" s="29">
        <f>IF(AND(R43=0,S43=0,T43=0),0,IF(AND(R43=0,S43=0),T43/1,IF(AND(R43=0,T43=0),S43/1,IF(AND(S43=0,T43=0),R43/1,IF(R43=0,FLOOR((S43+T43)/2,0.1),IF(S43=0,(R43+T43)/2,IF(T43=0,(S43+R43)/2,FLOOR(((R43+S43+T43)/3),0.1))))))))</f>
        <v/>
      </c>
      <c r="V43" s="21" t="n"/>
      <c r="W43" s="21" t="n"/>
      <c r="X43" s="27">
        <f>SUM(V43:W43)</f>
        <v/>
      </c>
      <c r="Y43" s="28" t="n"/>
      <c r="Z43" s="28" t="n"/>
      <c r="AA43" s="29">
        <f>IF(AND(X43=0,Y43=0,Z43=0),0,IF(AND(X43=0,Y43=0),Z43/1,IF(AND(X43=0,Z43=0),Y43/1,IF(AND(Y43=0,Z43=0),X43/1,IF(X43=0,FLOOR((Y43+Z43)/2,0.1),IF(Y43=0,(X43+Z43)/2,IF(Z43=0,(Y43+X43)/2,FLOOR(((X43+Y43+Z43)/3),0.1))))))))</f>
        <v/>
      </c>
      <c r="AB43" s="21" t="n"/>
      <c r="AC43" s="21" t="n"/>
      <c r="AD43" s="27">
        <f>SUM(AB43:AC43)</f>
        <v/>
      </c>
      <c r="AE43" s="28" t="n"/>
      <c r="AF43" s="28" t="n"/>
      <c r="AG43" s="29">
        <f>IF(AND(AD43=0,AE43=0,AF43=0),0,IF(AND(AD43=0,AE43=0),AF43/1,IF(AND(AD43=0,AF43=0),AE43/1,IF(AND(AE43=0,AF43=0),AD43/1,IF(AD43=0,FLOOR((AE43+AF43)/2,0.1),IF(AE43=0,(AD43+AF43)/2,IF(AF43=0,(AE43+AD43)/2,FLOOR(((AD43+AE43+AF43)/3),0.1))))))))</f>
        <v/>
      </c>
      <c r="AH43" s="21" t="n"/>
      <c r="AI43" s="21" t="n"/>
      <c r="AJ43" s="27">
        <f>SUM(AH43:AI43)</f>
        <v/>
      </c>
      <c r="AK43" s="28" t="n"/>
      <c r="AL43" s="28" t="n"/>
      <c r="AM43" s="29">
        <f>IF(AND(AJ43=0,AK43=0,AL43=0),0,IF(AND(AJ43=0,AK43=0),AL43/1,IF(AND(AJ43=0,AL43=0),AK43/1,IF(AND(AK43=0,AL43=0),AJ43/1,IF(AJ43=0,FLOOR((AK43+AL43)/2,0.1),IF(AK43=0,(AJ43+AL43)/2,IF(AL43=0,(AK43+AJ43)/2,FLOOR(((AJ43+AK43+AL43)/3),0.1))))))))</f>
        <v/>
      </c>
      <c r="AN43" s="21" t="n"/>
      <c r="AO43" s="21" t="n"/>
      <c r="AP43" s="27">
        <f>SUM(AN43:AO43)</f>
        <v/>
      </c>
      <c r="AQ43" s="28" t="n"/>
      <c r="AR43" s="30" t="n"/>
      <c r="AS43" s="29">
        <f>IF(AND(AP43=0,AQ43=0,AR43=0),0,IF(AND(AP43=0,AQ43=0),AR43/1,IF(AND(AP43=0,AR43=0),AQ43/1,IF(AND(AQ43=0,AR43=0),AP43/1,IF(AP43=0,FLOOR((AQ43+AR43)/2,0.1),IF(AQ43=0,(AP43+AR43)/2,IF(AR43=0,(AQ43+AP43)/2,FLOOR(((AP43+AQ43+AR43)/3),0.1))))))))</f>
        <v/>
      </c>
      <c r="AT43" s="21" t="n"/>
      <c r="AU43" s="21" t="n"/>
      <c r="AV43" s="27">
        <f>SUM(AT43:AU43)</f>
        <v/>
      </c>
      <c r="AW43" s="28" t="n"/>
      <c r="AX43" s="30" t="n"/>
      <c r="AY43" s="29">
        <f>IF(AND(AV43=0,AW43=0,AX43=0),0,IF(AND(AV43=0,AW43=0),AX43/1,IF(AND(AV43=0,AX43=0),AW43/1,IF(AND(AW43=0,AX43=0),AV43/1,IF(AV43=0,FLOOR((AW43+AX43)/2,0.1),IF(AW43=0,(AV43+AX43)/2,IF(AX43=0,(AW43+AV43)/2,FLOOR(((AV43+AW43+AX43)/3),0.1))))))))</f>
        <v/>
      </c>
      <c r="AZ43" s="21" t="n"/>
      <c r="BA43" s="21" t="n"/>
      <c r="BB43" s="27">
        <f>SUM(AZ43:BA43)</f>
        <v/>
      </c>
      <c r="BC43" s="28" t="n"/>
      <c r="BD43" s="28" t="n"/>
      <c r="BE43" s="29">
        <f>IF(AND(BB43=0,BC43=0,BD43=0),0,IF(AND(BB43=0,BC43=0),BD43/1,IF(AND(BB43=0,BD43=0),BC43/1,IF(AND(BC43=0,BD43=0),BB43/1,IF(BB43=0,FLOOR((BC43+BD43)/2,0.1),IF(BC43=0,(BB43+BD43)/2,IF(BD43=0,(BC43+BB43)/2,FLOOR(((BB43+BC43+BD43)/3),0.1))))))))</f>
        <v/>
      </c>
      <c r="BF43" s="21" t="n"/>
      <c r="BG43" s="21" t="n"/>
      <c r="BH43" s="27">
        <f>SUM(BF43:BG43)</f>
        <v/>
      </c>
      <c r="BI43" s="28" t="n"/>
      <c r="BJ43" s="28" t="n"/>
      <c r="BK43" s="29">
        <f>IF(AND(BH43=0,BI43=0,BJ43=0),0,IF(AND(BH43=0,BI43=0),BJ43/1,IF(AND(BH43=0,BJ43=0),BI43/1,IF(AND(BI43=0,BJ43=0),BH43/1,IF(BH43=0,FLOOR((BI43+BJ43)/2,0.1),IF(BI43=0,(BH43+BJ43)/2,IF(BJ43=0,(BI43+BH43)/2,FLOOR(((BH43+BI43+BJ43)/3),0.1))))))))</f>
        <v/>
      </c>
      <c r="BL43" s="21" t="n"/>
      <c r="BM43" s="21" t="n"/>
      <c r="BN43" s="27">
        <f>SUM(BL43:BM43)</f>
        <v/>
      </c>
      <c r="BO43" s="28" t="n"/>
      <c r="BP43" s="31" t="n"/>
      <c r="BQ43" s="29">
        <f>IF(AND(BN43=0,BO43=0,BP43=0),0,IF(AND(BN43=0,BO43=0),BP43/1,IF(AND(BN43=0,BP43=0),BO43/1,IF(AND(BO43=0,BP43=0),BN43/1,IF(BN43=0,FLOOR((BO43+BP43)/2,0.1),IF(BO43=0,(BN43+BP43)/2,IF(BP43=0,(BO43+BN43)/2,FLOOR(((BN43+BO43+BP43)/3),0.1))))))))</f>
        <v/>
      </c>
      <c r="BR43" s="21" t="n"/>
      <c r="BS43" s="21" t="n"/>
      <c r="BT43" s="27">
        <f>SUM(BR43:BS43)</f>
        <v/>
      </c>
      <c r="BU43" s="28" t="n"/>
      <c r="BV43" s="31" t="n"/>
      <c r="BW43" s="29">
        <f>IF(AND(BT43=0,BU43=0,BV43=0),0,IF(AND(BT43=0,BU43=0),BV43/1,IF(AND(BT43=0,BV43=0),BU43/1,IF(AND(BU43=0,BV43=0),BT43/1,IF(BT43=0,FLOOR((BU43+BV43)/2,0.1),IF(BU43=0,(BT43+BV43)/2,IF(BV43=0,(BU43+BT43)/2,FLOOR(((BT43+BU43+BV43)/3),0.1))))))))</f>
        <v/>
      </c>
      <c r="BX43" s="21" t="n"/>
      <c r="BY43" s="21" t="n"/>
      <c r="BZ43" s="27">
        <f>SUM(BX43:BY43)</f>
        <v/>
      </c>
      <c r="CA43" s="28" t="n"/>
      <c r="CB43" s="31" t="n"/>
      <c r="CC43" s="29">
        <f>IF(AND(BZ43=0,CA43=0,CB43=0),0,IF(AND(BZ43=0,CA43=0),CB43/1,IF(AND(BZ43=0,CB43=0),CA43/1,IF(AND(CA43=0,CB43=0),BZ43/1,IF(BZ43=0,FLOOR((CA43+CB43)/2,0.1),IF(CA43=0,(BZ43+CB43)/2,IF(CB43=0,(CA43+BZ43)/2,FLOOR(((BZ43+CA43+CB43)/3),0.1))))))))</f>
        <v/>
      </c>
      <c r="CD43" s="21" t="n"/>
      <c r="CE43" s="21" t="n"/>
      <c r="CF43" s="27">
        <f>SUM(CD43:CE43)</f>
        <v/>
      </c>
      <c r="CG43" s="28" t="n"/>
      <c r="CH43" s="31" t="n"/>
      <c r="CI43" s="29">
        <f>IF(AND(CF43=0,CG43=0,CH43=0),0,IF(AND(CF43=0,CG43=0),CH43/1,IF(AND(CF43=0,CH43=0),CG43/1,IF(AND(CG43=0,CH43=0),CF43/1,IF(CF43=0,FLOOR((CG43+CH43)/2,0.1),IF(CG43=0,(CF43+CH43)/2,IF(CH43=0,(CG43+CF43)/2,FLOOR(((CF43+CG43+CH43)/3),0.1))))))))</f>
        <v/>
      </c>
      <c r="CJ43" s="21" t="n"/>
      <c r="CK43" s="21" t="n"/>
      <c r="CL43" s="27">
        <f>SUM(CJ43:CK43)</f>
        <v/>
      </c>
      <c r="CM43" s="28" t="n"/>
      <c r="CN43" s="31" t="n"/>
      <c r="CO43" s="29">
        <f>IF(AND(CL43=0,CM43=0,CN43=0),0,IF(AND(CL43=0,CM43=0),CN43/1,IF(AND(CL43=0,CN43=0),CM43/1,IF(AND(CM43=0,CN43=0),CL43/1,IF(CL43=0,FLOOR((CM43+CN43)/2,0.1),IF(CM43=0,(CL43+CN43)/2,IF(CN43=0,(CM43+CL43)/2,FLOOR(((CL43+CM43+CN43)/3),0.1))))))))</f>
        <v/>
      </c>
      <c r="CP43" s="21" t="n"/>
      <c r="CQ43" s="21" t="n"/>
      <c r="CR43" s="27">
        <f>SUM(CP43:CQ43)</f>
        <v/>
      </c>
      <c r="CS43" s="28" t="n"/>
      <c r="CT43" s="31" t="n"/>
      <c r="CU43" s="29">
        <f>IF(AND(CR43=0,CS43=0,CT43=0),0,IF(AND(CR43=0,CS43=0),CT43/1,IF(AND(CR43=0,CT43=0),CS43/1,IF(AND(CS43=0,CT43=0),CR43/1,IF(CR43=0,FLOOR((CS43+CT43)/2,0.1),IF(CS43=0,(CR43+CT43)/2,IF(CT43=0,(CS43+CR43)/2,FLOOR(((CR43+CS43+CT43)/3),0.1))))))))</f>
        <v/>
      </c>
      <c r="CV43" s="21" t="n"/>
      <c r="CW43" s="21" t="n"/>
      <c r="CX43" s="27">
        <f>SUM(CV43:CW43)</f>
        <v/>
      </c>
      <c r="CY43" s="28" t="n"/>
      <c r="CZ43" s="31" t="n"/>
      <c r="DA43" s="29">
        <f>IF(AND(CX43=0,CY43=0,CZ43=0),0,IF(AND(CX43=0,CY43=0),CZ43/1,IF(AND(CX43=0,CZ43=0),CY43/1,IF(AND(CY43=0,CZ43=0),CX43/1,IF(CX43=0,FLOOR((CY43+CZ43)/2,0.1),IF(CY43=0,(CX43+CZ43)/2,IF(CZ43=0,(CY43+CX43)/2,FLOOR(((CX43+CY43+CZ43)/3),0.1))))))))</f>
        <v/>
      </c>
      <c r="DB43" s="21" t="n"/>
      <c r="DC43" s="21" t="n"/>
      <c r="DD43" s="27">
        <f>SUM(DB43:DC43)</f>
        <v/>
      </c>
      <c r="DE43" s="28" t="n"/>
      <c r="DF43" s="31" t="n"/>
      <c r="DG43" s="29">
        <f>IF(AND(DD43=0,DE43=0,DF43=0),0,IF(AND(DD43=0,DE43=0),DF43/1,IF(AND(DD43=0,DF43=0),DE43/1,IF(AND(DE43=0,DF43=0),DD43/1,IF(DD43=0,FLOOR((DE43+DF43)/2,0.1),IF(DE43=0,(DD43+DF43)/2,IF(DF43=0,(DE43+DD43)/2,FLOOR(((DD43+DE43+DF43)/3),0.1))))))))</f>
        <v/>
      </c>
      <c r="DH43" s="34">
        <f>SUM(O43,U43,AA43,AG43,AM43,AS43,AY43,BE43,BK43,BQ43,BW43,CC43,CI43,CO43,CU43,DA43,DG43)</f>
        <v/>
      </c>
      <c r="DI43" s="39">
        <f>RANK(DH43,DH$4:DH$503)</f>
        <v/>
      </c>
      <c r="DJ43" s="40" t="inlineStr">
        <is>
          <t>CHOOSE RATING</t>
        </is>
      </c>
      <c r="DK43" s="40" t="inlineStr">
        <is>
          <t>CHOOSE RATING</t>
        </is>
      </c>
      <c r="DL43" s="40" t="inlineStr">
        <is>
          <t>CHOOSE RATING</t>
        </is>
      </c>
      <c r="DM43" s="40" t="inlineStr">
        <is>
          <t>CHOOSE RATING</t>
        </is>
      </c>
      <c r="DN43" s="40" t="inlineStr">
        <is>
          <t>CHOOSE RATING</t>
        </is>
      </c>
      <c r="DO43" s="40" t="inlineStr">
        <is>
          <t>CHOOSE RATING</t>
        </is>
      </c>
      <c r="DP43" s="40" t="inlineStr">
        <is>
          <t>CHOOSE RATING</t>
        </is>
      </c>
      <c r="DQ43" s="40" t="inlineStr">
        <is>
          <t>CHOOSE RATING</t>
        </is>
      </c>
      <c r="DR43" s="43" t="inlineStr">
        <is>
          <t>2024/2025</t>
        </is>
      </c>
      <c r="DS43" s="45" t="inlineStr">
        <is>
          <t>THIRD</t>
        </is>
      </c>
      <c r="DT43" s="40" t="inlineStr">
        <is>
          <t>CHOOSE RATING</t>
        </is>
      </c>
      <c r="DU43" s="40" t="inlineStr">
        <is>
          <t>CHOOSE RATING</t>
        </is>
      </c>
      <c r="DV43" s="40" t="inlineStr">
        <is>
          <t>CHOOSE RATING</t>
        </is>
      </c>
      <c r="DW43" s="40" t="inlineStr">
        <is>
          <t>CHOOSE RATING</t>
        </is>
      </c>
      <c r="DX43" s="40" t="inlineStr">
        <is>
          <t>CHOOSE RATING</t>
        </is>
      </c>
      <c r="DY43" s="40" t="inlineStr">
        <is>
          <t>CHOOSE RATING</t>
        </is>
      </c>
      <c r="DZ43" s="53" t="inlineStr">
        <is>
          <t>CHOOSE RATING</t>
        </is>
      </c>
      <c r="EA43" s="54" t="inlineStr">
        <is>
          <t>Add the Tutor's Comment . . .</t>
        </is>
      </c>
      <c r="EB43" s="55" t="inlineStr">
        <is>
          <t>Choose Principals comment</t>
        </is>
      </c>
      <c r="EC43" s="56" t="n"/>
      <c r="ED43" s="57" t="inlineStr">
        <is>
          <t>Next Term Begins on Monday, 22nd September, 2025</t>
        </is>
      </c>
    </row>
    <row r="44" ht="30.6" customHeight="1" s="6">
      <c r="A44" s="18" t="n">
        <v>41</v>
      </c>
      <c r="B44" s="19" t="n"/>
      <c r="C44" s="20" t="n"/>
      <c r="D44" s="128" t="n"/>
      <c r="E44" s="21" t="n"/>
      <c r="F44" s="22" t="n"/>
      <c r="G44" s="22" t="n"/>
      <c r="H44" s="22" t="n"/>
      <c r="I44" s="26">
        <f>G44-H44</f>
        <v/>
      </c>
      <c r="J44" s="21" t="n"/>
      <c r="K44" s="21" t="n"/>
      <c r="L44" s="27">
        <f>SUM(J44:K44)</f>
        <v/>
      </c>
      <c r="M44" s="28" t="n"/>
      <c r="N44" s="28" t="n"/>
      <c r="O44" s="29">
        <f>IF(AND(L44=0,M44=0,N44=0),0,IF(AND(L44=0,M44=0),N44/1,IF(AND(L44=0,N44=0),M44/1,IF(AND(M44=0,N44=0),L44/1,IF(L44=0,FLOOR((M44+N44)/2,0.1),IF(M44=0,(L44+N44)/2,IF(N44=0,(M44+L44)/2,FLOOR(((L44+M44+N44)/3),0.1))))))))</f>
        <v/>
      </c>
      <c r="P44" s="21" t="n"/>
      <c r="Q44" s="21" t="n"/>
      <c r="R44" s="27">
        <f>SUM(P44:Q44)</f>
        <v/>
      </c>
      <c r="S44" s="28" t="n"/>
      <c r="T44" s="28" t="n"/>
      <c r="U44" s="29">
        <f>IF(AND(R44=0,S44=0,T44=0),0,IF(AND(R44=0,S44=0),T44/1,IF(AND(R44=0,T44=0),S44/1,IF(AND(S44=0,T44=0),R44/1,IF(R44=0,FLOOR((S44+T44)/2,0.1),IF(S44=0,(R44+T44)/2,IF(T44=0,(S44+R44)/2,FLOOR(((R44+S44+T44)/3),0.1))))))))</f>
        <v/>
      </c>
      <c r="V44" s="21" t="n"/>
      <c r="W44" s="21" t="n"/>
      <c r="X44" s="27">
        <f>SUM(V44:W44)</f>
        <v/>
      </c>
      <c r="Y44" s="28" t="n"/>
      <c r="Z44" s="28" t="n"/>
      <c r="AA44" s="29">
        <f>IF(AND(X44=0,Y44=0,Z44=0),0,IF(AND(X44=0,Y44=0),Z44/1,IF(AND(X44=0,Z44=0),Y44/1,IF(AND(Y44=0,Z44=0),X44/1,IF(X44=0,FLOOR((Y44+Z44)/2,0.1),IF(Y44=0,(X44+Z44)/2,IF(Z44=0,(Y44+X44)/2,FLOOR(((X44+Y44+Z44)/3),0.1))))))))</f>
        <v/>
      </c>
      <c r="AB44" s="21" t="n"/>
      <c r="AC44" s="21" t="n"/>
      <c r="AD44" s="27">
        <f>SUM(AB44:AC44)</f>
        <v/>
      </c>
      <c r="AE44" s="28" t="n"/>
      <c r="AF44" s="28" t="n"/>
      <c r="AG44" s="29">
        <f>IF(AND(AD44=0,AE44=0,AF44=0),0,IF(AND(AD44=0,AE44=0),AF44/1,IF(AND(AD44=0,AF44=0),AE44/1,IF(AND(AE44=0,AF44=0),AD44/1,IF(AD44=0,FLOOR((AE44+AF44)/2,0.1),IF(AE44=0,(AD44+AF44)/2,IF(AF44=0,(AE44+AD44)/2,FLOOR(((AD44+AE44+AF44)/3),0.1))))))))</f>
        <v/>
      </c>
      <c r="AH44" s="21" t="n"/>
      <c r="AI44" s="21" t="n"/>
      <c r="AJ44" s="27">
        <f>SUM(AH44:AI44)</f>
        <v/>
      </c>
      <c r="AK44" s="28" t="n"/>
      <c r="AL44" s="28" t="n"/>
      <c r="AM44" s="29">
        <f>IF(AND(AJ44=0,AK44=0,AL44=0),0,IF(AND(AJ44=0,AK44=0),AL44/1,IF(AND(AJ44=0,AL44=0),AK44/1,IF(AND(AK44=0,AL44=0),AJ44/1,IF(AJ44=0,FLOOR((AK44+AL44)/2,0.1),IF(AK44=0,(AJ44+AL44)/2,IF(AL44=0,(AK44+AJ44)/2,FLOOR(((AJ44+AK44+AL44)/3),0.1))))))))</f>
        <v/>
      </c>
      <c r="AN44" s="21" t="n"/>
      <c r="AO44" s="21" t="n"/>
      <c r="AP44" s="27">
        <f>SUM(AN44:AO44)</f>
        <v/>
      </c>
      <c r="AQ44" s="28" t="n"/>
      <c r="AR44" s="30" t="n"/>
      <c r="AS44" s="29">
        <f>IF(AND(AP44=0,AQ44=0,AR44=0),0,IF(AND(AP44=0,AQ44=0),AR44/1,IF(AND(AP44=0,AR44=0),AQ44/1,IF(AND(AQ44=0,AR44=0),AP44/1,IF(AP44=0,FLOOR((AQ44+AR44)/2,0.1),IF(AQ44=0,(AP44+AR44)/2,IF(AR44=0,(AQ44+AP44)/2,FLOOR(((AP44+AQ44+AR44)/3),0.1))))))))</f>
        <v/>
      </c>
      <c r="AT44" s="21" t="n"/>
      <c r="AU44" s="21" t="n"/>
      <c r="AV44" s="27">
        <f>SUM(AT44:AU44)</f>
        <v/>
      </c>
      <c r="AW44" s="28" t="n"/>
      <c r="AX44" s="30" t="n"/>
      <c r="AY44" s="29">
        <f>IF(AND(AV44=0,AW44=0,AX44=0),0,IF(AND(AV44=0,AW44=0),AX44/1,IF(AND(AV44=0,AX44=0),AW44/1,IF(AND(AW44=0,AX44=0),AV44/1,IF(AV44=0,FLOOR((AW44+AX44)/2,0.1),IF(AW44=0,(AV44+AX44)/2,IF(AX44=0,(AW44+AV44)/2,FLOOR(((AV44+AW44+AX44)/3),0.1))))))))</f>
        <v/>
      </c>
      <c r="AZ44" s="21" t="n"/>
      <c r="BA44" s="21" t="n"/>
      <c r="BB44" s="27">
        <f>SUM(AZ44:BA44)</f>
        <v/>
      </c>
      <c r="BC44" s="28" t="n"/>
      <c r="BD44" s="28" t="n"/>
      <c r="BE44" s="29">
        <f>IF(AND(BB44=0,BC44=0,BD44=0),0,IF(AND(BB44=0,BC44=0),BD44/1,IF(AND(BB44=0,BD44=0),BC44/1,IF(AND(BC44=0,BD44=0),BB44/1,IF(BB44=0,FLOOR((BC44+BD44)/2,0.1),IF(BC44=0,(BB44+BD44)/2,IF(BD44=0,(BC44+BB44)/2,FLOOR(((BB44+BC44+BD44)/3),0.1))))))))</f>
        <v/>
      </c>
      <c r="BF44" s="21" t="n"/>
      <c r="BG44" s="21" t="n"/>
      <c r="BH44" s="27">
        <f>SUM(BF44:BG44)</f>
        <v/>
      </c>
      <c r="BI44" s="28" t="n"/>
      <c r="BJ44" s="28" t="n"/>
      <c r="BK44" s="29">
        <f>IF(AND(BH44=0,BI44=0,BJ44=0),0,IF(AND(BH44=0,BI44=0),BJ44/1,IF(AND(BH44=0,BJ44=0),BI44/1,IF(AND(BI44=0,BJ44=0),BH44/1,IF(BH44=0,FLOOR((BI44+BJ44)/2,0.1),IF(BI44=0,(BH44+BJ44)/2,IF(BJ44=0,(BI44+BH44)/2,FLOOR(((BH44+BI44+BJ44)/3),0.1))))))))</f>
        <v/>
      </c>
      <c r="BL44" s="21" t="n"/>
      <c r="BM44" s="21" t="n"/>
      <c r="BN44" s="27">
        <f>SUM(BL44:BM44)</f>
        <v/>
      </c>
      <c r="BO44" s="28" t="n"/>
      <c r="BP44" s="31" t="n"/>
      <c r="BQ44" s="29">
        <f>IF(AND(BN44=0,BO44=0,BP44=0),0,IF(AND(BN44=0,BO44=0),BP44/1,IF(AND(BN44=0,BP44=0),BO44/1,IF(AND(BO44=0,BP44=0),BN44/1,IF(BN44=0,FLOOR((BO44+BP44)/2,0.1),IF(BO44=0,(BN44+BP44)/2,IF(BP44=0,(BO44+BN44)/2,FLOOR(((BN44+BO44+BP44)/3),0.1))))))))</f>
        <v/>
      </c>
      <c r="BR44" s="21" t="n"/>
      <c r="BS44" s="21" t="n"/>
      <c r="BT44" s="27">
        <f>SUM(BR44:BS44)</f>
        <v/>
      </c>
      <c r="BU44" s="28" t="n"/>
      <c r="BV44" s="31" t="n"/>
      <c r="BW44" s="29">
        <f>IF(AND(BT44=0,BU44=0,BV44=0),0,IF(AND(BT44=0,BU44=0),BV44/1,IF(AND(BT44=0,BV44=0),BU44/1,IF(AND(BU44=0,BV44=0),BT44/1,IF(BT44=0,FLOOR((BU44+BV44)/2,0.1),IF(BU44=0,(BT44+BV44)/2,IF(BV44=0,(BU44+BT44)/2,FLOOR(((BT44+BU44+BV44)/3),0.1))))))))</f>
        <v/>
      </c>
      <c r="BX44" s="21" t="n"/>
      <c r="BY44" s="21" t="n"/>
      <c r="BZ44" s="27">
        <f>SUM(BX44:BY44)</f>
        <v/>
      </c>
      <c r="CA44" s="28" t="n"/>
      <c r="CB44" s="31" t="n"/>
      <c r="CC44" s="29">
        <f>IF(AND(BZ44=0,CA44=0,CB44=0),0,IF(AND(BZ44=0,CA44=0),CB44/1,IF(AND(BZ44=0,CB44=0),CA44/1,IF(AND(CA44=0,CB44=0),BZ44/1,IF(BZ44=0,FLOOR((CA44+CB44)/2,0.1),IF(CA44=0,(BZ44+CB44)/2,IF(CB44=0,(CA44+BZ44)/2,FLOOR(((BZ44+CA44+CB44)/3),0.1))))))))</f>
        <v/>
      </c>
      <c r="CD44" s="21" t="n"/>
      <c r="CE44" s="21" t="n"/>
      <c r="CF44" s="27">
        <f>SUM(CD44:CE44)</f>
        <v/>
      </c>
      <c r="CG44" s="28" t="n"/>
      <c r="CH44" s="31" t="n"/>
      <c r="CI44" s="29">
        <f>IF(AND(CF44=0,CG44=0,CH44=0),0,IF(AND(CF44=0,CG44=0),CH44/1,IF(AND(CF44=0,CH44=0),CG44/1,IF(AND(CG44=0,CH44=0),CF44/1,IF(CF44=0,FLOOR((CG44+CH44)/2,0.1),IF(CG44=0,(CF44+CH44)/2,IF(CH44=0,(CG44+CF44)/2,FLOOR(((CF44+CG44+CH44)/3),0.1))))))))</f>
        <v/>
      </c>
      <c r="CJ44" s="21" t="n"/>
      <c r="CK44" s="21" t="n"/>
      <c r="CL44" s="27">
        <f>SUM(CJ44:CK44)</f>
        <v/>
      </c>
      <c r="CM44" s="28" t="n"/>
      <c r="CN44" s="31" t="n"/>
      <c r="CO44" s="29">
        <f>IF(AND(CL44=0,CM44=0,CN44=0),0,IF(AND(CL44=0,CM44=0),CN44/1,IF(AND(CL44=0,CN44=0),CM44/1,IF(AND(CM44=0,CN44=0),CL44/1,IF(CL44=0,FLOOR((CM44+CN44)/2,0.1),IF(CM44=0,(CL44+CN44)/2,IF(CN44=0,(CM44+CL44)/2,FLOOR(((CL44+CM44+CN44)/3),0.1))))))))</f>
        <v/>
      </c>
      <c r="CP44" s="21" t="n"/>
      <c r="CQ44" s="21" t="n"/>
      <c r="CR44" s="27">
        <f>SUM(CP44:CQ44)</f>
        <v/>
      </c>
      <c r="CS44" s="28" t="n"/>
      <c r="CT44" s="31" t="n"/>
      <c r="CU44" s="29">
        <f>IF(AND(CR44=0,CS44=0,CT44=0),0,IF(AND(CR44=0,CS44=0),CT44/1,IF(AND(CR44=0,CT44=0),CS44/1,IF(AND(CS44=0,CT44=0),CR44/1,IF(CR44=0,FLOOR((CS44+CT44)/2,0.1),IF(CS44=0,(CR44+CT44)/2,IF(CT44=0,(CS44+CR44)/2,FLOOR(((CR44+CS44+CT44)/3),0.1))))))))</f>
        <v/>
      </c>
      <c r="CV44" s="21" t="n"/>
      <c r="CW44" s="21" t="n"/>
      <c r="CX44" s="27">
        <f>SUM(CV44:CW44)</f>
        <v/>
      </c>
      <c r="CY44" s="28" t="n"/>
      <c r="CZ44" s="31" t="n"/>
      <c r="DA44" s="29">
        <f>IF(AND(CX44=0,CY44=0,CZ44=0),0,IF(AND(CX44=0,CY44=0),CZ44/1,IF(AND(CX44=0,CZ44=0),CY44/1,IF(AND(CY44=0,CZ44=0),CX44/1,IF(CX44=0,FLOOR((CY44+CZ44)/2,0.1),IF(CY44=0,(CX44+CZ44)/2,IF(CZ44=0,(CY44+CX44)/2,FLOOR(((CX44+CY44+CZ44)/3),0.1))))))))</f>
        <v/>
      </c>
      <c r="DB44" s="21" t="n"/>
      <c r="DC44" s="21" t="n"/>
      <c r="DD44" s="27">
        <f>SUM(DB44:DC44)</f>
        <v/>
      </c>
      <c r="DE44" s="28" t="n"/>
      <c r="DF44" s="31" t="n"/>
      <c r="DG44" s="29">
        <f>IF(AND(DD44=0,DE44=0,DF44=0),0,IF(AND(DD44=0,DE44=0),DF44/1,IF(AND(DD44=0,DF44=0),DE44/1,IF(AND(DE44=0,DF44=0),DD44/1,IF(DD44=0,FLOOR((DE44+DF44)/2,0.1),IF(DE44=0,(DD44+DF44)/2,IF(DF44=0,(DE44+DD44)/2,FLOOR(((DD44+DE44+DF44)/3),0.1))))))))</f>
        <v/>
      </c>
      <c r="DH44" s="34">
        <f>SUM(O44,U44,AA44,AG44,AM44,AS44,AY44,BE44,BK44,BQ44,BW44,CC44,CI44,CO44,CU44,DA44,DG44)</f>
        <v/>
      </c>
      <c r="DI44" s="39">
        <f>RANK(DH44,DH$4:DH$503)</f>
        <v/>
      </c>
      <c r="DJ44" s="40" t="inlineStr">
        <is>
          <t>CHOOSE RATING</t>
        </is>
      </c>
      <c r="DK44" s="40" t="inlineStr">
        <is>
          <t>CHOOSE RATING</t>
        </is>
      </c>
      <c r="DL44" s="40" t="inlineStr">
        <is>
          <t>CHOOSE RATING</t>
        </is>
      </c>
      <c r="DM44" s="40" t="inlineStr">
        <is>
          <t>CHOOSE RATING</t>
        </is>
      </c>
      <c r="DN44" s="40" t="inlineStr">
        <is>
          <t>CHOOSE RATING</t>
        </is>
      </c>
      <c r="DO44" s="40" t="inlineStr">
        <is>
          <t>CHOOSE RATING</t>
        </is>
      </c>
      <c r="DP44" s="40" t="inlineStr">
        <is>
          <t>CHOOSE RATING</t>
        </is>
      </c>
      <c r="DQ44" s="40" t="inlineStr">
        <is>
          <t>CHOOSE RATING</t>
        </is>
      </c>
      <c r="DR44" s="43" t="inlineStr">
        <is>
          <t>2024/2025</t>
        </is>
      </c>
      <c r="DS44" s="45" t="inlineStr">
        <is>
          <t>THIRD</t>
        </is>
      </c>
      <c r="DT44" s="40" t="inlineStr">
        <is>
          <t>CHOOSE RATING</t>
        </is>
      </c>
      <c r="DU44" s="40" t="inlineStr">
        <is>
          <t>CHOOSE RATING</t>
        </is>
      </c>
      <c r="DV44" s="40" t="inlineStr">
        <is>
          <t>CHOOSE RATING</t>
        </is>
      </c>
      <c r="DW44" s="40" t="inlineStr">
        <is>
          <t>CHOOSE RATING</t>
        </is>
      </c>
      <c r="DX44" s="40" t="inlineStr">
        <is>
          <t>CHOOSE RATING</t>
        </is>
      </c>
      <c r="DY44" s="40" t="inlineStr">
        <is>
          <t>CHOOSE RATING</t>
        </is>
      </c>
      <c r="DZ44" s="53" t="inlineStr">
        <is>
          <t>CHOOSE RATING</t>
        </is>
      </c>
      <c r="EA44" s="54" t="inlineStr">
        <is>
          <t>Add the Tutor's Comment . . .</t>
        </is>
      </c>
      <c r="EB44" s="55" t="inlineStr">
        <is>
          <t>Choose Principals comment</t>
        </is>
      </c>
      <c r="EC44" s="56" t="n"/>
      <c r="ED44" s="57" t="inlineStr">
        <is>
          <t>Next Term Begins on Monday, 22nd September, 2025</t>
        </is>
      </c>
    </row>
    <row r="45" ht="30.6" customHeight="1" s="6">
      <c r="A45" s="18" t="n">
        <v>42</v>
      </c>
      <c r="B45" s="19" t="n"/>
      <c r="C45" s="20" t="n"/>
      <c r="D45" s="128" t="n"/>
      <c r="E45" s="21" t="n"/>
      <c r="F45" s="22" t="n"/>
      <c r="G45" s="22" t="n"/>
      <c r="H45" s="22" t="n"/>
      <c r="I45" s="26">
        <f>G45-H45</f>
        <v/>
      </c>
      <c r="J45" s="21" t="n"/>
      <c r="K45" s="21" t="n"/>
      <c r="L45" s="27">
        <f>SUM(J45:K45)</f>
        <v/>
      </c>
      <c r="M45" s="28" t="n"/>
      <c r="N45" s="28" t="n"/>
      <c r="O45" s="29">
        <f>IF(AND(L45=0,M45=0,N45=0),0,IF(AND(L45=0,M45=0),N45/1,IF(AND(L45=0,N45=0),M45/1,IF(AND(M45=0,N45=0),L45/1,IF(L45=0,FLOOR((M45+N45)/2,0.1),IF(M45=0,(L45+N45)/2,IF(N45=0,(M45+L45)/2,FLOOR(((L45+M45+N45)/3),0.1))))))))</f>
        <v/>
      </c>
      <c r="P45" s="21" t="n"/>
      <c r="Q45" s="21" t="n"/>
      <c r="R45" s="27">
        <f>SUM(P45:Q45)</f>
        <v/>
      </c>
      <c r="S45" s="28" t="n"/>
      <c r="T45" s="28" t="n"/>
      <c r="U45" s="29">
        <f>IF(AND(R45=0,S45=0,T45=0),0,IF(AND(R45=0,S45=0),T45/1,IF(AND(R45=0,T45=0),S45/1,IF(AND(S45=0,T45=0),R45/1,IF(R45=0,FLOOR((S45+T45)/2,0.1),IF(S45=0,(R45+T45)/2,IF(T45=0,(S45+R45)/2,FLOOR(((R45+S45+T45)/3),0.1))))))))</f>
        <v/>
      </c>
      <c r="V45" s="21" t="n"/>
      <c r="W45" s="21" t="n"/>
      <c r="X45" s="27">
        <f>SUM(V45:W45)</f>
        <v/>
      </c>
      <c r="Y45" s="28" t="n"/>
      <c r="Z45" s="28" t="n"/>
      <c r="AA45" s="29">
        <f>IF(AND(X45=0,Y45=0,Z45=0),0,IF(AND(X45=0,Y45=0),Z45/1,IF(AND(X45=0,Z45=0),Y45/1,IF(AND(Y45=0,Z45=0),X45/1,IF(X45=0,FLOOR((Y45+Z45)/2,0.1),IF(Y45=0,(X45+Z45)/2,IF(Z45=0,(Y45+X45)/2,FLOOR(((X45+Y45+Z45)/3),0.1))))))))</f>
        <v/>
      </c>
      <c r="AB45" s="21" t="n"/>
      <c r="AC45" s="21" t="n"/>
      <c r="AD45" s="27">
        <f>SUM(AB45:AC45)</f>
        <v/>
      </c>
      <c r="AE45" s="28" t="n"/>
      <c r="AF45" s="28" t="n"/>
      <c r="AG45" s="29">
        <f>IF(AND(AD45=0,AE45=0,AF45=0),0,IF(AND(AD45=0,AE45=0),AF45/1,IF(AND(AD45=0,AF45=0),AE45/1,IF(AND(AE45=0,AF45=0),AD45/1,IF(AD45=0,FLOOR((AE45+AF45)/2,0.1),IF(AE45=0,(AD45+AF45)/2,IF(AF45=0,(AE45+AD45)/2,FLOOR(((AD45+AE45+AF45)/3),0.1))))))))</f>
        <v/>
      </c>
      <c r="AH45" s="21" t="n"/>
      <c r="AI45" s="21" t="n"/>
      <c r="AJ45" s="27">
        <f>SUM(AH45:AI45)</f>
        <v/>
      </c>
      <c r="AK45" s="28" t="n"/>
      <c r="AL45" s="28" t="n"/>
      <c r="AM45" s="29">
        <f>IF(AND(AJ45=0,AK45=0,AL45=0),0,IF(AND(AJ45=0,AK45=0),AL45/1,IF(AND(AJ45=0,AL45=0),AK45/1,IF(AND(AK45=0,AL45=0),AJ45/1,IF(AJ45=0,FLOOR((AK45+AL45)/2,0.1),IF(AK45=0,(AJ45+AL45)/2,IF(AL45=0,(AK45+AJ45)/2,FLOOR(((AJ45+AK45+AL45)/3),0.1))))))))</f>
        <v/>
      </c>
      <c r="AN45" s="21" t="n"/>
      <c r="AO45" s="21" t="n"/>
      <c r="AP45" s="27">
        <f>SUM(AN45:AO45)</f>
        <v/>
      </c>
      <c r="AQ45" s="28" t="n"/>
      <c r="AR45" s="30" t="n"/>
      <c r="AS45" s="29">
        <f>IF(AND(AP45=0,AQ45=0,AR45=0),0,IF(AND(AP45=0,AQ45=0),AR45/1,IF(AND(AP45=0,AR45=0),AQ45/1,IF(AND(AQ45=0,AR45=0),AP45/1,IF(AP45=0,FLOOR((AQ45+AR45)/2,0.1),IF(AQ45=0,(AP45+AR45)/2,IF(AR45=0,(AQ45+AP45)/2,FLOOR(((AP45+AQ45+AR45)/3),0.1))))))))</f>
        <v/>
      </c>
      <c r="AT45" s="21" t="n"/>
      <c r="AU45" s="21" t="n"/>
      <c r="AV45" s="27">
        <f>SUM(AT45:AU45)</f>
        <v/>
      </c>
      <c r="AW45" s="28" t="n"/>
      <c r="AX45" s="30" t="n"/>
      <c r="AY45" s="29">
        <f>IF(AND(AV45=0,AW45=0,AX45=0),0,IF(AND(AV45=0,AW45=0),AX45/1,IF(AND(AV45=0,AX45=0),AW45/1,IF(AND(AW45=0,AX45=0),AV45/1,IF(AV45=0,FLOOR((AW45+AX45)/2,0.1),IF(AW45=0,(AV45+AX45)/2,IF(AX45=0,(AW45+AV45)/2,FLOOR(((AV45+AW45+AX45)/3),0.1))))))))</f>
        <v/>
      </c>
      <c r="AZ45" s="21" t="n"/>
      <c r="BA45" s="21" t="n"/>
      <c r="BB45" s="27">
        <f>SUM(AZ45:BA45)</f>
        <v/>
      </c>
      <c r="BC45" s="28" t="n"/>
      <c r="BD45" s="28" t="n"/>
      <c r="BE45" s="29">
        <f>IF(AND(BB45=0,BC45=0,BD45=0),0,IF(AND(BB45=0,BC45=0),BD45/1,IF(AND(BB45=0,BD45=0),BC45/1,IF(AND(BC45=0,BD45=0),BB45/1,IF(BB45=0,FLOOR((BC45+BD45)/2,0.1),IF(BC45=0,(BB45+BD45)/2,IF(BD45=0,(BC45+BB45)/2,FLOOR(((BB45+BC45+BD45)/3),0.1))))))))</f>
        <v/>
      </c>
      <c r="BF45" s="21" t="n"/>
      <c r="BG45" s="21" t="n"/>
      <c r="BH45" s="27">
        <f>SUM(BF45:BG45)</f>
        <v/>
      </c>
      <c r="BI45" s="28" t="n"/>
      <c r="BJ45" s="28" t="n"/>
      <c r="BK45" s="29">
        <f>IF(AND(BH45=0,BI45=0,BJ45=0),0,IF(AND(BH45=0,BI45=0),BJ45/1,IF(AND(BH45=0,BJ45=0),BI45/1,IF(AND(BI45=0,BJ45=0),BH45/1,IF(BH45=0,FLOOR((BI45+BJ45)/2,0.1),IF(BI45=0,(BH45+BJ45)/2,IF(BJ45=0,(BI45+BH45)/2,FLOOR(((BH45+BI45+BJ45)/3),0.1))))))))</f>
        <v/>
      </c>
      <c r="BL45" s="21" t="n"/>
      <c r="BM45" s="21" t="n"/>
      <c r="BN45" s="27">
        <f>SUM(BL45:BM45)</f>
        <v/>
      </c>
      <c r="BO45" s="28" t="n"/>
      <c r="BP45" s="31" t="n"/>
      <c r="BQ45" s="29">
        <f>IF(AND(BN45=0,BO45=0,BP45=0),0,IF(AND(BN45=0,BO45=0),BP45/1,IF(AND(BN45=0,BP45=0),BO45/1,IF(AND(BO45=0,BP45=0),BN45/1,IF(BN45=0,FLOOR((BO45+BP45)/2,0.1),IF(BO45=0,(BN45+BP45)/2,IF(BP45=0,(BO45+BN45)/2,FLOOR(((BN45+BO45+BP45)/3),0.1))))))))</f>
        <v/>
      </c>
      <c r="BR45" s="21" t="n"/>
      <c r="BS45" s="21" t="n"/>
      <c r="BT45" s="27">
        <f>SUM(BR45:BS45)</f>
        <v/>
      </c>
      <c r="BU45" s="28" t="n"/>
      <c r="BV45" s="31" t="n"/>
      <c r="BW45" s="29">
        <f>IF(AND(BT45=0,BU45=0,BV45=0),0,IF(AND(BT45=0,BU45=0),BV45/1,IF(AND(BT45=0,BV45=0),BU45/1,IF(AND(BU45=0,BV45=0),BT45/1,IF(BT45=0,FLOOR((BU45+BV45)/2,0.1),IF(BU45=0,(BT45+BV45)/2,IF(BV45=0,(BU45+BT45)/2,FLOOR(((BT45+BU45+BV45)/3),0.1))))))))</f>
        <v/>
      </c>
      <c r="BX45" s="21" t="n"/>
      <c r="BY45" s="21" t="n"/>
      <c r="BZ45" s="27">
        <f>SUM(BX45:BY45)</f>
        <v/>
      </c>
      <c r="CA45" s="28" t="n"/>
      <c r="CB45" s="31" t="n"/>
      <c r="CC45" s="29">
        <f>IF(AND(BZ45=0,CA45=0,CB45=0),0,IF(AND(BZ45=0,CA45=0),CB45/1,IF(AND(BZ45=0,CB45=0),CA45/1,IF(AND(CA45=0,CB45=0),BZ45/1,IF(BZ45=0,FLOOR((CA45+CB45)/2,0.1),IF(CA45=0,(BZ45+CB45)/2,IF(CB45=0,(CA45+BZ45)/2,FLOOR(((BZ45+CA45+CB45)/3),0.1))))))))</f>
        <v/>
      </c>
      <c r="CD45" s="21" t="n"/>
      <c r="CE45" s="21" t="n"/>
      <c r="CF45" s="27">
        <f>SUM(CD45:CE45)</f>
        <v/>
      </c>
      <c r="CG45" s="28" t="n"/>
      <c r="CH45" s="31" t="n"/>
      <c r="CI45" s="29">
        <f>IF(AND(CF45=0,CG45=0,CH45=0),0,IF(AND(CF45=0,CG45=0),CH45/1,IF(AND(CF45=0,CH45=0),CG45/1,IF(AND(CG45=0,CH45=0),CF45/1,IF(CF45=0,FLOOR((CG45+CH45)/2,0.1),IF(CG45=0,(CF45+CH45)/2,IF(CH45=0,(CG45+CF45)/2,FLOOR(((CF45+CG45+CH45)/3),0.1))))))))</f>
        <v/>
      </c>
      <c r="CJ45" s="21" t="n"/>
      <c r="CK45" s="21" t="n"/>
      <c r="CL45" s="27">
        <f>SUM(CJ45:CK45)</f>
        <v/>
      </c>
      <c r="CM45" s="28" t="n"/>
      <c r="CN45" s="31" t="n"/>
      <c r="CO45" s="29">
        <f>IF(AND(CL45=0,CM45=0,CN45=0),0,IF(AND(CL45=0,CM45=0),CN45/1,IF(AND(CL45=0,CN45=0),CM45/1,IF(AND(CM45=0,CN45=0),CL45/1,IF(CL45=0,FLOOR((CM45+CN45)/2,0.1),IF(CM45=0,(CL45+CN45)/2,IF(CN45=0,(CM45+CL45)/2,FLOOR(((CL45+CM45+CN45)/3),0.1))))))))</f>
        <v/>
      </c>
      <c r="CP45" s="21" t="n"/>
      <c r="CQ45" s="21" t="n"/>
      <c r="CR45" s="27">
        <f>SUM(CP45:CQ45)</f>
        <v/>
      </c>
      <c r="CS45" s="28" t="n"/>
      <c r="CT45" s="31" t="n"/>
      <c r="CU45" s="29">
        <f>IF(AND(CR45=0,CS45=0,CT45=0),0,IF(AND(CR45=0,CS45=0),CT45/1,IF(AND(CR45=0,CT45=0),CS45/1,IF(AND(CS45=0,CT45=0),CR45/1,IF(CR45=0,FLOOR((CS45+CT45)/2,0.1),IF(CS45=0,(CR45+CT45)/2,IF(CT45=0,(CS45+CR45)/2,FLOOR(((CR45+CS45+CT45)/3),0.1))))))))</f>
        <v/>
      </c>
      <c r="CV45" s="21" t="n"/>
      <c r="CW45" s="21" t="n"/>
      <c r="CX45" s="27">
        <f>SUM(CV45:CW45)</f>
        <v/>
      </c>
      <c r="CY45" s="28" t="n"/>
      <c r="CZ45" s="31" t="n"/>
      <c r="DA45" s="29">
        <f>IF(AND(CX45=0,CY45=0,CZ45=0),0,IF(AND(CX45=0,CY45=0),CZ45/1,IF(AND(CX45=0,CZ45=0),CY45/1,IF(AND(CY45=0,CZ45=0),CX45/1,IF(CX45=0,FLOOR((CY45+CZ45)/2,0.1),IF(CY45=0,(CX45+CZ45)/2,IF(CZ45=0,(CY45+CX45)/2,FLOOR(((CX45+CY45+CZ45)/3),0.1))))))))</f>
        <v/>
      </c>
      <c r="DB45" s="21" t="n"/>
      <c r="DC45" s="21" t="n"/>
      <c r="DD45" s="27">
        <f>SUM(DB45:DC45)</f>
        <v/>
      </c>
      <c r="DE45" s="28" t="n"/>
      <c r="DF45" s="31" t="n"/>
      <c r="DG45" s="29">
        <f>IF(AND(DD45=0,DE45=0,DF45=0),0,IF(AND(DD45=0,DE45=0),DF45/1,IF(AND(DD45=0,DF45=0),DE45/1,IF(AND(DE45=0,DF45=0),DD45/1,IF(DD45=0,FLOOR((DE45+DF45)/2,0.1),IF(DE45=0,(DD45+DF45)/2,IF(DF45=0,(DE45+DD45)/2,FLOOR(((DD45+DE45+DF45)/3),0.1))))))))</f>
        <v/>
      </c>
      <c r="DH45" s="34">
        <f>SUM(O45,U45,AA45,AG45,AM45,AS45,AY45,BE45,BK45,BQ45,BW45,CC45,CI45,CO45,CU45,DA45,DG45)</f>
        <v/>
      </c>
      <c r="DI45" s="39">
        <f>RANK(DH45,DH$4:DH$503)</f>
        <v/>
      </c>
      <c r="DJ45" s="40" t="inlineStr">
        <is>
          <t>CHOOSE RATING</t>
        </is>
      </c>
      <c r="DK45" s="40" t="inlineStr">
        <is>
          <t>CHOOSE RATING</t>
        </is>
      </c>
      <c r="DL45" s="40" t="inlineStr">
        <is>
          <t>CHOOSE RATING</t>
        </is>
      </c>
      <c r="DM45" s="40" t="inlineStr">
        <is>
          <t>CHOOSE RATING</t>
        </is>
      </c>
      <c r="DN45" s="40" t="inlineStr">
        <is>
          <t>CHOOSE RATING</t>
        </is>
      </c>
      <c r="DO45" s="40" t="inlineStr">
        <is>
          <t>CHOOSE RATING</t>
        </is>
      </c>
      <c r="DP45" s="40" t="inlineStr">
        <is>
          <t>CHOOSE RATING</t>
        </is>
      </c>
      <c r="DQ45" s="40" t="inlineStr">
        <is>
          <t>CHOOSE RATING</t>
        </is>
      </c>
      <c r="DR45" s="43" t="inlineStr">
        <is>
          <t>2024/2025</t>
        </is>
      </c>
      <c r="DS45" s="45" t="inlineStr">
        <is>
          <t>THIRD</t>
        </is>
      </c>
      <c r="DT45" s="40" t="inlineStr">
        <is>
          <t>CHOOSE RATING</t>
        </is>
      </c>
      <c r="DU45" s="40" t="inlineStr">
        <is>
          <t>CHOOSE RATING</t>
        </is>
      </c>
      <c r="DV45" s="40" t="inlineStr">
        <is>
          <t>CHOOSE RATING</t>
        </is>
      </c>
      <c r="DW45" s="40" t="inlineStr">
        <is>
          <t>CHOOSE RATING</t>
        </is>
      </c>
      <c r="DX45" s="40" t="inlineStr">
        <is>
          <t>CHOOSE RATING</t>
        </is>
      </c>
      <c r="DY45" s="40" t="inlineStr">
        <is>
          <t>CHOOSE RATING</t>
        </is>
      </c>
      <c r="DZ45" s="53" t="inlineStr">
        <is>
          <t>CHOOSE RATING</t>
        </is>
      </c>
      <c r="EA45" s="54" t="inlineStr">
        <is>
          <t>Add the Tutor's Comment . . .</t>
        </is>
      </c>
      <c r="EB45" s="55" t="inlineStr">
        <is>
          <t>Choose Principals comment</t>
        </is>
      </c>
      <c r="EC45" s="56" t="n"/>
      <c r="ED45" s="57" t="inlineStr">
        <is>
          <t>Next Term Begins on Monday, 22nd September, 2025</t>
        </is>
      </c>
    </row>
    <row r="46" ht="30.6" customHeight="1" s="6">
      <c r="A46" s="18" t="n">
        <v>43</v>
      </c>
      <c r="B46" s="19" t="n"/>
      <c r="C46" s="20" t="n"/>
      <c r="D46" s="128" t="n"/>
      <c r="E46" s="21" t="n"/>
      <c r="F46" s="22" t="n"/>
      <c r="G46" s="22" t="n"/>
      <c r="H46" s="22" t="n"/>
      <c r="I46" s="26">
        <f>G46-H46</f>
        <v/>
      </c>
      <c r="J46" s="21" t="n"/>
      <c r="K46" s="21" t="n"/>
      <c r="L46" s="27">
        <f>SUM(J46:K46)</f>
        <v/>
      </c>
      <c r="M46" s="28" t="n"/>
      <c r="N46" s="28" t="n"/>
      <c r="O46" s="29">
        <f>IF(AND(L46=0,M46=0,N46=0),0,IF(AND(L46=0,M46=0),N46/1,IF(AND(L46=0,N46=0),M46/1,IF(AND(M46=0,N46=0),L46/1,IF(L46=0,FLOOR((M46+N46)/2,0.1),IF(M46=0,(L46+N46)/2,IF(N46=0,(M46+L46)/2,FLOOR(((L46+M46+N46)/3),0.1))))))))</f>
        <v/>
      </c>
      <c r="P46" s="21" t="n"/>
      <c r="Q46" s="21" t="n"/>
      <c r="R46" s="27">
        <f>SUM(P46:Q46)</f>
        <v/>
      </c>
      <c r="S46" s="28" t="n"/>
      <c r="T46" s="28" t="n"/>
      <c r="U46" s="29">
        <f>IF(AND(R46=0,S46=0,T46=0),0,IF(AND(R46=0,S46=0),T46/1,IF(AND(R46=0,T46=0),S46/1,IF(AND(S46=0,T46=0),R46/1,IF(R46=0,FLOOR((S46+T46)/2,0.1),IF(S46=0,(R46+T46)/2,IF(T46=0,(S46+R46)/2,FLOOR(((R46+S46+T46)/3),0.1))))))))</f>
        <v/>
      </c>
      <c r="V46" s="21" t="n"/>
      <c r="W46" s="21" t="n"/>
      <c r="X46" s="27">
        <f>SUM(V46:W46)</f>
        <v/>
      </c>
      <c r="Y46" s="28" t="n"/>
      <c r="Z46" s="28" t="n"/>
      <c r="AA46" s="29">
        <f>IF(AND(X46=0,Y46=0,Z46=0),0,IF(AND(X46=0,Y46=0),Z46/1,IF(AND(X46=0,Z46=0),Y46/1,IF(AND(Y46=0,Z46=0),X46/1,IF(X46=0,FLOOR((Y46+Z46)/2,0.1),IF(Y46=0,(X46+Z46)/2,IF(Z46=0,(Y46+X46)/2,FLOOR(((X46+Y46+Z46)/3),0.1))))))))</f>
        <v/>
      </c>
      <c r="AB46" s="21" t="n"/>
      <c r="AC46" s="21" t="n"/>
      <c r="AD46" s="27">
        <f>SUM(AB46:AC46)</f>
        <v/>
      </c>
      <c r="AE46" s="28" t="n"/>
      <c r="AF46" s="28" t="n"/>
      <c r="AG46" s="29">
        <f>IF(AND(AD46=0,AE46=0,AF46=0),0,IF(AND(AD46=0,AE46=0),AF46/1,IF(AND(AD46=0,AF46=0),AE46/1,IF(AND(AE46=0,AF46=0),AD46/1,IF(AD46=0,FLOOR((AE46+AF46)/2,0.1),IF(AE46=0,(AD46+AF46)/2,IF(AF46=0,(AE46+AD46)/2,FLOOR(((AD46+AE46+AF46)/3),0.1))))))))</f>
        <v/>
      </c>
      <c r="AH46" s="21" t="n"/>
      <c r="AI46" s="21" t="n"/>
      <c r="AJ46" s="27">
        <f>SUM(AH46:AI46)</f>
        <v/>
      </c>
      <c r="AK46" s="28" t="n"/>
      <c r="AL46" s="28" t="n"/>
      <c r="AM46" s="29">
        <f>IF(AND(AJ46=0,AK46=0,AL46=0),0,IF(AND(AJ46=0,AK46=0),AL46/1,IF(AND(AJ46=0,AL46=0),AK46/1,IF(AND(AK46=0,AL46=0),AJ46/1,IF(AJ46=0,FLOOR((AK46+AL46)/2,0.1),IF(AK46=0,(AJ46+AL46)/2,IF(AL46=0,(AK46+AJ46)/2,FLOOR(((AJ46+AK46+AL46)/3),0.1))))))))</f>
        <v/>
      </c>
      <c r="AN46" s="21" t="n"/>
      <c r="AO46" s="21" t="n"/>
      <c r="AP46" s="27">
        <f>SUM(AN46:AO46)</f>
        <v/>
      </c>
      <c r="AQ46" s="28" t="n"/>
      <c r="AR46" s="30" t="n"/>
      <c r="AS46" s="29">
        <f>IF(AND(AP46=0,AQ46=0,AR46=0),0,IF(AND(AP46=0,AQ46=0),AR46/1,IF(AND(AP46=0,AR46=0),AQ46/1,IF(AND(AQ46=0,AR46=0),AP46/1,IF(AP46=0,FLOOR((AQ46+AR46)/2,0.1),IF(AQ46=0,(AP46+AR46)/2,IF(AR46=0,(AQ46+AP46)/2,FLOOR(((AP46+AQ46+AR46)/3),0.1))))))))</f>
        <v/>
      </c>
      <c r="AT46" s="21" t="n"/>
      <c r="AU46" s="21" t="n"/>
      <c r="AV46" s="27">
        <f>SUM(AT46:AU46)</f>
        <v/>
      </c>
      <c r="AW46" s="28" t="n"/>
      <c r="AX46" s="30" t="n"/>
      <c r="AY46" s="29">
        <f>IF(AND(AV46=0,AW46=0,AX46=0),0,IF(AND(AV46=0,AW46=0),AX46/1,IF(AND(AV46=0,AX46=0),AW46/1,IF(AND(AW46=0,AX46=0),AV46/1,IF(AV46=0,FLOOR((AW46+AX46)/2,0.1),IF(AW46=0,(AV46+AX46)/2,IF(AX46=0,(AW46+AV46)/2,FLOOR(((AV46+AW46+AX46)/3),0.1))))))))</f>
        <v/>
      </c>
      <c r="AZ46" s="21" t="n"/>
      <c r="BA46" s="21" t="n"/>
      <c r="BB46" s="27">
        <f>SUM(AZ46:BA46)</f>
        <v/>
      </c>
      <c r="BC46" s="28" t="n"/>
      <c r="BD46" s="28" t="n"/>
      <c r="BE46" s="29">
        <f>IF(AND(BB46=0,BC46=0,BD46=0),0,IF(AND(BB46=0,BC46=0),BD46/1,IF(AND(BB46=0,BD46=0),BC46/1,IF(AND(BC46=0,BD46=0),BB46/1,IF(BB46=0,FLOOR((BC46+BD46)/2,0.1),IF(BC46=0,(BB46+BD46)/2,IF(BD46=0,(BC46+BB46)/2,FLOOR(((BB46+BC46+BD46)/3),0.1))))))))</f>
        <v/>
      </c>
      <c r="BF46" s="21" t="n"/>
      <c r="BG46" s="21" t="n"/>
      <c r="BH46" s="27">
        <f>SUM(BF46:BG46)</f>
        <v/>
      </c>
      <c r="BI46" s="28" t="n"/>
      <c r="BJ46" s="28" t="n"/>
      <c r="BK46" s="29">
        <f>IF(AND(BH46=0,BI46=0,BJ46=0),0,IF(AND(BH46=0,BI46=0),BJ46/1,IF(AND(BH46=0,BJ46=0),BI46/1,IF(AND(BI46=0,BJ46=0),BH46/1,IF(BH46=0,FLOOR((BI46+BJ46)/2,0.1),IF(BI46=0,(BH46+BJ46)/2,IF(BJ46=0,(BI46+BH46)/2,FLOOR(((BH46+BI46+BJ46)/3),0.1))))))))</f>
        <v/>
      </c>
      <c r="BL46" s="21" t="n"/>
      <c r="BM46" s="21" t="n"/>
      <c r="BN46" s="27">
        <f>SUM(BL46:BM46)</f>
        <v/>
      </c>
      <c r="BO46" s="28" t="n"/>
      <c r="BP46" s="31" t="n"/>
      <c r="BQ46" s="29">
        <f>IF(AND(BN46=0,BO46=0,BP46=0),0,IF(AND(BN46=0,BO46=0),BP46/1,IF(AND(BN46=0,BP46=0),BO46/1,IF(AND(BO46=0,BP46=0),BN46/1,IF(BN46=0,FLOOR((BO46+BP46)/2,0.1),IF(BO46=0,(BN46+BP46)/2,IF(BP46=0,(BO46+BN46)/2,FLOOR(((BN46+BO46+BP46)/3),0.1))))))))</f>
        <v/>
      </c>
      <c r="BR46" s="21" t="n"/>
      <c r="BS46" s="21" t="n"/>
      <c r="BT46" s="27">
        <f>SUM(BR46:BS46)</f>
        <v/>
      </c>
      <c r="BU46" s="28" t="n"/>
      <c r="BV46" s="31" t="n"/>
      <c r="BW46" s="29">
        <f>IF(AND(BT46=0,BU46=0,BV46=0),0,IF(AND(BT46=0,BU46=0),BV46/1,IF(AND(BT46=0,BV46=0),BU46/1,IF(AND(BU46=0,BV46=0),BT46/1,IF(BT46=0,FLOOR((BU46+BV46)/2,0.1),IF(BU46=0,(BT46+BV46)/2,IF(BV46=0,(BU46+BT46)/2,FLOOR(((BT46+BU46+BV46)/3),0.1))))))))</f>
        <v/>
      </c>
      <c r="BX46" s="21" t="n"/>
      <c r="BY46" s="21" t="n"/>
      <c r="BZ46" s="27">
        <f>SUM(BX46:BY46)</f>
        <v/>
      </c>
      <c r="CA46" s="28" t="n"/>
      <c r="CB46" s="31" t="n"/>
      <c r="CC46" s="29">
        <f>IF(AND(BZ46=0,CA46=0,CB46=0),0,IF(AND(BZ46=0,CA46=0),CB46/1,IF(AND(BZ46=0,CB46=0),CA46/1,IF(AND(CA46=0,CB46=0),BZ46/1,IF(BZ46=0,FLOOR((CA46+CB46)/2,0.1),IF(CA46=0,(BZ46+CB46)/2,IF(CB46=0,(CA46+BZ46)/2,FLOOR(((BZ46+CA46+CB46)/3),0.1))))))))</f>
        <v/>
      </c>
      <c r="CD46" s="21" t="n"/>
      <c r="CE46" s="21" t="n"/>
      <c r="CF46" s="27">
        <f>SUM(CD46:CE46)</f>
        <v/>
      </c>
      <c r="CG46" s="28" t="n"/>
      <c r="CH46" s="31" t="n"/>
      <c r="CI46" s="29">
        <f>IF(AND(CF46=0,CG46=0,CH46=0),0,IF(AND(CF46=0,CG46=0),CH46/1,IF(AND(CF46=0,CH46=0),CG46/1,IF(AND(CG46=0,CH46=0),CF46/1,IF(CF46=0,FLOOR((CG46+CH46)/2,0.1),IF(CG46=0,(CF46+CH46)/2,IF(CH46=0,(CG46+CF46)/2,FLOOR(((CF46+CG46+CH46)/3),0.1))))))))</f>
        <v/>
      </c>
      <c r="CJ46" s="21" t="n"/>
      <c r="CK46" s="21" t="n"/>
      <c r="CL46" s="27">
        <f>SUM(CJ46:CK46)</f>
        <v/>
      </c>
      <c r="CM46" s="28" t="n"/>
      <c r="CN46" s="31" t="n"/>
      <c r="CO46" s="29">
        <f>IF(AND(CL46=0,CM46=0,CN46=0),0,IF(AND(CL46=0,CM46=0),CN46/1,IF(AND(CL46=0,CN46=0),CM46/1,IF(AND(CM46=0,CN46=0),CL46/1,IF(CL46=0,FLOOR((CM46+CN46)/2,0.1),IF(CM46=0,(CL46+CN46)/2,IF(CN46=0,(CM46+CL46)/2,FLOOR(((CL46+CM46+CN46)/3),0.1))))))))</f>
        <v/>
      </c>
      <c r="CP46" s="21" t="n"/>
      <c r="CQ46" s="21" t="n"/>
      <c r="CR46" s="27">
        <f>SUM(CP46:CQ46)</f>
        <v/>
      </c>
      <c r="CS46" s="28" t="n"/>
      <c r="CT46" s="31" t="n"/>
      <c r="CU46" s="29">
        <f>IF(AND(CR46=0,CS46=0,CT46=0),0,IF(AND(CR46=0,CS46=0),CT46/1,IF(AND(CR46=0,CT46=0),CS46/1,IF(AND(CS46=0,CT46=0),CR46/1,IF(CR46=0,FLOOR((CS46+CT46)/2,0.1),IF(CS46=0,(CR46+CT46)/2,IF(CT46=0,(CS46+CR46)/2,FLOOR(((CR46+CS46+CT46)/3),0.1))))))))</f>
        <v/>
      </c>
      <c r="CV46" s="21" t="n"/>
      <c r="CW46" s="21" t="n"/>
      <c r="CX46" s="27">
        <f>SUM(CV46:CW46)</f>
        <v/>
      </c>
      <c r="CY46" s="28" t="n"/>
      <c r="CZ46" s="31" t="n"/>
      <c r="DA46" s="29">
        <f>IF(AND(CX46=0,CY46=0,CZ46=0),0,IF(AND(CX46=0,CY46=0),CZ46/1,IF(AND(CX46=0,CZ46=0),CY46/1,IF(AND(CY46=0,CZ46=0),CX46/1,IF(CX46=0,FLOOR((CY46+CZ46)/2,0.1),IF(CY46=0,(CX46+CZ46)/2,IF(CZ46=0,(CY46+CX46)/2,FLOOR(((CX46+CY46+CZ46)/3),0.1))))))))</f>
        <v/>
      </c>
      <c r="DB46" s="21" t="n"/>
      <c r="DC46" s="21" t="n"/>
      <c r="DD46" s="27">
        <f>SUM(DB46:DC46)</f>
        <v/>
      </c>
      <c r="DE46" s="28" t="n"/>
      <c r="DF46" s="31" t="n"/>
      <c r="DG46" s="29">
        <f>IF(AND(DD46=0,DE46=0,DF46=0),0,IF(AND(DD46=0,DE46=0),DF46/1,IF(AND(DD46=0,DF46=0),DE46/1,IF(AND(DE46=0,DF46=0),DD46/1,IF(DD46=0,FLOOR((DE46+DF46)/2,0.1),IF(DE46=0,(DD46+DF46)/2,IF(DF46=0,(DE46+DD46)/2,FLOOR(((DD46+DE46+DF46)/3),0.1))))))))</f>
        <v/>
      </c>
      <c r="DH46" s="34">
        <f>SUM(O46,U46,AA46,AG46,AM46,AS46,AY46,BE46,BK46,BQ46,BW46,CC46,CI46,CO46,CU46,DA46,DG46)</f>
        <v/>
      </c>
      <c r="DI46" s="39">
        <f>RANK(DH46,DH$4:DH$503)</f>
        <v/>
      </c>
      <c r="DJ46" s="40" t="inlineStr">
        <is>
          <t>CHOOSE RATING</t>
        </is>
      </c>
      <c r="DK46" s="40" t="inlineStr">
        <is>
          <t>CHOOSE RATING</t>
        </is>
      </c>
      <c r="DL46" s="40" t="inlineStr">
        <is>
          <t>CHOOSE RATING</t>
        </is>
      </c>
      <c r="DM46" s="40" t="inlineStr">
        <is>
          <t>CHOOSE RATING</t>
        </is>
      </c>
      <c r="DN46" s="40" t="inlineStr">
        <is>
          <t>CHOOSE RATING</t>
        </is>
      </c>
      <c r="DO46" s="40" t="inlineStr">
        <is>
          <t>CHOOSE RATING</t>
        </is>
      </c>
      <c r="DP46" s="40" t="inlineStr">
        <is>
          <t>CHOOSE RATING</t>
        </is>
      </c>
      <c r="DQ46" s="40" t="inlineStr">
        <is>
          <t>CHOOSE RATING</t>
        </is>
      </c>
      <c r="DR46" s="43" t="inlineStr">
        <is>
          <t>2024/2025</t>
        </is>
      </c>
      <c r="DS46" s="45" t="inlineStr">
        <is>
          <t>THIRD</t>
        </is>
      </c>
      <c r="DT46" s="40" t="inlineStr">
        <is>
          <t>CHOOSE RATING</t>
        </is>
      </c>
      <c r="DU46" s="40" t="inlineStr">
        <is>
          <t>CHOOSE RATING</t>
        </is>
      </c>
      <c r="DV46" s="40" t="inlineStr">
        <is>
          <t>CHOOSE RATING</t>
        </is>
      </c>
      <c r="DW46" s="40" t="inlineStr">
        <is>
          <t>CHOOSE RATING</t>
        </is>
      </c>
      <c r="DX46" s="40" t="inlineStr">
        <is>
          <t>CHOOSE RATING</t>
        </is>
      </c>
      <c r="DY46" s="40" t="inlineStr">
        <is>
          <t>CHOOSE RATING</t>
        </is>
      </c>
      <c r="DZ46" s="53" t="inlineStr">
        <is>
          <t>CHOOSE RATING</t>
        </is>
      </c>
      <c r="EA46" s="54" t="inlineStr">
        <is>
          <t>Add the Tutor's Comment . . .</t>
        </is>
      </c>
      <c r="EB46" s="55" t="inlineStr">
        <is>
          <t>Choose Principals comment</t>
        </is>
      </c>
      <c r="EC46" s="56" t="n"/>
      <c r="ED46" s="57" t="inlineStr">
        <is>
          <t>Next Term Begins on Monday, 22nd September, 2025</t>
        </is>
      </c>
    </row>
    <row r="47" ht="30.6" customHeight="1" s="6">
      <c r="A47" s="18" t="n">
        <v>44</v>
      </c>
      <c r="B47" s="19" t="n"/>
      <c r="C47" s="20" t="n"/>
      <c r="D47" s="128" t="n"/>
      <c r="E47" s="21" t="n"/>
      <c r="F47" s="22" t="n"/>
      <c r="G47" s="22" t="n"/>
      <c r="H47" s="22" t="n"/>
      <c r="I47" s="26">
        <f>G47-H47</f>
        <v/>
      </c>
      <c r="J47" s="21" t="n"/>
      <c r="K47" s="21" t="n"/>
      <c r="L47" s="27">
        <f>SUM(J47:K47)</f>
        <v/>
      </c>
      <c r="M47" s="28" t="n"/>
      <c r="N47" s="28" t="n"/>
      <c r="O47" s="29">
        <f>IF(AND(L47=0,M47=0,N47=0),0,IF(AND(L47=0,M47=0),N47/1,IF(AND(L47=0,N47=0),M47/1,IF(AND(M47=0,N47=0),L47/1,IF(L47=0,FLOOR((M47+N47)/2,0.1),IF(M47=0,(L47+N47)/2,IF(N47=0,(M47+L47)/2,FLOOR(((L47+M47+N47)/3),0.1))))))))</f>
        <v/>
      </c>
      <c r="P47" s="21" t="n"/>
      <c r="Q47" s="21" t="n"/>
      <c r="R47" s="27">
        <f>SUM(P47:Q47)</f>
        <v/>
      </c>
      <c r="S47" s="28" t="n"/>
      <c r="T47" s="28" t="n"/>
      <c r="U47" s="29">
        <f>IF(AND(R47=0,S47=0,T47=0),0,IF(AND(R47=0,S47=0),T47/1,IF(AND(R47=0,T47=0),S47/1,IF(AND(S47=0,T47=0),R47/1,IF(R47=0,FLOOR((S47+T47)/2,0.1),IF(S47=0,(R47+T47)/2,IF(T47=0,(S47+R47)/2,FLOOR(((R47+S47+T47)/3),0.1))))))))</f>
        <v/>
      </c>
      <c r="V47" s="21" t="n"/>
      <c r="W47" s="21" t="n"/>
      <c r="X47" s="27">
        <f>SUM(V47:W47)</f>
        <v/>
      </c>
      <c r="Y47" s="28" t="n"/>
      <c r="Z47" s="28" t="n"/>
      <c r="AA47" s="29">
        <f>IF(AND(X47=0,Y47=0,Z47=0),0,IF(AND(X47=0,Y47=0),Z47/1,IF(AND(X47=0,Z47=0),Y47/1,IF(AND(Y47=0,Z47=0),X47/1,IF(X47=0,FLOOR((Y47+Z47)/2,0.1),IF(Y47=0,(X47+Z47)/2,IF(Z47=0,(Y47+X47)/2,FLOOR(((X47+Y47+Z47)/3),0.1))))))))</f>
        <v/>
      </c>
      <c r="AB47" s="21" t="n"/>
      <c r="AC47" s="21" t="n"/>
      <c r="AD47" s="27">
        <f>SUM(AB47:AC47)</f>
        <v/>
      </c>
      <c r="AE47" s="28" t="n"/>
      <c r="AF47" s="28" t="n"/>
      <c r="AG47" s="29">
        <f>IF(AND(AD47=0,AE47=0,AF47=0),0,IF(AND(AD47=0,AE47=0),AF47/1,IF(AND(AD47=0,AF47=0),AE47/1,IF(AND(AE47=0,AF47=0),AD47/1,IF(AD47=0,FLOOR((AE47+AF47)/2,0.1),IF(AE47=0,(AD47+AF47)/2,IF(AF47=0,(AE47+AD47)/2,FLOOR(((AD47+AE47+AF47)/3),0.1))))))))</f>
        <v/>
      </c>
      <c r="AH47" s="21" t="n"/>
      <c r="AI47" s="21" t="n"/>
      <c r="AJ47" s="27">
        <f>SUM(AH47:AI47)</f>
        <v/>
      </c>
      <c r="AK47" s="28" t="n"/>
      <c r="AL47" s="28" t="n"/>
      <c r="AM47" s="29">
        <f>IF(AND(AJ47=0,AK47=0,AL47=0),0,IF(AND(AJ47=0,AK47=0),AL47/1,IF(AND(AJ47=0,AL47=0),AK47/1,IF(AND(AK47=0,AL47=0),AJ47/1,IF(AJ47=0,FLOOR((AK47+AL47)/2,0.1),IF(AK47=0,(AJ47+AL47)/2,IF(AL47=0,(AK47+AJ47)/2,FLOOR(((AJ47+AK47+AL47)/3),0.1))))))))</f>
        <v/>
      </c>
      <c r="AN47" s="21" t="n"/>
      <c r="AO47" s="21" t="n"/>
      <c r="AP47" s="27">
        <f>SUM(AN47:AO47)</f>
        <v/>
      </c>
      <c r="AQ47" s="28" t="n"/>
      <c r="AR47" s="30" t="n"/>
      <c r="AS47" s="29">
        <f>IF(AND(AP47=0,AQ47=0,AR47=0),0,IF(AND(AP47=0,AQ47=0),AR47/1,IF(AND(AP47=0,AR47=0),AQ47/1,IF(AND(AQ47=0,AR47=0),AP47/1,IF(AP47=0,FLOOR((AQ47+AR47)/2,0.1),IF(AQ47=0,(AP47+AR47)/2,IF(AR47=0,(AQ47+AP47)/2,FLOOR(((AP47+AQ47+AR47)/3),0.1))))))))</f>
        <v/>
      </c>
      <c r="AT47" s="21" t="n"/>
      <c r="AU47" s="21" t="n"/>
      <c r="AV47" s="27">
        <f>SUM(AT47:AU47)</f>
        <v/>
      </c>
      <c r="AW47" s="28" t="n"/>
      <c r="AX47" s="30" t="n"/>
      <c r="AY47" s="29">
        <f>IF(AND(AV47=0,AW47=0,AX47=0),0,IF(AND(AV47=0,AW47=0),AX47/1,IF(AND(AV47=0,AX47=0),AW47/1,IF(AND(AW47=0,AX47=0),AV47/1,IF(AV47=0,FLOOR((AW47+AX47)/2,0.1),IF(AW47=0,(AV47+AX47)/2,IF(AX47=0,(AW47+AV47)/2,FLOOR(((AV47+AW47+AX47)/3),0.1))))))))</f>
        <v/>
      </c>
      <c r="AZ47" s="21" t="n"/>
      <c r="BA47" s="21" t="n"/>
      <c r="BB47" s="27">
        <f>SUM(AZ47:BA47)</f>
        <v/>
      </c>
      <c r="BC47" s="28" t="n"/>
      <c r="BD47" s="28" t="n"/>
      <c r="BE47" s="29">
        <f>IF(AND(BB47=0,BC47=0,BD47=0),0,IF(AND(BB47=0,BC47=0),BD47/1,IF(AND(BB47=0,BD47=0),BC47/1,IF(AND(BC47=0,BD47=0),BB47/1,IF(BB47=0,FLOOR((BC47+BD47)/2,0.1),IF(BC47=0,(BB47+BD47)/2,IF(BD47=0,(BC47+BB47)/2,FLOOR(((BB47+BC47+BD47)/3),0.1))))))))</f>
        <v/>
      </c>
      <c r="BF47" s="21" t="n"/>
      <c r="BG47" s="21" t="n"/>
      <c r="BH47" s="27">
        <f>SUM(BF47:BG47)</f>
        <v/>
      </c>
      <c r="BI47" s="28" t="n"/>
      <c r="BJ47" s="28" t="n"/>
      <c r="BK47" s="29">
        <f>IF(AND(BH47=0,BI47=0,BJ47=0),0,IF(AND(BH47=0,BI47=0),BJ47/1,IF(AND(BH47=0,BJ47=0),BI47/1,IF(AND(BI47=0,BJ47=0),BH47/1,IF(BH47=0,FLOOR((BI47+BJ47)/2,0.1),IF(BI47=0,(BH47+BJ47)/2,IF(BJ47=0,(BI47+BH47)/2,FLOOR(((BH47+BI47+BJ47)/3),0.1))))))))</f>
        <v/>
      </c>
      <c r="BL47" s="21" t="n"/>
      <c r="BM47" s="21" t="n"/>
      <c r="BN47" s="27">
        <f>SUM(BL47:BM47)</f>
        <v/>
      </c>
      <c r="BO47" s="28" t="n"/>
      <c r="BP47" s="31" t="n"/>
      <c r="BQ47" s="29">
        <f>IF(AND(BN47=0,BO47=0,BP47=0),0,IF(AND(BN47=0,BO47=0),BP47/1,IF(AND(BN47=0,BP47=0),BO47/1,IF(AND(BO47=0,BP47=0),BN47/1,IF(BN47=0,FLOOR((BO47+BP47)/2,0.1),IF(BO47=0,(BN47+BP47)/2,IF(BP47=0,(BO47+BN47)/2,FLOOR(((BN47+BO47+BP47)/3),0.1))))))))</f>
        <v/>
      </c>
      <c r="BR47" s="21" t="n"/>
      <c r="BS47" s="21" t="n"/>
      <c r="BT47" s="27">
        <f>SUM(BR47:BS47)</f>
        <v/>
      </c>
      <c r="BU47" s="28" t="n"/>
      <c r="BV47" s="31" t="n"/>
      <c r="BW47" s="29">
        <f>IF(AND(BT47=0,BU47=0,BV47=0),0,IF(AND(BT47=0,BU47=0),BV47/1,IF(AND(BT47=0,BV47=0),BU47/1,IF(AND(BU47=0,BV47=0),BT47/1,IF(BT47=0,FLOOR((BU47+BV47)/2,0.1),IF(BU47=0,(BT47+BV47)/2,IF(BV47=0,(BU47+BT47)/2,FLOOR(((BT47+BU47+BV47)/3),0.1))))))))</f>
        <v/>
      </c>
      <c r="BX47" s="21" t="n"/>
      <c r="BY47" s="21" t="n"/>
      <c r="BZ47" s="27">
        <f>SUM(BX47:BY47)</f>
        <v/>
      </c>
      <c r="CA47" s="28" t="n"/>
      <c r="CB47" s="31" t="n"/>
      <c r="CC47" s="29">
        <f>IF(AND(BZ47=0,CA47=0,CB47=0),0,IF(AND(BZ47=0,CA47=0),CB47/1,IF(AND(BZ47=0,CB47=0),CA47/1,IF(AND(CA47=0,CB47=0),BZ47/1,IF(BZ47=0,FLOOR((CA47+CB47)/2,0.1),IF(CA47=0,(BZ47+CB47)/2,IF(CB47=0,(CA47+BZ47)/2,FLOOR(((BZ47+CA47+CB47)/3),0.1))))))))</f>
        <v/>
      </c>
      <c r="CD47" s="21" t="n"/>
      <c r="CE47" s="21" t="n"/>
      <c r="CF47" s="27">
        <f>SUM(CD47:CE47)</f>
        <v/>
      </c>
      <c r="CG47" s="28" t="n"/>
      <c r="CH47" s="31" t="n"/>
      <c r="CI47" s="29">
        <f>IF(AND(CF47=0,CG47=0,CH47=0),0,IF(AND(CF47=0,CG47=0),CH47/1,IF(AND(CF47=0,CH47=0),CG47/1,IF(AND(CG47=0,CH47=0),CF47/1,IF(CF47=0,FLOOR((CG47+CH47)/2,0.1),IF(CG47=0,(CF47+CH47)/2,IF(CH47=0,(CG47+CF47)/2,FLOOR(((CF47+CG47+CH47)/3),0.1))))))))</f>
        <v/>
      </c>
      <c r="CJ47" s="21" t="n"/>
      <c r="CK47" s="21" t="n"/>
      <c r="CL47" s="27">
        <f>SUM(CJ47:CK47)</f>
        <v/>
      </c>
      <c r="CM47" s="28" t="n"/>
      <c r="CN47" s="31" t="n"/>
      <c r="CO47" s="29">
        <f>IF(AND(CL47=0,CM47=0,CN47=0),0,IF(AND(CL47=0,CM47=0),CN47/1,IF(AND(CL47=0,CN47=0),CM47/1,IF(AND(CM47=0,CN47=0),CL47/1,IF(CL47=0,FLOOR((CM47+CN47)/2,0.1),IF(CM47=0,(CL47+CN47)/2,IF(CN47=0,(CM47+CL47)/2,FLOOR(((CL47+CM47+CN47)/3),0.1))))))))</f>
        <v/>
      </c>
      <c r="CP47" s="21" t="n"/>
      <c r="CQ47" s="21" t="n"/>
      <c r="CR47" s="27">
        <f>SUM(CP47:CQ47)</f>
        <v/>
      </c>
      <c r="CS47" s="28" t="n"/>
      <c r="CT47" s="31" t="n"/>
      <c r="CU47" s="29">
        <f>IF(AND(CR47=0,CS47=0,CT47=0),0,IF(AND(CR47=0,CS47=0),CT47/1,IF(AND(CR47=0,CT47=0),CS47/1,IF(AND(CS47=0,CT47=0),CR47/1,IF(CR47=0,FLOOR((CS47+CT47)/2,0.1),IF(CS47=0,(CR47+CT47)/2,IF(CT47=0,(CS47+CR47)/2,FLOOR(((CR47+CS47+CT47)/3),0.1))))))))</f>
        <v/>
      </c>
      <c r="CV47" s="21" t="n"/>
      <c r="CW47" s="21" t="n"/>
      <c r="CX47" s="27">
        <f>SUM(CV47:CW47)</f>
        <v/>
      </c>
      <c r="CY47" s="28" t="n"/>
      <c r="CZ47" s="31" t="n"/>
      <c r="DA47" s="29">
        <f>IF(AND(CX47=0,CY47=0,CZ47=0),0,IF(AND(CX47=0,CY47=0),CZ47/1,IF(AND(CX47=0,CZ47=0),CY47/1,IF(AND(CY47=0,CZ47=0),CX47/1,IF(CX47=0,FLOOR((CY47+CZ47)/2,0.1),IF(CY47=0,(CX47+CZ47)/2,IF(CZ47=0,(CY47+CX47)/2,FLOOR(((CX47+CY47+CZ47)/3),0.1))))))))</f>
        <v/>
      </c>
      <c r="DB47" s="21" t="n"/>
      <c r="DC47" s="21" t="n"/>
      <c r="DD47" s="27">
        <f>SUM(DB47:DC47)</f>
        <v/>
      </c>
      <c r="DE47" s="28" t="n"/>
      <c r="DF47" s="31" t="n"/>
      <c r="DG47" s="29">
        <f>IF(AND(DD47=0,DE47=0,DF47=0),0,IF(AND(DD47=0,DE47=0),DF47/1,IF(AND(DD47=0,DF47=0),DE47/1,IF(AND(DE47=0,DF47=0),DD47/1,IF(DD47=0,FLOOR((DE47+DF47)/2,0.1),IF(DE47=0,(DD47+DF47)/2,IF(DF47=0,(DE47+DD47)/2,FLOOR(((DD47+DE47+DF47)/3),0.1))))))))</f>
        <v/>
      </c>
      <c r="DH47" s="34">
        <f>SUM(O47,U47,AA47,AG47,AM47,AS47,AY47,BE47,BK47,BQ47,BW47,CC47,CI47,CO47,CU47,DA47,DG47)</f>
        <v/>
      </c>
      <c r="DI47" s="39">
        <f>RANK(DH47,DH$4:DH$503)</f>
        <v/>
      </c>
      <c r="DJ47" s="40" t="inlineStr">
        <is>
          <t>CHOOSE RATING</t>
        </is>
      </c>
      <c r="DK47" s="40" t="inlineStr">
        <is>
          <t>CHOOSE RATING</t>
        </is>
      </c>
      <c r="DL47" s="40" t="inlineStr">
        <is>
          <t>CHOOSE RATING</t>
        </is>
      </c>
      <c r="DM47" s="40" t="inlineStr">
        <is>
          <t>CHOOSE RATING</t>
        </is>
      </c>
      <c r="DN47" s="40" t="inlineStr">
        <is>
          <t>CHOOSE RATING</t>
        </is>
      </c>
      <c r="DO47" s="40" t="inlineStr">
        <is>
          <t>CHOOSE RATING</t>
        </is>
      </c>
      <c r="DP47" s="40" t="inlineStr">
        <is>
          <t>CHOOSE RATING</t>
        </is>
      </c>
      <c r="DQ47" s="40" t="inlineStr">
        <is>
          <t>CHOOSE RATING</t>
        </is>
      </c>
      <c r="DR47" s="43" t="inlineStr">
        <is>
          <t>2024/2025</t>
        </is>
      </c>
      <c r="DS47" s="45" t="inlineStr">
        <is>
          <t>THIRD</t>
        </is>
      </c>
      <c r="DT47" s="40" t="inlineStr">
        <is>
          <t>CHOOSE RATING</t>
        </is>
      </c>
      <c r="DU47" s="40" t="inlineStr">
        <is>
          <t>CHOOSE RATING</t>
        </is>
      </c>
      <c r="DV47" s="40" t="inlineStr">
        <is>
          <t>CHOOSE RATING</t>
        </is>
      </c>
      <c r="DW47" s="40" t="inlineStr">
        <is>
          <t>CHOOSE RATING</t>
        </is>
      </c>
      <c r="DX47" s="40" t="inlineStr">
        <is>
          <t>CHOOSE RATING</t>
        </is>
      </c>
      <c r="DY47" s="40" t="inlineStr">
        <is>
          <t>CHOOSE RATING</t>
        </is>
      </c>
      <c r="DZ47" s="53" t="inlineStr">
        <is>
          <t>CHOOSE RATING</t>
        </is>
      </c>
      <c r="EA47" s="54" t="inlineStr">
        <is>
          <t>Add the Tutor's Comment . . .</t>
        </is>
      </c>
      <c r="EB47" s="55" t="inlineStr">
        <is>
          <t>Choose Principals comment</t>
        </is>
      </c>
      <c r="EC47" s="56" t="n"/>
      <c r="ED47" s="57" t="inlineStr">
        <is>
          <t>Next Term Begins on Monday, 22nd September, 2025</t>
        </is>
      </c>
    </row>
    <row r="48" ht="30.6" customHeight="1" s="6">
      <c r="A48" s="18" t="n">
        <v>45</v>
      </c>
      <c r="B48" s="19" t="n"/>
      <c r="C48" s="20" t="n"/>
      <c r="D48" s="128" t="n"/>
      <c r="E48" s="21" t="n"/>
      <c r="F48" s="22" t="n"/>
      <c r="G48" s="22" t="n"/>
      <c r="H48" s="22" t="n"/>
      <c r="I48" s="26">
        <f>G48-H48</f>
        <v/>
      </c>
      <c r="J48" s="21" t="n"/>
      <c r="K48" s="21" t="n"/>
      <c r="L48" s="27">
        <f>SUM(J48:K48)</f>
        <v/>
      </c>
      <c r="M48" s="28" t="n"/>
      <c r="N48" s="28" t="n"/>
      <c r="O48" s="29">
        <f>IF(AND(L48=0,M48=0,N48=0),0,IF(AND(L48=0,M48=0),N48/1,IF(AND(L48=0,N48=0),M48/1,IF(AND(M48=0,N48=0),L48/1,IF(L48=0,FLOOR((M48+N48)/2,0.1),IF(M48=0,(L48+N48)/2,IF(N48=0,(M48+L48)/2,FLOOR(((L48+M48+N48)/3),0.1))))))))</f>
        <v/>
      </c>
      <c r="P48" s="21" t="n"/>
      <c r="Q48" s="21" t="n"/>
      <c r="R48" s="27">
        <f>SUM(P48:Q48)</f>
        <v/>
      </c>
      <c r="S48" s="28" t="n"/>
      <c r="T48" s="28" t="n"/>
      <c r="U48" s="29">
        <f>IF(AND(R48=0,S48=0,T48=0),0,IF(AND(R48=0,S48=0),T48/1,IF(AND(R48=0,T48=0),S48/1,IF(AND(S48=0,T48=0),R48/1,IF(R48=0,FLOOR((S48+T48)/2,0.1),IF(S48=0,(R48+T48)/2,IF(T48=0,(S48+R48)/2,FLOOR(((R48+S48+T48)/3),0.1))))))))</f>
        <v/>
      </c>
      <c r="V48" s="21" t="n"/>
      <c r="W48" s="21" t="n"/>
      <c r="X48" s="27">
        <f>SUM(V48:W48)</f>
        <v/>
      </c>
      <c r="Y48" s="28" t="n"/>
      <c r="Z48" s="28" t="n"/>
      <c r="AA48" s="29">
        <f>IF(AND(X48=0,Y48=0,Z48=0),0,IF(AND(X48=0,Y48=0),Z48/1,IF(AND(X48=0,Z48=0),Y48/1,IF(AND(Y48=0,Z48=0),X48/1,IF(X48=0,FLOOR((Y48+Z48)/2,0.1),IF(Y48=0,(X48+Z48)/2,IF(Z48=0,(Y48+X48)/2,FLOOR(((X48+Y48+Z48)/3),0.1))))))))</f>
        <v/>
      </c>
      <c r="AB48" s="21" t="n"/>
      <c r="AC48" s="21" t="n"/>
      <c r="AD48" s="27">
        <f>SUM(AB48:AC48)</f>
        <v/>
      </c>
      <c r="AE48" s="28" t="n"/>
      <c r="AF48" s="28" t="n"/>
      <c r="AG48" s="29">
        <f>IF(AND(AD48=0,AE48=0,AF48=0),0,IF(AND(AD48=0,AE48=0),AF48/1,IF(AND(AD48=0,AF48=0),AE48/1,IF(AND(AE48=0,AF48=0),AD48/1,IF(AD48=0,FLOOR((AE48+AF48)/2,0.1),IF(AE48=0,(AD48+AF48)/2,IF(AF48=0,(AE48+AD48)/2,FLOOR(((AD48+AE48+AF48)/3),0.1))))))))</f>
        <v/>
      </c>
      <c r="AH48" s="21" t="n"/>
      <c r="AI48" s="21" t="n"/>
      <c r="AJ48" s="27">
        <f>SUM(AH48:AI48)</f>
        <v/>
      </c>
      <c r="AK48" s="28" t="n"/>
      <c r="AL48" s="28" t="n"/>
      <c r="AM48" s="29">
        <f>IF(AND(AJ48=0,AK48=0,AL48=0),0,IF(AND(AJ48=0,AK48=0),AL48/1,IF(AND(AJ48=0,AL48=0),AK48/1,IF(AND(AK48=0,AL48=0),AJ48/1,IF(AJ48=0,FLOOR((AK48+AL48)/2,0.1),IF(AK48=0,(AJ48+AL48)/2,IF(AL48=0,(AK48+AJ48)/2,FLOOR(((AJ48+AK48+AL48)/3),0.1))))))))</f>
        <v/>
      </c>
      <c r="AN48" s="21" t="n"/>
      <c r="AO48" s="21" t="n"/>
      <c r="AP48" s="27">
        <f>SUM(AN48:AO48)</f>
        <v/>
      </c>
      <c r="AQ48" s="28" t="n"/>
      <c r="AR48" s="30" t="n"/>
      <c r="AS48" s="29">
        <f>IF(AND(AP48=0,AQ48=0,AR48=0),0,IF(AND(AP48=0,AQ48=0),AR48/1,IF(AND(AP48=0,AR48=0),AQ48/1,IF(AND(AQ48=0,AR48=0),AP48/1,IF(AP48=0,FLOOR((AQ48+AR48)/2,0.1),IF(AQ48=0,(AP48+AR48)/2,IF(AR48=0,(AQ48+AP48)/2,FLOOR(((AP48+AQ48+AR48)/3),0.1))))))))</f>
        <v/>
      </c>
      <c r="AT48" s="21" t="n"/>
      <c r="AU48" s="21" t="n"/>
      <c r="AV48" s="27">
        <f>SUM(AT48:AU48)</f>
        <v/>
      </c>
      <c r="AW48" s="28" t="n"/>
      <c r="AX48" s="30" t="n"/>
      <c r="AY48" s="29">
        <f>IF(AND(AV48=0,AW48=0,AX48=0),0,IF(AND(AV48=0,AW48=0),AX48/1,IF(AND(AV48=0,AX48=0),AW48/1,IF(AND(AW48=0,AX48=0),AV48/1,IF(AV48=0,FLOOR((AW48+AX48)/2,0.1),IF(AW48=0,(AV48+AX48)/2,IF(AX48=0,(AW48+AV48)/2,FLOOR(((AV48+AW48+AX48)/3),0.1))))))))</f>
        <v/>
      </c>
      <c r="AZ48" s="21" t="n"/>
      <c r="BA48" s="21" t="n"/>
      <c r="BB48" s="27">
        <f>SUM(AZ48:BA48)</f>
        <v/>
      </c>
      <c r="BC48" s="28" t="n"/>
      <c r="BD48" s="28" t="n"/>
      <c r="BE48" s="29">
        <f>IF(AND(BB48=0,BC48=0,BD48=0),0,IF(AND(BB48=0,BC48=0),BD48/1,IF(AND(BB48=0,BD48=0),BC48/1,IF(AND(BC48=0,BD48=0),BB48/1,IF(BB48=0,FLOOR((BC48+BD48)/2,0.1),IF(BC48=0,(BB48+BD48)/2,IF(BD48=0,(BC48+BB48)/2,FLOOR(((BB48+BC48+BD48)/3),0.1))))))))</f>
        <v/>
      </c>
      <c r="BF48" s="21" t="n"/>
      <c r="BG48" s="21" t="n"/>
      <c r="BH48" s="27">
        <f>SUM(BF48:BG48)</f>
        <v/>
      </c>
      <c r="BI48" s="28" t="n"/>
      <c r="BJ48" s="28" t="n"/>
      <c r="BK48" s="29">
        <f>IF(AND(BH48=0,BI48=0,BJ48=0),0,IF(AND(BH48=0,BI48=0),BJ48/1,IF(AND(BH48=0,BJ48=0),BI48/1,IF(AND(BI48=0,BJ48=0),BH48/1,IF(BH48=0,FLOOR((BI48+BJ48)/2,0.1),IF(BI48=0,(BH48+BJ48)/2,IF(BJ48=0,(BI48+BH48)/2,FLOOR(((BH48+BI48+BJ48)/3),0.1))))))))</f>
        <v/>
      </c>
      <c r="BL48" s="21" t="n"/>
      <c r="BM48" s="21" t="n"/>
      <c r="BN48" s="27">
        <f>SUM(BL48:BM48)</f>
        <v/>
      </c>
      <c r="BO48" s="28" t="n"/>
      <c r="BP48" s="31" t="n"/>
      <c r="BQ48" s="29">
        <f>IF(AND(BN48=0,BO48=0,BP48=0),0,IF(AND(BN48=0,BO48=0),BP48/1,IF(AND(BN48=0,BP48=0),BO48/1,IF(AND(BO48=0,BP48=0),BN48/1,IF(BN48=0,FLOOR((BO48+BP48)/2,0.1),IF(BO48=0,(BN48+BP48)/2,IF(BP48=0,(BO48+BN48)/2,FLOOR(((BN48+BO48+BP48)/3),0.1))))))))</f>
        <v/>
      </c>
      <c r="BR48" s="21" t="n"/>
      <c r="BS48" s="21" t="n"/>
      <c r="BT48" s="27">
        <f>SUM(BR48:BS48)</f>
        <v/>
      </c>
      <c r="BU48" s="28" t="n"/>
      <c r="BV48" s="31" t="n"/>
      <c r="BW48" s="29">
        <f>IF(AND(BT48=0,BU48=0,BV48=0),0,IF(AND(BT48=0,BU48=0),BV48/1,IF(AND(BT48=0,BV48=0),BU48/1,IF(AND(BU48=0,BV48=0),BT48/1,IF(BT48=0,FLOOR((BU48+BV48)/2,0.1),IF(BU48=0,(BT48+BV48)/2,IF(BV48=0,(BU48+BT48)/2,FLOOR(((BT48+BU48+BV48)/3),0.1))))))))</f>
        <v/>
      </c>
      <c r="BX48" s="21" t="n"/>
      <c r="BY48" s="21" t="n"/>
      <c r="BZ48" s="27">
        <f>SUM(BX48:BY48)</f>
        <v/>
      </c>
      <c r="CA48" s="28" t="n"/>
      <c r="CB48" s="31" t="n"/>
      <c r="CC48" s="29">
        <f>IF(AND(BZ48=0,CA48=0,CB48=0),0,IF(AND(BZ48=0,CA48=0),CB48/1,IF(AND(BZ48=0,CB48=0),CA48/1,IF(AND(CA48=0,CB48=0),BZ48/1,IF(BZ48=0,FLOOR((CA48+CB48)/2,0.1),IF(CA48=0,(BZ48+CB48)/2,IF(CB48=0,(CA48+BZ48)/2,FLOOR(((BZ48+CA48+CB48)/3),0.1))))))))</f>
        <v/>
      </c>
      <c r="CD48" s="21" t="n"/>
      <c r="CE48" s="21" t="n"/>
      <c r="CF48" s="27">
        <f>SUM(CD48:CE48)</f>
        <v/>
      </c>
      <c r="CG48" s="28" t="n"/>
      <c r="CH48" s="31" t="n"/>
      <c r="CI48" s="29">
        <f>IF(AND(CF48=0,CG48=0,CH48=0),0,IF(AND(CF48=0,CG48=0),CH48/1,IF(AND(CF48=0,CH48=0),CG48/1,IF(AND(CG48=0,CH48=0),CF48/1,IF(CF48=0,FLOOR((CG48+CH48)/2,0.1),IF(CG48=0,(CF48+CH48)/2,IF(CH48=0,(CG48+CF48)/2,FLOOR(((CF48+CG48+CH48)/3),0.1))))))))</f>
        <v/>
      </c>
      <c r="CJ48" s="21" t="n"/>
      <c r="CK48" s="21" t="n"/>
      <c r="CL48" s="27">
        <f>SUM(CJ48:CK48)</f>
        <v/>
      </c>
      <c r="CM48" s="28" t="n"/>
      <c r="CN48" s="31" t="n"/>
      <c r="CO48" s="29">
        <f>IF(AND(CL48=0,CM48=0,CN48=0),0,IF(AND(CL48=0,CM48=0),CN48/1,IF(AND(CL48=0,CN48=0),CM48/1,IF(AND(CM48=0,CN48=0),CL48/1,IF(CL48=0,FLOOR((CM48+CN48)/2,0.1),IF(CM48=0,(CL48+CN48)/2,IF(CN48=0,(CM48+CL48)/2,FLOOR(((CL48+CM48+CN48)/3),0.1))))))))</f>
        <v/>
      </c>
      <c r="CP48" s="21" t="n"/>
      <c r="CQ48" s="21" t="n"/>
      <c r="CR48" s="27">
        <f>SUM(CP48:CQ48)</f>
        <v/>
      </c>
      <c r="CS48" s="28" t="n"/>
      <c r="CT48" s="31" t="n"/>
      <c r="CU48" s="29">
        <f>IF(AND(CR48=0,CS48=0,CT48=0),0,IF(AND(CR48=0,CS48=0),CT48/1,IF(AND(CR48=0,CT48=0),CS48/1,IF(AND(CS48=0,CT48=0),CR48/1,IF(CR48=0,FLOOR((CS48+CT48)/2,0.1),IF(CS48=0,(CR48+CT48)/2,IF(CT48=0,(CS48+CR48)/2,FLOOR(((CR48+CS48+CT48)/3),0.1))))))))</f>
        <v/>
      </c>
      <c r="CV48" s="21" t="n"/>
      <c r="CW48" s="21" t="n"/>
      <c r="CX48" s="27">
        <f>SUM(CV48:CW48)</f>
        <v/>
      </c>
      <c r="CY48" s="28" t="n"/>
      <c r="CZ48" s="31" t="n"/>
      <c r="DA48" s="29">
        <f>IF(AND(CX48=0,CY48=0,CZ48=0),0,IF(AND(CX48=0,CY48=0),CZ48/1,IF(AND(CX48=0,CZ48=0),CY48/1,IF(AND(CY48=0,CZ48=0),CX48/1,IF(CX48=0,FLOOR((CY48+CZ48)/2,0.1),IF(CY48=0,(CX48+CZ48)/2,IF(CZ48=0,(CY48+CX48)/2,FLOOR(((CX48+CY48+CZ48)/3),0.1))))))))</f>
        <v/>
      </c>
      <c r="DB48" s="21" t="n"/>
      <c r="DC48" s="21" t="n"/>
      <c r="DD48" s="27">
        <f>SUM(DB48:DC48)</f>
        <v/>
      </c>
      <c r="DE48" s="28" t="n"/>
      <c r="DF48" s="31" t="n"/>
      <c r="DG48" s="29">
        <f>IF(AND(DD48=0,DE48=0,DF48=0),0,IF(AND(DD48=0,DE48=0),DF48/1,IF(AND(DD48=0,DF48=0),DE48/1,IF(AND(DE48=0,DF48=0),DD48/1,IF(DD48=0,FLOOR((DE48+DF48)/2,0.1),IF(DE48=0,(DD48+DF48)/2,IF(DF48=0,(DE48+DD48)/2,FLOOR(((DD48+DE48+DF48)/3),0.1))))))))</f>
        <v/>
      </c>
      <c r="DH48" s="34">
        <f>SUM(O48,U48,AA48,AG48,AM48,AS48,AY48,BE48,BK48,BQ48,BW48,CC48,CI48,CO48,CU48,DA48,DG48)</f>
        <v/>
      </c>
      <c r="DI48" s="39">
        <f>RANK(DH48,DH$4:DH$503)</f>
        <v/>
      </c>
      <c r="DJ48" s="40" t="inlineStr">
        <is>
          <t>CHOOSE RATING</t>
        </is>
      </c>
      <c r="DK48" s="40" t="inlineStr">
        <is>
          <t>CHOOSE RATING</t>
        </is>
      </c>
      <c r="DL48" s="40" t="inlineStr">
        <is>
          <t>CHOOSE RATING</t>
        </is>
      </c>
      <c r="DM48" s="40" t="inlineStr">
        <is>
          <t>CHOOSE RATING</t>
        </is>
      </c>
      <c r="DN48" s="40" t="inlineStr">
        <is>
          <t>CHOOSE RATING</t>
        </is>
      </c>
      <c r="DO48" s="40" t="inlineStr">
        <is>
          <t>CHOOSE RATING</t>
        </is>
      </c>
      <c r="DP48" s="40" t="inlineStr">
        <is>
          <t>CHOOSE RATING</t>
        </is>
      </c>
      <c r="DQ48" s="40" t="inlineStr">
        <is>
          <t>CHOOSE RATING</t>
        </is>
      </c>
      <c r="DR48" s="43" t="inlineStr">
        <is>
          <t>2024/2025</t>
        </is>
      </c>
      <c r="DS48" s="45" t="inlineStr">
        <is>
          <t>THIRD</t>
        </is>
      </c>
      <c r="DT48" s="40" t="inlineStr">
        <is>
          <t>CHOOSE RATING</t>
        </is>
      </c>
      <c r="DU48" s="40" t="inlineStr">
        <is>
          <t>CHOOSE RATING</t>
        </is>
      </c>
      <c r="DV48" s="40" t="inlineStr">
        <is>
          <t>CHOOSE RATING</t>
        </is>
      </c>
      <c r="DW48" s="40" t="inlineStr">
        <is>
          <t>CHOOSE RATING</t>
        </is>
      </c>
      <c r="DX48" s="40" t="inlineStr">
        <is>
          <t>CHOOSE RATING</t>
        </is>
      </c>
      <c r="DY48" s="40" t="inlineStr">
        <is>
          <t>CHOOSE RATING</t>
        </is>
      </c>
      <c r="DZ48" s="53" t="inlineStr">
        <is>
          <t>CHOOSE RATING</t>
        </is>
      </c>
      <c r="EA48" s="54" t="inlineStr">
        <is>
          <t>Add the Tutor's Comment . . .</t>
        </is>
      </c>
      <c r="EB48" s="55" t="inlineStr">
        <is>
          <t>Choose Principals comment</t>
        </is>
      </c>
      <c r="EC48" s="56" t="n"/>
      <c r="ED48" s="57" t="inlineStr">
        <is>
          <t>Next Term Begins on Monday, 22nd September, 2025</t>
        </is>
      </c>
    </row>
    <row r="49" ht="30.6" customHeight="1" s="6">
      <c r="A49" s="18" t="n">
        <v>46</v>
      </c>
      <c r="B49" s="19" t="n"/>
      <c r="C49" s="20" t="n"/>
      <c r="D49" s="128" t="n"/>
      <c r="E49" s="21" t="n"/>
      <c r="F49" s="22" t="n"/>
      <c r="G49" s="22" t="n"/>
      <c r="H49" s="22" t="n"/>
      <c r="I49" s="26">
        <f>G49-H49</f>
        <v/>
      </c>
      <c r="J49" s="21" t="n"/>
      <c r="K49" s="21" t="n"/>
      <c r="L49" s="27">
        <f>SUM(J49:K49)</f>
        <v/>
      </c>
      <c r="M49" s="28" t="n"/>
      <c r="N49" s="28" t="n"/>
      <c r="O49" s="29">
        <f>IF(AND(L49=0,M49=0,N49=0),0,IF(AND(L49=0,M49=0),N49/1,IF(AND(L49=0,N49=0),M49/1,IF(AND(M49=0,N49=0),L49/1,IF(L49=0,FLOOR((M49+N49)/2,0.1),IF(M49=0,(L49+N49)/2,IF(N49=0,(M49+L49)/2,FLOOR(((L49+M49+N49)/3),0.1))))))))</f>
        <v/>
      </c>
      <c r="P49" s="21" t="n"/>
      <c r="Q49" s="21" t="n"/>
      <c r="R49" s="27">
        <f>SUM(P49:Q49)</f>
        <v/>
      </c>
      <c r="S49" s="28" t="n"/>
      <c r="T49" s="28" t="n"/>
      <c r="U49" s="29">
        <f>IF(AND(R49=0,S49=0,T49=0),0,IF(AND(R49=0,S49=0),T49/1,IF(AND(R49=0,T49=0),S49/1,IF(AND(S49=0,T49=0),R49/1,IF(R49=0,FLOOR((S49+T49)/2,0.1),IF(S49=0,(R49+T49)/2,IF(T49=0,(S49+R49)/2,FLOOR(((R49+S49+T49)/3),0.1))))))))</f>
        <v/>
      </c>
      <c r="V49" s="21" t="n"/>
      <c r="W49" s="21" t="n"/>
      <c r="X49" s="27">
        <f>SUM(V49:W49)</f>
        <v/>
      </c>
      <c r="Y49" s="28" t="n"/>
      <c r="Z49" s="28" t="n"/>
      <c r="AA49" s="29">
        <f>IF(AND(X49=0,Y49=0,Z49=0),0,IF(AND(X49=0,Y49=0),Z49/1,IF(AND(X49=0,Z49=0),Y49/1,IF(AND(Y49=0,Z49=0),X49/1,IF(X49=0,FLOOR((Y49+Z49)/2,0.1),IF(Y49=0,(X49+Z49)/2,IF(Z49=0,(Y49+X49)/2,FLOOR(((X49+Y49+Z49)/3),0.1))))))))</f>
        <v/>
      </c>
      <c r="AB49" s="21" t="n"/>
      <c r="AC49" s="21" t="n"/>
      <c r="AD49" s="27">
        <f>SUM(AB49:AC49)</f>
        <v/>
      </c>
      <c r="AE49" s="28" t="n"/>
      <c r="AF49" s="28" t="n"/>
      <c r="AG49" s="29">
        <f>IF(AND(AD49=0,AE49=0,AF49=0),0,IF(AND(AD49=0,AE49=0),AF49/1,IF(AND(AD49=0,AF49=0),AE49/1,IF(AND(AE49=0,AF49=0),AD49/1,IF(AD49=0,FLOOR((AE49+AF49)/2,0.1),IF(AE49=0,(AD49+AF49)/2,IF(AF49=0,(AE49+AD49)/2,FLOOR(((AD49+AE49+AF49)/3),0.1))))))))</f>
        <v/>
      </c>
      <c r="AH49" s="21" t="n"/>
      <c r="AI49" s="21" t="n"/>
      <c r="AJ49" s="27">
        <f>SUM(AH49:AI49)</f>
        <v/>
      </c>
      <c r="AK49" s="28" t="n"/>
      <c r="AL49" s="28" t="n"/>
      <c r="AM49" s="29">
        <f>IF(AND(AJ49=0,AK49=0,AL49=0),0,IF(AND(AJ49=0,AK49=0),AL49/1,IF(AND(AJ49=0,AL49=0),AK49/1,IF(AND(AK49=0,AL49=0),AJ49/1,IF(AJ49=0,FLOOR((AK49+AL49)/2,0.1),IF(AK49=0,(AJ49+AL49)/2,IF(AL49=0,(AK49+AJ49)/2,FLOOR(((AJ49+AK49+AL49)/3),0.1))))))))</f>
        <v/>
      </c>
      <c r="AN49" s="21" t="n"/>
      <c r="AO49" s="21" t="n"/>
      <c r="AP49" s="27">
        <f>SUM(AN49:AO49)</f>
        <v/>
      </c>
      <c r="AQ49" s="28" t="n"/>
      <c r="AR49" s="30" t="n"/>
      <c r="AS49" s="29">
        <f>IF(AND(AP49=0,AQ49=0,AR49=0),0,IF(AND(AP49=0,AQ49=0),AR49/1,IF(AND(AP49=0,AR49=0),AQ49/1,IF(AND(AQ49=0,AR49=0),AP49/1,IF(AP49=0,FLOOR((AQ49+AR49)/2,0.1),IF(AQ49=0,(AP49+AR49)/2,IF(AR49=0,(AQ49+AP49)/2,FLOOR(((AP49+AQ49+AR49)/3),0.1))))))))</f>
        <v/>
      </c>
      <c r="AT49" s="21" t="n"/>
      <c r="AU49" s="21" t="n"/>
      <c r="AV49" s="27">
        <f>SUM(AT49:AU49)</f>
        <v/>
      </c>
      <c r="AW49" s="28" t="n"/>
      <c r="AX49" s="30" t="n"/>
      <c r="AY49" s="29">
        <f>IF(AND(AV49=0,AW49=0,AX49=0),0,IF(AND(AV49=0,AW49=0),AX49/1,IF(AND(AV49=0,AX49=0),AW49/1,IF(AND(AW49=0,AX49=0),AV49/1,IF(AV49=0,FLOOR((AW49+AX49)/2,0.1),IF(AW49=0,(AV49+AX49)/2,IF(AX49=0,(AW49+AV49)/2,FLOOR(((AV49+AW49+AX49)/3),0.1))))))))</f>
        <v/>
      </c>
      <c r="AZ49" s="21" t="n"/>
      <c r="BA49" s="21" t="n"/>
      <c r="BB49" s="27">
        <f>SUM(AZ49:BA49)</f>
        <v/>
      </c>
      <c r="BC49" s="28" t="n"/>
      <c r="BD49" s="28" t="n"/>
      <c r="BE49" s="29">
        <f>IF(AND(BB49=0,BC49=0,BD49=0),0,IF(AND(BB49=0,BC49=0),BD49/1,IF(AND(BB49=0,BD49=0),BC49/1,IF(AND(BC49=0,BD49=0),BB49/1,IF(BB49=0,FLOOR((BC49+BD49)/2,0.1),IF(BC49=0,(BB49+BD49)/2,IF(BD49=0,(BC49+BB49)/2,FLOOR(((BB49+BC49+BD49)/3),0.1))))))))</f>
        <v/>
      </c>
      <c r="BF49" s="21" t="n"/>
      <c r="BG49" s="21" t="n"/>
      <c r="BH49" s="27">
        <f>SUM(BF49:BG49)</f>
        <v/>
      </c>
      <c r="BI49" s="28" t="n"/>
      <c r="BJ49" s="28" t="n"/>
      <c r="BK49" s="29">
        <f>IF(AND(BH49=0,BI49=0,BJ49=0),0,IF(AND(BH49=0,BI49=0),BJ49/1,IF(AND(BH49=0,BJ49=0),BI49/1,IF(AND(BI49=0,BJ49=0),BH49/1,IF(BH49=0,FLOOR((BI49+BJ49)/2,0.1),IF(BI49=0,(BH49+BJ49)/2,IF(BJ49=0,(BI49+BH49)/2,FLOOR(((BH49+BI49+BJ49)/3),0.1))))))))</f>
        <v/>
      </c>
      <c r="BL49" s="21" t="n"/>
      <c r="BM49" s="21" t="n"/>
      <c r="BN49" s="27">
        <f>SUM(BL49:BM49)</f>
        <v/>
      </c>
      <c r="BO49" s="28" t="n"/>
      <c r="BP49" s="31" t="n"/>
      <c r="BQ49" s="29">
        <f>IF(AND(BN49=0,BO49=0,BP49=0),0,IF(AND(BN49=0,BO49=0),BP49/1,IF(AND(BN49=0,BP49=0),BO49/1,IF(AND(BO49=0,BP49=0),BN49/1,IF(BN49=0,FLOOR((BO49+BP49)/2,0.1),IF(BO49=0,(BN49+BP49)/2,IF(BP49=0,(BO49+BN49)/2,FLOOR(((BN49+BO49+BP49)/3),0.1))))))))</f>
        <v/>
      </c>
      <c r="BR49" s="21" t="n"/>
      <c r="BS49" s="21" t="n"/>
      <c r="BT49" s="27">
        <f>SUM(BR49:BS49)</f>
        <v/>
      </c>
      <c r="BU49" s="28" t="n"/>
      <c r="BV49" s="31" t="n"/>
      <c r="BW49" s="29">
        <f>IF(AND(BT49=0,BU49=0,BV49=0),0,IF(AND(BT49=0,BU49=0),BV49/1,IF(AND(BT49=0,BV49=0),BU49/1,IF(AND(BU49=0,BV49=0),BT49/1,IF(BT49=0,FLOOR((BU49+BV49)/2,0.1),IF(BU49=0,(BT49+BV49)/2,IF(BV49=0,(BU49+BT49)/2,FLOOR(((BT49+BU49+BV49)/3),0.1))))))))</f>
        <v/>
      </c>
      <c r="BX49" s="21" t="n"/>
      <c r="BY49" s="21" t="n"/>
      <c r="BZ49" s="27">
        <f>SUM(BX49:BY49)</f>
        <v/>
      </c>
      <c r="CA49" s="28" t="n"/>
      <c r="CB49" s="31" t="n"/>
      <c r="CC49" s="29">
        <f>IF(AND(BZ49=0,CA49=0,CB49=0),0,IF(AND(BZ49=0,CA49=0),CB49/1,IF(AND(BZ49=0,CB49=0),CA49/1,IF(AND(CA49=0,CB49=0),BZ49/1,IF(BZ49=0,FLOOR((CA49+CB49)/2,0.1),IF(CA49=0,(BZ49+CB49)/2,IF(CB49=0,(CA49+BZ49)/2,FLOOR(((BZ49+CA49+CB49)/3),0.1))))))))</f>
        <v/>
      </c>
      <c r="CD49" s="21" t="n"/>
      <c r="CE49" s="21" t="n"/>
      <c r="CF49" s="27">
        <f>SUM(CD49:CE49)</f>
        <v/>
      </c>
      <c r="CG49" s="28" t="n"/>
      <c r="CH49" s="31" t="n"/>
      <c r="CI49" s="29">
        <f>IF(AND(CF49=0,CG49=0,CH49=0),0,IF(AND(CF49=0,CG49=0),CH49/1,IF(AND(CF49=0,CH49=0),CG49/1,IF(AND(CG49=0,CH49=0),CF49/1,IF(CF49=0,FLOOR((CG49+CH49)/2,0.1),IF(CG49=0,(CF49+CH49)/2,IF(CH49=0,(CG49+CF49)/2,FLOOR(((CF49+CG49+CH49)/3),0.1))))))))</f>
        <v/>
      </c>
      <c r="CJ49" s="21" t="n"/>
      <c r="CK49" s="21" t="n"/>
      <c r="CL49" s="27">
        <f>SUM(CJ49:CK49)</f>
        <v/>
      </c>
      <c r="CM49" s="28" t="n"/>
      <c r="CN49" s="31" t="n"/>
      <c r="CO49" s="29">
        <f>IF(AND(CL49=0,CM49=0,CN49=0),0,IF(AND(CL49=0,CM49=0),CN49/1,IF(AND(CL49=0,CN49=0),CM49/1,IF(AND(CM49=0,CN49=0),CL49/1,IF(CL49=0,FLOOR((CM49+CN49)/2,0.1),IF(CM49=0,(CL49+CN49)/2,IF(CN49=0,(CM49+CL49)/2,FLOOR(((CL49+CM49+CN49)/3),0.1))))))))</f>
        <v/>
      </c>
      <c r="CP49" s="21" t="n"/>
      <c r="CQ49" s="21" t="n"/>
      <c r="CR49" s="27">
        <f>SUM(CP49:CQ49)</f>
        <v/>
      </c>
      <c r="CS49" s="28" t="n"/>
      <c r="CT49" s="31" t="n"/>
      <c r="CU49" s="29">
        <f>IF(AND(CR49=0,CS49=0,CT49=0),0,IF(AND(CR49=0,CS49=0),CT49/1,IF(AND(CR49=0,CT49=0),CS49/1,IF(AND(CS49=0,CT49=0),CR49/1,IF(CR49=0,FLOOR((CS49+CT49)/2,0.1),IF(CS49=0,(CR49+CT49)/2,IF(CT49=0,(CS49+CR49)/2,FLOOR(((CR49+CS49+CT49)/3),0.1))))))))</f>
        <v/>
      </c>
      <c r="CV49" s="21" t="n"/>
      <c r="CW49" s="21" t="n"/>
      <c r="CX49" s="27">
        <f>SUM(CV49:CW49)</f>
        <v/>
      </c>
      <c r="CY49" s="28" t="n"/>
      <c r="CZ49" s="31" t="n"/>
      <c r="DA49" s="29">
        <f>IF(AND(CX49=0,CY49=0,CZ49=0),0,IF(AND(CX49=0,CY49=0),CZ49/1,IF(AND(CX49=0,CZ49=0),CY49/1,IF(AND(CY49=0,CZ49=0),CX49/1,IF(CX49=0,FLOOR((CY49+CZ49)/2,0.1),IF(CY49=0,(CX49+CZ49)/2,IF(CZ49=0,(CY49+CX49)/2,FLOOR(((CX49+CY49+CZ49)/3),0.1))))))))</f>
        <v/>
      </c>
      <c r="DB49" s="21" t="n"/>
      <c r="DC49" s="21" t="n"/>
      <c r="DD49" s="27">
        <f>SUM(DB49:DC49)</f>
        <v/>
      </c>
      <c r="DE49" s="28" t="n"/>
      <c r="DF49" s="31" t="n"/>
      <c r="DG49" s="29">
        <f>IF(AND(DD49=0,DE49=0,DF49=0),0,IF(AND(DD49=0,DE49=0),DF49/1,IF(AND(DD49=0,DF49=0),DE49/1,IF(AND(DE49=0,DF49=0),DD49/1,IF(DD49=0,FLOOR((DE49+DF49)/2,0.1),IF(DE49=0,(DD49+DF49)/2,IF(DF49=0,(DE49+DD49)/2,FLOOR(((DD49+DE49+DF49)/3),0.1))))))))</f>
        <v/>
      </c>
      <c r="DH49" s="34">
        <f>SUM(O49,U49,AA49,AG49,AM49,AS49,AY49,BE49,BK49,BQ49,BW49,CC49,CI49,CO49,CU49,DA49,DG49)</f>
        <v/>
      </c>
      <c r="DI49" s="39">
        <f>RANK(DH49,DH$4:DH$503)</f>
        <v/>
      </c>
      <c r="DJ49" s="40" t="inlineStr">
        <is>
          <t>CHOOSE RATING</t>
        </is>
      </c>
      <c r="DK49" s="40" t="inlineStr">
        <is>
          <t>CHOOSE RATING</t>
        </is>
      </c>
      <c r="DL49" s="40" t="inlineStr">
        <is>
          <t>CHOOSE RATING</t>
        </is>
      </c>
      <c r="DM49" s="40" t="inlineStr">
        <is>
          <t>CHOOSE RATING</t>
        </is>
      </c>
      <c r="DN49" s="40" t="inlineStr">
        <is>
          <t>CHOOSE RATING</t>
        </is>
      </c>
      <c r="DO49" s="40" t="inlineStr">
        <is>
          <t>CHOOSE RATING</t>
        </is>
      </c>
      <c r="DP49" s="40" t="inlineStr">
        <is>
          <t>CHOOSE RATING</t>
        </is>
      </c>
      <c r="DQ49" s="40" t="inlineStr">
        <is>
          <t>CHOOSE RATING</t>
        </is>
      </c>
      <c r="DR49" s="43" t="inlineStr">
        <is>
          <t>2024/2025</t>
        </is>
      </c>
      <c r="DS49" s="45" t="inlineStr">
        <is>
          <t>THIRD</t>
        </is>
      </c>
      <c r="DT49" s="40" t="inlineStr">
        <is>
          <t>CHOOSE RATING</t>
        </is>
      </c>
      <c r="DU49" s="40" t="inlineStr">
        <is>
          <t>CHOOSE RATING</t>
        </is>
      </c>
      <c r="DV49" s="40" t="inlineStr">
        <is>
          <t>CHOOSE RATING</t>
        </is>
      </c>
      <c r="DW49" s="40" t="inlineStr">
        <is>
          <t>CHOOSE RATING</t>
        </is>
      </c>
      <c r="DX49" s="40" t="inlineStr">
        <is>
          <t>CHOOSE RATING</t>
        </is>
      </c>
      <c r="DY49" s="40" t="inlineStr">
        <is>
          <t>CHOOSE RATING</t>
        </is>
      </c>
      <c r="DZ49" s="53" t="inlineStr">
        <is>
          <t>CHOOSE RATING</t>
        </is>
      </c>
      <c r="EA49" s="54" t="inlineStr">
        <is>
          <t>Add the Tutor's Comment . . .</t>
        </is>
      </c>
      <c r="EB49" s="55" t="inlineStr">
        <is>
          <t>Choose Principals comment</t>
        </is>
      </c>
      <c r="EC49" s="56" t="n"/>
      <c r="ED49" s="57" t="inlineStr">
        <is>
          <t>Next Term Begins on Monday, 22nd September, 2025</t>
        </is>
      </c>
    </row>
    <row r="50" ht="30.6" customHeight="1" s="6">
      <c r="A50" s="18" t="n">
        <v>47</v>
      </c>
      <c r="B50" s="19" t="n"/>
      <c r="C50" s="20" t="n"/>
      <c r="D50" s="128" t="n"/>
      <c r="E50" s="21" t="n"/>
      <c r="F50" s="22" t="n"/>
      <c r="G50" s="22" t="n"/>
      <c r="H50" s="22" t="n"/>
      <c r="I50" s="26">
        <f>G50-H50</f>
        <v/>
      </c>
      <c r="J50" s="21" t="n"/>
      <c r="K50" s="21" t="n"/>
      <c r="L50" s="27">
        <f>SUM(J50:K50)</f>
        <v/>
      </c>
      <c r="M50" s="28" t="n"/>
      <c r="N50" s="28" t="n"/>
      <c r="O50" s="29">
        <f>IF(AND(L50=0,M50=0,N50=0),0,IF(AND(L50=0,M50=0),N50/1,IF(AND(L50=0,N50=0),M50/1,IF(AND(M50=0,N50=0),L50/1,IF(L50=0,FLOOR((M50+N50)/2,0.1),IF(M50=0,(L50+N50)/2,IF(N50=0,(M50+L50)/2,FLOOR(((L50+M50+N50)/3),0.1))))))))</f>
        <v/>
      </c>
      <c r="P50" s="21" t="n"/>
      <c r="Q50" s="21" t="n"/>
      <c r="R50" s="27">
        <f>SUM(P50:Q50)</f>
        <v/>
      </c>
      <c r="S50" s="28" t="n"/>
      <c r="T50" s="28" t="n"/>
      <c r="U50" s="29">
        <f>IF(AND(R50=0,S50=0,T50=0),0,IF(AND(R50=0,S50=0),T50/1,IF(AND(R50=0,T50=0),S50/1,IF(AND(S50=0,T50=0),R50/1,IF(R50=0,FLOOR((S50+T50)/2,0.1),IF(S50=0,(R50+T50)/2,IF(T50=0,(S50+R50)/2,FLOOR(((R50+S50+T50)/3),0.1))))))))</f>
        <v/>
      </c>
      <c r="V50" s="21" t="n"/>
      <c r="W50" s="21" t="n"/>
      <c r="X50" s="27">
        <f>SUM(V50:W50)</f>
        <v/>
      </c>
      <c r="Y50" s="28" t="n"/>
      <c r="Z50" s="28" t="n"/>
      <c r="AA50" s="29">
        <f>IF(AND(X50=0,Y50=0,Z50=0),0,IF(AND(X50=0,Y50=0),Z50/1,IF(AND(X50=0,Z50=0),Y50/1,IF(AND(Y50=0,Z50=0),X50/1,IF(X50=0,FLOOR((Y50+Z50)/2,0.1),IF(Y50=0,(X50+Z50)/2,IF(Z50=0,(Y50+X50)/2,FLOOR(((X50+Y50+Z50)/3),0.1))))))))</f>
        <v/>
      </c>
      <c r="AB50" s="21" t="n"/>
      <c r="AC50" s="21" t="n"/>
      <c r="AD50" s="27">
        <f>SUM(AB50:AC50)</f>
        <v/>
      </c>
      <c r="AE50" s="28" t="n"/>
      <c r="AF50" s="28" t="n"/>
      <c r="AG50" s="29">
        <f>IF(AND(AD50=0,AE50=0,AF50=0),0,IF(AND(AD50=0,AE50=0),AF50/1,IF(AND(AD50=0,AF50=0),AE50/1,IF(AND(AE50=0,AF50=0),AD50/1,IF(AD50=0,FLOOR((AE50+AF50)/2,0.1),IF(AE50=0,(AD50+AF50)/2,IF(AF50=0,(AE50+AD50)/2,FLOOR(((AD50+AE50+AF50)/3),0.1))))))))</f>
        <v/>
      </c>
      <c r="AH50" s="21" t="n"/>
      <c r="AI50" s="21" t="n"/>
      <c r="AJ50" s="27">
        <f>SUM(AH50:AI50)</f>
        <v/>
      </c>
      <c r="AK50" s="28" t="n"/>
      <c r="AL50" s="28" t="n"/>
      <c r="AM50" s="29">
        <f>IF(AND(AJ50=0,AK50=0,AL50=0),0,IF(AND(AJ50=0,AK50=0),AL50/1,IF(AND(AJ50=0,AL50=0),AK50/1,IF(AND(AK50=0,AL50=0),AJ50/1,IF(AJ50=0,FLOOR((AK50+AL50)/2,0.1),IF(AK50=0,(AJ50+AL50)/2,IF(AL50=0,(AK50+AJ50)/2,FLOOR(((AJ50+AK50+AL50)/3),0.1))))))))</f>
        <v/>
      </c>
      <c r="AN50" s="21" t="n"/>
      <c r="AO50" s="21" t="n"/>
      <c r="AP50" s="27">
        <f>SUM(AN50:AO50)</f>
        <v/>
      </c>
      <c r="AQ50" s="28" t="n"/>
      <c r="AR50" s="30" t="n"/>
      <c r="AS50" s="29">
        <f>IF(AND(AP50=0,AQ50=0,AR50=0),0,IF(AND(AP50=0,AQ50=0),AR50/1,IF(AND(AP50=0,AR50=0),AQ50/1,IF(AND(AQ50=0,AR50=0),AP50/1,IF(AP50=0,FLOOR((AQ50+AR50)/2,0.1),IF(AQ50=0,(AP50+AR50)/2,IF(AR50=0,(AQ50+AP50)/2,FLOOR(((AP50+AQ50+AR50)/3),0.1))))))))</f>
        <v/>
      </c>
      <c r="AT50" s="21" t="n"/>
      <c r="AU50" s="21" t="n"/>
      <c r="AV50" s="27">
        <f>SUM(AT50:AU50)</f>
        <v/>
      </c>
      <c r="AW50" s="28" t="n"/>
      <c r="AX50" s="30" t="n"/>
      <c r="AY50" s="29">
        <f>IF(AND(AV50=0,AW50=0,AX50=0),0,IF(AND(AV50=0,AW50=0),AX50/1,IF(AND(AV50=0,AX50=0),AW50/1,IF(AND(AW50=0,AX50=0),AV50/1,IF(AV50=0,FLOOR((AW50+AX50)/2,0.1),IF(AW50=0,(AV50+AX50)/2,IF(AX50=0,(AW50+AV50)/2,FLOOR(((AV50+AW50+AX50)/3),0.1))))))))</f>
        <v/>
      </c>
      <c r="AZ50" s="21" t="n"/>
      <c r="BA50" s="21" t="n"/>
      <c r="BB50" s="27">
        <f>SUM(AZ50:BA50)</f>
        <v/>
      </c>
      <c r="BC50" s="28" t="n"/>
      <c r="BD50" s="28" t="n"/>
      <c r="BE50" s="29">
        <f>IF(AND(BB50=0,BC50=0,BD50=0),0,IF(AND(BB50=0,BC50=0),BD50/1,IF(AND(BB50=0,BD50=0),BC50/1,IF(AND(BC50=0,BD50=0),BB50/1,IF(BB50=0,FLOOR((BC50+BD50)/2,0.1),IF(BC50=0,(BB50+BD50)/2,IF(BD50=0,(BC50+BB50)/2,FLOOR(((BB50+BC50+BD50)/3),0.1))))))))</f>
        <v/>
      </c>
      <c r="BF50" s="21" t="n"/>
      <c r="BG50" s="21" t="n"/>
      <c r="BH50" s="27">
        <f>SUM(BF50:BG50)</f>
        <v/>
      </c>
      <c r="BI50" s="28" t="n"/>
      <c r="BJ50" s="28" t="n"/>
      <c r="BK50" s="29">
        <f>IF(AND(BH50=0,BI50=0,BJ50=0),0,IF(AND(BH50=0,BI50=0),BJ50/1,IF(AND(BH50=0,BJ50=0),BI50/1,IF(AND(BI50=0,BJ50=0),BH50/1,IF(BH50=0,FLOOR((BI50+BJ50)/2,0.1),IF(BI50=0,(BH50+BJ50)/2,IF(BJ50=0,(BI50+BH50)/2,FLOOR(((BH50+BI50+BJ50)/3),0.1))))))))</f>
        <v/>
      </c>
      <c r="BL50" s="21" t="n"/>
      <c r="BM50" s="21" t="n"/>
      <c r="BN50" s="27">
        <f>SUM(BL50:BM50)</f>
        <v/>
      </c>
      <c r="BO50" s="28" t="n"/>
      <c r="BP50" s="31" t="n"/>
      <c r="BQ50" s="29">
        <f>IF(AND(BN50=0,BO50=0,BP50=0),0,IF(AND(BN50=0,BO50=0),BP50/1,IF(AND(BN50=0,BP50=0),BO50/1,IF(AND(BO50=0,BP50=0),BN50/1,IF(BN50=0,FLOOR((BO50+BP50)/2,0.1),IF(BO50=0,(BN50+BP50)/2,IF(BP50=0,(BO50+BN50)/2,FLOOR(((BN50+BO50+BP50)/3),0.1))))))))</f>
        <v/>
      </c>
      <c r="BR50" s="21" t="n"/>
      <c r="BS50" s="21" t="n"/>
      <c r="BT50" s="27">
        <f>SUM(BR50:BS50)</f>
        <v/>
      </c>
      <c r="BU50" s="28" t="n"/>
      <c r="BV50" s="31" t="n"/>
      <c r="BW50" s="29">
        <f>IF(AND(BT50=0,BU50=0,BV50=0),0,IF(AND(BT50=0,BU50=0),BV50/1,IF(AND(BT50=0,BV50=0),BU50/1,IF(AND(BU50=0,BV50=0),BT50/1,IF(BT50=0,FLOOR((BU50+BV50)/2,0.1),IF(BU50=0,(BT50+BV50)/2,IF(BV50=0,(BU50+BT50)/2,FLOOR(((BT50+BU50+BV50)/3),0.1))))))))</f>
        <v/>
      </c>
      <c r="BX50" s="21" t="n"/>
      <c r="BY50" s="21" t="n"/>
      <c r="BZ50" s="27">
        <f>SUM(BX50:BY50)</f>
        <v/>
      </c>
      <c r="CA50" s="28" t="n"/>
      <c r="CB50" s="31" t="n"/>
      <c r="CC50" s="29">
        <f>IF(AND(BZ50=0,CA50=0,CB50=0),0,IF(AND(BZ50=0,CA50=0),CB50/1,IF(AND(BZ50=0,CB50=0),CA50/1,IF(AND(CA50=0,CB50=0),BZ50/1,IF(BZ50=0,FLOOR((CA50+CB50)/2,0.1),IF(CA50=0,(BZ50+CB50)/2,IF(CB50=0,(CA50+BZ50)/2,FLOOR(((BZ50+CA50+CB50)/3),0.1))))))))</f>
        <v/>
      </c>
      <c r="CD50" s="21" t="n"/>
      <c r="CE50" s="21" t="n"/>
      <c r="CF50" s="27">
        <f>SUM(CD50:CE50)</f>
        <v/>
      </c>
      <c r="CG50" s="28" t="n"/>
      <c r="CH50" s="31" t="n"/>
      <c r="CI50" s="29">
        <f>IF(AND(CF50=0,CG50=0,CH50=0),0,IF(AND(CF50=0,CG50=0),CH50/1,IF(AND(CF50=0,CH50=0),CG50/1,IF(AND(CG50=0,CH50=0),CF50/1,IF(CF50=0,FLOOR((CG50+CH50)/2,0.1),IF(CG50=0,(CF50+CH50)/2,IF(CH50=0,(CG50+CF50)/2,FLOOR(((CF50+CG50+CH50)/3),0.1))))))))</f>
        <v/>
      </c>
      <c r="CJ50" s="21" t="n"/>
      <c r="CK50" s="21" t="n"/>
      <c r="CL50" s="27">
        <f>SUM(CJ50:CK50)</f>
        <v/>
      </c>
      <c r="CM50" s="28" t="n"/>
      <c r="CN50" s="31" t="n"/>
      <c r="CO50" s="29">
        <f>IF(AND(CL50=0,CM50=0,CN50=0),0,IF(AND(CL50=0,CM50=0),CN50/1,IF(AND(CL50=0,CN50=0),CM50/1,IF(AND(CM50=0,CN50=0),CL50/1,IF(CL50=0,FLOOR((CM50+CN50)/2,0.1),IF(CM50=0,(CL50+CN50)/2,IF(CN50=0,(CM50+CL50)/2,FLOOR(((CL50+CM50+CN50)/3),0.1))))))))</f>
        <v/>
      </c>
      <c r="CP50" s="21" t="n"/>
      <c r="CQ50" s="21" t="n"/>
      <c r="CR50" s="27">
        <f>SUM(CP50:CQ50)</f>
        <v/>
      </c>
      <c r="CS50" s="28" t="n"/>
      <c r="CT50" s="31" t="n"/>
      <c r="CU50" s="29">
        <f>IF(AND(CR50=0,CS50=0,CT50=0),0,IF(AND(CR50=0,CS50=0),CT50/1,IF(AND(CR50=0,CT50=0),CS50/1,IF(AND(CS50=0,CT50=0),CR50/1,IF(CR50=0,FLOOR((CS50+CT50)/2,0.1),IF(CS50=0,(CR50+CT50)/2,IF(CT50=0,(CS50+CR50)/2,FLOOR(((CR50+CS50+CT50)/3),0.1))))))))</f>
        <v/>
      </c>
      <c r="CV50" s="21" t="n"/>
      <c r="CW50" s="21" t="n"/>
      <c r="CX50" s="27">
        <f>SUM(CV50:CW50)</f>
        <v/>
      </c>
      <c r="CY50" s="28" t="n"/>
      <c r="CZ50" s="31" t="n"/>
      <c r="DA50" s="29">
        <f>IF(AND(CX50=0,CY50=0,CZ50=0),0,IF(AND(CX50=0,CY50=0),CZ50/1,IF(AND(CX50=0,CZ50=0),CY50/1,IF(AND(CY50=0,CZ50=0),CX50/1,IF(CX50=0,FLOOR((CY50+CZ50)/2,0.1),IF(CY50=0,(CX50+CZ50)/2,IF(CZ50=0,(CY50+CX50)/2,FLOOR(((CX50+CY50+CZ50)/3),0.1))))))))</f>
        <v/>
      </c>
      <c r="DB50" s="21" t="n"/>
      <c r="DC50" s="21" t="n"/>
      <c r="DD50" s="27">
        <f>SUM(DB50:DC50)</f>
        <v/>
      </c>
      <c r="DE50" s="28" t="n"/>
      <c r="DF50" s="31" t="n"/>
      <c r="DG50" s="29">
        <f>IF(AND(DD50=0,DE50=0,DF50=0),0,IF(AND(DD50=0,DE50=0),DF50/1,IF(AND(DD50=0,DF50=0),DE50/1,IF(AND(DE50=0,DF50=0),DD50/1,IF(DD50=0,FLOOR((DE50+DF50)/2,0.1),IF(DE50=0,(DD50+DF50)/2,IF(DF50=0,(DE50+DD50)/2,FLOOR(((DD50+DE50+DF50)/3),0.1))))))))</f>
        <v/>
      </c>
      <c r="DH50" s="34">
        <f>SUM(O50,U50,AA50,AG50,AM50,AS50,AY50,BE50,BK50,BQ50,BW50,CC50,CI50,CO50,CU50,DA50,DG50)</f>
        <v/>
      </c>
      <c r="DI50" s="39">
        <f>RANK(DH50,DH$4:DH$503)</f>
        <v/>
      </c>
      <c r="DJ50" s="40" t="inlineStr">
        <is>
          <t>CHOOSE RATING</t>
        </is>
      </c>
      <c r="DK50" s="40" t="inlineStr">
        <is>
          <t>CHOOSE RATING</t>
        </is>
      </c>
      <c r="DL50" s="40" t="inlineStr">
        <is>
          <t>CHOOSE RATING</t>
        </is>
      </c>
      <c r="DM50" s="40" t="inlineStr">
        <is>
          <t>CHOOSE RATING</t>
        </is>
      </c>
      <c r="DN50" s="40" t="inlineStr">
        <is>
          <t>CHOOSE RATING</t>
        </is>
      </c>
      <c r="DO50" s="40" t="inlineStr">
        <is>
          <t>CHOOSE RATING</t>
        </is>
      </c>
      <c r="DP50" s="40" t="inlineStr">
        <is>
          <t>CHOOSE RATING</t>
        </is>
      </c>
      <c r="DQ50" s="40" t="inlineStr">
        <is>
          <t>CHOOSE RATING</t>
        </is>
      </c>
      <c r="DR50" s="43" t="inlineStr">
        <is>
          <t>2024/2025</t>
        </is>
      </c>
      <c r="DS50" s="45" t="inlineStr">
        <is>
          <t>THIRD</t>
        </is>
      </c>
      <c r="DT50" s="40" t="inlineStr">
        <is>
          <t>CHOOSE RATING</t>
        </is>
      </c>
      <c r="DU50" s="40" t="inlineStr">
        <is>
          <t>CHOOSE RATING</t>
        </is>
      </c>
      <c r="DV50" s="40" t="inlineStr">
        <is>
          <t>CHOOSE RATING</t>
        </is>
      </c>
      <c r="DW50" s="40" t="inlineStr">
        <is>
          <t>CHOOSE RATING</t>
        </is>
      </c>
      <c r="DX50" s="40" t="inlineStr">
        <is>
          <t>CHOOSE RATING</t>
        </is>
      </c>
      <c r="DY50" s="40" t="inlineStr">
        <is>
          <t>CHOOSE RATING</t>
        </is>
      </c>
      <c r="DZ50" s="53" t="inlineStr">
        <is>
          <t>CHOOSE RATING</t>
        </is>
      </c>
      <c r="EA50" s="54" t="inlineStr">
        <is>
          <t>Add the Tutor's Comment . . .</t>
        </is>
      </c>
      <c r="EB50" s="55" t="inlineStr">
        <is>
          <t>Choose Principals comment</t>
        </is>
      </c>
      <c r="EC50" s="56" t="n"/>
      <c r="ED50" s="57" t="inlineStr">
        <is>
          <t>Next Term Begins on Monday, 22nd September, 2025</t>
        </is>
      </c>
    </row>
    <row r="51" ht="30.6" customHeight="1" s="6">
      <c r="A51" s="18" t="n">
        <v>48</v>
      </c>
      <c r="B51" s="19" t="n"/>
      <c r="C51" s="20" t="n"/>
      <c r="D51" s="128" t="n"/>
      <c r="E51" s="21" t="n"/>
      <c r="F51" s="22" t="n"/>
      <c r="G51" s="22" t="n"/>
      <c r="H51" s="22" t="n"/>
      <c r="I51" s="26">
        <f>G51-H51</f>
        <v/>
      </c>
      <c r="J51" s="21" t="n"/>
      <c r="K51" s="21" t="n"/>
      <c r="L51" s="27">
        <f>SUM(J51:K51)</f>
        <v/>
      </c>
      <c r="M51" s="28" t="n"/>
      <c r="N51" s="28" t="n"/>
      <c r="O51" s="29">
        <f>IF(AND(L51=0,M51=0,N51=0),0,IF(AND(L51=0,M51=0),N51/1,IF(AND(L51=0,N51=0),M51/1,IF(AND(M51=0,N51=0),L51/1,IF(L51=0,FLOOR((M51+N51)/2,0.1),IF(M51=0,(L51+N51)/2,IF(N51=0,(M51+L51)/2,FLOOR(((L51+M51+N51)/3),0.1))))))))</f>
        <v/>
      </c>
      <c r="P51" s="21" t="n"/>
      <c r="Q51" s="21" t="n"/>
      <c r="R51" s="27">
        <f>SUM(P51:Q51)</f>
        <v/>
      </c>
      <c r="S51" s="28" t="n"/>
      <c r="T51" s="28" t="n"/>
      <c r="U51" s="29">
        <f>IF(AND(R51=0,S51=0,T51=0),0,IF(AND(R51=0,S51=0),T51/1,IF(AND(R51=0,T51=0),S51/1,IF(AND(S51=0,T51=0),R51/1,IF(R51=0,FLOOR((S51+T51)/2,0.1),IF(S51=0,(R51+T51)/2,IF(T51=0,(S51+R51)/2,FLOOR(((R51+S51+T51)/3),0.1))))))))</f>
        <v/>
      </c>
      <c r="V51" s="21" t="n"/>
      <c r="W51" s="21" t="n"/>
      <c r="X51" s="27">
        <f>SUM(V51:W51)</f>
        <v/>
      </c>
      <c r="Y51" s="28" t="n"/>
      <c r="Z51" s="28" t="n"/>
      <c r="AA51" s="29">
        <f>IF(AND(X51=0,Y51=0,Z51=0),0,IF(AND(X51=0,Y51=0),Z51/1,IF(AND(X51=0,Z51=0),Y51/1,IF(AND(Y51=0,Z51=0),X51/1,IF(X51=0,FLOOR((Y51+Z51)/2,0.1),IF(Y51=0,(X51+Z51)/2,IF(Z51=0,(Y51+X51)/2,FLOOR(((X51+Y51+Z51)/3),0.1))))))))</f>
        <v/>
      </c>
      <c r="AB51" s="21" t="n"/>
      <c r="AC51" s="21" t="n"/>
      <c r="AD51" s="27">
        <f>SUM(AB51:AC51)</f>
        <v/>
      </c>
      <c r="AE51" s="28" t="n"/>
      <c r="AF51" s="28" t="n"/>
      <c r="AG51" s="29">
        <f>IF(AND(AD51=0,AE51=0,AF51=0),0,IF(AND(AD51=0,AE51=0),AF51/1,IF(AND(AD51=0,AF51=0),AE51/1,IF(AND(AE51=0,AF51=0),AD51/1,IF(AD51=0,FLOOR((AE51+AF51)/2,0.1),IF(AE51=0,(AD51+AF51)/2,IF(AF51=0,(AE51+AD51)/2,FLOOR(((AD51+AE51+AF51)/3),0.1))))))))</f>
        <v/>
      </c>
      <c r="AH51" s="21" t="n"/>
      <c r="AI51" s="21" t="n"/>
      <c r="AJ51" s="27">
        <f>SUM(AH51:AI51)</f>
        <v/>
      </c>
      <c r="AK51" s="28" t="n"/>
      <c r="AL51" s="28" t="n"/>
      <c r="AM51" s="29">
        <f>IF(AND(AJ51=0,AK51=0,AL51=0),0,IF(AND(AJ51=0,AK51=0),AL51/1,IF(AND(AJ51=0,AL51=0),AK51/1,IF(AND(AK51=0,AL51=0),AJ51/1,IF(AJ51=0,FLOOR((AK51+AL51)/2,0.1),IF(AK51=0,(AJ51+AL51)/2,IF(AL51=0,(AK51+AJ51)/2,FLOOR(((AJ51+AK51+AL51)/3),0.1))))))))</f>
        <v/>
      </c>
      <c r="AN51" s="21" t="n"/>
      <c r="AO51" s="21" t="n"/>
      <c r="AP51" s="27">
        <f>SUM(AN51:AO51)</f>
        <v/>
      </c>
      <c r="AQ51" s="28" t="n"/>
      <c r="AR51" s="30" t="n"/>
      <c r="AS51" s="29">
        <f>IF(AND(AP51=0,AQ51=0,AR51=0),0,IF(AND(AP51=0,AQ51=0),AR51/1,IF(AND(AP51=0,AR51=0),AQ51/1,IF(AND(AQ51=0,AR51=0),AP51/1,IF(AP51=0,FLOOR((AQ51+AR51)/2,0.1),IF(AQ51=0,(AP51+AR51)/2,IF(AR51=0,(AQ51+AP51)/2,FLOOR(((AP51+AQ51+AR51)/3),0.1))))))))</f>
        <v/>
      </c>
      <c r="AT51" s="21" t="n"/>
      <c r="AU51" s="21" t="n"/>
      <c r="AV51" s="27">
        <f>SUM(AT51:AU51)</f>
        <v/>
      </c>
      <c r="AW51" s="28" t="n"/>
      <c r="AX51" s="30" t="n"/>
      <c r="AY51" s="29">
        <f>IF(AND(AV51=0,AW51=0,AX51=0),0,IF(AND(AV51=0,AW51=0),AX51/1,IF(AND(AV51=0,AX51=0),AW51/1,IF(AND(AW51=0,AX51=0),AV51/1,IF(AV51=0,FLOOR((AW51+AX51)/2,0.1),IF(AW51=0,(AV51+AX51)/2,IF(AX51=0,(AW51+AV51)/2,FLOOR(((AV51+AW51+AX51)/3),0.1))))))))</f>
        <v/>
      </c>
      <c r="AZ51" s="21" t="n"/>
      <c r="BA51" s="21" t="n"/>
      <c r="BB51" s="27">
        <f>SUM(AZ51:BA51)</f>
        <v/>
      </c>
      <c r="BC51" s="28" t="n"/>
      <c r="BD51" s="28" t="n"/>
      <c r="BE51" s="29">
        <f>IF(AND(BB51=0,BC51=0,BD51=0),0,IF(AND(BB51=0,BC51=0),BD51/1,IF(AND(BB51=0,BD51=0),BC51/1,IF(AND(BC51=0,BD51=0),BB51/1,IF(BB51=0,FLOOR((BC51+BD51)/2,0.1),IF(BC51=0,(BB51+BD51)/2,IF(BD51=0,(BC51+BB51)/2,FLOOR(((BB51+BC51+BD51)/3),0.1))))))))</f>
        <v/>
      </c>
      <c r="BF51" s="21" t="n"/>
      <c r="BG51" s="21" t="n"/>
      <c r="BH51" s="27">
        <f>SUM(BF51:BG51)</f>
        <v/>
      </c>
      <c r="BI51" s="28" t="n"/>
      <c r="BJ51" s="28" t="n"/>
      <c r="BK51" s="29">
        <f>IF(AND(BH51=0,BI51=0,BJ51=0),0,IF(AND(BH51=0,BI51=0),BJ51/1,IF(AND(BH51=0,BJ51=0),BI51/1,IF(AND(BI51=0,BJ51=0),BH51/1,IF(BH51=0,FLOOR((BI51+BJ51)/2,0.1),IF(BI51=0,(BH51+BJ51)/2,IF(BJ51=0,(BI51+BH51)/2,FLOOR(((BH51+BI51+BJ51)/3),0.1))))))))</f>
        <v/>
      </c>
      <c r="BL51" s="21" t="n"/>
      <c r="BM51" s="21" t="n"/>
      <c r="BN51" s="27">
        <f>SUM(BL51:BM51)</f>
        <v/>
      </c>
      <c r="BO51" s="28" t="n"/>
      <c r="BP51" s="31" t="n"/>
      <c r="BQ51" s="29">
        <f>IF(AND(BN51=0,BO51=0,BP51=0),0,IF(AND(BN51=0,BO51=0),BP51/1,IF(AND(BN51=0,BP51=0),BO51/1,IF(AND(BO51=0,BP51=0),BN51/1,IF(BN51=0,FLOOR((BO51+BP51)/2,0.1),IF(BO51=0,(BN51+BP51)/2,IF(BP51=0,(BO51+BN51)/2,FLOOR(((BN51+BO51+BP51)/3),0.1))))))))</f>
        <v/>
      </c>
      <c r="BR51" s="21" t="n"/>
      <c r="BS51" s="21" t="n"/>
      <c r="BT51" s="27">
        <f>SUM(BR51:BS51)</f>
        <v/>
      </c>
      <c r="BU51" s="28" t="n"/>
      <c r="BV51" s="31" t="n"/>
      <c r="BW51" s="29">
        <f>IF(AND(BT51=0,BU51=0,BV51=0),0,IF(AND(BT51=0,BU51=0),BV51/1,IF(AND(BT51=0,BV51=0),BU51/1,IF(AND(BU51=0,BV51=0),BT51/1,IF(BT51=0,FLOOR((BU51+BV51)/2,0.1),IF(BU51=0,(BT51+BV51)/2,IF(BV51=0,(BU51+BT51)/2,FLOOR(((BT51+BU51+BV51)/3),0.1))))))))</f>
        <v/>
      </c>
      <c r="BX51" s="21" t="n"/>
      <c r="BY51" s="21" t="n"/>
      <c r="BZ51" s="27">
        <f>SUM(BX51:BY51)</f>
        <v/>
      </c>
      <c r="CA51" s="28" t="n"/>
      <c r="CB51" s="31" t="n"/>
      <c r="CC51" s="29">
        <f>IF(AND(BZ51=0,CA51=0,CB51=0),0,IF(AND(BZ51=0,CA51=0),CB51/1,IF(AND(BZ51=0,CB51=0),CA51/1,IF(AND(CA51=0,CB51=0),BZ51/1,IF(BZ51=0,FLOOR((CA51+CB51)/2,0.1),IF(CA51=0,(BZ51+CB51)/2,IF(CB51=0,(CA51+BZ51)/2,FLOOR(((BZ51+CA51+CB51)/3),0.1))))))))</f>
        <v/>
      </c>
      <c r="CD51" s="21" t="n"/>
      <c r="CE51" s="21" t="n"/>
      <c r="CF51" s="27">
        <f>SUM(CD51:CE51)</f>
        <v/>
      </c>
      <c r="CG51" s="28" t="n"/>
      <c r="CH51" s="31" t="n"/>
      <c r="CI51" s="29">
        <f>IF(AND(CF51=0,CG51=0,CH51=0),0,IF(AND(CF51=0,CG51=0),CH51/1,IF(AND(CF51=0,CH51=0),CG51/1,IF(AND(CG51=0,CH51=0),CF51/1,IF(CF51=0,FLOOR((CG51+CH51)/2,0.1),IF(CG51=0,(CF51+CH51)/2,IF(CH51=0,(CG51+CF51)/2,FLOOR(((CF51+CG51+CH51)/3),0.1))))))))</f>
        <v/>
      </c>
      <c r="CJ51" s="21" t="n"/>
      <c r="CK51" s="21" t="n"/>
      <c r="CL51" s="27">
        <f>SUM(CJ51:CK51)</f>
        <v/>
      </c>
      <c r="CM51" s="28" t="n"/>
      <c r="CN51" s="31" t="n"/>
      <c r="CO51" s="29">
        <f>IF(AND(CL51=0,CM51=0,CN51=0),0,IF(AND(CL51=0,CM51=0),CN51/1,IF(AND(CL51=0,CN51=0),CM51/1,IF(AND(CM51=0,CN51=0),CL51/1,IF(CL51=0,FLOOR((CM51+CN51)/2,0.1),IF(CM51=0,(CL51+CN51)/2,IF(CN51=0,(CM51+CL51)/2,FLOOR(((CL51+CM51+CN51)/3),0.1))))))))</f>
        <v/>
      </c>
      <c r="CP51" s="21" t="n"/>
      <c r="CQ51" s="21" t="n"/>
      <c r="CR51" s="27">
        <f>SUM(CP51:CQ51)</f>
        <v/>
      </c>
      <c r="CS51" s="28" t="n"/>
      <c r="CT51" s="31" t="n"/>
      <c r="CU51" s="29">
        <f>IF(AND(CR51=0,CS51=0,CT51=0),0,IF(AND(CR51=0,CS51=0),CT51/1,IF(AND(CR51=0,CT51=0),CS51/1,IF(AND(CS51=0,CT51=0),CR51/1,IF(CR51=0,FLOOR((CS51+CT51)/2,0.1),IF(CS51=0,(CR51+CT51)/2,IF(CT51=0,(CS51+CR51)/2,FLOOR(((CR51+CS51+CT51)/3),0.1))))))))</f>
        <v/>
      </c>
      <c r="CV51" s="21" t="n"/>
      <c r="CW51" s="21" t="n"/>
      <c r="CX51" s="27">
        <f>SUM(CV51:CW51)</f>
        <v/>
      </c>
      <c r="CY51" s="28" t="n"/>
      <c r="CZ51" s="31" t="n"/>
      <c r="DA51" s="29">
        <f>IF(AND(CX51=0,CY51=0,CZ51=0),0,IF(AND(CX51=0,CY51=0),CZ51/1,IF(AND(CX51=0,CZ51=0),CY51/1,IF(AND(CY51=0,CZ51=0),CX51/1,IF(CX51=0,FLOOR((CY51+CZ51)/2,0.1),IF(CY51=0,(CX51+CZ51)/2,IF(CZ51=0,(CY51+CX51)/2,FLOOR(((CX51+CY51+CZ51)/3),0.1))))))))</f>
        <v/>
      </c>
      <c r="DB51" s="21" t="n"/>
      <c r="DC51" s="21" t="n"/>
      <c r="DD51" s="27">
        <f>SUM(DB51:DC51)</f>
        <v/>
      </c>
      <c r="DE51" s="28" t="n"/>
      <c r="DF51" s="31" t="n"/>
      <c r="DG51" s="29">
        <f>IF(AND(DD51=0,DE51=0,DF51=0),0,IF(AND(DD51=0,DE51=0),DF51/1,IF(AND(DD51=0,DF51=0),DE51/1,IF(AND(DE51=0,DF51=0),DD51/1,IF(DD51=0,FLOOR((DE51+DF51)/2,0.1),IF(DE51=0,(DD51+DF51)/2,IF(DF51=0,(DE51+DD51)/2,FLOOR(((DD51+DE51+DF51)/3),0.1))))))))</f>
        <v/>
      </c>
      <c r="DH51" s="34">
        <f>SUM(O51,U51,AA51,AG51,AM51,AS51,AY51,BE51,BK51,BQ51,BW51,CC51,CI51,CO51,CU51,DA51,DG51)</f>
        <v/>
      </c>
      <c r="DI51" s="39">
        <f>RANK(DH51,DH$4:DH$503)</f>
        <v/>
      </c>
      <c r="DJ51" s="40" t="inlineStr">
        <is>
          <t>CHOOSE RATING</t>
        </is>
      </c>
      <c r="DK51" s="40" t="inlineStr">
        <is>
          <t>CHOOSE RATING</t>
        </is>
      </c>
      <c r="DL51" s="40" t="inlineStr">
        <is>
          <t>CHOOSE RATING</t>
        </is>
      </c>
      <c r="DM51" s="40" t="inlineStr">
        <is>
          <t>CHOOSE RATING</t>
        </is>
      </c>
      <c r="DN51" s="40" t="inlineStr">
        <is>
          <t>CHOOSE RATING</t>
        </is>
      </c>
      <c r="DO51" s="40" t="inlineStr">
        <is>
          <t>CHOOSE RATING</t>
        </is>
      </c>
      <c r="DP51" s="40" t="inlineStr">
        <is>
          <t>CHOOSE RATING</t>
        </is>
      </c>
      <c r="DQ51" s="40" t="inlineStr">
        <is>
          <t>CHOOSE RATING</t>
        </is>
      </c>
      <c r="DR51" s="43" t="inlineStr">
        <is>
          <t>2024/2025</t>
        </is>
      </c>
      <c r="DS51" s="45" t="inlineStr">
        <is>
          <t>THIRD</t>
        </is>
      </c>
      <c r="DT51" s="40" t="inlineStr">
        <is>
          <t>CHOOSE RATING</t>
        </is>
      </c>
      <c r="DU51" s="40" t="inlineStr">
        <is>
          <t>CHOOSE RATING</t>
        </is>
      </c>
      <c r="DV51" s="40" t="inlineStr">
        <is>
          <t>CHOOSE RATING</t>
        </is>
      </c>
      <c r="DW51" s="40" t="inlineStr">
        <is>
          <t>CHOOSE RATING</t>
        </is>
      </c>
      <c r="DX51" s="40" t="inlineStr">
        <is>
          <t>CHOOSE RATING</t>
        </is>
      </c>
      <c r="DY51" s="40" t="inlineStr">
        <is>
          <t>CHOOSE RATING</t>
        </is>
      </c>
      <c r="DZ51" s="53" t="inlineStr">
        <is>
          <t>CHOOSE RATING</t>
        </is>
      </c>
      <c r="EA51" s="54" t="inlineStr">
        <is>
          <t>Add the Tutor's Comment . . .</t>
        </is>
      </c>
      <c r="EB51" s="55" t="inlineStr">
        <is>
          <t>Choose Principals comment</t>
        </is>
      </c>
      <c r="EC51" s="56" t="n"/>
      <c r="ED51" s="57" t="inlineStr">
        <is>
          <t>Next Term Begins on Monday, 22nd September, 2025</t>
        </is>
      </c>
    </row>
    <row r="52" ht="30.6" customHeight="1" s="6">
      <c r="A52" s="18" t="n">
        <v>49</v>
      </c>
      <c r="B52" s="19" t="n"/>
      <c r="C52" s="20" t="n"/>
      <c r="D52" s="128" t="n"/>
      <c r="E52" s="21" t="n"/>
      <c r="F52" s="22" t="n"/>
      <c r="G52" s="22" t="n"/>
      <c r="H52" s="22" t="n"/>
      <c r="I52" s="26">
        <f>G52-H52</f>
        <v/>
      </c>
      <c r="J52" s="21" t="n"/>
      <c r="K52" s="21" t="n"/>
      <c r="L52" s="27">
        <f>SUM(J52:K52)</f>
        <v/>
      </c>
      <c r="M52" s="28" t="n"/>
      <c r="N52" s="28" t="n"/>
      <c r="O52" s="29">
        <f>IF(AND(L52=0,M52=0,N52=0),0,IF(AND(L52=0,M52=0),N52/1,IF(AND(L52=0,N52=0),M52/1,IF(AND(M52=0,N52=0),L52/1,IF(L52=0,FLOOR((M52+N52)/2,0.1),IF(M52=0,(L52+N52)/2,IF(N52=0,(M52+L52)/2,FLOOR(((L52+M52+N52)/3),0.1))))))))</f>
        <v/>
      </c>
      <c r="P52" s="21" t="n"/>
      <c r="Q52" s="21" t="n"/>
      <c r="R52" s="27">
        <f>SUM(P52:Q52)</f>
        <v/>
      </c>
      <c r="S52" s="28" t="n"/>
      <c r="T52" s="28" t="n"/>
      <c r="U52" s="29">
        <f>IF(AND(R52=0,S52=0,T52=0),0,IF(AND(R52=0,S52=0),T52/1,IF(AND(R52=0,T52=0),S52/1,IF(AND(S52=0,T52=0),R52/1,IF(R52=0,FLOOR((S52+T52)/2,0.1),IF(S52=0,(R52+T52)/2,IF(T52=0,(S52+R52)/2,FLOOR(((R52+S52+T52)/3),0.1))))))))</f>
        <v/>
      </c>
      <c r="V52" s="21" t="n"/>
      <c r="W52" s="21" t="n"/>
      <c r="X52" s="27">
        <f>SUM(V52:W52)</f>
        <v/>
      </c>
      <c r="Y52" s="28" t="n"/>
      <c r="Z52" s="28" t="n"/>
      <c r="AA52" s="29">
        <f>IF(AND(X52=0,Y52=0,Z52=0),0,IF(AND(X52=0,Y52=0),Z52/1,IF(AND(X52=0,Z52=0),Y52/1,IF(AND(Y52=0,Z52=0),X52/1,IF(X52=0,FLOOR((Y52+Z52)/2,0.1),IF(Y52=0,(X52+Z52)/2,IF(Z52=0,(Y52+X52)/2,FLOOR(((X52+Y52+Z52)/3),0.1))))))))</f>
        <v/>
      </c>
      <c r="AB52" s="21" t="n"/>
      <c r="AC52" s="21" t="n"/>
      <c r="AD52" s="27">
        <f>SUM(AB52:AC52)</f>
        <v/>
      </c>
      <c r="AE52" s="28" t="n"/>
      <c r="AF52" s="28" t="n"/>
      <c r="AG52" s="29">
        <f>IF(AND(AD52=0,AE52=0,AF52=0),0,IF(AND(AD52=0,AE52=0),AF52/1,IF(AND(AD52=0,AF52=0),AE52/1,IF(AND(AE52=0,AF52=0),AD52/1,IF(AD52=0,FLOOR((AE52+AF52)/2,0.1),IF(AE52=0,(AD52+AF52)/2,IF(AF52=0,(AE52+AD52)/2,FLOOR(((AD52+AE52+AF52)/3),0.1))))))))</f>
        <v/>
      </c>
      <c r="AH52" s="21" t="n"/>
      <c r="AI52" s="21" t="n"/>
      <c r="AJ52" s="27">
        <f>SUM(AH52:AI52)</f>
        <v/>
      </c>
      <c r="AK52" s="28" t="n"/>
      <c r="AL52" s="28" t="n"/>
      <c r="AM52" s="29">
        <f>IF(AND(AJ52=0,AK52=0,AL52=0),0,IF(AND(AJ52=0,AK52=0),AL52/1,IF(AND(AJ52=0,AL52=0),AK52/1,IF(AND(AK52=0,AL52=0),AJ52/1,IF(AJ52=0,FLOOR((AK52+AL52)/2,0.1),IF(AK52=0,(AJ52+AL52)/2,IF(AL52=0,(AK52+AJ52)/2,FLOOR(((AJ52+AK52+AL52)/3),0.1))))))))</f>
        <v/>
      </c>
      <c r="AN52" s="21" t="n"/>
      <c r="AO52" s="21" t="n"/>
      <c r="AP52" s="27">
        <f>SUM(AN52:AO52)</f>
        <v/>
      </c>
      <c r="AQ52" s="28" t="n"/>
      <c r="AR52" s="30" t="n"/>
      <c r="AS52" s="29">
        <f>IF(AND(AP52=0,AQ52=0,AR52=0),0,IF(AND(AP52=0,AQ52=0),AR52/1,IF(AND(AP52=0,AR52=0),AQ52/1,IF(AND(AQ52=0,AR52=0),AP52/1,IF(AP52=0,FLOOR((AQ52+AR52)/2,0.1),IF(AQ52=0,(AP52+AR52)/2,IF(AR52=0,(AQ52+AP52)/2,FLOOR(((AP52+AQ52+AR52)/3),0.1))))))))</f>
        <v/>
      </c>
      <c r="AT52" s="21" t="n"/>
      <c r="AU52" s="21" t="n"/>
      <c r="AV52" s="27">
        <f>SUM(AT52:AU52)</f>
        <v/>
      </c>
      <c r="AW52" s="28" t="n"/>
      <c r="AX52" s="30" t="n"/>
      <c r="AY52" s="29">
        <f>IF(AND(AV52=0,AW52=0,AX52=0),0,IF(AND(AV52=0,AW52=0),AX52/1,IF(AND(AV52=0,AX52=0),AW52/1,IF(AND(AW52=0,AX52=0),AV52/1,IF(AV52=0,FLOOR((AW52+AX52)/2,0.1),IF(AW52=0,(AV52+AX52)/2,IF(AX52=0,(AW52+AV52)/2,FLOOR(((AV52+AW52+AX52)/3),0.1))))))))</f>
        <v/>
      </c>
      <c r="AZ52" s="21" t="n"/>
      <c r="BA52" s="21" t="n"/>
      <c r="BB52" s="27">
        <f>SUM(AZ52:BA52)</f>
        <v/>
      </c>
      <c r="BC52" s="28" t="n"/>
      <c r="BD52" s="28" t="n"/>
      <c r="BE52" s="29">
        <f>IF(AND(BB52=0,BC52=0,BD52=0),0,IF(AND(BB52=0,BC52=0),BD52/1,IF(AND(BB52=0,BD52=0),BC52/1,IF(AND(BC52=0,BD52=0),BB52/1,IF(BB52=0,FLOOR((BC52+BD52)/2,0.1),IF(BC52=0,(BB52+BD52)/2,IF(BD52=0,(BC52+BB52)/2,FLOOR(((BB52+BC52+BD52)/3),0.1))))))))</f>
        <v/>
      </c>
      <c r="BF52" s="21" t="n"/>
      <c r="BG52" s="21" t="n"/>
      <c r="BH52" s="27">
        <f>SUM(BF52:BG52)</f>
        <v/>
      </c>
      <c r="BI52" s="28" t="n"/>
      <c r="BJ52" s="28" t="n"/>
      <c r="BK52" s="29">
        <f>IF(AND(BH52=0,BI52=0,BJ52=0),0,IF(AND(BH52=0,BI52=0),BJ52/1,IF(AND(BH52=0,BJ52=0),BI52/1,IF(AND(BI52=0,BJ52=0),BH52/1,IF(BH52=0,FLOOR((BI52+BJ52)/2,0.1),IF(BI52=0,(BH52+BJ52)/2,IF(BJ52=0,(BI52+BH52)/2,FLOOR(((BH52+BI52+BJ52)/3),0.1))))))))</f>
        <v/>
      </c>
      <c r="BL52" s="21" t="n"/>
      <c r="BM52" s="21" t="n"/>
      <c r="BN52" s="27">
        <f>SUM(BL52:BM52)</f>
        <v/>
      </c>
      <c r="BO52" s="28" t="n"/>
      <c r="BP52" s="31" t="n"/>
      <c r="BQ52" s="29">
        <f>IF(AND(BN52=0,BO52=0,BP52=0),0,IF(AND(BN52=0,BO52=0),BP52/1,IF(AND(BN52=0,BP52=0),BO52/1,IF(AND(BO52=0,BP52=0),BN52/1,IF(BN52=0,FLOOR((BO52+BP52)/2,0.1),IF(BO52=0,(BN52+BP52)/2,IF(BP52=0,(BO52+BN52)/2,FLOOR(((BN52+BO52+BP52)/3),0.1))))))))</f>
        <v/>
      </c>
      <c r="BR52" s="21" t="n"/>
      <c r="BS52" s="21" t="n"/>
      <c r="BT52" s="27">
        <f>SUM(BR52:BS52)</f>
        <v/>
      </c>
      <c r="BU52" s="28" t="n"/>
      <c r="BV52" s="31" t="n"/>
      <c r="BW52" s="29">
        <f>IF(AND(BT52=0,BU52=0,BV52=0),0,IF(AND(BT52=0,BU52=0),BV52/1,IF(AND(BT52=0,BV52=0),BU52/1,IF(AND(BU52=0,BV52=0),BT52/1,IF(BT52=0,FLOOR((BU52+BV52)/2,0.1),IF(BU52=0,(BT52+BV52)/2,IF(BV52=0,(BU52+BT52)/2,FLOOR(((BT52+BU52+BV52)/3),0.1))))))))</f>
        <v/>
      </c>
      <c r="BX52" s="21" t="n"/>
      <c r="BY52" s="21" t="n"/>
      <c r="BZ52" s="27">
        <f>SUM(BX52:BY52)</f>
        <v/>
      </c>
      <c r="CA52" s="28" t="n"/>
      <c r="CB52" s="31" t="n"/>
      <c r="CC52" s="29">
        <f>IF(AND(BZ52=0,CA52=0,CB52=0),0,IF(AND(BZ52=0,CA52=0),CB52/1,IF(AND(BZ52=0,CB52=0),CA52/1,IF(AND(CA52=0,CB52=0),BZ52/1,IF(BZ52=0,FLOOR((CA52+CB52)/2,0.1),IF(CA52=0,(BZ52+CB52)/2,IF(CB52=0,(CA52+BZ52)/2,FLOOR(((BZ52+CA52+CB52)/3),0.1))))))))</f>
        <v/>
      </c>
      <c r="CD52" s="21" t="n"/>
      <c r="CE52" s="21" t="n"/>
      <c r="CF52" s="27">
        <f>SUM(CD52:CE52)</f>
        <v/>
      </c>
      <c r="CG52" s="28" t="n"/>
      <c r="CH52" s="31" t="n"/>
      <c r="CI52" s="29">
        <f>IF(AND(CF52=0,CG52=0,CH52=0),0,IF(AND(CF52=0,CG52=0),CH52/1,IF(AND(CF52=0,CH52=0),CG52/1,IF(AND(CG52=0,CH52=0),CF52/1,IF(CF52=0,FLOOR((CG52+CH52)/2,0.1),IF(CG52=0,(CF52+CH52)/2,IF(CH52=0,(CG52+CF52)/2,FLOOR(((CF52+CG52+CH52)/3),0.1))))))))</f>
        <v/>
      </c>
      <c r="CJ52" s="21" t="n"/>
      <c r="CK52" s="21" t="n"/>
      <c r="CL52" s="27">
        <f>SUM(CJ52:CK52)</f>
        <v/>
      </c>
      <c r="CM52" s="28" t="n"/>
      <c r="CN52" s="31" t="n"/>
      <c r="CO52" s="29">
        <f>IF(AND(CL52=0,CM52=0,CN52=0),0,IF(AND(CL52=0,CM52=0),CN52/1,IF(AND(CL52=0,CN52=0),CM52/1,IF(AND(CM52=0,CN52=0),CL52/1,IF(CL52=0,FLOOR((CM52+CN52)/2,0.1),IF(CM52=0,(CL52+CN52)/2,IF(CN52=0,(CM52+CL52)/2,FLOOR(((CL52+CM52+CN52)/3),0.1))))))))</f>
        <v/>
      </c>
      <c r="CP52" s="21" t="n"/>
      <c r="CQ52" s="21" t="n"/>
      <c r="CR52" s="27">
        <f>SUM(CP52:CQ52)</f>
        <v/>
      </c>
      <c r="CS52" s="28" t="n"/>
      <c r="CT52" s="31" t="n"/>
      <c r="CU52" s="29">
        <f>IF(AND(CR52=0,CS52=0,CT52=0),0,IF(AND(CR52=0,CS52=0),CT52/1,IF(AND(CR52=0,CT52=0),CS52/1,IF(AND(CS52=0,CT52=0),CR52/1,IF(CR52=0,FLOOR((CS52+CT52)/2,0.1),IF(CS52=0,(CR52+CT52)/2,IF(CT52=0,(CS52+CR52)/2,FLOOR(((CR52+CS52+CT52)/3),0.1))))))))</f>
        <v/>
      </c>
      <c r="CV52" s="21" t="n"/>
      <c r="CW52" s="21" t="n"/>
      <c r="CX52" s="27">
        <f>SUM(CV52:CW52)</f>
        <v/>
      </c>
      <c r="CY52" s="28" t="n"/>
      <c r="CZ52" s="31" t="n"/>
      <c r="DA52" s="29">
        <f>IF(AND(CX52=0,CY52=0,CZ52=0),0,IF(AND(CX52=0,CY52=0),CZ52/1,IF(AND(CX52=0,CZ52=0),CY52/1,IF(AND(CY52=0,CZ52=0),CX52/1,IF(CX52=0,FLOOR((CY52+CZ52)/2,0.1),IF(CY52=0,(CX52+CZ52)/2,IF(CZ52=0,(CY52+CX52)/2,FLOOR(((CX52+CY52+CZ52)/3),0.1))))))))</f>
        <v/>
      </c>
      <c r="DB52" s="21" t="n"/>
      <c r="DC52" s="21" t="n"/>
      <c r="DD52" s="27">
        <f>SUM(DB52:DC52)</f>
        <v/>
      </c>
      <c r="DE52" s="28" t="n"/>
      <c r="DF52" s="31" t="n"/>
      <c r="DG52" s="29">
        <f>IF(AND(DD52=0,DE52=0,DF52=0),0,IF(AND(DD52=0,DE52=0),DF52/1,IF(AND(DD52=0,DF52=0),DE52/1,IF(AND(DE52=0,DF52=0),DD52/1,IF(DD52=0,FLOOR((DE52+DF52)/2,0.1),IF(DE52=0,(DD52+DF52)/2,IF(DF52=0,(DE52+DD52)/2,FLOOR(((DD52+DE52+DF52)/3),0.1))))))))</f>
        <v/>
      </c>
      <c r="DH52" s="34">
        <f>SUM(O52,U52,AA52,AG52,AM52,AS52,AY52,BE52,BK52,BQ52,BW52,CC52,CI52,CO52,CU52,DA52,DG52)</f>
        <v/>
      </c>
      <c r="DI52" s="39">
        <f>RANK(DH52,DH$4:DH$503)</f>
        <v/>
      </c>
      <c r="DJ52" s="40" t="inlineStr">
        <is>
          <t>CHOOSE RATING</t>
        </is>
      </c>
      <c r="DK52" s="40" t="inlineStr">
        <is>
          <t>CHOOSE RATING</t>
        </is>
      </c>
      <c r="DL52" s="40" t="inlineStr">
        <is>
          <t>CHOOSE RATING</t>
        </is>
      </c>
      <c r="DM52" s="40" t="inlineStr">
        <is>
          <t>CHOOSE RATING</t>
        </is>
      </c>
      <c r="DN52" s="40" t="inlineStr">
        <is>
          <t>CHOOSE RATING</t>
        </is>
      </c>
      <c r="DO52" s="40" t="inlineStr">
        <is>
          <t>CHOOSE RATING</t>
        </is>
      </c>
      <c r="DP52" s="40" t="inlineStr">
        <is>
          <t>CHOOSE RATING</t>
        </is>
      </c>
      <c r="DQ52" s="40" t="inlineStr">
        <is>
          <t>CHOOSE RATING</t>
        </is>
      </c>
      <c r="DR52" s="43" t="inlineStr">
        <is>
          <t>2024/2025</t>
        </is>
      </c>
      <c r="DS52" s="45" t="inlineStr">
        <is>
          <t>THIRD</t>
        </is>
      </c>
      <c r="DT52" s="40" t="inlineStr">
        <is>
          <t>CHOOSE RATING</t>
        </is>
      </c>
      <c r="DU52" s="40" t="inlineStr">
        <is>
          <t>CHOOSE RATING</t>
        </is>
      </c>
      <c r="DV52" s="40" t="inlineStr">
        <is>
          <t>CHOOSE RATING</t>
        </is>
      </c>
      <c r="DW52" s="40" t="inlineStr">
        <is>
          <t>CHOOSE RATING</t>
        </is>
      </c>
      <c r="DX52" s="40" t="inlineStr">
        <is>
          <t>CHOOSE RATING</t>
        </is>
      </c>
      <c r="DY52" s="40" t="inlineStr">
        <is>
          <t>CHOOSE RATING</t>
        </is>
      </c>
      <c r="DZ52" s="53" t="inlineStr">
        <is>
          <t>CHOOSE RATING</t>
        </is>
      </c>
      <c r="EA52" s="54" t="inlineStr">
        <is>
          <t>Add the Tutor's Comment . . .</t>
        </is>
      </c>
      <c r="EB52" s="55" t="inlineStr">
        <is>
          <t>Choose Principals comment</t>
        </is>
      </c>
      <c r="EC52" s="56" t="n"/>
      <c r="ED52" s="57" t="inlineStr">
        <is>
          <t>Next Term Begins on Monday, 22nd September, 2025</t>
        </is>
      </c>
    </row>
    <row r="53" ht="30.6" customHeight="1" s="6">
      <c r="A53" s="18" t="n">
        <v>50</v>
      </c>
      <c r="B53" s="19" t="n"/>
      <c r="C53" s="20" t="n"/>
      <c r="D53" s="128" t="n"/>
      <c r="E53" s="21" t="n"/>
      <c r="F53" s="22" t="n"/>
      <c r="G53" s="22" t="n"/>
      <c r="H53" s="22" t="n"/>
      <c r="I53" s="26">
        <f>G53-H53</f>
        <v/>
      </c>
      <c r="J53" s="21" t="n"/>
      <c r="K53" s="21" t="n"/>
      <c r="L53" s="27">
        <f>SUM(J53:K53)</f>
        <v/>
      </c>
      <c r="M53" s="28" t="n"/>
      <c r="N53" s="28" t="n"/>
      <c r="O53" s="29">
        <f>IF(AND(L53=0,M53=0,N53=0),0,IF(AND(L53=0,M53=0),N53/1,IF(AND(L53=0,N53=0),M53/1,IF(AND(M53=0,N53=0),L53/1,IF(L53=0,FLOOR((M53+N53)/2,0.1),IF(M53=0,(L53+N53)/2,IF(N53=0,(M53+L53)/2,FLOOR(((L53+M53+N53)/3),0.1))))))))</f>
        <v/>
      </c>
      <c r="P53" s="21" t="n"/>
      <c r="Q53" s="21" t="n"/>
      <c r="R53" s="27">
        <f>SUM(P53:Q53)</f>
        <v/>
      </c>
      <c r="S53" s="28" t="n"/>
      <c r="T53" s="28" t="n"/>
      <c r="U53" s="29">
        <f>IF(AND(R53=0,S53=0,T53=0),0,IF(AND(R53=0,S53=0),T53/1,IF(AND(R53=0,T53=0),S53/1,IF(AND(S53=0,T53=0),R53/1,IF(R53=0,FLOOR((S53+T53)/2,0.1),IF(S53=0,(R53+T53)/2,IF(T53=0,(S53+R53)/2,FLOOR(((R53+S53+T53)/3),0.1))))))))</f>
        <v/>
      </c>
      <c r="V53" s="21" t="n"/>
      <c r="W53" s="21" t="n"/>
      <c r="X53" s="27">
        <f>SUM(V53:W53)</f>
        <v/>
      </c>
      <c r="Y53" s="28" t="n"/>
      <c r="Z53" s="28" t="n"/>
      <c r="AA53" s="29">
        <f>IF(AND(X53=0,Y53=0,Z53=0),0,IF(AND(X53=0,Y53=0),Z53/1,IF(AND(X53=0,Z53=0),Y53/1,IF(AND(Y53=0,Z53=0),X53/1,IF(X53=0,FLOOR((Y53+Z53)/2,0.1),IF(Y53=0,(X53+Z53)/2,IF(Z53=0,(Y53+X53)/2,FLOOR(((X53+Y53+Z53)/3),0.1))))))))</f>
        <v/>
      </c>
      <c r="AB53" s="21" t="n"/>
      <c r="AC53" s="21" t="n"/>
      <c r="AD53" s="27">
        <f>SUM(AB53:AC53)</f>
        <v/>
      </c>
      <c r="AE53" s="28" t="n"/>
      <c r="AF53" s="28" t="n"/>
      <c r="AG53" s="29">
        <f>IF(AND(AD53=0,AE53=0,AF53=0),0,IF(AND(AD53=0,AE53=0),AF53/1,IF(AND(AD53=0,AF53=0),AE53/1,IF(AND(AE53=0,AF53=0),AD53/1,IF(AD53=0,FLOOR((AE53+AF53)/2,0.1),IF(AE53=0,(AD53+AF53)/2,IF(AF53=0,(AE53+AD53)/2,FLOOR(((AD53+AE53+AF53)/3),0.1))))))))</f>
        <v/>
      </c>
      <c r="AH53" s="21" t="n"/>
      <c r="AI53" s="21" t="n"/>
      <c r="AJ53" s="27">
        <f>SUM(AH53:AI53)</f>
        <v/>
      </c>
      <c r="AK53" s="28" t="n"/>
      <c r="AL53" s="28" t="n"/>
      <c r="AM53" s="29">
        <f>IF(AND(AJ53=0,AK53=0,AL53=0),0,IF(AND(AJ53=0,AK53=0),AL53/1,IF(AND(AJ53=0,AL53=0),AK53/1,IF(AND(AK53=0,AL53=0),AJ53/1,IF(AJ53=0,FLOOR((AK53+AL53)/2,0.1),IF(AK53=0,(AJ53+AL53)/2,IF(AL53=0,(AK53+AJ53)/2,FLOOR(((AJ53+AK53+AL53)/3),0.1))))))))</f>
        <v/>
      </c>
      <c r="AN53" s="21" t="n"/>
      <c r="AO53" s="21" t="n"/>
      <c r="AP53" s="27">
        <f>SUM(AN53:AO53)</f>
        <v/>
      </c>
      <c r="AQ53" s="28" t="n"/>
      <c r="AR53" s="30" t="n"/>
      <c r="AS53" s="29">
        <f>IF(AND(AP53=0,AQ53=0,AR53=0),0,IF(AND(AP53=0,AQ53=0),AR53/1,IF(AND(AP53=0,AR53=0),AQ53/1,IF(AND(AQ53=0,AR53=0),AP53/1,IF(AP53=0,FLOOR((AQ53+AR53)/2,0.1),IF(AQ53=0,(AP53+AR53)/2,IF(AR53=0,(AQ53+AP53)/2,FLOOR(((AP53+AQ53+AR53)/3),0.1))))))))</f>
        <v/>
      </c>
      <c r="AT53" s="21" t="n"/>
      <c r="AU53" s="21" t="n"/>
      <c r="AV53" s="27">
        <f>SUM(AT53:AU53)</f>
        <v/>
      </c>
      <c r="AW53" s="28" t="n"/>
      <c r="AX53" s="30" t="n"/>
      <c r="AY53" s="29">
        <f>IF(AND(AV53=0,AW53=0,AX53=0),0,IF(AND(AV53=0,AW53=0),AX53/1,IF(AND(AV53=0,AX53=0),AW53/1,IF(AND(AW53=0,AX53=0),AV53/1,IF(AV53=0,FLOOR((AW53+AX53)/2,0.1),IF(AW53=0,(AV53+AX53)/2,IF(AX53=0,(AW53+AV53)/2,FLOOR(((AV53+AW53+AX53)/3),0.1))))))))</f>
        <v/>
      </c>
      <c r="AZ53" s="21" t="n"/>
      <c r="BA53" s="21" t="n"/>
      <c r="BB53" s="27">
        <f>SUM(AZ53:BA53)</f>
        <v/>
      </c>
      <c r="BC53" s="28" t="n"/>
      <c r="BD53" s="28" t="n"/>
      <c r="BE53" s="29">
        <f>IF(AND(BB53=0,BC53=0,BD53=0),0,IF(AND(BB53=0,BC53=0),BD53/1,IF(AND(BB53=0,BD53=0),BC53/1,IF(AND(BC53=0,BD53=0),BB53/1,IF(BB53=0,FLOOR((BC53+BD53)/2,0.1),IF(BC53=0,(BB53+BD53)/2,IF(BD53=0,(BC53+BB53)/2,FLOOR(((BB53+BC53+BD53)/3),0.1))))))))</f>
        <v/>
      </c>
      <c r="BF53" s="21" t="n"/>
      <c r="BG53" s="21" t="n"/>
      <c r="BH53" s="27">
        <f>SUM(BF53:BG53)</f>
        <v/>
      </c>
      <c r="BI53" s="28" t="n"/>
      <c r="BJ53" s="28" t="n"/>
      <c r="BK53" s="29">
        <f>IF(AND(BH53=0,BI53=0,BJ53=0),0,IF(AND(BH53=0,BI53=0),BJ53/1,IF(AND(BH53=0,BJ53=0),BI53/1,IF(AND(BI53=0,BJ53=0),BH53/1,IF(BH53=0,FLOOR((BI53+BJ53)/2,0.1),IF(BI53=0,(BH53+BJ53)/2,IF(BJ53=0,(BI53+BH53)/2,FLOOR(((BH53+BI53+BJ53)/3),0.1))))))))</f>
        <v/>
      </c>
      <c r="BL53" s="21" t="n"/>
      <c r="BM53" s="21" t="n"/>
      <c r="BN53" s="27">
        <f>SUM(BL53:BM53)</f>
        <v/>
      </c>
      <c r="BO53" s="28" t="n"/>
      <c r="BP53" s="31" t="n"/>
      <c r="BQ53" s="29">
        <f>IF(AND(BN53=0,BO53=0,BP53=0),0,IF(AND(BN53=0,BO53=0),BP53/1,IF(AND(BN53=0,BP53=0),BO53/1,IF(AND(BO53=0,BP53=0),BN53/1,IF(BN53=0,FLOOR((BO53+BP53)/2,0.1),IF(BO53=0,(BN53+BP53)/2,IF(BP53=0,(BO53+BN53)/2,FLOOR(((BN53+BO53+BP53)/3),0.1))))))))</f>
        <v/>
      </c>
      <c r="BR53" s="21" t="n"/>
      <c r="BS53" s="21" t="n"/>
      <c r="BT53" s="27">
        <f>SUM(BR53:BS53)</f>
        <v/>
      </c>
      <c r="BU53" s="28" t="n"/>
      <c r="BV53" s="31" t="n"/>
      <c r="BW53" s="29">
        <f>IF(AND(BT53=0,BU53=0,BV53=0),0,IF(AND(BT53=0,BU53=0),BV53/1,IF(AND(BT53=0,BV53=0),BU53/1,IF(AND(BU53=0,BV53=0),BT53/1,IF(BT53=0,FLOOR((BU53+BV53)/2,0.1),IF(BU53=0,(BT53+BV53)/2,IF(BV53=0,(BU53+BT53)/2,FLOOR(((BT53+BU53+BV53)/3),0.1))))))))</f>
        <v/>
      </c>
      <c r="BX53" s="21" t="n"/>
      <c r="BY53" s="21" t="n"/>
      <c r="BZ53" s="27">
        <f>SUM(BX53:BY53)</f>
        <v/>
      </c>
      <c r="CA53" s="28" t="n"/>
      <c r="CB53" s="31" t="n"/>
      <c r="CC53" s="29">
        <f>IF(AND(BZ53=0,CA53=0,CB53=0),0,IF(AND(BZ53=0,CA53=0),CB53/1,IF(AND(BZ53=0,CB53=0),CA53/1,IF(AND(CA53=0,CB53=0),BZ53/1,IF(BZ53=0,FLOOR((CA53+CB53)/2,0.1),IF(CA53=0,(BZ53+CB53)/2,IF(CB53=0,(CA53+BZ53)/2,FLOOR(((BZ53+CA53+CB53)/3),0.1))))))))</f>
        <v/>
      </c>
      <c r="CD53" s="21" t="n"/>
      <c r="CE53" s="21" t="n"/>
      <c r="CF53" s="27">
        <f>SUM(CD53:CE53)</f>
        <v/>
      </c>
      <c r="CG53" s="28" t="n"/>
      <c r="CH53" s="31" t="n"/>
      <c r="CI53" s="29">
        <f>IF(AND(CF53=0,CG53=0,CH53=0),0,IF(AND(CF53=0,CG53=0),CH53/1,IF(AND(CF53=0,CH53=0),CG53/1,IF(AND(CG53=0,CH53=0),CF53/1,IF(CF53=0,FLOOR((CG53+CH53)/2,0.1),IF(CG53=0,(CF53+CH53)/2,IF(CH53=0,(CG53+CF53)/2,FLOOR(((CF53+CG53+CH53)/3),0.1))))))))</f>
        <v/>
      </c>
      <c r="CJ53" s="21" t="n"/>
      <c r="CK53" s="21" t="n"/>
      <c r="CL53" s="27">
        <f>SUM(CJ53:CK53)</f>
        <v/>
      </c>
      <c r="CM53" s="28" t="n"/>
      <c r="CN53" s="31" t="n"/>
      <c r="CO53" s="29">
        <f>IF(AND(CL53=0,CM53=0,CN53=0),0,IF(AND(CL53=0,CM53=0),CN53/1,IF(AND(CL53=0,CN53=0),CM53/1,IF(AND(CM53=0,CN53=0),CL53/1,IF(CL53=0,FLOOR((CM53+CN53)/2,0.1),IF(CM53=0,(CL53+CN53)/2,IF(CN53=0,(CM53+CL53)/2,FLOOR(((CL53+CM53+CN53)/3),0.1))))))))</f>
        <v/>
      </c>
      <c r="CP53" s="21" t="n"/>
      <c r="CQ53" s="21" t="n"/>
      <c r="CR53" s="27">
        <f>SUM(CP53:CQ53)</f>
        <v/>
      </c>
      <c r="CS53" s="28" t="n"/>
      <c r="CT53" s="31" t="n"/>
      <c r="CU53" s="29">
        <f>IF(AND(CR53=0,CS53=0,CT53=0),0,IF(AND(CR53=0,CS53=0),CT53/1,IF(AND(CR53=0,CT53=0),CS53/1,IF(AND(CS53=0,CT53=0),CR53/1,IF(CR53=0,FLOOR((CS53+CT53)/2,0.1),IF(CS53=0,(CR53+CT53)/2,IF(CT53=0,(CS53+CR53)/2,FLOOR(((CR53+CS53+CT53)/3),0.1))))))))</f>
        <v/>
      </c>
      <c r="CV53" s="21" t="n"/>
      <c r="CW53" s="21" t="n"/>
      <c r="CX53" s="27">
        <f>SUM(CV53:CW53)</f>
        <v/>
      </c>
      <c r="CY53" s="28" t="n"/>
      <c r="CZ53" s="31" t="n"/>
      <c r="DA53" s="29">
        <f>IF(AND(CX53=0,CY53=0,CZ53=0),0,IF(AND(CX53=0,CY53=0),CZ53/1,IF(AND(CX53=0,CZ53=0),CY53/1,IF(AND(CY53=0,CZ53=0),CX53/1,IF(CX53=0,FLOOR((CY53+CZ53)/2,0.1),IF(CY53=0,(CX53+CZ53)/2,IF(CZ53=0,(CY53+CX53)/2,FLOOR(((CX53+CY53+CZ53)/3),0.1))))))))</f>
        <v/>
      </c>
      <c r="DB53" s="21" t="n"/>
      <c r="DC53" s="21" t="n"/>
      <c r="DD53" s="27">
        <f>SUM(DB53:DC53)</f>
        <v/>
      </c>
      <c r="DE53" s="28" t="n"/>
      <c r="DF53" s="31" t="n"/>
      <c r="DG53" s="29">
        <f>IF(AND(DD53=0,DE53=0,DF53=0),0,IF(AND(DD53=0,DE53=0),DF53/1,IF(AND(DD53=0,DF53=0),DE53/1,IF(AND(DE53=0,DF53=0),DD53/1,IF(DD53=0,FLOOR((DE53+DF53)/2,0.1),IF(DE53=0,(DD53+DF53)/2,IF(DF53=0,(DE53+DD53)/2,FLOOR(((DD53+DE53+DF53)/3),0.1))))))))</f>
        <v/>
      </c>
      <c r="DH53" s="34">
        <f>SUM(O53,U53,AA53,AG53,AM53,AS53,AY53,BE53,BK53,BQ53,BW53,CC53,CI53,CO53,CU53,DA53,DG53)</f>
        <v/>
      </c>
      <c r="DI53" s="39">
        <f>RANK(DH53,DH$4:DH$503)</f>
        <v/>
      </c>
      <c r="DJ53" s="40" t="inlineStr">
        <is>
          <t>CHOOSE RATING</t>
        </is>
      </c>
      <c r="DK53" s="40" t="inlineStr">
        <is>
          <t>CHOOSE RATING</t>
        </is>
      </c>
      <c r="DL53" s="40" t="inlineStr">
        <is>
          <t>CHOOSE RATING</t>
        </is>
      </c>
      <c r="DM53" s="40" t="inlineStr">
        <is>
          <t>CHOOSE RATING</t>
        </is>
      </c>
      <c r="DN53" s="40" t="inlineStr">
        <is>
          <t>CHOOSE RATING</t>
        </is>
      </c>
      <c r="DO53" s="40" t="inlineStr">
        <is>
          <t>CHOOSE RATING</t>
        </is>
      </c>
      <c r="DP53" s="40" t="inlineStr">
        <is>
          <t>CHOOSE RATING</t>
        </is>
      </c>
      <c r="DQ53" s="40" t="inlineStr">
        <is>
          <t>CHOOSE RATING</t>
        </is>
      </c>
      <c r="DR53" s="43" t="inlineStr">
        <is>
          <t>2024/2025</t>
        </is>
      </c>
      <c r="DS53" s="45" t="inlineStr">
        <is>
          <t>THIRD</t>
        </is>
      </c>
      <c r="DT53" s="40" t="inlineStr">
        <is>
          <t>CHOOSE RATING</t>
        </is>
      </c>
      <c r="DU53" s="40" t="inlineStr">
        <is>
          <t>CHOOSE RATING</t>
        </is>
      </c>
      <c r="DV53" s="40" t="inlineStr">
        <is>
          <t>CHOOSE RATING</t>
        </is>
      </c>
      <c r="DW53" s="40" t="inlineStr">
        <is>
          <t>CHOOSE RATING</t>
        </is>
      </c>
      <c r="DX53" s="40" t="inlineStr">
        <is>
          <t>CHOOSE RATING</t>
        </is>
      </c>
      <c r="DY53" s="40" t="inlineStr">
        <is>
          <t>CHOOSE RATING</t>
        </is>
      </c>
      <c r="DZ53" s="53" t="inlineStr">
        <is>
          <t>CHOOSE RATING</t>
        </is>
      </c>
      <c r="EA53" s="54" t="inlineStr">
        <is>
          <t>Add the Tutor's Comment . . .</t>
        </is>
      </c>
      <c r="EB53" s="55" t="inlineStr">
        <is>
          <t>Choose Principals comment</t>
        </is>
      </c>
      <c r="EC53" s="56" t="n"/>
      <c r="ED53" s="57" t="inlineStr">
        <is>
          <t>Next Term Begins on Monday, 22nd September, 2025</t>
        </is>
      </c>
    </row>
    <row r="54" ht="30.6" customHeight="1" s="6">
      <c r="A54" s="18" t="n">
        <v>51</v>
      </c>
      <c r="B54" s="19" t="n"/>
      <c r="C54" s="20" t="n"/>
      <c r="D54" s="128" t="n"/>
      <c r="E54" s="21" t="n"/>
      <c r="F54" s="22" t="n"/>
      <c r="G54" s="22" t="n"/>
      <c r="H54" s="22" t="n"/>
      <c r="I54" s="26">
        <f>G54-H54</f>
        <v/>
      </c>
      <c r="J54" s="21" t="n"/>
      <c r="K54" s="21" t="n"/>
      <c r="L54" s="27">
        <f>SUM(J54:K54)</f>
        <v/>
      </c>
      <c r="M54" s="28" t="n"/>
      <c r="N54" s="28" t="n"/>
      <c r="O54" s="29">
        <f>IF(AND(L54=0,M54=0,N54=0),0,IF(AND(L54=0,M54=0),N54/1,IF(AND(L54=0,N54=0),M54/1,IF(AND(M54=0,N54=0),L54/1,IF(L54=0,FLOOR((M54+N54)/2,0.1),IF(M54=0,(L54+N54)/2,IF(N54=0,(M54+L54)/2,FLOOR(((L54+M54+N54)/3),0.1))))))))</f>
        <v/>
      </c>
      <c r="P54" s="21" t="n"/>
      <c r="Q54" s="21" t="n"/>
      <c r="R54" s="27">
        <f>SUM(P54:Q54)</f>
        <v/>
      </c>
      <c r="S54" s="28" t="n"/>
      <c r="T54" s="28" t="n"/>
      <c r="U54" s="29">
        <f>IF(AND(R54=0,S54=0,T54=0),0,IF(AND(R54=0,S54=0),T54/1,IF(AND(R54=0,T54=0),S54/1,IF(AND(S54=0,T54=0),R54/1,IF(R54=0,FLOOR((S54+T54)/2,0.1),IF(S54=0,(R54+T54)/2,IF(T54=0,(S54+R54)/2,FLOOR(((R54+S54+T54)/3),0.1))))))))</f>
        <v/>
      </c>
      <c r="V54" s="21" t="n"/>
      <c r="W54" s="21" t="n"/>
      <c r="X54" s="27">
        <f>SUM(V54:W54)</f>
        <v/>
      </c>
      <c r="Y54" s="28" t="n"/>
      <c r="Z54" s="28" t="n"/>
      <c r="AA54" s="29">
        <f>IF(AND(X54=0,Y54=0,Z54=0),0,IF(AND(X54=0,Y54=0),Z54/1,IF(AND(X54=0,Z54=0),Y54/1,IF(AND(Y54=0,Z54=0),X54/1,IF(X54=0,FLOOR((Y54+Z54)/2,0.1),IF(Y54=0,(X54+Z54)/2,IF(Z54=0,(Y54+X54)/2,FLOOR(((X54+Y54+Z54)/3),0.1))))))))</f>
        <v/>
      </c>
      <c r="AB54" s="21" t="n"/>
      <c r="AC54" s="21" t="n"/>
      <c r="AD54" s="27">
        <f>SUM(AB54:AC54)</f>
        <v/>
      </c>
      <c r="AE54" s="28" t="n"/>
      <c r="AF54" s="28" t="n"/>
      <c r="AG54" s="29">
        <f>IF(AND(AD54=0,AE54=0,AF54=0),0,IF(AND(AD54=0,AE54=0),AF54/1,IF(AND(AD54=0,AF54=0),AE54/1,IF(AND(AE54=0,AF54=0),AD54/1,IF(AD54=0,FLOOR((AE54+AF54)/2,0.1),IF(AE54=0,(AD54+AF54)/2,IF(AF54=0,(AE54+AD54)/2,FLOOR(((AD54+AE54+AF54)/3),0.1))))))))</f>
        <v/>
      </c>
      <c r="AH54" s="21" t="n"/>
      <c r="AI54" s="21" t="n"/>
      <c r="AJ54" s="27">
        <f>SUM(AH54:AI54)</f>
        <v/>
      </c>
      <c r="AK54" s="28" t="n"/>
      <c r="AL54" s="28" t="n"/>
      <c r="AM54" s="29">
        <f>IF(AND(AJ54=0,AK54=0,AL54=0),0,IF(AND(AJ54=0,AK54=0),AL54/1,IF(AND(AJ54=0,AL54=0),AK54/1,IF(AND(AK54=0,AL54=0),AJ54/1,IF(AJ54=0,FLOOR((AK54+AL54)/2,0.1),IF(AK54=0,(AJ54+AL54)/2,IF(AL54=0,(AK54+AJ54)/2,FLOOR(((AJ54+AK54+AL54)/3),0.1))))))))</f>
        <v/>
      </c>
      <c r="AN54" s="21" t="n"/>
      <c r="AO54" s="21" t="n"/>
      <c r="AP54" s="27">
        <f>SUM(AN54:AO54)</f>
        <v/>
      </c>
      <c r="AQ54" s="28" t="n"/>
      <c r="AR54" s="30" t="n"/>
      <c r="AS54" s="29">
        <f>IF(AND(AP54=0,AQ54=0,AR54=0),0,IF(AND(AP54=0,AQ54=0),AR54/1,IF(AND(AP54=0,AR54=0),AQ54/1,IF(AND(AQ54=0,AR54=0),AP54/1,IF(AP54=0,FLOOR((AQ54+AR54)/2,0.1),IF(AQ54=0,(AP54+AR54)/2,IF(AR54=0,(AQ54+AP54)/2,FLOOR(((AP54+AQ54+AR54)/3),0.1))))))))</f>
        <v/>
      </c>
      <c r="AT54" s="21" t="n"/>
      <c r="AU54" s="21" t="n"/>
      <c r="AV54" s="27">
        <f>SUM(AT54:AU54)</f>
        <v/>
      </c>
      <c r="AW54" s="28" t="n"/>
      <c r="AX54" s="30" t="n"/>
      <c r="AY54" s="29">
        <f>IF(AND(AV54=0,AW54=0,AX54=0),0,IF(AND(AV54=0,AW54=0),AX54/1,IF(AND(AV54=0,AX54=0),AW54/1,IF(AND(AW54=0,AX54=0),AV54/1,IF(AV54=0,FLOOR((AW54+AX54)/2,0.1),IF(AW54=0,(AV54+AX54)/2,IF(AX54=0,(AW54+AV54)/2,FLOOR(((AV54+AW54+AX54)/3),0.1))))))))</f>
        <v/>
      </c>
      <c r="AZ54" s="21" t="n"/>
      <c r="BA54" s="21" t="n"/>
      <c r="BB54" s="27">
        <f>SUM(AZ54:BA54)</f>
        <v/>
      </c>
      <c r="BC54" s="28" t="n"/>
      <c r="BD54" s="28" t="n"/>
      <c r="BE54" s="29">
        <f>IF(AND(BB54=0,BC54=0,BD54=0),0,IF(AND(BB54=0,BC54=0),BD54/1,IF(AND(BB54=0,BD54=0),BC54/1,IF(AND(BC54=0,BD54=0),BB54/1,IF(BB54=0,FLOOR((BC54+BD54)/2,0.1),IF(BC54=0,(BB54+BD54)/2,IF(BD54=0,(BC54+BB54)/2,FLOOR(((BB54+BC54+BD54)/3),0.1))))))))</f>
        <v/>
      </c>
      <c r="BF54" s="21" t="n"/>
      <c r="BG54" s="21" t="n"/>
      <c r="BH54" s="27">
        <f>SUM(BF54:BG54)</f>
        <v/>
      </c>
      <c r="BI54" s="28" t="n"/>
      <c r="BJ54" s="28" t="n"/>
      <c r="BK54" s="29">
        <f>IF(AND(BH54=0,BI54=0,BJ54=0),0,IF(AND(BH54=0,BI54=0),BJ54/1,IF(AND(BH54=0,BJ54=0),BI54/1,IF(AND(BI54=0,BJ54=0),BH54/1,IF(BH54=0,FLOOR((BI54+BJ54)/2,0.1),IF(BI54=0,(BH54+BJ54)/2,IF(BJ54=0,(BI54+BH54)/2,FLOOR(((BH54+BI54+BJ54)/3),0.1))))))))</f>
        <v/>
      </c>
      <c r="BL54" s="21" t="n"/>
      <c r="BM54" s="21" t="n"/>
      <c r="BN54" s="27">
        <f>SUM(BL54:BM54)</f>
        <v/>
      </c>
      <c r="BO54" s="28" t="n"/>
      <c r="BP54" s="31" t="n"/>
      <c r="BQ54" s="29">
        <f>IF(AND(BN54=0,BO54=0,BP54=0),0,IF(AND(BN54=0,BO54=0),BP54/1,IF(AND(BN54=0,BP54=0),BO54/1,IF(AND(BO54=0,BP54=0),BN54/1,IF(BN54=0,FLOOR((BO54+BP54)/2,0.1),IF(BO54=0,(BN54+BP54)/2,IF(BP54=0,(BO54+BN54)/2,FLOOR(((BN54+BO54+BP54)/3),0.1))))))))</f>
        <v/>
      </c>
      <c r="BR54" s="21" t="n"/>
      <c r="BS54" s="21" t="n"/>
      <c r="BT54" s="27">
        <f>SUM(BR54:BS54)</f>
        <v/>
      </c>
      <c r="BU54" s="28" t="n"/>
      <c r="BV54" s="31" t="n"/>
      <c r="BW54" s="29">
        <f>IF(AND(BT54=0,BU54=0,BV54=0),0,IF(AND(BT54=0,BU54=0),BV54/1,IF(AND(BT54=0,BV54=0),BU54/1,IF(AND(BU54=0,BV54=0),BT54/1,IF(BT54=0,FLOOR((BU54+BV54)/2,0.1),IF(BU54=0,(BT54+BV54)/2,IF(BV54=0,(BU54+BT54)/2,FLOOR(((BT54+BU54+BV54)/3),0.1))))))))</f>
        <v/>
      </c>
      <c r="BX54" s="21" t="n"/>
      <c r="BY54" s="21" t="n"/>
      <c r="BZ54" s="27">
        <f>SUM(BX54:BY54)</f>
        <v/>
      </c>
      <c r="CA54" s="28" t="n"/>
      <c r="CB54" s="31" t="n"/>
      <c r="CC54" s="29">
        <f>IF(AND(BZ54=0,CA54=0,CB54=0),0,IF(AND(BZ54=0,CA54=0),CB54/1,IF(AND(BZ54=0,CB54=0),CA54/1,IF(AND(CA54=0,CB54=0),BZ54/1,IF(BZ54=0,FLOOR((CA54+CB54)/2,0.1),IF(CA54=0,(BZ54+CB54)/2,IF(CB54=0,(CA54+BZ54)/2,FLOOR(((BZ54+CA54+CB54)/3),0.1))))))))</f>
        <v/>
      </c>
      <c r="CD54" s="21" t="n"/>
      <c r="CE54" s="21" t="n"/>
      <c r="CF54" s="27">
        <f>SUM(CD54:CE54)</f>
        <v/>
      </c>
      <c r="CG54" s="28" t="n"/>
      <c r="CH54" s="31" t="n"/>
      <c r="CI54" s="29">
        <f>IF(AND(CF54=0,CG54=0,CH54=0),0,IF(AND(CF54=0,CG54=0),CH54/1,IF(AND(CF54=0,CH54=0),CG54/1,IF(AND(CG54=0,CH54=0),CF54/1,IF(CF54=0,FLOOR((CG54+CH54)/2,0.1),IF(CG54=0,(CF54+CH54)/2,IF(CH54=0,(CG54+CF54)/2,FLOOR(((CF54+CG54+CH54)/3),0.1))))))))</f>
        <v/>
      </c>
      <c r="CJ54" s="21" t="n"/>
      <c r="CK54" s="21" t="n"/>
      <c r="CL54" s="27">
        <f>SUM(CJ54:CK54)</f>
        <v/>
      </c>
      <c r="CM54" s="28" t="n"/>
      <c r="CN54" s="31" t="n"/>
      <c r="CO54" s="29">
        <f>IF(AND(CL54=0,CM54=0,CN54=0),0,IF(AND(CL54=0,CM54=0),CN54/1,IF(AND(CL54=0,CN54=0),CM54/1,IF(AND(CM54=0,CN54=0),CL54/1,IF(CL54=0,FLOOR((CM54+CN54)/2,0.1),IF(CM54=0,(CL54+CN54)/2,IF(CN54=0,(CM54+CL54)/2,FLOOR(((CL54+CM54+CN54)/3),0.1))))))))</f>
        <v/>
      </c>
      <c r="CP54" s="21" t="n"/>
      <c r="CQ54" s="21" t="n"/>
      <c r="CR54" s="27">
        <f>SUM(CP54:CQ54)</f>
        <v/>
      </c>
      <c r="CS54" s="28" t="n"/>
      <c r="CT54" s="31" t="n"/>
      <c r="CU54" s="29">
        <f>IF(AND(CR54=0,CS54=0,CT54=0),0,IF(AND(CR54=0,CS54=0),CT54/1,IF(AND(CR54=0,CT54=0),CS54/1,IF(AND(CS54=0,CT54=0),CR54/1,IF(CR54=0,FLOOR((CS54+CT54)/2,0.1),IF(CS54=0,(CR54+CT54)/2,IF(CT54=0,(CS54+CR54)/2,FLOOR(((CR54+CS54+CT54)/3),0.1))))))))</f>
        <v/>
      </c>
      <c r="CV54" s="21" t="n"/>
      <c r="CW54" s="21" t="n"/>
      <c r="CX54" s="27">
        <f>SUM(CV54:CW54)</f>
        <v/>
      </c>
      <c r="CY54" s="28" t="n"/>
      <c r="CZ54" s="31" t="n"/>
      <c r="DA54" s="29">
        <f>IF(AND(CX54=0,CY54=0,CZ54=0),0,IF(AND(CX54=0,CY54=0),CZ54/1,IF(AND(CX54=0,CZ54=0),CY54/1,IF(AND(CY54=0,CZ54=0),CX54/1,IF(CX54=0,FLOOR((CY54+CZ54)/2,0.1),IF(CY54=0,(CX54+CZ54)/2,IF(CZ54=0,(CY54+CX54)/2,FLOOR(((CX54+CY54+CZ54)/3),0.1))))))))</f>
        <v/>
      </c>
      <c r="DB54" s="21" t="n"/>
      <c r="DC54" s="21" t="n"/>
      <c r="DD54" s="27">
        <f>SUM(DB54:DC54)</f>
        <v/>
      </c>
      <c r="DE54" s="28" t="n"/>
      <c r="DF54" s="31" t="n"/>
      <c r="DG54" s="29">
        <f>IF(AND(DD54=0,DE54=0,DF54=0),0,IF(AND(DD54=0,DE54=0),DF54/1,IF(AND(DD54=0,DF54=0),DE54/1,IF(AND(DE54=0,DF54=0),DD54/1,IF(DD54=0,FLOOR((DE54+DF54)/2,0.1),IF(DE54=0,(DD54+DF54)/2,IF(DF54=0,(DE54+DD54)/2,FLOOR(((DD54+DE54+DF54)/3),0.1))))))))</f>
        <v/>
      </c>
      <c r="DH54" s="34">
        <f>SUM(O54,U54,AA54,AG54,AM54,AS54,AY54,BE54,BK54,BQ54,BW54,CC54,CI54,CO54,CU54,DA54,DG54)</f>
        <v/>
      </c>
      <c r="DI54" s="39">
        <f>RANK(DH54,DH$4:DH$503)</f>
        <v/>
      </c>
      <c r="DJ54" s="40" t="inlineStr">
        <is>
          <t>CHOOSE RATING</t>
        </is>
      </c>
      <c r="DK54" s="40" t="inlineStr">
        <is>
          <t>CHOOSE RATING</t>
        </is>
      </c>
      <c r="DL54" s="40" t="inlineStr">
        <is>
          <t>CHOOSE RATING</t>
        </is>
      </c>
      <c r="DM54" s="40" t="inlineStr">
        <is>
          <t>CHOOSE RATING</t>
        </is>
      </c>
      <c r="DN54" s="40" t="inlineStr">
        <is>
          <t>CHOOSE RATING</t>
        </is>
      </c>
      <c r="DO54" s="40" t="inlineStr">
        <is>
          <t>CHOOSE RATING</t>
        </is>
      </c>
      <c r="DP54" s="40" t="inlineStr">
        <is>
          <t>CHOOSE RATING</t>
        </is>
      </c>
      <c r="DQ54" s="40" t="inlineStr">
        <is>
          <t>CHOOSE RATING</t>
        </is>
      </c>
      <c r="DR54" s="43" t="inlineStr">
        <is>
          <t>2024/2025</t>
        </is>
      </c>
      <c r="DS54" s="45" t="inlineStr">
        <is>
          <t>THIRD</t>
        </is>
      </c>
      <c r="DT54" s="40" t="inlineStr">
        <is>
          <t>CHOOSE RATING</t>
        </is>
      </c>
      <c r="DU54" s="40" t="inlineStr">
        <is>
          <t>CHOOSE RATING</t>
        </is>
      </c>
      <c r="DV54" s="40" t="inlineStr">
        <is>
          <t>CHOOSE RATING</t>
        </is>
      </c>
      <c r="DW54" s="40" t="inlineStr">
        <is>
          <t>CHOOSE RATING</t>
        </is>
      </c>
      <c r="DX54" s="40" t="inlineStr">
        <is>
          <t>CHOOSE RATING</t>
        </is>
      </c>
      <c r="DY54" s="40" t="inlineStr">
        <is>
          <t>CHOOSE RATING</t>
        </is>
      </c>
      <c r="DZ54" s="53" t="inlineStr">
        <is>
          <t>CHOOSE RATING</t>
        </is>
      </c>
      <c r="EA54" s="54" t="inlineStr">
        <is>
          <t>Add the Tutor's Comment . . .</t>
        </is>
      </c>
      <c r="EB54" s="55" t="inlineStr">
        <is>
          <t>Choose Principals comment</t>
        </is>
      </c>
      <c r="EC54" s="56" t="n"/>
      <c r="ED54" s="57" t="inlineStr">
        <is>
          <t>Next Term Begins on Monday, 22nd September, 2025</t>
        </is>
      </c>
    </row>
    <row r="55" ht="30.6" customHeight="1" s="6">
      <c r="A55" s="18" t="n">
        <v>52</v>
      </c>
      <c r="B55" s="19" t="n"/>
      <c r="C55" s="20" t="n"/>
      <c r="D55" s="128" t="n"/>
      <c r="E55" s="21" t="n"/>
      <c r="F55" s="22" t="n"/>
      <c r="G55" s="22" t="n"/>
      <c r="H55" s="22" t="n"/>
      <c r="I55" s="26">
        <f>G55-H55</f>
        <v/>
      </c>
      <c r="J55" s="21" t="n"/>
      <c r="K55" s="21" t="n"/>
      <c r="L55" s="27">
        <f>SUM(J55:K55)</f>
        <v/>
      </c>
      <c r="M55" s="28" t="n"/>
      <c r="N55" s="28" t="n"/>
      <c r="O55" s="29">
        <f>IF(AND(L55=0,M55=0,N55=0),0,IF(AND(L55=0,M55=0),N55/1,IF(AND(L55=0,N55=0),M55/1,IF(AND(M55=0,N55=0),L55/1,IF(L55=0,FLOOR((M55+N55)/2,0.1),IF(M55=0,(L55+N55)/2,IF(N55=0,(M55+L55)/2,FLOOR(((L55+M55+N55)/3),0.1))))))))</f>
        <v/>
      </c>
      <c r="P55" s="21" t="n"/>
      <c r="Q55" s="21" t="n"/>
      <c r="R55" s="27">
        <f>SUM(P55:Q55)</f>
        <v/>
      </c>
      <c r="S55" s="28" t="n"/>
      <c r="T55" s="28" t="n"/>
      <c r="U55" s="29">
        <f>IF(AND(R55=0,S55=0,T55=0),0,IF(AND(R55=0,S55=0),T55/1,IF(AND(R55=0,T55=0),S55/1,IF(AND(S55=0,T55=0),R55/1,IF(R55=0,FLOOR((S55+T55)/2,0.1),IF(S55=0,(R55+T55)/2,IF(T55=0,(S55+R55)/2,FLOOR(((R55+S55+T55)/3),0.1))))))))</f>
        <v/>
      </c>
      <c r="V55" s="21" t="n"/>
      <c r="W55" s="21" t="n"/>
      <c r="X55" s="27">
        <f>SUM(V55:W55)</f>
        <v/>
      </c>
      <c r="Y55" s="28" t="n"/>
      <c r="Z55" s="28" t="n"/>
      <c r="AA55" s="29">
        <f>IF(AND(X55=0,Y55=0,Z55=0),0,IF(AND(X55=0,Y55=0),Z55/1,IF(AND(X55=0,Z55=0),Y55/1,IF(AND(Y55=0,Z55=0),X55/1,IF(X55=0,FLOOR((Y55+Z55)/2,0.1),IF(Y55=0,(X55+Z55)/2,IF(Z55=0,(Y55+X55)/2,FLOOR(((X55+Y55+Z55)/3),0.1))))))))</f>
        <v/>
      </c>
      <c r="AB55" s="21" t="n"/>
      <c r="AC55" s="21" t="n"/>
      <c r="AD55" s="27">
        <f>SUM(AB55:AC55)</f>
        <v/>
      </c>
      <c r="AE55" s="28" t="n"/>
      <c r="AF55" s="28" t="n"/>
      <c r="AG55" s="29">
        <f>IF(AND(AD55=0,AE55=0,AF55=0),0,IF(AND(AD55=0,AE55=0),AF55/1,IF(AND(AD55=0,AF55=0),AE55/1,IF(AND(AE55=0,AF55=0),AD55/1,IF(AD55=0,FLOOR((AE55+AF55)/2,0.1),IF(AE55=0,(AD55+AF55)/2,IF(AF55=0,(AE55+AD55)/2,FLOOR(((AD55+AE55+AF55)/3),0.1))))))))</f>
        <v/>
      </c>
      <c r="AH55" s="21" t="n"/>
      <c r="AI55" s="21" t="n"/>
      <c r="AJ55" s="27">
        <f>SUM(AH55:AI55)</f>
        <v/>
      </c>
      <c r="AK55" s="28" t="n"/>
      <c r="AL55" s="28" t="n"/>
      <c r="AM55" s="29">
        <f>IF(AND(AJ55=0,AK55=0,AL55=0),0,IF(AND(AJ55=0,AK55=0),AL55/1,IF(AND(AJ55=0,AL55=0),AK55/1,IF(AND(AK55=0,AL55=0),AJ55/1,IF(AJ55=0,FLOOR((AK55+AL55)/2,0.1),IF(AK55=0,(AJ55+AL55)/2,IF(AL55=0,(AK55+AJ55)/2,FLOOR(((AJ55+AK55+AL55)/3),0.1))))))))</f>
        <v/>
      </c>
      <c r="AN55" s="21" t="n"/>
      <c r="AO55" s="21" t="n"/>
      <c r="AP55" s="27">
        <f>SUM(AN55:AO55)</f>
        <v/>
      </c>
      <c r="AQ55" s="28" t="n"/>
      <c r="AR55" s="30" t="n"/>
      <c r="AS55" s="29">
        <f>IF(AND(AP55=0,AQ55=0,AR55=0),0,IF(AND(AP55=0,AQ55=0),AR55/1,IF(AND(AP55=0,AR55=0),AQ55/1,IF(AND(AQ55=0,AR55=0),AP55/1,IF(AP55=0,FLOOR((AQ55+AR55)/2,0.1),IF(AQ55=0,(AP55+AR55)/2,IF(AR55=0,(AQ55+AP55)/2,FLOOR(((AP55+AQ55+AR55)/3),0.1))))))))</f>
        <v/>
      </c>
      <c r="AT55" s="21" t="n"/>
      <c r="AU55" s="21" t="n"/>
      <c r="AV55" s="27">
        <f>SUM(AT55:AU55)</f>
        <v/>
      </c>
      <c r="AW55" s="28" t="n"/>
      <c r="AX55" s="30" t="n"/>
      <c r="AY55" s="29">
        <f>IF(AND(AV55=0,AW55=0,AX55=0),0,IF(AND(AV55=0,AW55=0),AX55/1,IF(AND(AV55=0,AX55=0),AW55/1,IF(AND(AW55=0,AX55=0),AV55/1,IF(AV55=0,FLOOR((AW55+AX55)/2,0.1),IF(AW55=0,(AV55+AX55)/2,IF(AX55=0,(AW55+AV55)/2,FLOOR(((AV55+AW55+AX55)/3),0.1))))))))</f>
        <v/>
      </c>
      <c r="AZ55" s="21" t="n"/>
      <c r="BA55" s="21" t="n"/>
      <c r="BB55" s="27">
        <f>SUM(AZ55:BA55)</f>
        <v/>
      </c>
      <c r="BC55" s="28" t="n"/>
      <c r="BD55" s="28" t="n"/>
      <c r="BE55" s="29">
        <f>IF(AND(BB55=0,BC55=0,BD55=0),0,IF(AND(BB55=0,BC55=0),BD55/1,IF(AND(BB55=0,BD55=0),BC55/1,IF(AND(BC55=0,BD55=0),BB55/1,IF(BB55=0,FLOOR((BC55+BD55)/2,0.1),IF(BC55=0,(BB55+BD55)/2,IF(BD55=0,(BC55+BB55)/2,FLOOR(((BB55+BC55+BD55)/3),0.1))))))))</f>
        <v/>
      </c>
      <c r="BF55" s="21" t="n"/>
      <c r="BG55" s="21" t="n"/>
      <c r="BH55" s="27">
        <f>SUM(BF55:BG55)</f>
        <v/>
      </c>
      <c r="BI55" s="28" t="n"/>
      <c r="BJ55" s="28" t="n"/>
      <c r="BK55" s="29">
        <f>IF(AND(BH55=0,BI55=0,BJ55=0),0,IF(AND(BH55=0,BI55=0),BJ55/1,IF(AND(BH55=0,BJ55=0),BI55/1,IF(AND(BI55=0,BJ55=0),BH55/1,IF(BH55=0,FLOOR((BI55+BJ55)/2,0.1),IF(BI55=0,(BH55+BJ55)/2,IF(BJ55=0,(BI55+BH55)/2,FLOOR(((BH55+BI55+BJ55)/3),0.1))))))))</f>
        <v/>
      </c>
      <c r="BL55" s="21" t="n"/>
      <c r="BM55" s="21" t="n"/>
      <c r="BN55" s="27">
        <f>SUM(BL55:BM55)</f>
        <v/>
      </c>
      <c r="BO55" s="28" t="n"/>
      <c r="BP55" s="31" t="n"/>
      <c r="BQ55" s="29">
        <f>IF(AND(BN55=0,BO55=0,BP55=0),0,IF(AND(BN55=0,BO55=0),BP55/1,IF(AND(BN55=0,BP55=0),BO55/1,IF(AND(BO55=0,BP55=0),BN55/1,IF(BN55=0,FLOOR((BO55+BP55)/2,0.1),IF(BO55=0,(BN55+BP55)/2,IF(BP55=0,(BO55+BN55)/2,FLOOR(((BN55+BO55+BP55)/3),0.1))))))))</f>
        <v/>
      </c>
      <c r="BR55" s="21" t="n"/>
      <c r="BS55" s="21" t="n"/>
      <c r="BT55" s="27">
        <f>SUM(BR55:BS55)</f>
        <v/>
      </c>
      <c r="BU55" s="28" t="n"/>
      <c r="BV55" s="31" t="n"/>
      <c r="BW55" s="29">
        <f>IF(AND(BT55=0,BU55=0,BV55=0),0,IF(AND(BT55=0,BU55=0),BV55/1,IF(AND(BT55=0,BV55=0),BU55/1,IF(AND(BU55=0,BV55=0),BT55/1,IF(BT55=0,FLOOR((BU55+BV55)/2,0.1),IF(BU55=0,(BT55+BV55)/2,IF(BV55=0,(BU55+BT55)/2,FLOOR(((BT55+BU55+BV55)/3),0.1))))))))</f>
        <v/>
      </c>
      <c r="BX55" s="21" t="n"/>
      <c r="BY55" s="21" t="n"/>
      <c r="BZ55" s="27">
        <f>SUM(BX55:BY55)</f>
        <v/>
      </c>
      <c r="CA55" s="28" t="n"/>
      <c r="CB55" s="31" t="n"/>
      <c r="CC55" s="29">
        <f>IF(AND(BZ55=0,CA55=0,CB55=0),0,IF(AND(BZ55=0,CA55=0),CB55/1,IF(AND(BZ55=0,CB55=0),CA55/1,IF(AND(CA55=0,CB55=0),BZ55/1,IF(BZ55=0,FLOOR((CA55+CB55)/2,0.1),IF(CA55=0,(BZ55+CB55)/2,IF(CB55=0,(CA55+BZ55)/2,FLOOR(((BZ55+CA55+CB55)/3),0.1))))))))</f>
        <v/>
      </c>
      <c r="CD55" s="21" t="n"/>
      <c r="CE55" s="21" t="n"/>
      <c r="CF55" s="27">
        <f>SUM(CD55:CE55)</f>
        <v/>
      </c>
      <c r="CG55" s="28" t="n"/>
      <c r="CH55" s="31" t="n"/>
      <c r="CI55" s="29">
        <f>IF(AND(CF55=0,CG55=0,CH55=0),0,IF(AND(CF55=0,CG55=0),CH55/1,IF(AND(CF55=0,CH55=0),CG55/1,IF(AND(CG55=0,CH55=0),CF55/1,IF(CF55=0,FLOOR((CG55+CH55)/2,0.1),IF(CG55=0,(CF55+CH55)/2,IF(CH55=0,(CG55+CF55)/2,FLOOR(((CF55+CG55+CH55)/3),0.1))))))))</f>
        <v/>
      </c>
      <c r="CJ55" s="21" t="n"/>
      <c r="CK55" s="21" t="n"/>
      <c r="CL55" s="27">
        <f>SUM(CJ55:CK55)</f>
        <v/>
      </c>
      <c r="CM55" s="28" t="n"/>
      <c r="CN55" s="31" t="n"/>
      <c r="CO55" s="29">
        <f>IF(AND(CL55=0,CM55=0,CN55=0),0,IF(AND(CL55=0,CM55=0),CN55/1,IF(AND(CL55=0,CN55=0),CM55/1,IF(AND(CM55=0,CN55=0),CL55/1,IF(CL55=0,FLOOR((CM55+CN55)/2,0.1),IF(CM55=0,(CL55+CN55)/2,IF(CN55=0,(CM55+CL55)/2,FLOOR(((CL55+CM55+CN55)/3),0.1))))))))</f>
        <v/>
      </c>
      <c r="CP55" s="21" t="n"/>
      <c r="CQ55" s="21" t="n"/>
      <c r="CR55" s="27">
        <f>SUM(CP55:CQ55)</f>
        <v/>
      </c>
      <c r="CS55" s="28" t="n"/>
      <c r="CT55" s="31" t="n"/>
      <c r="CU55" s="29">
        <f>IF(AND(CR55=0,CS55=0,CT55=0),0,IF(AND(CR55=0,CS55=0),CT55/1,IF(AND(CR55=0,CT55=0),CS55/1,IF(AND(CS55=0,CT55=0),CR55/1,IF(CR55=0,FLOOR((CS55+CT55)/2,0.1),IF(CS55=0,(CR55+CT55)/2,IF(CT55=0,(CS55+CR55)/2,FLOOR(((CR55+CS55+CT55)/3),0.1))))))))</f>
        <v/>
      </c>
      <c r="CV55" s="21" t="n"/>
      <c r="CW55" s="21" t="n"/>
      <c r="CX55" s="27">
        <f>SUM(CV55:CW55)</f>
        <v/>
      </c>
      <c r="CY55" s="28" t="n"/>
      <c r="CZ55" s="31" t="n"/>
      <c r="DA55" s="29">
        <f>IF(AND(CX55=0,CY55=0,CZ55=0),0,IF(AND(CX55=0,CY55=0),CZ55/1,IF(AND(CX55=0,CZ55=0),CY55/1,IF(AND(CY55=0,CZ55=0),CX55/1,IF(CX55=0,FLOOR((CY55+CZ55)/2,0.1),IF(CY55=0,(CX55+CZ55)/2,IF(CZ55=0,(CY55+CX55)/2,FLOOR(((CX55+CY55+CZ55)/3),0.1))))))))</f>
        <v/>
      </c>
      <c r="DB55" s="21" t="n"/>
      <c r="DC55" s="21" t="n"/>
      <c r="DD55" s="27">
        <f>SUM(DB55:DC55)</f>
        <v/>
      </c>
      <c r="DE55" s="28" t="n"/>
      <c r="DF55" s="31" t="n"/>
      <c r="DG55" s="29">
        <f>IF(AND(DD55=0,DE55=0,DF55=0),0,IF(AND(DD55=0,DE55=0),DF55/1,IF(AND(DD55=0,DF55=0),DE55/1,IF(AND(DE55=0,DF55=0),DD55/1,IF(DD55=0,FLOOR((DE55+DF55)/2,0.1),IF(DE55=0,(DD55+DF55)/2,IF(DF55=0,(DE55+DD55)/2,FLOOR(((DD55+DE55+DF55)/3),0.1))))))))</f>
        <v/>
      </c>
      <c r="DH55" s="34">
        <f>SUM(O55,U55,AA55,AG55,AM55,AS55,AY55,BE55,BK55,BQ55,BW55,CC55,CI55,CO55,CU55,DA55,DG55)</f>
        <v/>
      </c>
      <c r="DI55" s="39">
        <f>RANK(DH55,DH$4:DH$503)</f>
        <v/>
      </c>
      <c r="DJ55" s="40" t="inlineStr">
        <is>
          <t>CHOOSE RATING</t>
        </is>
      </c>
      <c r="DK55" s="40" t="inlineStr">
        <is>
          <t>CHOOSE RATING</t>
        </is>
      </c>
      <c r="DL55" s="40" t="inlineStr">
        <is>
          <t>CHOOSE RATING</t>
        </is>
      </c>
      <c r="DM55" s="40" t="inlineStr">
        <is>
          <t>CHOOSE RATING</t>
        </is>
      </c>
      <c r="DN55" s="40" t="inlineStr">
        <is>
          <t>CHOOSE RATING</t>
        </is>
      </c>
      <c r="DO55" s="40" t="inlineStr">
        <is>
          <t>CHOOSE RATING</t>
        </is>
      </c>
      <c r="DP55" s="40" t="inlineStr">
        <is>
          <t>CHOOSE RATING</t>
        </is>
      </c>
      <c r="DQ55" s="40" t="inlineStr">
        <is>
          <t>CHOOSE RATING</t>
        </is>
      </c>
      <c r="DR55" s="43" t="inlineStr">
        <is>
          <t>2024/2025</t>
        </is>
      </c>
      <c r="DS55" s="45" t="inlineStr">
        <is>
          <t>THIRD</t>
        </is>
      </c>
      <c r="DT55" s="40" t="inlineStr">
        <is>
          <t>CHOOSE RATING</t>
        </is>
      </c>
      <c r="DU55" s="40" t="inlineStr">
        <is>
          <t>CHOOSE RATING</t>
        </is>
      </c>
      <c r="DV55" s="40" t="inlineStr">
        <is>
          <t>CHOOSE RATING</t>
        </is>
      </c>
      <c r="DW55" s="40" t="inlineStr">
        <is>
          <t>CHOOSE RATING</t>
        </is>
      </c>
      <c r="DX55" s="40" t="inlineStr">
        <is>
          <t>CHOOSE RATING</t>
        </is>
      </c>
      <c r="DY55" s="40" t="inlineStr">
        <is>
          <t>CHOOSE RATING</t>
        </is>
      </c>
      <c r="DZ55" s="53" t="inlineStr">
        <is>
          <t>CHOOSE RATING</t>
        </is>
      </c>
      <c r="EA55" s="54" t="inlineStr">
        <is>
          <t>Add the Tutor's Comment . . .</t>
        </is>
      </c>
      <c r="EB55" s="55" t="inlineStr">
        <is>
          <t>Choose Principals comment</t>
        </is>
      </c>
      <c r="EC55" s="56" t="n"/>
      <c r="ED55" s="57" t="inlineStr">
        <is>
          <t>Next Term Begins on Monday, 22nd September, 2025</t>
        </is>
      </c>
    </row>
    <row r="56" ht="30.6" customHeight="1" s="6">
      <c r="A56" s="18" t="n">
        <v>53</v>
      </c>
      <c r="B56" s="19" t="n"/>
      <c r="C56" s="20" t="n"/>
      <c r="D56" s="128" t="n"/>
      <c r="E56" s="21" t="n"/>
      <c r="F56" s="22" t="n"/>
      <c r="G56" s="22" t="n"/>
      <c r="H56" s="22" t="n"/>
      <c r="I56" s="26">
        <f>G56-H56</f>
        <v/>
      </c>
      <c r="J56" s="21" t="n"/>
      <c r="K56" s="21" t="n"/>
      <c r="L56" s="27">
        <f>SUM(J56:K56)</f>
        <v/>
      </c>
      <c r="M56" s="28" t="n"/>
      <c r="N56" s="28" t="n"/>
      <c r="O56" s="29">
        <f>IF(AND(L56=0,M56=0,N56=0),0,IF(AND(L56=0,M56=0),N56/1,IF(AND(L56=0,N56=0),M56/1,IF(AND(M56=0,N56=0),L56/1,IF(L56=0,FLOOR((M56+N56)/2,0.1),IF(M56=0,(L56+N56)/2,IF(N56=0,(M56+L56)/2,FLOOR(((L56+M56+N56)/3),0.1))))))))</f>
        <v/>
      </c>
      <c r="P56" s="21" t="n"/>
      <c r="Q56" s="21" t="n"/>
      <c r="R56" s="27">
        <f>SUM(P56:Q56)</f>
        <v/>
      </c>
      <c r="S56" s="28" t="n"/>
      <c r="T56" s="28" t="n"/>
      <c r="U56" s="29">
        <f>IF(AND(R56=0,S56=0,T56=0),0,IF(AND(R56=0,S56=0),T56/1,IF(AND(R56=0,T56=0),S56/1,IF(AND(S56=0,T56=0),R56/1,IF(R56=0,FLOOR((S56+T56)/2,0.1),IF(S56=0,(R56+T56)/2,IF(T56=0,(S56+R56)/2,FLOOR(((R56+S56+T56)/3),0.1))))))))</f>
        <v/>
      </c>
      <c r="V56" s="21" t="n"/>
      <c r="W56" s="21" t="n"/>
      <c r="X56" s="27">
        <f>SUM(V56:W56)</f>
        <v/>
      </c>
      <c r="Y56" s="28" t="n"/>
      <c r="Z56" s="28" t="n"/>
      <c r="AA56" s="29">
        <f>IF(AND(X56=0,Y56=0,Z56=0),0,IF(AND(X56=0,Y56=0),Z56/1,IF(AND(X56=0,Z56=0),Y56/1,IF(AND(Y56=0,Z56=0),X56/1,IF(X56=0,FLOOR((Y56+Z56)/2,0.1),IF(Y56=0,(X56+Z56)/2,IF(Z56=0,(Y56+X56)/2,FLOOR(((X56+Y56+Z56)/3),0.1))))))))</f>
        <v/>
      </c>
      <c r="AB56" s="21" t="n"/>
      <c r="AC56" s="21" t="n"/>
      <c r="AD56" s="27">
        <f>SUM(AB56:AC56)</f>
        <v/>
      </c>
      <c r="AE56" s="28" t="n"/>
      <c r="AF56" s="28" t="n"/>
      <c r="AG56" s="29">
        <f>IF(AND(AD56=0,AE56=0,AF56=0),0,IF(AND(AD56=0,AE56=0),AF56/1,IF(AND(AD56=0,AF56=0),AE56/1,IF(AND(AE56=0,AF56=0),AD56/1,IF(AD56=0,FLOOR((AE56+AF56)/2,0.1),IF(AE56=0,(AD56+AF56)/2,IF(AF56=0,(AE56+AD56)/2,FLOOR(((AD56+AE56+AF56)/3),0.1))))))))</f>
        <v/>
      </c>
      <c r="AH56" s="21" t="n"/>
      <c r="AI56" s="21" t="n"/>
      <c r="AJ56" s="27">
        <f>SUM(AH56:AI56)</f>
        <v/>
      </c>
      <c r="AK56" s="28" t="n"/>
      <c r="AL56" s="28" t="n"/>
      <c r="AM56" s="29">
        <f>IF(AND(AJ56=0,AK56=0,AL56=0),0,IF(AND(AJ56=0,AK56=0),AL56/1,IF(AND(AJ56=0,AL56=0),AK56/1,IF(AND(AK56=0,AL56=0),AJ56/1,IF(AJ56=0,FLOOR((AK56+AL56)/2,0.1),IF(AK56=0,(AJ56+AL56)/2,IF(AL56=0,(AK56+AJ56)/2,FLOOR(((AJ56+AK56+AL56)/3),0.1))))))))</f>
        <v/>
      </c>
      <c r="AN56" s="21" t="n"/>
      <c r="AO56" s="21" t="n"/>
      <c r="AP56" s="27">
        <f>SUM(AN56:AO56)</f>
        <v/>
      </c>
      <c r="AQ56" s="28" t="n"/>
      <c r="AR56" s="30" t="n"/>
      <c r="AS56" s="29">
        <f>IF(AND(AP56=0,AQ56=0,AR56=0),0,IF(AND(AP56=0,AQ56=0),AR56/1,IF(AND(AP56=0,AR56=0),AQ56/1,IF(AND(AQ56=0,AR56=0),AP56/1,IF(AP56=0,FLOOR((AQ56+AR56)/2,0.1),IF(AQ56=0,(AP56+AR56)/2,IF(AR56=0,(AQ56+AP56)/2,FLOOR(((AP56+AQ56+AR56)/3),0.1))))))))</f>
        <v/>
      </c>
      <c r="AT56" s="21" t="n"/>
      <c r="AU56" s="21" t="n"/>
      <c r="AV56" s="27">
        <f>SUM(AT56:AU56)</f>
        <v/>
      </c>
      <c r="AW56" s="28" t="n"/>
      <c r="AX56" s="30" t="n"/>
      <c r="AY56" s="29">
        <f>IF(AND(AV56=0,AW56=0,AX56=0),0,IF(AND(AV56=0,AW56=0),AX56/1,IF(AND(AV56=0,AX56=0),AW56/1,IF(AND(AW56=0,AX56=0),AV56/1,IF(AV56=0,FLOOR((AW56+AX56)/2,0.1),IF(AW56=0,(AV56+AX56)/2,IF(AX56=0,(AW56+AV56)/2,FLOOR(((AV56+AW56+AX56)/3),0.1))))))))</f>
        <v/>
      </c>
      <c r="AZ56" s="21" t="n"/>
      <c r="BA56" s="21" t="n"/>
      <c r="BB56" s="27">
        <f>SUM(AZ56:BA56)</f>
        <v/>
      </c>
      <c r="BC56" s="28" t="n"/>
      <c r="BD56" s="28" t="n"/>
      <c r="BE56" s="29">
        <f>IF(AND(BB56=0,BC56=0,BD56=0),0,IF(AND(BB56=0,BC56=0),BD56/1,IF(AND(BB56=0,BD56=0),BC56/1,IF(AND(BC56=0,BD56=0),BB56/1,IF(BB56=0,FLOOR((BC56+BD56)/2,0.1),IF(BC56=0,(BB56+BD56)/2,IF(BD56=0,(BC56+BB56)/2,FLOOR(((BB56+BC56+BD56)/3),0.1))))))))</f>
        <v/>
      </c>
      <c r="BF56" s="21" t="n"/>
      <c r="BG56" s="21" t="n"/>
      <c r="BH56" s="27">
        <f>SUM(BF56:BG56)</f>
        <v/>
      </c>
      <c r="BI56" s="28" t="n"/>
      <c r="BJ56" s="28" t="n"/>
      <c r="BK56" s="29">
        <f>IF(AND(BH56=0,BI56=0,BJ56=0),0,IF(AND(BH56=0,BI56=0),BJ56/1,IF(AND(BH56=0,BJ56=0),BI56/1,IF(AND(BI56=0,BJ56=0),BH56/1,IF(BH56=0,FLOOR((BI56+BJ56)/2,0.1),IF(BI56=0,(BH56+BJ56)/2,IF(BJ56=0,(BI56+BH56)/2,FLOOR(((BH56+BI56+BJ56)/3),0.1))))))))</f>
        <v/>
      </c>
      <c r="BL56" s="21" t="n"/>
      <c r="BM56" s="21" t="n"/>
      <c r="BN56" s="27">
        <f>SUM(BL56:BM56)</f>
        <v/>
      </c>
      <c r="BO56" s="28" t="n"/>
      <c r="BP56" s="31" t="n"/>
      <c r="BQ56" s="29">
        <f>IF(AND(BN56=0,BO56=0,BP56=0),0,IF(AND(BN56=0,BO56=0),BP56/1,IF(AND(BN56=0,BP56=0),BO56/1,IF(AND(BO56=0,BP56=0),BN56/1,IF(BN56=0,FLOOR((BO56+BP56)/2,0.1),IF(BO56=0,(BN56+BP56)/2,IF(BP56=0,(BO56+BN56)/2,FLOOR(((BN56+BO56+BP56)/3),0.1))))))))</f>
        <v/>
      </c>
      <c r="BR56" s="21" t="n"/>
      <c r="BS56" s="21" t="n"/>
      <c r="BT56" s="27">
        <f>SUM(BR56:BS56)</f>
        <v/>
      </c>
      <c r="BU56" s="28" t="n"/>
      <c r="BV56" s="31" t="n"/>
      <c r="BW56" s="29">
        <f>IF(AND(BT56=0,BU56=0,BV56=0),0,IF(AND(BT56=0,BU56=0),BV56/1,IF(AND(BT56=0,BV56=0),BU56/1,IF(AND(BU56=0,BV56=0),BT56/1,IF(BT56=0,FLOOR((BU56+BV56)/2,0.1),IF(BU56=0,(BT56+BV56)/2,IF(BV56=0,(BU56+BT56)/2,FLOOR(((BT56+BU56+BV56)/3),0.1))))))))</f>
        <v/>
      </c>
      <c r="BX56" s="21" t="n"/>
      <c r="BY56" s="21" t="n"/>
      <c r="BZ56" s="27">
        <f>SUM(BX56:BY56)</f>
        <v/>
      </c>
      <c r="CA56" s="28" t="n"/>
      <c r="CB56" s="31" t="n"/>
      <c r="CC56" s="29">
        <f>IF(AND(BZ56=0,CA56=0,CB56=0),0,IF(AND(BZ56=0,CA56=0),CB56/1,IF(AND(BZ56=0,CB56=0),CA56/1,IF(AND(CA56=0,CB56=0),BZ56/1,IF(BZ56=0,FLOOR((CA56+CB56)/2,0.1),IF(CA56=0,(BZ56+CB56)/2,IF(CB56=0,(CA56+BZ56)/2,FLOOR(((BZ56+CA56+CB56)/3),0.1))))))))</f>
        <v/>
      </c>
      <c r="CD56" s="21" t="n"/>
      <c r="CE56" s="21" t="n"/>
      <c r="CF56" s="27">
        <f>SUM(CD56:CE56)</f>
        <v/>
      </c>
      <c r="CG56" s="28" t="n"/>
      <c r="CH56" s="31" t="n"/>
      <c r="CI56" s="29">
        <f>IF(AND(CF56=0,CG56=0,CH56=0),0,IF(AND(CF56=0,CG56=0),CH56/1,IF(AND(CF56=0,CH56=0),CG56/1,IF(AND(CG56=0,CH56=0),CF56/1,IF(CF56=0,FLOOR((CG56+CH56)/2,0.1),IF(CG56=0,(CF56+CH56)/2,IF(CH56=0,(CG56+CF56)/2,FLOOR(((CF56+CG56+CH56)/3),0.1))))))))</f>
        <v/>
      </c>
      <c r="CJ56" s="21" t="n"/>
      <c r="CK56" s="21" t="n"/>
      <c r="CL56" s="27">
        <f>SUM(CJ56:CK56)</f>
        <v/>
      </c>
      <c r="CM56" s="28" t="n"/>
      <c r="CN56" s="31" t="n"/>
      <c r="CO56" s="29">
        <f>IF(AND(CL56=0,CM56=0,CN56=0),0,IF(AND(CL56=0,CM56=0),CN56/1,IF(AND(CL56=0,CN56=0),CM56/1,IF(AND(CM56=0,CN56=0),CL56/1,IF(CL56=0,FLOOR((CM56+CN56)/2,0.1),IF(CM56=0,(CL56+CN56)/2,IF(CN56=0,(CM56+CL56)/2,FLOOR(((CL56+CM56+CN56)/3),0.1))))))))</f>
        <v/>
      </c>
      <c r="CP56" s="21" t="n"/>
      <c r="CQ56" s="21" t="n"/>
      <c r="CR56" s="27">
        <f>SUM(CP56:CQ56)</f>
        <v/>
      </c>
      <c r="CS56" s="28" t="n"/>
      <c r="CT56" s="31" t="n"/>
      <c r="CU56" s="29">
        <f>IF(AND(CR56=0,CS56=0,CT56=0),0,IF(AND(CR56=0,CS56=0),CT56/1,IF(AND(CR56=0,CT56=0),CS56/1,IF(AND(CS56=0,CT56=0),CR56/1,IF(CR56=0,FLOOR((CS56+CT56)/2,0.1),IF(CS56=0,(CR56+CT56)/2,IF(CT56=0,(CS56+CR56)/2,FLOOR(((CR56+CS56+CT56)/3),0.1))))))))</f>
        <v/>
      </c>
      <c r="CV56" s="21" t="n"/>
      <c r="CW56" s="21" t="n"/>
      <c r="CX56" s="27">
        <f>SUM(CV56:CW56)</f>
        <v/>
      </c>
      <c r="CY56" s="28" t="n"/>
      <c r="CZ56" s="31" t="n"/>
      <c r="DA56" s="29">
        <f>IF(AND(CX56=0,CY56=0,CZ56=0),0,IF(AND(CX56=0,CY56=0),CZ56/1,IF(AND(CX56=0,CZ56=0),CY56/1,IF(AND(CY56=0,CZ56=0),CX56/1,IF(CX56=0,FLOOR((CY56+CZ56)/2,0.1),IF(CY56=0,(CX56+CZ56)/2,IF(CZ56=0,(CY56+CX56)/2,FLOOR(((CX56+CY56+CZ56)/3),0.1))))))))</f>
        <v/>
      </c>
      <c r="DB56" s="21" t="n"/>
      <c r="DC56" s="21" t="n"/>
      <c r="DD56" s="27">
        <f>SUM(DB56:DC56)</f>
        <v/>
      </c>
      <c r="DE56" s="28" t="n"/>
      <c r="DF56" s="31" t="n"/>
      <c r="DG56" s="29">
        <f>IF(AND(DD56=0,DE56=0,DF56=0),0,IF(AND(DD56=0,DE56=0),DF56/1,IF(AND(DD56=0,DF56=0),DE56/1,IF(AND(DE56=0,DF56=0),DD56/1,IF(DD56=0,FLOOR((DE56+DF56)/2,0.1),IF(DE56=0,(DD56+DF56)/2,IF(DF56=0,(DE56+DD56)/2,FLOOR(((DD56+DE56+DF56)/3),0.1))))))))</f>
        <v/>
      </c>
      <c r="DH56" s="34">
        <f>SUM(O56,U56,AA56,AG56,AM56,AS56,AY56,BE56,BK56,BQ56,BW56,CC56,CI56,CO56,CU56,DA56,DG56)</f>
        <v/>
      </c>
      <c r="DI56" s="39">
        <f>RANK(DH56,DH$4:DH$503)</f>
        <v/>
      </c>
      <c r="DJ56" s="40" t="inlineStr">
        <is>
          <t>CHOOSE RATING</t>
        </is>
      </c>
      <c r="DK56" s="40" t="inlineStr">
        <is>
          <t>CHOOSE RATING</t>
        </is>
      </c>
      <c r="DL56" s="40" t="inlineStr">
        <is>
          <t>CHOOSE RATING</t>
        </is>
      </c>
      <c r="DM56" s="40" t="inlineStr">
        <is>
          <t>CHOOSE RATING</t>
        </is>
      </c>
      <c r="DN56" s="40" t="inlineStr">
        <is>
          <t>CHOOSE RATING</t>
        </is>
      </c>
      <c r="DO56" s="40" t="inlineStr">
        <is>
          <t>CHOOSE RATING</t>
        </is>
      </c>
      <c r="DP56" s="40" t="inlineStr">
        <is>
          <t>CHOOSE RATING</t>
        </is>
      </c>
      <c r="DQ56" s="40" t="inlineStr">
        <is>
          <t>CHOOSE RATING</t>
        </is>
      </c>
      <c r="DR56" s="43" t="inlineStr">
        <is>
          <t>2024/2025</t>
        </is>
      </c>
      <c r="DS56" s="45" t="inlineStr">
        <is>
          <t>THIRD</t>
        </is>
      </c>
      <c r="DT56" s="40" t="inlineStr">
        <is>
          <t>CHOOSE RATING</t>
        </is>
      </c>
      <c r="DU56" s="40" t="inlineStr">
        <is>
          <t>CHOOSE RATING</t>
        </is>
      </c>
      <c r="DV56" s="40" t="inlineStr">
        <is>
          <t>CHOOSE RATING</t>
        </is>
      </c>
      <c r="DW56" s="40" t="inlineStr">
        <is>
          <t>CHOOSE RATING</t>
        </is>
      </c>
      <c r="DX56" s="40" t="inlineStr">
        <is>
          <t>CHOOSE RATING</t>
        </is>
      </c>
      <c r="DY56" s="40" t="inlineStr">
        <is>
          <t>CHOOSE RATING</t>
        </is>
      </c>
      <c r="DZ56" s="53" t="inlineStr">
        <is>
          <t>CHOOSE RATING</t>
        </is>
      </c>
      <c r="EA56" s="54" t="inlineStr">
        <is>
          <t>Add the Tutor's Comment . . .</t>
        </is>
      </c>
      <c r="EB56" s="55" t="inlineStr">
        <is>
          <t>Choose Principals comment</t>
        </is>
      </c>
      <c r="EC56" s="56" t="n"/>
      <c r="ED56" s="57" t="inlineStr">
        <is>
          <t>Next Term Begins on Monday, 22nd September, 2025</t>
        </is>
      </c>
    </row>
    <row r="57" ht="30.6" customHeight="1" s="6">
      <c r="A57" s="18" t="n">
        <v>54</v>
      </c>
      <c r="B57" s="19" t="n"/>
      <c r="C57" s="20" t="n"/>
      <c r="D57" s="128" t="n"/>
      <c r="E57" s="21" t="n"/>
      <c r="F57" s="22" t="n"/>
      <c r="G57" s="22" t="n"/>
      <c r="H57" s="22" t="n"/>
      <c r="I57" s="26">
        <f>G57-H57</f>
        <v/>
      </c>
      <c r="J57" s="21" t="n"/>
      <c r="K57" s="21" t="n"/>
      <c r="L57" s="27">
        <f>SUM(J57:K57)</f>
        <v/>
      </c>
      <c r="M57" s="28" t="n"/>
      <c r="N57" s="28" t="n"/>
      <c r="O57" s="29">
        <f>IF(AND(L57=0,M57=0,N57=0),0,IF(AND(L57=0,M57=0),N57/1,IF(AND(L57=0,N57=0),M57/1,IF(AND(M57=0,N57=0),L57/1,IF(L57=0,FLOOR((M57+N57)/2,0.1),IF(M57=0,(L57+N57)/2,IF(N57=0,(M57+L57)/2,FLOOR(((L57+M57+N57)/3),0.1))))))))</f>
        <v/>
      </c>
      <c r="P57" s="21" t="n"/>
      <c r="Q57" s="21" t="n"/>
      <c r="R57" s="27">
        <f>SUM(P57:Q57)</f>
        <v/>
      </c>
      <c r="S57" s="28" t="n"/>
      <c r="T57" s="28" t="n"/>
      <c r="U57" s="29">
        <f>IF(AND(R57=0,S57=0,T57=0),0,IF(AND(R57=0,S57=0),T57/1,IF(AND(R57=0,T57=0),S57/1,IF(AND(S57=0,T57=0),R57/1,IF(R57=0,FLOOR((S57+T57)/2,0.1),IF(S57=0,(R57+T57)/2,IF(T57=0,(S57+R57)/2,FLOOR(((R57+S57+T57)/3),0.1))))))))</f>
        <v/>
      </c>
      <c r="V57" s="21" t="n"/>
      <c r="W57" s="21" t="n"/>
      <c r="X57" s="27">
        <f>SUM(V57:W57)</f>
        <v/>
      </c>
      <c r="Y57" s="28" t="n"/>
      <c r="Z57" s="28" t="n"/>
      <c r="AA57" s="29">
        <f>IF(AND(X57=0,Y57=0,Z57=0),0,IF(AND(X57=0,Y57=0),Z57/1,IF(AND(X57=0,Z57=0),Y57/1,IF(AND(Y57=0,Z57=0),X57/1,IF(X57=0,FLOOR((Y57+Z57)/2,0.1),IF(Y57=0,(X57+Z57)/2,IF(Z57=0,(Y57+X57)/2,FLOOR(((X57+Y57+Z57)/3),0.1))))))))</f>
        <v/>
      </c>
      <c r="AB57" s="21" t="n"/>
      <c r="AC57" s="21" t="n"/>
      <c r="AD57" s="27">
        <f>SUM(AB57:AC57)</f>
        <v/>
      </c>
      <c r="AE57" s="28" t="n"/>
      <c r="AF57" s="28" t="n"/>
      <c r="AG57" s="29">
        <f>IF(AND(AD57=0,AE57=0,AF57=0),0,IF(AND(AD57=0,AE57=0),AF57/1,IF(AND(AD57=0,AF57=0),AE57/1,IF(AND(AE57=0,AF57=0),AD57/1,IF(AD57=0,FLOOR((AE57+AF57)/2,0.1),IF(AE57=0,(AD57+AF57)/2,IF(AF57=0,(AE57+AD57)/2,FLOOR(((AD57+AE57+AF57)/3),0.1))))))))</f>
        <v/>
      </c>
      <c r="AH57" s="21" t="n"/>
      <c r="AI57" s="21" t="n"/>
      <c r="AJ57" s="27">
        <f>SUM(AH57:AI57)</f>
        <v/>
      </c>
      <c r="AK57" s="28" t="n"/>
      <c r="AL57" s="28" t="n"/>
      <c r="AM57" s="29">
        <f>IF(AND(AJ57=0,AK57=0,AL57=0),0,IF(AND(AJ57=0,AK57=0),AL57/1,IF(AND(AJ57=0,AL57=0),AK57/1,IF(AND(AK57=0,AL57=0),AJ57/1,IF(AJ57=0,FLOOR((AK57+AL57)/2,0.1),IF(AK57=0,(AJ57+AL57)/2,IF(AL57=0,(AK57+AJ57)/2,FLOOR(((AJ57+AK57+AL57)/3),0.1))))))))</f>
        <v/>
      </c>
      <c r="AN57" s="21" t="n"/>
      <c r="AO57" s="21" t="n"/>
      <c r="AP57" s="27">
        <f>SUM(AN57:AO57)</f>
        <v/>
      </c>
      <c r="AQ57" s="28" t="n"/>
      <c r="AR57" s="30" t="n"/>
      <c r="AS57" s="29">
        <f>IF(AND(AP57=0,AQ57=0,AR57=0),0,IF(AND(AP57=0,AQ57=0),AR57/1,IF(AND(AP57=0,AR57=0),AQ57/1,IF(AND(AQ57=0,AR57=0),AP57/1,IF(AP57=0,FLOOR((AQ57+AR57)/2,0.1),IF(AQ57=0,(AP57+AR57)/2,IF(AR57=0,(AQ57+AP57)/2,FLOOR(((AP57+AQ57+AR57)/3),0.1))))))))</f>
        <v/>
      </c>
      <c r="AT57" s="21" t="n"/>
      <c r="AU57" s="21" t="n"/>
      <c r="AV57" s="27">
        <f>SUM(AT57:AU57)</f>
        <v/>
      </c>
      <c r="AW57" s="28" t="n"/>
      <c r="AX57" s="30" t="n"/>
      <c r="AY57" s="29">
        <f>IF(AND(AV57=0,AW57=0,AX57=0),0,IF(AND(AV57=0,AW57=0),AX57/1,IF(AND(AV57=0,AX57=0),AW57/1,IF(AND(AW57=0,AX57=0),AV57/1,IF(AV57=0,FLOOR((AW57+AX57)/2,0.1),IF(AW57=0,(AV57+AX57)/2,IF(AX57=0,(AW57+AV57)/2,FLOOR(((AV57+AW57+AX57)/3),0.1))))))))</f>
        <v/>
      </c>
      <c r="AZ57" s="21" t="n"/>
      <c r="BA57" s="21" t="n"/>
      <c r="BB57" s="27">
        <f>SUM(AZ57:BA57)</f>
        <v/>
      </c>
      <c r="BC57" s="28" t="n"/>
      <c r="BD57" s="28" t="n"/>
      <c r="BE57" s="29">
        <f>IF(AND(BB57=0,BC57=0,BD57=0),0,IF(AND(BB57=0,BC57=0),BD57/1,IF(AND(BB57=0,BD57=0),BC57/1,IF(AND(BC57=0,BD57=0),BB57/1,IF(BB57=0,FLOOR((BC57+BD57)/2,0.1),IF(BC57=0,(BB57+BD57)/2,IF(BD57=0,(BC57+BB57)/2,FLOOR(((BB57+BC57+BD57)/3),0.1))))))))</f>
        <v/>
      </c>
      <c r="BF57" s="21" t="n"/>
      <c r="BG57" s="21" t="n"/>
      <c r="BH57" s="27">
        <f>SUM(BF57:BG57)</f>
        <v/>
      </c>
      <c r="BI57" s="28" t="n"/>
      <c r="BJ57" s="28" t="n"/>
      <c r="BK57" s="29">
        <f>IF(AND(BH57=0,BI57=0,BJ57=0),0,IF(AND(BH57=0,BI57=0),BJ57/1,IF(AND(BH57=0,BJ57=0),BI57/1,IF(AND(BI57=0,BJ57=0),BH57/1,IF(BH57=0,FLOOR((BI57+BJ57)/2,0.1),IF(BI57=0,(BH57+BJ57)/2,IF(BJ57=0,(BI57+BH57)/2,FLOOR(((BH57+BI57+BJ57)/3),0.1))))))))</f>
        <v/>
      </c>
      <c r="BL57" s="21" t="n"/>
      <c r="BM57" s="21" t="n"/>
      <c r="BN57" s="27">
        <f>SUM(BL57:BM57)</f>
        <v/>
      </c>
      <c r="BO57" s="28" t="n"/>
      <c r="BP57" s="31" t="n"/>
      <c r="BQ57" s="29">
        <f>IF(AND(BN57=0,BO57=0,BP57=0),0,IF(AND(BN57=0,BO57=0),BP57/1,IF(AND(BN57=0,BP57=0),BO57/1,IF(AND(BO57=0,BP57=0),BN57/1,IF(BN57=0,FLOOR((BO57+BP57)/2,0.1),IF(BO57=0,(BN57+BP57)/2,IF(BP57=0,(BO57+BN57)/2,FLOOR(((BN57+BO57+BP57)/3),0.1))))))))</f>
        <v/>
      </c>
      <c r="BR57" s="21" t="n"/>
      <c r="BS57" s="21" t="n"/>
      <c r="BT57" s="27">
        <f>SUM(BR57:BS57)</f>
        <v/>
      </c>
      <c r="BU57" s="28" t="n"/>
      <c r="BV57" s="31" t="n"/>
      <c r="BW57" s="29">
        <f>IF(AND(BT57=0,BU57=0,BV57=0),0,IF(AND(BT57=0,BU57=0),BV57/1,IF(AND(BT57=0,BV57=0),BU57/1,IF(AND(BU57=0,BV57=0),BT57/1,IF(BT57=0,FLOOR((BU57+BV57)/2,0.1),IF(BU57=0,(BT57+BV57)/2,IF(BV57=0,(BU57+BT57)/2,FLOOR(((BT57+BU57+BV57)/3),0.1))))))))</f>
        <v/>
      </c>
      <c r="BX57" s="21" t="n"/>
      <c r="BY57" s="21" t="n"/>
      <c r="BZ57" s="27">
        <f>SUM(BX57:BY57)</f>
        <v/>
      </c>
      <c r="CA57" s="28" t="n"/>
      <c r="CB57" s="31" t="n"/>
      <c r="CC57" s="29">
        <f>IF(AND(BZ57=0,CA57=0,CB57=0),0,IF(AND(BZ57=0,CA57=0),CB57/1,IF(AND(BZ57=0,CB57=0),CA57/1,IF(AND(CA57=0,CB57=0),BZ57/1,IF(BZ57=0,FLOOR((CA57+CB57)/2,0.1),IF(CA57=0,(BZ57+CB57)/2,IF(CB57=0,(CA57+BZ57)/2,FLOOR(((BZ57+CA57+CB57)/3),0.1))))))))</f>
        <v/>
      </c>
      <c r="CD57" s="21" t="n"/>
      <c r="CE57" s="21" t="n"/>
      <c r="CF57" s="27">
        <f>SUM(CD57:CE57)</f>
        <v/>
      </c>
      <c r="CG57" s="28" t="n"/>
      <c r="CH57" s="31" t="n"/>
      <c r="CI57" s="29">
        <f>IF(AND(CF57=0,CG57=0,CH57=0),0,IF(AND(CF57=0,CG57=0),CH57/1,IF(AND(CF57=0,CH57=0),CG57/1,IF(AND(CG57=0,CH57=0),CF57/1,IF(CF57=0,FLOOR((CG57+CH57)/2,0.1),IF(CG57=0,(CF57+CH57)/2,IF(CH57=0,(CG57+CF57)/2,FLOOR(((CF57+CG57+CH57)/3),0.1))))))))</f>
        <v/>
      </c>
      <c r="CJ57" s="21" t="n"/>
      <c r="CK57" s="21" t="n"/>
      <c r="CL57" s="27">
        <f>SUM(CJ57:CK57)</f>
        <v/>
      </c>
      <c r="CM57" s="28" t="n"/>
      <c r="CN57" s="31" t="n"/>
      <c r="CO57" s="29">
        <f>IF(AND(CL57=0,CM57=0,CN57=0),0,IF(AND(CL57=0,CM57=0),CN57/1,IF(AND(CL57=0,CN57=0),CM57/1,IF(AND(CM57=0,CN57=0),CL57/1,IF(CL57=0,FLOOR((CM57+CN57)/2,0.1),IF(CM57=0,(CL57+CN57)/2,IF(CN57=0,(CM57+CL57)/2,FLOOR(((CL57+CM57+CN57)/3),0.1))))))))</f>
        <v/>
      </c>
      <c r="CP57" s="21" t="n"/>
      <c r="CQ57" s="21" t="n"/>
      <c r="CR57" s="27">
        <f>SUM(CP57:CQ57)</f>
        <v/>
      </c>
      <c r="CS57" s="28" t="n"/>
      <c r="CT57" s="31" t="n"/>
      <c r="CU57" s="29">
        <f>IF(AND(CR57=0,CS57=0,CT57=0),0,IF(AND(CR57=0,CS57=0),CT57/1,IF(AND(CR57=0,CT57=0),CS57/1,IF(AND(CS57=0,CT57=0),CR57/1,IF(CR57=0,FLOOR((CS57+CT57)/2,0.1),IF(CS57=0,(CR57+CT57)/2,IF(CT57=0,(CS57+CR57)/2,FLOOR(((CR57+CS57+CT57)/3),0.1))))))))</f>
        <v/>
      </c>
      <c r="CV57" s="21" t="n"/>
      <c r="CW57" s="21" t="n"/>
      <c r="CX57" s="27">
        <f>SUM(CV57:CW57)</f>
        <v/>
      </c>
      <c r="CY57" s="28" t="n"/>
      <c r="CZ57" s="31" t="n"/>
      <c r="DA57" s="29">
        <f>IF(AND(CX57=0,CY57=0,CZ57=0),0,IF(AND(CX57=0,CY57=0),CZ57/1,IF(AND(CX57=0,CZ57=0),CY57/1,IF(AND(CY57=0,CZ57=0),CX57/1,IF(CX57=0,FLOOR((CY57+CZ57)/2,0.1),IF(CY57=0,(CX57+CZ57)/2,IF(CZ57=0,(CY57+CX57)/2,FLOOR(((CX57+CY57+CZ57)/3),0.1))))))))</f>
        <v/>
      </c>
      <c r="DB57" s="21" t="n"/>
      <c r="DC57" s="21" t="n"/>
      <c r="DD57" s="27">
        <f>SUM(DB57:DC57)</f>
        <v/>
      </c>
      <c r="DE57" s="28" t="n"/>
      <c r="DF57" s="31" t="n"/>
      <c r="DG57" s="29">
        <f>IF(AND(DD57=0,DE57=0,DF57=0),0,IF(AND(DD57=0,DE57=0),DF57/1,IF(AND(DD57=0,DF57=0),DE57/1,IF(AND(DE57=0,DF57=0),DD57/1,IF(DD57=0,FLOOR((DE57+DF57)/2,0.1),IF(DE57=0,(DD57+DF57)/2,IF(DF57=0,(DE57+DD57)/2,FLOOR(((DD57+DE57+DF57)/3),0.1))))))))</f>
        <v/>
      </c>
      <c r="DH57" s="34">
        <f>SUM(O57,U57,AA57,AG57,AM57,AS57,AY57,BE57,BK57,BQ57,BW57,CC57,CI57,CO57,CU57,DA57,DG57)</f>
        <v/>
      </c>
      <c r="DI57" s="39">
        <f>RANK(DH57,DH$4:DH$503)</f>
        <v/>
      </c>
      <c r="DJ57" s="40" t="inlineStr">
        <is>
          <t>CHOOSE RATING</t>
        </is>
      </c>
      <c r="DK57" s="40" t="inlineStr">
        <is>
          <t>CHOOSE RATING</t>
        </is>
      </c>
      <c r="DL57" s="40" t="inlineStr">
        <is>
          <t>CHOOSE RATING</t>
        </is>
      </c>
      <c r="DM57" s="40" t="inlineStr">
        <is>
          <t>CHOOSE RATING</t>
        </is>
      </c>
      <c r="DN57" s="40" t="inlineStr">
        <is>
          <t>CHOOSE RATING</t>
        </is>
      </c>
      <c r="DO57" s="40" t="inlineStr">
        <is>
          <t>CHOOSE RATING</t>
        </is>
      </c>
      <c r="DP57" s="40" t="inlineStr">
        <is>
          <t>CHOOSE RATING</t>
        </is>
      </c>
      <c r="DQ57" s="40" t="inlineStr">
        <is>
          <t>CHOOSE RATING</t>
        </is>
      </c>
      <c r="DR57" s="43" t="inlineStr">
        <is>
          <t>2024/2025</t>
        </is>
      </c>
      <c r="DS57" s="45" t="inlineStr">
        <is>
          <t>THIRD</t>
        </is>
      </c>
      <c r="DT57" s="40" t="inlineStr">
        <is>
          <t>CHOOSE RATING</t>
        </is>
      </c>
      <c r="DU57" s="40" t="inlineStr">
        <is>
          <t>CHOOSE RATING</t>
        </is>
      </c>
      <c r="DV57" s="40" t="inlineStr">
        <is>
          <t>CHOOSE RATING</t>
        </is>
      </c>
      <c r="DW57" s="40" t="inlineStr">
        <is>
          <t>CHOOSE RATING</t>
        </is>
      </c>
      <c r="DX57" s="40" t="inlineStr">
        <is>
          <t>CHOOSE RATING</t>
        </is>
      </c>
      <c r="DY57" s="40" t="inlineStr">
        <is>
          <t>CHOOSE RATING</t>
        </is>
      </c>
      <c r="DZ57" s="53" t="inlineStr">
        <is>
          <t>CHOOSE RATING</t>
        </is>
      </c>
      <c r="EA57" s="54" t="inlineStr">
        <is>
          <t>Add the Tutor's Comment . . .</t>
        </is>
      </c>
      <c r="EB57" s="55" t="inlineStr">
        <is>
          <t>Choose Principals comment</t>
        </is>
      </c>
      <c r="EC57" s="56" t="n"/>
      <c r="ED57" s="57" t="inlineStr">
        <is>
          <t>Next Term Begins on Monday, 22nd September, 2025</t>
        </is>
      </c>
    </row>
    <row r="58" ht="30.6" customHeight="1" s="6">
      <c r="A58" s="18" t="n">
        <v>55</v>
      </c>
      <c r="B58" s="19" t="n"/>
      <c r="C58" s="20" t="n"/>
      <c r="D58" s="128" t="n"/>
      <c r="E58" s="21" t="n"/>
      <c r="F58" s="22" t="n"/>
      <c r="G58" s="22" t="n"/>
      <c r="H58" s="22" t="n"/>
      <c r="I58" s="26">
        <f>G58-H58</f>
        <v/>
      </c>
      <c r="J58" s="21" t="n"/>
      <c r="K58" s="21" t="n"/>
      <c r="L58" s="27">
        <f>SUM(J58:K58)</f>
        <v/>
      </c>
      <c r="M58" s="28" t="n"/>
      <c r="N58" s="28" t="n"/>
      <c r="O58" s="29">
        <f>IF(AND(L58=0,M58=0,N58=0),0,IF(AND(L58=0,M58=0),N58/1,IF(AND(L58=0,N58=0),M58/1,IF(AND(M58=0,N58=0),L58/1,IF(L58=0,FLOOR((M58+N58)/2,0.1),IF(M58=0,(L58+N58)/2,IF(N58=0,(M58+L58)/2,FLOOR(((L58+M58+N58)/3),0.1))))))))</f>
        <v/>
      </c>
      <c r="P58" s="21" t="n"/>
      <c r="Q58" s="21" t="n"/>
      <c r="R58" s="27">
        <f>SUM(P58:Q58)</f>
        <v/>
      </c>
      <c r="S58" s="28" t="n"/>
      <c r="T58" s="28" t="n"/>
      <c r="U58" s="29">
        <f>IF(AND(R58=0,S58=0,T58=0),0,IF(AND(R58=0,S58=0),T58/1,IF(AND(R58=0,T58=0),S58/1,IF(AND(S58=0,T58=0),R58/1,IF(R58=0,FLOOR((S58+T58)/2,0.1),IF(S58=0,(R58+T58)/2,IF(T58=0,(S58+R58)/2,FLOOR(((R58+S58+T58)/3),0.1))))))))</f>
        <v/>
      </c>
      <c r="V58" s="21" t="n"/>
      <c r="W58" s="21" t="n"/>
      <c r="X58" s="27">
        <f>SUM(V58:W58)</f>
        <v/>
      </c>
      <c r="Y58" s="28" t="n"/>
      <c r="Z58" s="28" t="n"/>
      <c r="AA58" s="29">
        <f>IF(AND(X58=0,Y58=0,Z58=0),0,IF(AND(X58=0,Y58=0),Z58/1,IF(AND(X58=0,Z58=0),Y58/1,IF(AND(Y58=0,Z58=0),X58/1,IF(X58=0,FLOOR((Y58+Z58)/2,0.1),IF(Y58=0,(X58+Z58)/2,IF(Z58=0,(Y58+X58)/2,FLOOR(((X58+Y58+Z58)/3),0.1))))))))</f>
        <v/>
      </c>
      <c r="AB58" s="21" t="n"/>
      <c r="AC58" s="21" t="n"/>
      <c r="AD58" s="27">
        <f>SUM(AB58:AC58)</f>
        <v/>
      </c>
      <c r="AE58" s="28" t="n"/>
      <c r="AF58" s="28" t="n"/>
      <c r="AG58" s="29">
        <f>IF(AND(AD58=0,AE58=0,AF58=0),0,IF(AND(AD58=0,AE58=0),AF58/1,IF(AND(AD58=0,AF58=0),AE58/1,IF(AND(AE58=0,AF58=0),AD58/1,IF(AD58=0,FLOOR((AE58+AF58)/2,0.1),IF(AE58=0,(AD58+AF58)/2,IF(AF58=0,(AE58+AD58)/2,FLOOR(((AD58+AE58+AF58)/3),0.1))))))))</f>
        <v/>
      </c>
      <c r="AH58" s="21" t="n"/>
      <c r="AI58" s="21" t="n"/>
      <c r="AJ58" s="27">
        <f>SUM(AH58:AI58)</f>
        <v/>
      </c>
      <c r="AK58" s="28" t="n"/>
      <c r="AL58" s="28" t="n"/>
      <c r="AM58" s="29">
        <f>IF(AND(AJ58=0,AK58=0,AL58=0),0,IF(AND(AJ58=0,AK58=0),AL58/1,IF(AND(AJ58=0,AL58=0),AK58/1,IF(AND(AK58=0,AL58=0),AJ58/1,IF(AJ58=0,FLOOR((AK58+AL58)/2,0.1),IF(AK58=0,(AJ58+AL58)/2,IF(AL58=0,(AK58+AJ58)/2,FLOOR(((AJ58+AK58+AL58)/3),0.1))))))))</f>
        <v/>
      </c>
      <c r="AN58" s="21" t="n"/>
      <c r="AO58" s="21" t="n"/>
      <c r="AP58" s="27">
        <f>SUM(AN58:AO58)</f>
        <v/>
      </c>
      <c r="AQ58" s="28" t="n"/>
      <c r="AR58" s="30" t="n"/>
      <c r="AS58" s="29">
        <f>IF(AND(AP58=0,AQ58=0,AR58=0),0,IF(AND(AP58=0,AQ58=0),AR58/1,IF(AND(AP58=0,AR58=0),AQ58/1,IF(AND(AQ58=0,AR58=0),AP58/1,IF(AP58=0,FLOOR((AQ58+AR58)/2,0.1),IF(AQ58=0,(AP58+AR58)/2,IF(AR58=0,(AQ58+AP58)/2,FLOOR(((AP58+AQ58+AR58)/3),0.1))))))))</f>
        <v/>
      </c>
      <c r="AT58" s="21" t="n"/>
      <c r="AU58" s="21" t="n"/>
      <c r="AV58" s="27">
        <f>SUM(AT58:AU58)</f>
        <v/>
      </c>
      <c r="AW58" s="28" t="n"/>
      <c r="AX58" s="30" t="n"/>
      <c r="AY58" s="29">
        <f>IF(AND(AV58=0,AW58=0,AX58=0),0,IF(AND(AV58=0,AW58=0),AX58/1,IF(AND(AV58=0,AX58=0),AW58/1,IF(AND(AW58=0,AX58=0),AV58/1,IF(AV58=0,FLOOR((AW58+AX58)/2,0.1),IF(AW58=0,(AV58+AX58)/2,IF(AX58=0,(AW58+AV58)/2,FLOOR(((AV58+AW58+AX58)/3),0.1))))))))</f>
        <v/>
      </c>
      <c r="AZ58" s="21" t="n"/>
      <c r="BA58" s="21" t="n"/>
      <c r="BB58" s="27">
        <f>SUM(AZ58:BA58)</f>
        <v/>
      </c>
      <c r="BC58" s="28" t="n"/>
      <c r="BD58" s="28" t="n"/>
      <c r="BE58" s="29">
        <f>IF(AND(BB58=0,BC58=0,BD58=0),0,IF(AND(BB58=0,BC58=0),BD58/1,IF(AND(BB58=0,BD58=0),BC58/1,IF(AND(BC58=0,BD58=0),BB58/1,IF(BB58=0,FLOOR((BC58+BD58)/2,0.1),IF(BC58=0,(BB58+BD58)/2,IF(BD58=0,(BC58+BB58)/2,FLOOR(((BB58+BC58+BD58)/3),0.1))))))))</f>
        <v/>
      </c>
      <c r="BF58" s="21" t="n"/>
      <c r="BG58" s="21" t="n"/>
      <c r="BH58" s="27">
        <f>SUM(BF58:BG58)</f>
        <v/>
      </c>
      <c r="BI58" s="28" t="n"/>
      <c r="BJ58" s="28" t="n"/>
      <c r="BK58" s="29">
        <f>IF(AND(BH58=0,BI58=0,BJ58=0),0,IF(AND(BH58=0,BI58=0),BJ58/1,IF(AND(BH58=0,BJ58=0),BI58/1,IF(AND(BI58=0,BJ58=0),BH58/1,IF(BH58=0,FLOOR((BI58+BJ58)/2,0.1),IF(BI58=0,(BH58+BJ58)/2,IF(BJ58=0,(BI58+BH58)/2,FLOOR(((BH58+BI58+BJ58)/3),0.1))))))))</f>
        <v/>
      </c>
      <c r="BL58" s="21" t="n"/>
      <c r="BM58" s="21" t="n"/>
      <c r="BN58" s="27">
        <f>SUM(BL58:BM58)</f>
        <v/>
      </c>
      <c r="BO58" s="28" t="n"/>
      <c r="BP58" s="31" t="n"/>
      <c r="BQ58" s="29">
        <f>IF(AND(BN58=0,BO58=0,BP58=0),0,IF(AND(BN58=0,BO58=0),BP58/1,IF(AND(BN58=0,BP58=0),BO58/1,IF(AND(BO58=0,BP58=0),BN58/1,IF(BN58=0,FLOOR((BO58+BP58)/2,0.1),IF(BO58=0,(BN58+BP58)/2,IF(BP58=0,(BO58+BN58)/2,FLOOR(((BN58+BO58+BP58)/3),0.1))))))))</f>
        <v/>
      </c>
      <c r="BR58" s="21" t="n"/>
      <c r="BS58" s="21" t="n"/>
      <c r="BT58" s="27">
        <f>SUM(BR58:BS58)</f>
        <v/>
      </c>
      <c r="BU58" s="28" t="n"/>
      <c r="BV58" s="31" t="n"/>
      <c r="BW58" s="29">
        <f>IF(AND(BT58=0,BU58=0,BV58=0),0,IF(AND(BT58=0,BU58=0),BV58/1,IF(AND(BT58=0,BV58=0),BU58/1,IF(AND(BU58=0,BV58=0),BT58/1,IF(BT58=0,FLOOR((BU58+BV58)/2,0.1),IF(BU58=0,(BT58+BV58)/2,IF(BV58=0,(BU58+BT58)/2,FLOOR(((BT58+BU58+BV58)/3),0.1))))))))</f>
        <v/>
      </c>
      <c r="BX58" s="21" t="n"/>
      <c r="BY58" s="21" t="n"/>
      <c r="BZ58" s="27">
        <f>SUM(BX58:BY58)</f>
        <v/>
      </c>
      <c r="CA58" s="28" t="n"/>
      <c r="CB58" s="31" t="n"/>
      <c r="CC58" s="29">
        <f>IF(AND(BZ58=0,CA58=0,CB58=0),0,IF(AND(BZ58=0,CA58=0),CB58/1,IF(AND(BZ58=0,CB58=0),CA58/1,IF(AND(CA58=0,CB58=0),BZ58/1,IF(BZ58=0,FLOOR((CA58+CB58)/2,0.1),IF(CA58=0,(BZ58+CB58)/2,IF(CB58=0,(CA58+BZ58)/2,FLOOR(((BZ58+CA58+CB58)/3),0.1))))))))</f>
        <v/>
      </c>
      <c r="CD58" s="21" t="n"/>
      <c r="CE58" s="21" t="n"/>
      <c r="CF58" s="27">
        <f>SUM(CD58:CE58)</f>
        <v/>
      </c>
      <c r="CG58" s="28" t="n"/>
      <c r="CH58" s="31" t="n"/>
      <c r="CI58" s="29">
        <f>IF(AND(CF58=0,CG58=0,CH58=0),0,IF(AND(CF58=0,CG58=0),CH58/1,IF(AND(CF58=0,CH58=0),CG58/1,IF(AND(CG58=0,CH58=0),CF58/1,IF(CF58=0,FLOOR((CG58+CH58)/2,0.1),IF(CG58=0,(CF58+CH58)/2,IF(CH58=0,(CG58+CF58)/2,FLOOR(((CF58+CG58+CH58)/3),0.1))))))))</f>
        <v/>
      </c>
      <c r="CJ58" s="21" t="n"/>
      <c r="CK58" s="21" t="n"/>
      <c r="CL58" s="27">
        <f>SUM(CJ58:CK58)</f>
        <v/>
      </c>
      <c r="CM58" s="28" t="n"/>
      <c r="CN58" s="31" t="n"/>
      <c r="CO58" s="29">
        <f>IF(AND(CL58=0,CM58=0,CN58=0),0,IF(AND(CL58=0,CM58=0),CN58/1,IF(AND(CL58=0,CN58=0),CM58/1,IF(AND(CM58=0,CN58=0),CL58/1,IF(CL58=0,FLOOR((CM58+CN58)/2,0.1),IF(CM58=0,(CL58+CN58)/2,IF(CN58=0,(CM58+CL58)/2,FLOOR(((CL58+CM58+CN58)/3),0.1))))))))</f>
        <v/>
      </c>
      <c r="CP58" s="21" t="n"/>
      <c r="CQ58" s="21" t="n"/>
      <c r="CR58" s="27">
        <f>SUM(CP58:CQ58)</f>
        <v/>
      </c>
      <c r="CS58" s="28" t="n"/>
      <c r="CT58" s="31" t="n"/>
      <c r="CU58" s="29">
        <f>IF(AND(CR58=0,CS58=0,CT58=0),0,IF(AND(CR58=0,CS58=0),CT58/1,IF(AND(CR58=0,CT58=0),CS58/1,IF(AND(CS58=0,CT58=0),CR58/1,IF(CR58=0,FLOOR((CS58+CT58)/2,0.1),IF(CS58=0,(CR58+CT58)/2,IF(CT58=0,(CS58+CR58)/2,FLOOR(((CR58+CS58+CT58)/3),0.1))))))))</f>
        <v/>
      </c>
      <c r="CV58" s="21" t="n"/>
      <c r="CW58" s="21" t="n"/>
      <c r="CX58" s="27">
        <f>SUM(CV58:CW58)</f>
        <v/>
      </c>
      <c r="CY58" s="28" t="n"/>
      <c r="CZ58" s="31" t="n"/>
      <c r="DA58" s="29">
        <f>IF(AND(CX58=0,CY58=0,CZ58=0),0,IF(AND(CX58=0,CY58=0),CZ58/1,IF(AND(CX58=0,CZ58=0),CY58/1,IF(AND(CY58=0,CZ58=0),CX58/1,IF(CX58=0,FLOOR((CY58+CZ58)/2,0.1),IF(CY58=0,(CX58+CZ58)/2,IF(CZ58=0,(CY58+CX58)/2,FLOOR(((CX58+CY58+CZ58)/3),0.1))))))))</f>
        <v/>
      </c>
      <c r="DB58" s="21" t="n"/>
      <c r="DC58" s="21" t="n"/>
      <c r="DD58" s="27">
        <f>SUM(DB58:DC58)</f>
        <v/>
      </c>
      <c r="DE58" s="28" t="n"/>
      <c r="DF58" s="31" t="n"/>
      <c r="DG58" s="29">
        <f>IF(AND(DD58=0,DE58=0,DF58=0),0,IF(AND(DD58=0,DE58=0),DF58/1,IF(AND(DD58=0,DF58=0),DE58/1,IF(AND(DE58=0,DF58=0),DD58/1,IF(DD58=0,FLOOR((DE58+DF58)/2,0.1),IF(DE58=0,(DD58+DF58)/2,IF(DF58=0,(DE58+DD58)/2,FLOOR(((DD58+DE58+DF58)/3),0.1))))))))</f>
        <v/>
      </c>
      <c r="DH58" s="34">
        <f>SUM(O58,U58,AA58,AG58,AM58,AS58,AY58,BE58,BK58,BQ58,BW58,CC58,CI58,CO58,CU58,DA58,DG58)</f>
        <v/>
      </c>
      <c r="DI58" s="39">
        <f>RANK(DH58,DH$4:DH$503)</f>
        <v/>
      </c>
      <c r="DJ58" s="40" t="inlineStr">
        <is>
          <t>CHOOSE RATING</t>
        </is>
      </c>
      <c r="DK58" s="40" t="inlineStr">
        <is>
          <t>CHOOSE RATING</t>
        </is>
      </c>
      <c r="DL58" s="40" t="inlineStr">
        <is>
          <t>CHOOSE RATING</t>
        </is>
      </c>
      <c r="DM58" s="40" t="inlineStr">
        <is>
          <t>CHOOSE RATING</t>
        </is>
      </c>
      <c r="DN58" s="40" t="inlineStr">
        <is>
          <t>CHOOSE RATING</t>
        </is>
      </c>
      <c r="DO58" s="40" t="inlineStr">
        <is>
          <t>CHOOSE RATING</t>
        </is>
      </c>
      <c r="DP58" s="40" t="inlineStr">
        <is>
          <t>CHOOSE RATING</t>
        </is>
      </c>
      <c r="DQ58" s="40" t="inlineStr">
        <is>
          <t>CHOOSE RATING</t>
        </is>
      </c>
      <c r="DR58" s="43" t="inlineStr">
        <is>
          <t>2024/2025</t>
        </is>
      </c>
      <c r="DS58" s="45" t="inlineStr">
        <is>
          <t>THIRD</t>
        </is>
      </c>
      <c r="DT58" s="40" t="inlineStr">
        <is>
          <t>CHOOSE RATING</t>
        </is>
      </c>
      <c r="DU58" s="40" t="inlineStr">
        <is>
          <t>CHOOSE RATING</t>
        </is>
      </c>
      <c r="DV58" s="40" t="inlineStr">
        <is>
          <t>CHOOSE RATING</t>
        </is>
      </c>
      <c r="DW58" s="40" t="inlineStr">
        <is>
          <t>CHOOSE RATING</t>
        </is>
      </c>
      <c r="DX58" s="40" t="inlineStr">
        <is>
          <t>CHOOSE RATING</t>
        </is>
      </c>
      <c r="DY58" s="40" t="inlineStr">
        <is>
          <t>CHOOSE RATING</t>
        </is>
      </c>
      <c r="DZ58" s="53" t="inlineStr">
        <is>
          <t>CHOOSE RATING</t>
        </is>
      </c>
      <c r="EA58" s="54" t="inlineStr">
        <is>
          <t>Add the Tutor's Comment . . .</t>
        </is>
      </c>
      <c r="EB58" s="55" t="inlineStr">
        <is>
          <t>Choose Principals comment</t>
        </is>
      </c>
      <c r="EC58" s="56" t="n"/>
      <c r="ED58" s="57" t="inlineStr">
        <is>
          <t>Next Term Begins on Monday, 22nd September, 2025</t>
        </is>
      </c>
    </row>
    <row r="59" ht="30.6" customHeight="1" s="6">
      <c r="A59" s="18" t="n">
        <v>56</v>
      </c>
      <c r="B59" s="19" t="n"/>
      <c r="C59" s="20" t="n"/>
      <c r="D59" s="128" t="n"/>
      <c r="E59" s="21" t="n"/>
      <c r="F59" s="22" t="n"/>
      <c r="G59" s="22" t="n"/>
      <c r="H59" s="22" t="n"/>
      <c r="I59" s="26">
        <f>G59-H59</f>
        <v/>
      </c>
      <c r="J59" s="21" t="n"/>
      <c r="K59" s="21" t="n"/>
      <c r="L59" s="27">
        <f>SUM(J59:K59)</f>
        <v/>
      </c>
      <c r="M59" s="28" t="n"/>
      <c r="N59" s="28" t="n"/>
      <c r="O59" s="29">
        <f>IF(AND(L59=0,M59=0,N59=0),0,IF(AND(L59=0,M59=0),N59/1,IF(AND(L59=0,N59=0),M59/1,IF(AND(M59=0,N59=0),L59/1,IF(L59=0,FLOOR((M59+N59)/2,0.1),IF(M59=0,(L59+N59)/2,IF(N59=0,(M59+L59)/2,FLOOR(((L59+M59+N59)/3),0.1))))))))</f>
        <v/>
      </c>
      <c r="P59" s="21" t="n"/>
      <c r="Q59" s="21" t="n"/>
      <c r="R59" s="27">
        <f>SUM(P59:Q59)</f>
        <v/>
      </c>
      <c r="S59" s="28" t="n"/>
      <c r="T59" s="28" t="n"/>
      <c r="U59" s="29">
        <f>IF(AND(R59=0,S59=0,T59=0),0,IF(AND(R59=0,S59=0),T59/1,IF(AND(R59=0,T59=0),S59/1,IF(AND(S59=0,T59=0),R59/1,IF(R59=0,FLOOR((S59+T59)/2,0.1),IF(S59=0,(R59+T59)/2,IF(T59=0,(S59+R59)/2,FLOOR(((R59+S59+T59)/3),0.1))))))))</f>
        <v/>
      </c>
      <c r="V59" s="21" t="n"/>
      <c r="W59" s="21" t="n"/>
      <c r="X59" s="27">
        <f>SUM(V59:W59)</f>
        <v/>
      </c>
      <c r="Y59" s="28" t="n"/>
      <c r="Z59" s="28" t="n"/>
      <c r="AA59" s="29">
        <f>IF(AND(X59=0,Y59=0,Z59=0),0,IF(AND(X59=0,Y59=0),Z59/1,IF(AND(X59=0,Z59=0),Y59/1,IF(AND(Y59=0,Z59=0),X59/1,IF(X59=0,FLOOR((Y59+Z59)/2,0.1),IF(Y59=0,(X59+Z59)/2,IF(Z59=0,(Y59+X59)/2,FLOOR(((X59+Y59+Z59)/3),0.1))))))))</f>
        <v/>
      </c>
      <c r="AB59" s="21" t="n"/>
      <c r="AC59" s="21" t="n"/>
      <c r="AD59" s="27">
        <f>SUM(AB59:AC59)</f>
        <v/>
      </c>
      <c r="AE59" s="28" t="n"/>
      <c r="AF59" s="28" t="n"/>
      <c r="AG59" s="29">
        <f>IF(AND(AD59=0,AE59=0,AF59=0),0,IF(AND(AD59=0,AE59=0),AF59/1,IF(AND(AD59=0,AF59=0),AE59/1,IF(AND(AE59=0,AF59=0),AD59/1,IF(AD59=0,FLOOR((AE59+AF59)/2,0.1),IF(AE59=0,(AD59+AF59)/2,IF(AF59=0,(AE59+AD59)/2,FLOOR(((AD59+AE59+AF59)/3),0.1))))))))</f>
        <v/>
      </c>
      <c r="AH59" s="21" t="n"/>
      <c r="AI59" s="21" t="n"/>
      <c r="AJ59" s="27">
        <f>SUM(AH59:AI59)</f>
        <v/>
      </c>
      <c r="AK59" s="28" t="n"/>
      <c r="AL59" s="28" t="n"/>
      <c r="AM59" s="29">
        <f>IF(AND(AJ59=0,AK59=0,AL59=0),0,IF(AND(AJ59=0,AK59=0),AL59/1,IF(AND(AJ59=0,AL59=0),AK59/1,IF(AND(AK59=0,AL59=0),AJ59/1,IF(AJ59=0,FLOOR((AK59+AL59)/2,0.1),IF(AK59=0,(AJ59+AL59)/2,IF(AL59=0,(AK59+AJ59)/2,FLOOR(((AJ59+AK59+AL59)/3),0.1))))))))</f>
        <v/>
      </c>
      <c r="AN59" s="21" t="n"/>
      <c r="AO59" s="21" t="n"/>
      <c r="AP59" s="27">
        <f>SUM(AN59:AO59)</f>
        <v/>
      </c>
      <c r="AQ59" s="28" t="n"/>
      <c r="AR59" s="30" t="n"/>
      <c r="AS59" s="29">
        <f>IF(AND(AP59=0,AQ59=0,AR59=0),0,IF(AND(AP59=0,AQ59=0),AR59/1,IF(AND(AP59=0,AR59=0),AQ59/1,IF(AND(AQ59=0,AR59=0),AP59/1,IF(AP59=0,FLOOR((AQ59+AR59)/2,0.1),IF(AQ59=0,(AP59+AR59)/2,IF(AR59=0,(AQ59+AP59)/2,FLOOR(((AP59+AQ59+AR59)/3),0.1))))))))</f>
        <v/>
      </c>
      <c r="AT59" s="21" t="n"/>
      <c r="AU59" s="21" t="n"/>
      <c r="AV59" s="27">
        <f>SUM(AT59:AU59)</f>
        <v/>
      </c>
      <c r="AW59" s="28" t="n"/>
      <c r="AX59" s="30" t="n"/>
      <c r="AY59" s="29">
        <f>IF(AND(AV59=0,AW59=0,AX59=0),0,IF(AND(AV59=0,AW59=0),AX59/1,IF(AND(AV59=0,AX59=0),AW59/1,IF(AND(AW59=0,AX59=0),AV59/1,IF(AV59=0,FLOOR((AW59+AX59)/2,0.1),IF(AW59=0,(AV59+AX59)/2,IF(AX59=0,(AW59+AV59)/2,FLOOR(((AV59+AW59+AX59)/3),0.1))))))))</f>
        <v/>
      </c>
      <c r="AZ59" s="21" t="n"/>
      <c r="BA59" s="21" t="n"/>
      <c r="BB59" s="27">
        <f>SUM(AZ59:BA59)</f>
        <v/>
      </c>
      <c r="BC59" s="28" t="n"/>
      <c r="BD59" s="28" t="n"/>
      <c r="BE59" s="29">
        <f>IF(AND(BB59=0,BC59=0,BD59=0),0,IF(AND(BB59=0,BC59=0),BD59/1,IF(AND(BB59=0,BD59=0),BC59/1,IF(AND(BC59=0,BD59=0),BB59/1,IF(BB59=0,FLOOR((BC59+BD59)/2,0.1),IF(BC59=0,(BB59+BD59)/2,IF(BD59=0,(BC59+BB59)/2,FLOOR(((BB59+BC59+BD59)/3),0.1))))))))</f>
        <v/>
      </c>
      <c r="BF59" s="21" t="n"/>
      <c r="BG59" s="21" t="n"/>
      <c r="BH59" s="27">
        <f>SUM(BF59:BG59)</f>
        <v/>
      </c>
      <c r="BI59" s="28" t="n"/>
      <c r="BJ59" s="28" t="n"/>
      <c r="BK59" s="29">
        <f>IF(AND(BH59=0,BI59=0,BJ59=0),0,IF(AND(BH59=0,BI59=0),BJ59/1,IF(AND(BH59=0,BJ59=0),BI59/1,IF(AND(BI59=0,BJ59=0),BH59/1,IF(BH59=0,FLOOR((BI59+BJ59)/2,0.1),IF(BI59=0,(BH59+BJ59)/2,IF(BJ59=0,(BI59+BH59)/2,FLOOR(((BH59+BI59+BJ59)/3),0.1))))))))</f>
        <v/>
      </c>
      <c r="BL59" s="21" t="n"/>
      <c r="BM59" s="21" t="n"/>
      <c r="BN59" s="27">
        <f>SUM(BL59:BM59)</f>
        <v/>
      </c>
      <c r="BO59" s="28" t="n"/>
      <c r="BP59" s="31" t="n"/>
      <c r="BQ59" s="29">
        <f>IF(AND(BN59=0,BO59=0,BP59=0),0,IF(AND(BN59=0,BO59=0),BP59/1,IF(AND(BN59=0,BP59=0),BO59/1,IF(AND(BO59=0,BP59=0),BN59/1,IF(BN59=0,FLOOR((BO59+BP59)/2,0.1),IF(BO59=0,(BN59+BP59)/2,IF(BP59=0,(BO59+BN59)/2,FLOOR(((BN59+BO59+BP59)/3),0.1))))))))</f>
        <v/>
      </c>
      <c r="BR59" s="21" t="n"/>
      <c r="BS59" s="21" t="n"/>
      <c r="BT59" s="27">
        <f>SUM(BR59:BS59)</f>
        <v/>
      </c>
      <c r="BU59" s="28" t="n"/>
      <c r="BV59" s="31" t="n"/>
      <c r="BW59" s="29">
        <f>IF(AND(BT59=0,BU59=0,BV59=0),0,IF(AND(BT59=0,BU59=0),BV59/1,IF(AND(BT59=0,BV59=0),BU59/1,IF(AND(BU59=0,BV59=0),BT59/1,IF(BT59=0,FLOOR((BU59+BV59)/2,0.1),IF(BU59=0,(BT59+BV59)/2,IF(BV59=0,(BU59+BT59)/2,FLOOR(((BT59+BU59+BV59)/3),0.1))))))))</f>
        <v/>
      </c>
      <c r="BX59" s="21" t="n"/>
      <c r="BY59" s="21" t="n"/>
      <c r="BZ59" s="27">
        <f>SUM(BX59:BY59)</f>
        <v/>
      </c>
      <c r="CA59" s="28" t="n"/>
      <c r="CB59" s="31" t="n"/>
      <c r="CC59" s="29">
        <f>IF(AND(BZ59=0,CA59=0,CB59=0),0,IF(AND(BZ59=0,CA59=0),CB59/1,IF(AND(BZ59=0,CB59=0),CA59/1,IF(AND(CA59=0,CB59=0),BZ59/1,IF(BZ59=0,FLOOR((CA59+CB59)/2,0.1),IF(CA59=0,(BZ59+CB59)/2,IF(CB59=0,(CA59+BZ59)/2,FLOOR(((BZ59+CA59+CB59)/3),0.1))))))))</f>
        <v/>
      </c>
      <c r="CD59" s="21" t="n"/>
      <c r="CE59" s="21" t="n"/>
      <c r="CF59" s="27">
        <f>SUM(CD59:CE59)</f>
        <v/>
      </c>
      <c r="CG59" s="28" t="n"/>
      <c r="CH59" s="31" t="n"/>
      <c r="CI59" s="29">
        <f>IF(AND(CF59=0,CG59=0,CH59=0),0,IF(AND(CF59=0,CG59=0),CH59/1,IF(AND(CF59=0,CH59=0),CG59/1,IF(AND(CG59=0,CH59=0),CF59/1,IF(CF59=0,FLOOR((CG59+CH59)/2,0.1),IF(CG59=0,(CF59+CH59)/2,IF(CH59=0,(CG59+CF59)/2,FLOOR(((CF59+CG59+CH59)/3),0.1))))))))</f>
        <v/>
      </c>
      <c r="CJ59" s="21" t="n"/>
      <c r="CK59" s="21" t="n"/>
      <c r="CL59" s="27">
        <f>SUM(CJ59:CK59)</f>
        <v/>
      </c>
      <c r="CM59" s="28" t="n"/>
      <c r="CN59" s="31" t="n"/>
      <c r="CO59" s="29">
        <f>IF(AND(CL59=0,CM59=0,CN59=0),0,IF(AND(CL59=0,CM59=0),CN59/1,IF(AND(CL59=0,CN59=0),CM59/1,IF(AND(CM59=0,CN59=0),CL59/1,IF(CL59=0,FLOOR((CM59+CN59)/2,0.1),IF(CM59=0,(CL59+CN59)/2,IF(CN59=0,(CM59+CL59)/2,FLOOR(((CL59+CM59+CN59)/3),0.1))))))))</f>
        <v/>
      </c>
      <c r="CP59" s="21" t="n"/>
      <c r="CQ59" s="21" t="n"/>
      <c r="CR59" s="27">
        <f>SUM(CP59:CQ59)</f>
        <v/>
      </c>
      <c r="CS59" s="28" t="n"/>
      <c r="CT59" s="31" t="n"/>
      <c r="CU59" s="29">
        <f>IF(AND(CR59=0,CS59=0,CT59=0),0,IF(AND(CR59=0,CS59=0),CT59/1,IF(AND(CR59=0,CT59=0),CS59/1,IF(AND(CS59=0,CT59=0),CR59/1,IF(CR59=0,FLOOR((CS59+CT59)/2,0.1),IF(CS59=0,(CR59+CT59)/2,IF(CT59=0,(CS59+CR59)/2,FLOOR(((CR59+CS59+CT59)/3),0.1))))))))</f>
        <v/>
      </c>
      <c r="CV59" s="21" t="n"/>
      <c r="CW59" s="21" t="n"/>
      <c r="CX59" s="27">
        <f>SUM(CV59:CW59)</f>
        <v/>
      </c>
      <c r="CY59" s="28" t="n"/>
      <c r="CZ59" s="31" t="n"/>
      <c r="DA59" s="29">
        <f>IF(AND(CX59=0,CY59=0,CZ59=0),0,IF(AND(CX59=0,CY59=0),CZ59/1,IF(AND(CX59=0,CZ59=0),CY59/1,IF(AND(CY59=0,CZ59=0),CX59/1,IF(CX59=0,FLOOR((CY59+CZ59)/2,0.1),IF(CY59=0,(CX59+CZ59)/2,IF(CZ59=0,(CY59+CX59)/2,FLOOR(((CX59+CY59+CZ59)/3),0.1))))))))</f>
        <v/>
      </c>
      <c r="DB59" s="21" t="n"/>
      <c r="DC59" s="21" t="n"/>
      <c r="DD59" s="27">
        <f>SUM(DB59:DC59)</f>
        <v/>
      </c>
      <c r="DE59" s="28" t="n"/>
      <c r="DF59" s="31" t="n"/>
      <c r="DG59" s="29">
        <f>IF(AND(DD59=0,DE59=0,DF59=0),0,IF(AND(DD59=0,DE59=0),DF59/1,IF(AND(DD59=0,DF59=0),DE59/1,IF(AND(DE59=0,DF59=0),DD59/1,IF(DD59=0,FLOOR((DE59+DF59)/2,0.1),IF(DE59=0,(DD59+DF59)/2,IF(DF59=0,(DE59+DD59)/2,FLOOR(((DD59+DE59+DF59)/3),0.1))))))))</f>
        <v/>
      </c>
      <c r="DH59" s="34">
        <f>SUM(O59,U59,AA59,AG59,AM59,AS59,AY59,BE59,BK59,BQ59,BW59,CC59,CI59,CO59,CU59,DA59,DG59)</f>
        <v/>
      </c>
      <c r="DI59" s="39">
        <f>RANK(DH59,DH$4:DH$503)</f>
        <v/>
      </c>
      <c r="DJ59" s="40" t="inlineStr">
        <is>
          <t>CHOOSE RATING</t>
        </is>
      </c>
      <c r="DK59" s="40" t="inlineStr">
        <is>
          <t>CHOOSE RATING</t>
        </is>
      </c>
      <c r="DL59" s="40" t="inlineStr">
        <is>
          <t>CHOOSE RATING</t>
        </is>
      </c>
      <c r="DM59" s="40" t="inlineStr">
        <is>
          <t>CHOOSE RATING</t>
        </is>
      </c>
      <c r="DN59" s="40" t="inlineStr">
        <is>
          <t>CHOOSE RATING</t>
        </is>
      </c>
      <c r="DO59" s="40" t="inlineStr">
        <is>
          <t>CHOOSE RATING</t>
        </is>
      </c>
      <c r="DP59" s="40" t="inlineStr">
        <is>
          <t>CHOOSE RATING</t>
        </is>
      </c>
      <c r="DQ59" s="40" t="inlineStr">
        <is>
          <t>CHOOSE RATING</t>
        </is>
      </c>
      <c r="DR59" s="43" t="inlineStr">
        <is>
          <t>2024/2025</t>
        </is>
      </c>
      <c r="DS59" s="45" t="inlineStr">
        <is>
          <t>THIRD</t>
        </is>
      </c>
      <c r="DT59" s="40" t="inlineStr">
        <is>
          <t>CHOOSE RATING</t>
        </is>
      </c>
      <c r="DU59" s="40" t="inlineStr">
        <is>
          <t>CHOOSE RATING</t>
        </is>
      </c>
      <c r="DV59" s="40" t="inlineStr">
        <is>
          <t>CHOOSE RATING</t>
        </is>
      </c>
      <c r="DW59" s="40" t="inlineStr">
        <is>
          <t>CHOOSE RATING</t>
        </is>
      </c>
      <c r="DX59" s="40" t="inlineStr">
        <is>
          <t>CHOOSE RATING</t>
        </is>
      </c>
      <c r="DY59" s="40" t="inlineStr">
        <is>
          <t>CHOOSE RATING</t>
        </is>
      </c>
      <c r="DZ59" s="53" t="inlineStr">
        <is>
          <t>CHOOSE RATING</t>
        </is>
      </c>
      <c r="EA59" s="54" t="inlineStr">
        <is>
          <t>Add the Tutor's Comment . . .</t>
        </is>
      </c>
      <c r="EB59" s="55" t="inlineStr">
        <is>
          <t>Choose Principals comment</t>
        </is>
      </c>
      <c r="EC59" s="56" t="n"/>
      <c r="ED59" s="57" t="inlineStr">
        <is>
          <t>Next Term Begins on Monday, 22nd September, 2025</t>
        </is>
      </c>
    </row>
    <row r="60" ht="30.6" customHeight="1" s="6">
      <c r="A60" s="18" t="n">
        <v>57</v>
      </c>
      <c r="B60" s="19" t="n"/>
      <c r="C60" s="20" t="n"/>
      <c r="D60" s="128" t="n"/>
      <c r="E60" s="21" t="n"/>
      <c r="F60" s="22" t="n"/>
      <c r="G60" s="22" t="n"/>
      <c r="H60" s="22" t="n"/>
      <c r="I60" s="26">
        <f>G60-H60</f>
        <v/>
      </c>
      <c r="J60" s="21" t="n"/>
      <c r="K60" s="21" t="n"/>
      <c r="L60" s="27">
        <f>SUM(J60:K60)</f>
        <v/>
      </c>
      <c r="M60" s="28" t="n"/>
      <c r="N60" s="28" t="n"/>
      <c r="O60" s="29">
        <f>IF(AND(L60=0,M60=0,N60=0),0,IF(AND(L60=0,M60=0),N60/1,IF(AND(L60=0,N60=0),M60/1,IF(AND(M60=0,N60=0),L60/1,IF(L60=0,FLOOR((M60+N60)/2,0.1),IF(M60=0,(L60+N60)/2,IF(N60=0,(M60+L60)/2,FLOOR(((L60+M60+N60)/3),0.1))))))))</f>
        <v/>
      </c>
      <c r="P60" s="21" t="n"/>
      <c r="Q60" s="21" t="n"/>
      <c r="R60" s="27">
        <f>SUM(P60:Q60)</f>
        <v/>
      </c>
      <c r="S60" s="28" t="n"/>
      <c r="T60" s="28" t="n"/>
      <c r="U60" s="29">
        <f>IF(AND(R60=0,S60=0,T60=0),0,IF(AND(R60=0,S60=0),T60/1,IF(AND(R60=0,T60=0),S60/1,IF(AND(S60=0,T60=0),R60/1,IF(R60=0,FLOOR((S60+T60)/2,0.1),IF(S60=0,(R60+T60)/2,IF(T60=0,(S60+R60)/2,FLOOR(((R60+S60+T60)/3),0.1))))))))</f>
        <v/>
      </c>
      <c r="V60" s="21" t="n"/>
      <c r="W60" s="21" t="n"/>
      <c r="X60" s="27">
        <f>SUM(V60:W60)</f>
        <v/>
      </c>
      <c r="Y60" s="28" t="n"/>
      <c r="Z60" s="28" t="n"/>
      <c r="AA60" s="29">
        <f>IF(AND(X60=0,Y60=0,Z60=0),0,IF(AND(X60=0,Y60=0),Z60/1,IF(AND(X60=0,Z60=0),Y60/1,IF(AND(Y60=0,Z60=0),X60/1,IF(X60=0,FLOOR((Y60+Z60)/2,0.1),IF(Y60=0,(X60+Z60)/2,IF(Z60=0,(Y60+X60)/2,FLOOR(((X60+Y60+Z60)/3),0.1))))))))</f>
        <v/>
      </c>
      <c r="AB60" s="21" t="n"/>
      <c r="AC60" s="21" t="n"/>
      <c r="AD60" s="27">
        <f>SUM(AB60:AC60)</f>
        <v/>
      </c>
      <c r="AE60" s="28" t="n"/>
      <c r="AF60" s="28" t="n"/>
      <c r="AG60" s="29">
        <f>IF(AND(AD60=0,AE60=0,AF60=0),0,IF(AND(AD60=0,AE60=0),AF60/1,IF(AND(AD60=0,AF60=0),AE60/1,IF(AND(AE60=0,AF60=0),AD60/1,IF(AD60=0,FLOOR((AE60+AF60)/2,0.1),IF(AE60=0,(AD60+AF60)/2,IF(AF60=0,(AE60+AD60)/2,FLOOR(((AD60+AE60+AF60)/3),0.1))))))))</f>
        <v/>
      </c>
      <c r="AH60" s="21" t="n"/>
      <c r="AI60" s="21" t="n"/>
      <c r="AJ60" s="27">
        <f>SUM(AH60:AI60)</f>
        <v/>
      </c>
      <c r="AK60" s="28" t="n"/>
      <c r="AL60" s="28" t="n"/>
      <c r="AM60" s="29">
        <f>IF(AND(AJ60=0,AK60=0,AL60=0),0,IF(AND(AJ60=0,AK60=0),AL60/1,IF(AND(AJ60=0,AL60=0),AK60/1,IF(AND(AK60=0,AL60=0),AJ60/1,IF(AJ60=0,FLOOR((AK60+AL60)/2,0.1),IF(AK60=0,(AJ60+AL60)/2,IF(AL60=0,(AK60+AJ60)/2,FLOOR(((AJ60+AK60+AL60)/3),0.1))))))))</f>
        <v/>
      </c>
      <c r="AN60" s="21" t="n"/>
      <c r="AO60" s="21" t="n"/>
      <c r="AP60" s="27">
        <f>SUM(AN60:AO60)</f>
        <v/>
      </c>
      <c r="AQ60" s="28" t="n"/>
      <c r="AR60" s="30" t="n"/>
      <c r="AS60" s="29">
        <f>IF(AND(AP60=0,AQ60=0,AR60=0),0,IF(AND(AP60=0,AQ60=0),AR60/1,IF(AND(AP60=0,AR60=0),AQ60/1,IF(AND(AQ60=0,AR60=0),AP60/1,IF(AP60=0,FLOOR((AQ60+AR60)/2,0.1),IF(AQ60=0,(AP60+AR60)/2,IF(AR60=0,(AQ60+AP60)/2,FLOOR(((AP60+AQ60+AR60)/3),0.1))))))))</f>
        <v/>
      </c>
      <c r="AT60" s="21" t="n"/>
      <c r="AU60" s="21" t="n"/>
      <c r="AV60" s="27">
        <f>SUM(AT60:AU60)</f>
        <v/>
      </c>
      <c r="AW60" s="28" t="n"/>
      <c r="AX60" s="30" t="n"/>
      <c r="AY60" s="29">
        <f>IF(AND(AV60=0,AW60=0,AX60=0),0,IF(AND(AV60=0,AW60=0),AX60/1,IF(AND(AV60=0,AX60=0),AW60/1,IF(AND(AW60=0,AX60=0),AV60/1,IF(AV60=0,FLOOR((AW60+AX60)/2,0.1),IF(AW60=0,(AV60+AX60)/2,IF(AX60=0,(AW60+AV60)/2,FLOOR(((AV60+AW60+AX60)/3),0.1))))))))</f>
        <v/>
      </c>
      <c r="AZ60" s="21" t="n"/>
      <c r="BA60" s="21" t="n"/>
      <c r="BB60" s="27">
        <f>SUM(AZ60:BA60)</f>
        <v/>
      </c>
      <c r="BC60" s="28" t="n"/>
      <c r="BD60" s="28" t="n"/>
      <c r="BE60" s="29">
        <f>IF(AND(BB60=0,BC60=0,BD60=0),0,IF(AND(BB60=0,BC60=0),BD60/1,IF(AND(BB60=0,BD60=0),BC60/1,IF(AND(BC60=0,BD60=0),BB60/1,IF(BB60=0,FLOOR((BC60+BD60)/2,0.1),IF(BC60=0,(BB60+BD60)/2,IF(BD60=0,(BC60+BB60)/2,FLOOR(((BB60+BC60+BD60)/3),0.1))))))))</f>
        <v/>
      </c>
      <c r="BF60" s="21" t="n"/>
      <c r="BG60" s="21" t="n"/>
      <c r="BH60" s="27">
        <f>SUM(BF60:BG60)</f>
        <v/>
      </c>
      <c r="BI60" s="28" t="n"/>
      <c r="BJ60" s="28" t="n"/>
      <c r="BK60" s="29">
        <f>IF(AND(BH60=0,BI60=0,BJ60=0),0,IF(AND(BH60=0,BI60=0),BJ60/1,IF(AND(BH60=0,BJ60=0),BI60/1,IF(AND(BI60=0,BJ60=0),BH60/1,IF(BH60=0,FLOOR((BI60+BJ60)/2,0.1),IF(BI60=0,(BH60+BJ60)/2,IF(BJ60=0,(BI60+BH60)/2,FLOOR(((BH60+BI60+BJ60)/3),0.1))))))))</f>
        <v/>
      </c>
      <c r="BL60" s="21" t="n"/>
      <c r="BM60" s="21" t="n"/>
      <c r="BN60" s="27">
        <f>SUM(BL60:BM60)</f>
        <v/>
      </c>
      <c r="BO60" s="28" t="n"/>
      <c r="BP60" s="31" t="n"/>
      <c r="BQ60" s="29">
        <f>IF(AND(BN60=0,BO60=0,BP60=0),0,IF(AND(BN60=0,BO60=0),BP60/1,IF(AND(BN60=0,BP60=0),BO60/1,IF(AND(BO60=0,BP60=0),BN60/1,IF(BN60=0,FLOOR((BO60+BP60)/2,0.1),IF(BO60=0,(BN60+BP60)/2,IF(BP60=0,(BO60+BN60)/2,FLOOR(((BN60+BO60+BP60)/3),0.1))))))))</f>
        <v/>
      </c>
      <c r="BR60" s="21" t="n"/>
      <c r="BS60" s="21" t="n"/>
      <c r="BT60" s="27">
        <f>SUM(BR60:BS60)</f>
        <v/>
      </c>
      <c r="BU60" s="28" t="n"/>
      <c r="BV60" s="31" t="n"/>
      <c r="BW60" s="29">
        <f>IF(AND(BT60=0,BU60=0,BV60=0),0,IF(AND(BT60=0,BU60=0),BV60/1,IF(AND(BT60=0,BV60=0),BU60/1,IF(AND(BU60=0,BV60=0),BT60/1,IF(BT60=0,FLOOR((BU60+BV60)/2,0.1),IF(BU60=0,(BT60+BV60)/2,IF(BV60=0,(BU60+BT60)/2,FLOOR(((BT60+BU60+BV60)/3),0.1))))))))</f>
        <v/>
      </c>
      <c r="BX60" s="21" t="n"/>
      <c r="BY60" s="21" t="n"/>
      <c r="BZ60" s="27">
        <f>SUM(BX60:BY60)</f>
        <v/>
      </c>
      <c r="CA60" s="28" t="n"/>
      <c r="CB60" s="31" t="n"/>
      <c r="CC60" s="29">
        <f>IF(AND(BZ60=0,CA60=0,CB60=0),0,IF(AND(BZ60=0,CA60=0),CB60/1,IF(AND(BZ60=0,CB60=0),CA60/1,IF(AND(CA60=0,CB60=0),BZ60/1,IF(BZ60=0,FLOOR((CA60+CB60)/2,0.1),IF(CA60=0,(BZ60+CB60)/2,IF(CB60=0,(CA60+BZ60)/2,FLOOR(((BZ60+CA60+CB60)/3),0.1))))))))</f>
        <v/>
      </c>
      <c r="CD60" s="21" t="n"/>
      <c r="CE60" s="21" t="n"/>
      <c r="CF60" s="27">
        <f>SUM(CD60:CE60)</f>
        <v/>
      </c>
      <c r="CG60" s="28" t="n"/>
      <c r="CH60" s="31" t="n"/>
      <c r="CI60" s="29">
        <f>IF(AND(CF60=0,CG60=0,CH60=0),0,IF(AND(CF60=0,CG60=0),CH60/1,IF(AND(CF60=0,CH60=0),CG60/1,IF(AND(CG60=0,CH60=0),CF60/1,IF(CF60=0,FLOOR((CG60+CH60)/2,0.1),IF(CG60=0,(CF60+CH60)/2,IF(CH60=0,(CG60+CF60)/2,FLOOR(((CF60+CG60+CH60)/3),0.1))))))))</f>
        <v/>
      </c>
      <c r="CJ60" s="21" t="n"/>
      <c r="CK60" s="21" t="n"/>
      <c r="CL60" s="27">
        <f>SUM(CJ60:CK60)</f>
        <v/>
      </c>
      <c r="CM60" s="28" t="n"/>
      <c r="CN60" s="31" t="n"/>
      <c r="CO60" s="29">
        <f>IF(AND(CL60=0,CM60=0,CN60=0),0,IF(AND(CL60=0,CM60=0),CN60/1,IF(AND(CL60=0,CN60=0),CM60/1,IF(AND(CM60=0,CN60=0),CL60/1,IF(CL60=0,FLOOR((CM60+CN60)/2,0.1),IF(CM60=0,(CL60+CN60)/2,IF(CN60=0,(CM60+CL60)/2,FLOOR(((CL60+CM60+CN60)/3),0.1))))))))</f>
        <v/>
      </c>
      <c r="CP60" s="21" t="n"/>
      <c r="CQ60" s="21" t="n"/>
      <c r="CR60" s="27">
        <f>SUM(CP60:CQ60)</f>
        <v/>
      </c>
      <c r="CS60" s="28" t="n"/>
      <c r="CT60" s="31" t="n"/>
      <c r="CU60" s="29">
        <f>IF(AND(CR60=0,CS60=0,CT60=0),0,IF(AND(CR60=0,CS60=0),CT60/1,IF(AND(CR60=0,CT60=0),CS60/1,IF(AND(CS60=0,CT60=0),CR60/1,IF(CR60=0,FLOOR((CS60+CT60)/2,0.1),IF(CS60=0,(CR60+CT60)/2,IF(CT60=0,(CS60+CR60)/2,FLOOR(((CR60+CS60+CT60)/3),0.1))))))))</f>
        <v/>
      </c>
      <c r="CV60" s="21" t="n"/>
      <c r="CW60" s="21" t="n"/>
      <c r="CX60" s="27">
        <f>SUM(CV60:CW60)</f>
        <v/>
      </c>
      <c r="CY60" s="28" t="n"/>
      <c r="CZ60" s="31" t="n"/>
      <c r="DA60" s="29">
        <f>IF(AND(CX60=0,CY60=0,CZ60=0),0,IF(AND(CX60=0,CY60=0),CZ60/1,IF(AND(CX60=0,CZ60=0),CY60/1,IF(AND(CY60=0,CZ60=0),CX60/1,IF(CX60=0,FLOOR((CY60+CZ60)/2,0.1),IF(CY60=0,(CX60+CZ60)/2,IF(CZ60=0,(CY60+CX60)/2,FLOOR(((CX60+CY60+CZ60)/3),0.1))))))))</f>
        <v/>
      </c>
      <c r="DB60" s="21" t="n"/>
      <c r="DC60" s="21" t="n"/>
      <c r="DD60" s="27">
        <f>SUM(DB60:DC60)</f>
        <v/>
      </c>
      <c r="DE60" s="28" t="n"/>
      <c r="DF60" s="31" t="n"/>
      <c r="DG60" s="29">
        <f>IF(AND(DD60=0,DE60=0,DF60=0),0,IF(AND(DD60=0,DE60=0),DF60/1,IF(AND(DD60=0,DF60=0),DE60/1,IF(AND(DE60=0,DF60=0),DD60/1,IF(DD60=0,FLOOR((DE60+DF60)/2,0.1),IF(DE60=0,(DD60+DF60)/2,IF(DF60=0,(DE60+DD60)/2,FLOOR(((DD60+DE60+DF60)/3),0.1))))))))</f>
        <v/>
      </c>
      <c r="DH60" s="34">
        <f>SUM(O60,U60,AA60,AG60,AM60,AS60,AY60,BE60,BK60,BQ60,BW60,CC60,CI60,CO60,CU60,DA60,DG60)</f>
        <v/>
      </c>
      <c r="DI60" s="39">
        <f>RANK(DH60,DH$4:DH$503)</f>
        <v/>
      </c>
      <c r="DJ60" s="40" t="inlineStr">
        <is>
          <t>CHOOSE RATING</t>
        </is>
      </c>
      <c r="DK60" s="40" t="inlineStr">
        <is>
          <t>CHOOSE RATING</t>
        </is>
      </c>
      <c r="DL60" s="40" t="inlineStr">
        <is>
          <t>CHOOSE RATING</t>
        </is>
      </c>
      <c r="DM60" s="40" t="inlineStr">
        <is>
          <t>CHOOSE RATING</t>
        </is>
      </c>
      <c r="DN60" s="40" t="inlineStr">
        <is>
          <t>CHOOSE RATING</t>
        </is>
      </c>
      <c r="DO60" s="40" t="inlineStr">
        <is>
          <t>CHOOSE RATING</t>
        </is>
      </c>
      <c r="DP60" s="40" t="inlineStr">
        <is>
          <t>CHOOSE RATING</t>
        </is>
      </c>
      <c r="DQ60" s="40" t="inlineStr">
        <is>
          <t>CHOOSE RATING</t>
        </is>
      </c>
      <c r="DR60" s="43" t="inlineStr">
        <is>
          <t>2024/2025</t>
        </is>
      </c>
      <c r="DS60" s="45" t="inlineStr">
        <is>
          <t>THIRD</t>
        </is>
      </c>
      <c r="DT60" s="40" t="inlineStr">
        <is>
          <t>CHOOSE RATING</t>
        </is>
      </c>
      <c r="DU60" s="40" t="inlineStr">
        <is>
          <t>CHOOSE RATING</t>
        </is>
      </c>
      <c r="DV60" s="40" t="inlineStr">
        <is>
          <t>CHOOSE RATING</t>
        </is>
      </c>
      <c r="DW60" s="40" t="inlineStr">
        <is>
          <t>CHOOSE RATING</t>
        </is>
      </c>
      <c r="DX60" s="40" t="inlineStr">
        <is>
          <t>CHOOSE RATING</t>
        </is>
      </c>
      <c r="DY60" s="40" t="inlineStr">
        <is>
          <t>CHOOSE RATING</t>
        </is>
      </c>
      <c r="DZ60" s="53" t="inlineStr">
        <is>
          <t>CHOOSE RATING</t>
        </is>
      </c>
      <c r="EA60" s="54" t="inlineStr">
        <is>
          <t>Add the Tutor's Comment . . .</t>
        </is>
      </c>
      <c r="EB60" s="55" t="inlineStr">
        <is>
          <t>Choose Principals comment</t>
        </is>
      </c>
      <c r="EC60" s="56" t="n"/>
      <c r="ED60" s="57" t="inlineStr">
        <is>
          <t>Next Term Begins on Monday, 22nd September, 2025</t>
        </is>
      </c>
    </row>
    <row r="61" ht="30.6" customHeight="1" s="6">
      <c r="A61" s="18" t="n">
        <v>58</v>
      </c>
      <c r="B61" s="19" t="n"/>
      <c r="C61" s="20" t="n"/>
      <c r="D61" s="128" t="n"/>
      <c r="E61" s="21" t="n"/>
      <c r="F61" s="22" t="n"/>
      <c r="G61" s="22" t="n"/>
      <c r="H61" s="22" t="n"/>
      <c r="I61" s="26">
        <f>G61-H61</f>
        <v/>
      </c>
      <c r="J61" s="21" t="n"/>
      <c r="K61" s="21" t="n"/>
      <c r="L61" s="27">
        <f>SUM(J61:K61)</f>
        <v/>
      </c>
      <c r="M61" s="28" t="n"/>
      <c r="N61" s="28" t="n"/>
      <c r="O61" s="29">
        <f>IF(AND(L61=0,M61=0,N61=0),0,IF(AND(L61=0,M61=0),N61/1,IF(AND(L61=0,N61=0),M61/1,IF(AND(M61=0,N61=0),L61/1,IF(L61=0,FLOOR((M61+N61)/2,0.1),IF(M61=0,(L61+N61)/2,IF(N61=0,(M61+L61)/2,FLOOR(((L61+M61+N61)/3),0.1))))))))</f>
        <v/>
      </c>
      <c r="P61" s="21" t="n"/>
      <c r="Q61" s="21" t="n"/>
      <c r="R61" s="27">
        <f>SUM(P61:Q61)</f>
        <v/>
      </c>
      <c r="S61" s="28" t="n"/>
      <c r="T61" s="28" t="n"/>
      <c r="U61" s="29">
        <f>IF(AND(R61=0,S61=0,T61=0),0,IF(AND(R61=0,S61=0),T61/1,IF(AND(R61=0,T61=0),S61/1,IF(AND(S61=0,T61=0),R61/1,IF(R61=0,FLOOR((S61+T61)/2,0.1),IF(S61=0,(R61+T61)/2,IF(T61=0,(S61+R61)/2,FLOOR(((R61+S61+T61)/3),0.1))))))))</f>
        <v/>
      </c>
      <c r="V61" s="21" t="n"/>
      <c r="W61" s="21" t="n"/>
      <c r="X61" s="27">
        <f>SUM(V61:W61)</f>
        <v/>
      </c>
      <c r="Y61" s="28" t="n"/>
      <c r="Z61" s="28" t="n"/>
      <c r="AA61" s="29">
        <f>IF(AND(X61=0,Y61=0,Z61=0),0,IF(AND(X61=0,Y61=0),Z61/1,IF(AND(X61=0,Z61=0),Y61/1,IF(AND(Y61=0,Z61=0),X61/1,IF(X61=0,FLOOR((Y61+Z61)/2,0.1),IF(Y61=0,(X61+Z61)/2,IF(Z61=0,(Y61+X61)/2,FLOOR(((X61+Y61+Z61)/3),0.1))))))))</f>
        <v/>
      </c>
      <c r="AB61" s="21" t="n"/>
      <c r="AC61" s="21" t="n"/>
      <c r="AD61" s="27">
        <f>SUM(AB61:AC61)</f>
        <v/>
      </c>
      <c r="AE61" s="28" t="n"/>
      <c r="AF61" s="28" t="n"/>
      <c r="AG61" s="29">
        <f>IF(AND(AD61=0,AE61=0,AF61=0),0,IF(AND(AD61=0,AE61=0),AF61/1,IF(AND(AD61=0,AF61=0),AE61/1,IF(AND(AE61=0,AF61=0),AD61/1,IF(AD61=0,FLOOR((AE61+AF61)/2,0.1),IF(AE61=0,(AD61+AF61)/2,IF(AF61=0,(AE61+AD61)/2,FLOOR(((AD61+AE61+AF61)/3),0.1))))))))</f>
        <v/>
      </c>
      <c r="AH61" s="21" t="n"/>
      <c r="AI61" s="21" t="n"/>
      <c r="AJ61" s="27">
        <f>SUM(AH61:AI61)</f>
        <v/>
      </c>
      <c r="AK61" s="28" t="n"/>
      <c r="AL61" s="28" t="n"/>
      <c r="AM61" s="29">
        <f>IF(AND(AJ61=0,AK61=0,AL61=0),0,IF(AND(AJ61=0,AK61=0),AL61/1,IF(AND(AJ61=0,AL61=0),AK61/1,IF(AND(AK61=0,AL61=0),AJ61/1,IF(AJ61=0,FLOOR((AK61+AL61)/2,0.1),IF(AK61=0,(AJ61+AL61)/2,IF(AL61=0,(AK61+AJ61)/2,FLOOR(((AJ61+AK61+AL61)/3),0.1))))))))</f>
        <v/>
      </c>
      <c r="AN61" s="21" t="n"/>
      <c r="AO61" s="21" t="n"/>
      <c r="AP61" s="27">
        <f>SUM(AN61:AO61)</f>
        <v/>
      </c>
      <c r="AQ61" s="28" t="n"/>
      <c r="AR61" s="30" t="n"/>
      <c r="AS61" s="29">
        <f>IF(AND(AP61=0,AQ61=0,AR61=0),0,IF(AND(AP61=0,AQ61=0),AR61/1,IF(AND(AP61=0,AR61=0),AQ61/1,IF(AND(AQ61=0,AR61=0),AP61/1,IF(AP61=0,FLOOR((AQ61+AR61)/2,0.1),IF(AQ61=0,(AP61+AR61)/2,IF(AR61=0,(AQ61+AP61)/2,FLOOR(((AP61+AQ61+AR61)/3),0.1))))))))</f>
        <v/>
      </c>
      <c r="AT61" s="21" t="n"/>
      <c r="AU61" s="21" t="n"/>
      <c r="AV61" s="27">
        <f>SUM(AT61:AU61)</f>
        <v/>
      </c>
      <c r="AW61" s="28" t="n"/>
      <c r="AX61" s="30" t="n"/>
      <c r="AY61" s="29">
        <f>IF(AND(AV61=0,AW61=0,AX61=0),0,IF(AND(AV61=0,AW61=0),AX61/1,IF(AND(AV61=0,AX61=0),AW61/1,IF(AND(AW61=0,AX61=0),AV61/1,IF(AV61=0,FLOOR((AW61+AX61)/2,0.1),IF(AW61=0,(AV61+AX61)/2,IF(AX61=0,(AW61+AV61)/2,FLOOR(((AV61+AW61+AX61)/3),0.1))))))))</f>
        <v/>
      </c>
      <c r="AZ61" s="21" t="n"/>
      <c r="BA61" s="21" t="n"/>
      <c r="BB61" s="27">
        <f>SUM(AZ61:BA61)</f>
        <v/>
      </c>
      <c r="BC61" s="28" t="n"/>
      <c r="BD61" s="28" t="n"/>
      <c r="BE61" s="29">
        <f>IF(AND(BB61=0,BC61=0,BD61=0),0,IF(AND(BB61=0,BC61=0),BD61/1,IF(AND(BB61=0,BD61=0),BC61/1,IF(AND(BC61=0,BD61=0),BB61/1,IF(BB61=0,FLOOR((BC61+BD61)/2,0.1),IF(BC61=0,(BB61+BD61)/2,IF(BD61=0,(BC61+BB61)/2,FLOOR(((BB61+BC61+BD61)/3),0.1))))))))</f>
        <v/>
      </c>
      <c r="BF61" s="21" t="n"/>
      <c r="BG61" s="21" t="n"/>
      <c r="BH61" s="27">
        <f>SUM(BF61:BG61)</f>
        <v/>
      </c>
      <c r="BI61" s="28" t="n"/>
      <c r="BJ61" s="28" t="n"/>
      <c r="BK61" s="29">
        <f>IF(AND(BH61=0,BI61=0,BJ61=0),0,IF(AND(BH61=0,BI61=0),BJ61/1,IF(AND(BH61=0,BJ61=0),BI61/1,IF(AND(BI61=0,BJ61=0),BH61/1,IF(BH61=0,FLOOR((BI61+BJ61)/2,0.1),IF(BI61=0,(BH61+BJ61)/2,IF(BJ61=0,(BI61+BH61)/2,FLOOR(((BH61+BI61+BJ61)/3),0.1))))))))</f>
        <v/>
      </c>
      <c r="BL61" s="21" t="n"/>
      <c r="BM61" s="21" t="n"/>
      <c r="BN61" s="27">
        <f>SUM(BL61:BM61)</f>
        <v/>
      </c>
      <c r="BO61" s="28" t="n"/>
      <c r="BP61" s="31" t="n"/>
      <c r="BQ61" s="29">
        <f>IF(AND(BN61=0,BO61=0,BP61=0),0,IF(AND(BN61=0,BO61=0),BP61/1,IF(AND(BN61=0,BP61=0),BO61/1,IF(AND(BO61=0,BP61=0),BN61/1,IF(BN61=0,FLOOR((BO61+BP61)/2,0.1),IF(BO61=0,(BN61+BP61)/2,IF(BP61=0,(BO61+BN61)/2,FLOOR(((BN61+BO61+BP61)/3),0.1))))))))</f>
        <v/>
      </c>
      <c r="BR61" s="21" t="n"/>
      <c r="BS61" s="21" t="n"/>
      <c r="BT61" s="27">
        <f>SUM(BR61:BS61)</f>
        <v/>
      </c>
      <c r="BU61" s="28" t="n"/>
      <c r="BV61" s="31" t="n"/>
      <c r="BW61" s="29">
        <f>IF(AND(BT61=0,BU61=0,BV61=0),0,IF(AND(BT61=0,BU61=0),BV61/1,IF(AND(BT61=0,BV61=0),BU61/1,IF(AND(BU61=0,BV61=0),BT61/1,IF(BT61=0,FLOOR((BU61+BV61)/2,0.1),IF(BU61=0,(BT61+BV61)/2,IF(BV61=0,(BU61+BT61)/2,FLOOR(((BT61+BU61+BV61)/3),0.1))))))))</f>
        <v/>
      </c>
      <c r="BX61" s="21" t="n"/>
      <c r="BY61" s="21" t="n"/>
      <c r="BZ61" s="27">
        <f>SUM(BX61:BY61)</f>
        <v/>
      </c>
      <c r="CA61" s="28" t="n"/>
      <c r="CB61" s="31" t="n"/>
      <c r="CC61" s="29">
        <f>IF(AND(BZ61=0,CA61=0,CB61=0),0,IF(AND(BZ61=0,CA61=0),CB61/1,IF(AND(BZ61=0,CB61=0),CA61/1,IF(AND(CA61=0,CB61=0),BZ61/1,IF(BZ61=0,FLOOR((CA61+CB61)/2,0.1),IF(CA61=0,(BZ61+CB61)/2,IF(CB61=0,(CA61+BZ61)/2,FLOOR(((BZ61+CA61+CB61)/3),0.1))))))))</f>
        <v/>
      </c>
      <c r="CD61" s="21" t="n"/>
      <c r="CE61" s="21" t="n"/>
      <c r="CF61" s="27">
        <f>SUM(CD61:CE61)</f>
        <v/>
      </c>
      <c r="CG61" s="28" t="n"/>
      <c r="CH61" s="31" t="n"/>
      <c r="CI61" s="29">
        <f>IF(AND(CF61=0,CG61=0,CH61=0),0,IF(AND(CF61=0,CG61=0),CH61/1,IF(AND(CF61=0,CH61=0),CG61/1,IF(AND(CG61=0,CH61=0),CF61/1,IF(CF61=0,FLOOR((CG61+CH61)/2,0.1),IF(CG61=0,(CF61+CH61)/2,IF(CH61=0,(CG61+CF61)/2,FLOOR(((CF61+CG61+CH61)/3),0.1))))))))</f>
        <v/>
      </c>
      <c r="CJ61" s="21" t="n"/>
      <c r="CK61" s="21" t="n"/>
      <c r="CL61" s="27">
        <f>SUM(CJ61:CK61)</f>
        <v/>
      </c>
      <c r="CM61" s="28" t="n"/>
      <c r="CN61" s="31" t="n"/>
      <c r="CO61" s="29">
        <f>IF(AND(CL61=0,CM61=0,CN61=0),0,IF(AND(CL61=0,CM61=0),CN61/1,IF(AND(CL61=0,CN61=0),CM61/1,IF(AND(CM61=0,CN61=0),CL61/1,IF(CL61=0,FLOOR((CM61+CN61)/2,0.1),IF(CM61=0,(CL61+CN61)/2,IF(CN61=0,(CM61+CL61)/2,FLOOR(((CL61+CM61+CN61)/3),0.1))))))))</f>
        <v/>
      </c>
      <c r="CP61" s="21" t="n"/>
      <c r="CQ61" s="21" t="n"/>
      <c r="CR61" s="27">
        <f>SUM(CP61:CQ61)</f>
        <v/>
      </c>
      <c r="CS61" s="28" t="n"/>
      <c r="CT61" s="31" t="n"/>
      <c r="CU61" s="29">
        <f>IF(AND(CR61=0,CS61=0,CT61=0),0,IF(AND(CR61=0,CS61=0),CT61/1,IF(AND(CR61=0,CT61=0),CS61/1,IF(AND(CS61=0,CT61=0),CR61/1,IF(CR61=0,FLOOR((CS61+CT61)/2,0.1),IF(CS61=0,(CR61+CT61)/2,IF(CT61=0,(CS61+CR61)/2,FLOOR(((CR61+CS61+CT61)/3),0.1))))))))</f>
        <v/>
      </c>
      <c r="CV61" s="21" t="n"/>
      <c r="CW61" s="21" t="n"/>
      <c r="CX61" s="27">
        <f>SUM(CV61:CW61)</f>
        <v/>
      </c>
      <c r="CY61" s="28" t="n"/>
      <c r="CZ61" s="31" t="n"/>
      <c r="DA61" s="29">
        <f>IF(AND(CX61=0,CY61=0,CZ61=0),0,IF(AND(CX61=0,CY61=0),CZ61/1,IF(AND(CX61=0,CZ61=0),CY61/1,IF(AND(CY61=0,CZ61=0),CX61/1,IF(CX61=0,FLOOR((CY61+CZ61)/2,0.1),IF(CY61=0,(CX61+CZ61)/2,IF(CZ61=0,(CY61+CX61)/2,FLOOR(((CX61+CY61+CZ61)/3),0.1))))))))</f>
        <v/>
      </c>
      <c r="DB61" s="21" t="n"/>
      <c r="DC61" s="21" t="n"/>
      <c r="DD61" s="27">
        <f>SUM(DB61:DC61)</f>
        <v/>
      </c>
      <c r="DE61" s="28" t="n"/>
      <c r="DF61" s="31" t="n"/>
      <c r="DG61" s="29">
        <f>IF(AND(DD61=0,DE61=0,DF61=0),0,IF(AND(DD61=0,DE61=0),DF61/1,IF(AND(DD61=0,DF61=0),DE61/1,IF(AND(DE61=0,DF61=0),DD61/1,IF(DD61=0,FLOOR((DE61+DF61)/2,0.1),IF(DE61=0,(DD61+DF61)/2,IF(DF61=0,(DE61+DD61)/2,FLOOR(((DD61+DE61+DF61)/3),0.1))))))))</f>
        <v/>
      </c>
      <c r="DH61" s="34">
        <f>SUM(O61,U61,AA61,AG61,AM61,AS61,AY61,BE61,BK61,BQ61,BW61,CC61,CI61,CO61,CU61,DA61,DG61)</f>
        <v/>
      </c>
      <c r="DI61" s="39">
        <f>RANK(DH61,DH$4:DH$503)</f>
        <v/>
      </c>
      <c r="DJ61" s="40" t="inlineStr">
        <is>
          <t>CHOOSE RATING</t>
        </is>
      </c>
      <c r="DK61" s="40" t="inlineStr">
        <is>
          <t>CHOOSE RATING</t>
        </is>
      </c>
      <c r="DL61" s="40" t="inlineStr">
        <is>
          <t>CHOOSE RATING</t>
        </is>
      </c>
      <c r="DM61" s="40" t="inlineStr">
        <is>
          <t>CHOOSE RATING</t>
        </is>
      </c>
      <c r="DN61" s="40" t="inlineStr">
        <is>
          <t>CHOOSE RATING</t>
        </is>
      </c>
      <c r="DO61" s="40" t="inlineStr">
        <is>
          <t>CHOOSE RATING</t>
        </is>
      </c>
      <c r="DP61" s="40" t="inlineStr">
        <is>
          <t>CHOOSE RATING</t>
        </is>
      </c>
      <c r="DQ61" s="40" t="inlineStr">
        <is>
          <t>CHOOSE RATING</t>
        </is>
      </c>
      <c r="DR61" s="43" t="inlineStr">
        <is>
          <t>2024/2025</t>
        </is>
      </c>
      <c r="DS61" s="45" t="inlineStr">
        <is>
          <t>THIRD</t>
        </is>
      </c>
      <c r="DT61" s="40" t="inlineStr">
        <is>
          <t>CHOOSE RATING</t>
        </is>
      </c>
      <c r="DU61" s="40" t="inlineStr">
        <is>
          <t>CHOOSE RATING</t>
        </is>
      </c>
      <c r="DV61" s="40" t="inlineStr">
        <is>
          <t>CHOOSE RATING</t>
        </is>
      </c>
      <c r="DW61" s="40" t="inlineStr">
        <is>
          <t>CHOOSE RATING</t>
        </is>
      </c>
      <c r="DX61" s="40" t="inlineStr">
        <is>
          <t>CHOOSE RATING</t>
        </is>
      </c>
      <c r="DY61" s="40" t="inlineStr">
        <is>
          <t>CHOOSE RATING</t>
        </is>
      </c>
      <c r="DZ61" s="53" t="inlineStr">
        <is>
          <t>CHOOSE RATING</t>
        </is>
      </c>
      <c r="EA61" s="54" t="inlineStr">
        <is>
          <t>Add the Tutor's Comment . . .</t>
        </is>
      </c>
      <c r="EB61" s="55" t="inlineStr">
        <is>
          <t>Choose Principals comment</t>
        </is>
      </c>
      <c r="EC61" s="56" t="n"/>
      <c r="ED61" s="57" t="inlineStr">
        <is>
          <t>Next Term Begins on Monday, 22nd September, 2025</t>
        </is>
      </c>
    </row>
    <row r="62" ht="30.6" customHeight="1" s="6">
      <c r="A62" s="18" t="n">
        <v>59</v>
      </c>
      <c r="B62" s="19" t="n"/>
      <c r="C62" s="20" t="n"/>
      <c r="D62" s="128" t="n"/>
      <c r="E62" s="21" t="n"/>
      <c r="F62" s="22" t="n"/>
      <c r="G62" s="22" t="n"/>
      <c r="H62" s="22" t="n"/>
      <c r="I62" s="26">
        <f>G62-H62</f>
        <v/>
      </c>
      <c r="J62" s="21" t="n"/>
      <c r="K62" s="21" t="n"/>
      <c r="L62" s="27">
        <f>SUM(J62:K62)</f>
        <v/>
      </c>
      <c r="M62" s="28" t="n"/>
      <c r="N62" s="28" t="n"/>
      <c r="O62" s="29">
        <f>IF(AND(L62=0,M62=0,N62=0),0,IF(AND(L62=0,M62=0),N62/1,IF(AND(L62=0,N62=0),M62/1,IF(AND(M62=0,N62=0),L62/1,IF(L62=0,FLOOR((M62+N62)/2,0.1),IF(M62=0,(L62+N62)/2,IF(N62=0,(M62+L62)/2,FLOOR(((L62+M62+N62)/3),0.1))))))))</f>
        <v/>
      </c>
      <c r="P62" s="21" t="n"/>
      <c r="Q62" s="21" t="n"/>
      <c r="R62" s="27">
        <f>SUM(P62:Q62)</f>
        <v/>
      </c>
      <c r="S62" s="28" t="n"/>
      <c r="T62" s="28" t="n"/>
      <c r="U62" s="29">
        <f>IF(AND(R62=0,S62=0,T62=0),0,IF(AND(R62=0,S62=0),T62/1,IF(AND(R62=0,T62=0),S62/1,IF(AND(S62=0,T62=0),R62/1,IF(R62=0,FLOOR((S62+T62)/2,0.1),IF(S62=0,(R62+T62)/2,IF(T62=0,(S62+R62)/2,FLOOR(((R62+S62+T62)/3),0.1))))))))</f>
        <v/>
      </c>
      <c r="V62" s="21" t="n"/>
      <c r="W62" s="21" t="n"/>
      <c r="X62" s="27">
        <f>SUM(V62:W62)</f>
        <v/>
      </c>
      <c r="Y62" s="28" t="n"/>
      <c r="Z62" s="28" t="n"/>
      <c r="AA62" s="29">
        <f>IF(AND(X62=0,Y62=0,Z62=0),0,IF(AND(X62=0,Y62=0),Z62/1,IF(AND(X62=0,Z62=0),Y62/1,IF(AND(Y62=0,Z62=0),X62/1,IF(X62=0,FLOOR((Y62+Z62)/2,0.1),IF(Y62=0,(X62+Z62)/2,IF(Z62=0,(Y62+X62)/2,FLOOR(((X62+Y62+Z62)/3),0.1))))))))</f>
        <v/>
      </c>
      <c r="AB62" s="21" t="n"/>
      <c r="AC62" s="21" t="n"/>
      <c r="AD62" s="27">
        <f>SUM(AB62:AC62)</f>
        <v/>
      </c>
      <c r="AE62" s="28" t="n"/>
      <c r="AF62" s="28" t="n"/>
      <c r="AG62" s="29">
        <f>IF(AND(AD62=0,AE62=0,AF62=0),0,IF(AND(AD62=0,AE62=0),AF62/1,IF(AND(AD62=0,AF62=0),AE62/1,IF(AND(AE62=0,AF62=0),AD62/1,IF(AD62=0,FLOOR((AE62+AF62)/2,0.1),IF(AE62=0,(AD62+AF62)/2,IF(AF62=0,(AE62+AD62)/2,FLOOR(((AD62+AE62+AF62)/3),0.1))))))))</f>
        <v/>
      </c>
      <c r="AH62" s="21" t="n"/>
      <c r="AI62" s="21" t="n"/>
      <c r="AJ62" s="27">
        <f>SUM(AH62:AI62)</f>
        <v/>
      </c>
      <c r="AK62" s="28" t="n"/>
      <c r="AL62" s="28" t="n"/>
      <c r="AM62" s="29">
        <f>IF(AND(AJ62=0,AK62=0,AL62=0),0,IF(AND(AJ62=0,AK62=0),AL62/1,IF(AND(AJ62=0,AL62=0),AK62/1,IF(AND(AK62=0,AL62=0),AJ62/1,IF(AJ62=0,FLOOR((AK62+AL62)/2,0.1),IF(AK62=0,(AJ62+AL62)/2,IF(AL62=0,(AK62+AJ62)/2,FLOOR(((AJ62+AK62+AL62)/3),0.1))))))))</f>
        <v/>
      </c>
      <c r="AN62" s="21" t="n"/>
      <c r="AO62" s="21" t="n"/>
      <c r="AP62" s="27">
        <f>SUM(AN62:AO62)</f>
        <v/>
      </c>
      <c r="AQ62" s="28" t="n"/>
      <c r="AR62" s="30" t="n"/>
      <c r="AS62" s="29">
        <f>IF(AND(AP62=0,AQ62=0,AR62=0),0,IF(AND(AP62=0,AQ62=0),AR62/1,IF(AND(AP62=0,AR62=0),AQ62/1,IF(AND(AQ62=0,AR62=0),AP62/1,IF(AP62=0,FLOOR((AQ62+AR62)/2,0.1),IF(AQ62=0,(AP62+AR62)/2,IF(AR62=0,(AQ62+AP62)/2,FLOOR(((AP62+AQ62+AR62)/3),0.1))))))))</f>
        <v/>
      </c>
      <c r="AT62" s="21" t="n"/>
      <c r="AU62" s="21" t="n"/>
      <c r="AV62" s="27">
        <f>SUM(AT62:AU62)</f>
        <v/>
      </c>
      <c r="AW62" s="28" t="n"/>
      <c r="AX62" s="30" t="n"/>
      <c r="AY62" s="29">
        <f>IF(AND(AV62=0,AW62=0,AX62=0),0,IF(AND(AV62=0,AW62=0),AX62/1,IF(AND(AV62=0,AX62=0),AW62/1,IF(AND(AW62=0,AX62=0),AV62/1,IF(AV62=0,FLOOR((AW62+AX62)/2,0.1),IF(AW62=0,(AV62+AX62)/2,IF(AX62=0,(AW62+AV62)/2,FLOOR(((AV62+AW62+AX62)/3),0.1))))))))</f>
        <v/>
      </c>
      <c r="AZ62" s="21" t="n"/>
      <c r="BA62" s="21" t="n"/>
      <c r="BB62" s="27">
        <f>SUM(AZ62:BA62)</f>
        <v/>
      </c>
      <c r="BC62" s="28" t="n"/>
      <c r="BD62" s="28" t="n"/>
      <c r="BE62" s="29">
        <f>IF(AND(BB62=0,BC62=0,BD62=0),0,IF(AND(BB62=0,BC62=0),BD62/1,IF(AND(BB62=0,BD62=0),BC62/1,IF(AND(BC62=0,BD62=0),BB62/1,IF(BB62=0,FLOOR((BC62+BD62)/2,0.1),IF(BC62=0,(BB62+BD62)/2,IF(BD62=0,(BC62+BB62)/2,FLOOR(((BB62+BC62+BD62)/3),0.1))))))))</f>
        <v/>
      </c>
      <c r="BF62" s="21" t="n"/>
      <c r="BG62" s="21" t="n"/>
      <c r="BH62" s="27">
        <f>SUM(BF62:BG62)</f>
        <v/>
      </c>
      <c r="BI62" s="28" t="n"/>
      <c r="BJ62" s="28" t="n"/>
      <c r="BK62" s="29">
        <f>IF(AND(BH62=0,BI62=0,BJ62=0),0,IF(AND(BH62=0,BI62=0),BJ62/1,IF(AND(BH62=0,BJ62=0),BI62/1,IF(AND(BI62=0,BJ62=0),BH62/1,IF(BH62=0,FLOOR((BI62+BJ62)/2,0.1),IF(BI62=0,(BH62+BJ62)/2,IF(BJ62=0,(BI62+BH62)/2,FLOOR(((BH62+BI62+BJ62)/3),0.1))))))))</f>
        <v/>
      </c>
      <c r="BL62" s="21" t="n"/>
      <c r="BM62" s="21" t="n"/>
      <c r="BN62" s="27">
        <f>SUM(BL62:BM62)</f>
        <v/>
      </c>
      <c r="BO62" s="28" t="n"/>
      <c r="BP62" s="31" t="n"/>
      <c r="BQ62" s="29">
        <f>IF(AND(BN62=0,BO62=0,BP62=0),0,IF(AND(BN62=0,BO62=0),BP62/1,IF(AND(BN62=0,BP62=0),BO62/1,IF(AND(BO62=0,BP62=0),BN62/1,IF(BN62=0,FLOOR((BO62+BP62)/2,0.1),IF(BO62=0,(BN62+BP62)/2,IF(BP62=0,(BO62+BN62)/2,FLOOR(((BN62+BO62+BP62)/3),0.1))))))))</f>
        <v/>
      </c>
      <c r="BR62" s="21" t="n"/>
      <c r="BS62" s="21" t="n"/>
      <c r="BT62" s="27">
        <f>SUM(BR62:BS62)</f>
        <v/>
      </c>
      <c r="BU62" s="28" t="n"/>
      <c r="BV62" s="31" t="n"/>
      <c r="BW62" s="29">
        <f>IF(AND(BT62=0,BU62=0,BV62=0),0,IF(AND(BT62=0,BU62=0),BV62/1,IF(AND(BT62=0,BV62=0),BU62/1,IF(AND(BU62=0,BV62=0),BT62/1,IF(BT62=0,FLOOR((BU62+BV62)/2,0.1),IF(BU62=0,(BT62+BV62)/2,IF(BV62=0,(BU62+BT62)/2,FLOOR(((BT62+BU62+BV62)/3),0.1))))))))</f>
        <v/>
      </c>
      <c r="BX62" s="21" t="n"/>
      <c r="BY62" s="21" t="n"/>
      <c r="BZ62" s="27">
        <f>SUM(BX62:BY62)</f>
        <v/>
      </c>
      <c r="CA62" s="28" t="n"/>
      <c r="CB62" s="31" t="n"/>
      <c r="CC62" s="29">
        <f>IF(AND(BZ62=0,CA62=0,CB62=0),0,IF(AND(BZ62=0,CA62=0),CB62/1,IF(AND(BZ62=0,CB62=0),CA62/1,IF(AND(CA62=0,CB62=0),BZ62/1,IF(BZ62=0,FLOOR((CA62+CB62)/2,0.1),IF(CA62=0,(BZ62+CB62)/2,IF(CB62=0,(CA62+BZ62)/2,FLOOR(((BZ62+CA62+CB62)/3),0.1))))))))</f>
        <v/>
      </c>
      <c r="CD62" s="21" t="n"/>
      <c r="CE62" s="21" t="n"/>
      <c r="CF62" s="27">
        <f>SUM(CD62:CE62)</f>
        <v/>
      </c>
      <c r="CG62" s="28" t="n"/>
      <c r="CH62" s="31" t="n"/>
      <c r="CI62" s="29">
        <f>IF(AND(CF62=0,CG62=0,CH62=0),0,IF(AND(CF62=0,CG62=0),CH62/1,IF(AND(CF62=0,CH62=0),CG62/1,IF(AND(CG62=0,CH62=0),CF62/1,IF(CF62=0,FLOOR((CG62+CH62)/2,0.1),IF(CG62=0,(CF62+CH62)/2,IF(CH62=0,(CG62+CF62)/2,FLOOR(((CF62+CG62+CH62)/3),0.1))))))))</f>
        <v/>
      </c>
      <c r="CJ62" s="21" t="n"/>
      <c r="CK62" s="21" t="n"/>
      <c r="CL62" s="27">
        <f>SUM(CJ62:CK62)</f>
        <v/>
      </c>
      <c r="CM62" s="28" t="n"/>
      <c r="CN62" s="31" t="n"/>
      <c r="CO62" s="29">
        <f>IF(AND(CL62=0,CM62=0,CN62=0),0,IF(AND(CL62=0,CM62=0),CN62/1,IF(AND(CL62=0,CN62=0),CM62/1,IF(AND(CM62=0,CN62=0),CL62/1,IF(CL62=0,FLOOR((CM62+CN62)/2,0.1),IF(CM62=0,(CL62+CN62)/2,IF(CN62=0,(CM62+CL62)/2,FLOOR(((CL62+CM62+CN62)/3),0.1))))))))</f>
        <v/>
      </c>
      <c r="CP62" s="21" t="n"/>
      <c r="CQ62" s="21" t="n"/>
      <c r="CR62" s="27">
        <f>SUM(CP62:CQ62)</f>
        <v/>
      </c>
      <c r="CS62" s="28" t="n"/>
      <c r="CT62" s="31" t="n"/>
      <c r="CU62" s="29">
        <f>IF(AND(CR62=0,CS62=0,CT62=0),0,IF(AND(CR62=0,CS62=0),CT62/1,IF(AND(CR62=0,CT62=0),CS62/1,IF(AND(CS62=0,CT62=0),CR62/1,IF(CR62=0,FLOOR((CS62+CT62)/2,0.1),IF(CS62=0,(CR62+CT62)/2,IF(CT62=0,(CS62+CR62)/2,FLOOR(((CR62+CS62+CT62)/3),0.1))))))))</f>
        <v/>
      </c>
      <c r="CV62" s="21" t="n"/>
      <c r="CW62" s="21" t="n"/>
      <c r="CX62" s="27">
        <f>SUM(CV62:CW62)</f>
        <v/>
      </c>
      <c r="CY62" s="28" t="n"/>
      <c r="CZ62" s="31" t="n"/>
      <c r="DA62" s="29">
        <f>IF(AND(CX62=0,CY62=0,CZ62=0),0,IF(AND(CX62=0,CY62=0),CZ62/1,IF(AND(CX62=0,CZ62=0),CY62/1,IF(AND(CY62=0,CZ62=0),CX62/1,IF(CX62=0,FLOOR((CY62+CZ62)/2,0.1),IF(CY62=0,(CX62+CZ62)/2,IF(CZ62=0,(CY62+CX62)/2,FLOOR(((CX62+CY62+CZ62)/3),0.1))))))))</f>
        <v/>
      </c>
      <c r="DB62" s="21" t="n"/>
      <c r="DC62" s="21" t="n"/>
      <c r="DD62" s="27">
        <f>SUM(DB62:DC62)</f>
        <v/>
      </c>
      <c r="DE62" s="28" t="n"/>
      <c r="DF62" s="31" t="n"/>
      <c r="DG62" s="29">
        <f>IF(AND(DD62=0,DE62=0,DF62=0),0,IF(AND(DD62=0,DE62=0),DF62/1,IF(AND(DD62=0,DF62=0),DE62/1,IF(AND(DE62=0,DF62=0),DD62/1,IF(DD62=0,FLOOR((DE62+DF62)/2,0.1),IF(DE62=0,(DD62+DF62)/2,IF(DF62=0,(DE62+DD62)/2,FLOOR(((DD62+DE62+DF62)/3),0.1))))))))</f>
        <v/>
      </c>
      <c r="DH62" s="34">
        <f>SUM(O62,U62,AA62,AG62,AM62,AS62,AY62,BE62,BK62,BQ62,BW62,CC62,CI62,CO62,CU62,DA62,DG62)</f>
        <v/>
      </c>
      <c r="DI62" s="39">
        <f>RANK(DH62,DH$4:DH$503)</f>
        <v/>
      </c>
      <c r="DJ62" s="40" t="inlineStr">
        <is>
          <t>CHOOSE RATING</t>
        </is>
      </c>
      <c r="DK62" s="40" t="inlineStr">
        <is>
          <t>CHOOSE RATING</t>
        </is>
      </c>
      <c r="DL62" s="40" t="inlineStr">
        <is>
          <t>CHOOSE RATING</t>
        </is>
      </c>
      <c r="DM62" s="40" t="inlineStr">
        <is>
          <t>CHOOSE RATING</t>
        </is>
      </c>
      <c r="DN62" s="40" t="inlineStr">
        <is>
          <t>CHOOSE RATING</t>
        </is>
      </c>
      <c r="DO62" s="40" t="inlineStr">
        <is>
          <t>CHOOSE RATING</t>
        </is>
      </c>
      <c r="DP62" s="40" t="inlineStr">
        <is>
          <t>CHOOSE RATING</t>
        </is>
      </c>
      <c r="DQ62" s="40" t="inlineStr">
        <is>
          <t>CHOOSE RATING</t>
        </is>
      </c>
      <c r="DR62" s="43" t="inlineStr">
        <is>
          <t>2024/2025</t>
        </is>
      </c>
      <c r="DS62" s="45" t="inlineStr">
        <is>
          <t>THIRD</t>
        </is>
      </c>
      <c r="DT62" s="40" t="inlineStr">
        <is>
          <t>CHOOSE RATING</t>
        </is>
      </c>
      <c r="DU62" s="40" t="inlineStr">
        <is>
          <t>CHOOSE RATING</t>
        </is>
      </c>
      <c r="DV62" s="40" t="inlineStr">
        <is>
          <t>CHOOSE RATING</t>
        </is>
      </c>
      <c r="DW62" s="40" t="inlineStr">
        <is>
          <t>CHOOSE RATING</t>
        </is>
      </c>
      <c r="DX62" s="40" t="inlineStr">
        <is>
          <t>CHOOSE RATING</t>
        </is>
      </c>
      <c r="DY62" s="40" t="inlineStr">
        <is>
          <t>CHOOSE RATING</t>
        </is>
      </c>
      <c r="DZ62" s="53" t="inlineStr">
        <is>
          <t>CHOOSE RATING</t>
        </is>
      </c>
      <c r="EA62" s="54" t="inlineStr">
        <is>
          <t>Add the Tutor's Comment . . .</t>
        </is>
      </c>
      <c r="EB62" s="55" t="inlineStr">
        <is>
          <t>Choose Principals comment</t>
        </is>
      </c>
      <c r="EC62" s="56" t="n"/>
      <c r="ED62" s="57" t="inlineStr">
        <is>
          <t>Next Term Begins on Monday, 22nd September, 2025</t>
        </is>
      </c>
    </row>
    <row r="63" ht="30.6" customHeight="1" s="6">
      <c r="A63" s="18" t="n">
        <v>60</v>
      </c>
      <c r="B63" s="19" t="n"/>
      <c r="C63" s="20" t="n"/>
      <c r="D63" s="128" t="n"/>
      <c r="E63" s="21" t="n"/>
      <c r="F63" s="22" t="n"/>
      <c r="G63" s="22" t="n"/>
      <c r="H63" s="22" t="n"/>
      <c r="I63" s="26">
        <f>G63-H63</f>
        <v/>
      </c>
      <c r="J63" s="21" t="n"/>
      <c r="K63" s="21" t="n"/>
      <c r="L63" s="27">
        <f>SUM(J63:K63)</f>
        <v/>
      </c>
      <c r="M63" s="28" t="n"/>
      <c r="N63" s="28" t="n"/>
      <c r="O63" s="29">
        <f>IF(AND(L63=0,M63=0,N63=0),0,IF(AND(L63=0,M63=0),N63/1,IF(AND(L63=0,N63=0),M63/1,IF(AND(M63=0,N63=0),L63/1,IF(L63=0,FLOOR((M63+N63)/2,0.1),IF(M63=0,(L63+N63)/2,IF(N63=0,(M63+L63)/2,FLOOR(((L63+M63+N63)/3),0.1))))))))</f>
        <v/>
      </c>
      <c r="P63" s="21" t="n"/>
      <c r="Q63" s="21" t="n"/>
      <c r="R63" s="27">
        <f>SUM(P63:Q63)</f>
        <v/>
      </c>
      <c r="S63" s="28" t="n"/>
      <c r="T63" s="28" t="n"/>
      <c r="U63" s="29">
        <f>IF(AND(R63=0,S63=0,T63=0),0,IF(AND(R63=0,S63=0),T63/1,IF(AND(R63=0,T63=0),S63/1,IF(AND(S63=0,T63=0),R63/1,IF(R63=0,FLOOR((S63+T63)/2,0.1),IF(S63=0,(R63+T63)/2,IF(T63=0,(S63+R63)/2,FLOOR(((R63+S63+T63)/3),0.1))))))))</f>
        <v/>
      </c>
      <c r="V63" s="21" t="n"/>
      <c r="W63" s="21" t="n"/>
      <c r="X63" s="27">
        <f>SUM(V63:W63)</f>
        <v/>
      </c>
      <c r="Y63" s="28" t="n"/>
      <c r="Z63" s="28" t="n"/>
      <c r="AA63" s="29">
        <f>IF(AND(X63=0,Y63=0,Z63=0),0,IF(AND(X63=0,Y63=0),Z63/1,IF(AND(X63=0,Z63=0),Y63/1,IF(AND(Y63=0,Z63=0),X63/1,IF(X63=0,FLOOR((Y63+Z63)/2,0.1),IF(Y63=0,(X63+Z63)/2,IF(Z63=0,(Y63+X63)/2,FLOOR(((X63+Y63+Z63)/3),0.1))))))))</f>
        <v/>
      </c>
      <c r="AB63" s="21" t="n"/>
      <c r="AC63" s="21" t="n"/>
      <c r="AD63" s="27">
        <f>SUM(AB63:AC63)</f>
        <v/>
      </c>
      <c r="AE63" s="28" t="n"/>
      <c r="AF63" s="28" t="n"/>
      <c r="AG63" s="29">
        <f>IF(AND(AD63=0,AE63=0,AF63=0),0,IF(AND(AD63=0,AE63=0),AF63/1,IF(AND(AD63=0,AF63=0),AE63/1,IF(AND(AE63=0,AF63=0),AD63/1,IF(AD63=0,FLOOR((AE63+AF63)/2,0.1),IF(AE63=0,(AD63+AF63)/2,IF(AF63=0,(AE63+AD63)/2,FLOOR(((AD63+AE63+AF63)/3),0.1))))))))</f>
        <v/>
      </c>
      <c r="AH63" s="21" t="n"/>
      <c r="AI63" s="21" t="n"/>
      <c r="AJ63" s="27">
        <f>SUM(AH63:AI63)</f>
        <v/>
      </c>
      <c r="AK63" s="28" t="n"/>
      <c r="AL63" s="28" t="n"/>
      <c r="AM63" s="29">
        <f>IF(AND(AJ63=0,AK63=0,AL63=0),0,IF(AND(AJ63=0,AK63=0),AL63/1,IF(AND(AJ63=0,AL63=0),AK63/1,IF(AND(AK63=0,AL63=0),AJ63/1,IF(AJ63=0,FLOOR((AK63+AL63)/2,0.1),IF(AK63=0,(AJ63+AL63)/2,IF(AL63=0,(AK63+AJ63)/2,FLOOR(((AJ63+AK63+AL63)/3),0.1))))))))</f>
        <v/>
      </c>
      <c r="AN63" s="21" t="n"/>
      <c r="AO63" s="21" t="n"/>
      <c r="AP63" s="27">
        <f>SUM(AN63:AO63)</f>
        <v/>
      </c>
      <c r="AQ63" s="28" t="n"/>
      <c r="AR63" s="30" t="n"/>
      <c r="AS63" s="29">
        <f>IF(AND(AP63=0,AQ63=0,AR63=0),0,IF(AND(AP63=0,AQ63=0),AR63/1,IF(AND(AP63=0,AR63=0),AQ63/1,IF(AND(AQ63=0,AR63=0),AP63/1,IF(AP63=0,FLOOR((AQ63+AR63)/2,0.1),IF(AQ63=0,(AP63+AR63)/2,IF(AR63=0,(AQ63+AP63)/2,FLOOR(((AP63+AQ63+AR63)/3),0.1))))))))</f>
        <v/>
      </c>
      <c r="AT63" s="21" t="n"/>
      <c r="AU63" s="21" t="n"/>
      <c r="AV63" s="27">
        <f>SUM(AT63:AU63)</f>
        <v/>
      </c>
      <c r="AW63" s="28" t="n"/>
      <c r="AX63" s="30" t="n"/>
      <c r="AY63" s="29">
        <f>IF(AND(AV63=0,AW63=0,AX63=0),0,IF(AND(AV63=0,AW63=0),AX63/1,IF(AND(AV63=0,AX63=0),AW63/1,IF(AND(AW63=0,AX63=0),AV63/1,IF(AV63=0,FLOOR((AW63+AX63)/2,0.1),IF(AW63=0,(AV63+AX63)/2,IF(AX63=0,(AW63+AV63)/2,FLOOR(((AV63+AW63+AX63)/3),0.1))))))))</f>
        <v/>
      </c>
      <c r="AZ63" s="21" t="n"/>
      <c r="BA63" s="21" t="n"/>
      <c r="BB63" s="27">
        <f>SUM(AZ63:BA63)</f>
        <v/>
      </c>
      <c r="BC63" s="28" t="n"/>
      <c r="BD63" s="28" t="n"/>
      <c r="BE63" s="29">
        <f>IF(AND(BB63=0,BC63=0,BD63=0),0,IF(AND(BB63=0,BC63=0),BD63/1,IF(AND(BB63=0,BD63=0),BC63/1,IF(AND(BC63=0,BD63=0),BB63/1,IF(BB63=0,FLOOR((BC63+BD63)/2,0.1),IF(BC63=0,(BB63+BD63)/2,IF(BD63=0,(BC63+BB63)/2,FLOOR(((BB63+BC63+BD63)/3),0.1))))))))</f>
        <v/>
      </c>
      <c r="BF63" s="21" t="n"/>
      <c r="BG63" s="21" t="n"/>
      <c r="BH63" s="27">
        <f>SUM(BF63:BG63)</f>
        <v/>
      </c>
      <c r="BI63" s="28" t="n"/>
      <c r="BJ63" s="28" t="n"/>
      <c r="BK63" s="29">
        <f>IF(AND(BH63=0,BI63=0,BJ63=0),0,IF(AND(BH63=0,BI63=0),BJ63/1,IF(AND(BH63=0,BJ63=0),BI63/1,IF(AND(BI63=0,BJ63=0),BH63/1,IF(BH63=0,FLOOR((BI63+BJ63)/2,0.1),IF(BI63=0,(BH63+BJ63)/2,IF(BJ63=0,(BI63+BH63)/2,FLOOR(((BH63+BI63+BJ63)/3),0.1))))))))</f>
        <v/>
      </c>
      <c r="BL63" s="21" t="n"/>
      <c r="BM63" s="21" t="n"/>
      <c r="BN63" s="27">
        <f>SUM(BL63:BM63)</f>
        <v/>
      </c>
      <c r="BO63" s="28" t="n"/>
      <c r="BP63" s="31" t="n"/>
      <c r="BQ63" s="29">
        <f>IF(AND(BN63=0,BO63=0,BP63=0),0,IF(AND(BN63=0,BO63=0),BP63/1,IF(AND(BN63=0,BP63=0),BO63/1,IF(AND(BO63=0,BP63=0),BN63/1,IF(BN63=0,FLOOR((BO63+BP63)/2,0.1),IF(BO63=0,(BN63+BP63)/2,IF(BP63=0,(BO63+BN63)/2,FLOOR(((BN63+BO63+BP63)/3),0.1))))))))</f>
        <v/>
      </c>
      <c r="BR63" s="21" t="n"/>
      <c r="BS63" s="21" t="n"/>
      <c r="BT63" s="27">
        <f>SUM(BR63:BS63)</f>
        <v/>
      </c>
      <c r="BU63" s="28" t="n"/>
      <c r="BV63" s="31" t="n"/>
      <c r="BW63" s="29">
        <f>IF(AND(BT63=0,BU63=0,BV63=0),0,IF(AND(BT63=0,BU63=0),BV63/1,IF(AND(BT63=0,BV63=0),BU63/1,IF(AND(BU63=0,BV63=0),BT63/1,IF(BT63=0,FLOOR((BU63+BV63)/2,0.1),IF(BU63=0,(BT63+BV63)/2,IF(BV63=0,(BU63+BT63)/2,FLOOR(((BT63+BU63+BV63)/3),0.1))))))))</f>
        <v/>
      </c>
      <c r="BX63" s="21" t="n"/>
      <c r="BY63" s="21" t="n"/>
      <c r="BZ63" s="27">
        <f>SUM(BX63:BY63)</f>
        <v/>
      </c>
      <c r="CA63" s="28" t="n"/>
      <c r="CB63" s="31" t="n"/>
      <c r="CC63" s="29">
        <f>IF(AND(BZ63=0,CA63=0,CB63=0),0,IF(AND(BZ63=0,CA63=0),CB63/1,IF(AND(BZ63=0,CB63=0),CA63/1,IF(AND(CA63=0,CB63=0),BZ63/1,IF(BZ63=0,FLOOR((CA63+CB63)/2,0.1),IF(CA63=0,(BZ63+CB63)/2,IF(CB63=0,(CA63+BZ63)/2,FLOOR(((BZ63+CA63+CB63)/3),0.1))))))))</f>
        <v/>
      </c>
      <c r="CD63" s="21" t="n"/>
      <c r="CE63" s="21" t="n"/>
      <c r="CF63" s="27">
        <f>SUM(CD63:CE63)</f>
        <v/>
      </c>
      <c r="CG63" s="28" t="n"/>
      <c r="CH63" s="31" t="n"/>
      <c r="CI63" s="29">
        <f>IF(AND(CF63=0,CG63=0,CH63=0),0,IF(AND(CF63=0,CG63=0),CH63/1,IF(AND(CF63=0,CH63=0),CG63/1,IF(AND(CG63=0,CH63=0),CF63/1,IF(CF63=0,FLOOR((CG63+CH63)/2,0.1),IF(CG63=0,(CF63+CH63)/2,IF(CH63=0,(CG63+CF63)/2,FLOOR(((CF63+CG63+CH63)/3),0.1))))))))</f>
        <v/>
      </c>
      <c r="CJ63" s="21" t="n"/>
      <c r="CK63" s="21" t="n"/>
      <c r="CL63" s="27">
        <f>SUM(CJ63:CK63)</f>
        <v/>
      </c>
      <c r="CM63" s="28" t="n"/>
      <c r="CN63" s="31" t="n"/>
      <c r="CO63" s="29">
        <f>IF(AND(CL63=0,CM63=0,CN63=0),0,IF(AND(CL63=0,CM63=0),CN63/1,IF(AND(CL63=0,CN63=0),CM63/1,IF(AND(CM63=0,CN63=0),CL63/1,IF(CL63=0,FLOOR((CM63+CN63)/2,0.1),IF(CM63=0,(CL63+CN63)/2,IF(CN63=0,(CM63+CL63)/2,FLOOR(((CL63+CM63+CN63)/3),0.1))))))))</f>
        <v/>
      </c>
      <c r="CP63" s="21" t="n"/>
      <c r="CQ63" s="21" t="n"/>
      <c r="CR63" s="27">
        <f>SUM(CP63:CQ63)</f>
        <v/>
      </c>
      <c r="CS63" s="28" t="n"/>
      <c r="CT63" s="31" t="n"/>
      <c r="CU63" s="29">
        <f>IF(AND(CR63=0,CS63=0,CT63=0),0,IF(AND(CR63=0,CS63=0),CT63/1,IF(AND(CR63=0,CT63=0),CS63/1,IF(AND(CS63=0,CT63=0),CR63/1,IF(CR63=0,FLOOR((CS63+CT63)/2,0.1),IF(CS63=0,(CR63+CT63)/2,IF(CT63=0,(CS63+CR63)/2,FLOOR(((CR63+CS63+CT63)/3),0.1))))))))</f>
        <v/>
      </c>
      <c r="CV63" s="21" t="n"/>
      <c r="CW63" s="21" t="n"/>
      <c r="CX63" s="27">
        <f>SUM(CV63:CW63)</f>
        <v/>
      </c>
      <c r="CY63" s="28" t="n"/>
      <c r="CZ63" s="31" t="n"/>
      <c r="DA63" s="29">
        <f>IF(AND(CX63=0,CY63=0,CZ63=0),0,IF(AND(CX63=0,CY63=0),CZ63/1,IF(AND(CX63=0,CZ63=0),CY63/1,IF(AND(CY63=0,CZ63=0),CX63/1,IF(CX63=0,FLOOR((CY63+CZ63)/2,0.1),IF(CY63=0,(CX63+CZ63)/2,IF(CZ63=0,(CY63+CX63)/2,FLOOR(((CX63+CY63+CZ63)/3),0.1))))))))</f>
        <v/>
      </c>
      <c r="DB63" s="21" t="n"/>
      <c r="DC63" s="21" t="n"/>
      <c r="DD63" s="27">
        <f>SUM(DB63:DC63)</f>
        <v/>
      </c>
      <c r="DE63" s="28" t="n"/>
      <c r="DF63" s="31" t="n"/>
      <c r="DG63" s="29">
        <f>IF(AND(DD63=0,DE63=0,DF63=0),0,IF(AND(DD63=0,DE63=0),DF63/1,IF(AND(DD63=0,DF63=0),DE63/1,IF(AND(DE63=0,DF63=0),DD63/1,IF(DD63=0,FLOOR((DE63+DF63)/2,0.1),IF(DE63=0,(DD63+DF63)/2,IF(DF63=0,(DE63+DD63)/2,FLOOR(((DD63+DE63+DF63)/3),0.1))))))))</f>
        <v/>
      </c>
      <c r="DH63" s="34">
        <f>SUM(O63,U63,AA63,AG63,AM63,AS63,AY63,BE63,BK63,BQ63,BW63,CC63,CI63,CO63,CU63,DA63,DG63)</f>
        <v/>
      </c>
      <c r="DI63" s="39">
        <f>RANK(DH63,DH$4:DH$503)</f>
        <v/>
      </c>
      <c r="DJ63" s="40" t="inlineStr">
        <is>
          <t>CHOOSE RATING</t>
        </is>
      </c>
      <c r="DK63" s="40" t="inlineStr">
        <is>
          <t>CHOOSE RATING</t>
        </is>
      </c>
      <c r="DL63" s="40" t="inlineStr">
        <is>
          <t>CHOOSE RATING</t>
        </is>
      </c>
      <c r="DM63" s="40" t="inlineStr">
        <is>
          <t>CHOOSE RATING</t>
        </is>
      </c>
      <c r="DN63" s="40" t="inlineStr">
        <is>
          <t>CHOOSE RATING</t>
        </is>
      </c>
      <c r="DO63" s="40" t="inlineStr">
        <is>
          <t>CHOOSE RATING</t>
        </is>
      </c>
      <c r="DP63" s="40" t="inlineStr">
        <is>
          <t>CHOOSE RATING</t>
        </is>
      </c>
      <c r="DQ63" s="40" t="inlineStr">
        <is>
          <t>CHOOSE RATING</t>
        </is>
      </c>
      <c r="DR63" s="43" t="inlineStr">
        <is>
          <t>2024/2025</t>
        </is>
      </c>
      <c r="DS63" s="45" t="inlineStr">
        <is>
          <t>THIRD</t>
        </is>
      </c>
      <c r="DT63" s="40" t="inlineStr">
        <is>
          <t>CHOOSE RATING</t>
        </is>
      </c>
      <c r="DU63" s="40" t="inlineStr">
        <is>
          <t>CHOOSE RATING</t>
        </is>
      </c>
      <c r="DV63" s="40" t="inlineStr">
        <is>
          <t>CHOOSE RATING</t>
        </is>
      </c>
      <c r="DW63" s="40" t="inlineStr">
        <is>
          <t>CHOOSE RATING</t>
        </is>
      </c>
      <c r="DX63" s="40" t="inlineStr">
        <is>
          <t>CHOOSE RATING</t>
        </is>
      </c>
      <c r="DY63" s="40" t="inlineStr">
        <is>
          <t>CHOOSE RATING</t>
        </is>
      </c>
      <c r="DZ63" s="53" t="inlineStr">
        <is>
          <t>CHOOSE RATING</t>
        </is>
      </c>
      <c r="EA63" s="54" t="inlineStr">
        <is>
          <t>Add the Tutor's Comment . . .</t>
        </is>
      </c>
      <c r="EB63" s="55" t="inlineStr">
        <is>
          <t>Choose Principals comment</t>
        </is>
      </c>
      <c r="EC63" s="56" t="n"/>
      <c r="ED63" s="57" t="inlineStr">
        <is>
          <t>Next Term Begins on Monday, 22nd September, 2025</t>
        </is>
      </c>
    </row>
    <row r="64" ht="30.6" customHeight="1" s="6">
      <c r="A64" s="18" t="n">
        <v>61</v>
      </c>
      <c r="B64" s="19" t="n"/>
      <c r="C64" s="20" t="n"/>
      <c r="D64" s="128" t="n"/>
      <c r="E64" s="21" t="n"/>
      <c r="F64" s="22" t="n"/>
      <c r="G64" s="22" t="n"/>
      <c r="H64" s="22" t="n"/>
      <c r="I64" s="26">
        <f>G64-H64</f>
        <v/>
      </c>
      <c r="J64" s="21" t="n"/>
      <c r="K64" s="21" t="n"/>
      <c r="L64" s="27">
        <f>SUM(J64:K64)</f>
        <v/>
      </c>
      <c r="M64" s="28" t="n"/>
      <c r="N64" s="28" t="n"/>
      <c r="O64" s="29">
        <f>IF(AND(L64=0,M64=0,N64=0),0,IF(AND(L64=0,M64=0),N64/1,IF(AND(L64=0,N64=0),M64/1,IF(AND(M64=0,N64=0),L64/1,IF(L64=0,FLOOR((M64+N64)/2,0.1),IF(M64=0,(L64+N64)/2,IF(N64=0,(M64+L64)/2,FLOOR(((L64+M64+N64)/3),0.1))))))))</f>
        <v/>
      </c>
      <c r="P64" s="21" t="n"/>
      <c r="Q64" s="21" t="n"/>
      <c r="R64" s="27">
        <f>SUM(P64:Q64)</f>
        <v/>
      </c>
      <c r="S64" s="28" t="n"/>
      <c r="T64" s="28" t="n"/>
      <c r="U64" s="29">
        <f>IF(AND(R64=0,S64=0,T64=0),0,IF(AND(R64=0,S64=0),T64/1,IF(AND(R64=0,T64=0),S64/1,IF(AND(S64=0,T64=0),R64/1,IF(R64=0,FLOOR((S64+T64)/2,0.1),IF(S64=0,(R64+T64)/2,IF(T64=0,(S64+R64)/2,FLOOR(((R64+S64+T64)/3),0.1))))))))</f>
        <v/>
      </c>
      <c r="V64" s="21" t="n"/>
      <c r="W64" s="21" t="n"/>
      <c r="X64" s="27">
        <f>SUM(V64:W64)</f>
        <v/>
      </c>
      <c r="Y64" s="28" t="n"/>
      <c r="Z64" s="28" t="n"/>
      <c r="AA64" s="29">
        <f>IF(AND(X64=0,Y64=0,Z64=0),0,IF(AND(X64=0,Y64=0),Z64/1,IF(AND(X64=0,Z64=0),Y64/1,IF(AND(Y64=0,Z64=0),X64/1,IF(X64=0,FLOOR((Y64+Z64)/2,0.1),IF(Y64=0,(X64+Z64)/2,IF(Z64=0,(Y64+X64)/2,FLOOR(((X64+Y64+Z64)/3),0.1))))))))</f>
        <v/>
      </c>
      <c r="AB64" s="21" t="n"/>
      <c r="AC64" s="21" t="n"/>
      <c r="AD64" s="27">
        <f>SUM(AB64:AC64)</f>
        <v/>
      </c>
      <c r="AE64" s="28" t="n"/>
      <c r="AF64" s="28" t="n"/>
      <c r="AG64" s="29">
        <f>IF(AND(AD64=0,AE64=0,AF64=0),0,IF(AND(AD64=0,AE64=0),AF64/1,IF(AND(AD64=0,AF64=0),AE64/1,IF(AND(AE64=0,AF64=0),AD64/1,IF(AD64=0,FLOOR((AE64+AF64)/2,0.1),IF(AE64=0,(AD64+AF64)/2,IF(AF64=0,(AE64+AD64)/2,FLOOR(((AD64+AE64+AF64)/3),0.1))))))))</f>
        <v/>
      </c>
      <c r="AH64" s="21" t="n"/>
      <c r="AI64" s="21" t="n"/>
      <c r="AJ64" s="27">
        <f>SUM(AH64:AI64)</f>
        <v/>
      </c>
      <c r="AK64" s="28" t="n"/>
      <c r="AL64" s="28" t="n"/>
      <c r="AM64" s="29">
        <f>IF(AND(AJ64=0,AK64=0,AL64=0),0,IF(AND(AJ64=0,AK64=0),AL64/1,IF(AND(AJ64=0,AL64=0),AK64/1,IF(AND(AK64=0,AL64=0),AJ64/1,IF(AJ64=0,FLOOR((AK64+AL64)/2,0.1),IF(AK64=0,(AJ64+AL64)/2,IF(AL64=0,(AK64+AJ64)/2,FLOOR(((AJ64+AK64+AL64)/3),0.1))))))))</f>
        <v/>
      </c>
      <c r="AN64" s="21" t="n"/>
      <c r="AO64" s="21" t="n"/>
      <c r="AP64" s="27">
        <f>SUM(AN64:AO64)</f>
        <v/>
      </c>
      <c r="AQ64" s="28" t="n"/>
      <c r="AR64" s="30" t="n"/>
      <c r="AS64" s="29">
        <f>IF(AND(AP64=0,AQ64=0,AR64=0),0,IF(AND(AP64=0,AQ64=0),AR64/1,IF(AND(AP64=0,AR64=0),AQ64/1,IF(AND(AQ64=0,AR64=0),AP64/1,IF(AP64=0,FLOOR((AQ64+AR64)/2,0.1),IF(AQ64=0,(AP64+AR64)/2,IF(AR64=0,(AQ64+AP64)/2,FLOOR(((AP64+AQ64+AR64)/3),0.1))))))))</f>
        <v/>
      </c>
      <c r="AT64" s="21" t="n"/>
      <c r="AU64" s="21" t="n"/>
      <c r="AV64" s="27">
        <f>SUM(AT64:AU64)</f>
        <v/>
      </c>
      <c r="AW64" s="28" t="n"/>
      <c r="AX64" s="30" t="n"/>
      <c r="AY64" s="29">
        <f>IF(AND(AV64=0,AW64=0,AX64=0),0,IF(AND(AV64=0,AW64=0),AX64/1,IF(AND(AV64=0,AX64=0),AW64/1,IF(AND(AW64=0,AX64=0),AV64/1,IF(AV64=0,FLOOR((AW64+AX64)/2,0.1),IF(AW64=0,(AV64+AX64)/2,IF(AX64=0,(AW64+AV64)/2,FLOOR(((AV64+AW64+AX64)/3),0.1))))))))</f>
        <v/>
      </c>
      <c r="AZ64" s="21" t="n"/>
      <c r="BA64" s="21" t="n"/>
      <c r="BB64" s="27">
        <f>SUM(AZ64:BA64)</f>
        <v/>
      </c>
      <c r="BC64" s="28" t="n"/>
      <c r="BD64" s="28" t="n"/>
      <c r="BE64" s="29">
        <f>IF(AND(BB64=0,BC64=0,BD64=0),0,IF(AND(BB64=0,BC64=0),BD64/1,IF(AND(BB64=0,BD64=0),BC64/1,IF(AND(BC64=0,BD64=0),BB64/1,IF(BB64=0,FLOOR((BC64+BD64)/2,0.1),IF(BC64=0,(BB64+BD64)/2,IF(BD64=0,(BC64+BB64)/2,FLOOR(((BB64+BC64+BD64)/3),0.1))))))))</f>
        <v/>
      </c>
      <c r="BF64" s="21" t="n"/>
      <c r="BG64" s="21" t="n"/>
      <c r="BH64" s="27">
        <f>SUM(BF64:BG64)</f>
        <v/>
      </c>
      <c r="BI64" s="28" t="n"/>
      <c r="BJ64" s="28" t="n"/>
      <c r="BK64" s="29">
        <f>IF(AND(BH64=0,BI64=0,BJ64=0),0,IF(AND(BH64=0,BI64=0),BJ64/1,IF(AND(BH64=0,BJ64=0),BI64/1,IF(AND(BI64=0,BJ64=0),BH64/1,IF(BH64=0,FLOOR((BI64+BJ64)/2,0.1),IF(BI64=0,(BH64+BJ64)/2,IF(BJ64=0,(BI64+BH64)/2,FLOOR(((BH64+BI64+BJ64)/3),0.1))))))))</f>
        <v/>
      </c>
      <c r="BL64" s="21" t="n"/>
      <c r="BM64" s="21" t="n"/>
      <c r="BN64" s="27">
        <f>SUM(BL64:BM64)</f>
        <v/>
      </c>
      <c r="BO64" s="28" t="n"/>
      <c r="BP64" s="31" t="n"/>
      <c r="BQ64" s="29">
        <f>IF(AND(BN64=0,BO64=0,BP64=0),0,IF(AND(BN64=0,BO64=0),BP64/1,IF(AND(BN64=0,BP64=0),BO64/1,IF(AND(BO64=0,BP64=0),BN64/1,IF(BN64=0,FLOOR((BO64+BP64)/2,0.1),IF(BO64=0,(BN64+BP64)/2,IF(BP64=0,(BO64+BN64)/2,FLOOR(((BN64+BO64+BP64)/3),0.1))))))))</f>
        <v/>
      </c>
      <c r="BR64" s="21" t="n"/>
      <c r="BS64" s="21" t="n"/>
      <c r="BT64" s="27">
        <f>SUM(BR64:BS64)</f>
        <v/>
      </c>
      <c r="BU64" s="28" t="n"/>
      <c r="BV64" s="31" t="n"/>
      <c r="BW64" s="29">
        <f>IF(AND(BT64=0,BU64=0,BV64=0),0,IF(AND(BT64=0,BU64=0),BV64/1,IF(AND(BT64=0,BV64=0),BU64/1,IF(AND(BU64=0,BV64=0),BT64/1,IF(BT64=0,FLOOR((BU64+BV64)/2,0.1),IF(BU64=0,(BT64+BV64)/2,IF(BV64=0,(BU64+BT64)/2,FLOOR(((BT64+BU64+BV64)/3),0.1))))))))</f>
        <v/>
      </c>
      <c r="BX64" s="21" t="n"/>
      <c r="BY64" s="21" t="n"/>
      <c r="BZ64" s="27">
        <f>SUM(BX64:BY64)</f>
        <v/>
      </c>
      <c r="CA64" s="28" t="n"/>
      <c r="CB64" s="31" t="n"/>
      <c r="CC64" s="29">
        <f>IF(AND(BZ64=0,CA64=0,CB64=0),0,IF(AND(BZ64=0,CA64=0),CB64/1,IF(AND(BZ64=0,CB64=0),CA64/1,IF(AND(CA64=0,CB64=0),BZ64/1,IF(BZ64=0,FLOOR((CA64+CB64)/2,0.1),IF(CA64=0,(BZ64+CB64)/2,IF(CB64=0,(CA64+BZ64)/2,FLOOR(((BZ64+CA64+CB64)/3),0.1))))))))</f>
        <v/>
      </c>
      <c r="CD64" s="21" t="n"/>
      <c r="CE64" s="21" t="n"/>
      <c r="CF64" s="27">
        <f>SUM(CD64:CE64)</f>
        <v/>
      </c>
      <c r="CG64" s="28" t="n"/>
      <c r="CH64" s="31" t="n"/>
      <c r="CI64" s="29">
        <f>IF(AND(CF64=0,CG64=0,CH64=0),0,IF(AND(CF64=0,CG64=0),CH64/1,IF(AND(CF64=0,CH64=0),CG64/1,IF(AND(CG64=0,CH64=0),CF64/1,IF(CF64=0,FLOOR((CG64+CH64)/2,0.1),IF(CG64=0,(CF64+CH64)/2,IF(CH64=0,(CG64+CF64)/2,FLOOR(((CF64+CG64+CH64)/3),0.1))))))))</f>
        <v/>
      </c>
      <c r="CJ64" s="21" t="n"/>
      <c r="CK64" s="21" t="n"/>
      <c r="CL64" s="27">
        <f>SUM(CJ64:CK64)</f>
        <v/>
      </c>
      <c r="CM64" s="28" t="n"/>
      <c r="CN64" s="31" t="n"/>
      <c r="CO64" s="29">
        <f>IF(AND(CL64=0,CM64=0,CN64=0),0,IF(AND(CL64=0,CM64=0),CN64/1,IF(AND(CL64=0,CN64=0),CM64/1,IF(AND(CM64=0,CN64=0),CL64/1,IF(CL64=0,FLOOR((CM64+CN64)/2,0.1),IF(CM64=0,(CL64+CN64)/2,IF(CN64=0,(CM64+CL64)/2,FLOOR(((CL64+CM64+CN64)/3),0.1))))))))</f>
        <v/>
      </c>
      <c r="CP64" s="21" t="n"/>
      <c r="CQ64" s="21" t="n"/>
      <c r="CR64" s="27">
        <f>SUM(CP64:CQ64)</f>
        <v/>
      </c>
      <c r="CS64" s="28" t="n"/>
      <c r="CT64" s="31" t="n"/>
      <c r="CU64" s="29">
        <f>IF(AND(CR64=0,CS64=0,CT64=0),0,IF(AND(CR64=0,CS64=0),CT64/1,IF(AND(CR64=0,CT64=0),CS64/1,IF(AND(CS64=0,CT64=0),CR64/1,IF(CR64=0,FLOOR((CS64+CT64)/2,0.1),IF(CS64=0,(CR64+CT64)/2,IF(CT64=0,(CS64+CR64)/2,FLOOR(((CR64+CS64+CT64)/3),0.1))))))))</f>
        <v/>
      </c>
      <c r="CV64" s="21" t="n"/>
      <c r="CW64" s="21" t="n"/>
      <c r="CX64" s="27">
        <f>SUM(CV64:CW64)</f>
        <v/>
      </c>
      <c r="CY64" s="28" t="n"/>
      <c r="CZ64" s="31" t="n"/>
      <c r="DA64" s="29">
        <f>IF(AND(CX64=0,CY64=0,CZ64=0),0,IF(AND(CX64=0,CY64=0),CZ64/1,IF(AND(CX64=0,CZ64=0),CY64/1,IF(AND(CY64=0,CZ64=0),CX64/1,IF(CX64=0,FLOOR((CY64+CZ64)/2,0.1),IF(CY64=0,(CX64+CZ64)/2,IF(CZ64=0,(CY64+CX64)/2,FLOOR(((CX64+CY64+CZ64)/3),0.1))))))))</f>
        <v/>
      </c>
      <c r="DB64" s="21" t="n"/>
      <c r="DC64" s="21" t="n"/>
      <c r="DD64" s="27">
        <f>SUM(DB64:DC64)</f>
        <v/>
      </c>
      <c r="DE64" s="28" t="n"/>
      <c r="DF64" s="31" t="n"/>
      <c r="DG64" s="29">
        <f>IF(AND(DD64=0,DE64=0,DF64=0),0,IF(AND(DD64=0,DE64=0),DF64/1,IF(AND(DD64=0,DF64=0),DE64/1,IF(AND(DE64=0,DF64=0),DD64/1,IF(DD64=0,FLOOR((DE64+DF64)/2,0.1),IF(DE64=0,(DD64+DF64)/2,IF(DF64=0,(DE64+DD64)/2,FLOOR(((DD64+DE64+DF64)/3),0.1))))))))</f>
        <v/>
      </c>
      <c r="DH64" s="34">
        <f>SUM(O64,U64,AA64,AG64,AM64,AS64,AY64,BE64,BK64,BQ64,BW64,CC64,CI64,CO64,CU64,DA64,DG64)</f>
        <v/>
      </c>
      <c r="DI64" s="39">
        <f>RANK(DH64,DH$4:DH$503)</f>
        <v/>
      </c>
      <c r="DJ64" s="40" t="inlineStr">
        <is>
          <t>CHOOSE RATING</t>
        </is>
      </c>
      <c r="DK64" s="40" t="inlineStr">
        <is>
          <t>CHOOSE RATING</t>
        </is>
      </c>
      <c r="DL64" s="40" t="inlineStr">
        <is>
          <t>CHOOSE RATING</t>
        </is>
      </c>
      <c r="DM64" s="40" t="inlineStr">
        <is>
          <t>CHOOSE RATING</t>
        </is>
      </c>
      <c r="DN64" s="40" t="inlineStr">
        <is>
          <t>CHOOSE RATING</t>
        </is>
      </c>
      <c r="DO64" s="40" t="inlineStr">
        <is>
          <t>CHOOSE RATING</t>
        </is>
      </c>
      <c r="DP64" s="40" t="inlineStr">
        <is>
          <t>CHOOSE RATING</t>
        </is>
      </c>
      <c r="DQ64" s="40" t="inlineStr">
        <is>
          <t>CHOOSE RATING</t>
        </is>
      </c>
      <c r="DR64" s="43" t="inlineStr">
        <is>
          <t>2024/2025</t>
        </is>
      </c>
      <c r="DS64" s="45" t="inlineStr">
        <is>
          <t>THIRD</t>
        </is>
      </c>
      <c r="DT64" s="40" t="inlineStr">
        <is>
          <t>CHOOSE RATING</t>
        </is>
      </c>
      <c r="DU64" s="40" t="inlineStr">
        <is>
          <t>CHOOSE RATING</t>
        </is>
      </c>
      <c r="DV64" s="40" t="inlineStr">
        <is>
          <t>CHOOSE RATING</t>
        </is>
      </c>
      <c r="DW64" s="40" t="inlineStr">
        <is>
          <t>CHOOSE RATING</t>
        </is>
      </c>
      <c r="DX64" s="40" t="inlineStr">
        <is>
          <t>CHOOSE RATING</t>
        </is>
      </c>
      <c r="DY64" s="40" t="inlineStr">
        <is>
          <t>CHOOSE RATING</t>
        </is>
      </c>
      <c r="DZ64" s="53" t="inlineStr">
        <is>
          <t>CHOOSE RATING</t>
        </is>
      </c>
      <c r="EA64" s="54" t="inlineStr">
        <is>
          <t>Add the Tutor's Comment . . .</t>
        </is>
      </c>
      <c r="EB64" s="55" t="inlineStr">
        <is>
          <t>Choose Principals comment</t>
        </is>
      </c>
      <c r="EC64" s="56" t="n"/>
      <c r="ED64" s="57" t="inlineStr">
        <is>
          <t>Next Term Begins on Monday, 22nd September, 2025</t>
        </is>
      </c>
    </row>
    <row r="65" ht="30.6" customHeight="1" s="6">
      <c r="A65" s="18" t="n">
        <v>62</v>
      </c>
      <c r="B65" s="19" t="n"/>
      <c r="C65" s="20" t="n"/>
      <c r="D65" s="128" t="n"/>
      <c r="E65" s="21" t="n"/>
      <c r="F65" s="22" t="n"/>
      <c r="G65" s="22" t="n"/>
      <c r="H65" s="22" t="n"/>
      <c r="I65" s="26">
        <f>G65-H65</f>
        <v/>
      </c>
      <c r="J65" s="21" t="n"/>
      <c r="K65" s="21" t="n"/>
      <c r="L65" s="27">
        <f>SUM(J65:K65)</f>
        <v/>
      </c>
      <c r="M65" s="28" t="n"/>
      <c r="N65" s="28" t="n"/>
      <c r="O65" s="29">
        <f>IF(AND(L65=0,M65=0,N65=0),0,IF(AND(L65=0,M65=0),N65/1,IF(AND(L65=0,N65=0),M65/1,IF(AND(M65=0,N65=0),L65/1,IF(L65=0,FLOOR((M65+N65)/2,0.1),IF(M65=0,(L65+N65)/2,IF(N65=0,(M65+L65)/2,FLOOR(((L65+M65+N65)/3),0.1))))))))</f>
        <v/>
      </c>
      <c r="P65" s="21" t="n"/>
      <c r="Q65" s="21" t="n"/>
      <c r="R65" s="27">
        <f>SUM(P65:Q65)</f>
        <v/>
      </c>
      <c r="S65" s="28" t="n"/>
      <c r="T65" s="28" t="n"/>
      <c r="U65" s="29">
        <f>IF(AND(R65=0,S65=0,T65=0),0,IF(AND(R65=0,S65=0),T65/1,IF(AND(R65=0,T65=0),S65/1,IF(AND(S65=0,T65=0),R65/1,IF(R65=0,FLOOR((S65+T65)/2,0.1),IF(S65=0,(R65+T65)/2,IF(T65=0,(S65+R65)/2,FLOOR(((R65+S65+T65)/3),0.1))))))))</f>
        <v/>
      </c>
      <c r="V65" s="21" t="n"/>
      <c r="W65" s="21" t="n"/>
      <c r="X65" s="27">
        <f>SUM(V65:W65)</f>
        <v/>
      </c>
      <c r="Y65" s="28" t="n"/>
      <c r="Z65" s="28" t="n"/>
      <c r="AA65" s="29">
        <f>IF(AND(X65=0,Y65=0,Z65=0),0,IF(AND(X65=0,Y65=0),Z65/1,IF(AND(X65=0,Z65=0),Y65/1,IF(AND(Y65=0,Z65=0),X65/1,IF(X65=0,FLOOR((Y65+Z65)/2,0.1),IF(Y65=0,(X65+Z65)/2,IF(Z65=0,(Y65+X65)/2,FLOOR(((X65+Y65+Z65)/3),0.1))))))))</f>
        <v/>
      </c>
      <c r="AB65" s="21" t="n"/>
      <c r="AC65" s="21" t="n"/>
      <c r="AD65" s="27">
        <f>SUM(AB65:AC65)</f>
        <v/>
      </c>
      <c r="AE65" s="28" t="n"/>
      <c r="AF65" s="28" t="n"/>
      <c r="AG65" s="29">
        <f>IF(AND(AD65=0,AE65=0,AF65=0),0,IF(AND(AD65=0,AE65=0),AF65/1,IF(AND(AD65=0,AF65=0),AE65/1,IF(AND(AE65=0,AF65=0),AD65/1,IF(AD65=0,FLOOR((AE65+AF65)/2,0.1),IF(AE65=0,(AD65+AF65)/2,IF(AF65=0,(AE65+AD65)/2,FLOOR(((AD65+AE65+AF65)/3),0.1))))))))</f>
        <v/>
      </c>
      <c r="AH65" s="21" t="n"/>
      <c r="AI65" s="21" t="n"/>
      <c r="AJ65" s="27">
        <f>SUM(AH65:AI65)</f>
        <v/>
      </c>
      <c r="AK65" s="28" t="n"/>
      <c r="AL65" s="28" t="n"/>
      <c r="AM65" s="29">
        <f>IF(AND(AJ65=0,AK65=0,AL65=0),0,IF(AND(AJ65=0,AK65=0),AL65/1,IF(AND(AJ65=0,AL65=0),AK65/1,IF(AND(AK65=0,AL65=0),AJ65/1,IF(AJ65=0,FLOOR((AK65+AL65)/2,0.1),IF(AK65=0,(AJ65+AL65)/2,IF(AL65=0,(AK65+AJ65)/2,FLOOR(((AJ65+AK65+AL65)/3),0.1))))))))</f>
        <v/>
      </c>
      <c r="AN65" s="21" t="n"/>
      <c r="AO65" s="21" t="n"/>
      <c r="AP65" s="27">
        <f>SUM(AN65:AO65)</f>
        <v/>
      </c>
      <c r="AQ65" s="28" t="n"/>
      <c r="AR65" s="30" t="n"/>
      <c r="AS65" s="29">
        <f>IF(AND(AP65=0,AQ65=0,AR65=0),0,IF(AND(AP65=0,AQ65=0),AR65/1,IF(AND(AP65=0,AR65=0),AQ65/1,IF(AND(AQ65=0,AR65=0),AP65/1,IF(AP65=0,FLOOR((AQ65+AR65)/2,0.1),IF(AQ65=0,(AP65+AR65)/2,IF(AR65=0,(AQ65+AP65)/2,FLOOR(((AP65+AQ65+AR65)/3),0.1))))))))</f>
        <v/>
      </c>
      <c r="AT65" s="21" t="n"/>
      <c r="AU65" s="21" t="n"/>
      <c r="AV65" s="27">
        <f>SUM(AT65:AU65)</f>
        <v/>
      </c>
      <c r="AW65" s="28" t="n"/>
      <c r="AX65" s="30" t="n"/>
      <c r="AY65" s="29">
        <f>IF(AND(AV65=0,AW65=0,AX65=0),0,IF(AND(AV65=0,AW65=0),AX65/1,IF(AND(AV65=0,AX65=0),AW65/1,IF(AND(AW65=0,AX65=0),AV65/1,IF(AV65=0,FLOOR((AW65+AX65)/2,0.1),IF(AW65=0,(AV65+AX65)/2,IF(AX65=0,(AW65+AV65)/2,FLOOR(((AV65+AW65+AX65)/3),0.1))))))))</f>
        <v/>
      </c>
      <c r="AZ65" s="21" t="n"/>
      <c r="BA65" s="21" t="n"/>
      <c r="BB65" s="27">
        <f>SUM(AZ65:BA65)</f>
        <v/>
      </c>
      <c r="BC65" s="28" t="n"/>
      <c r="BD65" s="28" t="n"/>
      <c r="BE65" s="29">
        <f>IF(AND(BB65=0,BC65=0,BD65=0),0,IF(AND(BB65=0,BC65=0),BD65/1,IF(AND(BB65=0,BD65=0),BC65/1,IF(AND(BC65=0,BD65=0),BB65/1,IF(BB65=0,FLOOR((BC65+BD65)/2,0.1),IF(BC65=0,(BB65+BD65)/2,IF(BD65=0,(BC65+BB65)/2,FLOOR(((BB65+BC65+BD65)/3),0.1))))))))</f>
        <v/>
      </c>
      <c r="BF65" s="21" t="n"/>
      <c r="BG65" s="21" t="n"/>
      <c r="BH65" s="27">
        <f>SUM(BF65:BG65)</f>
        <v/>
      </c>
      <c r="BI65" s="28" t="n"/>
      <c r="BJ65" s="28" t="n"/>
      <c r="BK65" s="29">
        <f>IF(AND(BH65=0,BI65=0,BJ65=0),0,IF(AND(BH65=0,BI65=0),BJ65/1,IF(AND(BH65=0,BJ65=0),BI65/1,IF(AND(BI65=0,BJ65=0),BH65/1,IF(BH65=0,FLOOR((BI65+BJ65)/2,0.1),IF(BI65=0,(BH65+BJ65)/2,IF(BJ65=0,(BI65+BH65)/2,FLOOR(((BH65+BI65+BJ65)/3),0.1))))))))</f>
        <v/>
      </c>
      <c r="BL65" s="21" t="n"/>
      <c r="BM65" s="21" t="n"/>
      <c r="BN65" s="27">
        <f>SUM(BL65:BM65)</f>
        <v/>
      </c>
      <c r="BO65" s="28" t="n"/>
      <c r="BP65" s="31" t="n"/>
      <c r="BQ65" s="29">
        <f>IF(AND(BN65=0,BO65=0,BP65=0),0,IF(AND(BN65=0,BO65=0),BP65/1,IF(AND(BN65=0,BP65=0),BO65/1,IF(AND(BO65=0,BP65=0),BN65/1,IF(BN65=0,FLOOR((BO65+BP65)/2,0.1),IF(BO65=0,(BN65+BP65)/2,IF(BP65=0,(BO65+BN65)/2,FLOOR(((BN65+BO65+BP65)/3),0.1))))))))</f>
        <v/>
      </c>
      <c r="BR65" s="21" t="n"/>
      <c r="BS65" s="21" t="n"/>
      <c r="BT65" s="27">
        <f>SUM(BR65:BS65)</f>
        <v/>
      </c>
      <c r="BU65" s="28" t="n"/>
      <c r="BV65" s="31" t="n"/>
      <c r="BW65" s="29">
        <f>IF(AND(BT65=0,BU65=0,BV65=0),0,IF(AND(BT65=0,BU65=0),BV65/1,IF(AND(BT65=0,BV65=0),BU65/1,IF(AND(BU65=0,BV65=0),BT65/1,IF(BT65=0,FLOOR((BU65+BV65)/2,0.1),IF(BU65=0,(BT65+BV65)/2,IF(BV65=0,(BU65+BT65)/2,FLOOR(((BT65+BU65+BV65)/3),0.1))))))))</f>
        <v/>
      </c>
      <c r="BX65" s="21" t="n"/>
      <c r="BY65" s="21" t="n"/>
      <c r="BZ65" s="27">
        <f>SUM(BX65:BY65)</f>
        <v/>
      </c>
      <c r="CA65" s="28" t="n"/>
      <c r="CB65" s="31" t="n"/>
      <c r="CC65" s="29">
        <f>IF(AND(BZ65=0,CA65=0,CB65=0),0,IF(AND(BZ65=0,CA65=0),CB65/1,IF(AND(BZ65=0,CB65=0),CA65/1,IF(AND(CA65=0,CB65=0),BZ65/1,IF(BZ65=0,FLOOR((CA65+CB65)/2,0.1),IF(CA65=0,(BZ65+CB65)/2,IF(CB65=0,(CA65+BZ65)/2,FLOOR(((BZ65+CA65+CB65)/3),0.1))))))))</f>
        <v/>
      </c>
      <c r="CD65" s="21" t="n"/>
      <c r="CE65" s="21" t="n"/>
      <c r="CF65" s="27">
        <f>SUM(CD65:CE65)</f>
        <v/>
      </c>
      <c r="CG65" s="28" t="n"/>
      <c r="CH65" s="31" t="n"/>
      <c r="CI65" s="29">
        <f>IF(AND(CF65=0,CG65=0,CH65=0),0,IF(AND(CF65=0,CG65=0),CH65/1,IF(AND(CF65=0,CH65=0),CG65/1,IF(AND(CG65=0,CH65=0),CF65/1,IF(CF65=0,FLOOR((CG65+CH65)/2,0.1),IF(CG65=0,(CF65+CH65)/2,IF(CH65=0,(CG65+CF65)/2,FLOOR(((CF65+CG65+CH65)/3),0.1))))))))</f>
        <v/>
      </c>
      <c r="CJ65" s="21" t="n"/>
      <c r="CK65" s="21" t="n"/>
      <c r="CL65" s="27">
        <f>SUM(CJ65:CK65)</f>
        <v/>
      </c>
      <c r="CM65" s="28" t="n"/>
      <c r="CN65" s="31" t="n"/>
      <c r="CO65" s="29">
        <f>IF(AND(CL65=0,CM65=0,CN65=0),0,IF(AND(CL65=0,CM65=0),CN65/1,IF(AND(CL65=0,CN65=0),CM65/1,IF(AND(CM65=0,CN65=0),CL65/1,IF(CL65=0,FLOOR((CM65+CN65)/2,0.1),IF(CM65=0,(CL65+CN65)/2,IF(CN65=0,(CM65+CL65)/2,FLOOR(((CL65+CM65+CN65)/3),0.1))))))))</f>
        <v/>
      </c>
      <c r="CP65" s="21" t="n"/>
      <c r="CQ65" s="21" t="n"/>
      <c r="CR65" s="27">
        <f>SUM(CP65:CQ65)</f>
        <v/>
      </c>
      <c r="CS65" s="28" t="n"/>
      <c r="CT65" s="31" t="n"/>
      <c r="CU65" s="29">
        <f>IF(AND(CR65=0,CS65=0,CT65=0),0,IF(AND(CR65=0,CS65=0),CT65/1,IF(AND(CR65=0,CT65=0),CS65/1,IF(AND(CS65=0,CT65=0),CR65/1,IF(CR65=0,FLOOR((CS65+CT65)/2,0.1),IF(CS65=0,(CR65+CT65)/2,IF(CT65=0,(CS65+CR65)/2,FLOOR(((CR65+CS65+CT65)/3),0.1))))))))</f>
        <v/>
      </c>
      <c r="CV65" s="21" t="n"/>
      <c r="CW65" s="21" t="n"/>
      <c r="CX65" s="27">
        <f>SUM(CV65:CW65)</f>
        <v/>
      </c>
      <c r="CY65" s="28" t="n"/>
      <c r="CZ65" s="31" t="n"/>
      <c r="DA65" s="29">
        <f>IF(AND(CX65=0,CY65=0,CZ65=0),0,IF(AND(CX65=0,CY65=0),CZ65/1,IF(AND(CX65=0,CZ65=0),CY65/1,IF(AND(CY65=0,CZ65=0),CX65/1,IF(CX65=0,FLOOR((CY65+CZ65)/2,0.1),IF(CY65=0,(CX65+CZ65)/2,IF(CZ65=0,(CY65+CX65)/2,FLOOR(((CX65+CY65+CZ65)/3),0.1))))))))</f>
        <v/>
      </c>
      <c r="DB65" s="21" t="n"/>
      <c r="DC65" s="21" t="n"/>
      <c r="DD65" s="27">
        <f>SUM(DB65:DC65)</f>
        <v/>
      </c>
      <c r="DE65" s="28" t="n"/>
      <c r="DF65" s="31" t="n"/>
      <c r="DG65" s="29">
        <f>IF(AND(DD65=0,DE65=0,DF65=0),0,IF(AND(DD65=0,DE65=0),DF65/1,IF(AND(DD65=0,DF65=0),DE65/1,IF(AND(DE65=0,DF65=0),DD65/1,IF(DD65=0,FLOOR((DE65+DF65)/2,0.1),IF(DE65=0,(DD65+DF65)/2,IF(DF65=0,(DE65+DD65)/2,FLOOR(((DD65+DE65+DF65)/3),0.1))))))))</f>
        <v/>
      </c>
      <c r="DH65" s="34">
        <f>SUM(O65,U65,AA65,AG65,AM65,AS65,AY65,BE65,BK65,BQ65,BW65,CC65,CI65,CO65,CU65,DA65,DG65)</f>
        <v/>
      </c>
      <c r="DI65" s="39">
        <f>RANK(DH65,DH$4:DH$503)</f>
        <v/>
      </c>
      <c r="DJ65" s="40" t="inlineStr">
        <is>
          <t>CHOOSE RATING</t>
        </is>
      </c>
      <c r="DK65" s="40" t="inlineStr">
        <is>
          <t>CHOOSE RATING</t>
        </is>
      </c>
      <c r="DL65" s="40" t="inlineStr">
        <is>
          <t>CHOOSE RATING</t>
        </is>
      </c>
      <c r="DM65" s="40" t="inlineStr">
        <is>
          <t>CHOOSE RATING</t>
        </is>
      </c>
      <c r="DN65" s="40" t="inlineStr">
        <is>
          <t>CHOOSE RATING</t>
        </is>
      </c>
      <c r="DO65" s="40" t="inlineStr">
        <is>
          <t>CHOOSE RATING</t>
        </is>
      </c>
      <c r="DP65" s="40" t="inlineStr">
        <is>
          <t>CHOOSE RATING</t>
        </is>
      </c>
      <c r="DQ65" s="40" t="inlineStr">
        <is>
          <t>CHOOSE RATING</t>
        </is>
      </c>
      <c r="DR65" s="43" t="inlineStr">
        <is>
          <t>2024/2025</t>
        </is>
      </c>
      <c r="DS65" s="45" t="inlineStr">
        <is>
          <t>THIRD</t>
        </is>
      </c>
      <c r="DT65" s="40" t="inlineStr">
        <is>
          <t>CHOOSE RATING</t>
        </is>
      </c>
      <c r="DU65" s="40" t="inlineStr">
        <is>
          <t>CHOOSE RATING</t>
        </is>
      </c>
      <c r="DV65" s="40" t="inlineStr">
        <is>
          <t>CHOOSE RATING</t>
        </is>
      </c>
      <c r="DW65" s="40" t="inlineStr">
        <is>
          <t>CHOOSE RATING</t>
        </is>
      </c>
      <c r="DX65" s="40" t="inlineStr">
        <is>
          <t>CHOOSE RATING</t>
        </is>
      </c>
      <c r="DY65" s="40" t="inlineStr">
        <is>
          <t>CHOOSE RATING</t>
        </is>
      </c>
      <c r="DZ65" s="53" t="inlineStr">
        <is>
          <t>CHOOSE RATING</t>
        </is>
      </c>
      <c r="EA65" s="54" t="inlineStr">
        <is>
          <t>Add the Tutor's Comment . . .</t>
        </is>
      </c>
      <c r="EB65" s="55" t="inlineStr">
        <is>
          <t>Choose Principals comment</t>
        </is>
      </c>
      <c r="EC65" s="56" t="n"/>
      <c r="ED65" s="57" t="inlineStr">
        <is>
          <t>Next Term Begins on Monday, 22nd September, 2025</t>
        </is>
      </c>
    </row>
    <row r="66" ht="30.6" customHeight="1" s="6">
      <c r="A66" s="18" t="n">
        <v>63</v>
      </c>
      <c r="B66" s="19" t="n"/>
      <c r="C66" s="20" t="n"/>
      <c r="D66" s="128" t="n"/>
      <c r="E66" s="21" t="n"/>
      <c r="F66" s="22" t="n"/>
      <c r="G66" s="22" t="n"/>
      <c r="H66" s="22" t="n"/>
      <c r="I66" s="26">
        <f>G66-H66</f>
        <v/>
      </c>
      <c r="J66" s="21" t="n"/>
      <c r="K66" s="21" t="n"/>
      <c r="L66" s="27">
        <f>SUM(J66:K66)</f>
        <v/>
      </c>
      <c r="M66" s="28" t="n"/>
      <c r="N66" s="28" t="n"/>
      <c r="O66" s="29">
        <f>IF(AND(L66=0,M66=0,N66=0),0,IF(AND(L66=0,M66=0),N66/1,IF(AND(L66=0,N66=0),M66/1,IF(AND(M66=0,N66=0),L66/1,IF(L66=0,FLOOR((M66+N66)/2,0.1),IF(M66=0,(L66+N66)/2,IF(N66=0,(M66+L66)/2,FLOOR(((L66+M66+N66)/3),0.1))))))))</f>
        <v/>
      </c>
      <c r="P66" s="21" t="n"/>
      <c r="Q66" s="21" t="n"/>
      <c r="R66" s="27">
        <f>SUM(P66:Q66)</f>
        <v/>
      </c>
      <c r="S66" s="28" t="n"/>
      <c r="T66" s="28" t="n"/>
      <c r="U66" s="29">
        <f>IF(AND(R66=0,S66=0,T66=0),0,IF(AND(R66=0,S66=0),T66/1,IF(AND(R66=0,T66=0),S66/1,IF(AND(S66=0,T66=0),R66/1,IF(R66=0,FLOOR((S66+T66)/2,0.1),IF(S66=0,(R66+T66)/2,IF(T66=0,(S66+R66)/2,FLOOR(((R66+S66+T66)/3),0.1))))))))</f>
        <v/>
      </c>
      <c r="V66" s="21" t="n"/>
      <c r="W66" s="21" t="n"/>
      <c r="X66" s="27">
        <f>SUM(V66:W66)</f>
        <v/>
      </c>
      <c r="Y66" s="28" t="n"/>
      <c r="Z66" s="28" t="n"/>
      <c r="AA66" s="29">
        <f>IF(AND(X66=0,Y66=0,Z66=0),0,IF(AND(X66=0,Y66=0),Z66/1,IF(AND(X66=0,Z66=0),Y66/1,IF(AND(Y66=0,Z66=0),X66/1,IF(X66=0,FLOOR((Y66+Z66)/2,0.1),IF(Y66=0,(X66+Z66)/2,IF(Z66=0,(Y66+X66)/2,FLOOR(((X66+Y66+Z66)/3),0.1))))))))</f>
        <v/>
      </c>
      <c r="AB66" s="21" t="n"/>
      <c r="AC66" s="21" t="n"/>
      <c r="AD66" s="27">
        <f>SUM(AB66:AC66)</f>
        <v/>
      </c>
      <c r="AE66" s="28" t="n"/>
      <c r="AF66" s="28" t="n"/>
      <c r="AG66" s="29">
        <f>IF(AND(AD66=0,AE66=0,AF66=0),0,IF(AND(AD66=0,AE66=0),AF66/1,IF(AND(AD66=0,AF66=0),AE66/1,IF(AND(AE66=0,AF66=0),AD66/1,IF(AD66=0,FLOOR((AE66+AF66)/2,0.1),IF(AE66=0,(AD66+AF66)/2,IF(AF66=0,(AE66+AD66)/2,FLOOR(((AD66+AE66+AF66)/3),0.1))))))))</f>
        <v/>
      </c>
      <c r="AH66" s="21" t="n"/>
      <c r="AI66" s="21" t="n"/>
      <c r="AJ66" s="27">
        <f>SUM(AH66:AI66)</f>
        <v/>
      </c>
      <c r="AK66" s="28" t="n"/>
      <c r="AL66" s="28" t="n"/>
      <c r="AM66" s="29">
        <f>IF(AND(AJ66=0,AK66=0,AL66=0),0,IF(AND(AJ66=0,AK66=0),AL66/1,IF(AND(AJ66=0,AL66=0),AK66/1,IF(AND(AK66=0,AL66=0),AJ66/1,IF(AJ66=0,FLOOR((AK66+AL66)/2,0.1),IF(AK66=0,(AJ66+AL66)/2,IF(AL66=0,(AK66+AJ66)/2,FLOOR(((AJ66+AK66+AL66)/3),0.1))))))))</f>
        <v/>
      </c>
      <c r="AN66" s="21" t="n"/>
      <c r="AO66" s="21" t="n"/>
      <c r="AP66" s="27">
        <f>SUM(AN66:AO66)</f>
        <v/>
      </c>
      <c r="AQ66" s="28" t="n"/>
      <c r="AR66" s="30" t="n"/>
      <c r="AS66" s="29">
        <f>IF(AND(AP66=0,AQ66=0,AR66=0),0,IF(AND(AP66=0,AQ66=0),AR66/1,IF(AND(AP66=0,AR66=0),AQ66/1,IF(AND(AQ66=0,AR66=0),AP66/1,IF(AP66=0,FLOOR((AQ66+AR66)/2,0.1),IF(AQ66=0,(AP66+AR66)/2,IF(AR66=0,(AQ66+AP66)/2,FLOOR(((AP66+AQ66+AR66)/3),0.1))))))))</f>
        <v/>
      </c>
      <c r="AT66" s="21" t="n"/>
      <c r="AU66" s="21" t="n"/>
      <c r="AV66" s="27">
        <f>SUM(AT66:AU66)</f>
        <v/>
      </c>
      <c r="AW66" s="28" t="n"/>
      <c r="AX66" s="30" t="n"/>
      <c r="AY66" s="29">
        <f>IF(AND(AV66=0,AW66=0,AX66=0),0,IF(AND(AV66=0,AW66=0),AX66/1,IF(AND(AV66=0,AX66=0),AW66/1,IF(AND(AW66=0,AX66=0),AV66/1,IF(AV66=0,FLOOR((AW66+AX66)/2,0.1),IF(AW66=0,(AV66+AX66)/2,IF(AX66=0,(AW66+AV66)/2,FLOOR(((AV66+AW66+AX66)/3),0.1))))))))</f>
        <v/>
      </c>
      <c r="AZ66" s="21" t="n"/>
      <c r="BA66" s="21" t="n"/>
      <c r="BB66" s="27">
        <f>SUM(AZ66:BA66)</f>
        <v/>
      </c>
      <c r="BC66" s="28" t="n"/>
      <c r="BD66" s="28" t="n"/>
      <c r="BE66" s="29">
        <f>IF(AND(BB66=0,BC66=0,BD66=0),0,IF(AND(BB66=0,BC66=0),BD66/1,IF(AND(BB66=0,BD66=0),BC66/1,IF(AND(BC66=0,BD66=0),BB66/1,IF(BB66=0,FLOOR((BC66+BD66)/2,0.1),IF(BC66=0,(BB66+BD66)/2,IF(BD66=0,(BC66+BB66)/2,FLOOR(((BB66+BC66+BD66)/3),0.1))))))))</f>
        <v/>
      </c>
      <c r="BF66" s="21" t="n"/>
      <c r="BG66" s="21" t="n"/>
      <c r="BH66" s="27">
        <f>SUM(BF66:BG66)</f>
        <v/>
      </c>
      <c r="BI66" s="28" t="n"/>
      <c r="BJ66" s="28" t="n"/>
      <c r="BK66" s="29">
        <f>IF(AND(BH66=0,BI66=0,BJ66=0),0,IF(AND(BH66=0,BI66=0),BJ66/1,IF(AND(BH66=0,BJ66=0),BI66/1,IF(AND(BI66=0,BJ66=0),BH66/1,IF(BH66=0,FLOOR((BI66+BJ66)/2,0.1),IF(BI66=0,(BH66+BJ66)/2,IF(BJ66=0,(BI66+BH66)/2,FLOOR(((BH66+BI66+BJ66)/3),0.1))))))))</f>
        <v/>
      </c>
      <c r="BL66" s="21" t="n"/>
      <c r="BM66" s="21" t="n"/>
      <c r="BN66" s="27">
        <f>SUM(BL66:BM66)</f>
        <v/>
      </c>
      <c r="BO66" s="28" t="n"/>
      <c r="BP66" s="31" t="n"/>
      <c r="BQ66" s="29">
        <f>IF(AND(BN66=0,BO66=0,BP66=0),0,IF(AND(BN66=0,BO66=0),BP66/1,IF(AND(BN66=0,BP66=0),BO66/1,IF(AND(BO66=0,BP66=0),BN66/1,IF(BN66=0,FLOOR((BO66+BP66)/2,0.1),IF(BO66=0,(BN66+BP66)/2,IF(BP66=0,(BO66+BN66)/2,FLOOR(((BN66+BO66+BP66)/3),0.1))))))))</f>
        <v/>
      </c>
      <c r="BR66" s="21" t="n"/>
      <c r="BS66" s="21" t="n"/>
      <c r="BT66" s="27">
        <f>SUM(BR66:BS66)</f>
        <v/>
      </c>
      <c r="BU66" s="28" t="n"/>
      <c r="BV66" s="31" t="n"/>
      <c r="BW66" s="29">
        <f>IF(AND(BT66=0,BU66=0,BV66=0),0,IF(AND(BT66=0,BU66=0),BV66/1,IF(AND(BT66=0,BV66=0),BU66/1,IF(AND(BU66=0,BV66=0),BT66/1,IF(BT66=0,FLOOR((BU66+BV66)/2,0.1),IF(BU66=0,(BT66+BV66)/2,IF(BV66=0,(BU66+BT66)/2,FLOOR(((BT66+BU66+BV66)/3),0.1))))))))</f>
        <v/>
      </c>
      <c r="BX66" s="21" t="n"/>
      <c r="BY66" s="21" t="n"/>
      <c r="BZ66" s="27">
        <f>SUM(BX66:BY66)</f>
        <v/>
      </c>
      <c r="CA66" s="28" t="n"/>
      <c r="CB66" s="31" t="n"/>
      <c r="CC66" s="29">
        <f>IF(AND(BZ66=0,CA66=0,CB66=0),0,IF(AND(BZ66=0,CA66=0),CB66/1,IF(AND(BZ66=0,CB66=0),CA66/1,IF(AND(CA66=0,CB66=0),BZ66/1,IF(BZ66=0,FLOOR((CA66+CB66)/2,0.1),IF(CA66=0,(BZ66+CB66)/2,IF(CB66=0,(CA66+BZ66)/2,FLOOR(((BZ66+CA66+CB66)/3),0.1))))))))</f>
        <v/>
      </c>
      <c r="CD66" s="21" t="n"/>
      <c r="CE66" s="21" t="n"/>
      <c r="CF66" s="27">
        <f>SUM(CD66:CE66)</f>
        <v/>
      </c>
      <c r="CG66" s="28" t="n"/>
      <c r="CH66" s="31" t="n"/>
      <c r="CI66" s="29">
        <f>IF(AND(CF66=0,CG66=0,CH66=0),0,IF(AND(CF66=0,CG66=0),CH66/1,IF(AND(CF66=0,CH66=0),CG66/1,IF(AND(CG66=0,CH66=0),CF66/1,IF(CF66=0,FLOOR((CG66+CH66)/2,0.1),IF(CG66=0,(CF66+CH66)/2,IF(CH66=0,(CG66+CF66)/2,FLOOR(((CF66+CG66+CH66)/3),0.1))))))))</f>
        <v/>
      </c>
      <c r="CJ66" s="21" t="n"/>
      <c r="CK66" s="21" t="n"/>
      <c r="CL66" s="27">
        <f>SUM(CJ66:CK66)</f>
        <v/>
      </c>
      <c r="CM66" s="28" t="n"/>
      <c r="CN66" s="31" t="n"/>
      <c r="CO66" s="29">
        <f>IF(AND(CL66=0,CM66=0,CN66=0),0,IF(AND(CL66=0,CM66=0),CN66/1,IF(AND(CL66=0,CN66=0),CM66/1,IF(AND(CM66=0,CN66=0),CL66/1,IF(CL66=0,FLOOR((CM66+CN66)/2,0.1),IF(CM66=0,(CL66+CN66)/2,IF(CN66=0,(CM66+CL66)/2,FLOOR(((CL66+CM66+CN66)/3),0.1))))))))</f>
        <v/>
      </c>
      <c r="CP66" s="21" t="n"/>
      <c r="CQ66" s="21" t="n"/>
      <c r="CR66" s="27">
        <f>SUM(CP66:CQ66)</f>
        <v/>
      </c>
      <c r="CS66" s="28" t="n"/>
      <c r="CT66" s="31" t="n"/>
      <c r="CU66" s="29">
        <f>IF(AND(CR66=0,CS66=0,CT66=0),0,IF(AND(CR66=0,CS66=0),CT66/1,IF(AND(CR66=0,CT66=0),CS66/1,IF(AND(CS66=0,CT66=0),CR66/1,IF(CR66=0,FLOOR((CS66+CT66)/2,0.1),IF(CS66=0,(CR66+CT66)/2,IF(CT66=0,(CS66+CR66)/2,FLOOR(((CR66+CS66+CT66)/3),0.1))))))))</f>
        <v/>
      </c>
      <c r="CV66" s="21" t="n"/>
      <c r="CW66" s="21" t="n"/>
      <c r="CX66" s="27">
        <f>SUM(CV66:CW66)</f>
        <v/>
      </c>
      <c r="CY66" s="28" t="n"/>
      <c r="CZ66" s="31" t="n"/>
      <c r="DA66" s="29">
        <f>IF(AND(CX66=0,CY66=0,CZ66=0),0,IF(AND(CX66=0,CY66=0),CZ66/1,IF(AND(CX66=0,CZ66=0),CY66/1,IF(AND(CY66=0,CZ66=0),CX66/1,IF(CX66=0,FLOOR((CY66+CZ66)/2,0.1),IF(CY66=0,(CX66+CZ66)/2,IF(CZ66=0,(CY66+CX66)/2,FLOOR(((CX66+CY66+CZ66)/3),0.1))))))))</f>
        <v/>
      </c>
      <c r="DB66" s="21" t="n"/>
      <c r="DC66" s="21" t="n"/>
      <c r="DD66" s="27">
        <f>SUM(DB66:DC66)</f>
        <v/>
      </c>
      <c r="DE66" s="28" t="n"/>
      <c r="DF66" s="31" t="n"/>
      <c r="DG66" s="29">
        <f>IF(AND(DD66=0,DE66=0,DF66=0),0,IF(AND(DD66=0,DE66=0),DF66/1,IF(AND(DD66=0,DF66=0),DE66/1,IF(AND(DE66=0,DF66=0),DD66/1,IF(DD66=0,FLOOR((DE66+DF66)/2,0.1),IF(DE66=0,(DD66+DF66)/2,IF(DF66=0,(DE66+DD66)/2,FLOOR(((DD66+DE66+DF66)/3),0.1))))))))</f>
        <v/>
      </c>
      <c r="DH66" s="34">
        <f>SUM(O66,U66,AA66,AG66,AM66,AS66,AY66,BE66,BK66,BQ66,BW66,CC66,CI66,CO66,CU66,DA66,DG66)</f>
        <v/>
      </c>
      <c r="DI66" s="39">
        <f>RANK(DH66,DH$4:DH$503)</f>
        <v/>
      </c>
      <c r="DJ66" s="40" t="inlineStr">
        <is>
          <t>CHOOSE RATING</t>
        </is>
      </c>
      <c r="DK66" s="40" t="inlineStr">
        <is>
          <t>CHOOSE RATING</t>
        </is>
      </c>
      <c r="DL66" s="40" t="inlineStr">
        <is>
          <t>CHOOSE RATING</t>
        </is>
      </c>
      <c r="DM66" s="40" t="inlineStr">
        <is>
          <t>CHOOSE RATING</t>
        </is>
      </c>
      <c r="DN66" s="40" t="inlineStr">
        <is>
          <t>CHOOSE RATING</t>
        </is>
      </c>
      <c r="DO66" s="40" t="inlineStr">
        <is>
          <t>CHOOSE RATING</t>
        </is>
      </c>
      <c r="DP66" s="40" t="inlineStr">
        <is>
          <t>CHOOSE RATING</t>
        </is>
      </c>
      <c r="DQ66" s="40" t="inlineStr">
        <is>
          <t>CHOOSE RATING</t>
        </is>
      </c>
      <c r="DR66" s="43" t="inlineStr">
        <is>
          <t>2024/2025</t>
        </is>
      </c>
      <c r="DS66" s="45" t="inlineStr">
        <is>
          <t>THIRD</t>
        </is>
      </c>
      <c r="DT66" s="40" t="inlineStr">
        <is>
          <t>CHOOSE RATING</t>
        </is>
      </c>
      <c r="DU66" s="40" t="inlineStr">
        <is>
          <t>CHOOSE RATING</t>
        </is>
      </c>
      <c r="DV66" s="40" t="inlineStr">
        <is>
          <t>CHOOSE RATING</t>
        </is>
      </c>
      <c r="DW66" s="40" t="inlineStr">
        <is>
          <t>CHOOSE RATING</t>
        </is>
      </c>
      <c r="DX66" s="40" t="inlineStr">
        <is>
          <t>CHOOSE RATING</t>
        </is>
      </c>
      <c r="DY66" s="40" t="inlineStr">
        <is>
          <t>CHOOSE RATING</t>
        </is>
      </c>
      <c r="DZ66" s="53" t="inlineStr">
        <is>
          <t>CHOOSE RATING</t>
        </is>
      </c>
      <c r="EA66" s="54" t="inlineStr">
        <is>
          <t>Add the Tutor's Comment . . .</t>
        </is>
      </c>
      <c r="EB66" s="55" t="inlineStr">
        <is>
          <t>Choose Principals comment</t>
        </is>
      </c>
      <c r="EC66" s="56" t="n"/>
      <c r="ED66" s="57" t="inlineStr">
        <is>
          <t>Next Term Begins on Monday, 22nd September, 2025</t>
        </is>
      </c>
    </row>
    <row r="67" ht="30.6" customHeight="1" s="6">
      <c r="A67" s="18" t="n">
        <v>64</v>
      </c>
      <c r="B67" s="19" t="n"/>
      <c r="C67" s="20" t="n"/>
      <c r="D67" s="128" t="n"/>
      <c r="E67" s="21" t="n"/>
      <c r="F67" s="22" t="n"/>
      <c r="G67" s="22" t="n"/>
      <c r="H67" s="22" t="n"/>
      <c r="I67" s="26">
        <f>G67-H67</f>
        <v/>
      </c>
      <c r="J67" s="21" t="n"/>
      <c r="K67" s="21" t="n"/>
      <c r="L67" s="27">
        <f>SUM(J67:K67)</f>
        <v/>
      </c>
      <c r="M67" s="28" t="n"/>
      <c r="N67" s="28" t="n"/>
      <c r="O67" s="29">
        <f>IF(AND(L67=0,M67=0,N67=0),0,IF(AND(L67=0,M67=0),N67/1,IF(AND(L67=0,N67=0),M67/1,IF(AND(M67=0,N67=0),L67/1,IF(L67=0,FLOOR((M67+N67)/2,0.1),IF(M67=0,(L67+N67)/2,IF(N67=0,(M67+L67)/2,FLOOR(((L67+M67+N67)/3),0.1))))))))</f>
        <v/>
      </c>
      <c r="P67" s="21" t="n"/>
      <c r="Q67" s="21" t="n"/>
      <c r="R67" s="27">
        <f>SUM(P67:Q67)</f>
        <v/>
      </c>
      <c r="S67" s="28" t="n"/>
      <c r="T67" s="28" t="n"/>
      <c r="U67" s="29">
        <f>IF(AND(R67=0,S67=0,T67=0),0,IF(AND(R67=0,S67=0),T67/1,IF(AND(R67=0,T67=0),S67/1,IF(AND(S67=0,T67=0),R67/1,IF(R67=0,FLOOR((S67+T67)/2,0.1),IF(S67=0,(R67+T67)/2,IF(T67=0,(S67+R67)/2,FLOOR(((R67+S67+T67)/3),0.1))))))))</f>
        <v/>
      </c>
      <c r="V67" s="21" t="n"/>
      <c r="W67" s="21" t="n"/>
      <c r="X67" s="27">
        <f>SUM(V67:W67)</f>
        <v/>
      </c>
      <c r="Y67" s="28" t="n"/>
      <c r="Z67" s="28" t="n"/>
      <c r="AA67" s="29">
        <f>IF(AND(X67=0,Y67=0,Z67=0),0,IF(AND(X67=0,Y67=0),Z67/1,IF(AND(X67=0,Z67=0),Y67/1,IF(AND(Y67=0,Z67=0),X67/1,IF(X67=0,FLOOR((Y67+Z67)/2,0.1),IF(Y67=0,(X67+Z67)/2,IF(Z67=0,(Y67+X67)/2,FLOOR(((X67+Y67+Z67)/3),0.1))))))))</f>
        <v/>
      </c>
      <c r="AB67" s="21" t="n"/>
      <c r="AC67" s="21" t="n"/>
      <c r="AD67" s="27">
        <f>SUM(AB67:AC67)</f>
        <v/>
      </c>
      <c r="AE67" s="28" t="n"/>
      <c r="AF67" s="28" t="n"/>
      <c r="AG67" s="29">
        <f>IF(AND(AD67=0,AE67=0,AF67=0),0,IF(AND(AD67=0,AE67=0),AF67/1,IF(AND(AD67=0,AF67=0),AE67/1,IF(AND(AE67=0,AF67=0),AD67/1,IF(AD67=0,FLOOR((AE67+AF67)/2,0.1),IF(AE67=0,(AD67+AF67)/2,IF(AF67=0,(AE67+AD67)/2,FLOOR(((AD67+AE67+AF67)/3),0.1))))))))</f>
        <v/>
      </c>
      <c r="AH67" s="21" t="n"/>
      <c r="AI67" s="21" t="n"/>
      <c r="AJ67" s="27">
        <f>SUM(AH67:AI67)</f>
        <v/>
      </c>
      <c r="AK67" s="28" t="n"/>
      <c r="AL67" s="28" t="n"/>
      <c r="AM67" s="29">
        <f>IF(AND(AJ67=0,AK67=0,AL67=0),0,IF(AND(AJ67=0,AK67=0),AL67/1,IF(AND(AJ67=0,AL67=0),AK67/1,IF(AND(AK67=0,AL67=0),AJ67/1,IF(AJ67=0,FLOOR((AK67+AL67)/2,0.1),IF(AK67=0,(AJ67+AL67)/2,IF(AL67=0,(AK67+AJ67)/2,FLOOR(((AJ67+AK67+AL67)/3),0.1))))))))</f>
        <v/>
      </c>
      <c r="AN67" s="21" t="n"/>
      <c r="AO67" s="21" t="n"/>
      <c r="AP67" s="27">
        <f>SUM(AN67:AO67)</f>
        <v/>
      </c>
      <c r="AQ67" s="28" t="n"/>
      <c r="AR67" s="30" t="n"/>
      <c r="AS67" s="29">
        <f>IF(AND(AP67=0,AQ67=0,AR67=0),0,IF(AND(AP67=0,AQ67=0),AR67/1,IF(AND(AP67=0,AR67=0),AQ67/1,IF(AND(AQ67=0,AR67=0),AP67/1,IF(AP67=0,FLOOR((AQ67+AR67)/2,0.1),IF(AQ67=0,(AP67+AR67)/2,IF(AR67=0,(AQ67+AP67)/2,FLOOR(((AP67+AQ67+AR67)/3),0.1))))))))</f>
        <v/>
      </c>
      <c r="AT67" s="21" t="n"/>
      <c r="AU67" s="21" t="n"/>
      <c r="AV67" s="27">
        <f>SUM(AT67:AU67)</f>
        <v/>
      </c>
      <c r="AW67" s="28" t="n"/>
      <c r="AX67" s="30" t="n"/>
      <c r="AY67" s="29">
        <f>IF(AND(AV67=0,AW67=0,AX67=0),0,IF(AND(AV67=0,AW67=0),AX67/1,IF(AND(AV67=0,AX67=0),AW67/1,IF(AND(AW67=0,AX67=0),AV67/1,IF(AV67=0,FLOOR((AW67+AX67)/2,0.1),IF(AW67=0,(AV67+AX67)/2,IF(AX67=0,(AW67+AV67)/2,FLOOR(((AV67+AW67+AX67)/3),0.1))))))))</f>
        <v/>
      </c>
      <c r="AZ67" s="21" t="n"/>
      <c r="BA67" s="21" t="n"/>
      <c r="BB67" s="27">
        <f>SUM(AZ67:BA67)</f>
        <v/>
      </c>
      <c r="BC67" s="28" t="n"/>
      <c r="BD67" s="28" t="n"/>
      <c r="BE67" s="29">
        <f>IF(AND(BB67=0,BC67=0,BD67=0),0,IF(AND(BB67=0,BC67=0),BD67/1,IF(AND(BB67=0,BD67=0),BC67/1,IF(AND(BC67=0,BD67=0),BB67/1,IF(BB67=0,FLOOR((BC67+BD67)/2,0.1),IF(BC67=0,(BB67+BD67)/2,IF(BD67=0,(BC67+BB67)/2,FLOOR(((BB67+BC67+BD67)/3),0.1))))))))</f>
        <v/>
      </c>
      <c r="BF67" s="21" t="n"/>
      <c r="BG67" s="21" t="n"/>
      <c r="BH67" s="27">
        <f>SUM(BF67:BG67)</f>
        <v/>
      </c>
      <c r="BI67" s="28" t="n"/>
      <c r="BJ67" s="28" t="n"/>
      <c r="BK67" s="29">
        <f>IF(AND(BH67=0,BI67=0,BJ67=0),0,IF(AND(BH67=0,BI67=0),BJ67/1,IF(AND(BH67=0,BJ67=0),BI67/1,IF(AND(BI67=0,BJ67=0),BH67/1,IF(BH67=0,FLOOR((BI67+BJ67)/2,0.1),IF(BI67=0,(BH67+BJ67)/2,IF(BJ67=0,(BI67+BH67)/2,FLOOR(((BH67+BI67+BJ67)/3),0.1))))))))</f>
        <v/>
      </c>
      <c r="BL67" s="21" t="n"/>
      <c r="BM67" s="21" t="n"/>
      <c r="BN67" s="27">
        <f>SUM(BL67:BM67)</f>
        <v/>
      </c>
      <c r="BO67" s="28" t="n"/>
      <c r="BP67" s="31" t="n"/>
      <c r="BQ67" s="29">
        <f>IF(AND(BN67=0,BO67=0,BP67=0),0,IF(AND(BN67=0,BO67=0),BP67/1,IF(AND(BN67=0,BP67=0),BO67/1,IF(AND(BO67=0,BP67=0),BN67/1,IF(BN67=0,FLOOR((BO67+BP67)/2,0.1),IF(BO67=0,(BN67+BP67)/2,IF(BP67=0,(BO67+BN67)/2,FLOOR(((BN67+BO67+BP67)/3),0.1))))))))</f>
        <v/>
      </c>
      <c r="BR67" s="21" t="n"/>
      <c r="BS67" s="21" t="n"/>
      <c r="BT67" s="27">
        <f>SUM(BR67:BS67)</f>
        <v/>
      </c>
      <c r="BU67" s="28" t="n"/>
      <c r="BV67" s="31" t="n"/>
      <c r="BW67" s="29">
        <f>IF(AND(BT67=0,BU67=0,BV67=0),0,IF(AND(BT67=0,BU67=0),BV67/1,IF(AND(BT67=0,BV67=0),BU67/1,IF(AND(BU67=0,BV67=0),BT67/1,IF(BT67=0,FLOOR((BU67+BV67)/2,0.1),IF(BU67=0,(BT67+BV67)/2,IF(BV67=0,(BU67+BT67)/2,FLOOR(((BT67+BU67+BV67)/3),0.1))))))))</f>
        <v/>
      </c>
      <c r="BX67" s="21" t="n"/>
      <c r="BY67" s="21" t="n"/>
      <c r="BZ67" s="27">
        <f>SUM(BX67:BY67)</f>
        <v/>
      </c>
      <c r="CA67" s="28" t="n"/>
      <c r="CB67" s="31" t="n"/>
      <c r="CC67" s="29">
        <f>IF(AND(BZ67=0,CA67=0,CB67=0),0,IF(AND(BZ67=0,CA67=0),CB67/1,IF(AND(BZ67=0,CB67=0),CA67/1,IF(AND(CA67=0,CB67=0),BZ67/1,IF(BZ67=0,FLOOR((CA67+CB67)/2,0.1),IF(CA67=0,(BZ67+CB67)/2,IF(CB67=0,(CA67+BZ67)/2,FLOOR(((BZ67+CA67+CB67)/3),0.1))))))))</f>
        <v/>
      </c>
      <c r="CD67" s="21" t="n"/>
      <c r="CE67" s="21" t="n"/>
      <c r="CF67" s="27">
        <f>SUM(CD67:CE67)</f>
        <v/>
      </c>
      <c r="CG67" s="28" t="n"/>
      <c r="CH67" s="31" t="n"/>
      <c r="CI67" s="29">
        <f>IF(AND(CF67=0,CG67=0,CH67=0),0,IF(AND(CF67=0,CG67=0),CH67/1,IF(AND(CF67=0,CH67=0),CG67/1,IF(AND(CG67=0,CH67=0),CF67/1,IF(CF67=0,FLOOR((CG67+CH67)/2,0.1),IF(CG67=0,(CF67+CH67)/2,IF(CH67=0,(CG67+CF67)/2,FLOOR(((CF67+CG67+CH67)/3),0.1))))))))</f>
        <v/>
      </c>
      <c r="CJ67" s="21" t="n"/>
      <c r="CK67" s="21" t="n"/>
      <c r="CL67" s="27">
        <f>SUM(CJ67:CK67)</f>
        <v/>
      </c>
      <c r="CM67" s="28" t="n"/>
      <c r="CN67" s="31" t="n"/>
      <c r="CO67" s="29">
        <f>IF(AND(CL67=0,CM67=0,CN67=0),0,IF(AND(CL67=0,CM67=0),CN67/1,IF(AND(CL67=0,CN67=0),CM67/1,IF(AND(CM67=0,CN67=0),CL67/1,IF(CL67=0,FLOOR((CM67+CN67)/2,0.1),IF(CM67=0,(CL67+CN67)/2,IF(CN67=0,(CM67+CL67)/2,FLOOR(((CL67+CM67+CN67)/3),0.1))))))))</f>
        <v/>
      </c>
      <c r="CP67" s="21" t="n"/>
      <c r="CQ67" s="21" t="n"/>
      <c r="CR67" s="27">
        <f>SUM(CP67:CQ67)</f>
        <v/>
      </c>
      <c r="CS67" s="28" t="n"/>
      <c r="CT67" s="31" t="n"/>
      <c r="CU67" s="29">
        <f>IF(AND(CR67=0,CS67=0,CT67=0),0,IF(AND(CR67=0,CS67=0),CT67/1,IF(AND(CR67=0,CT67=0),CS67/1,IF(AND(CS67=0,CT67=0),CR67/1,IF(CR67=0,FLOOR((CS67+CT67)/2,0.1),IF(CS67=0,(CR67+CT67)/2,IF(CT67=0,(CS67+CR67)/2,FLOOR(((CR67+CS67+CT67)/3),0.1))))))))</f>
        <v/>
      </c>
      <c r="CV67" s="21" t="n"/>
      <c r="CW67" s="21" t="n"/>
      <c r="CX67" s="27">
        <f>SUM(CV67:CW67)</f>
        <v/>
      </c>
      <c r="CY67" s="28" t="n"/>
      <c r="CZ67" s="31" t="n"/>
      <c r="DA67" s="29">
        <f>IF(AND(CX67=0,CY67=0,CZ67=0),0,IF(AND(CX67=0,CY67=0),CZ67/1,IF(AND(CX67=0,CZ67=0),CY67/1,IF(AND(CY67=0,CZ67=0),CX67/1,IF(CX67=0,FLOOR((CY67+CZ67)/2,0.1),IF(CY67=0,(CX67+CZ67)/2,IF(CZ67=0,(CY67+CX67)/2,FLOOR(((CX67+CY67+CZ67)/3),0.1))))))))</f>
        <v/>
      </c>
      <c r="DB67" s="21" t="n"/>
      <c r="DC67" s="21" t="n"/>
      <c r="DD67" s="27">
        <f>SUM(DB67:DC67)</f>
        <v/>
      </c>
      <c r="DE67" s="28" t="n"/>
      <c r="DF67" s="31" t="n"/>
      <c r="DG67" s="29">
        <f>IF(AND(DD67=0,DE67=0,DF67=0),0,IF(AND(DD67=0,DE67=0),DF67/1,IF(AND(DD67=0,DF67=0),DE67/1,IF(AND(DE67=0,DF67=0),DD67/1,IF(DD67=0,FLOOR((DE67+DF67)/2,0.1),IF(DE67=0,(DD67+DF67)/2,IF(DF67=0,(DE67+DD67)/2,FLOOR(((DD67+DE67+DF67)/3),0.1))))))))</f>
        <v/>
      </c>
      <c r="DH67" s="34">
        <f>SUM(O67,U67,AA67,AG67,AM67,AS67,AY67,BE67,BK67,BQ67,BW67,CC67,CI67,CO67,CU67,DA67,DG67)</f>
        <v/>
      </c>
      <c r="DI67" s="39">
        <f>RANK(DH67,DH$4:DH$503)</f>
        <v/>
      </c>
      <c r="DJ67" s="40" t="inlineStr">
        <is>
          <t>CHOOSE RATING</t>
        </is>
      </c>
      <c r="DK67" s="40" t="inlineStr">
        <is>
          <t>CHOOSE RATING</t>
        </is>
      </c>
      <c r="DL67" s="40" t="inlineStr">
        <is>
          <t>CHOOSE RATING</t>
        </is>
      </c>
      <c r="DM67" s="40" t="inlineStr">
        <is>
          <t>CHOOSE RATING</t>
        </is>
      </c>
      <c r="DN67" s="40" t="inlineStr">
        <is>
          <t>CHOOSE RATING</t>
        </is>
      </c>
      <c r="DO67" s="40" t="inlineStr">
        <is>
          <t>CHOOSE RATING</t>
        </is>
      </c>
      <c r="DP67" s="40" t="inlineStr">
        <is>
          <t>CHOOSE RATING</t>
        </is>
      </c>
      <c r="DQ67" s="40" t="inlineStr">
        <is>
          <t>CHOOSE RATING</t>
        </is>
      </c>
      <c r="DR67" s="43" t="inlineStr">
        <is>
          <t>2024/2025</t>
        </is>
      </c>
      <c r="DS67" s="45" t="inlineStr">
        <is>
          <t>THIRD</t>
        </is>
      </c>
      <c r="DT67" s="40" t="inlineStr">
        <is>
          <t>CHOOSE RATING</t>
        </is>
      </c>
      <c r="DU67" s="40" t="inlineStr">
        <is>
          <t>CHOOSE RATING</t>
        </is>
      </c>
      <c r="DV67" s="40" t="inlineStr">
        <is>
          <t>CHOOSE RATING</t>
        </is>
      </c>
      <c r="DW67" s="40" t="inlineStr">
        <is>
          <t>CHOOSE RATING</t>
        </is>
      </c>
      <c r="DX67" s="40" t="inlineStr">
        <is>
          <t>CHOOSE RATING</t>
        </is>
      </c>
      <c r="DY67" s="40" t="inlineStr">
        <is>
          <t>CHOOSE RATING</t>
        </is>
      </c>
      <c r="DZ67" s="53" t="inlineStr">
        <is>
          <t>CHOOSE RATING</t>
        </is>
      </c>
      <c r="EA67" s="54" t="inlineStr">
        <is>
          <t>Add the Tutor's Comment . . .</t>
        </is>
      </c>
      <c r="EB67" s="55" t="inlineStr">
        <is>
          <t>Choose Principals comment</t>
        </is>
      </c>
      <c r="EC67" s="56" t="n"/>
      <c r="ED67" s="57" t="inlineStr">
        <is>
          <t>Next Term Begins on Monday, 22nd September, 2025</t>
        </is>
      </c>
    </row>
    <row r="68" ht="30.6" customHeight="1" s="6">
      <c r="A68" s="18" t="n">
        <v>65</v>
      </c>
      <c r="B68" s="19" t="n"/>
      <c r="C68" s="20" t="n"/>
      <c r="D68" s="128" t="n"/>
      <c r="E68" s="21" t="n"/>
      <c r="F68" s="22" t="n"/>
      <c r="G68" s="22" t="n"/>
      <c r="H68" s="22" t="n"/>
      <c r="I68" s="26">
        <f>G68-H68</f>
        <v/>
      </c>
      <c r="J68" s="21" t="n"/>
      <c r="K68" s="21" t="n"/>
      <c r="L68" s="27">
        <f>SUM(J68:K68)</f>
        <v/>
      </c>
      <c r="M68" s="28" t="n"/>
      <c r="N68" s="28" t="n"/>
      <c r="O68" s="29">
        <f>IF(AND(L68=0,M68=0,N68=0),0,IF(AND(L68=0,M68=0),N68/1,IF(AND(L68=0,N68=0),M68/1,IF(AND(M68=0,N68=0),L68/1,IF(L68=0,FLOOR((M68+N68)/2,0.1),IF(M68=0,(L68+N68)/2,IF(N68=0,(M68+L68)/2,FLOOR(((L68+M68+N68)/3),0.1))))))))</f>
        <v/>
      </c>
      <c r="P68" s="21" t="n"/>
      <c r="Q68" s="21" t="n"/>
      <c r="R68" s="27">
        <f>SUM(P68:Q68)</f>
        <v/>
      </c>
      <c r="S68" s="28" t="n"/>
      <c r="T68" s="28" t="n"/>
      <c r="U68" s="29">
        <f>IF(AND(R68=0,S68=0,T68=0),0,IF(AND(R68=0,S68=0),T68/1,IF(AND(R68=0,T68=0),S68/1,IF(AND(S68=0,T68=0),R68/1,IF(R68=0,FLOOR((S68+T68)/2,0.1),IF(S68=0,(R68+T68)/2,IF(T68=0,(S68+R68)/2,FLOOR(((R68+S68+T68)/3),0.1))))))))</f>
        <v/>
      </c>
      <c r="V68" s="21" t="n"/>
      <c r="W68" s="21" t="n"/>
      <c r="X68" s="27">
        <f>SUM(V68:W68)</f>
        <v/>
      </c>
      <c r="Y68" s="28" t="n"/>
      <c r="Z68" s="28" t="n"/>
      <c r="AA68" s="29">
        <f>IF(AND(X68=0,Y68=0,Z68=0),0,IF(AND(X68=0,Y68=0),Z68/1,IF(AND(X68=0,Z68=0),Y68/1,IF(AND(Y68=0,Z68=0),X68/1,IF(X68=0,FLOOR((Y68+Z68)/2,0.1),IF(Y68=0,(X68+Z68)/2,IF(Z68=0,(Y68+X68)/2,FLOOR(((X68+Y68+Z68)/3),0.1))))))))</f>
        <v/>
      </c>
      <c r="AB68" s="21" t="n"/>
      <c r="AC68" s="21" t="n"/>
      <c r="AD68" s="27">
        <f>SUM(AB68:AC68)</f>
        <v/>
      </c>
      <c r="AE68" s="28" t="n"/>
      <c r="AF68" s="28" t="n"/>
      <c r="AG68" s="29">
        <f>IF(AND(AD68=0,AE68=0,AF68=0),0,IF(AND(AD68=0,AE68=0),AF68/1,IF(AND(AD68=0,AF68=0),AE68/1,IF(AND(AE68=0,AF68=0),AD68/1,IF(AD68=0,FLOOR((AE68+AF68)/2,0.1),IF(AE68=0,(AD68+AF68)/2,IF(AF68=0,(AE68+AD68)/2,FLOOR(((AD68+AE68+AF68)/3),0.1))))))))</f>
        <v/>
      </c>
      <c r="AH68" s="21" t="n"/>
      <c r="AI68" s="21" t="n"/>
      <c r="AJ68" s="27">
        <f>SUM(AH68:AI68)</f>
        <v/>
      </c>
      <c r="AK68" s="28" t="n"/>
      <c r="AL68" s="28" t="n"/>
      <c r="AM68" s="29">
        <f>IF(AND(AJ68=0,AK68=0,AL68=0),0,IF(AND(AJ68=0,AK68=0),AL68/1,IF(AND(AJ68=0,AL68=0),AK68/1,IF(AND(AK68=0,AL68=0),AJ68/1,IF(AJ68=0,FLOOR((AK68+AL68)/2,0.1),IF(AK68=0,(AJ68+AL68)/2,IF(AL68=0,(AK68+AJ68)/2,FLOOR(((AJ68+AK68+AL68)/3),0.1))))))))</f>
        <v/>
      </c>
      <c r="AN68" s="21" t="n"/>
      <c r="AO68" s="21" t="n"/>
      <c r="AP68" s="27">
        <f>SUM(AN68:AO68)</f>
        <v/>
      </c>
      <c r="AQ68" s="28" t="n"/>
      <c r="AR68" s="30" t="n"/>
      <c r="AS68" s="29">
        <f>IF(AND(AP68=0,AQ68=0,AR68=0),0,IF(AND(AP68=0,AQ68=0),AR68/1,IF(AND(AP68=0,AR68=0),AQ68/1,IF(AND(AQ68=0,AR68=0),AP68/1,IF(AP68=0,FLOOR((AQ68+AR68)/2,0.1),IF(AQ68=0,(AP68+AR68)/2,IF(AR68=0,(AQ68+AP68)/2,FLOOR(((AP68+AQ68+AR68)/3),0.1))))))))</f>
        <v/>
      </c>
      <c r="AT68" s="21" t="n"/>
      <c r="AU68" s="21" t="n"/>
      <c r="AV68" s="27">
        <f>SUM(AT68:AU68)</f>
        <v/>
      </c>
      <c r="AW68" s="28" t="n"/>
      <c r="AX68" s="30" t="n"/>
      <c r="AY68" s="29">
        <f>IF(AND(AV68=0,AW68=0,AX68=0),0,IF(AND(AV68=0,AW68=0),AX68/1,IF(AND(AV68=0,AX68=0),AW68/1,IF(AND(AW68=0,AX68=0),AV68/1,IF(AV68=0,FLOOR((AW68+AX68)/2,0.1),IF(AW68=0,(AV68+AX68)/2,IF(AX68=0,(AW68+AV68)/2,FLOOR(((AV68+AW68+AX68)/3),0.1))))))))</f>
        <v/>
      </c>
      <c r="AZ68" s="21" t="n"/>
      <c r="BA68" s="21" t="n"/>
      <c r="BB68" s="27">
        <f>SUM(AZ68:BA68)</f>
        <v/>
      </c>
      <c r="BC68" s="28" t="n"/>
      <c r="BD68" s="28" t="n"/>
      <c r="BE68" s="29">
        <f>IF(AND(BB68=0,BC68=0,BD68=0),0,IF(AND(BB68=0,BC68=0),BD68/1,IF(AND(BB68=0,BD68=0),BC68/1,IF(AND(BC68=0,BD68=0),BB68/1,IF(BB68=0,FLOOR((BC68+BD68)/2,0.1),IF(BC68=0,(BB68+BD68)/2,IF(BD68=0,(BC68+BB68)/2,FLOOR(((BB68+BC68+BD68)/3),0.1))))))))</f>
        <v/>
      </c>
      <c r="BF68" s="21" t="n"/>
      <c r="BG68" s="21" t="n"/>
      <c r="BH68" s="27">
        <f>SUM(BF68:BG68)</f>
        <v/>
      </c>
      <c r="BI68" s="28" t="n"/>
      <c r="BJ68" s="28" t="n"/>
      <c r="BK68" s="29">
        <f>IF(AND(BH68=0,BI68=0,BJ68=0),0,IF(AND(BH68=0,BI68=0),BJ68/1,IF(AND(BH68=0,BJ68=0),BI68/1,IF(AND(BI68=0,BJ68=0),BH68/1,IF(BH68=0,FLOOR((BI68+BJ68)/2,0.1),IF(BI68=0,(BH68+BJ68)/2,IF(BJ68=0,(BI68+BH68)/2,FLOOR(((BH68+BI68+BJ68)/3),0.1))))))))</f>
        <v/>
      </c>
      <c r="BL68" s="21" t="n"/>
      <c r="BM68" s="21" t="n"/>
      <c r="BN68" s="27">
        <f>SUM(BL68:BM68)</f>
        <v/>
      </c>
      <c r="BO68" s="28" t="n"/>
      <c r="BP68" s="31" t="n"/>
      <c r="BQ68" s="29">
        <f>IF(AND(BN68=0,BO68=0,BP68=0),0,IF(AND(BN68=0,BO68=0),BP68/1,IF(AND(BN68=0,BP68=0),BO68/1,IF(AND(BO68=0,BP68=0),BN68/1,IF(BN68=0,FLOOR((BO68+BP68)/2,0.1),IF(BO68=0,(BN68+BP68)/2,IF(BP68=0,(BO68+BN68)/2,FLOOR(((BN68+BO68+BP68)/3),0.1))))))))</f>
        <v/>
      </c>
      <c r="BR68" s="21" t="n"/>
      <c r="BS68" s="21" t="n"/>
      <c r="BT68" s="27">
        <f>SUM(BR68:BS68)</f>
        <v/>
      </c>
      <c r="BU68" s="28" t="n"/>
      <c r="BV68" s="31" t="n"/>
      <c r="BW68" s="29">
        <f>IF(AND(BT68=0,BU68=0,BV68=0),0,IF(AND(BT68=0,BU68=0),BV68/1,IF(AND(BT68=0,BV68=0),BU68/1,IF(AND(BU68=0,BV68=0),BT68/1,IF(BT68=0,FLOOR((BU68+BV68)/2,0.1),IF(BU68=0,(BT68+BV68)/2,IF(BV68=0,(BU68+BT68)/2,FLOOR(((BT68+BU68+BV68)/3),0.1))))))))</f>
        <v/>
      </c>
      <c r="BX68" s="21" t="n"/>
      <c r="BY68" s="21" t="n"/>
      <c r="BZ68" s="27">
        <f>SUM(BX68:BY68)</f>
        <v/>
      </c>
      <c r="CA68" s="28" t="n"/>
      <c r="CB68" s="31" t="n"/>
      <c r="CC68" s="29">
        <f>IF(AND(BZ68=0,CA68=0,CB68=0),0,IF(AND(BZ68=0,CA68=0),CB68/1,IF(AND(BZ68=0,CB68=0),CA68/1,IF(AND(CA68=0,CB68=0),BZ68/1,IF(BZ68=0,FLOOR((CA68+CB68)/2,0.1),IF(CA68=0,(BZ68+CB68)/2,IF(CB68=0,(CA68+BZ68)/2,FLOOR(((BZ68+CA68+CB68)/3),0.1))))))))</f>
        <v/>
      </c>
      <c r="CD68" s="21" t="n"/>
      <c r="CE68" s="21" t="n"/>
      <c r="CF68" s="27">
        <f>SUM(CD68:CE68)</f>
        <v/>
      </c>
      <c r="CG68" s="28" t="n"/>
      <c r="CH68" s="31" t="n"/>
      <c r="CI68" s="29">
        <f>IF(AND(CF68=0,CG68=0,CH68=0),0,IF(AND(CF68=0,CG68=0),CH68/1,IF(AND(CF68=0,CH68=0),CG68/1,IF(AND(CG68=0,CH68=0),CF68/1,IF(CF68=0,FLOOR((CG68+CH68)/2,0.1),IF(CG68=0,(CF68+CH68)/2,IF(CH68=0,(CG68+CF68)/2,FLOOR(((CF68+CG68+CH68)/3),0.1))))))))</f>
        <v/>
      </c>
      <c r="CJ68" s="21" t="n"/>
      <c r="CK68" s="21" t="n"/>
      <c r="CL68" s="27">
        <f>SUM(CJ68:CK68)</f>
        <v/>
      </c>
      <c r="CM68" s="28" t="n"/>
      <c r="CN68" s="31" t="n"/>
      <c r="CO68" s="29">
        <f>IF(AND(CL68=0,CM68=0,CN68=0),0,IF(AND(CL68=0,CM68=0),CN68/1,IF(AND(CL68=0,CN68=0),CM68/1,IF(AND(CM68=0,CN68=0),CL68/1,IF(CL68=0,FLOOR((CM68+CN68)/2,0.1),IF(CM68=0,(CL68+CN68)/2,IF(CN68=0,(CM68+CL68)/2,FLOOR(((CL68+CM68+CN68)/3),0.1))))))))</f>
        <v/>
      </c>
      <c r="CP68" s="21" t="n"/>
      <c r="CQ68" s="21" t="n"/>
      <c r="CR68" s="27">
        <f>SUM(CP68:CQ68)</f>
        <v/>
      </c>
      <c r="CS68" s="28" t="n"/>
      <c r="CT68" s="31" t="n"/>
      <c r="CU68" s="29">
        <f>IF(AND(CR68=0,CS68=0,CT68=0),0,IF(AND(CR68=0,CS68=0),CT68/1,IF(AND(CR68=0,CT68=0),CS68/1,IF(AND(CS68=0,CT68=0),CR68/1,IF(CR68=0,FLOOR((CS68+CT68)/2,0.1),IF(CS68=0,(CR68+CT68)/2,IF(CT68=0,(CS68+CR68)/2,FLOOR(((CR68+CS68+CT68)/3),0.1))))))))</f>
        <v/>
      </c>
      <c r="CV68" s="21" t="n"/>
      <c r="CW68" s="21" t="n"/>
      <c r="CX68" s="27">
        <f>SUM(CV68:CW68)</f>
        <v/>
      </c>
      <c r="CY68" s="28" t="n"/>
      <c r="CZ68" s="31" t="n"/>
      <c r="DA68" s="29">
        <f>IF(AND(CX68=0,CY68=0,CZ68=0),0,IF(AND(CX68=0,CY68=0),CZ68/1,IF(AND(CX68=0,CZ68=0),CY68/1,IF(AND(CY68=0,CZ68=0),CX68/1,IF(CX68=0,FLOOR((CY68+CZ68)/2,0.1),IF(CY68=0,(CX68+CZ68)/2,IF(CZ68=0,(CY68+CX68)/2,FLOOR(((CX68+CY68+CZ68)/3),0.1))))))))</f>
        <v/>
      </c>
      <c r="DB68" s="21" t="n"/>
      <c r="DC68" s="21" t="n"/>
      <c r="DD68" s="27">
        <f>SUM(DB68:DC68)</f>
        <v/>
      </c>
      <c r="DE68" s="28" t="n"/>
      <c r="DF68" s="31" t="n"/>
      <c r="DG68" s="29">
        <f>IF(AND(DD68=0,DE68=0,DF68=0),0,IF(AND(DD68=0,DE68=0),DF68/1,IF(AND(DD68=0,DF68=0),DE68/1,IF(AND(DE68=0,DF68=0),DD68/1,IF(DD68=0,FLOOR((DE68+DF68)/2,0.1),IF(DE68=0,(DD68+DF68)/2,IF(DF68=0,(DE68+DD68)/2,FLOOR(((DD68+DE68+DF68)/3),0.1))))))))</f>
        <v/>
      </c>
      <c r="DH68" s="34">
        <f>SUM(O68,U68,AA68,AG68,AM68,AS68,AY68,BE68,BK68,BQ68,BW68,CC68,CI68,CO68,CU68,DA68,DG68)</f>
        <v/>
      </c>
      <c r="DI68" s="39">
        <f>RANK(DH68,DH$4:DH$503)</f>
        <v/>
      </c>
      <c r="DJ68" s="40" t="inlineStr">
        <is>
          <t>CHOOSE RATING</t>
        </is>
      </c>
      <c r="DK68" s="40" t="inlineStr">
        <is>
          <t>CHOOSE RATING</t>
        </is>
      </c>
      <c r="DL68" s="40" t="inlineStr">
        <is>
          <t>CHOOSE RATING</t>
        </is>
      </c>
      <c r="DM68" s="40" t="inlineStr">
        <is>
          <t>CHOOSE RATING</t>
        </is>
      </c>
      <c r="DN68" s="40" t="inlineStr">
        <is>
          <t>CHOOSE RATING</t>
        </is>
      </c>
      <c r="DO68" s="40" t="inlineStr">
        <is>
          <t>CHOOSE RATING</t>
        </is>
      </c>
      <c r="DP68" s="40" t="inlineStr">
        <is>
          <t>CHOOSE RATING</t>
        </is>
      </c>
      <c r="DQ68" s="40" t="inlineStr">
        <is>
          <t>CHOOSE RATING</t>
        </is>
      </c>
      <c r="DR68" s="43" t="inlineStr">
        <is>
          <t>2024/2025</t>
        </is>
      </c>
      <c r="DS68" s="45" t="inlineStr">
        <is>
          <t>THIRD</t>
        </is>
      </c>
      <c r="DT68" s="40" t="inlineStr">
        <is>
          <t>CHOOSE RATING</t>
        </is>
      </c>
      <c r="DU68" s="40" t="inlineStr">
        <is>
          <t>CHOOSE RATING</t>
        </is>
      </c>
      <c r="DV68" s="40" t="inlineStr">
        <is>
          <t>CHOOSE RATING</t>
        </is>
      </c>
      <c r="DW68" s="40" t="inlineStr">
        <is>
          <t>CHOOSE RATING</t>
        </is>
      </c>
      <c r="DX68" s="40" t="inlineStr">
        <is>
          <t>CHOOSE RATING</t>
        </is>
      </c>
      <c r="DY68" s="40" t="inlineStr">
        <is>
          <t>CHOOSE RATING</t>
        </is>
      </c>
      <c r="DZ68" s="53" t="inlineStr">
        <is>
          <t>CHOOSE RATING</t>
        </is>
      </c>
      <c r="EA68" s="54" t="inlineStr">
        <is>
          <t>Add the Tutor's Comment . . .</t>
        </is>
      </c>
      <c r="EB68" s="55" t="inlineStr">
        <is>
          <t>Choose Principals comment</t>
        </is>
      </c>
      <c r="EC68" s="56" t="n"/>
      <c r="ED68" s="57" t="inlineStr">
        <is>
          <t>Next Term Begins on Monday, 22nd September, 2025</t>
        </is>
      </c>
    </row>
    <row r="69" ht="30.6" customHeight="1" s="6">
      <c r="A69" s="18" t="n">
        <v>66</v>
      </c>
      <c r="B69" s="19" t="n"/>
      <c r="C69" s="20" t="n"/>
      <c r="D69" s="128" t="n"/>
      <c r="E69" s="21" t="n"/>
      <c r="F69" s="22" t="n"/>
      <c r="G69" s="22" t="n"/>
      <c r="H69" s="22" t="n"/>
      <c r="I69" s="26">
        <f>G69-H69</f>
        <v/>
      </c>
      <c r="J69" s="21" t="n"/>
      <c r="K69" s="21" t="n"/>
      <c r="L69" s="27">
        <f>SUM(J69:K69)</f>
        <v/>
      </c>
      <c r="M69" s="28" t="n"/>
      <c r="N69" s="28" t="n"/>
      <c r="O69" s="29">
        <f>IF(AND(L69=0,M69=0,N69=0),0,IF(AND(L69=0,M69=0),N69/1,IF(AND(L69=0,N69=0),M69/1,IF(AND(M69=0,N69=0),L69/1,IF(L69=0,FLOOR((M69+N69)/2,0.1),IF(M69=0,(L69+N69)/2,IF(N69=0,(M69+L69)/2,FLOOR(((L69+M69+N69)/3),0.1))))))))</f>
        <v/>
      </c>
      <c r="P69" s="21" t="n"/>
      <c r="Q69" s="21" t="n"/>
      <c r="R69" s="27">
        <f>SUM(P69:Q69)</f>
        <v/>
      </c>
      <c r="S69" s="28" t="n"/>
      <c r="T69" s="28" t="n"/>
      <c r="U69" s="29">
        <f>IF(AND(R69=0,S69=0,T69=0),0,IF(AND(R69=0,S69=0),T69/1,IF(AND(R69=0,T69=0),S69/1,IF(AND(S69=0,T69=0),R69/1,IF(R69=0,FLOOR((S69+T69)/2,0.1),IF(S69=0,(R69+T69)/2,IF(T69=0,(S69+R69)/2,FLOOR(((R69+S69+T69)/3),0.1))))))))</f>
        <v/>
      </c>
      <c r="V69" s="21" t="n"/>
      <c r="W69" s="21" t="n"/>
      <c r="X69" s="27">
        <f>SUM(V69:W69)</f>
        <v/>
      </c>
      <c r="Y69" s="28" t="n"/>
      <c r="Z69" s="28" t="n"/>
      <c r="AA69" s="29">
        <f>IF(AND(X69=0,Y69=0,Z69=0),0,IF(AND(X69=0,Y69=0),Z69/1,IF(AND(X69=0,Z69=0),Y69/1,IF(AND(Y69=0,Z69=0),X69/1,IF(X69=0,FLOOR((Y69+Z69)/2,0.1),IF(Y69=0,(X69+Z69)/2,IF(Z69=0,(Y69+X69)/2,FLOOR(((X69+Y69+Z69)/3),0.1))))))))</f>
        <v/>
      </c>
      <c r="AB69" s="21" t="n"/>
      <c r="AC69" s="21" t="n"/>
      <c r="AD69" s="27">
        <f>SUM(AB69:AC69)</f>
        <v/>
      </c>
      <c r="AE69" s="28" t="n"/>
      <c r="AF69" s="28" t="n"/>
      <c r="AG69" s="29">
        <f>IF(AND(AD69=0,AE69=0,AF69=0),0,IF(AND(AD69=0,AE69=0),AF69/1,IF(AND(AD69=0,AF69=0),AE69/1,IF(AND(AE69=0,AF69=0),AD69/1,IF(AD69=0,FLOOR((AE69+AF69)/2,0.1),IF(AE69=0,(AD69+AF69)/2,IF(AF69=0,(AE69+AD69)/2,FLOOR(((AD69+AE69+AF69)/3),0.1))))))))</f>
        <v/>
      </c>
      <c r="AH69" s="21" t="n"/>
      <c r="AI69" s="21" t="n"/>
      <c r="AJ69" s="27">
        <f>SUM(AH69:AI69)</f>
        <v/>
      </c>
      <c r="AK69" s="28" t="n"/>
      <c r="AL69" s="28" t="n"/>
      <c r="AM69" s="29">
        <f>IF(AND(AJ69=0,AK69=0,AL69=0),0,IF(AND(AJ69=0,AK69=0),AL69/1,IF(AND(AJ69=0,AL69=0),AK69/1,IF(AND(AK69=0,AL69=0),AJ69/1,IF(AJ69=0,FLOOR((AK69+AL69)/2,0.1),IF(AK69=0,(AJ69+AL69)/2,IF(AL69=0,(AK69+AJ69)/2,FLOOR(((AJ69+AK69+AL69)/3),0.1))))))))</f>
        <v/>
      </c>
      <c r="AN69" s="21" t="n"/>
      <c r="AO69" s="21" t="n"/>
      <c r="AP69" s="27">
        <f>SUM(AN69:AO69)</f>
        <v/>
      </c>
      <c r="AQ69" s="28" t="n"/>
      <c r="AR69" s="30" t="n"/>
      <c r="AS69" s="29">
        <f>IF(AND(AP69=0,AQ69=0,AR69=0),0,IF(AND(AP69=0,AQ69=0),AR69/1,IF(AND(AP69=0,AR69=0),AQ69/1,IF(AND(AQ69=0,AR69=0),AP69/1,IF(AP69=0,FLOOR((AQ69+AR69)/2,0.1),IF(AQ69=0,(AP69+AR69)/2,IF(AR69=0,(AQ69+AP69)/2,FLOOR(((AP69+AQ69+AR69)/3),0.1))))))))</f>
        <v/>
      </c>
      <c r="AT69" s="21" t="n"/>
      <c r="AU69" s="21" t="n"/>
      <c r="AV69" s="27">
        <f>SUM(AT69:AU69)</f>
        <v/>
      </c>
      <c r="AW69" s="28" t="n"/>
      <c r="AX69" s="30" t="n"/>
      <c r="AY69" s="29">
        <f>IF(AND(AV69=0,AW69=0,AX69=0),0,IF(AND(AV69=0,AW69=0),AX69/1,IF(AND(AV69=0,AX69=0),AW69/1,IF(AND(AW69=0,AX69=0),AV69/1,IF(AV69=0,FLOOR((AW69+AX69)/2,0.1),IF(AW69=0,(AV69+AX69)/2,IF(AX69=0,(AW69+AV69)/2,FLOOR(((AV69+AW69+AX69)/3),0.1))))))))</f>
        <v/>
      </c>
      <c r="AZ69" s="21" t="n"/>
      <c r="BA69" s="21" t="n"/>
      <c r="BB69" s="27">
        <f>SUM(AZ69:BA69)</f>
        <v/>
      </c>
      <c r="BC69" s="28" t="n"/>
      <c r="BD69" s="28" t="n"/>
      <c r="BE69" s="29">
        <f>IF(AND(BB69=0,BC69=0,BD69=0),0,IF(AND(BB69=0,BC69=0),BD69/1,IF(AND(BB69=0,BD69=0),BC69/1,IF(AND(BC69=0,BD69=0),BB69/1,IF(BB69=0,FLOOR((BC69+BD69)/2,0.1),IF(BC69=0,(BB69+BD69)/2,IF(BD69=0,(BC69+BB69)/2,FLOOR(((BB69+BC69+BD69)/3),0.1))))))))</f>
        <v/>
      </c>
      <c r="BF69" s="21" t="n"/>
      <c r="BG69" s="21" t="n"/>
      <c r="BH69" s="27">
        <f>SUM(BF69:BG69)</f>
        <v/>
      </c>
      <c r="BI69" s="28" t="n"/>
      <c r="BJ69" s="28" t="n"/>
      <c r="BK69" s="29">
        <f>IF(AND(BH69=0,BI69=0,BJ69=0),0,IF(AND(BH69=0,BI69=0),BJ69/1,IF(AND(BH69=0,BJ69=0),BI69/1,IF(AND(BI69=0,BJ69=0),BH69/1,IF(BH69=0,FLOOR((BI69+BJ69)/2,0.1),IF(BI69=0,(BH69+BJ69)/2,IF(BJ69=0,(BI69+BH69)/2,FLOOR(((BH69+BI69+BJ69)/3),0.1))))))))</f>
        <v/>
      </c>
      <c r="BL69" s="21" t="n"/>
      <c r="BM69" s="21" t="n"/>
      <c r="BN69" s="27">
        <f>SUM(BL69:BM69)</f>
        <v/>
      </c>
      <c r="BO69" s="28" t="n"/>
      <c r="BP69" s="31" t="n"/>
      <c r="BQ69" s="29">
        <f>IF(AND(BN69=0,BO69=0,BP69=0),0,IF(AND(BN69=0,BO69=0),BP69/1,IF(AND(BN69=0,BP69=0),BO69/1,IF(AND(BO69=0,BP69=0),BN69/1,IF(BN69=0,FLOOR((BO69+BP69)/2,0.1),IF(BO69=0,(BN69+BP69)/2,IF(BP69=0,(BO69+BN69)/2,FLOOR(((BN69+BO69+BP69)/3),0.1))))))))</f>
        <v/>
      </c>
      <c r="BR69" s="21" t="n"/>
      <c r="BS69" s="21" t="n"/>
      <c r="BT69" s="27">
        <f>SUM(BR69:BS69)</f>
        <v/>
      </c>
      <c r="BU69" s="28" t="n"/>
      <c r="BV69" s="31" t="n"/>
      <c r="BW69" s="29">
        <f>IF(AND(BT69=0,BU69=0,BV69=0),0,IF(AND(BT69=0,BU69=0),BV69/1,IF(AND(BT69=0,BV69=0),BU69/1,IF(AND(BU69=0,BV69=0),BT69/1,IF(BT69=0,FLOOR((BU69+BV69)/2,0.1),IF(BU69=0,(BT69+BV69)/2,IF(BV69=0,(BU69+BT69)/2,FLOOR(((BT69+BU69+BV69)/3),0.1))))))))</f>
        <v/>
      </c>
      <c r="BX69" s="21" t="n"/>
      <c r="BY69" s="21" t="n"/>
      <c r="BZ69" s="27">
        <f>SUM(BX69:BY69)</f>
        <v/>
      </c>
      <c r="CA69" s="28" t="n"/>
      <c r="CB69" s="31" t="n"/>
      <c r="CC69" s="29">
        <f>IF(AND(BZ69=0,CA69=0,CB69=0),0,IF(AND(BZ69=0,CA69=0),CB69/1,IF(AND(BZ69=0,CB69=0),CA69/1,IF(AND(CA69=0,CB69=0),BZ69/1,IF(BZ69=0,FLOOR((CA69+CB69)/2,0.1),IF(CA69=0,(BZ69+CB69)/2,IF(CB69=0,(CA69+BZ69)/2,FLOOR(((BZ69+CA69+CB69)/3),0.1))))))))</f>
        <v/>
      </c>
      <c r="CD69" s="21" t="n"/>
      <c r="CE69" s="21" t="n"/>
      <c r="CF69" s="27">
        <f>SUM(CD69:CE69)</f>
        <v/>
      </c>
      <c r="CG69" s="28" t="n"/>
      <c r="CH69" s="31" t="n"/>
      <c r="CI69" s="29">
        <f>IF(AND(CF69=0,CG69=0,CH69=0),0,IF(AND(CF69=0,CG69=0),CH69/1,IF(AND(CF69=0,CH69=0),CG69/1,IF(AND(CG69=0,CH69=0),CF69/1,IF(CF69=0,FLOOR((CG69+CH69)/2,0.1),IF(CG69=0,(CF69+CH69)/2,IF(CH69=0,(CG69+CF69)/2,FLOOR(((CF69+CG69+CH69)/3),0.1))))))))</f>
        <v/>
      </c>
      <c r="CJ69" s="21" t="n"/>
      <c r="CK69" s="21" t="n"/>
      <c r="CL69" s="27">
        <f>SUM(CJ69:CK69)</f>
        <v/>
      </c>
      <c r="CM69" s="28" t="n"/>
      <c r="CN69" s="31" t="n"/>
      <c r="CO69" s="29">
        <f>IF(AND(CL69=0,CM69=0,CN69=0),0,IF(AND(CL69=0,CM69=0),CN69/1,IF(AND(CL69=0,CN69=0),CM69/1,IF(AND(CM69=0,CN69=0),CL69/1,IF(CL69=0,FLOOR((CM69+CN69)/2,0.1),IF(CM69=0,(CL69+CN69)/2,IF(CN69=0,(CM69+CL69)/2,FLOOR(((CL69+CM69+CN69)/3),0.1))))))))</f>
        <v/>
      </c>
      <c r="CP69" s="21" t="n"/>
      <c r="CQ69" s="21" t="n"/>
      <c r="CR69" s="27">
        <f>SUM(CP69:CQ69)</f>
        <v/>
      </c>
      <c r="CS69" s="28" t="n"/>
      <c r="CT69" s="31" t="n"/>
      <c r="CU69" s="29">
        <f>IF(AND(CR69=0,CS69=0,CT69=0),0,IF(AND(CR69=0,CS69=0),CT69/1,IF(AND(CR69=0,CT69=0),CS69/1,IF(AND(CS69=0,CT69=0),CR69/1,IF(CR69=0,FLOOR((CS69+CT69)/2,0.1),IF(CS69=0,(CR69+CT69)/2,IF(CT69=0,(CS69+CR69)/2,FLOOR(((CR69+CS69+CT69)/3),0.1))))))))</f>
        <v/>
      </c>
      <c r="CV69" s="21" t="n"/>
      <c r="CW69" s="21" t="n"/>
      <c r="CX69" s="27">
        <f>SUM(CV69:CW69)</f>
        <v/>
      </c>
      <c r="CY69" s="28" t="n"/>
      <c r="CZ69" s="31" t="n"/>
      <c r="DA69" s="29">
        <f>IF(AND(CX69=0,CY69=0,CZ69=0),0,IF(AND(CX69=0,CY69=0),CZ69/1,IF(AND(CX69=0,CZ69=0),CY69/1,IF(AND(CY69=0,CZ69=0),CX69/1,IF(CX69=0,FLOOR((CY69+CZ69)/2,0.1),IF(CY69=0,(CX69+CZ69)/2,IF(CZ69=0,(CY69+CX69)/2,FLOOR(((CX69+CY69+CZ69)/3),0.1))))))))</f>
        <v/>
      </c>
      <c r="DB69" s="21" t="n"/>
      <c r="DC69" s="21" t="n"/>
      <c r="DD69" s="27">
        <f>SUM(DB69:DC69)</f>
        <v/>
      </c>
      <c r="DE69" s="28" t="n"/>
      <c r="DF69" s="31" t="n"/>
      <c r="DG69" s="29">
        <f>IF(AND(DD69=0,DE69=0,DF69=0),0,IF(AND(DD69=0,DE69=0),DF69/1,IF(AND(DD69=0,DF69=0),DE69/1,IF(AND(DE69=0,DF69=0),DD69/1,IF(DD69=0,FLOOR((DE69+DF69)/2,0.1),IF(DE69=0,(DD69+DF69)/2,IF(DF69=0,(DE69+DD69)/2,FLOOR(((DD69+DE69+DF69)/3),0.1))))))))</f>
        <v/>
      </c>
      <c r="DH69" s="34">
        <f>SUM(O69,U69,AA69,AG69,AM69,AS69,AY69,BE69,BK69,BQ69,BW69,CC69,CI69,CO69,CU69,DA69,DG69)</f>
        <v/>
      </c>
      <c r="DI69" s="39">
        <f>RANK(DH69,DH$4:DH$503)</f>
        <v/>
      </c>
      <c r="DJ69" s="40" t="inlineStr">
        <is>
          <t>CHOOSE RATING</t>
        </is>
      </c>
      <c r="DK69" s="40" t="inlineStr">
        <is>
          <t>CHOOSE RATING</t>
        </is>
      </c>
      <c r="DL69" s="40" t="inlineStr">
        <is>
          <t>CHOOSE RATING</t>
        </is>
      </c>
      <c r="DM69" s="40" t="inlineStr">
        <is>
          <t>CHOOSE RATING</t>
        </is>
      </c>
      <c r="DN69" s="40" t="inlineStr">
        <is>
          <t>CHOOSE RATING</t>
        </is>
      </c>
      <c r="DO69" s="40" t="inlineStr">
        <is>
          <t>CHOOSE RATING</t>
        </is>
      </c>
      <c r="DP69" s="40" t="inlineStr">
        <is>
          <t>CHOOSE RATING</t>
        </is>
      </c>
      <c r="DQ69" s="40" t="inlineStr">
        <is>
          <t>CHOOSE RATING</t>
        </is>
      </c>
      <c r="DR69" s="43" t="inlineStr">
        <is>
          <t>2024/2025</t>
        </is>
      </c>
      <c r="DS69" s="45" t="inlineStr">
        <is>
          <t>THIRD</t>
        </is>
      </c>
      <c r="DT69" s="40" t="inlineStr">
        <is>
          <t>CHOOSE RATING</t>
        </is>
      </c>
      <c r="DU69" s="40" t="inlineStr">
        <is>
          <t>CHOOSE RATING</t>
        </is>
      </c>
      <c r="DV69" s="40" t="inlineStr">
        <is>
          <t>CHOOSE RATING</t>
        </is>
      </c>
      <c r="DW69" s="40" t="inlineStr">
        <is>
          <t>CHOOSE RATING</t>
        </is>
      </c>
      <c r="DX69" s="40" t="inlineStr">
        <is>
          <t>CHOOSE RATING</t>
        </is>
      </c>
      <c r="DY69" s="40" t="inlineStr">
        <is>
          <t>CHOOSE RATING</t>
        </is>
      </c>
      <c r="DZ69" s="53" t="inlineStr">
        <is>
          <t>CHOOSE RATING</t>
        </is>
      </c>
      <c r="EA69" s="54" t="inlineStr">
        <is>
          <t>Add the Tutor's Comment . . .</t>
        </is>
      </c>
      <c r="EB69" s="55" t="inlineStr">
        <is>
          <t>Choose Principals comment</t>
        </is>
      </c>
      <c r="EC69" s="56" t="n"/>
      <c r="ED69" s="57" t="inlineStr">
        <is>
          <t>Next Term Begins on Monday, 22nd September, 2025</t>
        </is>
      </c>
    </row>
    <row r="70" ht="30.6" customHeight="1" s="6">
      <c r="A70" s="18" t="n">
        <v>67</v>
      </c>
      <c r="B70" s="19" t="n"/>
      <c r="C70" s="20" t="n"/>
      <c r="D70" s="128" t="n"/>
      <c r="E70" s="21" t="n"/>
      <c r="F70" s="22" t="n"/>
      <c r="G70" s="22" t="n"/>
      <c r="H70" s="22" t="n"/>
      <c r="I70" s="26">
        <f>G70-H70</f>
        <v/>
      </c>
      <c r="J70" s="21" t="n"/>
      <c r="K70" s="21" t="n"/>
      <c r="L70" s="27">
        <f>SUM(J70:K70)</f>
        <v/>
      </c>
      <c r="M70" s="28" t="n"/>
      <c r="N70" s="28" t="n"/>
      <c r="O70" s="29">
        <f>IF(AND(L70=0,M70=0,N70=0),0,IF(AND(L70=0,M70=0),N70/1,IF(AND(L70=0,N70=0),M70/1,IF(AND(M70=0,N70=0),L70/1,IF(L70=0,FLOOR((M70+N70)/2,0.1),IF(M70=0,(L70+N70)/2,IF(N70=0,(M70+L70)/2,FLOOR(((L70+M70+N70)/3),0.1))))))))</f>
        <v/>
      </c>
      <c r="P70" s="21" t="n"/>
      <c r="Q70" s="21" t="n"/>
      <c r="R70" s="27">
        <f>SUM(P70:Q70)</f>
        <v/>
      </c>
      <c r="S70" s="28" t="n"/>
      <c r="T70" s="28" t="n"/>
      <c r="U70" s="29">
        <f>IF(AND(R70=0,S70=0,T70=0),0,IF(AND(R70=0,S70=0),T70/1,IF(AND(R70=0,T70=0),S70/1,IF(AND(S70=0,T70=0),R70/1,IF(R70=0,FLOOR((S70+T70)/2,0.1),IF(S70=0,(R70+T70)/2,IF(T70=0,(S70+R70)/2,FLOOR(((R70+S70+T70)/3),0.1))))))))</f>
        <v/>
      </c>
      <c r="V70" s="21" t="n"/>
      <c r="W70" s="21" t="n"/>
      <c r="X70" s="27">
        <f>SUM(V70:W70)</f>
        <v/>
      </c>
      <c r="Y70" s="28" t="n"/>
      <c r="Z70" s="28" t="n"/>
      <c r="AA70" s="29">
        <f>IF(AND(X70=0,Y70=0,Z70=0),0,IF(AND(X70=0,Y70=0),Z70/1,IF(AND(X70=0,Z70=0),Y70/1,IF(AND(Y70=0,Z70=0),X70/1,IF(X70=0,FLOOR((Y70+Z70)/2,0.1),IF(Y70=0,(X70+Z70)/2,IF(Z70=0,(Y70+X70)/2,FLOOR(((X70+Y70+Z70)/3),0.1))))))))</f>
        <v/>
      </c>
      <c r="AB70" s="21" t="n"/>
      <c r="AC70" s="21" t="n"/>
      <c r="AD70" s="27">
        <f>SUM(AB70:AC70)</f>
        <v/>
      </c>
      <c r="AE70" s="28" t="n"/>
      <c r="AF70" s="28" t="n"/>
      <c r="AG70" s="29">
        <f>IF(AND(AD70=0,AE70=0,AF70=0),0,IF(AND(AD70=0,AE70=0),AF70/1,IF(AND(AD70=0,AF70=0),AE70/1,IF(AND(AE70=0,AF70=0),AD70/1,IF(AD70=0,FLOOR((AE70+AF70)/2,0.1),IF(AE70=0,(AD70+AF70)/2,IF(AF70=0,(AE70+AD70)/2,FLOOR(((AD70+AE70+AF70)/3),0.1))))))))</f>
        <v/>
      </c>
      <c r="AH70" s="21" t="n"/>
      <c r="AI70" s="21" t="n"/>
      <c r="AJ70" s="27">
        <f>SUM(AH70:AI70)</f>
        <v/>
      </c>
      <c r="AK70" s="28" t="n"/>
      <c r="AL70" s="28" t="n"/>
      <c r="AM70" s="29">
        <f>IF(AND(AJ70=0,AK70=0,AL70=0),0,IF(AND(AJ70=0,AK70=0),AL70/1,IF(AND(AJ70=0,AL70=0),AK70/1,IF(AND(AK70=0,AL70=0),AJ70/1,IF(AJ70=0,FLOOR((AK70+AL70)/2,0.1),IF(AK70=0,(AJ70+AL70)/2,IF(AL70=0,(AK70+AJ70)/2,FLOOR(((AJ70+AK70+AL70)/3),0.1))))))))</f>
        <v/>
      </c>
      <c r="AN70" s="21" t="n"/>
      <c r="AO70" s="21" t="n"/>
      <c r="AP70" s="27">
        <f>SUM(AN70:AO70)</f>
        <v/>
      </c>
      <c r="AQ70" s="28" t="n"/>
      <c r="AR70" s="30" t="n"/>
      <c r="AS70" s="29">
        <f>IF(AND(AP70=0,AQ70=0,AR70=0),0,IF(AND(AP70=0,AQ70=0),AR70/1,IF(AND(AP70=0,AR70=0),AQ70/1,IF(AND(AQ70=0,AR70=0),AP70/1,IF(AP70=0,FLOOR((AQ70+AR70)/2,0.1),IF(AQ70=0,(AP70+AR70)/2,IF(AR70=0,(AQ70+AP70)/2,FLOOR(((AP70+AQ70+AR70)/3),0.1))))))))</f>
        <v/>
      </c>
      <c r="AT70" s="21" t="n"/>
      <c r="AU70" s="21" t="n"/>
      <c r="AV70" s="27">
        <f>SUM(AT70:AU70)</f>
        <v/>
      </c>
      <c r="AW70" s="28" t="n"/>
      <c r="AX70" s="30" t="n"/>
      <c r="AY70" s="29">
        <f>IF(AND(AV70=0,AW70=0,AX70=0),0,IF(AND(AV70=0,AW70=0),AX70/1,IF(AND(AV70=0,AX70=0),AW70/1,IF(AND(AW70=0,AX70=0),AV70/1,IF(AV70=0,FLOOR((AW70+AX70)/2,0.1),IF(AW70=0,(AV70+AX70)/2,IF(AX70=0,(AW70+AV70)/2,FLOOR(((AV70+AW70+AX70)/3),0.1))))))))</f>
        <v/>
      </c>
      <c r="AZ70" s="21" t="n"/>
      <c r="BA70" s="21" t="n"/>
      <c r="BB70" s="27">
        <f>SUM(AZ70:BA70)</f>
        <v/>
      </c>
      <c r="BC70" s="28" t="n"/>
      <c r="BD70" s="28" t="n"/>
      <c r="BE70" s="29">
        <f>IF(AND(BB70=0,BC70=0,BD70=0),0,IF(AND(BB70=0,BC70=0),BD70/1,IF(AND(BB70=0,BD70=0),BC70/1,IF(AND(BC70=0,BD70=0),BB70/1,IF(BB70=0,FLOOR((BC70+BD70)/2,0.1),IF(BC70=0,(BB70+BD70)/2,IF(BD70=0,(BC70+BB70)/2,FLOOR(((BB70+BC70+BD70)/3),0.1))))))))</f>
        <v/>
      </c>
      <c r="BF70" s="21" t="n"/>
      <c r="BG70" s="21" t="n"/>
      <c r="BH70" s="27">
        <f>SUM(BF70:BG70)</f>
        <v/>
      </c>
      <c r="BI70" s="28" t="n"/>
      <c r="BJ70" s="28" t="n"/>
      <c r="BK70" s="29">
        <f>IF(AND(BH70=0,BI70=0,BJ70=0),0,IF(AND(BH70=0,BI70=0),BJ70/1,IF(AND(BH70=0,BJ70=0),BI70/1,IF(AND(BI70=0,BJ70=0),BH70/1,IF(BH70=0,FLOOR((BI70+BJ70)/2,0.1),IF(BI70=0,(BH70+BJ70)/2,IF(BJ70=0,(BI70+BH70)/2,FLOOR(((BH70+BI70+BJ70)/3),0.1))))))))</f>
        <v/>
      </c>
      <c r="BL70" s="21" t="n"/>
      <c r="BM70" s="21" t="n"/>
      <c r="BN70" s="27">
        <f>SUM(BL70:BM70)</f>
        <v/>
      </c>
      <c r="BO70" s="28" t="n"/>
      <c r="BP70" s="31" t="n"/>
      <c r="BQ70" s="29">
        <f>IF(AND(BN70=0,BO70=0,BP70=0),0,IF(AND(BN70=0,BO70=0),BP70/1,IF(AND(BN70=0,BP70=0),BO70/1,IF(AND(BO70=0,BP70=0),BN70/1,IF(BN70=0,FLOOR((BO70+BP70)/2,0.1),IF(BO70=0,(BN70+BP70)/2,IF(BP70=0,(BO70+BN70)/2,FLOOR(((BN70+BO70+BP70)/3),0.1))))))))</f>
        <v/>
      </c>
      <c r="BR70" s="21" t="n"/>
      <c r="BS70" s="21" t="n"/>
      <c r="BT70" s="27">
        <f>SUM(BR70:BS70)</f>
        <v/>
      </c>
      <c r="BU70" s="28" t="n"/>
      <c r="BV70" s="31" t="n"/>
      <c r="BW70" s="29">
        <f>IF(AND(BT70=0,BU70=0,BV70=0),0,IF(AND(BT70=0,BU70=0),BV70/1,IF(AND(BT70=0,BV70=0),BU70/1,IF(AND(BU70=0,BV70=0),BT70/1,IF(BT70=0,FLOOR((BU70+BV70)/2,0.1),IF(BU70=0,(BT70+BV70)/2,IF(BV70=0,(BU70+BT70)/2,FLOOR(((BT70+BU70+BV70)/3),0.1))))))))</f>
        <v/>
      </c>
      <c r="BX70" s="21" t="n"/>
      <c r="BY70" s="21" t="n"/>
      <c r="BZ70" s="27">
        <f>SUM(BX70:BY70)</f>
        <v/>
      </c>
      <c r="CA70" s="28" t="n"/>
      <c r="CB70" s="31" t="n"/>
      <c r="CC70" s="29">
        <f>IF(AND(BZ70=0,CA70=0,CB70=0),0,IF(AND(BZ70=0,CA70=0),CB70/1,IF(AND(BZ70=0,CB70=0),CA70/1,IF(AND(CA70=0,CB70=0),BZ70/1,IF(BZ70=0,FLOOR((CA70+CB70)/2,0.1),IF(CA70=0,(BZ70+CB70)/2,IF(CB70=0,(CA70+BZ70)/2,FLOOR(((BZ70+CA70+CB70)/3),0.1))))))))</f>
        <v/>
      </c>
      <c r="CD70" s="21" t="n"/>
      <c r="CE70" s="21" t="n"/>
      <c r="CF70" s="27">
        <f>SUM(CD70:CE70)</f>
        <v/>
      </c>
      <c r="CG70" s="28" t="n"/>
      <c r="CH70" s="31" t="n"/>
      <c r="CI70" s="29">
        <f>IF(AND(CF70=0,CG70=0,CH70=0),0,IF(AND(CF70=0,CG70=0),CH70/1,IF(AND(CF70=0,CH70=0),CG70/1,IF(AND(CG70=0,CH70=0),CF70/1,IF(CF70=0,FLOOR((CG70+CH70)/2,0.1),IF(CG70=0,(CF70+CH70)/2,IF(CH70=0,(CG70+CF70)/2,FLOOR(((CF70+CG70+CH70)/3),0.1))))))))</f>
        <v/>
      </c>
      <c r="CJ70" s="21" t="n"/>
      <c r="CK70" s="21" t="n"/>
      <c r="CL70" s="27">
        <f>SUM(CJ70:CK70)</f>
        <v/>
      </c>
      <c r="CM70" s="28" t="n"/>
      <c r="CN70" s="31" t="n"/>
      <c r="CO70" s="29">
        <f>IF(AND(CL70=0,CM70=0,CN70=0),0,IF(AND(CL70=0,CM70=0),CN70/1,IF(AND(CL70=0,CN70=0),CM70/1,IF(AND(CM70=0,CN70=0),CL70/1,IF(CL70=0,FLOOR((CM70+CN70)/2,0.1),IF(CM70=0,(CL70+CN70)/2,IF(CN70=0,(CM70+CL70)/2,FLOOR(((CL70+CM70+CN70)/3),0.1))))))))</f>
        <v/>
      </c>
      <c r="CP70" s="21" t="n"/>
      <c r="CQ70" s="21" t="n"/>
      <c r="CR70" s="27">
        <f>SUM(CP70:CQ70)</f>
        <v/>
      </c>
      <c r="CS70" s="28" t="n"/>
      <c r="CT70" s="31" t="n"/>
      <c r="CU70" s="29">
        <f>IF(AND(CR70=0,CS70=0,CT70=0),0,IF(AND(CR70=0,CS70=0),CT70/1,IF(AND(CR70=0,CT70=0),CS70/1,IF(AND(CS70=0,CT70=0),CR70/1,IF(CR70=0,FLOOR((CS70+CT70)/2,0.1),IF(CS70=0,(CR70+CT70)/2,IF(CT70=0,(CS70+CR70)/2,FLOOR(((CR70+CS70+CT70)/3),0.1))))))))</f>
        <v/>
      </c>
      <c r="CV70" s="21" t="n"/>
      <c r="CW70" s="21" t="n"/>
      <c r="CX70" s="27">
        <f>SUM(CV70:CW70)</f>
        <v/>
      </c>
      <c r="CY70" s="28" t="n"/>
      <c r="CZ70" s="31" t="n"/>
      <c r="DA70" s="29">
        <f>IF(AND(CX70=0,CY70=0,CZ70=0),0,IF(AND(CX70=0,CY70=0),CZ70/1,IF(AND(CX70=0,CZ70=0),CY70/1,IF(AND(CY70=0,CZ70=0),CX70/1,IF(CX70=0,FLOOR((CY70+CZ70)/2,0.1),IF(CY70=0,(CX70+CZ70)/2,IF(CZ70=0,(CY70+CX70)/2,FLOOR(((CX70+CY70+CZ70)/3),0.1))))))))</f>
        <v/>
      </c>
      <c r="DB70" s="21" t="n"/>
      <c r="DC70" s="21" t="n"/>
      <c r="DD70" s="27">
        <f>SUM(DB70:DC70)</f>
        <v/>
      </c>
      <c r="DE70" s="28" t="n"/>
      <c r="DF70" s="31" t="n"/>
      <c r="DG70" s="29">
        <f>IF(AND(DD70=0,DE70=0,DF70=0),0,IF(AND(DD70=0,DE70=0),DF70/1,IF(AND(DD70=0,DF70=0),DE70/1,IF(AND(DE70=0,DF70=0),DD70/1,IF(DD70=0,FLOOR((DE70+DF70)/2,0.1),IF(DE70=0,(DD70+DF70)/2,IF(DF70=0,(DE70+DD70)/2,FLOOR(((DD70+DE70+DF70)/3),0.1))))))))</f>
        <v/>
      </c>
      <c r="DH70" s="34">
        <f>SUM(O70,U70,AA70,AG70,AM70,AS70,AY70,BE70,BK70,BQ70,BW70,CC70,CI70,CO70,CU70,DA70,DG70)</f>
        <v/>
      </c>
      <c r="DI70" s="39">
        <f>RANK(DH70,DH$4:DH$503)</f>
        <v/>
      </c>
      <c r="DJ70" s="40" t="inlineStr">
        <is>
          <t>CHOOSE RATING</t>
        </is>
      </c>
      <c r="DK70" s="40" t="inlineStr">
        <is>
          <t>CHOOSE RATING</t>
        </is>
      </c>
      <c r="DL70" s="40" t="inlineStr">
        <is>
          <t>CHOOSE RATING</t>
        </is>
      </c>
      <c r="DM70" s="40" t="inlineStr">
        <is>
          <t>CHOOSE RATING</t>
        </is>
      </c>
      <c r="DN70" s="40" t="inlineStr">
        <is>
          <t>CHOOSE RATING</t>
        </is>
      </c>
      <c r="DO70" s="40" t="inlineStr">
        <is>
          <t>CHOOSE RATING</t>
        </is>
      </c>
      <c r="DP70" s="40" t="inlineStr">
        <is>
          <t>CHOOSE RATING</t>
        </is>
      </c>
      <c r="DQ70" s="40" t="inlineStr">
        <is>
          <t>CHOOSE RATING</t>
        </is>
      </c>
      <c r="DR70" s="43" t="inlineStr">
        <is>
          <t>2024/2025</t>
        </is>
      </c>
      <c r="DS70" s="45" t="inlineStr">
        <is>
          <t>THIRD</t>
        </is>
      </c>
      <c r="DT70" s="40" t="inlineStr">
        <is>
          <t>CHOOSE RATING</t>
        </is>
      </c>
      <c r="DU70" s="40" t="inlineStr">
        <is>
          <t>CHOOSE RATING</t>
        </is>
      </c>
      <c r="DV70" s="40" t="inlineStr">
        <is>
          <t>CHOOSE RATING</t>
        </is>
      </c>
      <c r="DW70" s="40" t="inlineStr">
        <is>
          <t>CHOOSE RATING</t>
        </is>
      </c>
      <c r="DX70" s="40" t="inlineStr">
        <is>
          <t>CHOOSE RATING</t>
        </is>
      </c>
      <c r="DY70" s="40" t="inlineStr">
        <is>
          <t>CHOOSE RATING</t>
        </is>
      </c>
      <c r="DZ70" s="53" t="inlineStr">
        <is>
          <t>CHOOSE RATING</t>
        </is>
      </c>
      <c r="EA70" s="54" t="inlineStr">
        <is>
          <t>Add the Tutor's Comment . . .</t>
        </is>
      </c>
      <c r="EB70" s="55" t="inlineStr">
        <is>
          <t>Choose Principals comment</t>
        </is>
      </c>
      <c r="EC70" s="56" t="n"/>
      <c r="ED70" s="57" t="inlineStr">
        <is>
          <t>Next Term Begins on Monday, 22nd September, 2025</t>
        </is>
      </c>
    </row>
    <row r="71" ht="30.6" customHeight="1" s="6">
      <c r="A71" s="18" t="n">
        <v>68</v>
      </c>
      <c r="B71" s="19" t="n"/>
      <c r="C71" s="20" t="n"/>
      <c r="D71" s="128" t="n"/>
      <c r="E71" s="21" t="n"/>
      <c r="F71" s="22" t="n"/>
      <c r="G71" s="22" t="n"/>
      <c r="H71" s="22" t="n"/>
      <c r="I71" s="26">
        <f>G71-H71</f>
        <v/>
      </c>
      <c r="J71" s="21" t="n"/>
      <c r="K71" s="21" t="n"/>
      <c r="L71" s="27">
        <f>SUM(J71:K71)</f>
        <v/>
      </c>
      <c r="M71" s="28" t="n"/>
      <c r="N71" s="28" t="n"/>
      <c r="O71" s="29">
        <f>IF(AND(L71=0,M71=0,N71=0),0,IF(AND(L71=0,M71=0),N71/1,IF(AND(L71=0,N71=0),M71/1,IF(AND(M71=0,N71=0),L71/1,IF(L71=0,FLOOR((M71+N71)/2,0.1),IF(M71=0,(L71+N71)/2,IF(N71=0,(M71+L71)/2,FLOOR(((L71+M71+N71)/3),0.1))))))))</f>
        <v/>
      </c>
      <c r="P71" s="21" t="n"/>
      <c r="Q71" s="21" t="n"/>
      <c r="R71" s="27">
        <f>SUM(P71:Q71)</f>
        <v/>
      </c>
      <c r="S71" s="28" t="n"/>
      <c r="T71" s="28" t="n"/>
      <c r="U71" s="29">
        <f>IF(AND(R71=0,S71=0,T71=0),0,IF(AND(R71=0,S71=0),T71/1,IF(AND(R71=0,T71=0),S71/1,IF(AND(S71=0,T71=0),R71/1,IF(R71=0,FLOOR((S71+T71)/2,0.1),IF(S71=0,(R71+T71)/2,IF(T71=0,(S71+R71)/2,FLOOR(((R71+S71+T71)/3),0.1))))))))</f>
        <v/>
      </c>
      <c r="V71" s="21" t="n"/>
      <c r="W71" s="21" t="n"/>
      <c r="X71" s="27">
        <f>SUM(V71:W71)</f>
        <v/>
      </c>
      <c r="Y71" s="28" t="n"/>
      <c r="Z71" s="28" t="n"/>
      <c r="AA71" s="29">
        <f>IF(AND(X71=0,Y71=0,Z71=0),0,IF(AND(X71=0,Y71=0),Z71/1,IF(AND(X71=0,Z71=0),Y71/1,IF(AND(Y71=0,Z71=0),X71/1,IF(X71=0,FLOOR((Y71+Z71)/2,0.1),IF(Y71=0,(X71+Z71)/2,IF(Z71=0,(Y71+X71)/2,FLOOR(((X71+Y71+Z71)/3),0.1))))))))</f>
        <v/>
      </c>
      <c r="AB71" s="21" t="n"/>
      <c r="AC71" s="21" t="n"/>
      <c r="AD71" s="27">
        <f>SUM(AB71:AC71)</f>
        <v/>
      </c>
      <c r="AE71" s="28" t="n"/>
      <c r="AF71" s="28" t="n"/>
      <c r="AG71" s="29">
        <f>IF(AND(AD71=0,AE71=0,AF71=0),0,IF(AND(AD71=0,AE71=0),AF71/1,IF(AND(AD71=0,AF71=0),AE71/1,IF(AND(AE71=0,AF71=0),AD71/1,IF(AD71=0,FLOOR((AE71+AF71)/2,0.1),IF(AE71=0,(AD71+AF71)/2,IF(AF71=0,(AE71+AD71)/2,FLOOR(((AD71+AE71+AF71)/3),0.1))))))))</f>
        <v/>
      </c>
      <c r="AH71" s="21" t="n"/>
      <c r="AI71" s="21" t="n"/>
      <c r="AJ71" s="27">
        <f>SUM(AH71:AI71)</f>
        <v/>
      </c>
      <c r="AK71" s="28" t="n"/>
      <c r="AL71" s="28" t="n"/>
      <c r="AM71" s="29">
        <f>IF(AND(AJ71=0,AK71=0,AL71=0),0,IF(AND(AJ71=0,AK71=0),AL71/1,IF(AND(AJ71=0,AL71=0),AK71/1,IF(AND(AK71=0,AL71=0),AJ71/1,IF(AJ71=0,FLOOR((AK71+AL71)/2,0.1),IF(AK71=0,(AJ71+AL71)/2,IF(AL71=0,(AK71+AJ71)/2,FLOOR(((AJ71+AK71+AL71)/3),0.1))))))))</f>
        <v/>
      </c>
      <c r="AN71" s="21" t="n"/>
      <c r="AO71" s="21" t="n"/>
      <c r="AP71" s="27">
        <f>SUM(AN71:AO71)</f>
        <v/>
      </c>
      <c r="AQ71" s="28" t="n"/>
      <c r="AR71" s="30" t="n"/>
      <c r="AS71" s="29">
        <f>IF(AND(AP71=0,AQ71=0,AR71=0),0,IF(AND(AP71=0,AQ71=0),AR71/1,IF(AND(AP71=0,AR71=0),AQ71/1,IF(AND(AQ71=0,AR71=0),AP71/1,IF(AP71=0,FLOOR((AQ71+AR71)/2,0.1),IF(AQ71=0,(AP71+AR71)/2,IF(AR71=0,(AQ71+AP71)/2,FLOOR(((AP71+AQ71+AR71)/3),0.1))))))))</f>
        <v/>
      </c>
      <c r="AT71" s="21" t="n"/>
      <c r="AU71" s="21" t="n"/>
      <c r="AV71" s="27">
        <f>SUM(AT71:AU71)</f>
        <v/>
      </c>
      <c r="AW71" s="28" t="n"/>
      <c r="AX71" s="30" t="n"/>
      <c r="AY71" s="29">
        <f>IF(AND(AV71=0,AW71=0,AX71=0),0,IF(AND(AV71=0,AW71=0),AX71/1,IF(AND(AV71=0,AX71=0),AW71/1,IF(AND(AW71=0,AX71=0),AV71/1,IF(AV71=0,FLOOR((AW71+AX71)/2,0.1),IF(AW71=0,(AV71+AX71)/2,IF(AX71=0,(AW71+AV71)/2,FLOOR(((AV71+AW71+AX71)/3),0.1))))))))</f>
        <v/>
      </c>
      <c r="AZ71" s="21" t="n"/>
      <c r="BA71" s="21" t="n"/>
      <c r="BB71" s="27">
        <f>SUM(AZ71:BA71)</f>
        <v/>
      </c>
      <c r="BC71" s="28" t="n"/>
      <c r="BD71" s="28" t="n"/>
      <c r="BE71" s="29">
        <f>IF(AND(BB71=0,BC71=0,BD71=0),0,IF(AND(BB71=0,BC71=0),BD71/1,IF(AND(BB71=0,BD71=0),BC71/1,IF(AND(BC71=0,BD71=0),BB71/1,IF(BB71=0,FLOOR((BC71+BD71)/2,0.1),IF(BC71=0,(BB71+BD71)/2,IF(BD71=0,(BC71+BB71)/2,FLOOR(((BB71+BC71+BD71)/3),0.1))))))))</f>
        <v/>
      </c>
      <c r="BF71" s="21" t="n"/>
      <c r="BG71" s="21" t="n"/>
      <c r="BH71" s="27">
        <f>SUM(BF71:BG71)</f>
        <v/>
      </c>
      <c r="BI71" s="28" t="n"/>
      <c r="BJ71" s="28" t="n"/>
      <c r="BK71" s="29">
        <f>IF(AND(BH71=0,BI71=0,BJ71=0),0,IF(AND(BH71=0,BI71=0),BJ71/1,IF(AND(BH71=0,BJ71=0),BI71/1,IF(AND(BI71=0,BJ71=0),BH71/1,IF(BH71=0,FLOOR((BI71+BJ71)/2,0.1),IF(BI71=0,(BH71+BJ71)/2,IF(BJ71=0,(BI71+BH71)/2,FLOOR(((BH71+BI71+BJ71)/3),0.1))))))))</f>
        <v/>
      </c>
      <c r="BL71" s="21" t="n"/>
      <c r="BM71" s="21" t="n"/>
      <c r="BN71" s="27">
        <f>SUM(BL71:BM71)</f>
        <v/>
      </c>
      <c r="BO71" s="28" t="n"/>
      <c r="BP71" s="31" t="n"/>
      <c r="BQ71" s="29">
        <f>IF(AND(BN71=0,BO71=0,BP71=0),0,IF(AND(BN71=0,BO71=0),BP71/1,IF(AND(BN71=0,BP71=0),BO71/1,IF(AND(BO71=0,BP71=0),BN71/1,IF(BN71=0,FLOOR((BO71+BP71)/2,0.1),IF(BO71=0,(BN71+BP71)/2,IF(BP71=0,(BO71+BN71)/2,FLOOR(((BN71+BO71+BP71)/3),0.1))))))))</f>
        <v/>
      </c>
      <c r="BR71" s="21" t="n"/>
      <c r="BS71" s="21" t="n"/>
      <c r="BT71" s="27">
        <f>SUM(BR71:BS71)</f>
        <v/>
      </c>
      <c r="BU71" s="28" t="n"/>
      <c r="BV71" s="31" t="n"/>
      <c r="BW71" s="29">
        <f>IF(AND(BT71=0,BU71=0,BV71=0),0,IF(AND(BT71=0,BU71=0),BV71/1,IF(AND(BT71=0,BV71=0),BU71/1,IF(AND(BU71=0,BV71=0),BT71/1,IF(BT71=0,FLOOR((BU71+BV71)/2,0.1),IF(BU71=0,(BT71+BV71)/2,IF(BV71=0,(BU71+BT71)/2,FLOOR(((BT71+BU71+BV71)/3),0.1))))))))</f>
        <v/>
      </c>
      <c r="BX71" s="21" t="n"/>
      <c r="BY71" s="21" t="n"/>
      <c r="BZ71" s="27">
        <f>SUM(BX71:BY71)</f>
        <v/>
      </c>
      <c r="CA71" s="28" t="n"/>
      <c r="CB71" s="31" t="n"/>
      <c r="CC71" s="29">
        <f>IF(AND(BZ71=0,CA71=0,CB71=0),0,IF(AND(BZ71=0,CA71=0),CB71/1,IF(AND(BZ71=0,CB71=0),CA71/1,IF(AND(CA71=0,CB71=0),BZ71/1,IF(BZ71=0,FLOOR((CA71+CB71)/2,0.1),IF(CA71=0,(BZ71+CB71)/2,IF(CB71=0,(CA71+BZ71)/2,FLOOR(((BZ71+CA71+CB71)/3),0.1))))))))</f>
        <v/>
      </c>
      <c r="CD71" s="21" t="n"/>
      <c r="CE71" s="21" t="n"/>
      <c r="CF71" s="27">
        <f>SUM(CD71:CE71)</f>
        <v/>
      </c>
      <c r="CG71" s="28" t="n"/>
      <c r="CH71" s="31" t="n"/>
      <c r="CI71" s="29">
        <f>IF(AND(CF71=0,CG71=0,CH71=0),0,IF(AND(CF71=0,CG71=0),CH71/1,IF(AND(CF71=0,CH71=0),CG71/1,IF(AND(CG71=0,CH71=0),CF71/1,IF(CF71=0,FLOOR((CG71+CH71)/2,0.1),IF(CG71=0,(CF71+CH71)/2,IF(CH71=0,(CG71+CF71)/2,FLOOR(((CF71+CG71+CH71)/3),0.1))))))))</f>
        <v/>
      </c>
      <c r="CJ71" s="21" t="n"/>
      <c r="CK71" s="21" t="n"/>
      <c r="CL71" s="27">
        <f>SUM(CJ71:CK71)</f>
        <v/>
      </c>
      <c r="CM71" s="28" t="n"/>
      <c r="CN71" s="31" t="n"/>
      <c r="CO71" s="29">
        <f>IF(AND(CL71=0,CM71=0,CN71=0),0,IF(AND(CL71=0,CM71=0),CN71/1,IF(AND(CL71=0,CN71=0),CM71/1,IF(AND(CM71=0,CN71=0),CL71/1,IF(CL71=0,FLOOR((CM71+CN71)/2,0.1),IF(CM71=0,(CL71+CN71)/2,IF(CN71=0,(CM71+CL71)/2,FLOOR(((CL71+CM71+CN71)/3),0.1))))))))</f>
        <v/>
      </c>
      <c r="CP71" s="21" t="n"/>
      <c r="CQ71" s="21" t="n"/>
      <c r="CR71" s="27">
        <f>SUM(CP71:CQ71)</f>
        <v/>
      </c>
      <c r="CS71" s="28" t="n"/>
      <c r="CT71" s="31" t="n"/>
      <c r="CU71" s="29">
        <f>IF(AND(CR71=0,CS71=0,CT71=0),0,IF(AND(CR71=0,CS71=0),CT71/1,IF(AND(CR71=0,CT71=0),CS71/1,IF(AND(CS71=0,CT71=0),CR71/1,IF(CR71=0,FLOOR((CS71+CT71)/2,0.1),IF(CS71=0,(CR71+CT71)/2,IF(CT71=0,(CS71+CR71)/2,FLOOR(((CR71+CS71+CT71)/3),0.1))))))))</f>
        <v/>
      </c>
      <c r="CV71" s="21" t="n"/>
      <c r="CW71" s="21" t="n"/>
      <c r="CX71" s="27">
        <f>SUM(CV71:CW71)</f>
        <v/>
      </c>
      <c r="CY71" s="28" t="n"/>
      <c r="CZ71" s="31" t="n"/>
      <c r="DA71" s="29">
        <f>IF(AND(CX71=0,CY71=0,CZ71=0),0,IF(AND(CX71=0,CY71=0),CZ71/1,IF(AND(CX71=0,CZ71=0),CY71/1,IF(AND(CY71=0,CZ71=0),CX71/1,IF(CX71=0,FLOOR((CY71+CZ71)/2,0.1),IF(CY71=0,(CX71+CZ71)/2,IF(CZ71=0,(CY71+CX71)/2,FLOOR(((CX71+CY71+CZ71)/3),0.1))))))))</f>
        <v/>
      </c>
      <c r="DB71" s="21" t="n"/>
      <c r="DC71" s="21" t="n"/>
      <c r="DD71" s="27">
        <f>SUM(DB71:DC71)</f>
        <v/>
      </c>
      <c r="DE71" s="28" t="n"/>
      <c r="DF71" s="31" t="n"/>
      <c r="DG71" s="29">
        <f>IF(AND(DD71=0,DE71=0,DF71=0),0,IF(AND(DD71=0,DE71=0),DF71/1,IF(AND(DD71=0,DF71=0),DE71/1,IF(AND(DE71=0,DF71=0),DD71/1,IF(DD71=0,FLOOR((DE71+DF71)/2,0.1),IF(DE71=0,(DD71+DF71)/2,IF(DF71=0,(DE71+DD71)/2,FLOOR(((DD71+DE71+DF71)/3),0.1))))))))</f>
        <v/>
      </c>
      <c r="DH71" s="34">
        <f>SUM(O71,U71,AA71,AG71,AM71,AS71,AY71,BE71,BK71,BQ71,BW71,CC71,CI71,CO71,CU71,DA71,DG71)</f>
        <v/>
      </c>
      <c r="DI71" s="39">
        <f>RANK(DH71,DH$4:DH$503)</f>
        <v/>
      </c>
      <c r="DJ71" s="40" t="inlineStr">
        <is>
          <t>CHOOSE RATING</t>
        </is>
      </c>
      <c r="DK71" s="40" t="inlineStr">
        <is>
          <t>CHOOSE RATING</t>
        </is>
      </c>
      <c r="DL71" s="40" t="inlineStr">
        <is>
          <t>CHOOSE RATING</t>
        </is>
      </c>
      <c r="DM71" s="40" t="inlineStr">
        <is>
          <t>CHOOSE RATING</t>
        </is>
      </c>
      <c r="DN71" s="40" t="inlineStr">
        <is>
          <t>CHOOSE RATING</t>
        </is>
      </c>
      <c r="DO71" s="40" t="inlineStr">
        <is>
          <t>CHOOSE RATING</t>
        </is>
      </c>
      <c r="DP71" s="40" t="inlineStr">
        <is>
          <t>CHOOSE RATING</t>
        </is>
      </c>
      <c r="DQ71" s="40" t="inlineStr">
        <is>
          <t>CHOOSE RATING</t>
        </is>
      </c>
      <c r="DR71" s="43" t="inlineStr">
        <is>
          <t>2024/2025</t>
        </is>
      </c>
      <c r="DS71" s="45" t="inlineStr">
        <is>
          <t>THIRD</t>
        </is>
      </c>
      <c r="DT71" s="40" t="inlineStr">
        <is>
          <t>CHOOSE RATING</t>
        </is>
      </c>
      <c r="DU71" s="40" t="inlineStr">
        <is>
          <t>CHOOSE RATING</t>
        </is>
      </c>
      <c r="DV71" s="40" t="inlineStr">
        <is>
          <t>CHOOSE RATING</t>
        </is>
      </c>
      <c r="DW71" s="40" t="inlineStr">
        <is>
          <t>CHOOSE RATING</t>
        </is>
      </c>
      <c r="DX71" s="40" t="inlineStr">
        <is>
          <t>CHOOSE RATING</t>
        </is>
      </c>
      <c r="DY71" s="40" t="inlineStr">
        <is>
          <t>CHOOSE RATING</t>
        </is>
      </c>
      <c r="DZ71" s="53" t="inlineStr">
        <is>
          <t>CHOOSE RATING</t>
        </is>
      </c>
      <c r="EA71" s="54" t="inlineStr">
        <is>
          <t>Add the Tutor's Comment . . .</t>
        </is>
      </c>
      <c r="EB71" s="55" t="inlineStr">
        <is>
          <t>Choose Principals comment</t>
        </is>
      </c>
      <c r="EC71" s="56" t="n"/>
      <c r="ED71" s="57" t="inlineStr">
        <is>
          <t>Next Term Begins on Monday, 22nd September, 2025</t>
        </is>
      </c>
    </row>
    <row r="72" ht="30.6" customHeight="1" s="6">
      <c r="A72" s="18" t="n">
        <v>69</v>
      </c>
      <c r="B72" s="19" t="n"/>
      <c r="C72" s="20" t="n"/>
      <c r="D72" s="128" t="n"/>
      <c r="E72" s="21" t="n"/>
      <c r="F72" s="22" t="n"/>
      <c r="G72" s="22" t="n"/>
      <c r="H72" s="22" t="n"/>
      <c r="I72" s="26">
        <f>G72-H72</f>
        <v/>
      </c>
      <c r="J72" s="21" t="n"/>
      <c r="K72" s="21" t="n"/>
      <c r="L72" s="27">
        <f>SUM(J72:K72)</f>
        <v/>
      </c>
      <c r="M72" s="28" t="n"/>
      <c r="N72" s="28" t="n"/>
      <c r="O72" s="29">
        <f>IF(AND(L72=0,M72=0,N72=0),0,IF(AND(L72=0,M72=0),N72/1,IF(AND(L72=0,N72=0),M72/1,IF(AND(M72=0,N72=0),L72/1,IF(L72=0,FLOOR((M72+N72)/2,0.1),IF(M72=0,(L72+N72)/2,IF(N72=0,(M72+L72)/2,FLOOR(((L72+M72+N72)/3),0.1))))))))</f>
        <v/>
      </c>
      <c r="P72" s="21" t="n"/>
      <c r="Q72" s="21" t="n"/>
      <c r="R72" s="27">
        <f>SUM(P72:Q72)</f>
        <v/>
      </c>
      <c r="S72" s="28" t="n"/>
      <c r="T72" s="28" t="n"/>
      <c r="U72" s="29">
        <f>IF(AND(R72=0,S72=0,T72=0),0,IF(AND(R72=0,S72=0),T72/1,IF(AND(R72=0,T72=0),S72/1,IF(AND(S72=0,T72=0),R72/1,IF(R72=0,FLOOR((S72+T72)/2,0.1),IF(S72=0,(R72+T72)/2,IF(T72=0,(S72+R72)/2,FLOOR(((R72+S72+T72)/3),0.1))))))))</f>
        <v/>
      </c>
      <c r="V72" s="21" t="n"/>
      <c r="W72" s="21" t="n"/>
      <c r="X72" s="27">
        <f>SUM(V72:W72)</f>
        <v/>
      </c>
      <c r="Y72" s="28" t="n"/>
      <c r="Z72" s="28" t="n"/>
      <c r="AA72" s="29">
        <f>IF(AND(X72=0,Y72=0,Z72=0),0,IF(AND(X72=0,Y72=0),Z72/1,IF(AND(X72=0,Z72=0),Y72/1,IF(AND(Y72=0,Z72=0),X72/1,IF(X72=0,FLOOR((Y72+Z72)/2,0.1),IF(Y72=0,(X72+Z72)/2,IF(Z72=0,(Y72+X72)/2,FLOOR(((X72+Y72+Z72)/3),0.1))))))))</f>
        <v/>
      </c>
      <c r="AB72" s="21" t="n"/>
      <c r="AC72" s="21" t="n"/>
      <c r="AD72" s="27">
        <f>SUM(AB72:AC72)</f>
        <v/>
      </c>
      <c r="AE72" s="28" t="n"/>
      <c r="AF72" s="28" t="n"/>
      <c r="AG72" s="29">
        <f>IF(AND(AD72=0,AE72=0,AF72=0),0,IF(AND(AD72=0,AE72=0),AF72/1,IF(AND(AD72=0,AF72=0),AE72/1,IF(AND(AE72=0,AF72=0),AD72/1,IF(AD72=0,FLOOR((AE72+AF72)/2,0.1),IF(AE72=0,(AD72+AF72)/2,IF(AF72=0,(AE72+AD72)/2,FLOOR(((AD72+AE72+AF72)/3),0.1))))))))</f>
        <v/>
      </c>
      <c r="AH72" s="21" t="n"/>
      <c r="AI72" s="21" t="n"/>
      <c r="AJ72" s="27">
        <f>SUM(AH72:AI72)</f>
        <v/>
      </c>
      <c r="AK72" s="28" t="n"/>
      <c r="AL72" s="28" t="n"/>
      <c r="AM72" s="29">
        <f>IF(AND(AJ72=0,AK72=0,AL72=0),0,IF(AND(AJ72=0,AK72=0),AL72/1,IF(AND(AJ72=0,AL72=0),AK72/1,IF(AND(AK72=0,AL72=0),AJ72/1,IF(AJ72=0,FLOOR((AK72+AL72)/2,0.1),IF(AK72=0,(AJ72+AL72)/2,IF(AL72=0,(AK72+AJ72)/2,FLOOR(((AJ72+AK72+AL72)/3),0.1))))))))</f>
        <v/>
      </c>
      <c r="AN72" s="21" t="n"/>
      <c r="AO72" s="21" t="n"/>
      <c r="AP72" s="27">
        <f>SUM(AN72:AO72)</f>
        <v/>
      </c>
      <c r="AQ72" s="28" t="n"/>
      <c r="AR72" s="30" t="n"/>
      <c r="AS72" s="29">
        <f>IF(AND(AP72=0,AQ72=0,AR72=0),0,IF(AND(AP72=0,AQ72=0),AR72/1,IF(AND(AP72=0,AR72=0),AQ72/1,IF(AND(AQ72=0,AR72=0),AP72/1,IF(AP72=0,FLOOR((AQ72+AR72)/2,0.1),IF(AQ72=0,(AP72+AR72)/2,IF(AR72=0,(AQ72+AP72)/2,FLOOR(((AP72+AQ72+AR72)/3),0.1))))))))</f>
        <v/>
      </c>
      <c r="AT72" s="21" t="n"/>
      <c r="AU72" s="21" t="n"/>
      <c r="AV72" s="27">
        <f>SUM(AT72:AU72)</f>
        <v/>
      </c>
      <c r="AW72" s="28" t="n"/>
      <c r="AX72" s="30" t="n"/>
      <c r="AY72" s="29">
        <f>IF(AND(AV72=0,AW72=0,AX72=0),0,IF(AND(AV72=0,AW72=0),AX72/1,IF(AND(AV72=0,AX72=0),AW72/1,IF(AND(AW72=0,AX72=0),AV72/1,IF(AV72=0,FLOOR((AW72+AX72)/2,0.1),IF(AW72=0,(AV72+AX72)/2,IF(AX72=0,(AW72+AV72)/2,FLOOR(((AV72+AW72+AX72)/3),0.1))))))))</f>
        <v/>
      </c>
      <c r="AZ72" s="21" t="n"/>
      <c r="BA72" s="21" t="n"/>
      <c r="BB72" s="27">
        <f>SUM(AZ72:BA72)</f>
        <v/>
      </c>
      <c r="BC72" s="28" t="n"/>
      <c r="BD72" s="28" t="n"/>
      <c r="BE72" s="29">
        <f>IF(AND(BB72=0,BC72=0,BD72=0),0,IF(AND(BB72=0,BC72=0),BD72/1,IF(AND(BB72=0,BD72=0),BC72/1,IF(AND(BC72=0,BD72=0),BB72/1,IF(BB72=0,FLOOR((BC72+BD72)/2,0.1),IF(BC72=0,(BB72+BD72)/2,IF(BD72=0,(BC72+BB72)/2,FLOOR(((BB72+BC72+BD72)/3),0.1))))))))</f>
        <v/>
      </c>
      <c r="BF72" s="21" t="n"/>
      <c r="BG72" s="21" t="n"/>
      <c r="BH72" s="27">
        <f>SUM(BF72:BG72)</f>
        <v/>
      </c>
      <c r="BI72" s="28" t="n"/>
      <c r="BJ72" s="28" t="n"/>
      <c r="BK72" s="29">
        <f>IF(AND(BH72=0,BI72=0,BJ72=0),0,IF(AND(BH72=0,BI72=0),BJ72/1,IF(AND(BH72=0,BJ72=0),BI72/1,IF(AND(BI72=0,BJ72=0),BH72/1,IF(BH72=0,FLOOR((BI72+BJ72)/2,0.1),IF(BI72=0,(BH72+BJ72)/2,IF(BJ72=0,(BI72+BH72)/2,FLOOR(((BH72+BI72+BJ72)/3),0.1))))))))</f>
        <v/>
      </c>
      <c r="BL72" s="21" t="n"/>
      <c r="BM72" s="21" t="n"/>
      <c r="BN72" s="27">
        <f>SUM(BL72:BM72)</f>
        <v/>
      </c>
      <c r="BO72" s="28" t="n"/>
      <c r="BP72" s="31" t="n"/>
      <c r="BQ72" s="29">
        <f>IF(AND(BN72=0,BO72=0,BP72=0),0,IF(AND(BN72=0,BO72=0),BP72/1,IF(AND(BN72=0,BP72=0),BO72/1,IF(AND(BO72=0,BP72=0),BN72/1,IF(BN72=0,FLOOR((BO72+BP72)/2,0.1),IF(BO72=0,(BN72+BP72)/2,IF(BP72=0,(BO72+BN72)/2,FLOOR(((BN72+BO72+BP72)/3),0.1))))))))</f>
        <v/>
      </c>
      <c r="BR72" s="21" t="n"/>
      <c r="BS72" s="21" t="n"/>
      <c r="BT72" s="27">
        <f>SUM(BR72:BS72)</f>
        <v/>
      </c>
      <c r="BU72" s="28" t="n"/>
      <c r="BV72" s="31" t="n"/>
      <c r="BW72" s="29">
        <f>IF(AND(BT72=0,BU72=0,BV72=0),0,IF(AND(BT72=0,BU72=0),BV72/1,IF(AND(BT72=0,BV72=0),BU72/1,IF(AND(BU72=0,BV72=0),BT72/1,IF(BT72=0,FLOOR((BU72+BV72)/2,0.1),IF(BU72=0,(BT72+BV72)/2,IF(BV72=0,(BU72+BT72)/2,FLOOR(((BT72+BU72+BV72)/3),0.1))))))))</f>
        <v/>
      </c>
      <c r="BX72" s="21" t="n"/>
      <c r="BY72" s="21" t="n"/>
      <c r="BZ72" s="27">
        <f>SUM(BX72:BY72)</f>
        <v/>
      </c>
      <c r="CA72" s="28" t="n"/>
      <c r="CB72" s="31" t="n"/>
      <c r="CC72" s="29">
        <f>IF(AND(BZ72=0,CA72=0,CB72=0),0,IF(AND(BZ72=0,CA72=0),CB72/1,IF(AND(BZ72=0,CB72=0),CA72/1,IF(AND(CA72=0,CB72=0),BZ72/1,IF(BZ72=0,FLOOR((CA72+CB72)/2,0.1),IF(CA72=0,(BZ72+CB72)/2,IF(CB72=0,(CA72+BZ72)/2,FLOOR(((BZ72+CA72+CB72)/3),0.1))))))))</f>
        <v/>
      </c>
      <c r="CD72" s="21" t="n"/>
      <c r="CE72" s="21" t="n"/>
      <c r="CF72" s="27">
        <f>SUM(CD72:CE72)</f>
        <v/>
      </c>
      <c r="CG72" s="28" t="n"/>
      <c r="CH72" s="31" t="n"/>
      <c r="CI72" s="29">
        <f>IF(AND(CF72=0,CG72=0,CH72=0),0,IF(AND(CF72=0,CG72=0),CH72/1,IF(AND(CF72=0,CH72=0),CG72/1,IF(AND(CG72=0,CH72=0),CF72/1,IF(CF72=0,FLOOR((CG72+CH72)/2,0.1),IF(CG72=0,(CF72+CH72)/2,IF(CH72=0,(CG72+CF72)/2,FLOOR(((CF72+CG72+CH72)/3),0.1))))))))</f>
        <v/>
      </c>
      <c r="CJ72" s="21" t="n"/>
      <c r="CK72" s="21" t="n"/>
      <c r="CL72" s="27">
        <f>SUM(CJ72:CK72)</f>
        <v/>
      </c>
      <c r="CM72" s="28" t="n"/>
      <c r="CN72" s="31" t="n"/>
      <c r="CO72" s="29">
        <f>IF(AND(CL72=0,CM72=0,CN72=0),0,IF(AND(CL72=0,CM72=0),CN72/1,IF(AND(CL72=0,CN72=0),CM72/1,IF(AND(CM72=0,CN72=0),CL72/1,IF(CL72=0,FLOOR((CM72+CN72)/2,0.1),IF(CM72=0,(CL72+CN72)/2,IF(CN72=0,(CM72+CL72)/2,FLOOR(((CL72+CM72+CN72)/3),0.1))))))))</f>
        <v/>
      </c>
      <c r="CP72" s="21" t="n"/>
      <c r="CQ72" s="21" t="n"/>
      <c r="CR72" s="27">
        <f>SUM(CP72:CQ72)</f>
        <v/>
      </c>
      <c r="CS72" s="28" t="n"/>
      <c r="CT72" s="31" t="n"/>
      <c r="CU72" s="29">
        <f>IF(AND(CR72=0,CS72=0,CT72=0),0,IF(AND(CR72=0,CS72=0),CT72/1,IF(AND(CR72=0,CT72=0),CS72/1,IF(AND(CS72=0,CT72=0),CR72/1,IF(CR72=0,FLOOR((CS72+CT72)/2,0.1),IF(CS72=0,(CR72+CT72)/2,IF(CT72=0,(CS72+CR72)/2,FLOOR(((CR72+CS72+CT72)/3),0.1))))))))</f>
        <v/>
      </c>
      <c r="CV72" s="21" t="n"/>
      <c r="CW72" s="21" t="n"/>
      <c r="CX72" s="27">
        <f>SUM(CV72:CW72)</f>
        <v/>
      </c>
      <c r="CY72" s="28" t="n"/>
      <c r="CZ72" s="31" t="n"/>
      <c r="DA72" s="29">
        <f>IF(AND(CX72=0,CY72=0,CZ72=0),0,IF(AND(CX72=0,CY72=0),CZ72/1,IF(AND(CX72=0,CZ72=0),CY72/1,IF(AND(CY72=0,CZ72=0),CX72/1,IF(CX72=0,FLOOR((CY72+CZ72)/2,0.1),IF(CY72=0,(CX72+CZ72)/2,IF(CZ72=0,(CY72+CX72)/2,FLOOR(((CX72+CY72+CZ72)/3),0.1))))))))</f>
        <v/>
      </c>
      <c r="DB72" s="21" t="n"/>
      <c r="DC72" s="21" t="n"/>
      <c r="DD72" s="27">
        <f>SUM(DB72:DC72)</f>
        <v/>
      </c>
      <c r="DE72" s="28" t="n"/>
      <c r="DF72" s="31" t="n"/>
      <c r="DG72" s="29">
        <f>IF(AND(DD72=0,DE72=0,DF72=0),0,IF(AND(DD72=0,DE72=0),DF72/1,IF(AND(DD72=0,DF72=0),DE72/1,IF(AND(DE72=0,DF72=0),DD72/1,IF(DD72=0,FLOOR((DE72+DF72)/2,0.1),IF(DE72=0,(DD72+DF72)/2,IF(DF72=0,(DE72+DD72)/2,FLOOR(((DD72+DE72+DF72)/3),0.1))))))))</f>
        <v/>
      </c>
      <c r="DH72" s="34">
        <f>SUM(O72,U72,AA72,AG72,AM72,AS72,AY72,BE72,BK72,BQ72,BW72,CC72,CI72,CO72,CU72,DA72,DG72)</f>
        <v/>
      </c>
      <c r="DI72" s="39">
        <f>RANK(DH72,DH$4:DH$503)</f>
        <v/>
      </c>
      <c r="DJ72" s="40" t="inlineStr">
        <is>
          <t>CHOOSE RATING</t>
        </is>
      </c>
      <c r="DK72" s="40" t="inlineStr">
        <is>
          <t>CHOOSE RATING</t>
        </is>
      </c>
      <c r="DL72" s="40" t="inlineStr">
        <is>
          <t>CHOOSE RATING</t>
        </is>
      </c>
      <c r="DM72" s="40" t="inlineStr">
        <is>
          <t>CHOOSE RATING</t>
        </is>
      </c>
      <c r="DN72" s="40" t="inlineStr">
        <is>
          <t>CHOOSE RATING</t>
        </is>
      </c>
      <c r="DO72" s="40" t="inlineStr">
        <is>
          <t>CHOOSE RATING</t>
        </is>
      </c>
      <c r="DP72" s="40" t="inlineStr">
        <is>
          <t>CHOOSE RATING</t>
        </is>
      </c>
      <c r="DQ72" s="40" t="inlineStr">
        <is>
          <t>CHOOSE RATING</t>
        </is>
      </c>
      <c r="DR72" s="43" t="inlineStr">
        <is>
          <t>2024/2025</t>
        </is>
      </c>
      <c r="DS72" s="45" t="inlineStr">
        <is>
          <t>THIRD</t>
        </is>
      </c>
      <c r="DT72" s="40" t="inlineStr">
        <is>
          <t>CHOOSE RATING</t>
        </is>
      </c>
      <c r="DU72" s="40" t="inlineStr">
        <is>
          <t>CHOOSE RATING</t>
        </is>
      </c>
      <c r="DV72" s="40" t="inlineStr">
        <is>
          <t>CHOOSE RATING</t>
        </is>
      </c>
      <c r="DW72" s="40" t="inlineStr">
        <is>
          <t>CHOOSE RATING</t>
        </is>
      </c>
      <c r="DX72" s="40" t="inlineStr">
        <is>
          <t>CHOOSE RATING</t>
        </is>
      </c>
      <c r="DY72" s="40" t="inlineStr">
        <is>
          <t>CHOOSE RATING</t>
        </is>
      </c>
      <c r="DZ72" s="53" t="inlineStr">
        <is>
          <t>CHOOSE RATING</t>
        </is>
      </c>
      <c r="EA72" s="54" t="inlineStr">
        <is>
          <t>Add the Tutor's Comment . . .</t>
        </is>
      </c>
      <c r="EB72" s="55" t="inlineStr">
        <is>
          <t>Choose Principals comment</t>
        </is>
      </c>
      <c r="EC72" s="56" t="n"/>
      <c r="ED72" s="57" t="inlineStr">
        <is>
          <t>Next Term Begins on Monday, 22nd September, 2025</t>
        </is>
      </c>
    </row>
    <row r="73" ht="30.6" customHeight="1" s="6">
      <c r="A73" s="18" t="n">
        <v>70</v>
      </c>
      <c r="B73" s="19" t="n"/>
      <c r="C73" s="20" t="n"/>
      <c r="D73" s="128" t="n"/>
      <c r="E73" s="21" t="n"/>
      <c r="F73" s="22" t="n"/>
      <c r="G73" s="22" t="n"/>
      <c r="H73" s="22" t="n"/>
      <c r="I73" s="26">
        <f>G73-H73</f>
        <v/>
      </c>
      <c r="J73" s="21" t="n"/>
      <c r="K73" s="21" t="n"/>
      <c r="L73" s="27">
        <f>SUM(J73:K73)</f>
        <v/>
      </c>
      <c r="M73" s="28" t="n"/>
      <c r="N73" s="28" t="n"/>
      <c r="O73" s="29">
        <f>IF(AND(L73=0,M73=0,N73=0),0,IF(AND(L73=0,M73=0),N73/1,IF(AND(L73=0,N73=0),M73/1,IF(AND(M73=0,N73=0),L73/1,IF(L73=0,FLOOR((M73+N73)/2,0.1),IF(M73=0,(L73+N73)/2,IF(N73=0,(M73+L73)/2,FLOOR(((L73+M73+N73)/3),0.1))))))))</f>
        <v/>
      </c>
      <c r="P73" s="21" t="n"/>
      <c r="Q73" s="21" t="n"/>
      <c r="R73" s="27">
        <f>SUM(P73:Q73)</f>
        <v/>
      </c>
      <c r="S73" s="28" t="n"/>
      <c r="T73" s="28" t="n"/>
      <c r="U73" s="29">
        <f>IF(AND(R73=0,S73=0,T73=0),0,IF(AND(R73=0,S73=0),T73/1,IF(AND(R73=0,T73=0),S73/1,IF(AND(S73=0,T73=0),R73/1,IF(R73=0,FLOOR((S73+T73)/2,0.1),IF(S73=0,(R73+T73)/2,IF(T73=0,(S73+R73)/2,FLOOR(((R73+S73+T73)/3),0.1))))))))</f>
        <v/>
      </c>
      <c r="V73" s="21" t="n"/>
      <c r="W73" s="21" t="n"/>
      <c r="X73" s="27">
        <f>SUM(V73:W73)</f>
        <v/>
      </c>
      <c r="Y73" s="28" t="n"/>
      <c r="Z73" s="28" t="n"/>
      <c r="AA73" s="29">
        <f>IF(AND(X73=0,Y73=0,Z73=0),0,IF(AND(X73=0,Y73=0),Z73/1,IF(AND(X73=0,Z73=0),Y73/1,IF(AND(Y73=0,Z73=0),X73/1,IF(X73=0,FLOOR((Y73+Z73)/2,0.1),IF(Y73=0,(X73+Z73)/2,IF(Z73=0,(Y73+X73)/2,FLOOR(((X73+Y73+Z73)/3),0.1))))))))</f>
        <v/>
      </c>
      <c r="AB73" s="21" t="n"/>
      <c r="AC73" s="21" t="n"/>
      <c r="AD73" s="27">
        <f>SUM(AB73:AC73)</f>
        <v/>
      </c>
      <c r="AE73" s="28" t="n"/>
      <c r="AF73" s="28" t="n"/>
      <c r="AG73" s="29">
        <f>IF(AND(AD73=0,AE73=0,AF73=0),0,IF(AND(AD73=0,AE73=0),AF73/1,IF(AND(AD73=0,AF73=0),AE73/1,IF(AND(AE73=0,AF73=0),AD73/1,IF(AD73=0,FLOOR((AE73+AF73)/2,0.1),IF(AE73=0,(AD73+AF73)/2,IF(AF73=0,(AE73+AD73)/2,FLOOR(((AD73+AE73+AF73)/3),0.1))))))))</f>
        <v/>
      </c>
      <c r="AH73" s="21" t="n"/>
      <c r="AI73" s="21" t="n"/>
      <c r="AJ73" s="27">
        <f>SUM(AH73:AI73)</f>
        <v/>
      </c>
      <c r="AK73" s="28" t="n"/>
      <c r="AL73" s="28" t="n"/>
      <c r="AM73" s="29">
        <f>IF(AND(AJ73=0,AK73=0,AL73=0),0,IF(AND(AJ73=0,AK73=0),AL73/1,IF(AND(AJ73=0,AL73=0),AK73/1,IF(AND(AK73=0,AL73=0),AJ73/1,IF(AJ73=0,FLOOR((AK73+AL73)/2,0.1),IF(AK73=0,(AJ73+AL73)/2,IF(AL73=0,(AK73+AJ73)/2,FLOOR(((AJ73+AK73+AL73)/3),0.1))))))))</f>
        <v/>
      </c>
      <c r="AN73" s="21" t="n"/>
      <c r="AO73" s="21" t="n"/>
      <c r="AP73" s="27">
        <f>SUM(AN73:AO73)</f>
        <v/>
      </c>
      <c r="AQ73" s="28" t="n"/>
      <c r="AR73" s="30" t="n"/>
      <c r="AS73" s="29">
        <f>IF(AND(AP73=0,AQ73=0,AR73=0),0,IF(AND(AP73=0,AQ73=0),AR73/1,IF(AND(AP73=0,AR73=0),AQ73/1,IF(AND(AQ73=0,AR73=0),AP73/1,IF(AP73=0,FLOOR((AQ73+AR73)/2,0.1),IF(AQ73=0,(AP73+AR73)/2,IF(AR73=0,(AQ73+AP73)/2,FLOOR(((AP73+AQ73+AR73)/3),0.1))))))))</f>
        <v/>
      </c>
      <c r="AT73" s="21" t="n"/>
      <c r="AU73" s="21" t="n"/>
      <c r="AV73" s="27">
        <f>SUM(AT73:AU73)</f>
        <v/>
      </c>
      <c r="AW73" s="28" t="n"/>
      <c r="AX73" s="30" t="n"/>
      <c r="AY73" s="29">
        <f>IF(AND(AV73=0,AW73=0,AX73=0),0,IF(AND(AV73=0,AW73=0),AX73/1,IF(AND(AV73=0,AX73=0),AW73/1,IF(AND(AW73=0,AX73=0),AV73/1,IF(AV73=0,FLOOR((AW73+AX73)/2,0.1),IF(AW73=0,(AV73+AX73)/2,IF(AX73=0,(AW73+AV73)/2,FLOOR(((AV73+AW73+AX73)/3),0.1))))))))</f>
        <v/>
      </c>
      <c r="AZ73" s="21" t="n"/>
      <c r="BA73" s="21" t="n"/>
      <c r="BB73" s="27">
        <f>SUM(AZ73:BA73)</f>
        <v/>
      </c>
      <c r="BC73" s="28" t="n"/>
      <c r="BD73" s="28" t="n"/>
      <c r="BE73" s="29">
        <f>IF(AND(BB73=0,BC73=0,BD73=0),0,IF(AND(BB73=0,BC73=0),BD73/1,IF(AND(BB73=0,BD73=0),BC73/1,IF(AND(BC73=0,BD73=0),BB73/1,IF(BB73=0,FLOOR((BC73+BD73)/2,0.1),IF(BC73=0,(BB73+BD73)/2,IF(BD73=0,(BC73+BB73)/2,FLOOR(((BB73+BC73+BD73)/3),0.1))))))))</f>
        <v/>
      </c>
      <c r="BF73" s="21" t="n"/>
      <c r="BG73" s="21" t="n"/>
      <c r="BH73" s="27">
        <f>SUM(BF73:BG73)</f>
        <v/>
      </c>
      <c r="BI73" s="28" t="n"/>
      <c r="BJ73" s="28" t="n"/>
      <c r="BK73" s="29">
        <f>IF(AND(BH73=0,BI73=0,BJ73=0),0,IF(AND(BH73=0,BI73=0),BJ73/1,IF(AND(BH73=0,BJ73=0),BI73/1,IF(AND(BI73=0,BJ73=0),BH73/1,IF(BH73=0,FLOOR((BI73+BJ73)/2,0.1),IF(BI73=0,(BH73+BJ73)/2,IF(BJ73=0,(BI73+BH73)/2,FLOOR(((BH73+BI73+BJ73)/3),0.1))))))))</f>
        <v/>
      </c>
      <c r="BL73" s="21" t="n"/>
      <c r="BM73" s="21" t="n"/>
      <c r="BN73" s="27">
        <f>SUM(BL73:BM73)</f>
        <v/>
      </c>
      <c r="BO73" s="28" t="n"/>
      <c r="BP73" s="31" t="n"/>
      <c r="BQ73" s="29">
        <f>IF(AND(BN73=0,BO73=0,BP73=0),0,IF(AND(BN73=0,BO73=0),BP73/1,IF(AND(BN73=0,BP73=0),BO73/1,IF(AND(BO73=0,BP73=0),BN73/1,IF(BN73=0,FLOOR((BO73+BP73)/2,0.1),IF(BO73=0,(BN73+BP73)/2,IF(BP73=0,(BO73+BN73)/2,FLOOR(((BN73+BO73+BP73)/3),0.1))))))))</f>
        <v/>
      </c>
      <c r="BR73" s="21" t="n"/>
      <c r="BS73" s="21" t="n"/>
      <c r="BT73" s="27">
        <f>SUM(BR73:BS73)</f>
        <v/>
      </c>
      <c r="BU73" s="28" t="n"/>
      <c r="BV73" s="31" t="n"/>
      <c r="BW73" s="29">
        <f>IF(AND(BT73=0,BU73=0,BV73=0),0,IF(AND(BT73=0,BU73=0),BV73/1,IF(AND(BT73=0,BV73=0),BU73/1,IF(AND(BU73=0,BV73=0),BT73/1,IF(BT73=0,FLOOR((BU73+BV73)/2,0.1),IF(BU73=0,(BT73+BV73)/2,IF(BV73=0,(BU73+BT73)/2,FLOOR(((BT73+BU73+BV73)/3),0.1))))))))</f>
        <v/>
      </c>
      <c r="BX73" s="21" t="n"/>
      <c r="BY73" s="21" t="n"/>
      <c r="BZ73" s="27">
        <f>SUM(BX73:BY73)</f>
        <v/>
      </c>
      <c r="CA73" s="28" t="n"/>
      <c r="CB73" s="31" t="n"/>
      <c r="CC73" s="29">
        <f>IF(AND(BZ73=0,CA73=0,CB73=0),0,IF(AND(BZ73=0,CA73=0),CB73/1,IF(AND(BZ73=0,CB73=0),CA73/1,IF(AND(CA73=0,CB73=0),BZ73/1,IF(BZ73=0,FLOOR((CA73+CB73)/2,0.1),IF(CA73=0,(BZ73+CB73)/2,IF(CB73=0,(CA73+BZ73)/2,FLOOR(((BZ73+CA73+CB73)/3),0.1))))))))</f>
        <v/>
      </c>
      <c r="CD73" s="21" t="n"/>
      <c r="CE73" s="21" t="n"/>
      <c r="CF73" s="27">
        <f>SUM(CD73:CE73)</f>
        <v/>
      </c>
      <c r="CG73" s="28" t="n"/>
      <c r="CH73" s="31" t="n"/>
      <c r="CI73" s="29">
        <f>IF(AND(CF73=0,CG73=0,CH73=0),0,IF(AND(CF73=0,CG73=0),CH73/1,IF(AND(CF73=0,CH73=0),CG73/1,IF(AND(CG73=0,CH73=0),CF73/1,IF(CF73=0,FLOOR((CG73+CH73)/2,0.1),IF(CG73=0,(CF73+CH73)/2,IF(CH73=0,(CG73+CF73)/2,FLOOR(((CF73+CG73+CH73)/3),0.1))))))))</f>
        <v/>
      </c>
      <c r="CJ73" s="21" t="n"/>
      <c r="CK73" s="21" t="n"/>
      <c r="CL73" s="27">
        <f>SUM(CJ73:CK73)</f>
        <v/>
      </c>
      <c r="CM73" s="28" t="n"/>
      <c r="CN73" s="31" t="n"/>
      <c r="CO73" s="29">
        <f>IF(AND(CL73=0,CM73=0,CN73=0),0,IF(AND(CL73=0,CM73=0),CN73/1,IF(AND(CL73=0,CN73=0),CM73/1,IF(AND(CM73=0,CN73=0),CL73/1,IF(CL73=0,FLOOR((CM73+CN73)/2,0.1),IF(CM73=0,(CL73+CN73)/2,IF(CN73=0,(CM73+CL73)/2,FLOOR(((CL73+CM73+CN73)/3),0.1))))))))</f>
        <v/>
      </c>
      <c r="CP73" s="21" t="n"/>
      <c r="CQ73" s="21" t="n"/>
      <c r="CR73" s="27">
        <f>SUM(CP73:CQ73)</f>
        <v/>
      </c>
      <c r="CS73" s="28" t="n"/>
      <c r="CT73" s="31" t="n"/>
      <c r="CU73" s="29">
        <f>IF(AND(CR73=0,CS73=0,CT73=0),0,IF(AND(CR73=0,CS73=0),CT73/1,IF(AND(CR73=0,CT73=0),CS73/1,IF(AND(CS73=0,CT73=0),CR73/1,IF(CR73=0,FLOOR((CS73+CT73)/2,0.1),IF(CS73=0,(CR73+CT73)/2,IF(CT73=0,(CS73+CR73)/2,FLOOR(((CR73+CS73+CT73)/3),0.1))))))))</f>
        <v/>
      </c>
      <c r="CV73" s="21" t="n"/>
      <c r="CW73" s="21" t="n"/>
      <c r="CX73" s="27">
        <f>SUM(CV73:CW73)</f>
        <v/>
      </c>
      <c r="CY73" s="28" t="n"/>
      <c r="CZ73" s="31" t="n"/>
      <c r="DA73" s="29">
        <f>IF(AND(CX73=0,CY73=0,CZ73=0),0,IF(AND(CX73=0,CY73=0),CZ73/1,IF(AND(CX73=0,CZ73=0),CY73/1,IF(AND(CY73=0,CZ73=0),CX73/1,IF(CX73=0,FLOOR((CY73+CZ73)/2,0.1),IF(CY73=0,(CX73+CZ73)/2,IF(CZ73=0,(CY73+CX73)/2,FLOOR(((CX73+CY73+CZ73)/3),0.1))))))))</f>
        <v/>
      </c>
      <c r="DB73" s="21" t="n"/>
      <c r="DC73" s="21" t="n"/>
      <c r="DD73" s="27">
        <f>SUM(DB73:DC73)</f>
        <v/>
      </c>
      <c r="DE73" s="28" t="n"/>
      <c r="DF73" s="31" t="n"/>
      <c r="DG73" s="29">
        <f>IF(AND(DD73=0,DE73=0,DF73=0),0,IF(AND(DD73=0,DE73=0),DF73/1,IF(AND(DD73=0,DF73=0),DE73/1,IF(AND(DE73=0,DF73=0),DD73/1,IF(DD73=0,FLOOR((DE73+DF73)/2,0.1),IF(DE73=0,(DD73+DF73)/2,IF(DF73=0,(DE73+DD73)/2,FLOOR(((DD73+DE73+DF73)/3),0.1))))))))</f>
        <v/>
      </c>
      <c r="DH73" s="34">
        <f>SUM(O73,U73,AA73,AG73,AM73,AS73,AY73,BE73,BK73,BQ73,BW73,CC73,CI73,CO73,CU73,DA73,DG73)</f>
        <v/>
      </c>
      <c r="DI73" s="39">
        <f>RANK(DH73,DH$4:DH$503)</f>
        <v/>
      </c>
      <c r="DJ73" s="40" t="inlineStr">
        <is>
          <t>CHOOSE RATING</t>
        </is>
      </c>
      <c r="DK73" s="40" t="inlineStr">
        <is>
          <t>CHOOSE RATING</t>
        </is>
      </c>
      <c r="DL73" s="40" t="inlineStr">
        <is>
          <t>CHOOSE RATING</t>
        </is>
      </c>
      <c r="DM73" s="40" t="inlineStr">
        <is>
          <t>CHOOSE RATING</t>
        </is>
      </c>
      <c r="DN73" s="40" t="inlineStr">
        <is>
          <t>CHOOSE RATING</t>
        </is>
      </c>
      <c r="DO73" s="40" t="inlineStr">
        <is>
          <t>CHOOSE RATING</t>
        </is>
      </c>
      <c r="DP73" s="40" t="inlineStr">
        <is>
          <t>CHOOSE RATING</t>
        </is>
      </c>
      <c r="DQ73" s="40" t="inlineStr">
        <is>
          <t>CHOOSE RATING</t>
        </is>
      </c>
      <c r="DR73" s="43" t="inlineStr">
        <is>
          <t>2024/2025</t>
        </is>
      </c>
      <c r="DS73" s="45" t="inlineStr">
        <is>
          <t>THIRD</t>
        </is>
      </c>
      <c r="DT73" s="40" t="inlineStr">
        <is>
          <t>CHOOSE RATING</t>
        </is>
      </c>
      <c r="DU73" s="40" t="inlineStr">
        <is>
          <t>CHOOSE RATING</t>
        </is>
      </c>
      <c r="DV73" s="40" t="inlineStr">
        <is>
          <t>CHOOSE RATING</t>
        </is>
      </c>
      <c r="DW73" s="40" t="inlineStr">
        <is>
          <t>CHOOSE RATING</t>
        </is>
      </c>
      <c r="DX73" s="40" t="inlineStr">
        <is>
          <t>CHOOSE RATING</t>
        </is>
      </c>
      <c r="DY73" s="40" t="inlineStr">
        <is>
          <t>CHOOSE RATING</t>
        </is>
      </c>
      <c r="DZ73" s="53" t="inlineStr">
        <is>
          <t>CHOOSE RATING</t>
        </is>
      </c>
      <c r="EA73" s="54" t="inlineStr">
        <is>
          <t>Add the Tutor's Comment . . .</t>
        </is>
      </c>
      <c r="EB73" s="55" t="inlineStr">
        <is>
          <t>Choose Principals comment</t>
        </is>
      </c>
      <c r="EC73" s="56" t="n"/>
      <c r="ED73" s="57" t="inlineStr">
        <is>
          <t>Next Term Begins on Monday, 22nd September, 2025</t>
        </is>
      </c>
    </row>
    <row r="74" ht="30.6" customHeight="1" s="6">
      <c r="A74" s="18" t="n">
        <v>71</v>
      </c>
      <c r="B74" s="19" t="n"/>
      <c r="C74" s="20" t="n"/>
      <c r="D74" s="128" t="n"/>
      <c r="E74" s="21" t="n"/>
      <c r="F74" s="22" t="n"/>
      <c r="G74" s="22" t="n"/>
      <c r="H74" s="22" t="n"/>
      <c r="I74" s="26">
        <f>G74-H74</f>
        <v/>
      </c>
      <c r="J74" s="21" t="n"/>
      <c r="K74" s="21" t="n"/>
      <c r="L74" s="27">
        <f>SUM(J74:K74)</f>
        <v/>
      </c>
      <c r="M74" s="28" t="n"/>
      <c r="N74" s="28" t="n"/>
      <c r="O74" s="29">
        <f>IF(AND(L74=0,M74=0,N74=0),0,IF(AND(L74=0,M74=0),N74/1,IF(AND(L74=0,N74=0),M74/1,IF(AND(M74=0,N74=0),L74/1,IF(L74=0,FLOOR((M74+N74)/2,0.1),IF(M74=0,(L74+N74)/2,IF(N74=0,(M74+L74)/2,FLOOR(((L74+M74+N74)/3),0.1))))))))</f>
        <v/>
      </c>
      <c r="P74" s="21" t="n"/>
      <c r="Q74" s="21" t="n"/>
      <c r="R74" s="27">
        <f>SUM(P74:Q74)</f>
        <v/>
      </c>
      <c r="S74" s="28" t="n"/>
      <c r="T74" s="28" t="n"/>
      <c r="U74" s="29">
        <f>IF(AND(R74=0,S74=0,T74=0),0,IF(AND(R74=0,S74=0),T74/1,IF(AND(R74=0,T74=0),S74/1,IF(AND(S74=0,T74=0),R74/1,IF(R74=0,FLOOR((S74+T74)/2,0.1),IF(S74=0,(R74+T74)/2,IF(T74=0,(S74+R74)/2,FLOOR(((R74+S74+T74)/3),0.1))))))))</f>
        <v/>
      </c>
      <c r="V74" s="21" t="n"/>
      <c r="W74" s="21" t="n"/>
      <c r="X74" s="27">
        <f>SUM(V74:W74)</f>
        <v/>
      </c>
      <c r="Y74" s="28" t="n"/>
      <c r="Z74" s="28" t="n"/>
      <c r="AA74" s="29">
        <f>IF(AND(X74=0,Y74=0,Z74=0),0,IF(AND(X74=0,Y74=0),Z74/1,IF(AND(X74=0,Z74=0),Y74/1,IF(AND(Y74=0,Z74=0),X74/1,IF(X74=0,FLOOR((Y74+Z74)/2,0.1),IF(Y74=0,(X74+Z74)/2,IF(Z74=0,(Y74+X74)/2,FLOOR(((X74+Y74+Z74)/3),0.1))))))))</f>
        <v/>
      </c>
      <c r="AB74" s="21" t="n"/>
      <c r="AC74" s="21" t="n"/>
      <c r="AD74" s="27">
        <f>SUM(AB74:AC74)</f>
        <v/>
      </c>
      <c r="AE74" s="28" t="n"/>
      <c r="AF74" s="28" t="n"/>
      <c r="AG74" s="29">
        <f>IF(AND(AD74=0,AE74=0,AF74=0),0,IF(AND(AD74=0,AE74=0),AF74/1,IF(AND(AD74=0,AF74=0),AE74/1,IF(AND(AE74=0,AF74=0),AD74/1,IF(AD74=0,FLOOR((AE74+AF74)/2,0.1),IF(AE74=0,(AD74+AF74)/2,IF(AF74=0,(AE74+AD74)/2,FLOOR(((AD74+AE74+AF74)/3),0.1))))))))</f>
        <v/>
      </c>
      <c r="AH74" s="21" t="n"/>
      <c r="AI74" s="21" t="n"/>
      <c r="AJ74" s="27">
        <f>SUM(AH74:AI74)</f>
        <v/>
      </c>
      <c r="AK74" s="28" t="n"/>
      <c r="AL74" s="28" t="n"/>
      <c r="AM74" s="29">
        <f>IF(AND(AJ74=0,AK74=0,AL74=0),0,IF(AND(AJ74=0,AK74=0),AL74/1,IF(AND(AJ74=0,AL74=0),AK74/1,IF(AND(AK74=0,AL74=0),AJ74/1,IF(AJ74=0,FLOOR((AK74+AL74)/2,0.1),IF(AK74=0,(AJ74+AL74)/2,IF(AL74=0,(AK74+AJ74)/2,FLOOR(((AJ74+AK74+AL74)/3),0.1))))))))</f>
        <v/>
      </c>
      <c r="AN74" s="21" t="n"/>
      <c r="AO74" s="21" t="n"/>
      <c r="AP74" s="27">
        <f>SUM(AN74:AO74)</f>
        <v/>
      </c>
      <c r="AQ74" s="28" t="n"/>
      <c r="AR74" s="30" t="n"/>
      <c r="AS74" s="29">
        <f>IF(AND(AP74=0,AQ74=0,AR74=0),0,IF(AND(AP74=0,AQ74=0),AR74/1,IF(AND(AP74=0,AR74=0),AQ74/1,IF(AND(AQ74=0,AR74=0),AP74/1,IF(AP74=0,FLOOR((AQ74+AR74)/2,0.1),IF(AQ74=0,(AP74+AR74)/2,IF(AR74=0,(AQ74+AP74)/2,FLOOR(((AP74+AQ74+AR74)/3),0.1))))))))</f>
        <v/>
      </c>
      <c r="AT74" s="21" t="n"/>
      <c r="AU74" s="21" t="n"/>
      <c r="AV74" s="27">
        <f>SUM(AT74:AU74)</f>
        <v/>
      </c>
      <c r="AW74" s="28" t="n"/>
      <c r="AX74" s="30" t="n"/>
      <c r="AY74" s="29">
        <f>IF(AND(AV74=0,AW74=0,AX74=0),0,IF(AND(AV74=0,AW74=0),AX74/1,IF(AND(AV74=0,AX74=0),AW74/1,IF(AND(AW74=0,AX74=0),AV74/1,IF(AV74=0,FLOOR((AW74+AX74)/2,0.1),IF(AW74=0,(AV74+AX74)/2,IF(AX74=0,(AW74+AV74)/2,FLOOR(((AV74+AW74+AX74)/3),0.1))))))))</f>
        <v/>
      </c>
      <c r="AZ74" s="21" t="n"/>
      <c r="BA74" s="21" t="n"/>
      <c r="BB74" s="27">
        <f>SUM(AZ74:BA74)</f>
        <v/>
      </c>
      <c r="BC74" s="28" t="n"/>
      <c r="BD74" s="28" t="n"/>
      <c r="BE74" s="29">
        <f>IF(AND(BB74=0,BC74=0,BD74=0),0,IF(AND(BB74=0,BC74=0),BD74/1,IF(AND(BB74=0,BD74=0),BC74/1,IF(AND(BC74=0,BD74=0),BB74/1,IF(BB74=0,FLOOR((BC74+BD74)/2,0.1),IF(BC74=0,(BB74+BD74)/2,IF(BD74=0,(BC74+BB74)/2,FLOOR(((BB74+BC74+BD74)/3),0.1))))))))</f>
        <v/>
      </c>
      <c r="BF74" s="21" t="n"/>
      <c r="BG74" s="21" t="n"/>
      <c r="BH74" s="27">
        <f>SUM(BF74:BG74)</f>
        <v/>
      </c>
      <c r="BI74" s="28" t="n"/>
      <c r="BJ74" s="28" t="n"/>
      <c r="BK74" s="29">
        <f>IF(AND(BH74=0,BI74=0,BJ74=0),0,IF(AND(BH74=0,BI74=0),BJ74/1,IF(AND(BH74=0,BJ74=0),BI74/1,IF(AND(BI74=0,BJ74=0),BH74/1,IF(BH74=0,FLOOR((BI74+BJ74)/2,0.1),IF(BI74=0,(BH74+BJ74)/2,IF(BJ74=0,(BI74+BH74)/2,FLOOR(((BH74+BI74+BJ74)/3),0.1))))))))</f>
        <v/>
      </c>
      <c r="BL74" s="21" t="n"/>
      <c r="BM74" s="21" t="n"/>
      <c r="BN74" s="27">
        <f>SUM(BL74:BM74)</f>
        <v/>
      </c>
      <c r="BO74" s="28" t="n"/>
      <c r="BP74" s="31" t="n"/>
      <c r="BQ74" s="29">
        <f>IF(AND(BN74=0,BO74=0,BP74=0),0,IF(AND(BN74=0,BO74=0),BP74/1,IF(AND(BN74=0,BP74=0),BO74/1,IF(AND(BO74=0,BP74=0),BN74/1,IF(BN74=0,FLOOR((BO74+BP74)/2,0.1),IF(BO74=0,(BN74+BP74)/2,IF(BP74=0,(BO74+BN74)/2,FLOOR(((BN74+BO74+BP74)/3),0.1))))))))</f>
        <v/>
      </c>
      <c r="BR74" s="21" t="n"/>
      <c r="BS74" s="21" t="n"/>
      <c r="BT74" s="27">
        <f>SUM(BR74:BS74)</f>
        <v/>
      </c>
      <c r="BU74" s="28" t="n"/>
      <c r="BV74" s="31" t="n"/>
      <c r="BW74" s="29">
        <f>IF(AND(BT74=0,BU74=0,BV74=0),0,IF(AND(BT74=0,BU74=0),BV74/1,IF(AND(BT74=0,BV74=0),BU74/1,IF(AND(BU74=0,BV74=0),BT74/1,IF(BT74=0,FLOOR((BU74+BV74)/2,0.1),IF(BU74=0,(BT74+BV74)/2,IF(BV74=0,(BU74+BT74)/2,FLOOR(((BT74+BU74+BV74)/3),0.1))))))))</f>
        <v/>
      </c>
      <c r="BX74" s="21" t="n"/>
      <c r="BY74" s="21" t="n"/>
      <c r="BZ74" s="27">
        <f>SUM(BX74:BY74)</f>
        <v/>
      </c>
      <c r="CA74" s="28" t="n"/>
      <c r="CB74" s="31" t="n"/>
      <c r="CC74" s="29">
        <f>IF(AND(BZ74=0,CA74=0,CB74=0),0,IF(AND(BZ74=0,CA74=0),CB74/1,IF(AND(BZ74=0,CB74=0),CA74/1,IF(AND(CA74=0,CB74=0),BZ74/1,IF(BZ74=0,FLOOR((CA74+CB74)/2,0.1),IF(CA74=0,(BZ74+CB74)/2,IF(CB74=0,(CA74+BZ74)/2,FLOOR(((BZ74+CA74+CB74)/3),0.1))))))))</f>
        <v/>
      </c>
      <c r="CD74" s="21" t="n"/>
      <c r="CE74" s="21" t="n"/>
      <c r="CF74" s="27">
        <f>SUM(CD74:CE74)</f>
        <v/>
      </c>
      <c r="CG74" s="28" t="n"/>
      <c r="CH74" s="31" t="n"/>
      <c r="CI74" s="29">
        <f>IF(AND(CF74=0,CG74=0,CH74=0),0,IF(AND(CF74=0,CG74=0),CH74/1,IF(AND(CF74=0,CH74=0),CG74/1,IF(AND(CG74=0,CH74=0),CF74/1,IF(CF74=0,FLOOR((CG74+CH74)/2,0.1),IF(CG74=0,(CF74+CH74)/2,IF(CH74=0,(CG74+CF74)/2,FLOOR(((CF74+CG74+CH74)/3),0.1))))))))</f>
        <v/>
      </c>
      <c r="CJ74" s="21" t="n"/>
      <c r="CK74" s="21" t="n"/>
      <c r="CL74" s="27">
        <f>SUM(CJ74:CK74)</f>
        <v/>
      </c>
      <c r="CM74" s="28" t="n"/>
      <c r="CN74" s="31" t="n"/>
      <c r="CO74" s="29">
        <f>IF(AND(CL74=0,CM74=0,CN74=0),0,IF(AND(CL74=0,CM74=0),CN74/1,IF(AND(CL74=0,CN74=0),CM74/1,IF(AND(CM74=0,CN74=0),CL74/1,IF(CL74=0,FLOOR((CM74+CN74)/2,0.1),IF(CM74=0,(CL74+CN74)/2,IF(CN74=0,(CM74+CL74)/2,FLOOR(((CL74+CM74+CN74)/3),0.1))))))))</f>
        <v/>
      </c>
      <c r="CP74" s="21" t="n"/>
      <c r="CQ74" s="21" t="n"/>
      <c r="CR74" s="27">
        <f>SUM(CP74:CQ74)</f>
        <v/>
      </c>
      <c r="CS74" s="28" t="n"/>
      <c r="CT74" s="31" t="n"/>
      <c r="CU74" s="29">
        <f>IF(AND(CR74=0,CS74=0,CT74=0),0,IF(AND(CR74=0,CS74=0),CT74/1,IF(AND(CR74=0,CT74=0),CS74/1,IF(AND(CS74=0,CT74=0),CR74/1,IF(CR74=0,FLOOR((CS74+CT74)/2,0.1),IF(CS74=0,(CR74+CT74)/2,IF(CT74=0,(CS74+CR74)/2,FLOOR(((CR74+CS74+CT74)/3),0.1))))))))</f>
        <v/>
      </c>
      <c r="CV74" s="21" t="n"/>
      <c r="CW74" s="21" t="n"/>
      <c r="CX74" s="27">
        <f>SUM(CV74:CW74)</f>
        <v/>
      </c>
      <c r="CY74" s="28" t="n"/>
      <c r="CZ74" s="31" t="n"/>
      <c r="DA74" s="29">
        <f>IF(AND(CX74=0,CY74=0,CZ74=0),0,IF(AND(CX74=0,CY74=0),CZ74/1,IF(AND(CX74=0,CZ74=0),CY74/1,IF(AND(CY74=0,CZ74=0),CX74/1,IF(CX74=0,FLOOR((CY74+CZ74)/2,0.1),IF(CY74=0,(CX74+CZ74)/2,IF(CZ74=0,(CY74+CX74)/2,FLOOR(((CX74+CY74+CZ74)/3),0.1))))))))</f>
        <v/>
      </c>
      <c r="DB74" s="21" t="n"/>
      <c r="DC74" s="21" t="n"/>
      <c r="DD74" s="27">
        <f>SUM(DB74:DC74)</f>
        <v/>
      </c>
      <c r="DE74" s="28" t="n"/>
      <c r="DF74" s="31" t="n"/>
      <c r="DG74" s="29">
        <f>IF(AND(DD74=0,DE74=0,DF74=0),0,IF(AND(DD74=0,DE74=0),DF74/1,IF(AND(DD74=0,DF74=0),DE74/1,IF(AND(DE74=0,DF74=0),DD74/1,IF(DD74=0,FLOOR((DE74+DF74)/2,0.1),IF(DE74=0,(DD74+DF74)/2,IF(DF74=0,(DE74+DD74)/2,FLOOR(((DD74+DE74+DF74)/3),0.1))))))))</f>
        <v/>
      </c>
      <c r="DH74" s="34">
        <f>SUM(O74,U74,AA74,AG74,AM74,AS74,AY74,BE74,BK74,BQ74,BW74,CC74,CI74,CO74,CU74,DA74,DG74)</f>
        <v/>
      </c>
      <c r="DI74" s="39">
        <f>RANK(DH74,DH$4:DH$503)</f>
        <v/>
      </c>
      <c r="DJ74" s="40" t="inlineStr">
        <is>
          <t>CHOOSE RATING</t>
        </is>
      </c>
      <c r="DK74" s="40" t="inlineStr">
        <is>
          <t>CHOOSE RATING</t>
        </is>
      </c>
      <c r="DL74" s="40" t="inlineStr">
        <is>
          <t>CHOOSE RATING</t>
        </is>
      </c>
      <c r="DM74" s="40" t="inlineStr">
        <is>
          <t>CHOOSE RATING</t>
        </is>
      </c>
      <c r="DN74" s="40" t="inlineStr">
        <is>
          <t>CHOOSE RATING</t>
        </is>
      </c>
      <c r="DO74" s="40" t="inlineStr">
        <is>
          <t>CHOOSE RATING</t>
        </is>
      </c>
      <c r="DP74" s="40" t="inlineStr">
        <is>
          <t>CHOOSE RATING</t>
        </is>
      </c>
      <c r="DQ74" s="40" t="inlineStr">
        <is>
          <t>CHOOSE RATING</t>
        </is>
      </c>
      <c r="DR74" s="43" t="inlineStr">
        <is>
          <t>2024/2025</t>
        </is>
      </c>
      <c r="DS74" s="45" t="inlineStr">
        <is>
          <t>THIRD</t>
        </is>
      </c>
      <c r="DT74" s="40" t="inlineStr">
        <is>
          <t>CHOOSE RATING</t>
        </is>
      </c>
      <c r="DU74" s="40" t="inlineStr">
        <is>
          <t>CHOOSE RATING</t>
        </is>
      </c>
      <c r="DV74" s="40" t="inlineStr">
        <is>
          <t>CHOOSE RATING</t>
        </is>
      </c>
      <c r="DW74" s="40" t="inlineStr">
        <is>
          <t>CHOOSE RATING</t>
        </is>
      </c>
      <c r="DX74" s="40" t="inlineStr">
        <is>
          <t>CHOOSE RATING</t>
        </is>
      </c>
      <c r="DY74" s="40" t="inlineStr">
        <is>
          <t>CHOOSE RATING</t>
        </is>
      </c>
      <c r="DZ74" s="53" t="inlineStr">
        <is>
          <t>CHOOSE RATING</t>
        </is>
      </c>
      <c r="EA74" s="54" t="inlineStr">
        <is>
          <t>Add the Tutor's Comment . . .</t>
        </is>
      </c>
      <c r="EB74" s="55" t="inlineStr">
        <is>
          <t>Choose Principals comment</t>
        </is>
      </c>
      <c r="EC74" s="56" t="n"/>
      <c r="ED74" s="57" t="inlineStr">
        <is>
          <t>Next Term Begins on Monday, 22nd September, 2025</t>
        </is>
      </c>
    </row>
    <row r="75" ht="30.6" customHeight="1" s="6">
      <c r="A75" s="18" t="n">
        <v>72</v>
      </c>
      <c r="B75" s="19" t="n"/>
      <c r="C75" s="20" t="n"/>
      <c r="D75" s="128" t="n"/>
      <c r="E75" s="21" t="n"/>
      <c r="F75" s="22" t="n"/>
      <c r="G75" s="22" t="n"/>
      <c r="H75" s="22" t="n"/>
      <c r="I75" s="26">
        <f>G75-H75</f>
        <v/>
      </c>
      <c r="J75" s="21" t="n"/>
      <c r="K75" s="21" t="n"/>
      <c r="L75" s="27">
        <f>SUM(J75:K75)</f>
        <v/>
      </c>
      <c r="M75" s="28" t="n"/>
      <c r="N75" s="28" t="n"/>
      <c r="O75" s="29">
        <f>IF(AND(L75=0,M75=0,N75=0),0,IF(AND(L75=0,M75=0),N75/1,IF(AND(L75=0,N75=0),M75/1,IF(AND(M75=0,N75=0),L75/1,IF(L75=0,FLOOR((M75+N75)/2,0.1),IF(M75=0,(L75+N75)/2,IF(N75=0,(M75+L75)/2,FLOOR(((L75+M75+N75)/3),0.1))))))))</f>
        <v/>
      </c>
      <c r="P75" s="21" t="n"/>
      <c r="Q75" s="21" t="n"/>
      <c r="R75" s="27">
        <f>SUM(P75:Q75)</f>
        <v/>
      </c>
      <c r="S75" s="28" t="n"/>
      <c r="T75" s="28" t="n"/>
      <c r="U75" s="29">
        <f>IF(AND(R75=0,S75=0,T75=0),0,IF(AND(R75=0,S75=0),T75/1,IF(AND(R75=0,T75=0),S75/1,IF(AND(S75=0,T75=0),R75/1,IF(R75=0,FLOOR((S75+T75)/2,0.1),IF(S75=0,(R75+T75)/2,IF(T75=0,(S75+R75)/2,FLOOR(((R75+S75+T75)/3),0.1))))))))</f>
        <v/>
      </c>
      <c r="V75" s="21" t="n"/>
      <c r="W75" s="21" t="n"/>
      <c r="X75" s="27">
        <f>SUM(V75:W75)</f>
        <v/>
      </c>
      <c r="Y75" s="28" t="n"/>
      <c r="Z75" s="28" t="n"/>
      <c r="AA75" s="29">
        <f>IF(AND(X75=0,Y75=0,Z75=0),0,IF(AND(X75=0,Y75=0),Z75/1,IF(AND(X75=0,Z75=0),Y75/1,IF(AND(Y75=0,Z75=0),X75/1,IF(X75=0,FLOOR((Y75+Z75)/2,0.1),IF(Y75=0,(X75+Z75)/2,IF(Z75=0,(Y75+X75)/2,FLOOR(((X75+Y75+Z75)/3),0.1))))))))</f>
        <v/>
      </c>
      <c r="AB75" s="21" t="n"/>
      <c r="AC75" s="21" t="n"/>
      <c r="AD75" s="27">
        <f>SUM(AB75:AC75)</f>
        <v/>
      </c>
      <c r="AE75" s="28" t="n"/>
      <c r="AF75" s="28" t="n"/>
      <c r="AG75" s="29">
        <f>IF(AND(AD75=0,AE75=0,AF75=0),0,IF(AND(AD75=0,AE75=0),AF75/1,IF(AND(AD75=0,AF75=0),AE75/1,IF(AND(AE75=0,AF75=0),AD75/1,IF(AD75=0,FLOOR((AE75+AF75)/2,0.1),IF(AE75=0,(AD75+AF75)/2,IF(AF75=0,(AE75+AD75)/2,FLOOR(((AD75+AE75+AF75)/3),0.1))))))))</f>
        <v/>
      </c>
      <c r="AH75" s="21" t="n"/>
      <c r="AI75" s="21" t="n"/>
      <c r="AJ75" s="27">
        <f>SUM(AH75:AI75)</f>
        <v/>
      </c>
      <c r="AK75" s="28" t="n"/>
      <c r="AL75" s="28" t="n"/>
      <c r="AM75" s="29">
        <f>IF(AND(AJ75=0,AK75=0,AL75=0),0,IF(AND(AJ75=0,AK75=0),AL75/1,IF(AND(AJ75=0,AL75=0),AK75/1,IF(AND(AK75=0,AL75=0),AJ75/1,IF(AJ75=0,FLOOR((AK75+AL75)/2,0.1),IF(AK75=0,(AJ75+AL75)/2,IF(AL75=0,(AK75+AJ75)/2,FLOOR(((AJ75+AK75+AL75)/3),0.1))))))))</f>
        <v/>
      </c>
      <c r="AN75" s="21" t="n"/>
      <c r="AO75" s="21" t="n"/>
      <c r="AP75" s="27">
        <f>SUM(AN75:AO75)</f>
        <v/>
      </c>
      <c r="AQ75" s="28" t="n"/>
      <c r="AR75" s="30" t="n"/>
      <c r="AS75" s="29">
        <f>IF(AND(AP75=0,AQ75=0,AR75=0),0,IF(AND(AP75=0,AQ75=0),AR75/1,IF(AND(AP75=0,AR75=0),AQ75/1,IF(AND(AQ75=0,AR75=0),AP75/1,IF(AP75=0,FLOOR((AQ75+AR75)/2,0.1),IF(AQ75=0,(AP75+AR75)/2,IF(AR75=0,(AQ75+AP75)/2,FLOOR(((AP75+AQ75+AR75)/3),0.1))))))))</f>
        <v/>
      </c>
      <c r="AT75" s="21" t="n"/>
      <c r="AU75" s="21" t="n"/>
      <c r="AV75" s="27">
        <f>SUM(AT75:AU75)</f>
        <v/>
      </c>
      <c r="AW75" s="28" t="n"/>
      <c r="AX75" s="30" t="n"/>
      <c r="AY75" s="29">
        <f>IF(AND(AV75=0,AW75=0,AX75=0),0,IF(AND(AV75=0,AW75=0),AX75/1,IF(AND(AV75=0,AX75=0),AW75/1,IF(AND(AW75=0,AX75=0),AV75/1,IF(AV75=0,FLOOR((AW75+AX75)/2,0.1),IF(AW75=0,(AV75+AX75)/2,IF(AX75=0,(AW75+AV75)/2,FLOOR(((AV75+AW75+AX75)/3),0.1))))))))</f>
        <v/>
      </c>
      <c r="AZ75" s="21" t="n"/>
      <c r="BA75" s="21" t="n"/>
      <c r="BB75" s="27">
        <f>SUM(AZ75:BA75)</f>
        <v/>
      </c>
      <c r="BC75" s="28" t="n"/>
      <c r="BD75" s="28" t="n"/>
      <c r="BE75" s="29">
        <f>IF(AND(BB75=0,BC75=0,BD75=0),0,IF(AND(BB75=0,BC75=0),BD75/1,IF(AND(BB75=0,BD75=0),BC75/1,IF(AND(BC75=0,BD75=0),BB75/1,IF(BB75=0,FLOOR((BC75+BD75)/2,0.1),IF(BC75=0,(BB75+BD75)/2,IF(BD75=0,(BC75+BB75)/2,FLOOR(((BB75+BC75+BD75)/3),0.1))))))))</f>
        <v/>
      </c>
      <c r="BF75" s="21" t="n"/>
      <c r="BG75" s="21" t="n"/>
      <c r="BH75" s="27">
        <f>SUM(BF75:BG75)</f>
        <v/>
      </c>
      <c r="BI75" s="28" t="n"/>
      <c r="BJ75" s="28" t="n"/>
      <c r="BK75" s="29">
        <f>IF(AND(BH75=0,BI75=0,BJ75=0),0,IF(AND(BH75=0,BI75=0),BJ75/1,IF(AND(BH75=0,BJ75=0),BI75/1,IF(AND(BI75=0,BJ75=0),BH75/1,IF(BH75=0,FLOOR((BI75+BJ75)/2,0.1),IF(BI75=0,(BH75+BJ75)/2,IF(BJ75=0,(BI75+BH75)/2,FLOOR(((BH75+BI75+BJ75)/3),0.1))))))))</f>
        <v/>
      </c>
      <c r="BL75" s="21" t="n"/>
      <c r="BM75" s="21" t="n"/>
      <c r="BN75" s="27">
        <f>SUM(BL75:BM75)</f>
        <v/>
      </c>
      <c r="BO75" s="28" t="n"/>
      <c r="BP75" s="31" t="n"/>
      <c r="BQ75" s="29">
        <f>IF(AND(BN75=0,BO75=0,BP75=0),0,IF(AND(BN75=0,BO75=0),BP75/1,IF(AND(BN75=0,BP75=0),BO75/1,IF(AND(BO75=0,BP75=0),BN75/1,IF(BN75=0,FLOOR((BO75+BP75)/2,0.1),IF(BO75=0,(BN75+BP75)/2,IF(BP75=0,(BO75+BN75)/2,FLOOR(((BN75+BO75+BP75)/3),0.1))))))))</f>
        <v/>
      </c>
      <c r="BR75" s="21" t="n"/>
      <c r="BS75" s="21" t="n"/>
      <c r="BT75" s="27">
        <f>SUM(BR75:BS75)</f>
        <v/>
      </c>
      <c r="BU75" s="28" t="n"/>
      <c r="BV75" s="31" t="n"/>
      <c r="BW75" s="29">
        <f>IF(AND(BT75=0,BU75=0,BV75=0),0,IF(AND(BT75=0,BU75=0),BV75/1,IF(AND(BT75=0,BV75=0),BU75/1,IF(AND(BU75=0,BV75=0),BT75/1,IF(BT75=0,FLOOR((BU75+BV75)/2,0.1),IF(BU75=0,(BT75+BV75)/2,IF(BV75=0,(BU75+BT75)/2,FLOOR(((BT75+BU75+BV75)/3),0.1))))))))</f>
        <v/>
      </c>
      <c r="BX75" s="21" t="n"/>
      <c r="BY75" s="21" t="n"/>
      <c r="BZ75" s="27">
        <f>SUM(BX75:BY75)</f>
        <v/>
      </c>
      <c r="CA75" s="28" t="n"/>
      <c r="CB75" s="31" t="n"/>
      <c r="CC75" s="29">
        <f>IF(AND(BZ75=0,CA75=0,CB75=0),0,IF(AND(BZ75=0,CA75=0),CB75/1,IF(AND(BZ75=0,CB75=0),CA75/1,IF(AND(CA75=0,CB75=0),BZ75/1,IF(BZ75=0,FLOOR((CA75+CB75)/2,0.1),IF(CA75=0,(BZ75+CB75)/2,IF(CB75=0,(CA75+BZ75)/2,FLOOR(((BZ75+CA75+CB75)/3),0.1))))))))</f>
        <v/>
      </c>
      <c r="CD75" s="21" t="n"/>
      <c r="CE75" s="21" t="n"/>
      <c r="CF75" s="27">
        <f>SUM(CD75:CE75)</f>
        <v/>
      </c>
      <c r="CG75" s="28" t="n"/>
      <c r="CH75" s="31" t="n"/>
      <c r="CI75" s="29">
        <f>IF(AND(CF75=0,CG75=0,CH75=0),0,IF(AND(CF75=0,CG75=0),CH75/1,IF(AND(CF75=0,CH75=0),CG75/1,IF(AND(CG75=0,CH75=0),CF75/1,IF(CF75=0,FLOOR((CG75+CH75)/2,0.1),IF(CG75=0,(CF75+CH75)/2,IF(CH75=0,(CG75+CF75)/2,FLOOR(((CF75+CG75+CH75)/3),0.1))))))))</f>
        <v/>
      </c>
      <c r="CJ75" s="21" t="n"/>
      <c r="CK75" s="21" t="n"/>
      <c r="CL75" s="27">
        <f>SUM(CJ75:CK75)</f>
        <v/>
      </c>
      <c r="CM75" s="28" t="n"/>
      <c r="CN75" s="31" t="n"/>
      <c r="CO75" s="29">
        <f>IF(AND(CL75=0,CM75=0,CN75=0),0,IF(AND(CL75=0,CM75=0),CN75/1,IF(AND(CL75=0,CN75=0),CM75/1,IF(AND(CM75=0,CN75=0),CL75/1,IF(CL75=0,FLOOR((CM75+CN75)/2,0.1),IF(CM75=0,(CL75+CN75)/2,IF(CN75=0,(CM75+CL75)/2,FLOOR(((CL75+CM75+CN75)/3),0.1))))))))</f>
        <v/>
      </c>
      <c r="CP75" s="21" t="n"/>
      <c r="CQ75" s="21" t="n"/>
      <c r="CR75" s="27">
        <f>SUM(CP75:CQ75)</f>
        <v/>
      </c>
      <c r="CS75" s="28" t="n"/>
      <c r="CT75" s="31" t="n"/>
      <c r="CU75" s="29">
        <f>IF(AND(CR75=0,CS75=0,CT75=0),0,IF(AND(CR75=0,CS75=0),CT75/1,IF(AND(CR75=0,CT75=0),CS75/1,IF(AND(CS75=0,CT75=0),CR75/1,IF(CR75=0,FLOOR((CS75+CT75)/2,0.1),IF(CS75=0,(CR75+CT75)/2,IF(CT75=0,(CS75+CR75)/2,FLOOR(((CR75+CS75+CT75)/3),0.1))))))))</f>
        <v/>
      </c>
      <c r="CV75" s="21" t="n"/>
      <c r="CW75" s="21" t="n"/>
      <c r="CX75" s="27">
        <f>SUM(CV75:CW75)</f>
        <v/>
      </c>
      <c r="CY75" s="28" t="n"/>
      <c r="CZ75" s="31" t="n"/>
      <c r="DA75" s="29">
        <f>IF(AND(CX75=0,CY75=0,CZ75=0),0,IF(AND(CX75=0,CY75=0),CZ75/1,IF(AND(CX75=0,CZ75=0),CY75/1,IF(AND(CY75=0,CZ75=0),CX75/1,IF(CX75=0,FLOOR((CY75+CZ75)/2,0.1),IF(CY75=0,(CX75+CZ75)/2,IF(CZ75=0,(CY75+CX75)/2,FLOOR(((CX75+CY75+CZ75)/3),0.1))))))))</f>
        <v/>
      </c>
      <c r="DB75" s="21" t="n"/>
      <c r="DC75" s="21" t="n"/>
      <c r="DD75" s="27">
        <f>SUM(DB75:DC75)</f>
        <v/>
      </c>
      <c r="DE75" s="28" t="n"/>
      <c r="DF75" s="31" t="n"/>
      <c r="DG75" s="29">
        <f>IF(AND(DD75=0,DE75=0,DF75=0),0,IF(AND(DD75=0,DE75=0),DF75/1,IF(AND(DD75=0,DF75=0),DE75/1,IF(AND(DE75=0,DF75=0),DD75/1,IF(DD75=0,FLOOR((DE75+DF75)/2,0.1),IF(DE75=0,(DD75+DF75)/2,IF(DF75=0,(DE75+DD75)/2,FLOOR(((DD75+DE75+DF75)/3),0.1))))))))</f>
        <v/>
      </c>
      <c r="DH75" s="34">
        <f>SUM(O75,U75,AA75,AG75,AM75,AS75,AY75,BE75,BK75,BQ75,BW75,CC75,CI75,CO75,CU75,DA75,DG75)</f>
        <v/>
      </c>
      <c r="DI75" s="39">
        <f>RANK(DH75,DH$4:DH$503)</f>
        <v/>
      </c>
      <c r="DJ75" s="40" t="inlineStr">
        <is>
          <t>CHOOSE RATING</t>
        </is>
      </c>
      <c r="DK75" s="40" t="inlineStr">
        <is>
          <t>CHOOSE RATING</t>
        </is>
      </c>
      <c r="DL75" s="40" t="inlineStr">
        <is>
          <t>CHOOSE RATING</t>
        </is>
      </c>
      <c r="DM75" s="40" t="inlineStr">
        <is>
          <t>CHOOSE RATING</t>
        </is>
      </c>
      <c r="DN75" s="40" t="inlineStr">
        <is>
          <t>CHOOSE RATING</t>
        </is>
      </c>
      <c r="DO75" s="40" t="inlineStr">
        <is>
          <t>CHOOSE RATING</t>
        </is>
      </c>
      <c r="DP75" s="40" t="inlineStr">
        <is>
          <t>CHOOSE RATING</t>
        </is>
      </c>
      <c r="DQ75" s="40" t="inlineStr">
        <is>
          <t>CHOOSE RATING</t>
        </is>
      </c>
      <c r="DR75" s="43" t="inlineStr">
        <is>
          <t>2024/2025</t>
        </is>
      </c>
      <c r="DS75" s="45" t="inlineStr">
        <is>
          <t>THIRD</t>
        </is>
      </c>
      <c r="DT75" s="40" t="inlineStr">
        <is>
          <t>CHOOSE RATING</t>
        </is>
      </c>
      <c r="DU75" s="40" t="inlineStr">
        <is>
          <t>CHOOSE RATING</t>
        </is>
      </c>
      <c r="DV75" s="40" t="inlineStr">
        <is>
          <t>CHOOSE RATING</t>
        </is>
      </c>
      <c r="DW75" s="40" t="inlineStr">
        <is>
          <t>CHOOSE RATING</t>
        </is>
      </c>
      <c r="DX75" s="40" t="inlineStr">
        <is>
          <t>CHOOSE RATING</t>
        </is>
      </c>
      <c r="DY75" s="40" t="inlineStr">
        <is>
          <t>CHOOSE RATING</t>
        </is>
      </c>
      <c r="DZ75" s="53" t="inlineStr">
        <is>
          <t>CHOOSE RATING</t>
        </is>
      </c>
      <c r="EA75" s="54" t="inlineStr">
        <is>
          <t>Add the Tutor's Comment . . .</t>
        </is>
      </c>
      <c r="EB75" s="55" t="inlineStr">
        <is>
          <t>Choose Principals comment</t>
        </is>
      </c>
      <c r="EC75" s="56" t="n"/>
      <c r="ED75" s="57" t="inlineStr">
        <is>
          <t>Next Term Begins on Monday, 22nd September, 2025</t>
        </is>
      </c>
    </row>
    <row r="76" ht="30.6" customHeight="1" s="6">
      <c r="A76" s="18" t="n">
        <v>73</v>
      </c>
      <c r="B76" s="19" t="n"/>
      <c r="C76" s="20" t="n"/>
      <c r="D76" s="128" t="n"/>
      <c r="E76" s="21" t="n"/>
      <c r="F76" s="22" t="n"/>
      <c r="G76" s="22" t="n"/>
      <c r="H76" s="22" t="n"/>
      <c r="I76" s="26">
        <f>G76-H76</f>
        <v/>
      </c>
      <c r="J76" s="21" t="n"/>
      <c r="K76" s="21" t="n"/>
      <c r="L76" s="27">
        <f>SUM(J76:K76)</f>
        <v/>
      </c>
      <c r="M76" s="28" t="n"/>
      <c r="N76" s="28" t="n"/>
      <c r="O76" s="29">
        <f>IF(AND(L76=0,M76=0,N76=0),0,IF(AND(L76=0,M76=0),N76/1,IF(AND(L76=0,N76=0),M76/1,IF(AND(M76=0,N76=0),L76/1,IF(L76=0,FLOOR((M76+N76)/2,0.1),IF(M76=0,(L76+N76)/2,IF(N76=0,(M76+L76)/2,FLOOR(((L76+M76+N76)/3),0.1))))))))</f>
        <v/>
      </c>
      <c r="P76" s="21" t="n"/>
      <c r="Q76" s="21" t="n"/>
      <c r="R76" s="27">
        <f>SUM(P76:Q76)</f>
        <v/>
      </c>
      <c r="S76" s="28" t="n"/>
      <c r="T76" s="28" t="n"/>
      <c r="U76" s="29">
        <f>IF(AND(R76=0,S76=0,T76=0),0,IF(AND(R76=0,S76=0),T76/1,IF(AND(R76=0,T76=0),S76/1,IF(AND(S76=0,T76=0),R76/1,IF(R76=0,FLOOR((S76+T76)/2,0.1),IF(S76=0,(R76+T76)/2,IF(T76=0,(S76+R76)/2,FLOOR(((R76+S76+T76)/3),0.1))))))))</f>
        <v/>
      </c>
      <c r="V76" s="21" t="n"/>
      <c r="W76" s="21" t="n"/>
      <c r="X76" s="27">
        <f>SUM(V76:W76)</f>
        <v/>
      </c>
      <c r="Y76" s="28" t="n"/>
      <c r="Z76" s="28" t="n"/>
      <c r="AA76" s="29">
        <f>IF(AND(X76=0,Y76=0,Z76=0),0,IF(AND(X76=0,Y76=0),Z76/1,IF(AND(X76=0,Z76=0),Y76/1,IF(AND(Y76=0,Z76=0),X76/1,IF(X76=0,FLOOR((Y76+Z76)/2,0.1),IF(Y76=0,(X76+Z76)/2,IF(Z76=0,(Y76+X76)/2,FLOOR(((X76+Y76+Z76)/3),0.1))))))))</f>
        <v/>
      </c>
      <c r="AB76" s="21" t="n"/>
      <c r="AC76" s="21" t="n"/>
      <c r="AD76" s="27">
        <f>SUM(AB76:AC76)</f>
        <v/>
      </c>
      <c r="AE76" s="28" t="n"/>
      <c r="AF76" s="28" t="n"/>
      <c r="AG76" s="29">
        <f>IF(AND(AD76=0,AE76=0,AF76=0),0,IF(AND(AD76=0,AE76=0),AF76/1,IF(AND(AD76=0,AF76=0),AE76/1,IF(AND(AE76=0,AF76=0),AD76/1,IF(AD76=0,FLOOR((AE76+AF76)/2,0.1),IF(AE76=0,(AD76+AF76)/2,IF(AF76=0,(AE76+AD76)/2,FLOOR(((AD76+AE76+AF76)/3),0.1))))))))</f>
        <v/>
      </c>
      <c r="AH76" s="21" t="n"/>
      <c r="AI76" s="21" t="n"/>
      <c r="AJ76" s="27">
        <f>SUM(AH76:AI76)</f>
        <v/>
      </c>
      <c r="AK76" s="28" t="n"/>
      <c r="AL76" s="28" t="n"/>
      <c r="AM76" s="29">
        <f>IF(AND(AJ76=0,AK76=0,AL76=0),0,IF(AND(AJ76=0,AK76=0),AL76/1,IF(AND(AJ76=0,AL76=0),AK76/1,IF(AND(AK76=0,AL76=0),AJ76/1,IF(AJ76=0,FLOOR((AK76+AL76)/2,0.1),IF(AK76=0,(AJ76+AL76)/2,IF(AL76=0,(AK76+AJ76)/2,FLOOR(((AJ76+AK76+AL76)/3),0.1))))))))</f>
        <v/>
      </c>
      <c r="AN76" s="21" t="n"/>
      <c r="AO76" s="21" t="n"/>
      <c r="AP76" s="27">
        <f>SUM(AN76:AO76)</f>
        <v/>
      </c>
      <c r="AQ76" s="28" t="n"/>
      <c r="AR76" s="30" t="n"/>
      <c r="AS76" s="29">
        <f>IF(AND(AP76=0,AQ76=0,AR76=0),0,IF(AND(AP76=0,AQ76=0),AR76/1,IF(AND(AP76=0,AR76=0),AQ76/1,IF(AND(AQ76=0,AR76=0),AP76/1,IF(AP76=0,FLOOR((AQ76+AR76)/2,0.1),IF(AQ76=0,(AP76+AR76)/2,IF(AR76=0,(AQ76+AP76)/2,FLOOR(((AP76+AQ76+AR76)/3),0.1))))))))</f>
        <v/>
      </c>
      <c r="AT76" s="21" t="n"/>
      <c r="AU76" s="21" t="n"/>
      <c r="AV76" s="27">
        <f>SUM(AT76:AU76)</f>
        <v/>
      </c>
      <c r="AW76" s="28" t="n"/>
      <c r="AX76" s="30" t="n"/>
      <c r="AY76" s="29">
        <f>IF(AND(AV76=0,AW76=0,AX76=0),0,IF(AND(AV76=0,AW76=0),AX76/1,IF(AND(AV76=0,AX76=0),AW76/1,IF(AND(AW76=0,AX76=0),AV76/1,IF(AV76=0,FLOOR((AW76+AX76)/2,0.1),IF(AW76=0,(AV76+AX76)/2,IF(AX76=0,(AW76+AV76)/2,FLOOR(((AV76+AW76+AX76)/3),0.1))))))))</f>
        <v/>
      </c>
      <c r="AZ76" s="21" t="n"/>
      <c r="BA76" s="21" t="n"/>
      <c r="BB76" s="27">
        <f>SUM(AZ76:BA76)</f>
        <v/>
      </c>
      <c r="BC76" s="28" t="n"/>
      <c r="BD76" s="28" t="n"/>
      <c r="BE76" s="29">
        <f>IF(AND(BB76=0,BC76=0,BD76=0),0,IF(AND(BB76=0,BC76=0),BD76/1,IF(AND(BB76=0,BD76=0),BC76/1,IF(AND(BC76=0,BD76=0),BB76/1,IF(BB76=0,FLOOR((BC76+BD76)/2,0.1),IF(BC76=0,(BB76+BD76)/2,IF(BD76=0,(BC76+BB76)/2,FLOOR(((BB76+BC76+BD76)/3),0.1))))))))</f>
        <v/>
      </c>
      <c r="BF76" s="21" t="n"/>
      <c r="BG76" s="21" t="n"/>
      <c r="BH76" s="27">
        <f>SUM(BF76:BG76)</f>
        <v/>
      </c>
      <c r="BI76" s="28" t="n"/>
      <c r="BJ76" s="28" t="n"/>
      <c r="BK76" s="29">
        <f>IF(AND(BH76=0,BI76=0,BJ76=0),0,IF(AND(BH76=0,BI76=0),BJ76/1,IF(AND(BH76=0,BJ76=0),BI76/1,IF(AND(BI76=0,BJ76=0),BH76/1,IF(BH76=0,FLOOR((BI76+BJ76)/2,0.1),IF(BI76=0,(BH76+BJ76)/2,IF(BJ76=0,(BI76+BH76)/2,FLOOR(((BH76+BI76+BJ76)/3),0.1))))))))</f>
        <v/>
      </c>
      <c r="BL76" s="21" t="n"/>
      <c r="BM76" s="21" t="n"/>
      <c r="BN76" s="27">
        <f>SUM(BL76:BM76)</f>
        <v/>
      </c>
      <c r="BO76" s="28" t="n"/>
      <c r="BP76" s="31" t="n"/>
      <c r="BQ76" s="29">
        <f>IF(AND(BN76=0,BO76=0,BP76=0),0,IF(AND(BN76=0,BO76=0),BP76/1,IF(AND(BN76=0,BP76=0),BO76/1,IF(AND(BO76=0,BP76=0),BN76/1,IF(BN76=0,FLOOR((BO76+BP76)/2,0.1),IF(BO76=0,(BN76+BP76)/2,IF(BP76=0,(BO76+BN76)/2,FLOOR(((BN76+BO76+BP76)/3),0.1))))))))</f>
        <v/>
      </c>
      <c r="BR76" s="21" t="n"/>
      <c r="BS76" s="21" t="n"/>
      <c r="BT76" s="27">
        <f>SUM(BR76:BS76)</f>
        <v/>
      </c>
      <c r="BU76" s="28" t="n"/>
      <c r="BV76" s="31" t="n"/>
      <c r="BW76" s="29">
        <f>IF(AND(BT76=0,BU76=0,BV76=0),0,IF(AND(BT76=0,BU76=0),BV76/1,IF(AND(BT76=0,BV76=0),BU76/1,IF(AND(BU76=0,BV76=0),BT76/1,IF(BT76=0,FLOOR((BU76+BV76)/2,0.1),IF(BU76=0,(BT76+BV76)/2,IF(BV76=0,(BU76+BT76)/2,FLOOR(((BT76+BU76+BV76)/3),0.1))))))))</f>
        <v/>
      </c>
      <c r="BX76" s="21" t="n"/>
      <c r="BY76" s="21" t="n"/>
      <c r="BZ76" s="27">
        <f>SUM(BX76:BY76)</f>
        <v/>
      </c>
      <c r="CA76" s="28" t="n"/>
      <c r="CB76" s="31" t="n"/>
      <c r="CC76" s="29">
        <f>IF(AND(BZ76=0,CA76=0,CB76=0),0,IF(AND(BZ76=0,CA76=0),CB76/1,IF(AND(BZ76=0,CB76=0),CA76/1,IF(AND(CA76=0,CB76=0),BZ76/1,IF(BZ76=0,FLOOR((CA76+CB76)/2,0.1),IF(CA76=0,(BZ76+CB76)/2,IF(CB76=0,(CA76+BZ76)/2,FLOOR(((BZ76+CA76+CB76)/3),0.1))))))))</f>
        <v/>
      </c>
      <c r="CD76" s="21" t="n"/>
      <c r="CE76" s="21" t="n"/>
      <c r="CF76" s="27">
        <f>SUM(CD76:CE76)</f>
        <v/>
      </c>
      <c r="CG76" s="28" t="n"/>
      <c r="CH76" s="31" t="n"/>
      <c r="CI76" s="29">
        <f>IF(AND(CF76=0,CG76=0,CH76=0),0,IF(AND(CF76=0,CG76=0),CH76/1,IF(AND(CF76=0,CH76=0),CG76/1,IF(AND(CG76=0,CH76=0),CF76/1,IF(CF76=0,FLOOR((CG76+CH76)/2,0.1),IF(CG76=0,(CF76+CH76)/2,IF(CH76=0,(CG76+CF76)/2,FLOOR(((CF76+CG76+CH76)/3),0.1))))))))</f>
        <v/>
      </c>
      <c r="CJ76" s="21" t="n"/>
      <c r="CK76" s="21" t="n"/>
      <c r="CL76" s="27">
        <f>SUM(CJ76:CK76)</f>
        <v/>
      </c>
      <c r="CM76" s="28" t="n"/>
      <c r="CN76" s="31" t="n"/>
      <c r="CO76" s="29">
        <f>IF(AND(CL76=0,CM76=0,CN76=0),0,IF(AND(CL76=0,CM76=0),CN76/1,IF(AND(CL76=0,CN76=0),CM76/1,IF(AND(CM76=0,CN76=0),CL76/1,IF(CL76=0,FLOOR((CM76+CN76)/2,0.1),IF(CM76=0,(CL76+CN76)/2,IF(CN76=0,(CM76+CL76)/2,FLOOR(((CL76+CM76+CN76)/3),0.1))))))))</f>
        <v/>
      </c>
      <c r="CP76" s="21" t="n"/>
      <c r="CQ76" s="21" t="n"/>
      <c r="CR76" s="27">
        <f>SUM(CP76:CQ76)</f>
        <v/>
      </c>
      <c r="CS76" s="28" t="n"/>
      <c r="CT76" s="31" t="n"/>
      <c r="CU76" s="29">
        <f>IF(AND(CR76=0,CS76=0,CT76=0),0,IF(AND(CR76=0,CS76=0),CT76/1,IF(AND(CR76=0,CT76=0),CS76/1,IF(AND(CS76=0,CT76=0),CR76/1,IF(CR76=0,FLOOR((CS76+CT76)/2,0.1),IF(CS76=0,(CR76+CT76)/2,IF(CT76=0,(CS76+CR76)/2,FLOOR(((CR76+CS76+CT76)/3),0.1))))))))</f>
        <v/>
      </c>
      <c r="CV76" s="21" t="n"/>
      <c r="CW76" s="21" t="n"/>
      <c r="CX76" s="27">
        <f>SUM(CV76:CW76)</f>
        <v/>
      </c>
      <c r="CY76" s="28" t="n"/>
      <c r="CZ76" s="31" t="n"/>
      <c r="DA76" s="29">
        <f>IF(AND(CX76=0,CY76=0,CZ76=0),0,IF(AND(CX76=0,CY76=0),CZ76/1,IF(AND(CX76=0,CZ76=0),CY76/1,IF(AND(CY76=0,CZ76=0),CX76/1,IF(CX76=0,FLOOR((CY76+CZ76)/2,0.1),IF(CY76=0,(CX76+CZ76)/2,IF(CZ76=0,(CY76+CX76)/2,FLOOR(((CX76+CY76+CZ76)/3),0.1))))))))</f>
        <v/>
      </c>
      <c r="DB76" s="21" t="n"/>
      <c r="DC76" s="21" t="n"/>
      <c r="DD76" s="27">
        <f>SUM(DB76:DC76)</f>
        <v/>
      </c>
      <c r="DE76" s="28" t="n"/>
      <c r="DF76" s="31" t="n"/>
      <c r="DG76" s="29">
        <f>IF(AND(DD76=0,DE76=0,DF76=0),0,IF(AND(DD76=0,DE76=0),DF76/1,IF(AND(DD76=0,DF76=0),DE76/1,IF(AND(DE76=0,DF76=0),DD76/1,IF(DD76=0,FLOOR((DE76+DF76)/2,0.1),IF(DE76=0,(DD76+DF76)/2,IF(DF76=0,(DE76+DD76)/2,FLOOR(((DD76+DE76+DF76)/3),0.1))))))))</f>
        <v/>
      </c>
      <c r="DH76" s="34">
        <f>SUM(O76,U76,AA76,AG76,AM76,AS76,AY76,BE76,BK76,BQ76,BW76,CC76,CI76,CO76,CU76,DA76,DG76)</f>
        <v/>
      </c>
      <c r="DI76" s="39">
        <f>RANK(DH76,DH$4:DH$503)</f>
        <v/>
      </c>
      <c r="DJ76" s="40" t="inlineStr">
        <is>
          <t>CHOOSE RATING</t>
        </is>
      </c>
      <c r="DK76" s="40" t="inlineStr">
        <is>
          <t>CHOOSE RATING</t>
        </is>
      </c>
      <c r="DL76" s="40" t="inlineStr">
        <is>
          <t>CHOOSE RATING</t>
        </is>
      </c>
      <c r="DM76" s="40" t="inlineStr">
        <is>
          <t>CHOOSE RATING</t>
        </is>
      </c>
      <c r="DN76" s="40" t="inlineStr">
        <is>
          <t>CHOOSE RATING</t>
        </is>
      </c>
      <c r="DO76" s="40" t="inlineStr">
        <is>
          <t>CHOOSE RATING</t>
        </is>
      </c>
      <c r="DP76" s="40" t="inlineStr">
        <is>
          <t>CHOOSE RATING</t>
        </is>
      </c>
      <c r="DQ76" s="40" t="inlineStr">
        <is>
          <t>CHOOSE RATING</t>
        </is>
      </c>
      <c r="DR76" s="43" t="inlineStr">
        <is>
          <t>2024/2025</t>
        </is>
      </c>
      <c r="DS76" s="45" t="inlineStr">
        <is>
          <t>THIRD</t>
        </is>
      </c>
      <c r="DT76" s="40" t="inlineStr">
        <is>
          <t>CHOOSE RATING</t>
        </is>
      </c>
      <c r="DU76" s="40" t="inlineStr">
        <is>
          <t>CHOOSE RATING</t>
        </is>
      </c>
      <c r="DV76" s="40" t="inlineStr">
        <is>
          <t>CHOOSE RATING</t>
        </is>
      </c>
      <c r="DW76" s="40" t="inlineStr">
        <is>
          <t>CHOOSE RATING</t>
        </is>
      </c>
      <c r="DX76" s="40" t="inlineStr">
        <is>
          <t>CHOOSE RATING</t>
        </is>
      </c>
      <c r="DY76" s="40" t="inlineStr">
        <is>
          <t>CHOOSE RATING</t>
        </is>
      </c>
      <c r="DZ76" s="53" t="inlineStr">
        <is>
          <t>CHOOSE RATING</t>
        </is>
      </c>
      <c r="EA76" s="54" t="inlineStr">
        <is>
          <t>Add the Tutor's Comment . . .</t>
        </is>
      </c>
      <c r="EB76" s="55" t="inlineStr">
        <is>
          <t>Choose Principals comment</t>
        </is>
      </c>
      <c r="EC76" s="56" t="n"/>
      <c r="ED76" s="57" t="inlineStr">
        <is>
          <t>Next Term Begins on Monday, 22nd September, 2025</t>
        </is>
      </c>
    </row>
    <row r="77" ht="30.6" customHeight="1" s="6">
      <c r="A77" s="18" t="n">
        <v>74</v>
      </c>
      <c r="B77" s="19" t="n"/>
      <c r="C77" s="20" t="n"/>
      <c r="D77" s="128" t="n"/>
      <c r="E77" s="21" t="n"/>
      <c r="F77" s="22" t="n"/>
      <c r="G77" s="22" t="n"/>
      <c r="H77" s="22" t="n"/>
      <c r="I77" s="26">
        <f>G77-H77</f>
        <v/>
      </c>
      <c r="J77" s="21" t="n"/>
      <c r="K77" s="21" t="n"/>
      <c r="L77" s="27">
        <f>SUM(J77:K77)</f>
        <v/>
      </c>
      <c r="M77" s="28" t="n"/>
      <c r="N77" s="28" t="n"/>
      <c r="O77" s="29">
        <f>IF(AND(L77=0,M77=0,N77=0),0,IF(AND(L77=0,M77=0),N77/1,IF(AND(L77=0,N77=0),M77/1,IF(AND(M77=0,N77=0),L77/1,IF(L77=0,FLOOR((M77+N77)/2,0.1),IF(M77=0,(L77+N77)/2,IF(N77=0,(M77+L77)/2,FLOOR(((L77+M77+N77)/3),0.1))))))))</f>
        <v/>
      </c>
      <c r="P77" s="21" t="n"/>
      <c r="Q77" s="21" t="n"/>
      <c r="R77" s="27">
        <f>SUM(P77:Q77)</f>
        <v/>
      </c>
      <c r="S77" s="28" t="n"/>
      <c r="T77" s="28" t="n"/>
      <c r="U77" s="29">
        <f>IF(AND(R77=0,S77=0,T77=0),0,IF(AND(R77=0,S77=0),T77/1,IF(AND(R77=0,T77=0),S77/1,IF(AND(S77=0,T77=0),R77/1,IF(R77=0,FLOOR((S77+T77)/2,0.1),IF(S77=0,(R77+T77)/2,IF(T77=0,(S77+R77)/2,FLOOR(((R77+S77+T77)/3),0.1))))))))</f>
        <v/>
      </c>
      <c r="V77" s="21" t="n"/>
      <c r="W77" s="21" t="n"/>
      <c r="X77" s="27">
        <f>SUM(V77:W77)</f>
        <v/>
      </c>
      <c r="Y77" s="28" t="n"/>
      <c r="Z77" s="28" t="n"/>
      <c r="AA77" s="29">
        <f>IF(AND(X77=0,Y77=0,Z77=0),0,IF(AND(X77=0,Y77=0),Z77/1,IF(AND(X77=0,Z77=0),Y77/1,IF(AND(Y77=0,Z77=0),X77/1,IF(X77=0,FLOOR((Y77+Z77)/2,0.1),IF(Y77=0,(X77+Z77)/2,IF(Z77=0,(Y77+X77)/2,FLOOR(((X77+Y77+Z77)/3),0.1))))))))</f>
        <v/>
      </c>
      <c r="AB77" s="21" t="n"/>
      <c r="AC77" s="21" t="n"/>
      <c r="AD77" s="27">
        <f>SUM(AB77:AC77)</f>
        <v/>
      </c>
      <c r="AE77" s="28" t="n"/>
      <c r="AF77" s="28" t="n"/>
      <c r="AG77" s="29">
        <f>IF(AND(AD77=0,AE77=0,AF77=0),0,IF(AND(AD77=0,AE77=0),AF77/1,IF(AND(AD77=0,AF77=0),AE77/1,IF(AND(AE77=0,AF77=0),AD77/1,IF(AD77=0,FLOOR((AE77+AF77)/2,0.1),IF(AE77=0,(AD77+AF77)/2,IF(AF77=0,(AE77+AD77)/2,FLOOR(((AD77+AE77+AF77)/3),0.1))))))))</f>
        <v/>
      </c>
      <c r="AH77" s="21" t="n"/>
      <c r="AI77" s="21" t="n"/>
      <c r="AJ77" s="27">
        <f>SUM(AH77:AI77)</f>
        <v/>
      </c>
      <c r="AK77" s="28" t="n"/>
      <c r="AL77" s="28" t="n"/>
      <c r="AM77" s="29">
        <f>IF(AND(AJ77=0,AK77=0,AL77=0),0,IF(AND(AJ77=0,AK77=0),AL77/1,IF(AND(AJ77=0,AL77=0),AK77/1,IF(AND(AK77=0,AL77=0),AJ77/1,IF(AJ77=0,FLOOR((AK77+AL77)/2,0.1),IF(AK77=0,(AJ77+AL77)/2,IF(AL77=0,(AK77+AJ77)/2,FLOOR(((AJ77+AK77+AL77)/3),0.1))))))))</f>
        <v/>
      </c>
      <c r="AN77" s="21" t="n"/>
      <c r="AO77" s="21" t="n"/>
      <c r="AP77" s="27">
        <f>SUM(AN77:AO77)</f>
        <v/>
      </c>
      <c r="AQ77" s="28" t="n"/>
      <c r="AR77" s="30" t="n"/>
      <c r="AS77" s="29">
        <f>IF(AND(AP77=0,AQ77=0,AR77=0),0,IF(AND(AP77=0,AQ77=0),AR77/1,IF(AND(AP77=0,AR77=0),AQ77/1,IF(AND(AQ77=0,AR77=0),AP77/1,IF(AP77=0,FLOOR((AQ77+AR77)/2,0.1),IF(AQ77=0,(AP77+AR77)/2,IF(AR77=0,(AQ77+AP77)/2,FLOOR(((AP77+AQ77+AR77)/3),0.1))))))))</f>
        <v/>
      </c>
      <c r="AT77" s="21" t="n"/>
      <c r="AU77" s="21" t="n"/>
      <c r="AV77" s="27">
        <f>SUM(AT77:AU77)</f>
        <v/>
      </c>
      <c r="AW77" s="28" t="n"/>
      <c r="AX77" s="30" t="n"/>
      <c r="AY77" s="29">
        <f>IF(AND(AV77=0,AW77=0,AX77=0),0,IF(AND(AV77=0,AW77=0),AX77/1,IF(AND(AV77=0,AX77=0),AW77/1,IF(AND(AW77=0,AX77=0),AV77/1,IF(AV77=0,FLOOR((AW77+AX77)/2,0.1),IF(AW77=0,(AV77+AX77)/2,IF(AX77=0,(AW77+AV77)/2,FLOOR(((AV77+AW77+AX77)/3),0.1))))))))</f>
        <v/>
      </c>
      <c r="AZ77" s="21" t="n"/>
      <c r="BA77" s="21" t="n"/>
      <c r="BB77" s="27">
        <f>SUM(AZ77:BA77)</f>
        <v/>
      </c>
      <c r="BC77" s="28" t="n"/>
      <c r="BD77" s="28" t="n"/>
      <c r="BE77" s="29">
        <f>IF(AND(BB77=0,BC77=0,BD77=0),0,IF(AND(BB77=0,BC77=0),BD77/1,IF(AND(BB77=0,BD77=0),BC77/1,IF(AND(BC77=0,BD77=0),BB77/1,IF(BB77=0,FLOOR((BC77+BD77)/2,0.1),IF(BC77=0,(BB77+BD77)/2,IF(BD77=0,(BC77+BB77)/2,FLOOR(((BB77+BC77+BD77)/3),0.1))))))))</f>
        <v/>
      </c>
      <c r="BF77" s="21" t="n"/>
      <c r="BG77" s="21" t="n"/>
      <c r="BH77" s="27">
        <f>SUM(BF77:BG77)</f>
        <v/>
      </c>
      <c r="BI77" s="28" t="n"/>
      <c r="BJ77" s="28" t="n"/>
      <c r="BK77" s="29">
        <f>IF(AND(BH77=0,BI77=0,BJ77=0),0,IF(AND(BH77=0,BI77=0),BJ77/1,IF(AND(BH77=0,BJ77=0),BI77/1,IF(AND(BI77=0,BJ77=0),BH77/1,IF(BH77=0,FLOOR((BI77+BJ77)/2,0.1),IF(BI77=0,(BH77+BJ77)/2,IF(BJ77=0,(BI77+BH77)/2,FLOOR(((BH77+BI77+BJ77)/3),0.1))))))))</f>
        <v/>
      </c>
      <c r="BL77" s="21" t="n"/>
      <c r="BM77" s="21" t="n"/>
      <c r="BN77" s="27">
        <f>SUM(BL77:BM77)</f>
        <v/>
      </c>
      <c r="BO77" s="28" t="n"/>
      <c r="BP77" s="31" t="n"/>
      <c r="BQ77" s="29">
        <f>IF(AND(BN77=0,BO77=0,BP77=0),0,IF(AND(BN77=0,BO77=0),BP77/1,IF(AND(BN77=0,BP77=0),BO77/1,IF(AND(BO77=0,BP77=0),BN77/1,IF(BN77=0,FLOOR((BO77+BP77)/2,0.1),IF(BO77=0,(BN77+BP77)/2,IF(BP77=0,(BO77+BN77)/2,FLOOR(((BN77+BO77+BP77)/3),0.1))))))))</f>
        <v/>
      </c>
      <c r="BR77" s="21" t="n"/>
      <c r="BS77" s="21" t="n"/>
      <c r="BT77" s="27">
        <f>SUM(BR77:BS77)</f>
        <v/>
      </c>
      <c r="BU77" s="28" t="n"/>
      <c r="BV77" s="31" t="n"/>
      <c r="BW77" s="29">
        <f>IF(AND(BT77=0,BU77=0,BV77=0),0,IF(AND(BT77=0,BU77=0),BV77/1,IF(AND(BT77=0,BV77=0),BU77/1,IF(AND(BU77=0,BV77=0),BT77/1,IF(BT77=0,FLOOR((BU77+BV77)/2,0.1),IF(BU77=0,(BT77+BV77)/2,IF(BV77=0,(BU77+BT77)/2,FLOOR(((BT77+BU77+BV77)/3),0.1))))))))</f>
        <v/>
      </c>
      <c r="BX77" s="21" t="n"/>
      <c r="BY77" s="21" t="n"/>
      <c r="BZ77" s="27">
        <f>SUM(BX77:BY77)</f>
        <v/>
      </c>
      <c r="CA77" s="28" t="n"/>
      <c r="CB77" s="31" t="n"/>
      <c r="CC77" s="29">
        <f>IF(AND(BZ77=0,CA77=0,CB77=0),0,IF(AND(BZ77=0,CA77=0),CB77/1,IF(AND(BZ77=0,CB77=0),CA77/1,IF(AND(CA77=0,CB77=0),BZ77/1,IF(BZ77=0,FLOOR((CA77+CB77)/2,0.1),IF(CA77=0,(BZ77+CB77)/2,IF(CB77=0,(CA77+BZ77)/2,FLOOR(((BZ77+CA77+CB77)/3),0.1))))))))</f>
        <v/>
      </c>
      <c r="CD77" s="21" t="n"/>
      <c r="CE77" s="21" t="n"/>
      <c r="CF77" s="27">
        <f>SUM(CD77:CE77)</f>
        <v/>
      </c>
      <c r="CG77" s="28" t="n"/>
      <c r="CH77" s="31" t="n"/>
      <c r="CI77" s="29">
        <f>IF(AND(CF77=0,CG77=0,CH77=0),0,IF(AND(CF77=0,CG77=0),CH77/1,IF(AND(CF77=0,CH77=0),CG77/1,IF(AND(CG77=0,CH77=0),CF77/1,IF(CF77=0,FLOOR((CG77+CH77)/2,0.1),IF(CG77=0,(CF77+CH77)/2,IF(CH77=0,(CG77+CF77)/2,FLOOR(((CF77+CG77+CH77)/3),0.1))))))))</f>
        <v/>
      </c>
      <c r="CJ77" s="21" t="n"/>
      <c r="CK77" s="21" t="n"/>
      <c r="CL77" s="27">
        <f>SUM(CJ77:CK77)</f>
        <v/>
      </c>
      <c r="CM77" s="28" t="n"/>
      <c r="CN77" s="31" t="n"/>
      <c r="CO77" s="29">
        <f>IF(AND(CL77=0,CM77=0,CN77=0),0,IF(AND(CL77=0,CM77=0),CN77/1,IF(AND(CL77=0,CN77=0),CM77/1,IF(AND(CM77=0,CN77=0),CL77/1,IF(CL77=0,FLOOR((CM77+CN77)/2,0.1),IF(CM77=0,(CL77+CN77)/2,IF(CN77=0,(CM77+CL77)/2,FLOOR(((CL77+CM77+CN77)/3),0.1))))))))</f>
        <v/>
      </c>
      <c r="CP77" s="21" t="n"/>
      <c r="CQ77" s="21" t="n"/>
      <c r="CR77" s="27">
        <f>SUM(CP77:CQ77)</f>
        <v/>
      </c>
      <c r="CS77" s="28" t="n"/>
      <c r="CT77" s="31" t="n"/>
      <c r="CU77" s="29">
        <f>IF(AND(CR77=0,CS77=0,CT77=0),0,IF(AND(CR77=0,CS77=0),CT77/1,IF(AND(CR77=0,CT77=0),CS77/1,IF(AND(CS77=0,CT77=0),CR77/1,IF(CR77=0,FLOOR((CS77+CT77)/2,0.1),IF(CS77=0,(CR77+CT77)/2,IF(CT77=0,(CS77+CR77)/2,FLOOR(((CR77+CS77+CT77)/3),0.1))))))))</f>
        <v/>
      </c>
      <c r="CV77" s="21" t="n"/>
      <c r="CW77" s="21" t="n"/>
      <c r="CX77" s="27">
        <f>SUM(CV77:CW77)</f>
        <v/>
      </c>
      <c r="CY77" s="28" t="n"/>
      <c r="CZ77" s="31" t="n"/>
      <c r="DA77" s="29">
        <f>IF(AND(CX77=0,CY77=0,CZ77=0),0,IF(AND(CX77=0,CY77=0),CZ77/1,IF(AND(CX77=0,CZ77=0),CY77/1,IF(AND(CY77=0,CZ77=0),CX77/1,IF(CX77=0,FLOOR((CY77+CZ77)/2,0.1),IF(CY77=0,(CX77+CZ77)/2,IF(CZ77=0,(CY77+CX77)/2,FLOOR(((CX77+CY77+CZ77)/3),0.1))))))))</f>
        <v/>
      </c>
      <c r="DB77" s="21" t="n"/>
      <c r="DC77" s="21" t="n"/>
      <c r="DD77" s="27">
        <f>SUM(DB77:DC77)</f>
        <v/>
      </c>
      <c r="DE77" s="28" t="n"/>
      <c r="DF77" s="31" t="n"/>
      <c r="DG77" s="29">
        <f>IF(AND(DD77=0,DE77=0,DF77=0),0,IF(AND(DD77=0,DE77=0),DF77/1,IF(AND(DD77=0,DF77=0),DE77/1,IF(AND(DE77=0,DF77=0),DD77/1,IF(DD77=0,FLOOR((DE77+DF77)/2,0.1),IF(DE77=0,(DD77+DF77)/2,IF(DF77=0,(DE77+DD77)/2,FLOOR(((DD77+DE77+DF77)/3),0.1))))))))</f>
        <v/>
      </c>
      <c r="DH77" s="34">
        <f>SUM(O77,U77,AA77,AG77,AM77,AS77,AY77,BE77,BK77,BQ77,BW77,CC77,CI77,CO77,CU77,DA77,DG77)</f>
        <v/>
      </c>
      <c r="DI77" s="39">
        <f>RANK(DH77,DH$4:DH$503)</f>
        <v/>
      </c>
      <c r="DJ77" s="40" t="inlineStr">
        <is>
          <t>CHOOSE RATING</t>
        </is>
      </c>
      <c r="DK77" s="40" t="inlineStr">
        <is>
          <t>CHOOSE RATING</t>
        </is>
      </c>
      <c r="DL77" s="40" t="inlineStr">
        <is>
          <t>CHOOSE RATING</t>
        </is>
      </c>
      <c r="DM77" s="40" t="inlineStr">
        <is>
          <t>CHOOSE RATING</t>
        </is>
      </c>
      <c r="DN77" s="40" t="inlineStr">
        <is>
          <t>CHOOSE RATING</t>
        </is>
      </c>
      <c r="DO77" s="40" t="inlineStr">
        <is>
          <t>CHOOSE RATING</t>
        </is>
      </c>
      <c r="DP77" s="40" t="inlineStr">
        <is>
          <t>CHOOSE RATING</t>
        </is>
      </c>
      <c r="DQ77" s="40" t="inlineStr">
        <is>
          <t>CHOOSE RATING</t>
        </is>
      </c>
      <c r="DR77" s="43" t="inlineStr">
        <is>
          <t>2024/2025</t>
        </is>
      </c>
      <c r="DS77" s="45" t="inlineStr">
        <is>
          <t>THIRD</t>
        </is>
      </c>
      <c r="DT77" s="40" t="inlineStr">
        <is>
          <t>CHOOSE RATING</t>
        </is>
      </c>
      <c r="DU77" s="40" t="inlineStr">
        <is>
          <t>CHOOSE RATING</t>
        </is>
      </c>
      <c r="DV77" s="40" t="inlineStr">
        <is>
          <t>CHOOSE RATING</t>
        </is>
      </c>
      <c r="DW77" s="40" t="inlineStr">
        <is>
          <t>CHOOSE RATING</t>
        </is>
      </c>
      <c r="DX77" s="40" t="inlineStr">
        <is>
          <t>CHOOSE RATING</t>
        </is>
      </c>
      <c r="DY77" s="40" t="inlineStr">
        <is>
          <t>CHOOSE RATING</t>
        </is>
      </c>
      <c r="DZ77" s="53" t="inlineStr">
        <is>
          <t>CHOOSE RATING</t>
        </is>
      </c>
      <c r="EA77" s="54" t="inlineStr">
        <is>
          <t>Add the Tutor's Comment . . .</t>
        </is>
      </c>
      <c r="EB77" s="55" t="inlineStr">
        <is>
          <t>Choose Principals comment</t>
        </is>
      </c>
      <c r="EC77" s="56" t="n"/>
      <c r="ED77" s="57" t="inlineStr">
        <is>
          <t>Next Term Begins on Monday, 22nd September, 2025</t>
        </is>
      </c>
    </row>
    <row r="78" ht="30.6" customHeight="1" s="6">
      <c r="A78" s="18" t="n">
        <v>75</v>
      </c>
      <c r="B78" s="19" t="n"/>
      <c r="C78" s="20" t="n"/>
      <c r="D78" s="128" t="n"/>
      <c r="E78" s="21" t="n"/>
      <c r="F78" s="22" t="n"/>
      <c r="G78" s="22" t="n"/>
      <c r="H78" s="22" t="n"/>
      <c r="I78" s="26">
        <f>G78-H78</f>
        <v/>
      </c>
      <c r="J78" s="21" t="n"/>
      <c r="K78" s="21" t="n"/>
      <c r="L78" s="27">
        <f>SUM(J78:K78)</f>
        <v/>
      </c>
      <c r="M78" s="28" t="n"/>
      <c r="N78" s="28" t="n"/>
      <c r="O78" s="29">
        <f>IF(AND(L78=0,M78=0,N78=0),0,IF(AND(L78=0,M78=0),N78/1,IF(AND(L78=0,N78=0),M78/1,IF(AND(M78=0,N78=0),L78/1,IF(L78=0,FLOOR((M78+N78)/2,0.1),IF(M78=0,(L78+N78)/2,IF(N78=0,(M78+L78)/2,FLOOR(((L78+M78+N78)/3),0.1))))))))</f>
        <v/>
      </c>
      <c r="P78" s="21" t="n"/>
      <c r="Q78" s="21" t="n"/>
      <c r="R78" s="27">
        <f>SUM(P78:Q78)</f>
        <v/>
      </c>
      <c r="S78" s="28" t="n"/>
      <c r="T78" s="28" t="n"/>
      <c r="U78" s="29">
        <f>IF(AND(R78=0,S78=0,T78=0),0,IF(AND(R78=0,S78=0),T78/1,IF(AND(R78=0,T78=0),S78/1,IF(AND(S78=0,T78=0),R78/1,IF(R78=0,FLOOR((S78+T78)/2,0.1),IF(S78=0,(R78+T78)/2,IF(T78=0,(S78+R78)/2,FLOOR(((R78+S78+T78)/3),0.1))))))))</f>
        <v/>
      </c>
      <c r="V78" s="21" t="n"/>
      <c r="W78" s="21" t="n"/>
      <c r="X78" s="27">
        <f>SUM(V78:W78)</f>
        <v/>
      </c>
      <c r="Y78" s="28" t="n"/>
      <c r="Z78" s="28" t="n"/>
      <c r="AA78" s="29">
        <f>IF(AND(X78=0,Y78=0,Z78=0),0,IF(AND(X78=0,Y78=0),Z78/1,IF(AND(X78=0,Z78=0),Y78/1,IF(AND(Y78=0,Z78=0),X78/1,IF(X78=0,FLOOR((Y78+Z78)/2,0.1),IF(Y78=0,(X78+Z78)/2,IF(Z78=0,(Y78+X78)/2,FLOOR(((X78+Y78+Z78)/3),0.1))))))))</f>
        <v/>
      </c>
      <c r="AB78" s="21" t="n"/>
      <c r="AC78" s="21" t="n"/>
      <c r="AD78" s="27">
        <f>SUM(AB78:AC78)</f>
        <v/>
      </c>
      <c r="AE78" s="28" t="n"/>
      <c r="AF78" s="28" t="n"/>
      <c r="AG78" s="29">
        <f>IF(AND(AD78=0,AE78=0,AF78=0),0,IF(AND(AD78=0,AE78=0),AF78/1,IF(AND(AD78=0,AF78=0),AE78/1,IF(AND(AE78=0,AF78=0),AD78/1,IF(AD78=0,FLOOR((AE78+AF78)/2,0.1),IF(AE78=0,(AD78+AF78)/2,IF(AF78=0,(AE78+AD78)/2,FLOOR(((AD78+AE78+AF78)/3),0.1))))))))</f>
        <v/>
      </c>
      <c r="AH78" s="21" t="n"/>
      <c r="AI78" s="21" t="n"/>
      <c r="AJ78" s="27">
        <f>SUM(AH78:AI78)</f>
        <v/>
      </c>
      <c r="AK78" s="28" t="n"/>
      <c r="AL78" s="28" t="n"/>
      <c r="AM78" s="29">
        <f>IF(AND(AJ78=0,AK78=0,AL78=0),0,IF(AND(AJ78=0,AK78=0),AL78/1,IF(AND(AJ78=0,AL78=0),AK78/1,IF(AND(AK78=0,AL78=0),AJ78/1,IF(AJ78=0,FLOOR((AK78+AL78)/2,0.1),IF(AK78=0,(AJ78+AL78)/2,IF(AL78=0,(AK78+AJ78)/2,FLOOR(((AJ78+AK78+AL78)/3),0.1))))))))</f>
        <v/>
      </c>
      <c r="AN78" s="21" t="n"/>
      <c r="AO78" s="21" t="n"/>
      <c r="AP78" s="27">
        <f>SUM(AN78:AO78)</f>
        <v/>
      </c>
      <c r="AQ78" s="28" t="n"/>
      <c r="AR78" s="30" t="n"/>
      <c r="AS78" s="29">
        <f>IF(AND(AP78=0,AQ78=0,AR78=0),0,IF(AND(AP78=0,AQ78=0),AR78/1,IF(AND(AP78=0,AR78=0),AQ78/1,IF(AND(AQ78=0,AR78=0),AP78/1,IF(AP78=0,FLOOR((AQ78+AR78)/2,0.1),IF(AQ78=0,(AP78+AR78)/2,IF(AR78=0,(AQ78+AP78)/2,FLOOR(((AP78+AQ78+AR78)/3),0.1))))))))</f>
        <v/>
      </c>
      <c r="AT78" s="21" t="n"/>
      <c r="AU78" s="21" t="n"/>
      <c r="AV78" s="27">
        <f>SUM(AT78:AU78)</f>
        <v/>
      </c>
      <c r="AW78" s="28" t="n"/>
      <c r="AX78" s="30" t="n"/>
      <c r="AY78" s="29">
        <f>IF(AND(AV78=0,AW78=0,AX78=0),0,IF(AND(AV78=0,AW78=0),AX78/1,IF(AND(AV78=0,AX78=0),AW78/1,IF(AND(AW78=0,AX78=0),AV78/1,IF(AV78=0,FLOOR((AW78+AX78)/2,0.1),IF(AW78=0,(AV78+AX78)/2,IF(AX78=0,(AW78+AV78)/2,FLOOR(((AV78+AW78+AX78)/3),0.1))))))))</f>
        <v/>
      </c>
      <c r="AZ78" s="21" t="n"/>
      <c r="BA78" s="21" t="n"/>
      <c r="BB78" s="27">
        <f>SUM(AZ78:BA78)</f>
        <v/>
      </c>
      <c r="BC78" s="28" t="n"/>
      <c r="BD78" s="28" t="n"/>
      <c r="BE78" s="29">
        <f>IF(AND(BB78=0,BC78=0,BD78=0),0,IF(AND(BB78=0,BC78=0),BD78/1,IF(AND(BB78=0,BD78=0),BC78/1,IF(AND(BC78=0,BD78=0),BB78/1,IF(BB78=0,FLOOR((BC78+BD78)/2,0.1),IF(BC78=0,(BB78+BD78)/2,IF(BD78=0,(BC78+BB78)/2,FLOOR(((BB78+BC78+BD78)/3),0.1))))))))</f>
        <v/>
      </c>
      <c r="BF78" s="21" t="n"/>
      <c r="BG78" s="21" t="n"/>
      <c r="BH78" s="27">
        <f>SUM(BF78:BG78)</f>
        <v/>
      </c>
      <c r="BI78" s="28" t="n"/>
      <c r="BJ78" s="28" t="n"/>
      <c r="BK78" s="29">
        <f>IF(AND(BH78=0,BI78=0,BJ78=0),0,IF(AND(BH78=0,BI78=0),BJ78/1,IF(AND(BH78=0,BJ78=0),BI78/1,IF(AND(BI78=0,BJ78=0),BH78/1,IF(BH78=0,FLOOR((BI78+BJ78)/2,0.1),IF(BI78=0,(BH78+BJ78)/2,IF(BJ78=0,(BI78+BH78)/2,FLOOR(((BH78+BI78+BJ78)/3),0.1))))))))</f>
        <v/>
      </c>
      <c r="BL78" s="21" t="n"/>
      <c r="BM78" s="21" t="n"/>
      <c r="BN78" s="27">
        <f>SUM(BL78:BM78)</f>
        <v/>
      </c>
      <c r="BO78" s="28" t="n"/>
      <c r="BP78" s="31" t="n"/>
      <c r="BQ78" s="29">
        <f>IF(AND(BN78=0,BO78=0,BP78=0),0,IF(AND(BN78=0,BO78=0),BP78/1,IF(AND(BN78=0,BP78=0),BO78/1,IF(AND(BO78=0,BP78=0),BN78/1,IF(BN78=0,FLOOR((BO78+BP78)/2,0.1),IF(BO78=0,(BN78+BP78)/2,IF(BP78=0,(BO78+BN78)/2,FLOOR(((BN78+BO78+BP78)/3),0.1))))))))</f>
        <v/>
      </c>
      <c r="BR78" s="21" t="n"/>
      <c r="BS78" s="21" t="n"/>
      <c r="BT78" s="27">
        <f>SUM(BR78:BS78)</f>
        <v/>
      </c>
      <c r="BU78" s="28" t="n"/>
      <c r="BV78" s="31" t="n"/>
      <c r="BW78" s="29">
        <f>IF(AND(BT78=0,BU78=0,BV78=0),0,IF(AND(BT78=0,BU78=0),BV78/1,IF(AND(BT78=0,BV78=0),BU78/1,IF(AND(BU78=0,BV78=0),BT78/1,IF(BT78=0,FLOOR((BU78+BV78)/2,0.1),IF(BU78=0,(BT78+BV78)/2,IF(BV78=0,(BU78+BT78)/2,FLOOR(((BT78+BU78+BV78)/3),0.1))))))))</f>
        <v/>
      </c>
      <c r="BX78" s="21" t="n"/>
      <c r="BY78" s="21" t="n"/>
      <c r="BZ78" s="27">
        <f>SUM(BX78:BY78)</f>
        <v/>
      </c>
      <c r="CA78" s="28" t="n"/>
      <c r="CB78" s="31" t="n"/>
      <c r="CC78" s="29">
        <f>IF(AND(BZ78=0,CA78=0,CB78=0),0,IF(AND(BZ78=0,CA78=0),CB78/1,IF(AND(BZ78=0,CB78=0),CA78/1,IF(AND(CA78=0,CB78=0),BZ78/1,IF(BZ78=0,FLOOR((CA78+CB78)/2,0.1),IF(CA78=0,(BZ78+CB78)/2,IF(CB78=0,(CA78+BZ78)/2,FLOOR(((BZ78+CA78+CB78)/3),0.1))))))))</f>
        <v/>
      </c>
      <c r="CD78" s="21" t="n"/>
      <c r="CE78" s="21" t="n"/>
      <c r="CF78" s="27">
        <f>SUM(CD78:CE78)</f>
        <v/>
      </c>
      <c r="CG78" s="28" t="n"/>
      <c r="CH78" s="31" t="n"/>
      <c r="CI78" s="29">
        <f>IF(AND(CF78=0,CG78=0,CH78=0),0,IF(AND(CF78=0,CG78=0),CH78/1,IF(AND(CF78=0,CH78=0),CG78/1,IF(AND(CG78=0,CH78=0),CF78/1,IF(CF78=0,FLOOR((CG78+CH78)/2,0.1),IF(CG78=0,(CF78+CH78)/2,IF(CH78=0,(CG78+CF78)/2,FLOOR(((CF78+CG78+CH78)/3),0.1))))))))</f>
        <v/>
      </c>
      <c r="CJ78" s="21" t="n"/>
      <c r="CK78" s="21" t="n"/>
      <c r="CL78" s="27">
        <f>SUM(CJ78:CK78)</f>
        <v/>
      </c>
      <c r="CM78" s="28" t="n"/>
      <c r="CN78" s="31" t="n"/>
      <c r="CO78" s="29">
        <f>IF(AND(CL78=0,CM78=0,CN78=0),0,IF(AND(CL78=0,CM78=0),CN78/1,IF(AND(CL78=0,CN78=0),CM78/1,IF(AND(CM78=0,CN78=0),CL78/1,IF(CL78=0,FLOOR((CM78+CN78)/2,0.1),IF(CM78=0,(CL78+CN78)/2,IF(CN78=0,(CM78+CL78)/2,FLOOR(((CL78+CM78+CN78)/3),0.1))))))))</f>
        <v/>
      </c>
      <c r="CP78" s="21" t="n"/>
      <c r="CQ78" s="21" t="n"/>
      <c r="CR78" s="27">
        <f>SUM(CP78:CQ78)</f>
        <v/>
      </c>
      <c r="CS78" s="28" t="n"/>
      <c r="CT78" s="31" t="n"/>
      <c r="CU78" s="29">
        <f>IF(AND(CR78=0,CS78=0,CT78=0),0,IF(AND(CR78=0,CS78=0),CT78/1,IF(AND(CR78=0,CT78=0),CS78/1,IF(AND(CS78=0,CT78=0),CR78/1,IF(CR78=0,FLOOR((CS78+CT78)/2,0.1),IF(CS78=0,(CR78+CT78)/2,IF(CT78=0,(CS78+CR78)/2,FLOOR(((CR78+CS78+CT78)/3),0.1))))))))</f>
        <v/>
      </c>
      <c r="CV78" s="21" t="n"/>
      <c r="CW78" s="21" t="n"/>
      <c r="CX78" s="27">
        <f>SUM(CV78:CW78)</f>
        <v/>
      </c>
      <c r="CY78" s="28" t="n"/>
      <c r="CZ78" s="31" t="n"/>
      <c r="DA78" s="29">
        <f>IF(AND(CX78=0,CY78=0,CZ78=0),0,IF(AND(CX78=0,CY78=0),CZ78/1,IF(AND(CX78=0,CZ78=0),CY78/1,IF(AND(CY78=0,CZ78=0),CX78/1,IF(CX78=0,FLOOR((CY78+CZ78)/2,0.1),IF(CY78=0,(CX78+CZ78)/2,IF(CZ78=0,(CY78+CX78)/2,FLOOR(((CX78+CY78+CZ78)/3),0.1))))))))</f>
        <v/>
      </c>
      <c r="DB78" s="21" t="n"/>
      <c r="DC78" s="21" t="n"/>
      <c r="DD78" s="27">
        <f>SUM(DB78:DC78)</f>
        <v/>
      </c>
      <c r="DE78" s="28" t="n"/>
      <c r="DF78" s="31" t="n"/>
      <c r="DG78" s="29">
        <f>IF(AND(DD78=0,DE78=0,DF78=0),0,IF(AND(DD78=0,DE78=0),DF78/1,IF(AND(DD78=0,DF78=0),DE78/1,IF(AND(DE78=0,DF78=0),DD78/1,IF(DD78=0,FLOOR((DE78+DF78)/2,0.1),IF(DE78=0,(DD78+DF78)/2,IF(DF78=0,(DE78+DD78)/2,FLOOR(((DD78+DE78+DF78)/3),0.1))))))))</f>
        <v/>
      </c>
      <c r="DH78" s="34">
        <f>SUM(O78,U78,AA78,AG78,AM78,AS78,AY78,BE78,BK78,BQ78,BW78,CC78,CI78,CO78,CU78,DA78,DG78)</f>
        <v/>
      </c>
      <c r="DI78" s="39">
        <f>RANK(DH78,DH$4:DH$503)</f>
        <v/>
      </c>
      <c r="DJ78" s="40" t="inlineStr">
        <is>
          <t>CHOOSE RATING</t>
        </is>
      </c>
      <c r="DK78" s="40" t="inlineStr">
        <is>
          <t>CHOOSE RATING</t>
        </is>
      </c>
      <c r="DL78" s="40" t="inlineStr">
        <is>
          <t>CHOOSE RATING</t>
        </is>
      </c>
      <c r="DM78" s="40" t="inlineStr">
        <is>
          <t>CHOOSE RATING</t>
        </is>
      </c>
      <c r="DN78" s="40" t="inlineStr">
        <is>
          <t>CHOOSE RATING</t>
        </is>
      </c>
      <c r="DO78" s="40" t="inlineStr">
        <is>
          <t>CHOOSE RATING</t>
        </is>
      </c>
      <c r="DP78" s="40" t="inlineStr">
        <is>
          <t>CHOOSE RATING</t>
        </is>
      </c>
      <c r="DQ78" s="40" t="inlineStr">
        <is>
          <t>CHOOSE RATING</t>
        </is>
      </c>
      <c r="DR78" s="43" t="inlineStr">
        <is>
          <t>2024/2025</t>
        </is>
      </c>
      <c r="DS78" s="45" t="inlineStr">
        <is>
          <t>THIRD</t>
        </is>
      </c>
      <c r="DT78" s="40" t="inlineStr">
        <is>
          <t>CHOOSE RATING</t>
        </is>
      </c>
      <c r="DU78" s="40" t="inlineStr">
        <is>
          <t>CHOOSE RATING</t>
        </is>
      </c>
      <c r="DV78" s="40" t="inlineStr">
        <is>
          <t>CHOOSE RATING</t>
        </is>
      </c>
      <c r="DW78" s="40" t="inlineStr">
        <is>
          <t>CHOOSE RATING</t>
        </is>
      </c>
      <c r="DX78" s="40" t="inlineStr">
        <is>
          <t>CHOOSE RATING</t>
        </is>
      </c>
      <c r="DY78" s="40" t="inlineStr">
        <is>
          <t>CHOOSE RATING</t>
        </is>
      </c>
      <c r="DZ78" s="53" t="inlineStr">
        <is>
          <t>CHOOSE RATING</t>
        </is>
      </c>
      <c r="EA78" s="54" t="inlineStr">
        <is>
          <t>Add the Tutor's Comment . . .</t>
        </is>
      </c>
      <c r="EB78" s="55" t="inlineStr">
        <is>
          <t>Choose Principals comment</t>
        </is>
      </c>
      <c r="EC78" s="56" t="n"/>
      <c r="ED78" s="57" t="inlineStr">
        <is>
          <t>Next Term Begins on Monday, 22nd September, 2025</t>
        </is>
      </c>
    </row>
    <row r="79" ht="30.6" customHeight="1" s="6">
      <c r="A79" s="18" t="n">
        <v>76</v>
      </c>
      <c r="B79" s="19" t="n"/>
      <c r="C79" s="20" t="n"/>
      <c r="D79" s="128" t="n"/>
      <c r="E79" s="21" t="n"/>
      <c r="F79" s="22" t="n"/>
      <c r="G79" s="22" t="n"/>
      <c r="H79" s="22" t="n"/>
      <c r="I79" s="26">
        <f>G79-H79</f>
        <v/>
      </c>
      <c r="J79" s="21" t="n"/>
      <c r="K79" s="21" t="n"/>
      <c r="L79" s="27">
        <f>SUM(J79:K79)</f>
        <v/>
      </c>
      <c r="M79" s="28" t="n"/>
      <c r="N79" s="28" t="n"/>
      <c r="O79" s="29">
        <f>IF(AND(L79=0,M79=0,N79=0),0,IF(AND(L79=0,M79=0),N79/1,IF(AND(L79=0,N79=0),M79/1,IF(AND(M79=0,N79=0),L79/1,IF(L79=0,FLOOR((M79+N79)/2,0.1),IF(M79=0,(L79+N79)/2,IF(N79=0,(M79+L79)/2,FLOOR(((L79+M79+N79)/3),0.1))))))))</f>
        <v/>
      </c>
      <c r="P79" s="21" t="n"/>
      <c r="Q79" s="21" t="n"/>
      <c r="R79" s="27">
        <f>SUM(P79:Q79)</f>
        <v/>
      </c>
      <c r="S79" s="28" t="n"/>
      <c r="T79" s="28" t="n"/>
      <c r="U79" s="29">
        <f>IF(AND(R79=0,S79=0,T79=0),0,IF(AND(R79=0,S79=0),T79/1,IF(AND(R79=0,T79=0),S79/1,IF(AND(S79=0,T79=0),R79/1,IF(R79=0,FLOOR((S79+T79)/2,0.1),IF(S79=0,(R79+T79)/2,IF(T79=0,(S79+R79)/2,FLOOR(((R79+S79+T79)/3),0.1))))))))</f>
        <v/>
      </c>
      <c r="V79" s="21" t="n"/>
      <c r="W79" s="21" t="n"/>
      <c r="X79" s="27">
        <f>SUM(V79:W79)</f>
        <v/>
      </c>
      <c r="Y79" s="28" t="n"/>
      <c r="Z79" s="28" t="n"/>
      <c r="AA79" s="29">
        <f>IF(AND(X79=0,Y79=0,Z79=0),0,IF(AND(X79=0,Y79=0),Z79/1,IF(AND(X79=0,Z79=0),Y79/1,IF(AND(Y79=0,Z79=0),X79/1,IF(X79=0,FLOOR((Y79+Z79)/2,0.1),IF(Y79=0,(X79+Z79)/2,IF(Z79=0,(Y79+X79)/2,FLOOR(((X79+Y79+Z79)/3),0.1))))))))</f>
        <v/>
      </c>
      <c r="AB79" s="21" t="n"/>
      <c r="AC79" s="21" t="n"/>
      <c r="AD79" s="27">
        <f>SUM(AB79:AC79)</f>
        <v/>
      </c>
      <c r="AE79" s="28" t="n"/>
      <c r="AF79" s="28" t="n"/>
      <c r="AG79" s="29">
        <f>IF(AND(AD79=0,AE79=0,AF79=0),0,IF(AND(AD79=0,AE79=0),AF79/1,IF(AND(AD79=0,AF79=0),AE79/1,IF(AND(AE79=0,AF79=0),AD79/1,IF(AD79=0,FLOOR((AE79+AF79)/2,0.1),IF(AE79=0,(AD79+AF79)/2,IF(AF79=0,(AE79+AD79)/2,FLOOR(((AD79+AE79+AF79)/3),0.1))))))))</f>
        <v/>
      </c>
      <c r="AH79" s="21" t="n"/>
      <c r="AI79" s="21" t="n"/>
      <c r="AJ79" s="27">
        <f>SUM(AH79:AI79)</f>
        <v/>
      </c>
      <c r="AK79" s="28" t="n"/>
      <c r="AL79" s="28" t="n"/>
      <c r="AM79" s="29">
        <f>IF(AND(AJ79=0,AK79=0,AL79=0),0,IF(AND(AJ79=0,AK79=0),AL79/1,IF(AND(AJ79=0,AL79=0),AK79/1,IF(AND(AK79=0,AL79=0),AJ79/1,IF(AJ79=0,FLOOR((AK79+AL79)/2,0.1),IF(AK79=0,(AJ79+AL79)/2,IF(AL79=0,(AK79+AJ79)/2,FLOOR(((AJ79+AK79+AL79)/3),0.1))))))))</f>
        <v/>
      </c>
      <c r="AN79" s="21" t="n"/>
      <c r="AO79" s="21" t="n"/>
      <c r="AP79" s="27">
        <f>SUM(AN79:AO79)</f>
        <v/>
      </c>
      <c r="AQ79" s="28" t="n"/>
      <c r="AR79" s="30" t="n"/>
      <c r="AS79" s="29">
        <f>IF(AND(AP79=0,AQ79=0,AR79=0),0,IF(AND(AP79=0,AQ79=0),AR79/1,IF(AND(AP79=0,AR79=0),AQ79/1,IF(AND(AQ79=0,AR79=0),AP79/1,IF(AP79=0,FLOOR((AQ79+AR79)/2,0.1),IF(AQ79=0,(AP79+AR79)/2,IF(AR79=0,(AQ79+AP79)/2,FLOOR(((AP79+AQ79+AR79)/3),0.1))))))))</f>
        <v/>
      </c>
      <c r="AT79" s="21" t="n"/>
      <c r="AU79" s="21" t="n"/>
      <c r="AV79" s="27">
        <f>SUM(AT79:AU79)</f>
        <v/>
      </c>
      <c r="AW79" s="28" t="n"/>
      <c r="AX79" s="30" t="n"/>
      <c r="AY79" s="29">
        <f>IF(AND(AV79=0,AW79=0,AX79=0),0,IF(AND(AV79=0,AW79=0),AX79/1,IF(AND(AV79=0,AX79=0),AW79/1,IF(AND(AW79=0,AX79=0),AV79/1,IF(AV79=0,FLOOR((AW79+AX79)/2,0.1),IF(AW79=0,(AV79+AX79)/2,IF(AX79=0,(AW79+AV79)/2,FLOOR(((AV79+AW79+AX79)/3),0.1))))))))</f>
        <v/>
      </c>
      <c r="AZ79" s="21" t="n"/>
      <c r="BA79" s="21" t="n"/>
      <c r="BB79" s="27">
        <f>SUM(AZ79:BA79)</f>
        <v/>
      </c>
      <c r="BC79" s="28" t="n"/>
      <c r="BD79" s="28" t="n"/>
      <c r="BE79" s="29">
        <f>IF(AND(BB79=0,BC79=0,BD79=0),0,IF(AND(BB79=0,BC79=0),BD79/1,IF(AND(BB79=0,BD79=0),BC79/1,IF(AND(BC79=0,BD79=0),BB79/1,IF(BB79=0,FLOOR((BC79+BD79)/2,0.1),IF(BC79=0,(BB79+BD79)/2,IF(BD79=0,(BC79+BB79)/2,FLOOR(((BB79+BC79+BD79)/3),0.1))))))))</f>
        <v/>
      </c>
      <c r="BF79" s="21" t="n"/>
      <c r="BG79" s="21" t="n"/>
      <c r="BH79" s="27">
        <f>SUM(BF79:BG79)</f>
        <v/>
      </c>
      <c r="BI79" s="28" t="n"/>
      <c r="BJ79" s="28" t="n"/>
      <c r="BK79" s="29">
        <f>IF(AND(BH79=0,BI79=0,BJ79=0),0,IF(AND(BH79=0,BI79=0),BJ79/1,IF(AND(BH79=0,BJ79=0),BI79/1,IF(AND(BI79=0,BJ79=0),BH79/1,IF(BH79=0,FLOOR((BI79+BJ79)/2,0.1),IF(BI79=0,(BH79+BJ79)/2,IF(BJ79=0,(BI79+BH79)/2,FLOOR(((BH79+BI79+BJ79)/3),0.1))))))))</f>
        <v/>
      </c>
      <c r="BL79" s="21" t="n"/>
      <c r="BM79" s="21" t="n"/>
      <c r="BN79" s="27">
        <f>SUM(BL79:BM79)</f>
        <v/>
      </c>
      <c r="BO79" s="28" t="n"/>
      <c r="BP79" s="31" t="n"/>
      <c r="BQ79" s="29">
        <f>IF(AND(BN79=0,BO79=0,BP79=0),0,IF(AND(BN79=0,BO79=0),BP79/1,IF(AND(BN79=0,BP79=0),BO79/1,IF(AND(BO79=0,BP79=0),BN79/1,IF(BN79=0,FLOOR((BO79+BP79)/2,0.1),IF(BO79=0,(BN79+BP79)/2,IF(BP79=0,(BO79+BN79)/2,FLOOR(((BN79+BO79+BP79)/3),0.1))))))))</f>
        <v/>
      </c>
      <c r="BR79" s="21" t="n"/>
      <c r="BS79" s="21" t="n"/>
      <c r="BT79" s="27">
        <f>SUM(BR79:BS79)</f>
        <v/>
      </c>
      <c r="BU79" s="28" t="n"/>
      <c r="BV79" s="31" t="n"/>
      <c r="BW79" s="29">
        <f>IF(AND(BT79=0,BU79=0,BV79=0),0,IF(AND(BT79=0,BU79=0),BV79/1,IF(AND(BT79=0,BV79=0),BU79/1,IF(AND(BU79=0,BV79=0),BT79/1,IF(BT79=0,FLOOR((BU79+BV79)/2,0.1),IF(BU79=0,(BT79+BV79)/2,IF(BV79=0,(BU79+BT79)/2,FLOOR(((BT79+BU79+BV79)/3),0.1))))))))</f>
        <v/>
      </c>
      <c r="BX79" s="21" t="n"/>
      <c r="BY79" s="21" t="n"/>
      <c r="BZ79" s="27">
        <f>SUM(BX79:BY79)</f>
        <v/>
      </c>
      <c r="CA79" s="28" t="n"/>
      <c r="CB79" s="31" t="n"/>
      <c r="CC79" s="29">
        <f>IF(AND(BZ79=0,CA79=0,CB79=0),0,IF(AND(BZ79=0,CA79=0),CB79/1,IF(AND(BZ79=0,CB79=0),CA79/1,IF(AND(CA79=0,CB79=0),BZ79/1,IF(BZ79=0,FLOOR((CA79+CB79)/2,0.1),IF(CA79=0,(BZ79+CB79)/2,IF(CB79=0,(CA79+BZ79)/2,FLOOR(((BZ79+CA79+CB79)/3),0.1))))))))</f>
        <v/>
      </c>
      <c r="CD79" s="21" t="n"/>
      <c r="CE79" s="21" t="n"/>
      <c r="CF79" s="27">
        <f>SUM(CD79:CE79)</f>
        <v/>
      </c>
      <c r="CG79" s="28" t="n"/>
      <c r="CH79" s="31" t="n"/>
      <c r="CI79" s="29">
        <f>IF(AND(CF79=0,CG79=0,CH79=0),0,IF(AND(CF79=0,CG79=0),CH79/1,IF(AND(CF79=0,CH79=0),CG79/1,IF(AND(CG79=0,CH79=0),CF79/1,IF(CF79=0,FLOOR((CG79+CH79)/2,0.1),IF(CG79=0,(CF79+CH79)/2,IF(CH79=0,(CG79+CF79)/2,FLOOR(((CF79+CG79+CH79)/3),0.1))))))))</f>
        <v/>
      </c>
      <c r="CJ79" s="21" t="n"/>
      <c r="CK79" s="21" t="n"/>
      <c r="CL79" s="27">
        <f>SUM(CJ79:CK79)</f>
        <v/>
      </c>
      <c r="CM79" s="28" t="n"/>
      <c r="CN79" s="31" t="n"/>
      <c r="CO79" s="29">
        <f>IF(AND(CL79=0,CM79=0,CN79=0),0,IF(AND(CL79=0,CM79=0),CN79/1,IF(AND(CL79=0,CN79=0),CM79/1,IF(AND(CM79=0,CN79=0),CL79/1,IF(CL79=0,FLOOR((CM79+CN79)/2,0.1),IF(CM79=0,(CL79+CN79)/2,IF(CN79=0,(CM79+CL79)/2,FLOOR(((CL79+CM79+CN79)/3),0.1))))))))</f>
        <v/>
      </c>
      <c r="CP79" s="21" t="n"/>
      <c r="CQ79" s="21" t="n"/>
      <c r="CR79" s="27">
        <f>SUM(CP79:CQ79)</f>
        <v/>
      </c>
      <c r="CS79" s="28" t="n"/>
      <c r="CT79" s="31" t="n"/>
      <c r="CU79" s="29">
        <f>IF(AND(CR79=0,CS79=0,CT79=0),0,IF(AND(CR79=0,CS79=0),CT79/1,IF(AND(CR79=0,CT79=0),CS79/1,IF(AND(CS79=0,CT79=0),CR79/1,IF(CR79=0,FLOOR((CS79+CT79)/2,0.1),IF(CS79=0,(CR79+CT79)/2,IF(CT79=0,(CS79+CR79)/2,FLOOR(((CR79+CS79+CT79)/3),0.1))))))))</f>
        <v/>
      </c>
      <c r="CV79" s="21" t="n"/>
      <c r="CW79" s="21" t="n"/>
      <c r="CX79" s="27">
        <f>SUM(CV79:CW79)</f>
        <v/>
      </c>
      <c r="CY79" s="28" t="n"/>
      <c r="CZ79" s="31" t="n"/>
      <c r="DA79" s="29">
        <f>IF(AND(CX79=0,CY79=0,CZ79=0),0,IF(AND(CX79=0,CY79=0),CZ79/1,IF(AND(CX79=0,CZ79=0),CY79/1,IF(AND(CY79=0,CZ79=0),CX79/1,IF(CX79=0,FLOOR((CY79+CZ79)/2,0.1),IF(CY79=0,(CX79+CZ79)/2,IF(CZ79=0,(CY79+CX79)/2,FLOOR(((CX79+CY79+CZ79)/3),0.1))))))))</f>
        <v/>
      </c>
      <c r="DB79" s="21" t="n"/>
      <c r="DC79" s="21" t="n"/>
      <c r="DD79" s="27">
        <f>SUM(DB79:DC79)</f>
        <v/>
      </c>
      <c r="DE79" s="28" t="n"/>
      <c r="DF79" s="31" t="n"/>
      <c r="DG79" s="29">
        <f>IF(AND(DD79=0,DE79=0,DF79=0),0,IF(AND(DD79=0,DE79=0),DF79/1,IF(AND(DD79=0,DF79=0),DE79/1,IF(AND(DE79=0,DF79=0),DD79/1,IF(DD79=0,FLOOR((DE79+DF79)/2,0.1),IF(DE79=0,(DD79+DF79)/2,IF(DF79=0,(DE79+DD79)/2,FLOOR(((DD79+DE79+DF79)/3),0.1))))))))</f>
        <v/>
      </c>
      <c r="DH79" s="34">
        <f>SUM(O79,U79,AA79,AG79,AM79,AS79,AY79,BE79,BK79,BQ79,BW79,CC79,CI79,CO79,CU79,DA79,DG79)</f>
        <v/>
      </c>
      <c r="DI79" s="39">
        <f>RANK(DH79,DH$4:DH$503)</f>
        <v/>
      </c>
      <c r="DJ79" s="40" t="inlineStr">
        <is>
          <t>CHOOSE RATING</t>
        </is>
      </c>
      <c r="DK79" s="40" t="inlineStr">
        <is>
          <t>CHOOSE RATING</t>
        </is>
      </c>
      <c r="DL79" s="40" t="inlineStr">
        <is>
          <t>CHOOSE RATING</t>
        </is>
      </c>
      <c r="DM79" s="40" t="inlineStr">
        <is>
          <t>CHOOSE RATING</t>
        </is>
      </c>
      <c r="DN79" s="40" t="inlineStr">
        <is>
          <t>CHOOSE RATING</t>
        </is>
      </c>
      <c r="DO79" s="40" t="inlineStr">
        <is>
          <t>CHOOSE RATING</t>
        </is>
      </c>
      <c r="DP79" s="40" t="inlineStr">
        <is>
          <t>CHOOSE RATING</t>
        </is>
      </c>
      <c r="DQ79" s="40" t="inlineStr">
        <is>
          <t>CHOOSE RATING</t>
        </is>
      </c>
      <c r="DR79" s="43" t="inlineStr">
        <is>
          <t>2024/2025</t>
        </is>
      </c>
      <c r="DS79" s="45" t="inlineStr">
        <is>
          <t>THIRD</t>
        </is>
      </c>
      <c r="DT79" s="40" t="inlineStr">
        <is>
          <t>CHOOSE RATING</t>
        </is>
      </c>
      <c r="DU79" s="40" t="inlineStr">
        <is>
          <t>CHOOSE RATING</t>
        </is>
      </c>
      <c r="DV79" s="40" t="inlineStr">
        <is>
          <t>CHOOSE RATING</t>
        </is>
      </c>
      <c r="DW79" s="40" t="inlineStr">
        <is>
          <t>CHOOSE RATING</t>
        </is>
      </c>
      <c r="DX79" s="40" t="inlineStr">
        <is>
          <t>CHOOSE RATING</t>
        </is>
      </c>
      <c r="DY79" s="40" t="inlineStr">
        <is>
          <t>CHOOSE RATING</t>
        </is>
      </c>
      <c r="DZ79" s="53" t="inlineStr">
        <is>
          <t>CHOOSE RATING</t>
        </is>
      </c>
      <c r="EA79" s="54" t="inlineStr">
        <is>
          <t>Add the Tutor's Comment . . .</t>
        </is>
      </c>
      <c r="EB79" s="55" t="inlineStr">
        <is>
          <t>Choose Principals comment</t>
        </is>
      </c>
      <c r="EC79" s="56" t="n"/>
      <c r="ED79" s="57" t="inlineStr">
        <is>
          <t>Next Term Begins on Monday, 22nd September, 2025</t>
        </is>
      </c>
    </row>
    <row r="80" ht="30.6" customHeight="1" s="6">
      <c r="A80" s="18" t="n">
        <v>77</v>
      </c>
      <c r="B80" s="19" t="n"/>
      <c r="C80" s="20" t="n"/>
      <c r="D80" s="128" t="n"/>
      <c r="E80" s="21" t="n"/>
      <c r="F80" s="22" t="n"/>
      <c r="G80" s="22" t="n"/>
      <c r="H80" s="22" t="n"/>
      <c r="I80" s="26">
        <f>G80-H80</f>
        <v/>
      </c>
      <c r="J80" s="21" t="n"/>
      <c r="K80" s="21" t="n"/>
      <c r="L80" s="27">
        <f>SUM(J80:K80)</f>
        <v/>
      </c>
      <c r="M80" s="28" t="n"/>
      <c r="N80" s="28" t="n"/>
      <c r="O80" s="29">
        <f>IF(AND(L80=0,M80=0,N80=0),0,IF(AND(L80=0,M80=0),N80/1,IF(AND(L80=0,N80=0),M80/1,IF(AND(M80=0,N80=0),L80/1,IF(L80=0,FLOOR((M80+N80)/2,0.1),IF(M80=0,(L80+N80)/2,IF(N80=0,(M80+L80)/2,FLOOR(((L80+M80+N80)/3),0.1))))))))</f>
        <v/>
      </c>
      <c r="P80" s="21" t="n"/>
      <c r="Q80" s="21" t="n"/>
      <c r="R80" s="27">
        <f>SUM(P80:Q80)</f>
        <v/>
      </c>
      <c r="S80" s="28" t="n"/>
      <c r="T80" s="28" t="n"/>
      <c r="U80" s="29">
        <f>IF(AND(R80=0,S80=0,T80=0),0,IF(AND(R80=0,S80=0),T80/1,IF(AND(R80=0,T80=0),S80/1,IF(AND(S80=0,T80=0),R80/1,IF(R80=0,FLOOR((S80+T80)/2,0.1),IF(S80=0,(R80+T80)/2,IF(T80=0,(S80+R80)/2,FLOOR(((R80+S80+T80)/3),0.1))))))))</f>
        <v/>
      </c>
      <c r="V80" s="21" t="n"/>
      <c r="W80" s="21" t="n"/>
      <c r="X80" s="27">
        <f>SUM(V80:W80)</f>
        <v/>
      </c>
      <c r="Y80" s="28" t="n"/>
      <c r="Z80" s="28" t="n"/>
      <c r="AA80" s="29">
        <f>IF(AND(X80=0,Y80=0,Z80=0),0,IF(AND(X80=0,Y80=0),Z80/1,IF(AND(X80=0,Z80=0),Y80/1,IF(AND(Y80=0,Z80=0),X80/1,IF(X80=0,FLOOR((Y80+Z80)/2,0.1),IF(Y80=0,(X80+Z80)/2,IF(Z80=0,(Y80+X80)/2,FLOOR(((X80+Y80+Z80)/3),0.1))))))))</f>
        <v/>
      </c>
      <c r="AB80" s="21" t="n"/>
      <c r="AC80" s="21" t="n"/>
      <c r="AD80" s="27">
        <f>SUM(AB80:AC80)</f>
        <v/>
      </c>
      <c r="AE80" s="28" t="n"/>
      <c r="AF80" s="28" t="n"/>
      <c r="AG80" s="29">
        <f>IF(AND(AD80=0,AE80=0,AF80=0),0,IF(AND(AD80=0,AE80=0),AF80/1,IF(AND(AD80=0,AF80=0),AE80/1,IF(AND(AE80=0,AF80=0),AD80/1,IF(AD80=0,FLOOR((AE80+AF80)/2,0.1),IF(AE80=0,(AD80+AF80)/2,IF(AF80=0,(AE80+AD80)/2,FLOOR(((AD80+AE80+AF80)/3),0.1))))))))</f>
        <v/>
      </c>
      <c r="AH80" s="21" t="n"/>
      <c r="AI80" s="21" t="n"/>
      <c r="AJ80" s="27">
        <f>SUM(AH80:AI80)</f>
        <v/>
      </c>
      <c r="AK80" s="28" t="n"/>
      <c r="AL80" s="28" t="n"/>
      <c r="AM80" s="29">
        <f>IF(AND(AJ80=0,AK80=0,AL80=0),0,IF(AND(AJ80=0,AK80=0),AL80/1,IF(AND(AJ80=0,AL80=0),AK80/1,IF(AND(AK80=0,AL80=0),AJ80/1,IF(AJ80=0,FLOOR((AK80+AL80)/2,0.1),IF(AK80=0,(AJ80+AL80)/2,IF(AL80=0,(AK80+AJ80)/2,FLOOR(((AJ80+AK80+AL80)/3),0.1))))))))</f>
        <v/>
      </c>
      <c r="AN80" s="21" t="n"/>
      <c r="AO80" s="21" t="n"/>
      <c r="AP80" s="27">
        <f>SUM(AN80:AO80)</f>
        <v/>
      </c>
      <c r="AQ80" s="28" t="n"/>
      <c r="AR80" s="30" t="n"/>
      <c r="AS80" s="29">
        <f>IF(AND(AP80=0,AQ80=0,AR80=0),0,IF(AND(AP80=0,AQ80=0),AR80/1,IF(AND(AP80=0,AR80=0),AQ80/1,IF(AND(AQ80=0,AR80=0),AP80/1,IF(AP80=0,FLOOR((AQ80+AR80)/2,0.1),IF(AQ80=0,(AP80+AR80)/2,IF(AR80=0,(AQ80+AP80)/2,FLOOR(((AP80+AQ80+AR80)/3),0.1))))))))</f>
        <v/>
      </c>
      <c r="AT80" s="21" t="n"/>
      <c r="AU80" s="21" t="n"/>
      <c r="AV80" s="27">
        <f>SUM(AT80:AU80)</f>
        <v/>
      </c>
      <c r="AW80" s="28" t="n"/>
      <c r="AX80" s="30" t="n"/>
      <c r="AY80" s="29">
        <f>IF(AND(AV80=0,AW80=0,AX80=0),0,IF(AND(AV80=0,AW80=0),AX80/1,IF(AND(AV80=0,AX80=0),AW80/1,IF(AND(AW80=0,AX80=0),AV80/1,IF(AV80=0,FLOOR((AW80+AX80)/2,0.1),IF(AW80=0,(AV80+AX80)/2,IF(AX80=0,(AW80+AV80)/2,FLOOR(((AV80+AW80+AX80)/3),0.1))))))))</f>
        <v/>
      </c>
      <c r="AZ80" s="21" t="n"/>
      <c r="BA80" s="21" t="n"/>
      <c r="BB80" s="27">
        <f>SUM(AZ80:BA80)</f>
        <v/>
      </c>
      <c r="BC80" s="28" t="n"/>
      <c r="BD80" s="28" t="n"/>
      <c r="BE80" s="29">
        <f>IF(AND(BB80=0,BC80=0,BD80=0),0,IF(AND(BB80=0,BC80=0),BD80/1,IF(AND(BB80=0,BD80=0),BC80/1,IF(AND(BC80=0,BD80=0),BB80/1,IF(BB80=0,FLOOR((BC80+BD80)/2,0.1),IF(BC80=0,(BB80+BD80)/2,IF(BD80=0,(BC80+BB80)/2,FLOOR(((BB80+BC80+BD80)/3),0.1))))))))</f>
        <v/>
      </c>
      <c r="BF80" s="21" t="n"/>
      <c r="BG80" s="21" t="n"/>
      <c r="BH80" s="27">
        <f>SUM(BF80:BG80)</f>
        <v/>
      </c>
      <c r="BI80" s="28" t="n"/>
      <c r="BJ80" s="28" t="n"/>
      <c r="BK80" s="29">
        <f>IF(AND(BH80=0,BI80=0,BJ80=0),0,IF(AND(BH80=0,BI80=0),BJ80/1,IF(AND(BH80=0,BJ80=0),BI80/1,IF(AND(BI80=0,BJ80=0),BH80/1,IF(BH80=0,FLOOR((BI80+BJ80)/2,0.1),IF(BI80=0,(BH80+BJ80)/2,IF(BJ80=0,(BI80+BH80)/2,FLOOR(((BH80+BI80+BJ80)/3),0.1))))))))</f>
        <v/>
      </c>
      <c r="BL80" s="21" t="n"/>
      <c r="BM80" s="21" t="n"/>
      <c r="BN80" s="27">
        <f>SUM(BL80:BM80)</f>
        <v/>
      </c>
      <c r="BO80" s="28" t="n"/>
      <c r="BP80" s="31" t="n"/>
      <c r="BQ80" s="29">
        <f>IF(AND(BN80=0,BO80=0,BP80=0),0,IF(AND(BN80=0,BO80=0),BP80/1,IF(AND(BN80=0,BP80=0),BO80/1,IF(AND(BO80=0,BP80=0),BN80/1,IF(BN80=0,FLOOR((BO80+BP80)/2,0.1),IF(BO80=0,(BN80+BP80)/2,IF(BP80=0,(BO80+BN80)/2,FLOOR(((BN80+BO80+BP80)/3),0.1))))))))</f>
        <v/>
      </c>
      <c r="BR80" s="21" t="n"/>
      <c r="BS80" s="21" t="n"/>
      <c r="BT80" s="27">
        <f>SUM(BR80:BS80)</f>
        <v/>
      </c>
      <c r="BU80" s="28" t="n"/>
      <c r="BV80" s="31" t="n"/>
      <c r="BW80" s="29">
        <f>IF(AND(BT80=0,BU80=0,BV80=0),0,IF(AND(BT80=0,BU80=0),BV80/1,IF(AND(BT80=0,BV80=0),BU80/1,IF(AND(BU80=0,BV80=0),BT80/1,IF(BT80=0,FLOOR((BU80+BV80)/2,0.1),IF(BU80=0,(BT80+BV80)/2,IF(BV80=0,(BU80+BT80)/2,FLOOR(((BT80+BU80+BV80)/3),0.1))))))))</f>
        <v/>
      </c>
      <c r="BX80" s="21" t="n"/>
      <c r="BY80" s="21" t="n"/>
      <c r="BZ80" s="27">
        <f>SUM(BX80:BY80)</f>
        <v/>
      </c>
      <c r="CA80" s="28" t="n"/>
      <c r="CB80" s="31" t="n"/>
      <c r="CC80" s="29">
        <f>IF(AND(BZ80=0,CA80=0,CB80=0),0,IF(AND(BZ80=0,CA80=0),CB80/1,IF(AND(BZ80=0,CB80=0),CA80/1,IF(AND(CA80=0,CB80=0),BZ80/1,IF(BZ80=0,FLOOR((CA80+CB80)/2,0.1),IF(CA80=0,(BZ80+CB80)/2,IF(CB80=0,(CA80+BZ80)/2,FLOOR(((BZ80+CA80+CB80)/3),0.1))))))))</f>
        <v/>
      </c>
      <c r="CD80" s="21" t="n"/>
      <c r="CE80" s="21" t="n"/>
      <c r="CF80" s="27">
        <f>SUM(CD80:CE80)</f>
        <v/>
      </c>
      <c r="CG80" s="28" t="n"/>
      <c r="CH80" s="31" t="n"/>
      <c r="CI80" s="29">
        <f>IF(AND(CF80=0,CG80=0,CH80=0),0,IF(AND(CF80=0,CG80=0),CH80/1,IF(AND(CF80=0,CH80=0),CG80/1,IF(AND(CG80=0,CH80=0),CF80/1,IF(CF80=0,FLOOR((CG80+CH80)/2,0.1),IF(CG80=0,(CF80+CH80)/2,IF(CH80=0,(CG80+CF80)/2,FLOOR(((CF80+CG80+CH80)/3),0.1))))))))</f>
        <v/>
      </c>
      <c r="CJ80" s="21" t="n"/>
      <c r="CK80" s="21" t="n"/>
      <c r="CL80" s="27">
        <f>SUM(CJ80:CK80)</f>
        <v/>
      </c>
      <c r="CM80" s="28" t="n"/>
      <c r="CN80" s="31" t="n"/>
      <c r="CO80" s="29">
        <f>IF(AND(CL80=0,CM80=0,CN80=0),0,IF(AND(CL80=0,CM80=0),CN80/1,IF(AND(CL80=0,CN80=0),CM80/1,IF(AND(CM80=0,CN80=0),CL80/1,IF(CL80=0,FLOOR((CM80+CN80)/2,0.1),IF(CM80=0,(CL80+CN80)/2,IF(CN80=0,(CM80+CL80)/2,FLOOR(((CL80+CM80+CN80)/3),0.1))))))))</f>
        <v/>
      </c>
      <c r="CP80" s="21" t="n"/>
      <c r="CQ80" s="21" t="n"/>
      <c r="CR80" s="27">
        <f>SUM(CP80:CQ80)</f>
        <v/>
      </c>
      <c r="CS80" s="28" t="n"/>
      <c r="CT80" s="31" t="n"/>
      <c r="CU80" s="29">
        <f>IF(AND(CR80=0,CS80=0,CT80=0),0,IF(AND(CR80=0,CS80=0),CT80/1,IF(AND(CR80=0,CT80=0),CS80/1,IF(AND(CS80=0,CT80=0),CR80/1,IF(CR80=0,FLOOR((CS80+CT80)/2,0.1),IF(CS80=0,(CR80+CT80)/2,IF(CT80=0,(CS80+CR80)/2,FLOOR(((CR80+CS80+CT80)/3),0.1))))))))</f>
        <v/>
      </c>
      <c r="CV80" s="21" t="n"/>
      <c r="CW80" s="21" t="n"/>
      <c r="CX80" s="27">
        <f>SUM(CV80:CW80)</f>
        <v/>
      </c>
      <c r="CY80" s="28" t="n"/>
      <c r="CZ80" s="31" t="n"/>
      <c r="DA80" s="29">
        <f>IF(AND(CX80=0,CY80=0,CZ80=0),0,IF(AND(CX80=0,CY80=0),CZ80/1,IF(AND(CX80=0,CZ80=0),CY80/1,IF(AND(CY80=0,CZ80=0),CX80/1,IF(CX80=0,FLOOR((CY80+CZ80)/2,0.1),IF(CY80=0,(CX80+CZ80)/2,IF(CZ80=0,(CY80+CX80)/2,FLOOR(((CX80+CY80+CZ80)/3),0.1))))))))</f>
        <v/>
      </c>
      <c r="DB80" s="21" t="n"/>
      <c r="DC80" s="21" t="n"/>
      <c r="DD80" s="27">
        <f>SUM(DB80:DC80)</f>
        <v/>
      </c>
      <c r="DE80" s="28" t="n"/>
      <c r="DF80" s="31" t="n"/>
      <c r="DG80" s="29">
        <f>IF(AND(DD80=0,DE80=0,DF80=0),0,IF(AND(DD80=0,DE80=0),DF80/1,IF(AND(DD80=0,DF80=0),DE80/1,IF(AND(DE80=0,DF80=0),DD80/1,IF(DD80=0,FLOOR((DE80+DF80)/2,0.1),IF(DE80=0,(DD80+DF80)/2,IF(DF80=0,(DE80+DD80)/2,FLOOR(((DD80+DE80+DF80)/3),0.1))))))))</f>
        <v/>
      </c>
      <c r="DH80" s="34">
        <f>SUM(O80,U80,AA80,AG80,AM80,AS80,AY80,BE80,BK80,BQ80,BW80,CC80,CI80,CO80,CU80,DA80,DG80)</f>
        <v/>
      </c>
      <c r="DI80" s="39">
        <f>RANK(DH80,DH$4:DH$503)</f>
        <v/>
      </c>
      <c r="DJ80" s="40" t="inlineStr">
        <is>
          <t>CHOOSE RATING</t>
        </is>
      </c>
      <c r="DK80" s="40" t="inlineStr">
        <is>
          <t>CHOOSE RATING</t>
        </is>
      </c>
      <c r="DL80" s="40" t="inlineStr">
        <is>
          <t>CHOOSE RATING</t>
        </is>
      </c>
      <c r="DM80" s="40" t="inlineStr">
        <is>
          <t>CHOOSE RATING</t>
        </is>
      </c>
      <c r="DN80" s="40" t="inlineStr">
        <is>
          <t>CHOOSE RATING</t>
        </is>
      </c>
      <c r="DO80" s="40" t="inlineStr">
        <is>
          <t>CHOOSE RATING</t>
        </is>
      </c>
      <c r="DP80" s="40" t="inlineStr">
        <is>
          <t>CHOOSE RATING</t>
        </is>
      </c>
      <c r="DQ80" s="40" t="inlineStr">
        <is>
          <t>CHOOSE RATING</t>
        </is>
      </c>
      <c r="DR80" s="43" t="inlineStr">
        <is>
          <t>2024/2025</t>
        </is>
      </c>
      <c r="DS80" s="45" t="inlineStr">
        <is>
          <t>THIRD</t>
        </is>
      </c>
      <c r="DT80" s="40" t="inlineStr">
        <is>
          <t>CHOOSE RATING</t>
        </is>
      </c>
      <c r="DU80" s="40" t="inlineStr">
        <is>
          <t>CHOOSE RATING</t>
        </is>
      </c>
      <c r="DV80" s="40" t="inlineStr">
        <is>
          <t>CHOOSE RATING</t>
        </is>
      </c>
      <c r="DW80" s="40" t="inlineStr">
        <is>
          <t>CHOOSE RATING</t>
        </is>
      </c>
      <c r="DX80" s="40" t="inlineStr">
        <is>
          <t>CHOOSE RATING</t>
        </is>
      </c>
      <c r="DY80" s="40" t="inlineStr">
        <is>
          <t>CHOOSE RATING</t>
        </is>
      </c>
      <c r="DZ80" s="53" t="inlineStr">
        <is>
          <t>CHOOSE RATING</t>
        </is>
      </c>
      <c r="EA80" s="54" t="inlineStr">
        <is>
          <t>Add the Tutor's Comment . . .</t>
        </is>
      </c>
      <c r="EB80" s="55" t="inlineStr">
        <is>
          <t>Choose Principals comment</t>
        </is>
      </c>
      <c r="EC80" s="56" t="n"/>
      <c r="ED80" s="57" t="inlineStr">
        <is>
          <t>Next Term Begins on Monday, 22nd September, 2025</t>
        </is>
      </c>
    </row>
    <row r="81" ht="30.6" customHeight="1" s="6">
      <c r="A81" s="18" t="n">
        <v>78</v>
      </c>
      <c r="B81" s="19" t="n"/>
      <c r="C81" s="20" t="n"/>
      <c r="D81" s="128" t="n"/>
      <c r="E81" s="21" t="n"/>
      <c r="F81" s="22" t="n"/>
      <c r="G81" s="22" t="n"/>
      <c r="H81" s="22" t="n"/>
      <c r="I81" s="26">
        <f>G81-H81</f>
        <v/>
      </c>
      <c r="J81" s="21" t="n"/>
      <c r="K81" s="21" t="n"/>
      <c r="L81" s="27">
        <f>SUM(J81:K81)</f>
        <v/>
      </c>
      <c r="M81" s="28" t="n"/>
      <c r="N81" s="28" t="n"/>
      <c r="O81" s="29">
        <f>IF(AND(L81=0,M81=0,N81=0),0,IF(AND(L81=0,M81=0),N81/1,IF(AND(L81=0,N81=0),M81/1,IF(AND(M81=0,N81=0),L81/1,IF(L81=0,FLOOR((M81+N81)/2,0.1),IF(M81=0,(L81+N81)/2,IF(N81=0,(M81+L81)/2,FLOOR(((L81+M81+N81)/3),0.1))))))))</f>
        <v/>
      </c>
      <c r="P81" s="21" t="n"/>
      <c r="Q81" s="21" t="n"/>
      <c r="R81" s="27">
        <f>SUM(P81:Q81)</f>
        <v/>
      </c>
      <c r="S81" s="28" t="n"/>
      <c r="T81" s="28" t="n"/>
      <c r="U81" s="29">
        <f>IF(AND(R81=0,S81=0,T81=0),0,IF(AND(R81=0,S81=0),T81/1,IF(AND(R81=0,T81=0),S81/1,IF(AND(S81=0,T81=0),R81/1,IF(R81=0,FLOOR((S81+T81)/2,0.1),IF(S81=0,(R81+T81)/2,IF(T81=0,(S81+R81)/2,FLOOR(((R81+S81+T81)/3),0.1))))))))</f>
        <v/>
      </c>
      <c r="V81" s="21" t="n"/>
      <c r="W81" s="21" t="n"/>
      <c r="X81" s="27">
        <f>SUM(V81:W81)</f>
        <v/>
      </c>
      <c r="Y81" s="28" t="n"/>
      <c r="Z81" s="28" t="n"/>
      <c r="AA81" s="29">
        <f>IF(AND(X81=0,Y81=0,Z81=0),0,IF(AND(X81=0,Y81=0),Z81/1,IF(AND(X81=0,Z81=0),Y81/1,IF(AND(Y81=0,Z81=0),X81/1,IF(X81=0,FLOOR((Y81+Z81)/2,0.1),IF(Y81=0,(X81+Z81)/2,IF(Z81=0,(Y81+X81)/2,FLOOR(((X81+Y81+Z81)/3),0.1))))))))</f>
        <v/>
      </c>
      <c r="AB81" s="21" t="n"/>
      <c r="AC81" s="21" t="n"/>
      <c r="AD81" s="27">
        <f>SUM(AB81:AC81)</f>
        <v/>
      </c>
      <c r="AE81" s="28" t="n"/>
      <c r="AF81" s="28" t="n"/>
      <c r="AG81" s="29">
        <f>IF(AND(AD81=0,AE81=0,AF81=0),0,IF(AND(AD81=0,AE81=0),AF81/1,IF(AND(AD81=0,AF81=0),AE81/1,IF(AND(AE81=0,AF81=0),AD81/1,IF(AD81=0,FLOOR((AE81+AF81)/2,0.1),IF(AE81=0,(AD81+AF81)/2,IF(AF81=0,(AE81+AD81)/2,FLOOR(((AD81+AE81+AF81)/3),0.1))))))))</f>
        <v/>
      </c>
      <c r="AH81" s="21" t="n"/>
      <c r="AI81" s="21" t="n"/>
      <c r="AJ81" s="27">
        <f>SUM(AH81:AI81)</f>
        <v/>
      </c>
      <c r="AK81" s="28" t="n"/>
      <c r="AL81" s="28" t="n"/>
      <c r="AM81" s="29">
        <f>IF(AND(AJ81=0,AK81=0,AL81=0),0,IF(AND(AJ81=0,AK81=0),AL81/1,IF(AND(AJ81=0,AL81=0),AK81/1,IF(AND(AK81=0,AL81=0),AJ81/1,IF(AJ81=0,FLOOR((AK81+AL81)/2,0.1),IF(AK81=0,(AJ81+AL81)/2,IF(AL81=0,(AK81+AJ81)/2,FLOOR(((AJ81+AK81+AL81)/3),0.1))))))))</f>
        <v/>
      </c>
      <c r="AN81" s="21" t="n"/>
      <c r="AO81" s="21" t="n"/>
      <c r="AP81" s="27">
        <f>SUM(AN81:AO81)</f>
        <v/>
      </c>
      <c r="AQ81" s="28" t="n"/>
      <c r="AR81" s="30" t="n"/>
      <c r="AS81" s="29">
        <f>IF(AND(AP81=0,AQ81=0,AR81=0),0,IF(AND(AP81=0,AQ81=0),AR81/1,IF(AND(AP81=0,AR81=0),AQ81/1,IF(AND(AQ81=0,AR81=0),AP81/1,IF(AP81=0,FLOOR((AQ81+AR81)/2,0.1),IF(AQ81=0,(AP81+AR81)/2,IF(AR81=0,(AQ81+AP81)/2,FLOOR(((AP81+AQ81+AR81)/3),0.1))))))))</f>
        <v/>
      </c>
      <c r="AT81" s="21" t="n"/>
      <c r="AU81" s="21" t="n"/>
      <c r="AV81" s="27">
        <f>SUM(AT81:AU81)</f>
        <v/>
      </c>
      <c r="AW81" s="28" t="n"/>
      <c r="AX81" s="30" t="n"/>
      <c r="AY81" s="29">
        <f>IF(AND(AV81=0,AW81=0,AX81=0),0,IF(AND(AV81=0,AW81=0),AX81/1,IF(AND(AV81=0,AX81=0),AW81/1,IF(AND(AW81=0,AX81=0),AV81/1,IF(AV81=0,FLOOR((AW81+AX81)/2,0.1),IF(AW81=0,(AV81+AX81)/2,IF(AX81=0,(AW81+AV81)/2,FLOOR(((AV81+AW81+AX81)/3),0.1))))))))</f>
        <v/>
      </c>
      <c r="AZ81" s="21" t="n"/>
      <c r="BA81" s="21" t="n"/>
      <c r="BB81" s="27">
        <f>SUM(AZ81:BA81)</f>
        <v/>
      </c>
      <c r="BC81" s="28" t="n"/>
      <c r="BD81" s="28" t="n"/>
      <c r="BE81" s="29">
        <f>IF(AND(BB81=0,BC81=0,BD81=0),0,IF(AND(BB81=0,BC81=0),BD81/1,IF(AND(BB81=0,BD81=0),BC81/1,IF(AND(BC81=0,BD81=0),BB81/1,IF(BB81=0,FLOOR((BC81+BD81)/2,0.1),IF(BC81=0,(BB81+BD81)/2,IF(BD81=0,(BC81+BB81)/2,FLOOR(((BB81+BC81+BD81)/3),0.1))))))))</f>
        <v/>
      </c>
      <c r="BF81" s="21" t="n"/>
      <c r="BG81" s="21" t="n"/>
      <c r="BH81" s="27">
        <f>SUM(BF81:BG81)</f>
        <v/>
      </c>
      <c r="BI81" s="28" t="n"/>
      <c r="BJ81" s="28" t="n"/>
      <c r="BK81" s="29">
        <f>IF(AND(BH81=0,BI81=0,BJ81=0),0,IF(AND(BH81=0,BI81=0),BJ81/1,IF(AND(BH81=0,BJ81=0),BI81/1,IF(AND(BI81=0,BJ81=0),BH81/1,IF(BH81=0,FLOOR((BI81+BJ81)/2,0.1),IF(BI81=0,(BH81+BJ81)/2,IF(BJ81=0,(BI81+BH81)/2,FLOOR(((BH81+BI81+BJ81)/3),0.1))))))))</f>
        <v/>
      </c>
      <c r="BL81" s="21" t="n"/>
      <c r="BM81" s="21" t="n"/>
      <c r="BN81" s="27">
        <f>SUM(BL81:BM81)</f>
        <v/>
      </c>
      <c r="BO81" s="28" t="n"/>
      <c r="BP81" s="31" t="n"/>
      <c r="BQ81" s="29">
        <f>IF(AND(BN81=0,BO81=0,BP81=0),0,IF(AND(BN81=0,BO81=0),BP81/1,IF(AND(BN81=0,BP81=0),BO81/1,IF(AND(BO81=0,BP81=0),BN81/1,IF(BN81=0,FLOOR((BO81+BP81)/2,0.1),IF(BO81=0,(BN81+BP81)/2,IF(BP81=0,(BO81+BN81)/2,FLOOR(((BN81+BO81+BP81)/3),0.1))))))))</f>
        <v/>
      </c>
      <c r="BR81" s="21" t="n"/>
      <c r="BS81" s="21" t="n"/>
      <c r="BT81" s="27">
        <f>SUM(BR81:BS81)</f>
        <v/>
      </c>
      <c r="BU81" s="28" t="n"/>
      <c r="BV81" s="31" t="n"/>
      <c r="BW81" s="29">
        <f>IF(AND(BT81=0,BU81=0,BV81=0),0,IF(AND(BT81=0,BU81=0),BV81/1,IF(AND(BT81=0,BV81=0),BU81/1,IF(AND(BU81=0,BV81=0),BT81/1,IF(BT81=0,FLOOR((BU81+BV81)/2,0.1),IF(BU81=0,(BT81+BV81)/2,IF(BV81=0,(BU81+BT81)/2,FLOOR(((BT81+BU81+BV81)/3),0.1))))))))</f>
        <v/>
      </c>
      <c r="BX81" s="21" t="n"/>
      <c r="BY81" s="21" t="n"/>
      <c r="BZ81" s="27">
        <f>SUM(BX81:BY81)</f>
        <v/>
      </c>
      <c r="CA81" s="28" t="n"/>
      <c r="CB81" s="31" t="n"/>
      <c r="CC81" s="29">
        <f>IF(AND(BZ81=0,CA81=0,CB81=0),0,IF(AND(BZ81=0,CA81=0),CB81/1,IF(AND(BZ81=0,CB81=0),CA81/1,IF(AND(CA81=0,CB81=0),BZ81/1,IF(BZ81=0,FLOOR((CA81+CB81)/2,0.1),IF(CA81=0,(BZ81+CB81)/2,IF(CB81=0,(CA81+BZ81)/2,FLOOR(((BZ81+CA81+CB81)/3),0.1))))))))</f>
        <v/>
      </c>
      <c r="CD81" s="21" t="n"/>
      <c r="CE81" s="21" t="n"/>
      <c r="CF81" s="27">
        <f>SUM(CD81:CE81)</f>
        <v/>
      </c>
      <c r="CG81" s="28" t="n"/>
      <c r="CH81" s="31" t="n"/>
      <c r="CI81" s="29">
        <f>IF(AND(CF81=0,CG81=0,CH81=0),0,IF(AND(CF81=0,CG81=0),CH81/1,IF(AND(CF81=0,CH81=0),CG81/1,IF(AND(CG81=0,CH81=0),CF81/1,IF(CF81=0,FLOOR((CG81+CH81)/2,0.1),IF(CG81=0,(CF81+CH81)/2,IF(CH81=0,(CG81+CF81)/2,FLOOR(((CF81+CG81+CH81)/3),0.1))))))))</f>
        <v/>
      </c>
      <c r="CJ81" s="21" t="n"/>
      <c r="CK81" s="21" t="n"/>
      <c r="CL81" s="27">
        <f>SUM(CJ81:CK81)</f>
        <v/>
      </c>
      <c r="CM81" s="28" t="n"/>
      <c r="CN81" s="31" t="n"/>
      <c r="CO81" s="29">
        <f>IF(AND(CL81=0,CM81=0,CN81=0),0,IF(AND(CL81=0,CM81=0),CN81/1,IF(AND(CL81=0,CN81=0),CM81/1,IF(AND(CM81=0,CN81=0),CL81/1,IF(CL81=0,FLOOR((CM81+CN81)/2,0.1),IF(CM81=0,(CL81+CN81)/2,IF(CN81=0,(CM81+CL81)/2,FLOOR(((CL81+CM81+CN81)/3),0.1))))))))</f>
        <v/>
      </c>
      <c r="CP81" s="21" t="n"/>
      <c r="CQ81" s="21" t="n"/>
      <c r="CR81" s="27">
        <f>SUM(CP81:CQ81)</f>
        <v/>
      </c>
      <c r="CS81" s="28" t="n"/>
      <c r="CT81" s="31" t="n"/>
      <c r="CU81" s="29">
        <f>IF(AND(CR81=0,CS81=0,CT81=0),0,IF(AND(CR81=0,CS81=0),CT81/1,IF(AND(CR81=0,CT81=0),CS81/1,IF(AND(CS81=0,CT81=0),CR81/1,IF(CR81=0,FLOOR((CS81+CT81)/2,0.1),IF(CS81=0,(CR81+CT81)/2,IF(CT81=0,(CS81+CR81)/2,FLOOR(((CR81+CS81+CT81)/3),0.1))))))))</f>
        <v/>
      </c>
      <c r="CV81" s="21" t="n"/>
      <c r="CW81" s="21" t="n"/>
      <c r="CX81" s="27">
        <f>SUM(CV81:CW81)</f>
        <v/>
      </c>
      <c r="CY81" s="28" t="n"/>
      <c r="CZ81" s="31" t="n"/>
      <c r="DA81" s="29">
        <f>IF(AND(CX81=0,CY81=0,CZ81=0),0,IF(AND(CX81=0,CY81=0),CZ81/1,IF(AND(CX81=0,CZ81=0),CY81/1,IF(AND(CY81=0,CZ81=0),CX81/1,IF(CX81=0,FLOOR((CY81+CZ81)/2,0.1),IF(CY81=0,(CX81+CZ81)/2,IF(CZ81=0,(CY81+CX81)/2,FLOOR(((CX81+CY81+CZ81)/3),0.1))))))))</f>
        <v/>
      </c>
      <c r="DB81" s="21" t="n"/>
      <c r="DC81" s="21" t="n"/>
      <c r="DD81" s="27">
        <f>SUM(DB81:DC81)</f>
        <v/>
      </c>
      <c r="DE81" s="28" t="n"/>
      <c r="DF81" s="31" t="n"/>
      <c r="DG81" s="29">
        <f>IF(AND(DD81=0,DE81=0,DF81=0),0,IF(AND(DD81=0,DE81=0),DF81/1,IF(AND(DD81=0,DF81=0),DE81/1,IF(AND(DE81=0,DF81=0),DD81/1,IF(DD81=0,FLOOR((DE81+DF81)/2,0.1),IF(DE81=0,(DD81+DF81)/2,IF(DF81=0,(DE81+DD81)/2,FLOOR(((DD81+DE81+DF81)/3),0.1))))))))</f>
        <v/>
      </c>
      <c r="DH81" s="34">
        <f>SUM(O81,U81,AA81,AG81,AM81,AS81,AY81,BE81,BK81,BQ81,BW81,CC81,CI81,CO81,CU81,DA81,DG81)</f>
        <v/>
      </c>
      <c r="DI81" s="39">
        <f>RANK(DH81,DH$4:DH$503)</f>
        <v/>
      </c>
      <c r="DJ81" s="40" t="inlineStr">
        <is>
          <t>CHOOSE RATING</t>
        </is>
      </c>
      <c r="DK81" s="40" t="inlineStr">
        <is>
          <t>CHOOSE RATING</t>
        </is>
      </c>
      <c r="DL81" s="40" t="inlineStr">
        <is>
          <t>CHOOSE RATING</t>
        </is>
      </c>
      <c r="DM81" s="40" t="inlineStr">
        <is>
          <t>CHOOSE RATING</t>
        </is>
      </c>
      <c r="DN81" s="40" t="inlineStr">
        <is>
          <t>CHOOSE RATING</t>
        </is>
      </c>
      <c r="DO81" s="40" t="inlineStr">
        <is>
          <t>CHOOSE RATING</t>
        </is>
      </c>
      <c r="DP81" s="40" t="inlineStr">
        <is>
          <t>CHOOSE RATING</t>
        </is>
      </c>
      <c r="DQ81" s="40" t="inlineStr">
        <is>
          <t>CHOOSE RATING</t>
        </is>
      </c>
      <c r="DR81" s="43" t="inlineStr">
        <is>
          <t>2024/2025</t>
        </is>
      </c>
      <c r="DS81" s="45" t="inlineStr">
        <is>
          <t>THIRD</t>
        </is>
      </c>
      <c r="DT81" s="40" t="inlineStr">
        <is>
          <t>CHOOSE RATING</t>
        </is>
      </c>
      <c r="DU81" s="40" t="inlineStr">
        <is>
          <t>CHOOSE RATING</t>
        </is>
      </c>
      <c r="DV81" s="40" t="inlineStr">
        <is>
          <t>CHOOSE RATING</t>
        </is>
      </c>
      <c r="DW81" s="40" t="inlineStr">
        <is>
          <t>CHOOSE RATING</t>
        </is>
      </c>
      <c r="DX81" s="40" t="inlineStr">
        <is>
          <t>CHOOSE RATING</t>
        </is>
      </c>
      <c r="DY81" s="40" t="inlineStr">
        <is>
          <t>CHOOSE RATING</t>
        </is>
      </c>
      <c r="DZ81" s="53" t="inlineStr">
        <is>
          <t>CHOOSE RATING</t>
        </is>
      </c>
      <c r="EA81" s="54" t="inlineStr">
        <is>
          <t>Add the Tutor's Comment . . .</t>
        </is>
      </c>
      <c r="EB81" s="55" t="inlineStr">
        <is>
          <t>Choose Principals comment</t>
        </is>
      </c>
      <c r="EC81" s="56" t="n"/>
      <c r="ED81" s="57" t="inlineStr">
        <is>
          <t>Next Term Begins on Monday, 22nd September, 2025</t>
        </is>
      </c>
    </row>
    <row r="82" ht="30.6" customHeight="1" s="6">
      <c r="A82" s="18" t="n">
        <v>79</v>
      </c>
      <c r="B82" s="19" t="n"/>
      <c r="C82" s="20" t="n"/>
      <c r="D82" s="128" t="n"/>
      <c r="E82" s="21" t="n"/>
      <c r="F82" s="22" t="n"/>
      <c r="G82" s="22" t="n"/>
      <c r="H82" s="22" t="n"/>
      <c r="I82" s="26">
        <f>G82-H82</f>
        <v/>
      </c>
      <c r="J82" s="21" t="n"/>
      <c r="K82" s="21" t="n"/>
      <c r="L82" s="27">
        <f>SUM(J82:K82)</f>
        <v/>
      </c>
      <c r="M82" s="28" t="n"/>
      <c r="N82" s="28" t="n"/>
      <c r="O82" s="29">
        <f>IF(AND(L82=0,M82=0,N82=0),0,IF(AND(L82=0,M82=0),N82/1,IF(AND(L82=0,N82=0),M82/1,IF(AND(M82=0,N82=0),L82/1,IF(L82=0,FLOOR((M82+N82)/2,0.1),IF(M82=0,(L82+N82)/2,IF(N82=0,(M82+L82)/2,FLOOR(((L82+M82+N82)/3),0.1))))))))</f>
        <v/>
      </c>
      <c r="P82" s="21" t="n"/>
      <c r="Q82" s="21" t="n"/>
      <c r="R82" s="27">
        <f>SUM(P82:Q82)</f>
        <v/>
      </c>
      <c r="S82" s="28" t="n"/>
      <c r="T82" s="28" t="n"/>
      <c r="U82" s="29">
        <f>IF(AND(R82=0,S82=0,T82=0),0,IF(AND(R82=0,S82=0),T82/1,IF(AND(R82=0,T82=0),S82/1,IF(AND(S82=0,T82=0),R82/1,IF(R82=0,FLOOR((S82+T82)/2,0.1),IF(S82=0,(R82+T82)/2,IF(T82=0,(S82+R82)/2,FLOOR(((R82+S82+T82)/3),0.1))))))))</f>
        <v/>
      </c>
      <c r="V82" s="21" t="n"/>
      <c r="W82" s="21" t="n"/>
      <c r="X82" s="27">
        <f>SUM(V82:W82)</f>
        <v/>
      </c>
      <c r="Y82" s="28" t="n"/>
      <c r="Z82" s="28" t="n"/>
      <c r="AA82" s="29">
        <f>IF(AND(X82=0,Y82=0,Z82=0),0,IF(AND(X82=0,Y82=0),Z82/1,IF(AND(X82=0,Z82=0),Y82/1,IF(AND(Y82=0,Z82=0),X82/1,IF(X82=0,FLOOR((Y82+Z82)/2,0.1),IF(Y82=0,(X82+Z82)/2,IF(Z82=0,(Y82+X82)/2,FLOOR(((X82+Y82+Z82)/3),0.1))))))))</f>
        <v/>
      </c>
      <c r="AB82" s="21" t="n"/>
      <c r="AC82" s="21" t="n"/>
      <c r="AD82" s="27">
        <f>SUM(AB82:AC82)</f>
        <v/>
      </c>
      <c r="AE82" s="28" t="n"/>
      <c r="AF82" s="28" t="n"/>
      <c r="AG82" s="29">
        <f>IF(AND(AD82=0,AE82=0,AF82=0),0,IF(AND(AD82=0,AE82=0),AF82/1,IF(AND(AD82=0,AF82=0),AE82/1,IF(AND(AE82=0,AF82=0),AD82/1,IF(AD82=0,FLOOR((AE82+AF82)/2,0.1),IF(AE82=0,(AD82+AF82)/2,IF(AF82=0,(AE82+AD82)/2,FLOOR(((AD82+AE82+AF82)/3),0.1))))))))</f>
        <v/>
      </c>
      <c r="AH82" s="21" t="n"/>
      <c r="AI82" s="21" t="n"/>
      <c r="AJ82" s="27">
        <f>SUM(AH82:AI82)</f>
        <v/>
      </c>
      <c r="AK82" s="28" t="n"/>
      <c r="AL82" s="28" t="n"/>
      <c r="AM82" s="29">
        <f>IF(AND(AJ82=0,AK82=0,AL82=0),0,IF(AND(AJ82=0,AK82=0),AL82/1,IF(AND(AJ82=0,AL82=0),AK82/1,IF(AND(AK82=0,AL82=0),AJ82/1,IF(AJ82=0,FLOOR((AK82+AL82)/2,0.1),IF(AK82=0,(AJ82+AL82)/2,IF(AL82=0,(AK82+AJ82)/2,FLOOR(((AJ82+AK82+AL82)/3),0.1))))))))</f>
        <v/>
      </c>
      <c r="AN82" s="21" t="n"/>
      <c r="AO82" s="21" t="n"/>
      <c r="AP82" s="27">
        <f>SUM(AN82:AO82)</f>
        <v/>
      </c>
      <c r="AQ82" s="28" t="n"/>
      <c r="AR82" s="30" t="n"/>
      <c r="AS82" s="29">
        <f>IF(AND(AP82=0,AQ82=0,AR82=0),0,IF(AND(AP82=0,AQ82=0),AR82/1,IF(AND(AP82=0,AR82=0),AQ82/1,IF(AND(AQ82=0,AR82=0),AP82/1,IF(AP82=0,FLOOR((AQ82+AR82)/2,0.1),IF(AQ82=0,(AP82+AR82)/2,IF(AR82=0,(AQ82+AP82)/2,FLOOR(((AP82+AQ82+AR82)/3),0.1))))))))</f>
        <v/>
      </c>
      <c r="AT82" s="21" t="n"/>
      <c r="AU82" s="21" t="n"/>
      <c r="AV82" s="27">
        <f>SUM(AT82:AU82)</f>
        <v/>
      </c>
      <c r="AW82" s="28" t="n"/>
      <c r="AX82" s="30" t="n"/>
      <c r="AY82" s="29">
        <f>IF(AND(AV82=0,AW82=0,AX82=0),0,IF(AND(AV82=0,AW82=0),AX82/1,IF(AND(AV82=0,AX82=0),AW82/1,IF(AND(AW82=0,AX82=0),AV82/1,IF(AV82=0,FLOOR((AW82+AX82)/2,0.1),IF(AW82=0,(AV82+AX82)/2,IF(AX82=0,(AW82+AV82)/2,FLOOR(((AV82+AW82+AX82)/3),0.1))))))))</f>
        <v/>
      </c>
      <c r="AZ82" s="21" t="n"/>
      <c r="BA82" s="21" t="n"/>
      <c r="BB82" s="27">
        <f>SUM(AZ82:BA82)</f>
        <v/>
      </c>
      <c r="BC82" s="28" t="n"/>
      <c r="BD82" s="28" t="n"/>
      <c r="BE82" s="29">
        <f>IF(AND(BB82=0,BC82=0,BD82=0),0,IF(AND(BB82=0,BC82=0),BD82/1,IF(AND(BB82=0,BD82=0),BC82/1,IF(AND(BC82=0,BD82=0),BB82/1,IF(BB82=0,FLOOR((BC82+BD82)/2,0.1),IF(BC82=0,(BB82+BD82)/2,IF(BD82=0,(BC82+BB82)/2,FLOOR(((BB82+BC82+BD82)/3),0.1))))))))</f>
        <v/>
      </c>
      <c r="BF82" s="21" t="n"/>
      <c r="BG82" s="21" t="n"/>
      <c r="BH82" s="27">
        <f>SUM(BF82:BG82)</f>
        <v/>
      </c>
      <c r="BI82" s="28" t="n"/>
      <c r="BJ82" s="28" t="n"/>
      <c r="BK82" s="29">
        <f>IF(AND(BH82=0,BI82=0,BJ82=0),0,IF(AND(BH82=0,BI82=0),BJ82/1,IF(AND(BH82=0,BJ82=0),BI82/1,IF(AND(BI82=0,BJ82=0),BH82/1,IF(BH82=0,FLOOR((BI82+BJ82)/2,0.1),IF(BI82=0,(BH82+BJ82)/2,IF(BJ82=0,(BI82+BH82)/2,FLOOR(((BH82+BI82+BJ82)/3),0.1))))))))</f>
        <v/>
      </c>
      <c r="BL82" s="21" t="n"/>
      <c r="BM82" s="21" t="n"/>
      <c r="BN82" s="27">
        <f>SUM(BL82:BM82)</f>
        <v/>
      </c>
      <c r="BO82" s="28" t="n"/>
      <c r="BP82" s="31" t="n"/>
      <c r="BQ82" s="29">
        <f>IF(AND(BN82=0,BO82=0,BP82=0),0,IF(AND(BN82=0,BO82=0),BP82/1,IF(AND(BN82=0,BP82=0),BO82/1,IF(AND(BO82=0,BP82=0),BN82/1,IF(BN82=0,FLOOR((BO82+BP82)/2,0.1),IF(BO82=0,(BN82+BP82)/2,IF(BP82=0,(BO82+BN82)/2,FLOOR(((BN82+BO82+BP82)/3),0.1))))))))</f>
        <v/>
      </c>
      <c r="BR82" s="21" t="n"/>
      <c r="BS82" s="21" t="n"/>
      <c r="BT82" s="27">
        <f>SUM(BR82:BS82)</f>
        <v/>
      </c>
      <c r="BU82" s="28" t="n"/>
      <c r="BV82" s="31" t="n"/>
      <c r="BW82" s="29">
        <f>IF(AND(BT82=0,BU82=0,BV82=0),0,IF(AND(BT82=0,BU82=0),BV82/1,IF(AND(BT82=0,BV82=0),BU82/1,IF(AND(BU82=0,BV82=0),BT82/1,IF(BT82=0,FLOOR((BU82+BV82)/2,0.1),IF(BU82=0,(BT82+BV82)/2,IF(BV82=0,(BU82+BT82)/2,FLOOR(((BT82+BU82+BV82)/3),0.1))))))))</f>
        <v/>
      </c>
      <c r="BX82" s="21" t="n"/>
      <c r="BY82" s="21" t="n"/>
      <c r="BZ82" s="27">
        <f>SUM(BX82:BY82)</f>
        <v/>
      </c>
      <c r="CA82" s="28" t="n"/>
      <c r="CB82" s="31" t="n"/>
      <c r="CC82" s="29">
        <f>IF(AND(BZ82=0,CA82=0,CB82=0),0,IF(AND(BZ82=0,CA82=0),CB82/1,IF(AND(BZ82=0,CB82=0),CA82/1,IF(AND(CA82=0,CB82=0),BZ82/1,IF(BZ82=0,FLOOR((CA82+CB82)/2,0.1),IF(CA82=0,(BZ82+CB82)/2,IF(CB82=0,(CA82+BZ82)/2,FLOOR(((BZ82+CA82+CB82)/3),0.1))))))))</f>
        <v/>
      </c>
      <c r="CD82" s="21" t="n"/>
      <c r="CE82" s="21" t="n"/>
      <c r="CF82" s="27">
        <f>SUM(CD82:CE82)</f>
        <v/>
      </c>
      <c r="CG82" s="28" t="n"/>
      <c r="CH82" s="31" t="n"/>
      <c r="CI82" s="29">
        <f>IF(AND(CF82=0,CG82=0,CH82=0),0,IF(AND(CF82=0,CG82=0),CH82/1,IF(AND(CF82=0,CH82=0),CG82/1,IF(AND(CG82=0,CH82=0),CF82/1,IF(CF82=0,FLOOR((CG82+CH82)/2,0.1),IF(CG82=0,(CF82+CH82)/2,IF(CH82=0,(CG82+CF82)/2,FLOOR(((CF82+CG82+CH82)/3),0.1))))))))</f>
        <v/>
      </c>
      <c r="CJ82" s="21" t="n"/>
      <c r="CK82" s="21" t="n"/>
      <c r="CL82" s="27">
        <f>SUM(CJ82:CK82)</f>
        <v/>
      </c>
      <c r="CM82" s="28" t="n"/>
      <c r="CN82" s="31" t="n"/>
      <c r="CO82" s="29">
        <f>IF(AND(CL82=0,CM82=0,CN82=0),0,IF(AND(CL82=0,CM82=0),CN82/1,IF(AND(CL82=0,CN82=0),CM82/1,IF(AND(CM82=0,CN82=0),CL82/1,IF(CL82=0,FLOOR((CM82+CN82)/2,0.1),IF(CM82=0,(CL82+CN82)/2,IF(CN82=0,(CM82+CL82)/2,FLOOR(((CL82+CM82+CN82)/3),0.1))))))))</f>
        <v/>
      </c>
      <c r="CP82" s="21" t="n"/>
      <c r="CQ82" s="21" t="n"/>
      <c r="CR82" s="27">
        <f>SUM(CP82:CQ82)</f>
        <v/>
      </c>
      <c r="CS82" s="28" t="n"/>
      <c r="CT82" s="31" t="n"/>
      <c r="CU82" s="29">
        <f>IF(AND(CR82=0,CS82=0,CT82=0),0,IF(AND(CR82=0,CS82=0),CT82/1,IF(AND(CR82=0,CT82=0),CS82/1,IF(AND(CS82=0,CT82=0),CR82/1,IF(CR82=0,FLOOR((CS82+CT82)/2,0.1),IF(CS82=0,(CR82+CT82)/2,IF(CT82=0,(CS82+CR82)/2,FLOOR(((CR82+CS82+CT82)/3),0.1))))))))</f>
        <v/>
      </c>
      <c r="CV82" s="21" t="n"/>
      <c r="CW82" s="21" t="n"/>
      <c r="CX82" s="27">
        <f>SUM(CV82:CW82)</f>
        <v/>
      </c>
      <c r="CY82" s="28" t="n"/>
      <c r="CZ82" s="31" t="n"/>
      <c r="DA82" s="29">
        <f>IF(AND(CX82=0,CY82=0,CZ82=0),0,IF(AND(CX82=0,CY82=0),CZ82/1,IF(AND(CX82=0,CZ82=0),CY82/1,IF(AND(CY82=0,CZ82=0),CX82/1,IF(CX82=0,FLOOR((CY82+CZ82)/2,0.1),IF(CY82=0,(CX82+CZ82)/2,IF(CZ82=0,(CY82+CX82)/2,FLOOR(((CX82+CY82+CZ82)/3),0.1))))))))</f>
        <v/>
      </c>
      <c r="DB82" s="21" t="n"/>
      <c r="DC82" s="21" t="n"/>
      <c r="DD82" s="27">
        <f>SUM(DB82:DC82)</f>
        <v/>
      </c>
      <c r="DE82" s="28" t="n"/>
      <c r="DF82" s="31" t="n"/>
      <c r="DG82" s="29">
        <f>IF(AND(DD82=0,DE82=0,DF82=0),0,IF(AND(DD82=0,DE82=0),DF82/1,IF(AND(DD82=0,DF82=0),DE82/1,IF(AND(DE82=0,DF82=0),DD82/1,IF(DD82=0,FLOOR((DE82+DF82)/2,0.1),IF(DE82=0,(DD82+DF82)/2,IF(DF82=0,(DE82+DD82)/2,FLOOR(((DD82+DE82+DF82)/3),0.1))))))))</f>
        <v/>
      </c>
      <c r="DH82" s="34">
        <f>SUM(O82,U82,AA82,AG82,AM82,AS82,AY82,BE82,BK82,BQ82,BW82,CC82,CI82,CO82,CU82,DA82,DG82)</f>
        <v/>
      </c>
      <c r="DI82" s="39">
        <f>RANK(DH82,DH$4:DH$503)</f>
        <v/>
      </c>
      <c r="DJ82" s="40" t="inlineStr">
        <is>
          <t>CHOOSE RATING</t>
        </is>
      </c>
      <c r="DK82" s="40" t="inlineStr">
        <is>
          <t>CHOOSE RATING</t>
        </is>
      </c>
      <c r="DL82" s="40" t="inlineStr">
        <is>
          <t>CHOOSE RATING</t>
        </is>
      </c>
      <c r="DM82" s="40" t="inlineStr">
        <is>
          <t>CHOOSE RATING</t>
        </is>
      </c>
      <c r="DN82" s="40" t="inlineStr">
        <is>
          <t>CHOOSE RATING</t>
        </is>
      </c>
      <c r="DO82" s="40" t="inlineStr">
        <is>
          <t>CHOOSE RATING</t>
        </is>
      </c>
      <c r="DP82" s="40" t="inlineStr">
        <is>
          <t>CHOOSE RATING</t>
        </is>
      </c>
      <c r="DQ82" s="40" t="inlineStr">
        <is>
          <t>CHOOSE RATING</t>
        </is>
      </c>
      <c r="DR82" s="43" t="inlineStr">
        <is>
          <t>2024/2025</t>
        </is>
      </c>
      <c r="DS82" s="45" t="inlineStr">
        <is>
          <t>THIRD</t>
        </is>
      </c>
      <c r="DT82" s="40" t="inlineStr">
        <is>
          <t>CHOOSE RATING</t>
        </is>
      </c>
      <c r="DU82" s="40" t="inlineStr">
        <is>
          <t>CHOOSE RATING</t>
        </is>
      </c>
      <c r="DV82" s="40" t="inlineStr">
        <is>
          <t>CHOOSE RATING</t>
        </is>
      </c>
      <c r="DW82" s="40" t="inlineStr">
        <is>
          <t>CHOOSE RATING</t>
        </is>
      </c>
      <c r="DX82" s="40" t="inlineStr">
        <is>
          <t>CHOOSE RATING</t>
        </is>
      </c>
      <c r="DY82" s="40" t="inlineStr">
        <is>
          <t>CHOOSE RATING</t>
        </is>
      </c>
      <c r="DZ82" s="53" t="inlineStr">
        <is>
          <t>CHOOSE RATING</t>
        </is>
      </c>
      <c r="EA82" s="54" t="inlineStr">
        <is>
          <t>Add the Tutor's Comment . . .</t>
        </is>
      </c>
      <c r="EB82" s="55" t="inlineStr">
        <is>
          <t>Choose Principals comment</t>
        </is>
      </c>
      <c r="EC82" s="56" t="n"/>
      <c r="ED82" s="57" t="inlineStr">
        <is>
          <t>Next Term Begins on Monday, 22nd September, 2025</t>
        </is>
      </c>
    </row>
    <row r="83" ht="30.6" customHeight="1" s="6">
      <c r="A83" s="18" t="n">
        <v>80</v>
      </c>
      <c r="B83" s="19" t="n"/>
      <c r="C83" s="20" t="n"/>
      <c r="D83" s="128" t="n"/>
      <c r="E83" s="21" t="n"/>
      <c r="F83" s="22" t="n"/>
      <c r="G83" s="22" t="n"/>
      <c r="H83" s="22" t="n"/>
      <c r="I83" s="26">
        <f>G83-H83</f>
        <v/>
      </c>
      <c r="J83" s="21" t="n"/>
      <c r="K83" s="21" t="n"/>
      <c r="L83" s="27">
        <f>SUM(J83:K83)</f>
        <v/>
      </c>
      <c r="M83" s="28" t="n"/>
      <c r="N83" s="28" t="n"/>
      <c r="O83" s="29">
        <f>IF(AND(L83=0,M83=0,N83=0),0,IF(AND(L83=0,M83=0),N83/1,IF(AND(L83=0,N83=0),M83/1,IF(AND(M83=0,N83=0),L83/1,IF(L83=0,FLOOR((M83+N83)/2,0.1),IF(M83=0,(L83+N83)/2,IF(N83=0,(M83+L83)/2,FLOOR(((L83+M83+N83)/3),0.1))))))))</f>
        <v/>
      </c>
      <c r="P83" s="21" t="n"/>
      <c r="Q83" s="21" t="n"/>
      <c r="R83" s="27">
        <f>SUM(P83:Q83)</f>
        <v/>
      </c>
      <c r="S83" s="28" t="n"/>
      <c r="T83" s="28" t="n"/>
      <c r="U83" s="29">
        <f>IF(AND(R83=0,S83=0,T83=0),0,IF(AND(R83=0,S83=0),T83/1,IF(AND(R83=0,T83=0),S83/1,IF(AND(S83=0,T83=0),R83/1,IF(R83=0,FLOOR((S83+T83)/2,0.1),IF(S83=0,(R83+T83)/2,IF(T83=0,(S83+R83)/2,FLOOR(((R83+S83+T83)/3),0.1))))))))</f>
        <v/>
      </c>
      <c r="V83" s="21" t="n"/>
      <c r="W83" s="21" t="n"/>
      <c r="X83" s="27">
        <f>SUM(V83:W83)</f>
        <v/>
      </c>
      <c r="Y83" s="28" t="n"/>
      <c r="Z83" s="28" t="n"/>
      <c r="AA83" s="29">
        <f>IF(AND(X83=0,Y83=0,Z83=0),0,IF(AND(X83=0,Y83=0),Z83/1,IF(AND(X83=0,Z83=0),Y83/1,IF(AND(Y83=0,Z83=0),X83/1,IF(X83=0,FLOOR((Y83+Z83)/2,0.1),IF(Y83=0,(X83+Z83)/2,IF(Z83=0,(Y83+X83)/2,FLOOR(((X83+Y83+Z83)/3),0.1))))))))</f>
        <v/>
      </c>
      <c r="AB83" s="21" t="n"/>
      <c r="AC83" s="21" t="n"/>
      <c r="AD83" s="27">
        <f>SUM(AB83:AC83)</f>
        <v/>
      </c>
      <c r="AE83" s="28" t="n"/>
      <c r="AF83" s="28" t="n"/>
      <c r="AG83" s="29">
        <f>IF(AND(AD83=0,AE83=0,AF83=0),0,IF(AND(AD83=0,AE83=0),AF83/1,IF(AND(AD83=0,AF83=0),AE83/1,IF(AND(AE83=0,AF83=0),AD83/1,IF(AD83=0,FLOOR((AE83+AF83)/2,0.1),IF(AE83=0,(AD83+AF83)/2,IF(AF83=0,(AE83+AD83)/2,FLOOR(((AD83+AE83+AF83)/3),0.1))))))))</f>
        <v/>
      </c>
      <c r="AH83" s="21" t="n"/>
      <c r="AI83" s="21" t="n"/>
      <c r="AJ83" s="27">
        <f>SUM(AH83:AI83)</f>
        <v/>
      </c>
      <c r="AK83" s="28" t="n"/>
      <c r="AL83" s="28" t="n"/>
      <c r="AM83" s="29">
        <f>IF(AND(AJ83=0,AK83=0,AL83=0),0,IF(AND(AJ83=0,AK83=0),AL83/1,IF(AND(AJ83=0,AL83=0),AK83/1,IF(AND(AK83=0,AL83=0),AJ83/1,IF(AJ83=0,FLOOR((AK83+AL83)/2,0.1),IF(AK83=0,(AJ83+AL83)/2,IF(AL83=0,(AK83+AJ83)/2,FLOOR(((AJ83+AK83+AL83)/3),0.1))))))))</f>
        <v/>
      </c>
      <c r="AN83" s="21" t="n"/>
      <c r="AO83" s="21" t="n"/>
      <c r="AP83" s="27">
        <f>SUM(AN83:AO83)</f>
        <v/>
      </c>
      <c r="AQ83" s="28" t="n"/>
      <c r="AR83" s="30" t="n"/>
      <c r="AS83" s="29">
        <f>IF(AND(AP83=0,AQ83=0,AR83=0),0,IF(AND(AP83=0,AQ83=0),AR83/1,IF(AND(AP83=0,AR83=0),AQ83/1,IF(AND(AQ83=0,AR83=0),AP83/1,IF(AP83=0,FLOOR((AQ83+AR83)/2,0.1),IF(AQ83=0,(AP83+AR83)/2,IF(AR83=0,(AQ83+AP83)/2,FLOOR(((AP83+AQ83+AR83)/3),0.1))))))))</f>
        <v/>
      </c>
      <c r="AT83" s="21" t="n"/>
      <c r="AU83" s="21" t="n"/>
      <c r="AV83" s="27">
        <f>SUM(AT83:AU83)</f>
        <v/>
      </c>
      <c r="AW83" s="28" t="n"/>
      <c r="AX83" s="30" t="n"/>
      <c r="AY83" s="29">
        <f>IF(AND(AV83=0,AW83=0,AX83=0),0,IF(AND(AV83=0,AW83=0),AX83/1,IF(AND(AV83=0,AX83=0),AW83/1,IF(AND(AW83=0,AX83=0),AV83/1,IF(AV83=0,FLOOR((AW83+AX83)/2,0.1),IF(AW83=0,(AV83+AX83)/2,IF(AX83=0,(AW83+AV83)/2,FLOOR(((AV83+AW83+AX83)/3),0.1))))))))</f>
        <v/>
      </c>
      <c r="AZ83" s="21" t="n"/>
      <c r="BA83" s="21" t="n"/>
      <c r="BB83" s="27">
        <f>SUM(AZ83:BA83)</f>
        <v/>
      </c>
      <c r="BC83" s="28" t="n"/>
      <c r="BD83" s="28" t="n"/>
      <c r="BE83" s="29">
        <f>IF(AND(BB83=0,BC83=0,BD83=0),0,IF(AND(BB83=0,BC83=0),BD83/1,IF(AND(BB83=0,BD83=0),BC83/1,IF(AND(BC83=0,BD83=0),BB83/1,IF(BB83=0,FLOOR((BC83+BD83)/2,0.1),IF(BC83=0,(BB83+BD83)/2,IF(BD83=0,(BC83+BB83)/2,FLOOR(((BB83+BC83+BD83)/3),0.1))))))))</f>
        <v/>
      </c>
      <c r="BF83" s="21" t="n"/>
      <c r="BG83" s="21" t="n"/>
      <c r="BH83" s="27">
        <f>SUM(BF83:BG83)</f>
        <v/>
      </c>
      <c r="BI83" s="28" t="n"/>
      <c r="BJ83" s="28" t="n"/>
      <c r="BK83" s="29">
        <f>IF(AND(BH83=0,BI83=0,BJ83=0),0,IF(AND(BH83=0,BI83=0),BJ83/1,IF(AND(BH83=0,BJ83=0),BI83/1,IF(AND(BI83=0,BJ83=0),BH83/1,IF(BH83=0,FLOOR((BI83+BJ83)/2,0.1),IF(BI83=0,(BH83+BJ83)/2,IF(BJ83=0,(BI83+BH83)/2,FLOOR(((BH83+BI83+BJ83)/3),0.1))))))))</f>
        <v/>
      </c>
      <c r="BL83" s="21" t="n"/>
      <c r="BM83" s="21" t="n"/>
      <c r="BN83" s="27">
        <f>SUM(BL83:BM83)</f>
        <v/>
      </c>
      <c r="BO83" s="28" t="n"/>
      <c r="BP83" s="31" t="n"/>
      <c r="BQ83" s="29">
        <f>IF(AND(BN83=0,BO83=0,BP83=0),0,IF(AND(BN83=0,BO83=0),BP83/1,IF(AND(BN83=0,BP83=0),BO83/1,IF(AND(BO83=0,BP83=0),BN83/1,IF(BN83=0,FLOOR((BO83+BP83)/2,0.1),IF(BO83=0,(BN83+BP83)/2,IF(BP83=0,(BO83+BN83)/2,FLOOR(((BN83+BO83+BP83)/3),0.1))))))))</f>
        <v/>
      </c>
      <c r="BR83" s="21" t="n"/>
      <c r="BS83" s="21" t="n"/>
      <c r="BT83" s="27">
        <f>SUM(BR83:BS83)</f>
        <v/>
      </c>
      <c r="BU83" s="28" t="n"/>
      <c r="BV83" s="31" t="n"/>
      <c r="BW83" s="29">
        <f>IF(AND(BT83=0,BU83=0,BV83=0),0,IF(AND(BT83=0,BU83=0),BV83/1,IF(AND(BT83=0,BV83=0),BU83/1,IF(AND(BU83=0,BV83=0),BT83/1,IF(BT83=0,FLOOR((BU83+BV83)/2,0.1),IF(BU83=0,(BT83+BV83)/2,IF(BV83=0,(BU83+BT83)/2,FLOOR(((BT83+BU83+BV83)/3),0.1))))))))</f>
        <v/>
      </c>
      <c r="BX83" s="21" t="n"/>
      <c r="BY83" s="21" t="n"/>
      <c r="BZ83" s="27">
        <f>SUM(BX83:BY83)</f>
        <v/>
      </c>
      <c r="CA83" s="28" t="n"/>
      <c r="CB83" s="31" t="n"/>
      <c r="CC83" s="29">
        <f>IF(AND(BZ83=0,CA83=0,CB83=0),0,IF(AND(BZ83=0,CA83=0),CB83/1,IF(AND(BZ83=0,CB83=0),CA83/1,IF(AND(CA83=0,CB83=0),BZ83/1,IF(BZ83=0,FLOOR((CA83+CB83)/2,0.1),IF(CA83=0,(BZ83+CB83)/2,IF(CB83=0,(CA83+BZ83)/2,FLOOR(((BZ83+CA83+CB83)/3),0.1))))))))</f>
        <v/>
      </c>
      <c r="CD83" s="21" t="n"/>
      <c r="CE83" s="21" t="n"/>
      <c r="CF83" s="27">
        <f>SUM(CD83:CE83)</f>
        <v/>
      </c>
      <c r="CG83" s="28" t="n"/>
      <c r="CH83" s="31" t="n"/>
      <c r="CI83" s="29">
        <f>IF(AND(CF83=0,CG83=0,CH83=0),0,IF(AND(CF83=0,CG83=0),CH83/1,IF(AND(CF83=0,CH83=0),CG83/1,IF(AND(CG83=0,CH83=0),CF83/1,IF(CF83=0,FLOOR((CG83+CH83)/2,0.1),IF(CG83=0,(CF83+CH83)/2,IF(CH83=0,(CG83+CF83)/2,FLOOR(((CF83+CG83+CH83)/3),0.1))))))))</f>
        <v/>
      </c>
      <c r="CJ83" s="21" t="n"/>
      <c r="CK83" s="21" t="n"/>
      <c r="CL83" s="27">
        <f>SUM(CJ83:CK83)</f>
        <v/>
      </c>
      <c r="CM83" s="28" t="n"/>
      <c r="CN83" s="31" t="n"/>
      <c r="CO83" s="29">
        <f>IF(AND(CL83=0,CM83=0,CN83=0),0,IF(AND(CL83=0,CM83=0),CN83/1,IF(AND(CL83=0,CN83=0),CM83/1,IF(AND(CM83=0,CN83=0),CL83/1,IF(CL83=0,FLOOR((CM83+CN83)/2,0.1),IF(CM83=0,(CL83+CN83)/2,IF(CN83=0,(CM83+CL83)/2,FLOOR(((CL83+CM83+CN83)/3),0.1))))))))</f>
        <v/>
      </c>
      <c r="CP83" s="21" t="n"/>
      <c r="CQ83" s="21" t="n"/>
      <c r="CR83" s="27">
        <f>SUM(CP83:CQ83)</f>
        <v/>
      </c>
      <c r="CS83" s="28" t="n"/>
      <c r="CT83" s="31" t="n"/>
      <c r="CU83" s="29">
        <f>IF(AND(CR83=0,CS83=0,CT83=0),0,IF(AND(CR83=0,CS83=0),CT83/1,IF(AND(CR83=0,CT83=0),CS83/1,IF(AND(CS83=0,CT83=0),CR83/1,IF(CR83=0,FLOOR((CS83+CT83)/2,0.1),IF(CS83=0,(CR83+CT83)/2,IF(CT83=0,(CS83+CR83)/2,FLOOR(((CR83+CS83+CT83)/3),0.1))))))))</f>
        <v/>
      </c>
      <c r="CV83" s="21" t="n"/>
      <c r="CW83" s="21" t="n"/>
      <c r="CX83" s="27">
        <f>SUM(CV83:CW83)</f>
        <v/>
      </c>
      <c r="CY83" s="28" t="n"/>
      <c r="CZ83" s="31" t="n"/>
      <c r="DA83" s="29">
        <f>IF(AND(CX83=0,CY83=0,CZ83=0),0,IF(AND(CX83=0,CY83=0),CZ83/1,IF(AND(CX83=0,CZ83=0),CY83/1,IF(AND(CY83=0,CZ83=0),CX83/1,IF(CX83=0,FLOOR((CY83+CZ83)/2,0.1),IF(CY83=0,(CX83+CZ83)/2,IF(CZ83=0,(CY83+CX83)/2,FLOOR(((CX83+CY83+CZ83)/3),0.1))))))))</f>
        <v/>
      </c>
      <c r="DB83" s="21" t="n"/>
      <c r="DC83" s="21" t="n"/>
      <c r="DD83" s="27">
        <f>SUM(DB83:DC83)</f>
        <v/>
      </c>
      <c r="DE83" s="28" t="n"/>
      <c r="DF83" s="31" t="n"/>
      <c r="DG83" s="29">
        <f>IF(AND(DD83=0,DE83=0,DF83=0),0,IF(AND(DD83=0,DE83=0),DF83/1,IF(AND(DD83=0,DF83=0),DE83/1,IF(AND(DE83=0,DF83=0),DD83/1,IF(DD83=0,FLOOR((DE83+DF83)/2,0.1),IF(DE83=0,(DD83+DF83)/2,IF(DF83=0,(DE83+DD83)/2,FLOOR(((DD83+DE83+DF83)/3),0.1))))))))</f>
        <v/>
      </c>
      <c r="DH83" s="34">
        <f>SUM(O83,U83,AA83,AG83,AM83,AS83,AY83,BE83,BK83,BQ83,BW83,CC83,CI83,CO83,CU83,DA83,DG83)</f>
        <v/>
      </c>
      <c r="DI83" s="39">
        <f>RANK(DH83,DH$4:DH$503)</f>
        <v/>
      </c>
      <c r="DJ83" s="40" t="inlineStr">
        <is>
          <t>CHOOSE RATING</t>
        </is>
      </c>
      <c r="DK83" s="40" t="inlineStr">
        <is>
          <t>CHOOSE RATING</t>
        </is>
      </c>
      <c r="DL83" s="40" t="inlineStr">
        <is>
          <t>CHOOSE RATING</t>
        </is>
      </c>
      <c r="DM83" s="40" t="inlineStr">
        <is>
          <t>CHOOSE RATING</t>
        </is>
      </c>
      <c r="DN83" s="40" t="inlineStr">
        <is>
          <t>CHOOSE RATING</t>
        </is>
      </c>
      <c r="DO83" s="40" t="inlineStr">
        <is>
          <t>CHOOSE RATING</t>
        </is>
      </c>
      <c r="DP83" s="40" t="inlineStr">
        <is>
          <t>CHOOSE RATING</t>
        </is>
      </c>
      <c r="DQ83" s="40" t="inlineStr">
        <is>
          <t>CHOOSE RATING</t>
        </is>
      </c>
      <c r="DR83" s="43" t="inlineStr">
        <is>
          <t>2024/2025</t>
        </is>
      </c>
      <c r="DS83" s="45" t="inlineStr">
        <is>
          <t>THIRD</t>
        </is>
      </c>
      <c r="DT83" s="40" t="inlineStr">
        <is>
          <t>CHOOSE RATING</t>
        </is>
      </c>
      <c r="DU83" s="40" t="inlineStr">
        <is>
          <t>CHOOSE RATING</t>
        </is>
      </c>
      <c r="DV83" s="40" t="inlineStr">
        <is>
          <t>CHOOSE RATING</t>
        </is>
      </c>
      <c r="DW83" s="40" t="inlineStr">
        <is>
          <t>CHOOSE RATING</t>
        </is>
      </c>
      <c r="DX83" s="40" t="inlineStr">
        <is>
          <t>CHOOSE RATING</t>
        </is>
      </c>
      <c r="DY83" s="40" t="inlineStr">
        <is>
          <t>CHOOSE RATING</t>
        </is>
      </c>
      <c r="DZ83" s="53" t="inlineStr">
        <is>
          <t>CHOOSE RATING</t>
        </is>
      </c>
      <c r="EA83" s="54" t="inlineStr">
        <is>
          <t>Add the Tutor's Comment . . .</t>
        </is>
      </c>
      <c r="EB83" s="55" t="inlineStr">
        <is>
          <t>Choose Principals comment</t>
        </is>
      </c>
      <c r="EC83" s="56" t="n"/>
      <c r="ED83" s="57" t="inlineStr">
        <is>
          <t>Next Term Begins on Monday, 22nd September, 2025</t>
        </is>
      </c>
    </row>
    <row r="84" ht="30.6" customHeight="1" s="6">
      <c r="A84" s="18" t="n">
        <v>81</v>
      </c>
      <c r="B84" s="19" t="n"/>
      <c r="C84" s="20" t="n"/>
      <c r="D84" s="128" t="n"/>
      <c r="E84" s="21" t="n"/>
      <c r="F84" s="22" t="n"/>
      <c r="G84" s="22" t="n"/>
      <c r="H84" s="22" t="n"/>
      <c r="I84" s="26">
        <f>G84-H84</f>
        <v/>
      </c>
      <c r="J84" s="21" t="n"/>
      <c r="K84" s="21" t="n"/>
      <c r="L84" s="27">
        <f>SUM(J84:K84)</f>
        <v/>
      </c>
      <c r="M84" s="28" t="n"/>
      <c r="N84" s="28" t="n"/>
      <c r="O84" s="29">
        <f>IF(AND(L84=0,M84=0,N84=0),0,IF(AND(L84=0,M84=0),N84/1,IF(AND(L84=0,N84=0),M84/1,IF(AND(M84=0,N84=0),L84/1,IF(L84=0,FLOOR((M84+N84)/2,0.1),IF(M84=0,(L84+N84)/2,IF(N84=0,(M84+L84)/2,FLOOR(((L84+M84+N84)/3),0.1))))))))</f>
        <v/>
      </c>
      <c r="P84" s="21" t="n"/>
      <c r="Q84" s="21" t="n"/>
      <c r="R84" s="27">
        <f>SUM(P84:Q84)</f>
        <v/>
      </c>
      <c r="S84" s="28" t="n"/>
      <c r="T84" s="28" t="n"/>
      <c r="U84" s="29">
        <f>IF(AND(R84=0,S84=0,T84=0),0,IF(AND(R84=0,S84=0),T84/1,IF(AND(R84=0,T84=0),S84/1,IF(AND(S84=0,T84=0),R84/1,IF(R84=0,FLOOR((S84+T84)/2,0.1),IF(S84=0,(R84+T84)/2,IF(T84=0,(S84+R84)/2,FLOOR(((R84+S84+T84)/3),0.1))))))))</f>
        <v/>
      </c>
      <c r="V84" s="21" t="n"/>
      <c r="W84" s="21" t="n"/>
      <c r="X84" s="27">
        <f>SUM(V84:W84)</f>
        <v/>
      </c>
      <c r="Y84" s="28" t="n"/>
      <c r="Z84" s="28" t="n"/>
      <c r="AA84" s="29">
        <f>IF(AND(X84=0,Y84=0,Z84=0),0,IF(AND(X84=0,Y84=0),Z84/1,IF(AND(X84=0,Z84=0),Y84/1,IF(AND(Y84=0,Z84=0),X84/1,IF(X84=0,FLOOR((Y84+Z84)/2,0.1),IF(Y84=0,(X84+Z84)/2,IF(Z84=0,(Y84+X84)/2,FLOOR(((X84+Y84+Z84)/3),0.1))))))))</f>
        <v/>
      </c>
      <c r="AB84" s="21" t="n"/>
      <c r="AC84" s="21" t="n"/>
      <c r="AD84" s="27">
        <f>SUM(AB84:AC84)</f>
        <v/>
      </c>
      <c r="AE84" s="28" t="n"/>
      <c r="AF84" s="28" t="n"/>
      <c r="AG84" s="29">
        <f>IF(AND(AD84=0,AE84=0,AF84=0),0,IF(AND(AD84=0,AE84=0),AF84/1,IF(AND(AD84=0,AF84=0),AE84/1,IF(AND(AE84=0,AF84=0),AD84/1,IF(AD84=0,FLOOR((AE84+AF84)/2,0.1),IF(AE84=0,(AD84+AF84)/2,IF(AF84=0,(AE84+AD84)/2,FLOOR(((AD84+AE84+AF84)/3),0.1))))))))</f>
        <v/>
      </c>
      <c r="AH84" s="21" t="n"/>
      <c r="AI84" s="21" t="n"/>
      <c r="AJ84" s="27">
        <f>SUM(AH84:AI84)</f>
        <v/>
      </c>
      <c r="AK84" s="28" t="n"/>
      <c r="AL84" s="28" t="n"/>
      <c r="AM84" s="29">
        <f>IF(AND(AJ84=0,AK84=0,AL84=0),0,IF(AND(AJ84=0,AK84=0),AL84/1,IF(AND(AJ84=0,AL84=0),AK84/1,IF(AND(AK84=0,AL84=0),AJ84/1,IF(AJ84=0,FLOOR((AK84+AL84)/2,0.1),IF(AK84=0,(AJ84+AL84)/2,IF(AL84=0,(AK84+AJ84)/2,FLOOR(((AJ84+AK84+AL84)/3),0.1))))))))</f>
        <v/>
      </c>
      <c r="AN84" s="21" t="n"/>
      <c r="AO84" s="21" t="n"/>
      <c r="AP84" s="27">
        <f>SUM(AN84:AO84)</f>
        <v/>
      </c>
      <c r="AQ84" s="28" t="n"/>
      <c r="AR84" s="30" t="n"/>
      <c r="AS84" s="29">
        <f>IF(AND(AP84=0,AQ84=0,AR84=0),0,IF(AND(AP84=0,AQ84=0),AR84/1,IF(AND(AP84=0,AR84=0),AQ84/1,IF(AND(AQ84=0,AR84=0),AP84/1,IF(AP84=0,FLOOR((AQ84+AR84)/2,0.1),IF(AQ84=0,(AP84+AR84)/2,IF(AR84=0,(AQ84+AP84)/2,FLOOR(((AP84+AQ84+AR84)/3),0.1))))))))</f>
        <v/>
      </c>
      <c r="AT84" s="21" t="n"/>
      <c r="AU84" s="21" t="n"/>
      <c r="AV84" s="27">
        <f>SUM(AT84:AU84)</f>
        <v/>
      </c>
      <c r="AW84" s="28" t="n"/>
      <c r="AX84" s="30" t="n"/>
      <c r="AY84" s="29">
        <f>IF(AND(AV84=0,AW84=0,AX84=0),0,IF(AND(AV84=0,AW84=0),AX84/1,IF(AND(AV84=0,AX84=0),AW84/1,IF(AND(AW84=0,AX84=0),AV84/1,IF(AV84=0,FLOOR((AW84+AX84)/2,0.1),IF(AW84=0,(AV84+AX84)/2,IF(AX84=0,(AW84+AV84)/2,FLOOR(((AV84+AW84+AX84)/3),0.1))))))))</f>
        <v/>
      </c>
      <c r="AZ84" s="21" t="n"/>
      <c r="BA84" s="21" t="n"/>
      <c r="BB84" s="27">
        <f>SUM(AZ84:BA84)</f>
        <v/>
      </c>
      <c r="BC84" s="28" t="n"/>
      <c r="BD84" s="28" t="n"/>
      <c r="BE84" s="29">
        <f>IF(AND(BB84=0,BC84=0,BD84=0),0,IF(AND(BB84=0,BC84=0),BD84/1,IF(AND(BB84=0,BD84=0),BC84/1,IF(AND(BC84=0,BD84=0),BB84/1,IF(BB84=0,FLOOR((BC84+BD84)/2,0.1),IF(BC84=0,(BB84+BD84)/2,IF(BD84=0,(BC84+BB84)/2,FLOOR(((BB84+BC84+BD84)/3),0.1))))))))</f>
        <v/>
      </c>
      <c r="BF84" s="21" t="n"/>
      <c r="BG84" s="21" t="n"/>
      <c r="BH84" s="27">
        <f>SUM(BF84:BG84)</f>
        <v/>
      </c>
      <c r="BI84" s="28" t="n"/>
      <c r="BJ84" s="28" t="n"/>
      <c r="BK84" s="29">
        <f>IF(AND(BH84=0,BI84=0,BJ84=0),0,IF(AND(BH84=0,BI84=0),BJ84/1,IF(AND(BH84=0,BJ84=0),BI84/1,IF(AND(BI84=0,BJ84=0),BH84/1,IF(BH84=0,FLOOR((BI84+BJ84)/2,0.1),IF(BI84=0,(BH84+BJ84)/2,IF(BJ84=0,(BI84+BH84)/2,FLOOR(((BH84+BI84+BJ84)/3),0.1))))))))</f>
        <v/>
      </c>
      <c r="BL84" s="21" t="n"/>
      <c r="BM84" s="21" t="n"/>
      <c r="BN84" s="27">
        <f>SUM(BL84:BM84)</f>
        <v/>
      </c>
      <c r="BO84" s="28" t="n"/>
      <c r="BP84" s="31" t="n"/>
      <c r="BQ84" s="29">
        <f>IF(AND(BN84=0,BO84=0,BP84=0),0,IF(AND(BN84=0,BO84=0),BP84/1,IF(AND(BN84=0,BP84=0),BO84/1,IF(AND(BO84=0,BP84=0),BN84/1,IF(BN84=0,FLOOR((BO84+BP84)/2,0.1),IF(BO84=0,(BN84+BP84)/2,IF(BP84=0,(BO84+BN84)/2,FLOOR(((BN84+BO84+BP84)/3),0.1))))))))</f>
        <v/>
      </c>
      <c r="BR84" s="21" t="n"/>
      <c r="BS84" s="21" t="n"/>
      <c r="BT84" s="27">
        <f>SUM(BR84:BS84)</f>
        <v/>
      </c>
      <c r="BU84" s="28" t="n"/>
      <c r="BV84" s="31" t="n"/>
      <c r="BW84" s="29">
        <f>IF(AND(BT84=0,BU84=0,BV84=0),0,IF(AND(BT84=0,BU84=0),BV84/1,IF(AND(BT84=0,BV84=0),BU84/1,IF(AND(BU84=0,BV84=0),BT84/1,IF(BT84=0,FLOOR((BU84+BV84)/2,0.1),IF(BU84=0,(BT84+BV84)/2,IF(BV84=0,(BU84+BT84)/2,FLOOR(((BT84+BU84+BV84)/3),0.1))))))))</f>
        <v/>
      </c>
      <c r="BX84" s="21" t="n"/>
      <c r="BY84" s="21" t="n"/>
      <c r="BZ84" s="27">
        <f>SUM(BX84:BY84)</f>
        <v/>
      </c>
      <c r="CA84" s="28" t="n"/>
      <c r="CB84" s="31" t="n"/>
      <c r="CC84" s="29">
        <f>IF(AND(BZ84=0,CA84=0,CB84=0),0,IF(AND(BZ84=0,CA84=0),CB84/1,IF(AND(BZ84=0,CB84=0),CA84/1,IF(AND(CA84=0,CB84=0),BZ84/1,IF(BZ84=0,FLOOR((CA84+CB84)/2,0.1),IF(CA84=0,(BZ84+CB84)/2,IF(CB84=0,(CA84+BZ84)/2,FLOOR(((BZ84+CA84+CB84)/3),0.1))))))))</f>
        <v/>
      </c>
      <c r="CD84" s="21" t="n"/>
      <c r="CE84" s="21" t="n"/>
      <c r="CF84" s="27">
        <f>SUM(CD84:CE84)</f>
        <v/>
      </c>
      <c r="CG84" s="28" t="n"/>
      <c r="CH84" s="31" t="n"/>
      <c r="CI84" s="29">
        <f>IF(AND(CF84=0,CG84=0,CH84=0),0,IF(AND(CF84=0,CG84=0),CH84/1,IF(AND(CF84=0,CH84=0),CG84/1,IF(AND(CG84=0,CH84=0),CF84/1,IF(CF84=0,FLOOR((CG84+CH84)/2,0.1),IF(CG84=0,(CF84+CH84)/2,IF(CH84=0,(CG84+CF84)/2,FLOOR(((CF84+CG84+CH84)/3),0.1))))))))</f>
        <v/>
      </c>
      <c r="CJ84" s="21" t="n"/>
      <c r="CK84" s="21" t="n"/>
      <c r="CL84" s="27">
        <f>SUM(CJ84:CK84)</f>
        <v/>
      </c>
      <c r="CM84" s="28" t="n"/>
      <c r="CN84" s="31" t="n"/>
      <c r="CO84" s="29">
        <f>IF(AND(CL84=0,CM84=0,CN84=0),0,IF(AND(CL84=0,CM84=0),CN84/1,IF(AND(CL84=0,CN84=0),CM84/1,IF(AND(CM84=0,CN84=0),CL84/1,IF(CL84=0,FLOOR((CM84+CN84)/2,0.1),IF(CM84=0,(CL84+CN84)/2,IF(CN84=0,(CM84+CL84)/2,FLOOR(((CL84+CM84+CN84)/3),0.1))))))))</f>
        <v/>
      </c>
      <c r="CP84" s="21" t="n"/>
      <c r="CQ84" s="21" t="n"/>
      <c r="CR84" s="27">
        <f>SUM(CP84:CQ84)</f>
        <v/>
      </c>
      <c r="CS84" s="28" t="n"/>
      <c r="CT84" s="31" t="n"/>
      <c r="CU84" s="29">
        <f>IF(AND(CR84=0,CS84=0,CT84=0),0,IF(AND(CR84=0,CS84=0),CT84/1,IF(AND(CR84=0,CT84=0),CS84/1,IF(AND(CS84=0,CT84=0),CR84/1,IF(CR84=0,FLOOR((CS84+CT84)/2,0.1),IF(CS84=0,(CR84+CT84)/2,IF(CT84=0,(CS84+CR84)/2,FLOOR(((CR84+CS84+CT84)/3),0.1))))))))</f>
        <v/>
      </c>
      <c r="CV84" s="21" t="n"/>
      <c r="CW84" s="21" t="n"/>
      <c r="CX84" s="27">
        <f>SUM(CV84:CW84)</f>
        <v/>
      </c>
      <c r="CY84" s="28" t="n"/>
      <c r="CZ84" s="31" t="n"/>
      <c r="DA84" s="29">
        <f>IF(AND(CX84=0,CY84=0,CZ84=0),0,IF(AND(CX84=0,CY84=0),CZ84/1,IF(AND(CX84=0,CZ84=0),CY84/1,IF(AND(CY84=0,CZ84=0),CX84/1,IF(CX84=0,FLOOR((CY84+CZ84)/2,0.1),IF(CY84=0,(CX84+CZ84)/2,IF(CZ84=0,(CY84+CX84)/2,FLOOR(((CX84+CY84+CZ84)/3),0.1))))))))</f>
        <v/>
      </c>
      <c r="DB84" s="21" t="n"/>
      <c r="DC84" s="21" t="n"/>
      <c r="DD84" s="27">
        <f>SUM(DB84:DC84)</f>
        <v/>
      </c>
      <c r="DE84" s="28" t="n"/>
      <c r="DF84" s="31" t="n"/>
      <c r="DG84" s="29">
        <f>IF(AND(DD84=0,DE84=0,DF84=0),0,IF(AND(DD84=0,DE84=0),DF84/1,IF(AND(DD84=0,DF84=0),DE84/1,IF(AND(DE84=0,DF84=0),DD84/1,IF(DD84=0,FLOOR((DE84+DF84)/2,0.1),IF(DE84=0,(DD84+DF84)/2,IF(DF84=0,(DE84+DD84)/2,FLOOR(((DD84+DE84+DF84)/3),0.1))))))))</f>
        <v/>
      </c>
      <c r="DH84" s="34">
        <f>SUM(O84,U84,AA84,AG84,AM84,AS84,AY84,BE84,BK84,BQ84,BW84,CC84,CI84,CO84,CU84,DA84,DG84)</f>
        <v/>
      </c>
      <c r="DI84" s="39">
        <f>RANK(DH84,DH$4:DH$503)</f>
        <v/>
      </c>
      <c r="DJ84" s="40" t="inlineStr">
        <is>
          <t>CHOOSE RATING</t>
        </is>
      </c>
      <c r="DK84" s="40" t="inlineStr">
        <is>
          <t>CHOOSE RATING</t>
        </is>
      </c>
      <c r="DL84" s="40" t="inlineStr">
        <is>
          <t>CHOOSE RATING</t>
        </is>
      </c>
      <c r="DM84" s="40" t="inlineStr">
        <is>
          <t>CHOOSE RATING</t>
        </is>
      </c>
      <c r="DN84" s="40" t="inlineStr">
        <is>
          <t>CHOOSE RATING</t>
        </is>
      </c>
      <c r="DO84" s="40" t="inlineStr">
        <is>
          <t>CHOOSE RATING</t>
        </is>
      </c>
      <c r="DP84" s="40" t="inlineStr">
        <is>
          <t>CHOOSE RATING</t>
        </is>
      </c>
      <c r="DQ84" s="40" t="inlineStr">
        <is>
          <t>CHOOSE RATING</t>
        </is>
      </c>
      <c r="DR84" s="43" t="inlineStr">
        <is>
          <t>2024/2025</t>
        </is>
      </c>
      <c r="DS84" s="45" t="inlineStr">
        <is>
          <t>THIRD</t>
        </is>
      </c>
      <c r="DT84" s="40" t="inlineStr">
        <is>
          <t>CHOOSE RATING</t>
        </is>
      </c>
      <c r="DU84" s="40" t="inlineStr">
        <is>
          <t>CHOOSE RATING</t>
        </is>
      </c>
      <c r="DV84" s="40" t="inlineStr">
        <is>
          <t>CHOOSE RATING</t>
        </is>
      </c>
      <c r="DW84" s="40" t="inlineStr">
        <is>
          <t>CHOOSE RATING</t>
        </is>
      </c>
      <c r="DX84" s="40" t="inlineStr">
        <is>
          <t>CHOOSE RATING</t>
        </is>
      </c>
      <c r="DY84" s="40" t="inlineStr">
        <is>
          <t>CHOOSE RATING</t>
        </is>
      </c>
      <c r="DZ84" s="53" t="inlineStr">
        <is>
          <t>CHOOSE RATING</t>
        </is>
      </c>
      <c r="EA84" s="54" t="inlineStr">
        <is>
          <t>Add the Tutor's Comment . . .</t>
        </is>
      </c>
      <c r="EB84" s="55" t="inlineStr">
        <is>
          <t>Choose Principals comment</t>
        </is>
      </c>
      <c r="EC84" s="56" t="n"/>
      <c r="ED84" s="57" t="inlineStr">
        <is>
          <t>Next Term Begins on Monday, 22nd September, 2025</t>
        </is>
      </c>
    </row>
    <row r="85" ht="30.6" customHeight="1" s="6">
      <c r="A85" s="18" t="n">
        <v>82</v>
      </c>
      <c r="B85" s="19" t="n"/>
      <c r="C85" s="20" t="n"/>
      <c r="D85" s="128" t="n"/>
      <c r="E85" s="21" t="n"/>
      <c r="F85" s="22" t="n"/>
      <c r="G85" s="22" t="n"/>
      <c r="H85" s="22" t="n"/>
      <c r="I85" s="26">
        <f>G85-H85</f>
        <v/>
      </c>
      <c r="J85" s="21" t="n"/>
      <c r="K85" s="21" t="n"/>
      <c r="L85" s="27">
        <f>SUM(J85:K85)</f>
        <v/>
      </c>
      <c r="M85" s="28" t="n"/>
      <c r="N85" s="28" t="n"/>
      <c r="O85" s="29">
        <f>IF(AND(L85=0,M85=0,N85=0),0,IF(AND(L85=0,M85=0),N85/1,IF(AND(L85=0,N85=0),M85/1,IF(AND(M85=0,N85=0),L85/1,IF(L85=0,FLOOR((M85+N85)/2,0.1),IF(M85=0,(L85+N85)/2,IF(N85=0,(M85+L85)/2,FLOOR(((L85+M85+N85)/3),0.1))))))))</f>
        <v/>
      </c>
      <c r="P85" s="21" t="n"/>
      <c r="Q85" s="21" t="n"/>
      <c r="R85" s="27">
        <f>SUM(P85:Q85)</f>
        <v/>
      </c>
      <c r="S85" s="28" t="n"/>
      <c r="T85" s="28" t="n"/>
      <c r="U85" s="29">
        <f>IF(AND(R85=0,S85=0,T85=0),0,IF(AND(R85=0,S85=0),T85/1,IF(AND(R85=0,T85=0),S85/1,IF(AND(S85=0,T85=0),R85/1,IF(R85=0,FLOOR((S85+T85)/2,0.1),IF(S85=0,(R85+T85)/2,IF(T85=0,(S85+R85)/2,FLOOR(((R85+S85+T85)/3),0.1))))))))</f>
        <v/>
      </c>
      <c r="V85" s="21" t="n"/>
      <c r="W85" s="21" t="n"/>
      <c r="X85" s="27">
        <f>SUM(V85:W85)</f>
        <v/>
      </c>
      <c r="Y85" s="28" t="n"/>
      <c r="Z85" s="28" t="n"/>
      <c r="AA85" s="29">
        <f>IF(AND(X85=0,Y85=0,Z85=0),0,IF(AND(X85=0,Y85=0),Z85/1,IF(AND(X85=0,Z85=0),Y85/1,IF(AND(Y85=0,Z85=0),X85/1,IF(X85=0,FLOOR((Y85+Z85)/2,0.1),IF(Y85=0,(X85+Z85)/2,IF(Z85=0,(Y85+X85)/2,FLOOR(((X85+Y85+Z85)/3),0.1))))))))</f>
        <v/>
      </c>
      <c r="AB85" s="21" t="n"/>
      <c r="AC85" s="21" t="n"/>
      <c r="AD85" s="27">
        <f>SUM(AB85:AC85)</f>
        <v/>
      </c>
      <c r="AE85" s="28" t="n"/>
      <c r="AF85" s="28" t="n"/>
      <c r="AG85" s="29">
        <f>IF(AND(AD85=0,AE85=0,AF85=0),0,IF(AND(AD85=0,AE85=0),AF85/1,IF(AND(AD85=0,AF85=0),AE85/1,IF(AND(AE85=0,AF85=0),AD85/1,IF(AD85=0,FLOOR((AE85+AF85)/2,0.1),IF(AE85=0,(AD85+AF85)/2,IF(AF85=0,(AE85+AD85)/2,FLOOR(((AD85+AE85+AF85)/3),0.1))))))))</f>
        <v/>
      </c>
      <c r="AH85" s="21" t="n"/>
      <c r="AI85" s="21" t="n"/>
      <c r="AJ85" s="27">
        <f>SUM(AH85:AI85)</f>
        <v/>
      </c>
      <c r="AK85" s="28" t="n"/>
      <c r="AL85" s="28" t="n"/>
      <c r="AM85" s="29">
        <f>IF(AND(AJ85=0,AK85=0,AL85=0),0,IF(AND(AJ85=0,AK85=0),AL85/1,IF(AND(AJ85=0,AL85=0),AK85/1,IF(AND(AK85=0,AL85=0),AJ85/1,IF(AJ85=0,FLOOR((AK85+AL85)/2,0.1),IF(AK85=0,(AJ85+AL85)/2,IF(AL85=0,(AK85+AJ85)/2,FLOOR(((AJ85+AK85+AL85)/3),0.1))))))))</f>
        <v/>
      </c>
      <c r="AN85" s="21" t="n"/>
      <c r="AO85" s="21" t="n"/>
      <c r="AP85" s="27">
        <f>SUM(AN85:AO85)</f>
        <v/>
      </c>
      <c r="AQ85" s="28" t="n"/>
      <c r="AR85" s="30" t="n"/>
      <c r="AS85" s="29">
        <f>IF(AND(AP85=0,AQ85=0,AR85=0),0,IF(AND(AP85=0,AQ85=0),AR85/1,IF(AND(AP85=0,AR85=0),AQ85/1,IF(AND(AQ85=0,AR85=0),AP85/1,IF(AP85=0,FLOOR((AQ85+AR85)/2,0.1),IF(AQ85=0,(AP85+AR85)/2,IF(AR85=0,(AQ85+AP85)/2,FLOOR(((AP85+AQ85+AR85)/3),0.1))))))))</f>
        <v/>
      </c>
      <c r="AT85" s="21" t="n"/>
      <c r="AU85" s="21" t="n"/>
      <c r="AV85" s="27">
        <f>SUM(AT85:AU85)</f>
        <v/>
      </c>
      <c r="AW85" s="28" t="n"/>
      <c r="AX85" s="30" t="n"/>
      <c r="AY85" s="29">
        <f>IF(AND(AV85=0,AW85=0,AX85=0),0,IF(AND(AV85=0,AW85=0),AX85/1,IF(AND(AV85=0,AX85=0),AW85/1,IF(AND(AW85=0,AX85=0),AV85/1,IF(AV85=0,FLOOR((AW85+AX85)/2,0.1),IF(AW85=0,(AV85+AX85)/2,IF(AX85=0,(AW85+AV85)/2,FLOOR(((AV85+AW85+AX85)/3),0.1))))))))</f>
        <v/>
      </c>
      <c r="AZ85" s="21" t="n"/>
      <c r="BA85" s="21" t="n"/>
      <c r="BB85" s="27">
        <f>SUM(AZ85:BA85)</f>
        <v/>
      </c>
      <c r="BC85" s="28" t="n"/>
      <c r="BD85" s="28" t="n"/>
      <c r="BE85" s="29">
        <f>IF(AND(BB85=0,BC85=0,BD85=0),0,IF(AND(BB85=0,BC85=0),BD85/1,IF(AND(BB85=0,BD85=0),BC85/1,IF(AND(BC85=0,BD85=0),BB85/1,IF(BB85=0,FLOOR((BC85+BD85)/2,0.1),IF(BC85=0,(BB85+BD85)/2,IF(BD85=0,(BC85+BB85)/2,FLOOR(((BB85+BC85+BD85)/3),0.1))))))))</f>
        <v/>
      </c>
      <c r="BF85" s="21" t="n"/>
      <c r="BG85" s="21" t="n"/>
      <c r="BH85" s="27">
        <f>SUM(BF85:BG85)</f>
        <v/>
      </c>
      <c r="BI85" s="28" t="n"/>
      <c r="BJ85" s="28" t="n"/>
      <c r="BK85" s="29">
        <f>IF(AND(BH85=0,BI85=0,BJ85=0),0,IF(AND(BH85=0,BI85=0),BJ85/1,IF(AND(BH85=0,BJ85=0),BI85/1,IF(AND(BI85=0,BJ85=0),BH85/1,IF(BH85=0,FLOOR((BI85+BJ85)/2,0.1),IF(BI85=0,(BH85+BJ85)/2,IF(BJ85=0,(BI85+BH85)/2,FLOOR(((BH85+BI85+BJ85)/3),0.1))))))))</f>
        <v/>
      </c>
      <c r="BL85" s="21" t="n"/>
      <c r="BM85" s="21" t="n"/>
      <c r="BN85" s="27">
        <f>SUM(BL85:BM85)</f>
        <v/>
      </c>
      <c r="BO85" s="28" t="n"/>
      <c r="BP85" s="31" t="n"/>
      <c r="BQ85" s="29">
        <f>IF(AND(BN85=0,BO85=0,BP85=0),0,IF(AND(BN85=0,BO85=0),BP85/1,IF(AND(BN85=0,BP85=0),BO85/1,IF(AND(BO85=0,BP85=0),BN85/1,IF(BN85=0,FLOOR((BO85+BP85)/2,0.1),IF(BO85=0,(BN85+BP85)/2,IF(BP85=0,(BO85+BN85)/2,FLOOR(((BN85+BO85+BP85)/3),0.1))))))))</f>
        <v/>
      </c>
      <c r="BR85" s="21" t="n"/>
      <c r="BS85" s="21" t="n"/>
      <c r="BT85" s="27">
        <f>SUM(BR85:BS85)</f>
        <v/>
      </c>
      <c r="BU85" s="28" t="n"/>
      <c r="BV85" s="31" t="n"/>
      <c r="BW85" s="29">
        <f>IF(AND(BT85=0,BU85=0,BV85=0),0,IF(AND(BT85=0,BU85=0),BV85/1,IF(AND(BT85=0,BV85=0),BU85/1,IF(AND(BU85=0,BV85=0),BT85/1,IF(BT85=0,FLOOR((BU85+BV85)/2,0.1),IF(BU85=0,(BT85+BV85)/2,IF(BV85=0,(BU85+BT85)/2,FLOOR(((BT85+BU85+BV85)/3),0.1))))))))</f>
        <v/>
      </c>
      <c r="BX85" s="21" t="n"/>
      <c r="BY85" s="21" t="n"/>
      <c r="BZ85" s="27">
        <f>SUM(BX85:BY85)</f>
        <v/>
      </c>
      <c r="CA85" s="28" t="n"/>
      <c r="CB85" s="31" t="n"/>
      <c r="CC85" s="29">
        <f>IF(AND(BZ85=0,CA85=0,CB85=0),0,IF(AND(BZ85=0,CA85=0),CB85/1,IF(AND(BZ85=0,CB85=0),CA85/1,IF(AND(CA85=0,CB85=0),BZ85/1,IF(BZ85=0,FLOOR((CA85+CB85)/2,0.1),IF(CA85=0,(BZ85+CB85)/2,IF(CB85=0,(CA85+BZ85)/2,FLOOR(((BZ85+CA85+CB85)/3),0.1))))))))</f>
        <v/>
      </c>
      <c r="CD85" s="21" t="n"/>
      <c r="CE85" s="21" t="n"/>
      <c r="CF85" s="27">
        <f>SUM(CD85:CE85)</f>
        <v/>
      </c>
      <c r="CG85" s="28" t="n"/>
      <c r="CH85" s="31" t="n"/>
      <c r="CI85" s="29">
        <f>IF(AND(CF85=0,CG85=0,CH85=0),0,IF(AND(CF85=0,CG85=0),CH85/1,IF(AND(CF85=0,CH85=0),CG85/1,IF(AND(CG85=0,CH85=0),CF85/1,IF(CF85=0,FLOOR((CG85+CH85)/2,0.1),IF(CG85=0,(CF85+CH85)/2,IF(CH85=0,(CG85+CF85)/2,FLOOR(((CF85+CG85+CH85)/3),0.1))))))))</f>
        <v/>
      </c>
      <c r="CJ85" s="21" t="n"/>
      <c r="CK85" s="21" t="n"/>
      <c r="CL85" s="27">
        <f>SUM(CJ85:CK85)</f>
        <v/>
      </c>
      <c r="CM85" s="28" t="n"/>
      <c r="CN85" s="31" t="n"/>
      <c r="CO85" s="29">
        <f>IF(AND(CL85=0,CM85=0,CN85=0),0,IF(AND(CL85=0,CM85=0),CN85/1,IF(AND(CL85=0,CN85=0),CM85/1,IF(AND(CM85=0,CN85=0),CL85/1,IF(CL85=0,FLOOR((CM85+CN85)/2,0.1),IF(CM85=0,(CL85+CN85)/2,IF(CN85=0,(CM85+CL85)/2,FLOOR(((CL85+CM85+CN85)/3),0.1))))))))</f>
        <v/>
      </c>
      <c r="CP85" s="21" t="n"/>
      <c r="CQ85" s="21" t="n"/>
      <c r="CR85" s="27">
        <f>SUM(CP85:CQ85)</f>
        <v/>
      </c>
      <c r="CS85" s="28" t="n"/>
      <c r="CT85" s="31" t="n"/>
      <c r="CU85" s="29">
        <f>IF(AND(CR85=0,CS85=0,CT85=0),0,IF(AND(CR85=0,CS85=0),CT85/1,IF(AND(CR85=0,CT85=0),CS85/1,IF(AND(CS85=0,CT85=0),CR85/1,IF(CR85=0,FLOOR((CS85+CT85)/2,0.1),IF(CS85=0,(CR85+CT85)/2,IF(CT85=0,(CS85+CR85)/2,FLOOR(((CR85+CS85+CT85)/3),0.1))))))))</f>
        <v/>
      </c>
      <c r="CV85" s="21" t="n"/>
      <c r="CW85" s="21" t="n"/>
      <c r="CX85" s="27">
        <f>SUM(CV85:CW85)</f>
        <v/>
      </c>
      <c r="CY85" s="28" t="n"/>
      <c r="CZ85" s="31" t="n"/>
      <c r="DA85" s="29">
        <f>IF(AND(CX85=0,CY85=0,CZ85=0),0,IF(AND(CX85=0,CY85=0),CZ85/1,IF(AND(CX85=0,CZ85=0),CY85/1,IF(AND(CY85=0,CZ85=0),CX85/1,IF(CX85=0,FLOOR((CY85+CZ85)/2,0.1),IF(CY85=0,(CX85+CZ85)/2,IF(CZ85=0,(CY85+CX85)/2,FLOOR(((CX85+CY85+CZ85)/3),0.1))))))))</f>
        <v/>
      </c>
      <c r="DB85" s="21" t="n"/>
      <c r="DC85" s="21" t="n"/>
      <c r="DD85" s="27">
        <f>SUM(DB85:DC85)</f>
        <v/>
      </c>
      <c r="DE85" s="28" t="n"/>
      <c r="DF85" s="31" t="n"/>
      <c r="DG85" s="29">
        <f>IF(AND(DD85=0,DE85=0,DF85=0),0,IF(AND(DD85=0,DE85=0),DF85/1,IF(AND(DD85=0,DF85=0),DE85/1,IF(AND(DE85=0,DF85=0),DD85/1,IF(DD85=0,FLOOR((DE85+DF85)/2,0.1),IF(DE85=0,(DD85+DF85)/2,IF(DF85=0,(DE85+DD85)/2,FLOOR(((DD85+DE85+DF85)/3),0.1))))))))</f>
        <v/>
      </c>
      <c r="DH85" s="34">
        <f>SUM(O85,U85,AA85,AG85,AM85,AS85,AY85,BE85,BK85,BQ85,BW85,CC85,CI85,CO85,CU85,DA85,DG85)</f>
        <v/>
      </c>
      <c r="DI85" s="39">
        <f>RANK(DH85,DH$4:DH$503)</f>
        <v/>
      </c>
      <c r="DJ85" s="40" t="inlineStr">
        <is>
          <t>CHOOSE RATING</t>
        </is>
      </c>
      <c r="DK85" s="40" t="inlineStr">
        <is>
          <t>CHOOSE RATING</t>
        </is>
      </c>
      <c r="DL85" s="40" t="inlineStr">
        <is>
          <t>CHOOSE RATING</t>
        </is>
      </c>
      <c r="DM85" s="40" t="inlineStr">
        <is>
          <t>CHOOSE RATING</t>
        </is>
      </c>
      <c r="DN85" s="40" t="inlineStr">
        <is>
          <t>CHOOSE RATING</t>
        </is>
      </c>
      <c r="DO85" s="40" t="inlineStr">
        <is>
          <t>CHOOSE RATING</t>
        </is>
      </c>
      <c r="DP85" s="40" t="inlineStr">
        <is>
          <t>CHOOSE RATING</t>
        </is>
      </c>
      <c r="DQ85" s="40" t="inlineStr">
        <is>
          <t>CHOOSE RATING</t>
        </is>
      </c>
      <c r="DR85" s="43" t="inlineStr">
        <is>
          <t>2024/2025</t>
        </is>
      </c>
      <c r="DS85" s="45" t="inlineStr">
        <is>
          <t>THIRD</t>
        </is>
      </c>
      <c r="DT85" s="40" t="inlineStr">
        <is>
          <t>CHOOSE RATING</t>
        </is>
      </c>
      <c r="DU85" s="40" t="inlineStr">
        <is>
          <t>CHOOSE RATING</t>
        </is>
      </c>
      <c r="DV85" s="40" t="inlineStr">
        <is>
          <t>CHOOSE RATING</t>
        </is>
      </c>
      <c r="DW85" s="40" t="inlineStr">
        <is>
          <t>CHOOSE RATING</t>
        </is>
      </c>
      <c r="DX85" s="40" t="inlineStr">
        <is>
          <t>CHOOSE RATING</t>
        </is>
      </c>
      <c r="DY85" s="40" t="inlineStr">
        <is>
          <t>CHOOSE RATING</t>
        </is>
      </c>
      <c r="DZ85" s="53" t="inlineStr">
        <is>
          <t>CHOOSE RATING</t>
        </is>
      </c>
      <c r="EA85" s="54" t="inlineStr">
        <is>
          <t>Add the Tutor's Comment . . .</t>
        </is>
      </c>
      <c r="EB85" s="55" t="inlineStr">
        <is>
          <t>Choose Principals comment</t>
        </is>
      </c>
      <c r="EC85" s="56" t="n"/>
      <c r="ED85" s="57" t="inlineStr">
        <is>
          <t>Next Term Begins on Monday, 22nd September, 2025</t>
        </is>
      </c>
    </row>
    <row r="86" ht="30.6" customHeight="1" s="6">
      <c r="A86" s="18" t="n">
        <v>83</v>
      </c>
      <c r="B86" s="19" t="n"/>
      <c r="C86" s="20" t="n"/>
      <c r="D86" s="128" t="n"/>
      <c r="E86" s="21" t="n"/>
      <c r="F86" s="22" t="n"/>
      <c r="G86" s="22" t="n"/>
      <c r="H86" s="22" t="n"/>
      <c r="I86" s="26">
        <f>G86-H86</f>
        <v/>
      </c>
      <c r="J86" s="21" t="n"/>
      <c r="K86" s="21" t="n"/>
      <c r="L86" s="27">
        <f>SUM(J86:K86)</f>
        <v/>
      </c>
      <c r="M86" s="28" t="n"/>
      <c r="N86" s="28" t="n"/>
      <c r="O86" s="29">
        <f>IF(AND(L86=0,M86=0,N86=0),0,IF(AND(L86=0,M86=0),N86/1,IF(AND(L86=0,N86=0),M86/1,IF(AND(M86=0,N86=0),L86/1,IF(L86=0,FLOOR((M86+N86)/2,0.1),IF(M86=0,(L86+N86)/2,IF(N86=0,(M86+L86)/2,FLOOR(((L86+M86+N86)/3),0.1))))))))</f>
        <v/>
      </c>
      <c r="P86" s="21" t="n"/>
      <c r="Q86" s="21" t="n"/>
      <c r="R86" s="27">
        <f>SUM(P86:Q86)</f>
        <v/>
      </c>
      <c r="S86" s="28" t="n"/>
      <c r="T86" s="28" t="n"/>
      <c r="U86" s="29">
        <f>IF(AND(R86=0,S86=0,T86=0),0,IF(AND(R86=0,S86=0),T86/1,IF(AND(R86=0,T86=0),S86/1,IF(AND(S86=0,T86=0),R86/1,IF(R86=0,FLOOR((S86+T86)/2,0.1),IF(S86=0,(R86+T86)/2,IF(T86=0,(S86+R86)/2,FLOOR(((R86+S86+T86)/3),0.1))))))))</f>
        <v/>
      </c>
      <c r="V86" s="21" t="n"/>
      <c r="W86" s="21" t="n"/>
      <c r="X86" s="27">
        <f>SUM(V86:W86)</f>
        <v/>
      </c>
      <c r="Y86" s="28" t="n"/>
      <c r="Z86" s="28" t="n"/>
      <c r="AA86" s="29">
        <f>IF(AND(X86=0,Y86=0,Z86=0),0,IF(AND(X86=0,Y86=0),Z86/1,IF(AND(X86=0,Z86=0),Y86/1,IF(AND(Y86=0,Z86=0),X86/1,IF(X86=0,FLOOR((Y86+Z86)/2,0.1),IF(Y86=0,(X86+Z86)/2,IF(Z86=0,(Y86+X86)/2,FLOOR(((X86+Y86+Z86)/3),0.1))))))))</f>
        <v/>
      </c>
      <c r="AB86" s="21" t="n"/>
      <c r="AC86" s="21" t="n"/>
      <c r="AD86" s="27">
        <f>SUM(AB86:AC86)</f>
        <v/>
      </c>
      <c r="AE86" s="28" t="n"/>
      <c r="AF86" s="28" t="n"/>
      <c r="AG86" s="29">
        <f>IF(AND(AD86=0,AE86=0,AF86=0),0,IF(AND(AD86=0,AE86=0),AF86/1,IF(AND(AD86=0,AF86=0),AE86/1,IF(AND(AE86=0,AF86=0),AD86/1,IF(AD86=0,FLOOR((AE86+AF86)/2,0.1),IF(AE86=0,(AD86+AF86)/2,IF(AF86=0,(AE86+AD86)/2,FLOOR(((AD86+AE86+AF86)/3),0.1))))))))</f>
        <v/>
      </c>
      <c r="AH86" s="21" t="n"/>
      <c r="AI86" s="21" t="n"/>
      <c r="AJ86" s="27">
        <f>SUM(AH86:AI86)</f>
        <v/>
      </c>
      <c r="AK86" s="28" t="n"/>
      <c r="AL86" s="28" t="n"/>
      <c r="AM86" s="29">
        <f>IF(AND(AJ86=0,AK86=0,AL86=0),0,IF(AND(AJ86=0,AK86=0),AL86/1,IF(AND(AJ86=0,AL86=0),AK86/1,IF(AND(AK86=0,AL86=0),AJ86/1,IF(AJ86=0,FLOOR((AK86+AL86)/2,0.1),IF(AK86=0,(AJ86+AL86)/2,IF(AL86=0,(AK86+AJ86)/2,FLOOR(((AJ86+AK86+AL86)/3),0.1))))))))</f>
        <v/>
      </c>
      <c r="AN86" s="21" t="n"/>
      <c r="AO86" s="21" t="n"/>
      <c r="AP86" s="27">
        <f>SUM(AN86:AO86)</f>
        <v/>
      </c>
      <c r="AQ86" s="28" t="n"/>
      <c r="AR86" s="30" t="n"/>
      <c r="AS86" s="29">
        <f>IF(AND(AP86=0,AQ86=0,AR86=0),0,IF(AND(AP86=0,AQ86=0),AR86/1,IF(AND(AP86=0,AR86=0),AQ86/1,IF(AND(AQ86=0,AR86=0),AP86/1,IF(AP86=0,FLOOR((AQ86+AR86)/2,0.1),IF(AQ86=0,(AP86+AR86)/2,IF(AR86=0,(AQ86+AP86)/2,FLOOR(((AP86+AQ86+AR86)/3),0.1))))))))</f>
        <v/>
      </c>
      <c r="AT86" s="21" t="n"/>
      <c r="AU86" s="21" t="n"/>
      <c r="AV86" s="27">
        <f>SUM(AT86:AU86)</f>
        <v/>
      </c>
      <c r="AW86" s="28" t="n"/>
      <c r="AX86" s="30" t="n"/>
      <c r="AY86" s="29">
        <f>IF(AND(AV86=0,AW86=0,AX86=0),0,IF(AND(AV86=0,AW86=0),AX86/1,IF(AND(AV86=0,AX86=0),AW86/1,IF(AND(AW86=0,AX86=0),AV86/1,IF(AV86=0,FLOOR((AW86+AX86)/2,0.1),IF(AW86=0,(AV86+AX86)/2,IF(AX86=0,(AW86+AV86)/2,FLOOR(((AV86+AW86+AX86)/3),0.1))))))))</f>
        <v/>
      </c>
      <c r="AZ86" s="21" t="n"/>
      <c r="BA86" s="21" t="n"/>
      <c r="BB86" s="27">
        <f>SUM(AZ86:BA86)</f>
        <v/>
      </c>
      <c r="BC86" s="28" t="n"/>
      <c r="BD86" s="28" t="n"/>
      <c r="BE86" s="29">
        <f>IF(AND(BB86=0,BC86=0,BD86=0),0,IF(AND(BB86=0,BC86=0),BD86/1,IF(AND(BB86=0,BD86=0),BC86/1,IF(AND(BC86=0,BD86=0),BB86/1,IF(BB86=0,FLOOR((BC86+BD86)/2,0.1),IF(BC86=0,(BB86+BD86)/2,IF(BD86=0,(BC86+BB86)/2,FLOOR(((BB86+BC86+BD86)/3),0.1))))))))</f>
        <v/>
      </c>
      <c r="BF86" s="21" t="n"/>
      <c r="BG86" s="21" t="n"/>
      <c r="BH86" s="27">
        <f>SUM(BF86:BG86)</f>
        <v/>
      </c>
      <c r="BI86" s="28" t="n"/>
      <c r="BJ86" s="28" t="n"/>
      <c r="BK86" s="29">
        <f>IF(AND(BH86=0,BI86=0,BJ86=0),0,IF(AND(BH86=0,BI86=0),BJ86/1,IF(AND(BH86=0,BJ86=0),BI86/1,IF(AND(BI86=0,BJ86=0),BH86/1,IF(BH86=0,FLOOR((BI86+BJ86)/2,0.1),IF(BI86=0,(BH86+BJ86)/2,IF(BJ86=0,(BI86+BH86)/2,FLOOR(((BH86+BI86+BJ86)/3),0.1))))))))</f>
        <v/>
      </c>
      <c r="BL86" s="21" t="n"/>
      <c r="BM86" s="21" t="n"/>
      <c r="BN86" s="27">
        <f>SUM(BL86:BM86)</f>
        <v/>
      </c>
      <c r="BO86" s="28" t="n"/>
      <c r="BP86" s="31" t="n"/>
      <c r="BQ86" s="29">
        <f>IF(AND(BN86=0,BO86=0,BP86=0),0,IF(AND(BN86=0,BO86=0),BP86/1,IF(AND(BN86=0,BP86=0),BO86/1,IF(AND(BO86=0,BP86=0),BN86/1,IF(BN86=0,FLOOR((BO86+BP86)/2,0.1),IF(BO86=0,(BN86+BP86)/2,IF(BP86=0,(BO86+BN86)/2,FLOOR(((BN86+BO86+BP86)/3),0.1))))))))</f>
        <v/>
      </c>
      <c r="BR86" s="21" t="n"/>
      <c r="BS86" s="21" t="n"/>
      <c r="BT86" s="27">
        <f>SUM(BR86:BS86)</f>
        <v/>
      </c>
      <c r="BU86" s="28" t="n"/>
      <c r="BV86" s="31" t="n"/>
      <c r="BW86" s="29">
        <f>IF(AND(BT86=0,BU86=0,BV86=0),0,IF(AND(BT86=0,BU86=0),BV86/1,IF(AND(BT86=0,BV86=0),BU86/1,IF(AND(BU86=0,BV86=0),BT86/1,IF(BT86=0,FLOOR((BU86+BV86)/2,0.1),IF(BU86=0,(BT86+BV86)/2,IF(BV86=0,(BU86+BT86)/2,FLOOR(((BT86+BU86+BV86)/3),0.1))))))))</f>
        <v/>
      </c>
      <c r="BX86" s="21" t="n"/>
      <c r="BY86" s="21" t="n"/>
      <c r="BZ86" s="27">
        <f>SUM(BX86:BY86)</f>
        <v/>
      </c>
      <c r="CA86" s="28" t="n"/>
      <c r="CB86" s="31" t="n"/>
      <c r="CC86" s="29">
        <f>IF(AND(BZ86=0,CA86=0,CB86=0),0,IF(AND(BZ86=0,CA86=0),CB86/1,IF(AND(BZ86=0,CB86=0),CA86/1,IF(AND(CA86=0,CB86=0),BZ86/1,IF(BZ86=0,FLOOR((CA86+CB86)/2,0.1),IF(CA86=0,(BZ86+CB86)/2,IF(CB86=0,(CA86+BZ86)/2,FLOOR(((BZ86+CA86+CB86)/3),0.1))))))))</f>
        <v/>
      </c>
      <c r="CD86" s="21" t="n"/>
      <c r="CE86" s="21" t="n"/>
      <c r="CF86" s="27">
        <f>SUM(CD86:CE86)</f>
        <v/>
      </c>
      <c r="CG86" s="28" t="n"/>
      <c r="CH86" s="31" t="n"/>
      <c r="CI86" s="29">
        <f>IF(AND(CF86=0,CG86=0,CH86=0),0,IF(AND(CF86=0,CG86=0),CH86/1,IF(AND(CF86=0,CH86=0),CG86/1,IF(AND(CG86=0,CH86=0),CF86/1,IF(CF86=0,FLOOR((CG86+CH86)/2,0.1),IF(CG86=0,(CF86+CH86)/2,IF(CH86=0,(CG86+CF86)/2,FLOOR(((CF86+CG86+CH86)/3),0.1))))))))</f>
        <v/>
      </c>
      <c r="CJ86" s="21" t="n"/>
      <c r="CK86" s="21" t="n"/>
      <c r="CL86" s="27">
        <f>SUM(CJ86:CK86)</f>
        <v/>
      </c>
      <c r="CM86" s="28" t="n"/>
      <c r="CN86" s="31" t="n"/>
      <c r="CO86" s="29">
        <f>IF(AND(CL86=0,CM86=0,CN86=0),0,IF(AND(CL86=0,CM86=0),CN86/1,IF(AND(CL86=0,CN86=0),CM86/1,IF(AND(CM86=0,CN86=0),CL86/1,IF(CL86=0,FLOOR((CM86+CN86)/2,0.1),IF(CM86=0,(CL86+CN86)/2,IF(CN86=0,(CM86+CL86)/2,FLOOR(((CL86+CM86+CN86)/3),0.1))))))))</f>
        <v/>
      </c>
      <c r="CP86" s="21" t="n"/>
      <c r="CQ86" s="21" t="n"/>
      <c r="CR86" s="27">
        <f>SUM(CP86:CQ86)</f>
        <v/>
      </c>
      <c r="CS86" s="28" t="n"/>
      <c r="CT86" s="31" t="n"/>
      <c r="CU86" s="29">
        <f>IF(AND(CR86=0,CS86=0,CT86=0),0,IF(AND(CR86=0,CS86=0),CT86/1,IF(AND(CR86=0,CT86=0),CS86/1,IF(AND(CS86=0,CT86=0),CR86/1,IF(CR86=0,FLOOR((CS86+CT86)/2,0.1),IF(CS86=0,(CR86+CT86)/2,IF(CT86=0,(CS86+CR86)/2,FLOOR(((CR86+CS86+CT86)/3),0.1))))))))</f>
        <v/>
      </c>
      <c r="CV86" s="21" t="n"/>
      <c r="CW86" s="21" t="n"/>
      <c r="CX86" s="27">
        <f>SUM(CV86:CW86)</f>
        <v/>
      </c>
      <c r="CY86" s="28" t="n"/>
      <c r="CZ86" s="31" t="n"/>
      <c r="DA86" s="29">
        <f>IF(AND(CX86=0,CY86=0,CZ86=0),0,IF(AND(CX86=0,CY86=0),CZ86/1,IF(AND(CX86=0,CZ86=0),CY86/1,IF(AND(CY86=0,CZ86=0),CX86/1,IF(CX86=0,FLOOR((CY86+CZ86)/2,0.1),IF(CY86=0,(CX86+CZ86)/2,IF(CZ86=0,(CY86+CX86)/2,FLOOR(((CX86+CY86+CZ86)/3),0.1))))))))</f>
        <v/>
      </c>
      <c r="DB86" s="21" t="n"/>
      <c r="DC86" s="21" t="n"/>
      <c r="DD86" s="27">
        <f>SUM(DB86:DC86)</f>
        <v/>
      </c>
      <c r="DE86" s="28" t="n"/>
      <c r="DF86" s="31" t="n"/>
      <c r="DG86" s="29">
        <f>IF(AND(DD86=0,DE86=0,DF86=0),0,IF(AND(DD86=0,DE86=0),DF86/1,IF(AND(DD86=0,DF86=0),DE86/1,IF(AND(DE86=0,DF86=0),DD86/1,IF(DD86=0,FLOOR((DE86+DF86)/2,0.1),IF(DE86=0,(DD86+DF86)/2,IF(DF86=0,(DE86+DD86)/2,FLOOR(((DD86+DE86+DF86)/3),0.1))))))))</f>
        <v/>
      </c>
      <c r="DH86" s="34">
        <f>SUM(O86,U86,AA86,AG86,AM86,AS86,AY86,BE86,BK86,BQ86,BW86,CC86,CI86,CO86,CU86,DA86,DG86)</f>
        <v/>
      </c>
      <c r="DI86" s="39">
        <f>RANK(DH86,DH$4:DH$503)</f>
        <v/>
      </c>
      <c r="DJ86" s="40" t="inlineStr">
        <is>
          <t>CHOOSE RATING</t>
        </is>
      </c>
      <c r="DK86" s="40" t="inlineStr">
        <is>
          <t>CHOOSE RATING</t>
        </is>
      </c>
      <c r="DL86" s="40" t="inlineStr">
        <is>
          <t>CHOOSE RATING</t>
        </is>
      </c>
      <c r="DM86" s="40" t="inlineStr">
        <is>
          <t>CHOOSE RATING</t>
        </is>
      </c>
      <c r="DN86" s="40" t="inlineStr">
        <is>
          <t>CHOOSE RATING</t>
        </is>
      </c>
      <c r="DO86" s="40" t="inlineStr">
        <is>
          <t>CHOOSE RATING</t>
        </is>
      </c>
      <c r="DP86" s="40" t="inlineStr">
        <is>
          <t>CHOOSE RATING</t>
        </is>
      </c>
      <c r="DQ86" s="40" t="inlineStr">
        <is>
          <t>CHOOSE RATING</t>
        </is>
      </c>
      <c r="DR86" s="43" t="inlineStr">
        <is>
          <t>2024/2025</t>
        </is>
      </c>
      <c r="DS86" s="45" t="inlineStr">
        <is>
          <t>THIRD</t>
        </is>
      </c>
      <c r="DT86" s="40" t="inlineStr">
        <is>
          <t>CHOOSE RATING</t>
        </is>
      </c>
      <c r="DU86" s="40" t="inlineStr">
        <is>
          <t>CHOOSE RATING</t>
        </is>
      </c>
      <c r="DV86" s="40" t="inlineStr">
        <is>
          <t>CHOOSE RATING</t>
        </is>
      </c>
      <c r="DW86" s="40" t="inlineStr">
        <is>
          <t>CHOOSE RATING</t>
        </is>
      </c>
      <c r="DX86" s="40" t="inlineStr">
        <is>
          <t>CHOOSE RATING</t>
        </is>
      </c>
      <c r="DY86" s="40" t="inlineStr">
        <is>
          <t>CHOOSE RATING</t>
        </is>
      </c>
      <c r="DZ86" s="53" t="inlineStr">
        <is>
          <t>CHOOSE RATING</t>
        </is>
      </c>
      <c r="EA86" s="54" t="inlineStr">
        <is>
          <t>Add the Tutor's Comment . . .</t>
        </is>
      </c>
      <c r="EB86" s="55" t="inlineStr">
        <is>
          <t>Choose Principals comment</t>
        </is>
      </c>
      <c r="EC86" s="56" t="n"/>
      <c r="ED86" s="57" t="inlineStr">
        <is>
          <t>Next Term Begins on Monday, 22nd September, 2025</t>
        </is>
      </c>
    </row>
    <row r="87" ht="30.6" customHeight="1" s="6">
      <c r="A87" s="18" t="n">
        <v>84</v>
      </c>
      <c r="B87" s="19" t="n"/>
      <c r="C87" s="20" t="n"/>
      <c r="D87" s="128" t="n"/>
      <c r="E87" s="21" t="n"/>
      <c r="F87" s="22" t="n"/>
      <c r="G87" s="22" t="n"/>
      <c r="H87" s="22" t="n"/>
      <c r="I87" s="26">
        <f>G87-H87</f>
        <v/>
      </c>
      <c r="J87" s="21" t="n"/>
      <c r="K87" s="21" t="n"/>
      <c r="L87" s="27">
        <f>SUM(J87:K87)</f>
        <v/>
      </c>
      <c r="M87" s="28" t="n"/>
      <c r="N87" s="28" t="n"/>
      <c r="O87" s="29">
        <f>IF(AND(L87=0,M87=0,N87=0),0,IF(AND(L87=0,M87=0),N87/1,IF(AND(L87=0,N87=0),M87/1,IF(AND(M87=0,N87=0),L87/1,IF(L87=0,FLOOR((M87+N87)/2,0.1),IF(M87=0,(L87+N87)/2,IF(N87=0,(M87+L87)/2,FLOOR(((L87+M87+N87)/3),0.1))))))))</f>
        <v/>
      </c>
      <c r="P87" s="21" t="n"/>
      <c r="Q87" s="21" t="n"/>
      <c r="R87" s="27">
        <f>SUM(P87:Q87)</f>
        <v/>
      </c>
      <c r="S87" s="28" t="n"/>
      <c r="T87" s="28" t="n"/>
      <c r="U87" s="29">
        <f>IF(AND(R87=0,S87=0,T87=0),0,IF(AND(R87=0,S87=0),T87/1,IF(AND(R87=0,T87=0),S87/1,IF(AND(S87=0,T87=0),R87/1,IF(R87=0,FLOOR((S87+T87)/2,0.1),IF(S87=0,(R87+T87)/2,IF(T87=0,(S87+R87)/2,FLOOR(((R87+S87+T87)/3),0.1))))))))</f>
        <v/>
      </c>
      <c r="V87" s="21" t="n"/>
      <c r="W87" s="21" t="n"/>
      <c r="X87" s="27">
        <f>SUM(V87:W87)</f>
        <v/>
      </c>
      <c r="Y87" s="28" t="n"/>
      <c r="Z87" s="28" t="n"/>
      <c r="AA87" s="29">
        <f>IF(AND(X87=0,Y87=0,Z87=0),0,IF(AND(X87=0,Y87=0),Z87/1,IF(AND(X87=0,Z87=0),Y87/1,IF(AND(Y87=0,Z87=0),X87/1,IF(X87=0,FLOOR((Y87+Z87)/2,0.1),IF(Y87=0,(X87+Z87)/2,IF(Z87=0,(Y87+X87)/2,FLOOR(((X87+Y87+Z87)/3),0.1))))))))</f>
        <v/>
      </c>
      <c r="AB87" s="21" t="n"/>
      <c r="AC87" s="21" t="n"/>
      <c r="AD87" s="27">
        <f>SUM(AB87:AC87)</f>
        <v/>
      </c>
      <c r="AE87" s="28" t="n"/>
      <c r="AF87" s="28" t="n"/>
      <c r="AG87" s="29">
        <f>IF(AND(AD87=0,AE87=0,AF87=0),0,IF(AND(AD87=0,AE87=0),AF87/1,IF(AND(AD87=0,AF87=0),AE87/1,IF(AND(AE87=0,AF87=0),AD87/1,IF(AD87=0,FLOOR((AE87+AF87)/2,0.1),IF(AE87=0,(AD87+AF87)/2,IF(AF87=0,(AE87+AD87)/2,FLOOR(((AD87+AE87+AF87)/3),0.1))))))))</f>
        <v/>
      </c>
      <c r="AH87" s="21" t="n"/>
      <c r="AI87" s="21" t="n"/>
      <c r="AJ87" s="27">
        <f>SUM(AH87:AI87)</f>
        <v/>
      </c>
      <c r="AK87" s="28" t="n"/>
      <c r="AL87" s="28" t="n"/>
      <c r="AM87" s="29">
        <f>IF(AND(AJ87=0,AK87=0,AL87=0),0,IF(AND(AJ87=0,AK87=0),AL87/1,IF(AND(AJ87=0,AL87=0),AK87/1,IF(AND(AK87=0,AL87=0),AJ87/1,IF(AJ87=0,FLOOR((AK87+AL87)/2,0.1),IF(AK87=0,(AJ87+AL87)/2,IF(AL87=0,(AK87+AJ87)/2,FLOOR(((AJ87+AK87+AL87)/3),0.1))))))))</f>
        <v/>
      </c>
      <c r="AN87" s="21" t="n"/>
      <c r="AO87" s="21" t="n"/>
      <c r="AP87" s="27">
        <f>SUM(AN87:AO87)</f>
        <v/>
      </c>
      <c r="AQ87" s="28" t="n"/>
      <c r="AR87" s="30" t="n"/>
      <c r="AS87" s="29">
        <f>IF(AND(AP87=0,AQ87=0,AR87=0),0,IF(AND(AP87=0,AQ87=0),AR87/1,IF(AND(AP87=0,AR87=0),AQ87/1,IF(AND(AQ87=0,AR87=0),AP87/1,IF(AP87=0,FLOOR((AQ87+AR87)/2,0.1),IF(AQ87=0,(AP87+AR87)/2,IF(AR87=0,(AQ87+AP87)/2,FLOOR(((AP87+AQ87+AR87)/3),0.1))))))))</f>
        <v/>
      </c>
      <c r="AT87" s="21" t="n"/>
      <c r="AU87" s="21" t="n"/>
      <c r="AV87" s="27">
        <f>SUM(AT87:AU87)</f>
        <v/>
      </c>
      <c r="AW87" s="28" t="n"/>
      <c r="AX87" s="30" t="n"/>
      <c r="AY87" s="29">
        <f>IF(AND(AV87=0,AW87=0,AX87=0),0,IF(AND(AV87=0,AW87=0),AX87/1,IF(AND(AV87=0,AX87=0),AW87/1,IF(AND(AW87=0,AX87=0),AV87/1,IF(AV87=0,FLOOR((AW87+AX87)/2,0.1),IF(AW87=0,(AV87+AX87)/2,IF(AX87=0,(AW87+AV87)/2,FLOOR(((AV87+AW87+AX87)/3),0.1))))))))</f>
        <v/>
      </c>
      <c r="AZ87" s="21" t="n"/>
      <c r="BA87" s="21" t="n"/>
      <c r="BB87" s="27">
        <f>SUM(AZ87:BA87)</f>
        <v/>
      </c>
      <c r="BC87" s="28" t="n"/>
      <c r="BD87" s="28" t="n"/>
      <c r="BE87" s="29">
        <f>IF(AND(BB87=0,BC87=0,BD87=0),0,IF(AND(BB87=0,BC87=0),BD87/1,IF(AND(BB87=0,BD87=0),BC87/1,IF(AND(BC87=0,BD87=0),BB87/1,IF(BB87=0,FLOOR((BC87+BD87)/2,0.1),IF(BC87=0,(BB87+BD87)/2,IF(BD87=0,(BC87+BB87)/2,FLOOR(((BB87+BC87+BD87)/3),0.1))))))))</f>
        <v/>
      </c>
      <c r="BF87" s="21" t="n"/>
      <c r="BG87" s="21" t="n"/>
      <c r="BH87" s="27">
        <f>SUM(BF87:BG87)</f>
        <v/>
      </c>
      <c r="BI87" s="28" t="n"/>
      <c r="BJ87" s="28" t="n"/>
      <c r="BK87" s="29">
        <f>IF(AND(BH87=0,BI87=0,BJ87=0),0,IF(AND(BH87=0,BI87=0),BJ87/1,IF(AND(BH87=0,BJ87=0),BI87/1,IF(AND(BI87=0,BJ87=0),BH87/1,IF(BH87=0,FLOOR((BI87+BJ87)/2,0.1),IF(BI87=0,(BH87+BJ87)/2,IF(BJ87=0,(BI87+BH87)/2,FLOOR(((BH87+BI87+BJ87)/3),0.1))))))))</f>
        <v/>
      </c>
      <c r="BL87" s="21" t="n"/>
      <c r="BM87" s="21" t="n"/>
      <c r="BN87" s="27">
        <f>SUM(BL87:BM87)</f>
        <v/>
      </c>
      <c r="BO87" s="28" t="n"/>
      <c r="BP87" s="31" t="n"/>
      <c r="BQ87" s="29">
        <f>IF(AND(BN87=0,BO87=0,BP87=0),0,IF(AND(BN87=0,BO87=0),BP87/1,IF(AND(BN87=0,BP87=0),BO87/1,IF(AND(BO87=0,BP87=0),BN87/1,IF(BN87=0,FLOOR((BO87+BP87)/2,0.1),IF(BO87=0,(BN87+BP87)/2,IF(BP87=0,(BO87+BN87)/2,FLOOR(((BN87+BO87+BP87)/3),0.1))))))))</f>
        <v/>
      </c>
      <c r="BR87" s="21" t="n"/>
      <c r="BS87" s="21" t="n"/>
      <c r="BT87" s="27">
        <f>SUM(BR87:BS87)</f>
        <v/>
      </c>
      <c r="BU87" s="28" t="n"/>
      <c r="BV87" s="31" t="n"/>
      <c r="BW87" s="29">
        <f>IF(AND(BT87=0,BU87=0,BV87=0),0,IF(AND(BT87=0,BU87=0),BV87/1,IF(AND(BT87=0,BV87=0),BU87/1,IF(AND(BU87=0,BV87=0),BT87/1,IF(BT87=0,FLOOR((BU87+BV87)/2,0.1),IF(BU87=0,(BT87+BV87)/2,IF(BV87=0,(BU87+BT87)/2,FLOOR(((BT87+BU87+BV87)/3),0.1))))))))</f>
        <v/>
      </c>
      <c r="BX87" s="21" t="n"/>
      <c r="BY87" s="21" t="n"/>
      <c r="BZ87" s="27">
        <f>SUM(BX87:BY87)</f>
        <v/>
      </c>
      <c r="CA87" s="28" t="n"/>
      <c r="CB87" s="31" t="n"/>
      <c r="CC87" s="29">
        <f>IF(AND(BZ87=0,CA87=0,CB87=0),0,IF(AND(BZ87=0,CA87=0),CB87/1,IF(AND(BZ87=0,CB87=0),CA87/1,IF(AND(CA87=0,CB87=0),BZ87/1,IF(BZ87=0,FLOOR((CA87+CB87)/2,0.1),IF(CA87=0,(BZ87+CB87)/2,IF(CB87=0,(CA87+BZ87)/2,FLOOR(((BZ87+CA87+CB87)/3),0.1))))))))</f>
        <v/>
      </c>
      <c r="CD87" s="21" t="n"/>
      <c r="CE87" s="21" t="n"/>
      <c r="CF87" s="27">
        <f>SUM(CD87:CE87)</f>
        <v/>
      </c>
      <c r="CG87" s="28" t="n"/>
      <c r="CH87" s="31" t="n"/>
      <c r="CI87" s="29">
        <f>IF(AND(CF87=0,CG87=0,CH87=0),0,IF(AND(CF87=0,CG87=0),CH87/1,IF(AND(CF87=0,CH87=0),CG87/1,IF(AND(CG87=0,CH87=0),CF87/1,IF(CF87=0,FLOOR((CG87+CH87)/2,0.1),IF(CG87=0,(CF87+CH87)/2,IF(CH87=0,(CG87+CF87)/2,FLOOR(((CF87+CG87+CH87)/3),0.1))))))))</f>
        <v/>
      </c>
      <c r="CJ87" s="21" t="n"/>
      <c r="CK87" s="21" t="n"/>
      <c r="CL87" s="27">
        <f>SUM(CJ87:CK87)</f>
        <v/>
      </c>
      <c r="CM87" s="28" t="n"/>
      <c r="CN87" s="31" t="n"/>
      <c r="CO87" s="29">
        <f>IF(AND(CL87=0,CM87=0,CN87=0),0,IF(AND(CL87=0,CM87=0),CN87/1,IF(AND(CL87=0,CN87=0),CM87/1,IF(AND(CM87=0,CN87=0),CL87/1,IF(CL87=0,FLOOR((CM87+CN87)/2,0.1),IF(CM87=0,(CL87+CN87)/2,IF(CN87=0,(CM87+CL87)/2,FLOOR(((CL87+CM87+CN87)/3),0.1))))))))</f>
        <v/>
      </c>
      <c r="CP87" s="21" t="n"/>
      <c r="CQ87" s="21" t="n"/>
      <c r="CR87" s="27">
        <f>SUM(CP87:CQ87)</f>
        <v/>
      </c>
      <c r="CS87" s="28" t="n"/>
      <c r="CT87" s="31" t="n"/>
      <c r="CU87" s="29">
        <f>IF(AND(CR87=0,CS87=0,CT87=0),0,IF(AND(CR87=0,CS87=0),CT87/1,IF(AND(CR87=0,CT87=0),CS87/1,IF(AND(CS87=0,CT87=0),CR87/1,IF(CR87=0,FLOOR((CS87+CT87)/2,0.1),IF(CS87=0,(CR87+CT87)/2,IF(CT87=0,(CS87+CR87)/2,FLOOR(((CR87+CS87+CT87)/3),0.1))))))))</f>
        <v/>
      </c>
      <c r="CV87" s="21" t="n"/>
      <c r="CW87" s="21" t="n"/>
      <c r="CX87" s="27">
        <f>SUM(CV87:CW87)</f>
        <v/>
      </c>
      <c r="CY87" s="28" t="n"/>
      <c r="CZ87" s="31" t="n"/>
      <c r="DA87" s="29">
        <f>IF(AND(CX87=0,CY87=0,CZ87=0),0,IF(AND(CX87=0,CY87=0),CZ87/1,IF(AND(CX87=0,CZ87=0),CY87/1,IF(AND(CY87=0,CZ87=0),CX87/1,IF(CX87=0,FLOOR((CY87+CZ87)/2,0.1),IF(CY87=0,(CX87+CZ87)/2,IF(CZ87=0,(CY87+CX87)/2,FLOOR(((CX87+CY87+CZ87)/3),0.1))))))))</f>
        <v/>
      </c>
      <c r="DB87" s="21" t="n"/>
      <c r="DC87" s="21" t="n"/>
      <c r="DD87" s="27">
        <f>SUM(DB87:DC87)</f>
        <v/>
      </c>
      <c r="DE87" s="28" t="n"/>
      <c r="DF87" s="31" t="n"/>
      <c r="DG87" s="29">
        <f>IF(AND(DD87=0,DE87=0,DF87=0),0,IF(AND(DD87=0,DE87=0),DF87/1,IF(AND(DD87=0,DF87=0),DE87/1,IF(AND(DE87=0,DF87=0),DD87/1,IF(DD87=0,FLOOR((DE87+DF87)/2,0.1),IF(DE87=0,(DD87+DF87)/2,IF(DF87=0,(DE87+DD87)/2,FLOOR(((DD87+DE87+DF87)/3),0.1))))))))</f>
        <v/>
      </c>
      <c r="DH87" s="34">
        <f>SUM(O87,U87,AA87,AG87,AM87,AS87,AY87,BE87,BK87,BQ87,BW87,CC87,CI87,CO87,CU87,DA87,DG87)</f>
        <v/>
      </c>
      <c r="DI87" s="39">
        <f>RANK(DH87,DH$4:DH$503)</f>
        <v/>
      </c>
      <c r="DJ87" s="40" t="inlineStr">
        <is>
          <t>CHOOSE RATING</t>
        </is>
      </c>
      <c r="DK87" s="40" t="inlineStr">
        <is>
          <t>CHOOSE RATING</t>
        </is>
      </c>
      <c r="DL87" s="40" t="inlineStr">
        <is>
          <t>CHOOSE RATING</t>
        </is>
      </c>
      <c r="DM87" s="40" t="inlineStr">
        <is>
          <t>CHOOSE RATING</t>
        </is>
      </c>
      <c r="DN87" s="40" t="inlineStr">
        <is>
          <t>CHOOSE RATING</t>
        </is>
      </c>
      <c r="DO87" s="40" t="inlineStr">
        <is>
          <t>CHOOSE RATING</t>
        </is>
      </c>
      <c r="DP87" s="40" t="inlineStr">
        <is>
          <t>CHOOSE RATING</t>
        </is>
      </c>
      <c r="DQ87" s="40" t="inlineStr">
        <is>
          <t>CHOOSE RATING</t>
        </is>
      </c>
      <c r="DR87" s="43" t="inlineStr">
        <is>
          <t>2024/2025</t>
        </is>
      </c>
      <c r="DS87" s="45" t="inlineStr">
        <is>
          <t>THIRD</t>
        </is>
      </c>
      <c r="DT87" s="40" t="inlineStr">
        <is>
          <t>CHOOSE RATING</t>
        </is>
      </c>
      <c r="DU87" s="40" t="inlineStr">
        <is>
          <t>CHOOSE RATING</t>
        </is>
      </c>
      <c r="DV87" s="40" t="inlineStr">
        <is>
          <t>CHOOSE RATING</t>
        </is>
      </c>
      <c r="DW87" s="40" t="inlineStr">
        <is>
          <t>CHOOSE RATING</t>
        </is>
      </c>
      <c r="DX87" s="40" t="inlineStr">
        <is>
          <t>CHOOSE RATING</t>
        </is>
      </c>
      <c r="DY87" s="40" t="inlineStr">
        <is>
          <t>CHOOSE RATING</t>
        </is>
      </c>
      <c r="DZ87" s="53" t="inlineStr">
        <is>
          <t>CHOOSE RATING</t>
        </is>
      </c>
      <c r="EA87" s="54" t="inlineStr">
        <is>
          <t>Add the Tutor's Comment . . .</t>
        </is>
      </c>
      <c r="EB87" s="55" t="inlineStr">
        <is>
          <t>Choose Principals comment</t>
        </is>
      </c>
      <c r="EC87" s="56" t="n"/>
      <c r="ED87" s="57" t="inlineStr">
        <is>
          <t>Next Term Begins on Monday, 22nd September, 2025</t>
        </is>
      </c>
    </row>
    <row r="88" ht="30.6" customHeight="1" s="6">
      <c r="A88" s="18" t="n">
        <v>85</v>
      </c>
      <c r="B88" s="19" t="n"/>
      <c r="C88" s="20" t="n"/>
      <c r="D88" s="128" t="n"/>
      <c r="E88" s="21" t="n"/>
      <c r="F88" s="22" t="n"/>
      <c r="G88" s="22" t="n"/>
      <c r="H88" s="22" t="n"/>
      <c r="I88" s="26">
        <f>G88-H88</f>
        <v/>
      </c>
      <c r="J88" s="21" t="n"/>
      <c r="K88" s="21" t="n"/>
      <c r="L88" s="27">
        <f>SUM(J88:K88)</f>
        <v/>
      </c>
      <c r="M88" s="28" t="n"/>
      <c r="N88" s="28" t="n"/>
      <c r="O88" s="29">
        <f>IF(AND(L88=0,M88=0,N88=0),0,IF(AND(L88=0,M88=0),N88/1,IF(AND(L88=0,N88=0),M88/1,IF(AND(M88=0,N88=0),L88/1,IF(L88=0,FLOOR((M88+N88)/2,0.1),IF(M88=0,(L88+N88)/2,IF(N88=0,(M88+L88)/2,FLOOR(((L88+M88+N88)/3),0.1))))))))</f>
        <v/>
      </c>
      <c r="P88" s="21" t="n"/>
      <c r="Q88" s="21" t="n"/>
      <c r="R88" s="27">
        <f>SUM(P88:Q88)</f>
        <v/>
      </c>
      <c r="S88" s="28" t="n"/>
      <c r="T88" s="28" t="n"/>
      <c r="U88" s="29">
        <f>IF(AND(R88=0,S88=0,T88=0),0,IF(AND(R88=0,S88=0),T88/1,IF(AND(R88=0,T88=0),S88/1,IF(AND(S88=0,T88=0),R88/1,IF(R88=0,FLOOR((S88+T88)/2,0.1),IF(S88=0,(R88+T88)/2,IF(T88=0,(S88+R88)/2,FLOOR(((R88+S88+T88)/3),0.1))))))))</f>
        <v/>
      </c>
      <c r="V88" s="21" t="n"/>
      <c r="W88" s="21" t="n"/>
      <c r="X88" s="27">
        <f>SUM(V88:W88)</f>
        <v/>
      </c>
      <c r="Y88" s="28" t="n"/>
      <c r="Z88" s="28" t="n"/>
      <c r="AA88" s="29">
        <f>IF(AND(X88=0,Y88=0,Z88=0),0,IF(AND(X88=0,Y88=0),Z88/1,IF(AND(X88=0,Z88=0),Y88/1,IF(AND(Y88=0,Z88=0),X88/1,IF(X88=0,FLOOR((Y88+Z88)/2,0.1),IF(Y88=0,(X88+Z88)/2,IF(Z88=0,(Y88+X88)/2,FLOOR(((X88+Y88+Z88)/3),0.1))))))))</f>
        <v/>
      </c>
      <c r="AB88" s="21" t="n"/>
      <c r="AC88" s="21" t="n"/>
      <c r="AD88" s="27">
        <f>SUM(AB88:AC88)</f>
        <v/>
      </c>
      <c r="AE88" s="28" t="n"/>
      <c r="AF88" s="28" t="n"/>
      <c r="AG88" s="29">
        <f>IF(AND(AD88=0,AE88=0,AF88=0),0,IF(AND(AD88=0,AE88=0),AF88/1,IF(AND(AD88=0,AF88=0),AE88/1,IF(AND(AE88=0,AF88=0),AD88/1,IF(AD88=0,FLOOR((AE88+AF88)/2,0.1),IF(AE88=0,(AD88+AF88)/2,IF(AF88=0,(AE88+AD88)/2,FLOOR(((AD88+AE88+AF88)/3),0.1))))))))</f>
        <v/>
      </c>
      <c r="AH88" s="21" t="n"/>
      <c r="AI88" s="21" t="n"/>
      <c r="AJ88" s="27">
        <f>SUM(AH88:AI88)</f>
        <v/>
      </c>
      <c r="AK88" s="28" t="n"/>
      <c r="AL88" s="28" t="n"/>
      <c r="AM88" s="29">
        <f>IF(AND(AJ88=0,AK88=0,AL88=0),0,IF(AND(AJ88=0,AK88=0),AL88/1,IF(AND(AJ88=0,AL88=0),AK88/1,IF(AND(AK88=0,AL88=0),AJ88/1,IF(AJ88=0,FLOOR((AK88+AL88)/2,0.1),IF(AK88=0,(AJ88+AL88)/2,IF(AL88=0,(AK88+AJ88)/2,FLOOR(((AJ88+AK88+AL88)/3),0.1))))))))</f>
        <v/>
      </c>
      <c r="AN88" s="21" t="n"/>
      <c r="AO88" s="21" t="n"/>
      <c r="AP88" s="27">
        <f>SUM(AN88:AO88)</f>
        <v/>
      </c>
      <c r="AQ88" s="28" t="n"/>
      <c r="AR88" s="30" t="n"/>
      <c r="AS88" s="29">
        <f>IF(AND(AP88=0,AQ88=0,AR88=0),0,IF(AND(AP88=0,AQ88=0),AR88/1,IF(AND(AP88=0,AR88=0),AQ88/1,IF(AND(AQ88=0,AR88=0),AP88/1,IF(AP88=0,FLOOR((AQ88+AR88)/2,0.1),IF(AQ88=0,(AP88+AR88)/2,IF(AR88=0,(AQ88+AP88)/2,FLOOR(((AP88+AQ88+AR88)/3),0.1))))))))</f>
        <v/>
      </c>
      <c r="AT88" s="21" t="n"/>
      <c r="AU88" s="21" t="n"/>
      <c r="AV88" s="27">
        <f>SUM(AT88:AU88)</f>
        <v/>
      </c>
      <c r="AW88" s="28" t="n"/>
      <c r="AX88" s="30" t="n"/>
      <c r="AY88" s="29">
        <f>IF(AND(AV88=0,AW88=0,AX88=0),0,IF(AND(AV88=0,AW88=0),AX88/1,IF(AND(AV88=0,AX88=0),AW88/1,IF(AND(AW88=0,AX88=0),AV88/1,IF(AV88=0,FLOOR((AW88+AX88)/2,0.1),IF(AW88=0,(AV88+AX88)/2,IF(AX88=0,(AW88+AV88)/2,FLOOR(((AV88+AW88+AX88)/3),0.1))))))))</f>
        <v/>
      </c>
      <c r="AZ88" s="21" t="n"/>
      <c r="BA88" s="21" t="n"/>
      <c r="BB88" s="27">
        <f>SUM(AZ88:BA88)</f>
        <v/>
      </c>
      <c r="BC88" s="28" t="n"/>
      <c r="BD88" s="28" t="n"/>
      <c r="BE88" s="29">
        <f>IF(AND(BB88=0,BC88=0,BD88=0),0,IF(AND(BB88=0,BC88=0),BD88/1,IF(AND(BB88=0,BD88=0),BC88/1,IF(AND(BC88=0,BD88=0),BB88/1,IF(BB88=0,FLOOR((BC88+BD88)/2,0.1),IF(BC88=0,(BB88+BD88)/2,IF(BD88=0,(BC88+BB88)/2,FLOOR(((BB88+BC88+BD88)/3),0.1))))))))</f>
        <v/>
      </c>
      <c r="BF88" s="21" t="n"/>
      <c r="BG88" s="21" t="n"/>
      <c r="BH88" s="27">
        <f>SUM(BF88:BG88)</f>
        <v/>
      </c>
      <c r="BI88" s="28" t="n"/>
      <c r="BJ88" s="28" t="n"/>
      <c r="BK88" s="29">
        <f>IF(AND(BH88=0,BI88=0,BJ88=0),0,IF(AND(BH88=0,BI88=0),BJ88/1,IF(AND(BH88=0,BJ88=0),BI88/1,IF(AND(BI88=0,BJ88=0),BH88/1,IF(BH88=0,FLOOR((BI88+BJ88)/2,0.1),IF(BI88=0,(BH88+BJ88)/2,IF(BJ88=0,(BI88+BH88)/2,FLOOR(((BH88+BI88+BJ88)/3),0.1))))))))</f>
        <v/>
      </c>
      <c r="BL88" s="21" t="n"/>
      <c r="BM88" s="21" t="n"/>
      <c r="BN88" s="27">
        <f>SUM(BL88:BM88)</f>
        <v/>
      </c>
      <c r="BO88" s="28" t="n"/>
      <c r="BP88" s="31" t="n"/>
      <c r="BQ88" s="29">
        <f>IF(AND(BN88=0,BO88=0,BP88=0),0,IF(AND(BN88=0,BO88=0),BP88/1,IF(AND(BN88=0,BP88=0),BO88/1,IF(AND(BO88=0,BP88=0),BN88/1,IF(BN88=0,FLOOR((BO88+BP88)/2,0.1),IF(BO88=0,(BN88+BP88)/2,IF(BP88=0,(BO88+BN88)/2,FLOOR(((BN88+BO88+BP88)/3),0.1))))))))</f>
        <v/>
      </c>
      <c r="BR88" s="21" t="n"/>
      <c r="BS88" s="21" t="n"/>
      <c r="BT88" s="27">
        <f>SUM(BR88:BS88)</f>
        <v/>
      </c>
      <c r="BU88" s="28" t="n"/>
      <c r="BV88" s="31" t="n"/>
      <c r="BW88" s="29">
        <f>IF(AND(BT88=0,BU88=0,BV88=0),0,IF(AND(BT88=0,BU88=0),BV88/1,IF(AND(BT88=0,BV88=0),BU88/1,IF(AND(BU88=0,BV88=0),BT88/1,IF(BT88=0,FLOOR((BU88+BV88)/2,0.1),IF(BU88=0,(BT88+BV88)/2,IF(BV88=0,(BU88+BT88)/2,FLOOR(((BT88+BU88+BV88)/3),0.1))))))))</f>
        <v/>
      </c>
      <c r="BX88" s="21" t="n"/>
      <c r="BY88" s="21" t="n"/>
      <c r="BZ88" s="27">
        <f>SUM(BX88:BY88)</f>
        <v/>
      </c>
      <c r="CA88" s="28" t="n"/>
      <c r="CB88" s="31" t="n"/>
      <c r="CC88" s="29">
        <f>IF(AND(BZ88=0,CA88=0,CB88=0),0,IF(AND(BZ88=0,CA88=0),CB88/1,IF(AND(BZ88=0,CB88=0),CA88/1,IF(AND(CA88=0,CB88=0),BZ88/1,IF(BZ88=0,FLOOR((CA88+CB88)/2,0.1),IF(CA88=0,(BZ88+CB88)/2,IF(CB88=0,(CA88+BZ88)/2,FLOOR(((BZ88+CA88+CB88)/3),0.1))))))))</f>
        <v/>
      </c>
      <c r="CD88" s="21" t="n"/>
      <c r="CE88" s="21" t="n"/>
      <c r="CF88" s="27">
        <f>SUM(CD88:CE88)</f>
        <v/>
      </c>
      <c r="CG88" s="28" t="n"/>
      <c r="CH88" s="31" t="n"/>
      <c r="CI88" s="29">
        <f>IF(AND(CF88=0,CG88=0,CH88=0),0,IF(AND(CF88=0,CG88=0),CH88/1,IF(AND(CF88=0,CH88=0),CG88/1,IF(AND(CG88=0,CH88=0),CF88/1,IF(CF88=0,FLOOR((CG88+CH88)/2,0.1),IF(CG88=0,(CF88+CH88)/2,IF(CH88=0,(CG88+CF88)/2,FLOOR(((CF88+CG88+CH88)/3),0.1))))))))</f>
        <v/>
      </c>
      <c r="CJ88" s="21" t="n"/>
      <c r="CK88" s="21" t="n"/>
      <c r="CL88" s="27">
        <f>SUM(CJ88:CK88)</f>
        <v/>
      </c>
      <c r="CM88" s="28" t="n"/>
      <c r="CN88" s="31" t="n"/>
      <c r="CO88" s="29">
        <f>IF(AND(CL88=0,CM88=0,CN88=0),0,IF(AND(CL88=0,CM88=0),CN88/1,IF(AND(CL88=0,CN88=0),CM88/1,IF(AND(CM88=0,CN88=0),CL88/1,IF(CL88=0,FLOOR((CM88+CN88)/2,0.1),IF(CM88=0,(CL88+CN88)/2,IF(CN88=0,(CM88+CL88)/2,FLOOR(((CL88+CM88+CN88)/3),0.1))))))))</f>
        <v/>
      </c>
      <c r="CP88" s="21" t="n"/>
      <c r="CQ88" s="21" t="n"/>
      <c r="CR88" s="27">
        <f>SUM(CP88:CQ88)</f>
        <v/>
      </c>
      <c r="CS88" s="28" t="n"/>
      <c r="CT88" s="31" t="n"/>
      <c r="CU88" s="29">
        <f>IF(AND(CR88=0,CS88=0,CT88=0),0,IF(AND(CR88=0,CS88=0),CT88/1,IF(AND(CR88=0,CT88=0),CS88/1,IF(AND(CS88=0,CT88=0),CR88/1,IF(CR88=0,FLOOR((CS88+CT88)/2,0.1),IF(CS88=0,(CR88+CT88)/2,IF(CT88=0,(CS88+CR88)/2,FLOOR(((CR88+CS88+CT88)/3),0.1))))))))</f>
        <v/>
      </c>
      <c r="CV88" s="21" t="n"/>
      <c r="CW88" s="21" t="n"/>
      <c r="CX88" s="27">
        <f>SUM(CV88:CW88)</f>
        <v/>
      </c>
      <c r="CY88" s="28" t="n"/>
      <c r="CZ88" s="31" t="n"/>
      <c r="DA88" s="29">
        <f>IF(AND(CX88=0,CY88=0,CZ88=0),0,IF(AND(CX88=0,CY88=0),CZ88/1,IF(AND(CX88=0,CZ88=0),CY88/1,IF(AND(CY88=0,CZ88=0),CX88/1,IF(CX88=0,FLOOR((CY88+CZ88)/2,0.1),IF(CY88=0,(CX88+CZ88)/2,IF(CZ88=0,(CY88+CX88)/2,FLOOR(((CX88+CY88+CZ88)/3),0.1))))))))</f>
        <v/>
      </c>
      <c r="DB88" s="21" t="n"/>
      <c r="DC88" s="21" t="n"/>
      <c r="DD88" s="27">
        <f>SUM(DB88:DC88)</f>
        <v/>
      </c>
      <c r="DE88" s="28" t="n"/>
      <c r="DF88" s="31" t="n"/>
      <c r="DG88" s="29">
        <f>IF(AND(DD88=0,DE88=0,DF88=0),0,IF(AND(DD88=0,DE88=0),DF88/1,IF(AND(DD88=0,DF88=0),DE88/1,IF(AND(DE88=0,DF88=0),DD88/1,IF(DD88=0,FLOOR((DE88+DF88)/2,0.1),IF(DE88=0,(DD88+DF88)/2,IF(DF88=0,(DE88+DD88)/2,FLOOR(((DD88+DE88+DF88)/3),0.1))))))))</f>
        <v/>
      </c>
      <c r="DH88" s="34">
        <f>SUM(O88,U88,AA88,AG88,AM88,AS88,AY88,BE88,BK88,BQ88,BW88,CC88,CI88,CO88,CU88,DA88,DG88)</f>
        <v/>
      </c>
      <c r="DI88" s="39">
        <f>RANK(DH88,DH$4:DH$503)</f>
        <v/>
      </c>
      <c r="DJ88" s="40" t="inlineStr">
        <is>
          <t>CHOOSE RATING</t>
        </is>
      </c>
      <c r="DK88" s="40" t="inlineStr">
        <is>
          <t>CHOOSE RATING</t>
        </is>
      </c>
      <c r="DL88" s="40" t="inlineStr">
        <is>
          <t>CHOOSE RATING</t>
        </is>
      </c>
      <c r="DM88" s="40" t="inlineStr">
        <is>
          <t>CHOOSE RATING</t>
        </is>
      </c>
      <c r="DN88" s="40" t="inlineStr">
        <is>
          <t>CHOOSE RATING</t>
        </is>
      </c>
      <c r="DO88" s="40" t="inlineStr">
        <is>
          <t>CHOOSE RATING</t>
        </is>
      </c>
      <c r="DP88" s="40" t="inlineStr">
        <is>
          <t>CHOOSE RATING</t>
        </is>
      </c>
      <c r="DQ88" s="40" t="inlineStr">
        <is>
          <t>CHOOSE RATING</t>
        </is>
      </c>
      <c r="DR88" s="43" t="inlineStr">
        <is>
          <t>2024/2025</t>
        </is>
      </c>
      <c r="DS88" s="45" t="inlineStr">
        <is>
          <t>THIRD</t>
        </is>
      </c>
      <c r="DT88" s="40" t="inlineStr">
        <is>
          <t>CHOOSE RATING</t>
        </is>
      </c>
      <c r="DU88" s="40" t="inlineStr">
        <is>
          <t>CHOOSE RATING</t>
        </is>
      </c>
      <c r="DV88" s="40" t="inlineStr">
        <is>
          <t>CHOOSE RATING</t>
        </is>
      </c>
      <c r="DW88" s="40" t="inlineStr">
        <is>
          <t>CHOOSE RATING</t>
        </is>
      </c>
      <c r="DX88" s="40" t="inlineStr">
        <is>
          <t>CHOOSE RATING</t>
        </is>
      </c>
      <c r="DY88" s="40" t="inlineStr">
        <is>
          <t>CHOOSE RATING</t>
        </is>
      </c>
      <c r="DZ88" s="53" t="inlineStr">
        <is>
          <t>CHOOSE RATING</t>
        </is>
      </c>
      <c r="EA88" s="54" t="inlineStr">
        <is>
          <t>Add the Tutor's Comment . . .</t>
        </is>
      </c>
      <c r="EB88" s="55" t="inlineStr">
        <is>
          <t>Choose Principals comment</t>
        </is>
      </c>
      <c r="EC88" s="56" t="n"/>
      <c r="ED88" s="57" t="inlineStr">
        <is>
          <t>Next Term Begins on Monday, 22nd September, 2025</t>
        </is>
      </c>
    </row>
    <row r="89" ht="30.6" customHeight="1" s="6">
      <c r="A89" s="18" t="n">
        <v>86</v>
      </c>
      <c r="B89" s="19" t="n"/>
      <c r="C89" s="20" t="n"/>
      <c r="D89" s="128" t="n"/>
      <c r="E89" s="21" t="n"/>
      <c r="F89" s="22" t="n"/>
      <c r="G89" s="22" t="n"/>
      <c r="H89" s="22" t="n"/>
      <c r="I89" s="26">
        <f>G89-H89</f>
        <v/>
      </c>
      <c r="J89" s="21" t="n"/>
      <c r="K89" s="21" t="n"/>
      <c r="L89" s="27">
        <f>SUM(J89:K89)</f>
        <v/>
      </c>
      <c r="M89" s="28" t="n"/>
      <c r="N89" s="28" t="n"/>
      <c r="O89" s="29">
        <f>IF(AND(L89=0,M89=0,N89=0),0,IF(AND(L89=0,M89=0),N89/1,IF(AND(L89=0,N89=0),M89/1,IF(AND(M89=0,N89=0),L89/1,IF(L89=0,FLOOR((M89+N89)/2,0.1),IF(M89=0,(L89+N89)/2,IF(N89=0,(M89+L89)/2,FLOOR(((L89+M89+N89)/3),0.1))))))))</f>
        <v/>
      </c>
      <c r="P89" s="21" t="n"/>
      <c r="Q89" s="21" t="n"/>
      <c r="R89" s="27">
        <f>SUM(P89:Q89)</f>
        <v/>
      </c>
      <c r="S89" s="28" t="n"/>
      <c r="T89" s="28" t="n"/>
      <c r="U89" s="29">
        <f>IF(AND(R89=0,S89=0,T89=0),0,IF(AND(R89=0,S89=0),T89/1,IF(AND(R89=0,T89=0),S89/1,IF(AND(S89=0,T89=0),R89/1,IF(R89=0,FLOOR((S89+T89)/2,0.1),IF(S89=0,(R89+T89)/2,IF(T89=0,(S89+R89)/2,FLOOR(((R89+S89+T89)/3),0.1))))))))</f>
        <v/>
      </c>
      <c r="V89" s="21" t="n"/>
      <c r="W89" s="21" t="n"/>
      <c r="X89" s="27">
        <f>SUM(V89:W89)</f>
        <v/>
      </c>
      <c r="Y89" s="28" t="n"/>
      <c r="Z89" s="28" t="n"/>
      <c r="AA89" s="29">
        <f>IF(AND(X89=0,Y89=0,Z89=0),0,IF(AND(X89=0,Y89=0),Z89/1,IF(AND(X89=0,Z89=0),Y89/1,IF(AND(Y89=0,Z89=0),X89/1,IF(X89=0,FLOOR((Y89+Z89)/2,0.1),IF(Y89=0,(X89+Z89)/2,IF(Z89=0,(Y89+X89)/2,FLOOR(((X89+Y89+Z89)/3),0.1))))))))</f>
        <v/>
      </c>
      <c r="AB89" s="21" t="n"/>
      <c r="AC89" s="21" t="n"/>
      <c r="AD89" s="27">
        <f>SUM(AB89:AC89)</f>
        <v/>
      </c>
      <c r="AE89" s="28" t="n"/>
      <c r="AF89" s="28" t="n"/>
      <c r="AG89" s="29">
        <f>IF(AND(AD89=0,AE89=0,AF89=0),0,IF(AND(AD89=0,AE89=0),AF89/1,IF(AND(AD89=0,AF89=0),AE89/1,IF(AND(AE89=0,AF89=0),AD89/1,IF(AD89=0,FLOOR((AE89+AF89)/2,0.1),IF(AE89=0,(AD89+AF89)/2,IF(AF89=0,(AE89+AD89)/2,FLOOR(((AD89+AE89+AF89)/3),0.1))))))))</f>
        <v/>
      </c>
      <c r="AH89" s="21" t="n"/>
      <c r="AI89" s="21" t="n"/>
      <c r="AJ89" s="27">
        <f>SUM(AH89:AI89)</f>
        <v/>
      </c>
      <c r="AK89" s="28" t="n"/>
      <c r="AL89" s="28" t="n"/>
      <c r="AM89" s="29">
        <f>IF(AND(AJ89=0,AK89=0,AL89=0),0,IF(AND(AJ89=0,AK89=0),AL89/1,IF(AND(AJ89=0,AL89=0),AK89/1,IF(AND(AK89=0,AL89=0),AJ89/1,IF(AJ89=0,FLOOR((AK89+AL89)/2,0.1),IF(AK89=0,(AJ89+AL89)/2,IF(AL89=0,(AK89+AJ89)/2,FLOOR(((AJ89+AK89+AL89)/3),0.1))))))))</f>
        <v/>
      </c>
      <c r="AN89" s="21" t="n"/>
      <c r="AO89" s="21" t="n"/>
      <c r="AP89" s="27">
        <f>SUM(AN89:AO89)</f>
        <v/>
      </c>
      <c r="AQ89" s="28" t="n"/>
      <c r="AR89" s="30" t="n"/>
      <c r="AS89" s="29">
        <f>IF(AND(AP89=0,AQ89=0,AR89=0),0,IF(AND(AP89=0,AQ89=0),AR89/1,IF(AND(AP89=0,AR89=0),AQ89/1,IF(AND(AQ89=0,AR89=0),AP89/1,IF(AP89=0,FLOOR((AQ89+AR89)/2,0.1),IF(AQ89=0,(AP89+AR89)/2,IF(AR89=0,(AQ89+AP89)/2,FLOOR(((AP89+AQ89+AR89)/3),0.1))))))))</f>
        <v/>
      </c>
      <c r="AT89" s="21" t="n"/>
      <c r="AU89" s="21" t="n"/>
      <c r="AV89" s="27">
        <f>SUM(AT89:AU89)</f>
        <v/>
      </c>
      <c r="AW89" s="28" t="n"/>
      <c r="AX89" s="30" t="n"/>
      <c r="AY89" s="29">
        <f>IF(AND(AV89=0,AW89=0,AX89=0),0,IF(AND(AV89=0,AW89=0),AX89/1,IF(AND(AV89=0,AX89=0),AW89/1,IF(AND(AW89=0,AX89=0),AV89/1,IF(AV89=0,FLOOR((AW89+AX89)/2,0.1),IF(AW89=0,(AV89+AX89)/2,IF(AX89=0,(AW89+AV89)/2,FLOOR(((AV89+AW89+AX89)/3),0.1))))))))</f>
        <v/>
      </c>
      <c r="AZ89" s="21" t="n"/>
      <c r="BA89" s="21" t="n"/>
      <c r="BB89" s="27">
        <f>SUM(AZ89:BA89)</f>
        <v/>
      </c>
      <c r="BC89" s="28" t="n"/>
      <c r="BD89" s="28" t="n"/>
      <c r="BE89" s="29">
        <f>IF(AND(BB89=0,BC89=0,BD89=0),0,IF(AND(BB89=0,BC89=0),BD89/1,IF(AND(BB89=0,BD89=0),BC89/1,IF(AND(BC89=0,BD89=0),BB89/1,IF(BB89=0,FLOOR((BC89+BD89)/2,0.1),IF(BC89=0,(BB89+BD89)/2,IF(BD89=0,(BC89+BB89)/2,FLOOR(((BB89+BC89+BD89)/3),0.1))))))))</f>
        <v/>
      </c>
      <c r="BF89" s="21" t="n"/>
      <c r="BG89" s="21" t="n"/>
      <c r="BH89" s="27">
        <f>SUM(BF89:BG89)</f>
        <v/>
      </c>
      <c r="BI89" s="28" t="n"/>
      <c r="BJ89" s="28" t="n"/>
      <c r="BK89" s="29">
        <f>IF(AND(BH89=0,BI89=0,BJ89=0),0,IF(AND(BH89=0,BI89=0),BJ89/1,IF(AND(BH89=0,BJ89=0),BI89/1,IF(AND(BI89=0,BJ89=0),BH89/1,IF(BH89=0,FLOOR((BI89+BJ89)/2,0.1),IF(BI89=0,(BH89+BJ89)/2,IF(BJ89=0,(BI89+BH89)/2,FLOOR(((BH89+BI89+BJ89)/3),0.1))))))))</f>
        <v/>
      </c>
      <c r="BL89" s="21" t="n"/>
      <c r="BM89" s="21" t="n"/>
      <c r="BN89" s="27">
        <f>SUM(BL89:BM89)</f>
        <v/>
      </c>
      <c r="BO89" s="28" t="n"/>
      <c r="BP89" s="31" t="n"/>
      <c r="BQ89" s="29">
        <f>IF(AND(BN89=0,BO89=0,BP89=0),0,IF(AND(BN89=0,BO89=0),BP89/1,IF(AND(BN89=0,BP89=0),BO89/1,IF(AND(BO89=0,BP89=0),BN89/1,IF(BN89=0,FLOOR((BO89+BP89)/2,0.1),IF(BO89=0,(BN89+BP89)/2,IF(BP89=0,(BO89+BN89)/2,FLOOR(((BN89+BO89+BP89)/3),0.1))))))))</f>
        <v/>
      </c>
      <c r="BR89" s="21" t="n"/>
      <c r="BS89" s="21" t="n"/>
      <c r="BT89" s="27">
        <f>SUM(BR89:BS89)</f>
        <v/>
      </c>
      <c r="BU89" s="28" t="n"/>
      <c r="BV89" s="31" t="n"/>
      <c r="BW89" s="29">
        <f>IF(AND(BT89=0,BU89=0,BV89=0),0,IF(AND(BT89=0,BU89=0),BV89/1,IF(AND(BT89=0,BV89=0),BU89/1,IF(AND(BU89=0,BV89=0),BT89/1,IF(BT89=0,FLOOR((BU89+BV89)/2,0.1),IF(BU89=0,(BT89+BV89)/2,IF(BV89=0,(BU89+BT89)/2,FLOOR(((BT89+BU89+BV89)/3),0.1))))))))</f>
        <v/>
      </c>
      <c r="BX89" s="21" t="n"/>
      <c r="BY89" s="21" t="n"/>
      <c r="BZ89" s="27">
        <f>SUM(BX89:BY89)</f>
        <v/>
      </c>
      <c r="CA89" s="28" t="n"/>
      <c r="CB89" s="31" t="n"/>
      <c r="CC89" s="29">
        <f>IF(AND(BZ89=0,CA89=0,CB89=0),0,IF(AND(BZ89=0,CA89=0),CB89/1,IF(AND(BZ89=0,CB89=0),CA89/1,IF(AND(CA89=0,CB89=0),BZ89/1,IF(BZ89=0,FLOOR((CA89+CB89)/2,0.1),IF(CA89=0,(BZ89+CB89)/2,IF(CB89=0,(CA89+BZ89)/2,FLOOR(((BZ89+CA89+CB89)/3),0.1))))))))</f>
        <v/>
      </c>
      <c r="CD89" s="21" t="n"/>
      <c r="CE89" s="21" t="n"/>
      <c r="CF89" s="27">
        <f>SUM(CD89:CE89)</f>
        <v/>
      </c>
      <c r="CG89" s="28" t="n"/>
      <c r="CH89" s="31" t="n"/>
      <c r="CI89" s="29">
        <f>IF(AND(CF89=0,CG89=0,CH89=0),0,IF(AND(CF89=0,CG89=0),CH89/1,IF(AND(CF89=0,CH89=0),CG89/1,IF(AND(CG89=0,CH89=0),CF89/1,IF(CF89=0,FLOOR((CG89+CH89)/2,0.1),IF(CG89=0,(CF89+CH89)/2,IF(CH89=0,(CG89+CF89)/2,FLOOR(((CF89+CG89+CH89)/3),0.1))))))))</f>
        <v/>
      </c>
      <c r="CJ89" s="21" t="n"/>
      <c r="CK89" s="21" t="n"/>
      <c r="CL89" s="27">
        <f>SUM(CJ89:CK89)</f>
        <v/>
      </c>
      <c r="CM89" s="28" t="n"/>
      <c r="CN89" s="31" t="n"/>
      <c r="CO89" s="29">
        <f>IF(AND(CL89=0,CM89=0,CN89=0),0,IF(AND(CL89=0,CM89=0),CN89/1,IF(AND(CL89=0,CN89=0),CM89/1,IF(AND(CM89=0,CN89=0),CL89/1,IF(CL89=0,FLOOR((CM89+CN89)/2,0.1),IF(CM89=0,(CL89+CN89)/2,IF(CN89=0,(CM89+CL89)/2,FLOOR(((CL89+CM89+CN89)/3),0.1))))))))</f>
        <v/>
      </c>
      <c r="CP89" s="21" t="n"/>
      <c r="CQ89" s="21" t="n"/>
      <c r="CR89" s="27">
        <f>SUM(CP89:CQ89)</f>
        <v/>
      </c>
      <c r="CS89" s="28" t="n"/>
      <c r="CT89" s="31" t="n"/>
      <c r="CU89" s="29">
        <f>IF(AND(CR89=0,CS89=0,CT89=0),0,IF(AND(CR89=0,CS89=0),CT89/1,IF(AND(CR89=0,CT89=0),CS89/1,IF(AND(CS89=0,CT89=0),CR89/1,IF(CR89=0,FLOOR((CS89+CT89)/2,0.1),IF(CS89=0,(CR89+CT89)/2,IF(CT89=0,(CS89+CR89)/2,FLOOR(((CR89+CS89+CT89)/3),0.1))))))))</f>
        <v/>
      </c>
      <c r="CV89" s="21" t="n"/>
      <c r="CW89" s="21" t="n"/>
      <c r="CX89" s="27">
        <f>SUM(CV89:CW89)</f>
        <v/>
      </c>
      <c r="CY89" s="28" t="n"/>
      <c r="CZ89" s="31" t="n"/>
      <c r="DA89" s="29">
        <f>IF(AND(CX89=0,CY89=0,CZ89=0),0,IF(AND(CX89=0,CY89=0),CZ89/1,IF(AND(CX89=0,CZ89=0),CY89/1,IF(AND(CY89=0,CZ89=0),CX89/1,IF(CX89=0,FLOOR((CY89+CZ89)/2,0.1),IF(CY89=0,(CX89+CZ89)/2,IF(CZ89=0,(CY89+CX89)/2,FLOOR(((CX89+CY89+CZ89)/3),0.1))))))))</f>
        <v/>
      </c>
      <c r="DB89" s="21" t="n"/>
      <c r="DC89" s="21" t="n"/>
      <c r="DD89" s="27">
        <f>SUM(DB89:DC89)</f>
        <v/>
      </c>
      <c r="DE89" s="28" t="n"/>
      <c r="DF89" s="31" t="n"/>
      <c r="DG89" s="29">
        <f>IF(AND(DD89=0,DE89=0,DF89=0),0,IF(AND(DD89=0,DE89=0),DF89/1,IF(AND(DD89=0,DF89=0),DE89/1,IF(AND(DE89=0,DF89=0),DD89/1,IF(DD89=0,FLOOR((DE89+DF89)/2,0.1),IF(DE89=0,(DD89+DF89)/2,IF(DF89=0,(DE89+DD89)/2,FLOOR(((DD89+DE89+DF89)/3),0.1))))))))</f>
        <v/>
      </c>
      <c r="DH89" s="34">
        <f>SUM(O89,U89,AA89,AG89,AM89,AS89,AY89,BE89,BK89,BQ89,BW89,CC89,CI89,CO89,CU89,DA89,DG89)</f>
        <v/>
      </c>
      <c r="DI89" s="39">
        <f>RANK(DH89,DH$4:DH$503)</f>
        <v/>
      </c>
      <c r="DJ89" s="40" t="inlineStr">
        <is>
          <t>CHOOSE RATING</t>
        </is>
      </c>
      <c r="DK89" s="40" t="inlineStr">
        <is>
          <t>CHOOSE RATING</t>
        </is>
      </c>
      <c r="DL89" s="40" t="inlineStr">
        <is>
          <t>CHOOSE RATING</t>
        </is>
      </c>
      <c r="DM89" s="40" t="inlineStr">
        <is>
          <t>CHOOSE RATING</t>
        </is>
      </c>
      <c r="DN89" s="40" t="inlineStr">
        <is>
          <t>CHOOSE RATING</t>
        </is>
      </c>
      <c r="DO89" s="40" t="inlineStr">
        <is>
          <t>CHOOSE RATING</t>
        </is>
      </c>
      <c r="DP89" s="40" t="inlineStr">
        <is>
          <t>CHOOSE RATING</t>
        </is>
      </c>
      <c r="DQ89" s="40" t="inlineStr">
        <is>
          <t>CHOOSE RATING</t>
        </is>
      </c>
      <c r="DR89" s="43" t="inlineStr">
        <is>
          <t>2024/2025</t>
        </is>
      </c>
      <c r="DS89" s="45" t="inlineStr">
        <is>
          <t>THIRD</t>
        </is>
      </c>
      <c r="DT89" s="40" t="inlineStr">
        <is>
          <t>CHOOSE RATING</t>
        </is>
      </c>
      <c r="DU89" s="40" t="inlineStr">
        <is>
          <t>CHOOSE RATING</t>
        </is>
      </c>
      <c r="DV89" s="40" t="inlineStr">
        <is>
          <t>CHOOSE RATING</t>
        </is>
      </c>
      <c r="DW89" s="40" t="inlineStr">
        <is>
          <t>CHOOSE RATING</t>
        </is>
      </c>
      <c r="DX89" s="40" t="inlineStr">
        <is>
          <t>CHOOSE RATING</t>
        </is>
      </c>
      <c r="DY89" s="40" t="inlineStr">
        <is>
          <t>CHOOSE RATING</t>
        </is>
      </c>
      <c r="DZ89" s="53" t="inlineStr">
        <is>
          <t>CHOOSE RATING</t>
        </is>
      </c>
      <c r="EA89" s="54" t="inlineStr">
        <is>
          <t>Add the Tutor's Comment . . .</t>
        </is>
      </c>
      <c r="EB89" s="55" t="inlineStr">
        <is>
          <t>Choose Principals comment</t>
        </is>
      </c>
      <c r="EC89" s="56" t="n"/>
      <c r="ED89" s="57" t="inlineStr">
        <is>
          <t>Next Term Begins on Monday, 22nd September, 2025</t>
        </is>
      </c>
    </row>
    <row r="90" ht="30.6" customHeight="1" s="6">
      <c r="A90" s="18" t="n">
        <v>87</v>
      </c>
      <c r="B90" s="19" t="n"/>
      <c r="C90" s="20" t="n"/>
      <c r="D90" s="128" t="n"/>
      <c r="E90" s="21" t="n"/>
      <c r="F90" s="22" t="n"/>
      <c r="G90" s="22" t="n"/>
      <c r="H90" s="22" t="n"/>
      <c r="I90" s="26">
        <f>G90-H90</f>
        <v/>
      </c>
      <c r="J90" s="21" t="n"/>
      <c r="K90" s="21" t="n"/>
      <c r="L90" s="27">
        <f>SUM(J90:K90)</f>
        <v/>
      </c>
      <c r="M90" s="28" t="n"/>
      <c r="N90" s="28" t="n"/>
      <c r="O90" s="29">
        <f>IF(AND(L90=0,M90=0,N90=0),0,IF(AND(L90=0,M90=0),N90/1,IF(AND(L90=0,N90=0),M90/1,IF(AND(M90=0,N90=0),L90/1,IF(L90=0,FLOOR((M90+N90)/2,0.1),IF(M90=0,(L90+N90)/2,IF(N90=0,(M90+L90)/2,FLOOR(((L90+M90+N90)/3),0.1))))))))</f>
        <v/>
      </c>
      <c r="P90" s="21" t="n"/>
      <c r="Q90" s="21" t="n"/>
      <c r="R90" s="27">
        <f>SUM(P90:Q90)</f>
        <v/>
      </c>
      <c r="S90" s="28" t="n"/>
      <c r="T90" s="28" t="n"/>
      <c r="U90" s="29">
        <f>IF(AND(R90=0,S90=0,T90=0),0,IF(AND(R90=0,S90=0),T90/1,IF(AND(R90=0,T90=0),S90/1,IF(AND(S90=0,T90=0),R90/1,IF(R90=0,FLOOR((S90+T90)/2,0.1),IF(S90=0,(R90+T90)/2,IF(T90=0,(S90+R90)/2,FLOOR(((R90+S90+T90)/3),0.1))))))))</f>
        <v/>
      </c>
      <c r="V90" s="21" t="n"/>
      <c r="W90" s="21" t="n"/>
      <c r="X90" s="27">
        <f>SUM(V90:W90)</f>
        <v/>
      </c>
      <c r="Y90" s="28" t="n"/>
      <c r="Z90" s="28" t="n"/>
      <c r="AA90" s="29">
        <f>IF(AND(X90=0,Y90=0,Z90=0),0,IF(AND(X90=0,Y90=0),Z90/1,IF(AND(X90=0,Z90=0),Y90/1,IF(AND(Y90=0,Z90=0),X90/1,IF(X90=0,FLOOR((Y90+Z90)/2,0.1),IF(Y90=0,(X90+Z90)/2,IF(Z90=0,(Y90+X90)/2,FLOOR(((X90+Y90+Z90)/3),0.1))))))))</f>
        <v/>
      </c>
      <c r="AB90" s="21" t="n"/>
      <c r="AC90" s="21" t="n"/>
      <c r="AD90" s="27">
        <f>SUM(AB90:AC90)</f>
        <v/>
      </c>
      <c r="AE90" s="28" t="n"/>
      <c r="AF90" s="28" t="n"/>
      <c r="AG90" s="29">
        <f>IF(AND(AD90=0,AE90=0,AF90=0),0,IF(AND(AD90=0,AE90=0),AF90/1,IF(AND(AD90=0,AF90=0),AE90/1,IF(AND(AE90=0,AF90=0),AD90/1,IF(AD90=0,FLOOR((AE90+AF90)/2,0.1),IF(AE90=0,(AD90+AF90)/2,IF(AF90=0,(AE90+AD90)/2,FLOOR(((AD90+AE90+AF90)/3),0.1))))))))</f>
        <v/>
      </c>
      <c r="AH90" s="21" t="n"/>
      <c r="AI90" s="21" t="n"/>
      <c r="AJ90" s="27">
        <f>SUM(AH90:AI90)</f>
        <v/>
      </c>
      <c r="AK90" s="28" t="n"/>
      <c r="AL90" s="28" t="n"/>
      <c r="AM90" s="29">
        <f>IF(AND(AJ90=0,AK90=0,AL90=0),0,IF(AND(AJ90=0,AK90=0),AL90/1,IF(AND(AJ90=0,AL90=0),AK90/1,IF(AND(AK90=0,AL90=0),AJ90/1,IF(AJ90=0,FLOOR((AK90+AL90)/2,0.1),IF(AK90=0,(AJ90+AL90)/2,IF(AL90=0,(AK90+AJ90)/2,FLOOR(((AJ90+AK90+AL90)/3),0.1))))))))</f>
        <v/>
      </c>
      <c r="AN90" s="21" t="n"/>
      <c r="AO90" s="21" t="n"/>
      <c r="AP90" s="27">
        <f>SUM(AN90:AO90)</f>
        <v/>
      </c>
      <c r="AQ90" s="28" t="n"/>
      <c r="AR90" s="30" t="n"/>
      <c r="AS90" s="29">
        <f>IF(AND(AP90=0,AQ90=0,AR90=0),0,IF(AND(AP90=0,AQ90=0),AR90/1,IF(AND(AP90=0,AR90=0),AQ90/1,IF(AND(AQ90=0,AR90=0),AP90/1,IF(AP90=0,FLOOR((AQ90+AR90)/2,0.1),IF(AQ90=0,(AP90+AR90)/2,IF(AR90=0,(AQ90+AP90)/2,FLOOR(((AP90+AQ90+AR90)/3),0.1))))))))</f>
        <v/>
      </c>
      <c r="AT90" s="21" t="n"/>
      <c r="AU90" s="21" t="n"/>
      <c r="AV90" s="27">
        <f>SUM(AT90:AU90)</f>
        <v/>
      </c>
      <c r="AW90" s="28" t="n"/>
      <c r="AX90" s="30" t="n"/>
      <c r="AY90" s="29">
        <f>IF(AND(AV90=0,AW90=0,AX90=0),0,IF(AND(AV90=0,AW90=0),AX90/1,IF(AND(AV90=0,AX90=0),AW90/1,IF(AND(AW90=0,AX90=0),AV90/1,IF(AV90=0,FLOOR((AW90+AX90)/2,0.1),IF(AW90=0,(AV90+AX90)/2,IF(AX90=0,(AW90+AV90)/2,FLOOR(((AV90+AW90+AX90)/3),0.1))))))))</f>
        <v/>
      </c>
      <c r="AZ90" s="21" t="n"/>
      <c r="BA90" s="21" t="n"/>
      <c r="BB90" s="27">
        <f>SUM(AZ90:BA90)</f>
        <v/>
      </c>
      <c r="BC90" s="28" t="n"/>
      <c r="BD90" s="28" t="n"/>
      <c r="BE90" s="29">
        <f>IF(AND(BB90=0,BC90=0,BD90=0),0,IF(AND(BB90=0,BC90=0),BD90/1,IF(AND(BB90=0,BD90=0),BC90/1,IF(AND(BC90=0,BD90=0),BB90/1,IF(BB90=0,FLOOR((BC90+BD90)/2,0.1),IF(BC90=0,(BB90+BD90)/2,IF(BD90=0,(BC90+BB90)/2,FLOOR(((BB90+BC90+BD90)/3),0.1))))))))</f>
        <v/>
      </c>
      <c r="BF90" s="21" t="n"/>
      <c r="BG90" s="21" t="n"/>
      <c r="BH90" s="27">
        <f>SUM(BF90:BG90)</f>
        <v/>
      </c>
      <c r="BI90" s="28" t="n"/>
      <c r="BJ90" s="28" t="n"/>
      <c r="BK90" s="29">
        <f>IF(AND(BH90=0,BI90=0,BJ90=0),0,IF(AND(BH90=0,BI90=0),BJ90/1,IF(AND(BH90=0,BJ90=0),BI90/1,IF(AND(BI90=0,BJ90=0),BH90/1,IF(BH90=0,FLOOR((BI90+BJ90)/2,0.1),IF(BI90=0,(BH90+BJ90)/2,IF(BJ90=0,(BI90+BH90)/2,FLOOR(((BH90+BI90+BJ90)/3),0.1))))))))</f>
        <v/>
      </c>
      <c r="BL90" s="21" t="n"/>
      <c r="BM90" s="21" t="n"/>
      <c r="BN90" s="27">
        <f>SUM(BL90:BM90)</f>
        <v/>
      </c>
      <c r="BO90" s="28" t="n"/>
      <c r="BP90" s="31" t="n"/>
      <c r="BQ90" s="29">
        <f>IF(AND(BN90=0,BO90=0,BP90=0),0,IF(AND(BN90=0,BO90=0),BP90/1,IF(AND(BN90=0,BP90=0),BO90/1,IF(AND(BO90=0,BP90=0),BN90/1,IF(BN90=0,FLOOR((BO90+BP90)/2,0.1),IF(BO90=0,(BN90+BP90)/2,IF(BP90=0,(BO90+BN90)/2,FLOOR(((BN90+BO90+BP90)/3),0.1))))))))</f>
        <v/>
      </c>
      <c r="BR90" s="21" t="n"/>
      <c r="BS90" s="21" t="n"/>
      <c r="BT90" s="27">
        <f>SUM(BR90:BS90)</f>
        <v/>
      </c>
      <c r="BU90" s="28" t="n"/>
      <c r="BV90" s="31" t="n"/>
      <c r="BW90" s="29">
        <f>IF(AND(BT90=0,BU90=0,BV90=0),0,IF(AND(BT90=0,BU90=0),BV90/1,IF(AND(BT90=0,BV90=0),BU90/1,IF(AND(BU90=0,BV90=0),BT90/1,IF(BT90=0,FLOOR((BU90+BV90)/2,0.1),IF(BU90=0,(BT90+BV90)/2,IF(BV90=0,(BU90+BT90)/2,FLOOR(((BT90+BU90+BV90)/3),0.1))))))))</f>
        <v/>
      </c>
      <c r="BX90" s="21" t="n"/>
      <c r="BY90" s="21" t="n"/>
      <c r="BZ90" s="27">
        <f>SUM(BX90:BY90)</f>
        <v/>
      </c>
      <c r="CA90" s="28" t="n"/>
      <c r="CB90" s="31" t="n"/>
      <c r="CC90" s="29">
        <f>IF(AND(BZ90=0,CA90=0,CB90=0),0,IF(AND(BZ90=0,CA90=0),CB90/1,IF(AND(BZ90=0,CB90=0),CA90/1,IF(AND(CA90=0,CB90=0),BZ90/1,IF(BZ90=0,FLOOR((CA90+CB90)/2,0.1),IF(CA90=0,(BZ90+CB90)/2,IF(CB90=0,(CA90+BZ90)/2,FLOOR(((BZ90+CA90+CB90)/3),0.1))))))))</f>
        <v/>
      </c>
      <c r="CD90" s="21" t="n"/>
      <c r="CE90" s="21" t="n"/>
      <c r="CF90" s="27">
        <f>SUM(CD90:CE90)</f>
        <v/>
      </c>
      <c r="CG90" s="28" t="n"/>
      <c r="CH90" s="31" t="n"/>
      <c r="CI90" s="29">
        <f>IF(AND(CF90=0,CG90=0,CH90=0),0,IF(AND(CF90=0,CG90=0),CH90/1,IF(AND(CF90=0,CH90=0),CG90/1,IF(AND(CG90=0,CH90=0),CF90/1,IF(CF90=0,FLOOR((CG90+CH90)/2,0.1),IF(CG90=0,(CF90+CH90)/2,IF(CH90=0,(CG90+CF90)/2,FLOOR(((CF90+CG90+CH90)/3),0.1))))))))</f>
        <v/>
      </c>
      <c r="CJ90" s="21" t="n"/>
      <c r="CK90" s="21" t="n"/>
      <c r="CL90" s="27">
        <f>SUM(CJ90:CK90)</f>
        <v/>
      </c>
      <c r="CM90" s="28" t="n"/>
      <c r="CN90" s="31" t="n"/>
      <c r="CO90" s="29">
        <f>IF(AND(CL90=0,CM90=0,CN90=0),0,IF(AND(CL90=0,CM90=0),CN90/1,IF(AND(CL90=0,CN90=0),CM90/1,IF(AND(CM90=0,CN90=0),CL90/1,IF(CL90=0,FLOOR((CM90+CN90)/2,0.1),IF(CM90=0,(CL90+CN90)/2,IF(CN90=0,(CM90+CL90)/2,FLOOR(((CL90+CM90+CN90)/3),0.1))))))))</f>
        <v/>
      </c>
      <c r="CP90" s="21" t="n"/>
      <c r="CQ90" s="21" t="n"/>
      <c r="CR90" s="27">
        <f>SUM(CP90:CQ90)</f>
        <v/>
      </c>
      <c r="CS90" s="28" t="n"/>
      <c r="CT90" s="31" t="n"/>
      <c r="CU90" s="29">
        <f>IF(AND(CR90=0,CS90=0,CT90=0),0,IF(AND(CR90=0,CS90=0),CT90/1,IF(AND(CR90=0,CT90=0),CS90/1,IF(AND(CS90=0,CT90=0),CR90/1,IF(CR90=0,FLOOR((CS90+CT90)/2,0.1),IF(CS90=0,(CR90+CT90)/2,IF(CT90=0,(CS90+CR90)/2,FLOOR(((CR90+CS90+CT90)/3),0.1))))))))</f>
        <v/>
      </c>
      <c r="CV90" s="21" t="n"/>
      <c r="CW90" s="21" t="n"/>
      <c r="CX90" s="27">
        <f>SUM(CV90:CW90)</f>
        <v/>
      </c>
      <c r="CY90" s="28" t="n"/>
      <c r="CZ90" s="31" t="n"/>
      <c r="DA90" s="29">
        <f>IF(AND(CX90=0,CY90=0,CZ90=0),0,IF(AND(CX90=0,CY90=0),CZ90/1,IF(AND(CX90=0,CZ90=0),CY90/1,IF(AND(CY90=0,CZ90=0),CX90/1,IF(CX90=0,FLOOR((CY90+CZ90)/2,0.1),IF(CY90=0,(CX90+CZ90)/2,IF(CZ90=0,(CY90+CX90)/2,FLOOR(((CX90+CY90+CZ90)/3),0.1))))))))</f>
        <v/>
      </c>
      <c r="DB90" s="21" t="n"/>
      <c r="DC90" s="21" t="n"/>
      <c r="DD90" s="27">
        <f>SUM(DB90:DC90)</f>
        <v/>
      </c>
      <c r="DE90" s="28" t="n"/>
      <c r="DF90" s="31" t="n"/>
      <c r="DG90" s="29">
        <f>IF(AND(DD90=0,DE90=0,DF90=0),0,IF(AND(DD90=0,DE90=0),DF90/1,IF(AND(DD90=0,DF90=0),DE90/1,IF(AND(DE90=0,DF90=0),DD90/1,IF(DD90=0,FLOOR((DE90+DF90)/2,0.1),IF(DE90=0,(DD90+DF90)/2,IF(DF90=0,(DE90+DD90)/2,FLOOR(((DD90+DE90+DF90)/3),0.1))))))))</f>
        <v/>
      </c>
      <c r="DH90" s="34">
        <f>SUM(O90,U90,AA90,AG90,AM90,AS90,AY90,BE90,BK90,BQ90,BW90,CC90,CI90,CO90,CU90,DA90,DG90)</f>
        <v/>
      </c>
      <c r="DI90" s="39">
        <f>RANK(DH90,DH$4:DH$503)</f>
        <v/>
      </c>
      <c r="DJ90" s="40" t="inlineStr">
        <is>
          <t>CHOOSE RATING</t>
        </is>
      </c>
      <c r="DK90" s="40" t="inlineStr">
        <is>
          <t>CHOOSE RATING</t>
        </is>
      </c>
      <c r="DL90" s="40" t="inlineStr">
        <is>
          <t>CHOOSE RATING</t>
        </is>
      </c>
      <c r="DM90" s="40" t="inlineStr">
        <is>
          <t>CHOOSE RATING</t>
        </is>
      </c>
      <c r="DN90" s="40" t="inlineStr">
        <is>
          <t>CHOOSE RATING</t>
        </is>
      </c>
      <c r="DO90" s="40" t="inlineStr">
        <is>
          <t>CHOOSE RATING</t>
        </is>
      </c>
      <c r="DP90" s="40" t="inlineStr">
        <is>
          <t>CHOOSE RATING</t>
        </is>
      </c>
      <c r="DQ90" s="40" t="inlineStr">
        <is>
          <t>CHOOSE RATING</t>
        </is>
      </c>
      <c r="DR90" s="43" t="inlineStr">
        <is>
          <t>2024/2025</t>
        </is>
      </c>
      <c r="DS90" s="45" t="inlineStr">
        <is>
          <t>THIRD</t>
        </is>
      </c>
      <c r="DT90" s="40" t="inlineStr">
        <is>
          <t>CHOOSE RATING</t>
        </is>
      </c>
      <c r="DU90" s="40" t="inlineStr">
        <is>
          <t>CHOOSE RATING</t>
        </is>
      </c>
      <c r="DV90" s="40" t="inlineStr">
        <is>
          <t>CHOOSE RATING</t>
        </is>
      </c>
      <c r="DW90" s="40" t="inlineStr">
        <is>
          <t>CHOOSE RATING</t>
        </is>
      </c>
      <c r="DX90" s="40" t="inlineStr">
        <is>
          <t>CHOOSE RATING</t>
        </is>
      </c>
      <c r="DY90" s="40" t="inlineStr">
        <is>
          <t>CHOOSE RATING</t>
        </is>
      </c>
      <c r="DZ90" s="53" t="inlineStr">
        <is>
          <t>CHOOSE RATING</t>
        </is>
      </c>
      <c r="EA90" s="54" t="inlineStr">
        <is>
          <t>Add the Tutor's Comment . . .</t>
        </is>
      </c>
      <c r="EB90" s="55" t="inlineStr">
        <is>
          <t>Choose Principals comment</t>
        </is>
      </c>
      <c r="EC90" s="56" t="n"/>
      <c r="ED90" s="57" t="inlineStr">
        <is>
          <t>Next Term Begins on Monday, 22nd September, 2025</t>
        </is>
      </c>
    </row>
    <row r="91" ht="30.6" customHeight="1" s="6">
      <c r="A91" s="18" t="n">
        <v>88</v>
      </c>
      <c r="B91" s="19" t="n"/>
      <c r="C91" s="20" t="n"/>
      <c r="D91" s="128" t="n"/>
      <c r="E91" s="21" t="n"/>
      <c r="F91" s="22" t="n"/>
      <c r="G91" s="22" t="n"/>
      <c r="H91" s="22" t="n"/>
      <c r="I91" s="26">
        <f>G91-H91</f>
        <v/>
      </c>
      <c r="J91" s="21" t="n"/>
      <c r="K91" s="21" t="n"/>
      <c r="L91" s="27">
        <f>SUM(J91:K91)</f>
        <v/>
      </c>
      <c r="M91" s="28" t="n"/>
      <c r="N91" s="28" t="n"/>
      <c r="O91" s="29">
        <f>IF(AND(L91=0,M91=0,N91=0),0,IF(AND(L91=0,M91=0),N91/1,IF(AND(L91=0,N91=0),M91/1,IF(AND(M91=0,N91=0),L91/1,IF(L91=0,FLOOR((M91+N91)/2,0.1),IF(M91=0,(L91+N91)/2,IF(N91=0,(M91+L91)/2,FLOOR(((L91+M91+N91)/3),0.1))))))))</f>
        <v/>
      </c>
      <c r="P91" s="21" t="n"/>
      <c r="Q91" s="21" t="n"/>
      <c r="R91" s="27">
        <f>SUM(P91:Q91)</f>
        <v/>
      </c>
      <c r="S91" s="28" t="n"/>
      <c r="T91" s="28" t="n"/>
      <c r="U91" s="29">
        <f>IF(AND(R91=0,S91=0,T91=0),0,IF(AND(R91=0,S91=0),T91/1,IF(AND(R91=0,T91=0),S91/1,IF(AND(S91=0,T91=0),R91/1,IF(R91=0,FLOOR((S91+T91)/2,0.1),IF(S91=0,(R91+T91)/2,IF(T91=0,(S91+R91)/2,FLOOR(((R91+S91+T91)/3),0.1))))))))</f>
        <v/>
      </c>
      <c r="V91" s="21" t="n"/>
      <c r="W91" s="21" t="n"/>
      <c r="X91" s="27">
        <f>SUM(V91:W91)</f>
        <v/>
      </c>
      <c r="Y91" s="28" t="n"/>
      <c r="Z91" s="28" t="n"/>
      <c r="AA91" s="29">
        <f>IF(AND(X91=0,Y91=0,Z91=0),0,IF(AND(X91=0,Y91=0),Z91/1,IF(AND(X91=0,Z91=0),Y91/1,IF(AND(Y91=0,Z91=0),X91/1,IF(X91=0,FLOOR((Y91+Z91)/2,0.1),IF(Y91=0,(X91+Z91)/2,IF(Z91=0,(Y91+X91)/2,FLOOR(((X91+Y91+Z91)/3),0.1))))))))</f>
        <v/>
      </c>
      <c r="AB91" s="21" t="n"/>
      <c r="AC91" s="21" t="n"/>
      <c r="AD91" s="27">
        <f>SUM(AB91:AC91)</f>
        <v/>
      </c>
      <c r="AE91" s="28" t="n"/>
      <c r="AF91" s="28" t="n"/>
      <c r="AG91" s="29">
        <f>IF(AND(AD91=0,AE91=0,AF91=0),0,IF(AND(AD91=0,AE91=0),AF91/1,IF(AND(AD91=0,AF91=0),AE91/1,IF(AND(AE91=0,AF91=0),AD91/1,IF(AD91=0,FLOOR((AE91+AF91)/2,0.1),IF(AE91=0,(AD91+AF91)/2,IF(AF91=0,(AE91+AD91)/2,FLOOR(((AD91+AE91+AF91)/3),0.1))))))))</f>
        <v/>
      </c>
      <c r="AH91" s="21" t="n"/>
      <c r="AI91" s="21" t="n"/>
      <c r="AJ91" s="27">
        <f>SUM(AH91:AI91)</f>
        <v/>
      </c>
      <c r="AK91" s="28" t="n"/>
      <c r="AL91" s="28" t="n"/>
      <c r="AM91" s="29">
        <f>IF(AND(AJ91=0,AK91=0,AL91=0),0,IF(AND(AJ91=0,AK91=0),AL91/1,IF(AND(AJ91=0,AL91=0),AK91/1,IF(AND(AK91=0,AL91=0),AJ91/1,IF(AJ91=0,FLOOR((AK91+AL91)/2,0.1),IF(AK91=0,(AJ91+AL91)/2,IF(AL91=0,(AK91+AJ91)/2,FLOOR(((AJ91+AK91+AL91)/3),0.1))))))))</f>
        <v/>
      </c>
      <c r="AN91" s="21" t="n"/>
      <c r="AO91" s="21" t="n"/>
      <c r="AP91" s="27">
        <f>SUM(AN91:AO91)</f>
        <v/>
      </c>
      <c r="AQ91" s="28" t="n"/>
      <c r="AR91" s="30" t="n"/>
      <c r="AS91" s="29">
        <f>IF(AND(AP91=0,AQ91=0,AR91=0),0,IF(AND(AP91=0,AQ91=0),AR91/1,IF(AND(AP91=0,AR91=0),AQ91/1,IF(AND(AQ91=0,AR91=0),AP91/1,IF(AP91=0,FLOOR((AQ91+AR91)/2,0.1),IF(AQ91=0,(AP91+AR91)/2,IF(AR91=0,(AQ91+AP91)/2,FLOOR(((AP91+AQ91+AR91)/3),0.1))))))))</f>
        <v/>
      </c>
      <c r="AT91" s="21" t="n"/>
      <c r="AU91" s="21" t="n"/>
      <c r="AV91" s="27">
        <f>SUM(AT91:AU91)</f>
        <v/>
      </c>
      <c r="AW91" s="28" t="n"/>
      <c r="AX91" s="30" t="n"/>
      <c r="AY91" s="29">
        <f>IF(AND(AV91=0,AW91=0,AX91=0),0,IF(AND(AV91=0,AW91=0),AX91/1,IF(AND(AV91=0,AX91=0),AW91/1,IF(AND(AW91=0,AX91=0),AV91/1,IF(AV91=0,FLOOR((AW91+AX91)/2,0.1),IF(AW91=0,(AV91+AX91)/2,IF(AX91=0,(AW91+AV91)/2,FLOOR(((AV91+AW91+AX91)/3),0.1))))))))</f>
        <v/>
      </c>
      <c r="AZ91" s="21" t="n"/>
      <c r="BA91" s="21" t="n"/>
      <c r="BB91" s="27">
        <f>SUM(AZ91:BA91)</f>
        <v/>
      </c>
      <c r="BC91" s="28" t="n"/>
      <c r="BD91" s="28" t="n"/>
      <c r="BE91" s="29">
        <f>IF(AND(BB91=0,BC91=0,BD91=0),0,IF(AND(BB91=0,BC91=0),BD91/1,IF(AND(BB91=0,BD91=0),BC91/1,IF(AND(BC91=0,BD91=0),BB91/1,IF(BB91=0,FLOOR((BC91+BD91)/2,0.1),IF(BC91=0,(BB91+BD91)/2,IF(BD91=0,(BC91+BB91)/2,FLOOR(((BB91+BC91+BD91)/3),0.1))))))))</f>
        <v/>
      </c>
      <c r="BF91" s="21" t="n"/>
      <c r="BG91" s="21" t="n"/>
      <c r="BH91" s="27">
        <f>SUM(BF91:BG91)</f>
        <v/>
      </c>
      <c r="BI91" s="28" t="n"/>
      <c r="BJ91" s="28" t="n"/>
      <c r="BK91" s="29">
        <f>IF(AND(BH91=0,BI91=0,BJ91=0),0,IF(AND(BH91=0,BI91=0),BJ91/1,IF(AND(BH91=0,BJ91=0),BI91/1,IF(AND(BI91=0,BJ91=0),BH91/1,IF(BH91=0,FLOOR((BI91+BJ91)/2,0.1),IF(BI91=0,(BH91+BJ91)/2,IF(BJ91=0,(BI91+BH91)/2,FLOOR(((BH91+BI91+BJ91)/3),0.1))))))))</f>
        <v/>
      </c>
      <c r="BL91" s="21" t="n"/>
      <c r="BM91" s="21" t="n"/>
      <c r="BN91" s="27">
        <f>SUM(BL91:BM91)</f>
        <v/>
      </c>
      <c r="BO91" s="28" t="n"/>
      <c r="BP91" s="31" t="n"/>
      <c r="BQ91" s="29">
        <f>IF(AND(BN91=0,BO91=0,BP91=0),0,IF(AND(BN91=0,BO91=0),BP91/1,IF(AND(BN91=0,BP91=0),BO91/1,IF(AND(BO91=0,BP91=0),BN91/1,IF(BN91=0,FLOOR((BO91+BP91)/2,0.1),IF(BO91=0,(BN91+BP91)/2,IF(BP91=0,(BO91+BN91)/2,FLOOR(((BN91+BO91+BP91)/3),0.1))))))))</f>
        <v/>
      </c>
      <c r="BR91" s="21" t="n"/>
      <c r="BS91" s="21" t="n"/>
      <c r="BT91" s="27">
        <f>SUM(BR91:BS91)</f>
        <v/>
      </c>
      <c r="BU91" s="28" t="n"/>
      <c r="BV91" s="31" t="n"/>
      <c r="BW91" s="29">
        <f>IF(AND(BT91=0,BU91=0,BV91=0),0,IF(AND(BT91=0,BU91=0),BV91/1,IF(AND(BT91=0,BV91=0),BU91/1,IF(AND(BU91=0,BV91=0),BT91/1,IF(BT91=0,FLOOR((BU91+BV91)/2,0.1),IF(BU91=0,(BT91+BV91)/2,IF(BV91=0,(BU91+BT91)/2,FLOOR(((BT91+BU91+BV91)/3),0.1))))))))</f>
        <v/>
      </c>
      <c r="BX91" s="21" t="n"/>
      <c r="BY91" s="21" t="n"/>
      <c r="BZ91" s="27">
        <f>SUM(BX91:BY91)</f>
        <v/>
      </c>
      <c r="CA91" s="28" t="n"/>
      <c r="CB91" s="31" t="n"/>
      <c r="CC91" s="29">
        <f>IF(AND(BZ91=0,CA91=0,CB91=0),0,IF(AND(BZ91=0,CA91=0),CB91/1,IF(AND(BZ91=0,CB91=0),CA91/1,IF(AND(CA91=0,CB91=0),BZ91/1,IF(BZ91=0,FLOOR((CA91+CB91)/2,0.1),IF(CA91=0,(BZ91+CB91)/2,IF(CB91=0,(CA91+BZ91)/2,FLOOR(((BZ91+CA91+CB91)/3),0.1))))))))</f>
        <v/>
      </c>
      <c r="CD91" s="21" t="n"/>
      <c r="CE91" s="21" t="n"/>
      <c r="CF91" s="27">
        <f>SUM(CD91:CE91)</f>
        <v/>
      </c>
      <c r="CG91" s="28" t="n"/>
      <c r="CH91" s="31" t="n"/>
      <c r="CI91" s="29">
        <f>IF(AND(CF91=0,CG91=0,CH91=0),0,IF(AND(CF91=0,CG91=0),CH91/1,IF(AND(CF91=0,CH91=0),CG91/1,IF(AND(CG91=0,CH91=0),CF91/1,IF(CF91=0,FLOOR((CG91+CH91)/2,0.1),IF(CG91=0,(CF91+CH91)/2,IF(CH91=0,(CG91+CF91)/2,FLOOR(((CF91+CG91+CH91)/3),0.1))))))))</f>
        <v/>
      </c>
      <c r="CJ91" s="21" t="n"/>
      <c r="CK91" s="21" t="n"/>
      <c r="CL91" s="27">
        <f>SUM(CJ91:CK91)</f>
        <v/>
      </c>
      <c r="CM91" s="28" t="n"/>
      <c r="CN91" s="31" t="n"/>
      <c r="CO91" s="29">
        <f>IF(AND(CL91=0,CM91=0,CN91=0),0,IF(AND(CL91=0,CM91=0),CN91/1,IF(AND(CL91=0,CN91=0),CM91/1,IF(AND(CM91=0,CN91=0),CL91/1,IF(CL91=0,FLOOR((CM91+CN91)/2,0.1),IF(CM91=0,(CL91+CN91)/2,IF(CN91=0,(CM91+CL91)/2,FLOOR(((CL91+CM91+CN91)/3),0.1))))))))</f>
        <v/>
      </c>
      <c r="CP91" s="21" t="n"/>
      <c r="CQ91" s="21" t="n"/>
      <c r="CR91" s="27">
        <f>SUM(CP91:CQ91)</f>
        <v/>
      </c>
      <c r="CS91" s="28" t="n"/>
      <c r="CT91" s="31" t="n"/>
      <c r="CU91" s="29">
        <f>IF(AND(CR91=0,CS91=0,CT91=0),0,IF(AND(CR91=0,CS91=0),CT91/1,IF(AND(CR91=0,CT91=0),CS91/1,IF(AND(CS91=0,CT91=0),CR91/1,IF(CR91=0,FLOOR((CS91+CT91)/2,0.1),IF(CS91=0,(CR91+CT91)/2,IF(CT91=0,(CS91+CR91)/2,FLOOR(((CR91+CS91+CT91)/3),0.1))))))))</f>
        <v/>
      </c>
      <c r="CV91" s="21" t="n"/>
      <c r="CW91" s="21" t="n"/>
      <c r="CX91" s="27">
        <f>SUM(CV91:CW91)</f>
        <v/>
      </c>
      <c r="CY91" s="28" t="n"/>
      <c r="CZ91" s="31" t="n"/>
      <c r="DA91" s="29">
        <f>IF(AND(CX91=0,CY91=0,CZ91=0),0,IF(AND(CX91=0,CY91=0),CZ91/1,IF(AND(CX91=0,CZ91=0),CY91/1,IF(AND(CY91=0,CZ91=0),CX91/1,IF(CX91=0,FLOOR((CY91+CZ91)/2,0.1),IF(CY91=0,(CX91+CZ91)/2,IF(CZ91=0,(CY91+CX91)/2,FLOOR(((CX91+CY91+CZ91)/3),0.1))))))))</f>
        <v/>
      </c>
      <c r="DB91" s="21" t="n"/>
      <c r="DC91" s="21" t="n"/>
      <c r="DD91" s="27">
        <f>SUM(DB91:DC91)</f>
        <v/>
      </c>
      <c r="DE91" s="28" t="n"/>
      <c r="DF91" s="31" t="n"/>
      <c r="DG91" s="29">
        <f>IF(AND(DD91=0,DE91=0,DF91=0),0,IF(AND(DD91=0,DE91=0),DF91/1,IF(AND(DD91=0,DF91=0),DE91/1,IF(AND(DE91=0,DF91=0),DD91/1,IF(DD91=0,FLOOR((DE91+DF91)/2,0.1),IF(DE91=0,(DD91+DF91)/2,IF(DF91=0,(DE91+DD91)/2,FLOOR(((DD91+DE91+DF91)/3),0.1))))))))</f>
        <v/>
      </c>
      <c r="DH91" s="34">
        <f>SUM(O91,U91,AA91,AG91,AM91,AS91,AY91,BE91,BK91,BQ91,BW91,CC91,CI91,CO91,CU91,DA91,DG91)</f>
        <v/>
      </c>
      <c r="DI91" s="39">
        <f>RANK(DH91,DH$4:DH$503)</f>
        <v/>
      </c>
      <c r="DJ91" s="40" t="inlineStr">
        <is>
          <t>CHOOSE RATING</t>
        </is>
      </c>
      <c r="DK91" s="40" t="inlineStr">
        <is>
          <t>CHOOSE RATING</t>
        </is>
      </c>
      <c r="DL91" s="40" t="inlineStr">
        <is>
          <t>CHOOSE RATING</t>
        </is>
      </c>
      <c r="DM91" s="40" t="inlineStr">
        <is>
          <t>CHOOSE RATING</t>
        </is>
      </c>
      <c r="DN91" s="40" t="inlineStr">
        <is>
          <t>CHOOSE RATING</t>
        </is>
      </c>
      <c r="DO91" s="40" t="inlineStr">
        <is>
          <t>CHOOSE RATING</t>
        </is>
      </c>
      <c r="DP91" s="40" t="inlineStr">
        <is>
          <t>CHOOSE RATING</t>
        </is>
      </c>
      <c r="DQ91" s="40" t="inlineStr">
        <is>
          <t>CHOOSE RATING</t>
        </is>
      </c>
      <c r="DR91" s="43" t="inlineStr">
        <is>
          <t>2024/2025</t>
        </is>
      </c>
      <c r="DS91" s="45" t="inlineStr">
        <is>
          <t>THIRD</t>
        </is>
      </c>
      <c r="DT91" s="40" t="inlineStr">
        <is>
          <t>CHOOSE RATING</t>
        </is>
      </c>
      <c r="DU91" s="40" t="inlineStr">
        <is>
          <t>CHOOSE RATING</t>
        </is>
      </c>
      <c r="DV91" s="40" t="inlineStr">
        <is>
          <t>CHOOSE RATING</t>
        </is>
      </c>
      <c r="DW91" s="40" t="inlineStr">
        <is>
          <t>CHOOSE RATING</t>
        </is>
      </c>
      <c r="DX91" s="40" t="inlineStr">
        <is>
          <t>CHOOSE RATING</t>
        </is>
      </c>
      <c r="DY91" s="40" t="inlineStr">
        <is>
          <t>CHOOSE RATING</t>
        </is>
      </c>
      <c r="DZ91" s="53" t="inlineStr">
        <is>
          <t>CHOOSE RATING</t>
        </is>
      </c>
      <c r="EA91" s="54" t="inlineStr">
        <is>
          <t>Add the Tutor's Comment . . .</t>
        </is>
      </c>
      <c r="EB91" s="55" t="inlineStr">
        <is>
          <t>Choose Principals comment</t>
        </is>
      </c>
      <c r="EC91" s="56" t="n"/>
      <c r="ED91" s="57" t="inlineStr">
        <is>
          <t>Next Term Begins on Monday, 22nd September, 2025</t>
        </is>
      </c>
    </row>
    <row r="92" ht="30.6" customHeight="1" s="6">
      <c r="A92" s="18" t="n">
        <v>89</v>
      </c>
      <c r="B92" s="19" t="n"/>
      <c r="C92" s="20" t="n"/>
      <c r="D92" s="128" t="n"/>
      <c r="E92" s="21" t="n"/>
      <c r="F92" s="22" t="n"/>
      <c r="G92" s="22" t="n"/>
      <c r="H92" s="22" t="n"/>
      <c r="I92" s="26">
        <f>G92-H92</f>
        <v/>
      </c>
      <c r="J92" s="21" t="n"/>
      <c r="K92" s="21" t="n"/>
      <c r="L92" s="27">
        <f>SUM(J92:K92)</f>
        <v/>
      </c>
      <c r="M92" s="28" t="n"/>
      <c r="N92" s="28" t="n"/>
      <c r="O92" s="29">
        <f>IF(AND(L92=0,M92=0,N92=0),0,IF(AND(L92=0,M92=0),N92/1,IF(AND(L92=0,N92=0),M92/1,IF(AND(M92=0,N92=0),L92/1,IF(L92=0,FLOOR((M92+N92)/2,0.1),IF(M92=0,(L92+N92)/2,IF(N92=0,(M92+L92)/2,FLOOR(((L92+M92+N92)/3),0.1))))))))</f>
        <v/>
      </c>
      <c r="P92" s="21" t="n"/>
      <c r="Q92" s="21" t="n"/>
      <c r="R92" s="27">
        <f>SUM(P92:Q92)</f>
        <v/>
      </c>
      <c r="S92" s="28" t="n"/>
      <c r="T92" s="28" t="n"/>
      <c r="U92" s="29">
        <f>IF(AND(R92=0,S92=0,T92=0),0,IF(AND(R92=0,S92=0),T92/1,IF(AND(R92=0,T92=0),S92/1,IF(AND(S92=0,T92=0),R92/1,IF(R92=0,FLOOR((S92+T92)/2,0.1),IF(S92=0,(R92+T92)/2,IF(T92=0,(S92+R92)/2,FLOOR(((R92+S92+T92)/3),0.1))))))))</f>
        <v/>
      </c>
      <c r="V92" s="21" t="n"/>
      <c r="W92" s="21" t="n"/>
      <c r="X92" s="27">
        <f>SUM(V92:W92)</f>
        <v/>
      </c>
      <c r="Y92" s="28" t="n"/>
      <c r="Z92" s="28" t="n"/>
      <c r="AA92" s="29">
        <f>IF(AND(X92=0,Y92=0,Z92=0),0,IF(AND(X92=0,Y92=0),Z92/1,IF(AND(X92=0,Z92=0),Y92/1,IF(AND(Y92=0,Z92=0),X92/1,IF(X92=0,FLOOR((Y92+Z92)/2,0.1),IF(Y92=0,(X92+Z92)/2,IF(Z92=0,(Y92+X92)/2,FLOOR(((X92+Y92+Z92)/3),0.1))))))))</f>
        <v/>
      </c>
      <c r="AB92" s="21" t="n"/>
      <c r="AC92" s="21" t="n"/>
      <c r="AD92" s="27">
        <f>SUM(AB92:AC92)</f>
        <v/>
      </c>
      <c r="AE92" s="28" t="n"/>
      <c r="AF92" s="28" t="n"/>
      <c r="AG92" s="29">
        <f>IF(AND(AD92=0,AE92=0,AF92=0),0,IF(AND(AD92=0,AE92=0),AF92/1,IF(AND(AD92=0,AF92=0),AE92/1,IF(AND(AE92=0,AF92=0),AD92/1,IF(AD92=0,FLOOR((AE92+AF92)/2,0.1),IF(AE92=0,(AD92+AF92)/2,IF(AF92=0,(AE92+AD92)/2,FLOOR(((AD92+AE92+AF92)/3),0.1))))))))</f>
        <v/>
      </c>
      <c r="AH92" s="21" t="n"/>
      <c r="AI92" s="21" t="n"/>
      <c r="AJ92" s="27">
        <f>SUM(AH92:AI92)</f>
        <v/>
      </c>
      <c r="AK92" s="28" t="n"/>
      <c r="AL92" s="28" t="n"/>
      <c r="AM92" s="29">
        <f>IF(AND(AJ92=0,AK92=0,AL92=0),0,IF(AND(AJ92=0,AK92=0),AL92/1,IF(AND(AJ92=0,AL92=0),AK92/1,IF(AND(AK92=0,AL92=0),AJ92/1,IF(AJ92=0,FLOOR((AK92+AL92)/2,0.1),IF(AK92=0,(AJ92+AL92)/2,IF(AL92=0,(AK92+AJ92)/2,FLOOR(((AJ92+AK92+AL92)/3),0.1))))))))</f>
        <v/>
      </c>
      <c r="AN92" s="21" t="n"/>
      <c r="AO92" s="21" t="n"/>
      <c r="AP92" s="27">
        <f>SUM(AN92:AO92)</f>
        <v/>
      </c>
      <c r="AQ92" s="28" t="n"/>
      <c r="AR92" s="30" t="n"/>
      <c r="AS92" s="29">
        <f>IF(AND(AP92=0,AQ92=0,AR92=0),0,IF(AND(AP92=0,AQ92=0),AR92/1,IF(AND(AP92=0,AR92=0),AQ92/1,IF(AND(AQ92=0,AR92=0),AP92/1,IF(AP92=0,FLOOR((AQ92+AR92)/2,0.1),IF(AQ92=0,(AP92+AR92)/2,IF(AR92=0,(AQ92+AP92)/2,FLOOR(((AP92+AQ92+AR92)/3),0.1))))))))</f>
        <v/>
      </c>
      <c r="AT92" s="21" t="n"/>
      <c r="AU92" s="21" t="n"/>
      <c r="AV92" s="27">
        <f>SUM(AT92:AU92)</f>
        <v/>
      </c>
      <c r="AW92" s="28" t="n"/>
      <c r="AX92" s="30" t="n"/>
      <c r="AY92" s="29">
        <f>IF(AND(AV92=0,AW92=0,AX92=0),0,IF(AND(AV92=0,AW92=0),AX92/1,IF(AND(AV92=0,AX92=0),AW92/1,IF(AND(AW92=0,AX92=0),AV92/1,IF(AV92=0,FLOOR((AW92+AX92)/2,0.1),IF(AW92=0,(AV92+AX92)/2,IF(AX92=0,(AW92+AV92)/2,FLOOR(((AV92+AW92+AX92)/3),0.1))))))))</f>
        <v/>
      </c>
      <c r="AZ92" s="21" t="n"/>
      <c r="BA92" s="21" t="n"/>
      <c r="BB92" s="27">
        <f>SUM(AZ92:BA92)</f>
        <v/>
      </c>
      <c r="BC92" s="28" t="n"/>
      <c r="BD92" s="28" t="n"/>
      <c r="BE92" s="29">
        <f>IF(AND(BB92=0,BC92=0,BD92=0),0,IF(AND(BB92=0,BC92=0),BD92/1,IF(AND(BB92=0,BD92=0),BC92/1,IF(AND(BC92=0,BD92=0),BB92/1,IF(BB92=0,FLOOR((BC92+BD92)/2,0.1),IF(BC92=0,(BB92+BD92)/2,IF(BD92=0,(BC92+BB92)/2,FLOOR(((BB92+BC92+BD92)/3),0.1))))))))</f>
        <v/>
      </c>
      <c r="BF92" s="21" t="n"/>
      <c r="BG92" s="21" t="n"/>
      <c r="BH92" s="27">
        <f>SUM(BF92:BG92)</f>
        <v/>
      </c>
      <c r="BI92" s="28" t="n"/>
      <c r="BJ92" s="28" t="n"/>
      <c r="BK92" s="29">
        <f>IF(AND(BH92=0,BI92=0,BJ92=0),0,IF(AND(BH92=0,BI92=0),BJ92/1,IF(AND(BH92=0,BJ92=0),BI92/1,IF(AND(BI92=0,BJ92=0),BH92/1,IF(BH92=0,FLOOR((BI92+BJ92)/2,0.1),IF(BI92=0,(BH92+BJ92)/2,IF(BJ92=0,(BI92+BH92)/2,FLOOR(((BH92+BI92+BJ92)/3),0.1))))))))</f>
        <v/>
      </c>
      <c r="BL92" s="21" t="n"/>
      <c r="BM92" s="21" t="n"/>
      <c r="BN92" s="27">
        <f>SUM(BL92:BM92)</f>
        <v/>
      </c>
      <c r="BO92" s="28" t="n"/>
      <c r="BP92" s="31" t="n"/>
      <c r="BQ92" s="29">
        <f>IF(AND(BN92=0,BO92=0,BP92=0),0,IF(AND(BN92=0,BO92=0),BP92/1,IF(AND(BN92=0,BP92=0),BO92/1,IF(AND(BO92=0,BP92=0),BN92/1,IF(BN92=0,FLOOR((BO92+BP92)/2,0.1),IF(BO92=0,(BN92+BP92)/2,IF(BP92=0,(BO92+BN92)/2,FLOOR(((BN92+BO92+BP92)/3),0.1))))))))</f>
        <v/>
      </c>
      <c r="BR92" s="21" t="n"/>
      <c r="BS92" s="21" t="n"/>
      <c r="BT92" s="27">
        <f>SUM(BR92:BS92)</f>
        <v/>
      </c>
      <c r="BU92" s="28" t="n"/>
      <c r="BV92" s="31" t="n"/>
      <c r="BW92" s="29">
        <f>IF(AND(BT92=0,BU92=0,BV92=0),0,IF(AND(BT92=0,BU92=0),BV92/1,IF(AND(BT92=0,BV92=0),BU92/1,IF(AND(BU92=0,BV92=0),BT92/1,IF(BT92=0,FLOOR((BU92+BV92)/2,0.1),IF(BU92=0,(BT92+BV92)/2,IF(BV92=0,(BU92+BT92)/2,FLOOR(((BT92+BU92+BV92)/3),0.1))))))))</f>
        <v/>
      </c>
      <c r="BX92" s="21" t="n"/>
      <c r="BY92" s="21" t="n"/>
      <c r="BZ92" s="27">
        <f>SUM(BX92:BY92)</f>
        <v/>
      </c>
      <c r="CA92" s="28" t="n"/>
      <c r="CB92" s="31" t="n"/>
      <c r="CC92" s="29">
        <f>IF(AND(BZ92=0,CA92=0,CB92=0),0,IF(AND(BZ92=0,CA92=0),CB92/1,IF(AND(BZ92=0,CB92=0),CA92/1,IF(AND(CA92=0,CB92=0),BZ92/1,IF(BZ92=0,FLOOR((CA92+CB92)/2,0.1),IF(CA92=0,(BZ92+CB92)/2,IF(CB92=0,(CA92+BZ92)/2,FLOOR(((BZ92+CA92+CB92)/3),0.1))))))))</f>
        <v/>
      </c>
      <c r="CD92" s="21" t="n"/>
      <c r="CE92" s="21" t="n"/>
      <c r="CF92" s="27">
        <f>SUM(CD92:CE92)</f>
        <v/>
      </c>
      <c r="CG92" s="28" t="n"/>
      <c r="CH92" s="31" t="n"/>
      <c r="CI92" s="29">
        <f>IF(AND(CF92=0,CG92=0,CH92=0),0,IF(AND(CF92=0,CG92=0),CH92/1,IF(AND(CF92=0,CH92=0),CG92/1,IF(AND(CG92=0,CH92=0),CF92/1,IF(CF92=0,FLOOR((CG92+CH92)/2,0.1),IF(CG92=0,(CF92+CH92)/2,IF(CH92=0,(CG92+CF92)/2,FLOOR(((CF92+CG92+CH92)/3),0.1))))))))</f>
        <v/>
      </c>
      <c r="CJ92" s="21" t="n"/>
      <c r="CK92" s="21" t="n"/>
      <c r="CL92" s="27">
        <f>SUM(CJ92:CK92)</f>
        <v/>
      </c>
      <c r="CM92" s="28" t="n"/>
      <c r="CN92" s="31" t="n"/>
      <c r="CO92" s="29">
        <f>IF(AND(CL92=0,CM92=0,CN92=0),0,IF(AND(CL92=0,CM92=0),CN92/1,IF(AND(CL92=0,CN92=0),CM92/1,IF(AND(CM92=0,CN92=0),CL92/1,IF(CL92=0,FLOOR((CM92+CN92)/2,0.1),IF(CM92=0,(CL92+CN92)/2,IF(CN92=0,(CM92+CL92)/2,FLOOR(((CL92+CM92+CN92)/3),0.1))))))))</f>
        <v/>
      </c>
      <c r="CP92" s="21" t="n"/>
      <c r="CQ92" s="21" t="n"/>
      <c r="CR92" s="27">
        <f>SUM(CP92:CQ92)</f>
        <v/>
      </c>
      <c r="CS92" s="28" t="n"/>
      <c r="CT92" s="31" t="n"/>
      <c r="CU92" s="29">
        <f>IF(AND(CR92=0,CS92=0,CT92=0),0,IF(AND(CR92=0,CS92=0),CT92/1,IF(AND(CR92=0,CT92=0),CS92/1,IF(AND(CS92=0,CT92=0),CR92/1,IF(CR92=0,FLOOR((CS92+CT92)/2,0.1),IF(CS92=0,(CR92+CT92)/2,IF(CT92=0,(CS92+CR92)/2,FLOOR(((CR92+CS92+CT92)/3),0.1))))))))</f>
        <v/>
      </c>
      <c r="CV92" s="21" t="n"/>
      <c r="CW92" s="21" t="n"/>
      <c r="CX92" s="27">
        <f>SUM(CV92:CW92)</f>
        <v/>
      </c>
      <c r="CY92" s="28" t="n"/>
      <c r="CZ92" s="31" t="n"/>
      <c r="DA92" s="29">
        <f>IF(AND(CX92=0,CY92=0,CZ92=0),0,IF(AND(CX92=0,CY92=0),CZ92/1,IF(AND(CX92=0,CZ92=0),CY92/1,IF(AND(CY92=0,CZ92=0),CX92/1,IF(CX92=0,FLOOR((CY92+CZ92)/2,0.1),IF(CY92=0,(CX92+CZ92)/2,IF(CZ92=0,(CY92+CX92)/2,FLOOR(((CX92+CY92+CZ92)/3),0.1))))))))</f>
        <v/>
      </c>
      <c r="DB92" s="21" t="n"/>
      <c r="DC92" s="21" t="n"/>
      <c r="DD92" s="27">
        <f>SUM(DB92:DC92)</f>
        <v/>
      </c>
      <c r="DE92" s="28" t="n"/>
      <c r="DF92" s="31" t="n"/>
      <c r="DG92" s="29">
        <f>IF(AND(DD92=0,DE92=0,DF92=0),0,IF(AND(DD92=0,DE92=0),DF92/1,IF(AND(DD92=0,DF92=0),DE92/1,IF(AND(DE92=0,DF92=0),DD92/1,IF(DD92=0,FLOOR((DE92+DF92)/2,0.1),IF(DE92=0,(DD92+DF92)/2,IF(DF92=0,(DE92+DD92)/2,FLOOR(((DD92+DE92+DF92)/3),0.1))))))))</f>
        <v/>
      </c>
      <c r="DH92" s="34">
        <f>SUM(O92,U92,AA92,AG92,AM92,AS92,AY92,BE92,BK92,BQ92,BW92,CC92,CI92,CO92,CU92,DA92,DG92)</f>
        <v/>
      </c>
      <c r="DI92" s="39">
        <f>RANK(DH92,DH$4:DH$503)</f>
        <v/>
      </c>
      <c r="DJ92" s="40" t="inlineStr">
        <is>
          <t>CHOOSE RATING</t>
        </is>
      </c>
      <c r="DK92" s="40" t="inlineStr">
        <is>
          <t>CHOOSE RATING</t>
        </is>
      </c>
      <c r="DL92" s="40" t="inlineStr">
        <is>
          <t>CHOOSE RATING</t>
        </is>
      </c>
      <c r="DM92" s="40" t="inlineStr">
        <is>
          <t>CHOOSE RATING</t>
        </is>
      </c>
      <c r="DN92" s="40" t="inlineStr">
        <is>
          <t>CHOOSE RATING</t>
        </is>
      </c>
      <c r="DO92" s="40" t="inlineStr">
        <is>
          <t>CHOOSE RATING</t>
        </is>
      </c>
      <c r="DP92" s="40" t="inlineStr">
        <is>
          <t>CHOOSE RATING</t>
        </is>
      </c>
      <c r="DQ92" s="40" t="inlineStr">
        <is>
          <t>CHOOSE RATING</t>
        </is>
      </c>
      <c r="DR92" s="43" t="inlineStr">
        <is>
          <t>2024/2025</t>
        </is>
      </c>
      <c r="DS92" s="45" t="inlineStr">
        <is>
          <t>THIRD</t>
        </is>
      </c>
      <c r="DT92" s="40" t="inlineStr">
        <is>
          <t>CHOOSE RATING</t>
        </is>
      </c>
      <c r="DU92" s="40" t="inlineStr">
        <is>
          <t>CHOOSE RATING</t>
        </is>
      </c>
      <c r="DV92" s="40" t="inlineStr">
        <is>
          <t>CHOOSE RATING</t>
        </is>
      </c>
      <c r="DW92" s="40" t="inlineStr">
        <is>
          <t>CHOOSE RATING</t>
        </is>
      </c>
      <c r="DX92" s="40" t="inlineStr">
        <is>
          <t>CHOOSE RATING</t>
        </is>
      </c>
      <c r="DY92" s="40" t="inlineStr">
        <is>
          <t>CHOOSE RATING</t>
        </is>
      </c>
      <c r="DZ92" s="53" t="inlineStr">
        <is>
          <t>CHOOSE RATING</t>
        </is>
      </c>
      <c r="EA92" s="54" t="inlineStr">
        <is>
          <t>Add the Tutor's Comment . . .</t>
        </is>
      </c>
      <c r="EB92" s="55" t="inlineStr">
        <is>
          <t>Choose Principals comment</t>
        </is>
      </c>
      <c r="EC92" s="56" t="n"/>
      <c r="ED92" s="57" t="inlineStr">
        <is>
          <t>Next Term Begins on Monday, 22nd September, 2025</t>
        </is>
      </c>
    </row>
    <row r="93" ht="30.6" customHeight="1" s="6">
      <c r="A93" s="18" t="n">
        <v>90</v>
      </c>
      <c r="B93" s="19" t="n"/>
      <c r="C93" s="20" t="n"/>
      <c r="D93" s="128" t="n"/>
      <c r="E93" s="21" t="n"/>
      <c r="F93" s="22" t="n"/>
      <c r="G93" s="22" t="n"/>
      <c r="H93" s="22" t="n"/>
      <c r="I93" s="26">
        <f>G93-H93</f>
        <v/>
      </c>
      <c r="J93" s="21" t="n"/>
      <c r="K93" s="21" t="n"/>
      <c r="L93" s="27">
        <f>SUM(J93:K93)</f>
        <v/>
      </c>
      <c r="M93" s="28" t="n"/>
      <c r="N93" s="28" t="n"/>
      <c r="O93" s="29">
        <f>IF(AND(L93=0,M93=0,N93=0),0,IF(AND(L93=0,M93=0),N93/1,IF(AND(L93=0,N93=0),M93/1,IF(AND(M93=0,N93=0),L93/1,IF(L93=0,FLOOR((M93+N93)/2,0.1),IF(M93=0,(L93+N93)/2,IF(N93=0,(M93+L93)/2,FLOOR(((L93+M93+N93)/3),0.1))))))))</f>
        <v/>
      </c>
      <c r="P93" s="21" t="n"/>
      <c r="Q93" s="21" t="n"/>
      <c r="R93" s="27">
        <f>SUM(P93:Q93)</f>
        <v/>
      </c>
      <c r="S93" s="28" t="n"/>
      <c r="T93" s="28" t="n"/>
      <c r="U93" s="29">
        <f>IF(AND(R93=0,S93=0,T93=0),0,IF(AND(R93=0,S93=0),T93/1,IF(AND(R93=0,T93=0),S93/1,IF(AND(S93=0,T93=0),R93/1,IF(R93=0,FLOOR((S93+T93)/2,0.1),IF(S93=0,(R93+T93)/2,IF(T93=0,(S93+R93)/2,FLOOR(((R93+S93+T93)/3),0.1))))))))</f>
        <v/>
      </c>
      <c r="V93" s="21" t="n"/>
      <c r="W93" s="21" t="n"/>
      <c r="X93" s="27">
        <f>SUM(V93:W93)</f>
        <v/>
      </c>
      <c r="Y93" s="28" t="n"/>
      <c r="Z93" s="28" t="n"/>
      <c r="AA93" s="29">
        <f>IF(AND(X93=0,Y93=0,Z93=0),0,IF(AND(X93=0,Y93=0),Z93/1,IF(AND(X93=0,Z93=0),Y93/1,IF(AND(Y93=0,Z93=0),X93/1,IF(X93=0,FLOOR((Y93+Z93)/2,0.1),IF(Y93=0,(X93+Z93)/2,IF(Z93=0,(Y93+X93)/2,FLOOR(((X93+Y93+Z93)/3),0.1))))))))</f>
        <v/>
      </c>
      <c r="AB93" s="21" t="n"/>
      <c r="AC93" s="21" t="n"/>
      <c r="AD93" s="27">
        <f>SUM(AB93:AC93)</f>
        <v/>
      </c>
      <c r="AE93" s="28" t="n"/>
      <c r="AF93" s="28" t="n"/>
      <c r="AG93" s="29">
        <f>IF(AND(AD93=0,AE93=0,AF93=0),0,IF(AND(AD93=0,AE93=0),AF93/1,IF(AND(AD93=0,AF93=0),AE93/1,IF(AND(AE93=0,AF93=0),AD93/1,IF(AD93=0,FLOOR((AE93+AF93)/2,0.1),IF(AE93=0,(AD93+AF93)/2,IF(AF93=0,(AE93+AD93)/2,FLOOR(((AD93+AE93+AF93)/3),0.1))))))))</f>
        <v/>
      </c>
      <c r="AH93" s="21" t="n"/>
      <c r="AI93" s="21" t="n"/>
      <c r="AJ93" s="27">
        <f>SUM(AH93:AI93)</f>
        <v/>
      </c>
      <c r="AK93" s="28" t="n"/>
      <c r="AL93" s="28" t="n"/>
      <c r="AM93" s="29">
        <f>IF(AND(AJ93=0,AK93=0,AL93=0),0,IF(AND(AJ93=0,AK93=0),AL93/1,IF(AND(AJ93=0,AL93=0),AK93/1,IF(AND(AK93=0,AL93=0),AJ93/1,IF(AJ93=0,FLOOR((AK93+AL93)/2,0.1),IF(AK93=0,(AJ93+AL93)/2,IF(AL93=0,(AK93+AJ93)/2,FLOOR(((AJ93+AK93+AL93)/3),0.1))))))))</f>
        <v/>
      </c>
      <c r="AN93" s="21" t="n"/>
      <c r="AO93" s="21" t="n"/>
      <c r="AP93" s="27">
        <f>SUM(AN93:AO93)</f>
        <v/>
      </c>
      <c r="AQ93" s="28" t="n"/>
      <c r="AR93" s="30" t="n"/>
      <c r="AS93" s="29">
        <f>IF(AND(AP93=0,AQ93=0,AR93=0),0,IF(AND(AP93=0,AQ93=0),AR93/1,IF(AND(AP93=0,AR93=0),AQ93/1,IF(AND(AQ93=0,AR93=0),AP93/1,IF(AP93=0,FLOOR((AQ93+AR93)/2,0.1),IF(AQ93=0,(AP93+AR93)/2,IF(AR93=0,(AQ93+AP93)/2,FLOOR(((AP93+AQ93+AR93)/3),0.1))))))))</f>
        <v/>
      </c>
      <c r="AT93" s="21" t="n"/>
      <c r="AU93" s="21" t="n"/>
      <c r="AV93" s="27">
        <f>SUM(AT93:AU93)</f>
        <v/>
      </c>
      <c r="AW93" s="28" t="n"/>
      <c r="AX93" s="30" t="n"/>
      <c r="AY93" s="29">
        <f>IF(AND(AV93=0,AW93=0,AX93=0),0,IF(AND(AV93=0,AW93=0),AX93/1,IF(AND(AV93=0,AX93=0),AW93/1,IF(AND(AW93=0,AX93=0),AV93/1,IF(AV93=0,FLOOR((AW93+AX93)/2,0.1),IF(AW93=0,(AV93+AX93)/2,IF(AX93=0,(AW93+AV93)/2,FLOOR(((AV93+AW93+AX93)/3),0.1))))))))</f>
        <v/>
      </c>
      <c r="AZ93" s="21" t="n"/>
      <c r="BA93" s="21" t="n"/>
      <c r="BB93" s="27">
        <f>SUM(AZ93:BA93)</f>
        <v/>
      </c>
      <c r="BC93" s="28" t="n"/>
      <c r="BD93" s="28" t="n"/>
      <c r="BE93" s="29">
        <f>IF(AND(BB93=0,BC93=0,BD93=0),0,IF(AND(BB93=0,BC93=0),BD93/1,IF(AND(BB93=0,BD93=0),BC93/1,IF(AND(BC93=0,BD93=0),BB93/1,IF(BB93=0,FLOOR((BC93+BD93)/2,0.1),IF(BC93=0,(BB93+BD93)/2,IF(BD93=0,(BC93+BB93)/2,FLOOR(((BB93+BC93+BD93)/3),0.1))))))))</f>
        <v/>
      </c>
      <c r="BF93" s="21" t="n"/>
      <c r="BG93" s="21" t="n"/>
      <c r="BH93" s="27">
        <f>SUM(BF93:BG93)</f>
        <v/>
      </c>
      <c r="BI93" s="28" t="n"/>
      <c r="BJ93" s="28" t="n"/>
      <c r="BK93" s="29">
        <f>IF(AND(BH93=0,BI93=0,BJ93=0),0,IF(AND(BH93=0,BI93=0),BJ93/1,IF(AND(BH93=0,BJ93=0),BI93/1,IF(AND(BI93=0,BJ93=0),BH93/1,IF(BH93=0,FLOOR((BI93+BJ93)/2,0.1),IF(BI93=0,(BH93+BJ93)/2,IF(BJ93=0,(BI93+BH93)/2,FLOOR(((BH93+BI93+BJ93)/3),0.1))))))))</f>
        <v/>
      </c>
      <c r="BL93" s="21" t="n"/>
      <c r="BM93" s="21" t="n"/>
      <c r="BN93" s="27">
        <f>SUM(BL93:BM93)</f>
        <v/>
      </c>
      <c r="BO93" s="28" t="n"/>
      <c r="BP93" s="31" t="n"/>
      <c r="BQ93" s="29">
        <f>IF(AND(BN93=0,BO93=0,BP93=0),0,IF(AND(BN93=0,BO93=0),BP93/1,IF(AND(BN93=0,BP93=0),BO93/1,IF(AND(BO93=0,BP93=0),BN93/1,IF(BN93=0,FLOOR((BO93+BP93)/2,0.1),IF(BO93=0,(BN93+BP93)/2,IF(BP93=0,(BO93+BN93)/2,FLOOR(((BN93+BO93+BP93)/3),0.1))))))))</f>
        <v/>
      </c>
      <c r="BR93" s="21" t="n"/>
      <c r="BS93" s="21" t="n"/>
      <c r="BT93" s="27">
        <f>SUM(BR93:BS93)</f>
        <v/>
      </c>
      <c r="BU93" s="28" t="n"/>
      <c r="BV93" s="31" t="n"/>
      <c r="BW93" s="29">
        <f>IF(AND(BT93=0,BU93=0,BV93=0),0,IF(AND(BT93=0,BU93=0),BV93/1,IF(AND(BT93=0,BV93=0),BU93/1,IF(AND(BU93=0,BV93=0),BT93/1,IF(BT93=0,FLOOR((BU93+BV93)/2,0.1),IF(BU93=0,(BT93+BV93)/2,IF(BV93=0,(BU93+BT93)/2,FLOOR(((BT93+BU93+BV93)/3),0.1))))))))</f>
        <v/>
      </c>
      <c r="BX93" s="21" t="n"/>
      <c r="BY93" s="21" t="n"/>
      <c r="BZ93" s="27">
        <f>SUM(BX93:BY93)</f>
        <v/>
      </c>
      <c r="CA93" s="28" t="n"/>
      <c r="CB93" s="31" t="n"/>
      <c r="CC93" s="29">
        <f>IF(AND(BZ93=0,CA93=0,CB93=0),0,IF(AND(BZ93=0,CA93=0),CB93/1,IF(AND(BZ93=0,CB93=0),CA93/1,IF(AND(CA93=0,CB93=0),BZ93/1,IF(BZ93=0,FLOOR((CA93+CB93)/2,0.1),IF(CA93=0,(BZ93+CB93)/2,IF(CB93=0,(CA93+BZ93)/2,FLOOR(((BZ93+CA93+CB93)/3),0.1))))))))</f>
        <v/>
      </c>
      <c r="CD93" s="21" t="n"/>
      <c r="CE93" s="21" t="n"/>
      <c r="CF93" s="27">
        <f>SUM(CD93:CE93)</f>
        <v/>
      </c>
      <c r="CG93" s="28" t="n"/>
      <c r="CH93" s="31" t="n"/>
      <c r="CI93" s="29">
        <f>IF(AND(CF93=0,CG93=0,CH93=0),0,IF(AND(CF93=0,CG93=0),CH93/1,IF(AND(CF93=0,CH93=0),CG93/1,IF(AND(CG93=0,CH93=0),CF93/1,IF(CF93=0,FLOOR((CG93+CH93)/2,0.1),IF(CG93=0,(CF93+CH93)/2,IF(CH93=0,(CG93+CF93)/2,FLOOR(((CF93+CG93+CH93)/3),0.1))))))))</f>
        <v/>
      </c>
      <c r="CJ93" s="21" t="n"/>
      <c r="CK93" s="21" t="n"/>
      <c r="CL93" s="27">
        <f>SUM(CJ93:CK93)</f>
        <v/>
      </c>
      <c r="CM93" s="28" t="n"/>
      <c r="CN93" s="31" t="n"/>
      <c r="CO93" s="29">
        <f>IF(AND(CL93=0,CM93=0,CN93=0),0,IF(AND(CL93=0,CM93=0),CN93/1,IF(AND(CL93=0,CN93=0),CM93/1,IF(AND(CM93=0,CN93=0),CL93/1,IF(CL93=0,FLOOR((CM93+CN93)/2,0.1),IF(CM93=0,(CL93+CN93)/2,IF(CN93=0,(CM93+CL93)/2,FLOOR(((CL93+CM93+CN93)/3),0.1))))))))</f>
        <v/>
      </c>
      <c r="CP93" s="21" t="n"/>
      <c r="CQ93" s="21" t="n"/>
      <c r="CR93" s="27">
        <f>SUM(CP93:CQ93)</f>
        <v/>
      </c>
      <c r="CS93" s="28" t="n"/>
      <c r="CT93" s="31" t="n"/>
      <c r="CU93" s="29">
        <f>IF(AND(CR93=0,CS93=0,CT93=0),0,IF(AND(CR93=0,CS93=0),CT93/1,IF(AND(CR93=0,CT93=0),CS93/1,IF(AND(CS93=0,CT93=0),CR93/1,IF(CR93=0,FLOOR((CS93+CT93)/2,0.1),IF(CS93=0,(CR93+CT93)/2,IF(CT93=0,(CS93+CR93)/2,FLOOR(((CR93+CS93+CT93)/3),0.1))))))))</f>
        <v/>
      </c>
      <c r="CV93" s="21" t="n"/>
      <c r="CW93" s="21" t="n"/>
      <c r="CX93" s="27">
        <f>SUM(CV93:CW93)</f>
        <v/>
      </c>
      <c r="CY93" s="28" t="n"/>
      <c r="CZ93" s="31" t="n"/>
      <c r="DA93" s="29">
        <f>IF(AND(CX93=0,CY93=0,CZ93=0),0,IF(AND(CX93=0,CY93=0),CZ93/1,IF(AND(CX93=0,CZ93=0),CY93/1,IF(AND(CY93=0,CZ93=0),CX93/1,IF(CX93=0,FLOOR((CY93+CZ93)/2,0.1),IF(CY93=0,(CX93+CZ93)/2,IF(CZ93=0,(CY93+CX93)/2,FLOOR(((CX93+CY93+CZ93)/3),0.1))))))))</f>
        <v/>
      </c>
      <c r="DB93" s="21" t="n"/>
      <c r="DC93" s="21" t="n"/>
      <c r="DD93" s="27">
        <f>SUM(DB93:DC93)</f>
        <v/>
      </c>
      <c r="DE93" s="28" t="n"/>
      <c r="DF93" s="31" t="n"/>
      <c r="DG93" s="29">
        <f>IF(AND(DD93=0,DE93=0,DF93=0),0,IF(AND(DD93=0,DE93=0),DF93/1,IF(AND(DD93=0,DF93=0),DE93/1,IF(AND(DE93=0,DF93=0),DD93/1,IF(DD93=0,FLOOR((DE93+DF93)/2,0.1),IF(DE93=0,(DD93+DF93)/2,IF(DF93=0,(DE93+DD93)/2,FLOOR(((DD93+DE93+DF93)/3),0.1))))))))</f>
        <v/>
      </c>
      <c r="DH93" s="34">
        <f>SUM(O93,U93,AA93,AG93,AM93,AS93,AY93,BE93,BK93,BQ93,BW93,CC93,CI93,CO93,CU93,DA93,DG93)</f>
        <v/>
      </c>
      <c r="DI93" s="39">
        <f>RANK(DH93,DH$4:DH$503)</f>
        <v/>
      </c>
      <c r="DJ93" s="40" t="inlineStr">
        <is>
          <t>CHOOSE RATING</t>
        </is>
      </c>
      <c r="DK93" s="40" t="inlineStr">
        <is>
          <t>CHOOSE RATING</t>
        </is>
      </c>
      <c r="DL93" s="40" t="inlineStr">
        <is>
          <t>CHOOSE RATING</t>
        </is>
      </c>
      <c r="DM93" s="40" t="inlineStr">
        <is>
          <t>CHOOSE RATING</t>
        </is>
      </c>
      <c r="DN93" s="40" t="inlineStr">
        <is>
          <t>CHOOSE RATING</t>
        </is>
      </c>
      <c r="DO93" s="40" t="inlineStr">
        <is>
          <t>CHOOSE RATING</t>
        </is>
      </c>
      <c r="DP93" s="40" t="inlineStr">
        <is>
          <t>CHOOSE RATING</t>
        </is>
      </c>
      <c r="DQ93" s="40" t="inlineStr">
        <is>
          <t>CHOOSE RATING</t>
        </is>
      </c>
      <c r="DR93" s="43" t="inlineStr">
        <is>
          <t>2024/2025</t>
        </is>
      </c>
      <c r="DS93" s="45" t="inlineStr">
        <is>
          <t>THIRD</t>
        </is>
      </c>
      <c r="DT93" s="40" t="inlineStr">
        <is>
          <t>CHOOSE RATING</t>
        </is>
      </c>
      <c r="DU93" s="40" t="inlineStr">
        <is>
          <t>CHOOSE RATING</t>
        </is>
      </c>
      <c r="DV93" s="40" t="inlineStr">
        <is>
          <t>CHOOSE RATING</t>
        </is>
      </c>
      <c r="DW93" s="40" t="inlineStr">
        <is>
          <t>CHOOSE RATING</t>
        </is>
      </c>
      <c r="DX93" s="40" t="inlineStr">
        <is>
          <t>CHOOSE RATING</t>
        </is>
      </c>
      <c r="DY93" s="40" t="inlineStr">
        <is>
          <t>CHOOSE RATING</t>
        </is>
      </c>
      <c r="DZ93" s="53" t="inlineStr">
        <is>
          <t>CHOOSE RATING</t>
        </is>
      </c>
      <c r="EA93" s="54" t="inlineStr">
        <is>
          <t>Add the Tutor's Comment . . .</t>
        </is>
      </c>
      <c r="EB93" s="55" t="inlineStr">
        <is>
          <t>Choose Principals comment</t>
        </is>
      </c>
      <c r="EC93" s="56" t="n"/>
      <c r="ED93" s="57" t="inlineStr">
        <is>
          <t>Next Term Begins on Monday, 22nd September, 2025</t>
        </is>
      </c>
    </row>
    <row r="94" ht="30.6" customHeight="1" s="6">
      <c r="A94" s="18" t="n">
        <v>91</v>
      </c>
      <c r="B94" s="19" t="n"/>
      <c r="C94" s="20" t="n"/>
      <c r="D94" s="128" t="n"/>
      <c r="E94" s="21" t="n"/>
      <c r="F94" s="22" t="n"/>
      <c r="G94" s="22" t="n"/>
      <c r="H94" s="22" t="n"/>
      <c r="I94" s="26">
        <f>G94-H94</f>
        <v/>
      </c>
      <c r="J94" s="21" t="n"/>
      <c r="K94" s="21" t="n"/>
      <c r="L94" s="27">
        <f>SUM(J94:K94)</f>
        <v/>
      </c>
      <c r="M94" s="28" t="n"/>
      <c r="N94" s="28" t="n"/>
      <c r="O94" s="29">
        <f>IF(AND(L94=0,M94=0,N94=0),0,IF(AND(L94=0,M94=0),N94/1,IF(AND(L94=0,N94=0),M94/1,IF(AND(M94=0,N94=0),L94/1,IF(L94=0,FLOOR((M94+N94)/2,0.1),IF(M94=0,(L94+N94)/2,IF(N94=0,(M94+L94)/2,FLOOR(((L94+M94+N94)/3),0.1))))))))</f>
        <v/>
      </c>
      <c r="P94" s="21" t="n"/>
      <c r="Q94" s="21" t="n"/>
      <c r="R94" s="27">
        <f>SUM(P94:Q94)</f>
        <v/>
      </c>
      <c r="S94" s="28" t="n"/>
      <c r="T94" s="28" t="n"/>
      <c r="U94" s="29">
        <f>IF(AND(R94=0,S94=0,T94=0),0,IF(AND(R94=0,S94=0),T94/1,IF(AND(R94=0,T94=0),S94/1,IF(AND(S94=0,T94=0),R94/1,IF(R94=0,FLOOR((S94+T94)/2,0.1),IF(S94=0,(R94+T94)/2,IF(T94=0,(S94+R94)/2,FLOOR(((R94+S94+T94)/3),0.1))))))))</f>
        <v/>
      </c>
      <c r="V94" s="21" t="n"/>
      <c r="W94" s="21" t="n"/>
      <c r="X94" s="27">
        <f>SUM(V94:W94)</f>
        <v/>
      </c>
      <c r="Y94" s="28" t="n"/>
      <c r="Z94" s="28" t="n"/>
      <c r="AA94" s="29">
        <f>IF(AND(X94=0,Y94=0,Z94=0),0,IF(AND(X94=0,Y94=0),Z94/1,IF(AND(X94=0,Z94=0),Y94/1,IF(AND(Y94=0,Z94=0),X94/1,IF(X94=0,FLOOR((Y94+Z94)/2,0.1),IF(Y94=0,(X94+Z94)/2,IF(Z94=0,(Y94+X94)/2,FLOOR(((X94+Y94+Z94)/3),0.1))))))))</f>
        <v/>
      </c>
      <c r="AB94" s="21" t="n"/>
      <c r="AC94" s="21" t="n"/>
      <c r="AD94" s="27">
        <f>SUM(AB94:AC94)</f>
        <v/>
      </c>
      <c r="AE94" s="28" t="n"/>
      <c r="AF94" s="28" t="n"/>
      <c r="AG94" s="29">
        <f>IF(AND(AD94=0,AE94=0,AF94=0),0,IF(AND(AD94=0,AE94=0),AF94/1,IF(AND(AD94=0,AF94=0),AE94/1,IF(AND(AE94=0,AF94=0),AD94/1,IF(AD94=0,FLOOR((AE94+AF94)/2,0.1),IF(AE94=0,(AD94+AF94)/2,IF(AF94=0,(AE94+AD94)/2,FLOOR(((AD94+AE94+AF94)/3),0.1))))))))</f>
        <v/>
      </c>
      <c r="AH94" s="21" t="n"/>
      <c r="AI94" s="21" t="n"/>
      <c r="AJ94" s="27">
        <f>SUM(AH94:AI94)</f>
        <v/>
      </c>
      <c r="AK94" s="28" t="n"/>
      <c r="AL94" s="28" t="n"/>
      <c r="AM94" s="29">
        <f>IF(AND(AJ94=0,AK94=0,AL94=0),0,IF(AND(AJ94=0,AK94=0),AL94/1,IF(AND(AJ94=0,AL94=0),AK94/1,IF(AND(AK94=0,AL94=0),AJ94/1,IF(AJ94=0,FLOOR((AK94+AL94)/2,0.1),IF(AK94=0,(AJ94+AL94)/2,IF(AL94=0,(AK94+AJ94)/2,FLOOR(((AJ94+AK94+AL94)/3),0.1))))))))</f>
        <v/>
      </c>
      <c r="AN94" s="21" t="n"/>
      <c r="AO94" s="21" t="n"/>
      <c r="AP94" s="27">
        <f>SUM(AN94:AO94)</f>
        <v/>
      </c>
      <c r="AQ94" s="28" t="n"/>
      <c r="AR94" s="30" t="n"/>
      <c r="AS94" s="29">
        <f>IF(AND(AP94=0,AQ94=0,AR94=0),0,IF(AND(AP94=0,AQ94=0),AR94/1,IF(AND(AP94=0,AR94=0),AQ94/1,IF(AND(AQ94=0,AR94=0),AP94/1,IF(AP94=0,FLOOR((AQ94+AR94)/2,0.1),IF(AQ94=0,(AP94+AR94)/2,IF(AR94=0,(AQ94+AP94)/2,FLOOR(((AP94+AQ94+AR94)/3),0.1))))))))</f>
        <v/>
      </c>
      <c r="AT94" s="21" t="n"/>
      <c r="AU94" s="21" t="n"/>
      <c r="AV94" s="27">
        <f>SUM(AT94:AU94)</f>
        <v/>
      </c>
      <c r="AW94" s="28" t="n"/>
      <c r="AX94" s="30" t="n"/>
      <c r="AY94" s="29">
        <f>IF(AND(AV94=0,AW94=0,AX94=0),0,IF(AND(AV94=0,AW94=0),AX94/1,IF(AND(AV94=0,AX94=0),AW94/1,IF(AND(AW94=0,AX94=0),AV94/1,IF(AV94=0,FLOOR((AW94+AX94)/2,0.1),IF(AW94=0,(AV94+AX94)/2,IF(AX94=0,(AW94+AV94)/2,FLOOR(((AV94+AW94+AX94)/3),0.1))))))))</f>
        <v/>
      </c>
      <c r="AZ94" s="21" t="n"/>
      <c r="BA94" s="21" t="n"/>
      <c r="BB94" s="27">
        <f>SUM(AZ94:BA94)</f>
        <v/>
      </c>
      <c r="BC94" s="28" t="n"/>
      <c r="BD94" s="28" t="n"/>
      <c r="BE94" s="29">
        <f>IF(AND(BB94=0,BC94=0,BD94=0),0,IF(AND(BB94=0,BC94=0),BD94/1,IF(AND(BB94=0,BD94=0),BC94/1,IF(AND(BC94=0,BD94=0),BB94/1,IF(BB94=0,FLOOR((BC94+BD94)/2,0.1),IF(BC94=0,(BB94+BD94)/2,IF(BD94=0,(BC94+BB94)/2,FLOOR(((BB94+BC94+BD94)/3),0.1))))))))</f>
        <v/>
      </c>
      <c r="BF94" s="21" t="n"/>
      <c r="BG94" s="21" t="n"/>
      <c r="BH94" s="27">
        <f>SUM(BF94:BG94)</f>
        <v/>
      </c>
      <c r="BI94" s="28" t="n"/>
      <c r="BJ94" s="28" t="n"/>
      <c r="BK94" s="29">
        <f>IF(AND(BH94=0,BI94=0,BJ94=0),0,IF(AND(BH94=0,BI94=0),BJ94/1,IF(AND(BH94=0,BJ94=0),BI94/1,IF(AND(BI94=0,BJ94=0),BH94/1,IF(BH94=0,FLOOR((BI94+BJ94)/2,0.1),IF(BI94=0,(BH94+BJ94)/2,IF(BJ94=0,(BI94+BH94)/2,FLOOR(((BH94+BI94+BJ94)/3),0.1))))))))</f>
        <v/>
      </c>
      <c r="BL94" s="21" t="n"/>
      <c r="BM94" s="21" t="n"/>
      <c r="BN94" s="27">
        <f>SUM(BL94:BM94)</f>
        <v/>
      </c>
      <c r="BO94" s="28" t="n"/>
      <c r="BP94" s="31" t="n"/>
      <c r="BQ94" s="29">
        <f>IF(AND(BN94=0,BO94=0,BP94=0),0,IF(AND(BN94=0,BO94=0),BP94/1,IF(AND(BN94=0,BP94=0),BO94/1,IF(AND(BO94=0,BP94=0),BN94/1,IF(BN94=0,FLOOR((BO94+BP94)/2,0.1),IF(BO94=0,(BN94+BP94)/2,IF(BP94=0,(BO94+BN94)/2,FLOOR(((BN94+BO94+BP94)/3),0.1))))))))</f>
        <v/>
      </c>
      <c r="BR94" s="21" t="n"/>
      <c r="BS94" s="21" t="n"/>
      <c r="BT94" s="27">
        <f>SUM(BR94:BS94)</f>
        <v/>
      </c>
      <c r="BU94" s="28" t="n"/>
      <c r="BV94" s="31" t="n"/>
      <c r="BW94" s="29">
        <f>IF(AND(BT94=0,BU94=0,BV94=0),0,IF(AND(BT94=0,BU94=0),BV94/1,IF(AND(BT94=0,BV94=0),BU94/1,IF(AND(BU94=0,BV94=0),BT94/1,IF(BT94=0,FLOOR((BU94+BV94)/2,0.1),IF(BU94=0,(BT94+BV94)/2,IF(BV94=0,(BU94+BT94)/2,FLOOR(((BT94+BU94+BV94)/3),0.1))))))))</f>
        <v/>
      </c>
      <c r="BX94" s="21" t="n"/>
      <c r="BY94" s="21" t="n"/>
      <c r="BZ94" s="27">
        <f>SUM(BX94:BY94)</f>
        <v/>
      </c>
      <c r="CA94" s="28" t="n"/>
      <c r="CB94" s="31" t="n"/>
      <c r="CC94" s="29">
        <f>IF(AND(BZ94=0,CA94=0,CB94=0),0,IF(AND(BZ94=0,CA94=0),CB94/1,IF(AND(BZ94=0,CB94=0),CA94/1,IF(AND(CA94=0,CB94=0),BZ94/1,IF(BZ94=0,FLOOR((CA94+CB94)/2,0.1),IF(CA94=0,(BZ94+CB94)/2,IF(CB94=0,(CA94+BZ94)/2,FLOOR(((BZ94+CA94+CB94)/3),0.1))))))))</f>
        <v/>
      </c>
      <c r="CD94" s="21" t="n"/>
      <c r="CE94" s="21" t="n"/>
      <c r="CF94" s="27">
        <f>SUM(CD94:CE94)</f>
        <v/>
      </c>
      <c r="CG94" s="28" t="n"/>
      <c r="CH94" s="31" t="n"/>
      <c r="CI94" s="29">
        <f>IF(AND(CF94=0,CG94=0,CH94=0),0,IF(AND(CF94=0,CG94=0),CH94/1,IF(AND(CF94=0,CH94=0),CG94/1,IF(AND(CG94=0,CH94=0),CF94/1,IF(CF94=0,FLOOR((CG94+CH94)/2,0.1),IF(CG94=0,(CF94+CH94)/2,IF(CH94=0,(CG94+CF94)/2,FLOOR(((CF94+CG94+CH94)/3),0.1))))))))</f>
        <v/>
      </c>
      <c r="CJ94" s="21" t="n"/>
      <c r="CK94" s="21" t="n"/>
      <c r="CL94" s="27">
        <f>SUM(CJ94:CK94)</f>
        <v/>
      </c>
      <c r="CM94" s="28" t="n"/>
      <c r="CN94" s="31" t="n"/>
      <c r="CO94" s="29">
        <f>IF(AND(CL94=0,CM94=0,CN94=0),0,IF(AND(CL94=0,CM94=0),CN94/1,IF(AND(CL94=0,CN94=0),CM94/1,IF(AND(CM94=0,CN94=0),CL94/1,IF(CL94=0,FLOOR((CM94+CN94)/2,0.1),IF(CM94=0,(CL94+CN94)/2,IF(CN94=0,(CM94+CL94)/2,FLOOR(((CL94+CM94+CN94)/3),0.1))))))))</f>
        <v/>
      </c>
      <c r="CP94" s="21" t="n"/>
      <c r="CQ94" s="21" t="n"/>
      <c r="CR94" s="27">
        <f>SUM(CP94:CQ94)</f>
        <v/>
      </c>
      <c r="CS94" s="28" t="n"/>
      <c r="CT94" s="31" t="n"/>
      <c r="CU94" s="29">
        <f>IF(AND(CR94=0,CS94=0,CT94=0),0,IF(AND(CR94=0,CS94=0),CT94/1,IF(AND(CR94=0,CT94=0),CS94/1,IF(AND(CS94=0,CT94=0),CR94/1,IF(CR94=0,FLOOR((CS94+CT94)/2,0.1),IF(CS94=0,(CR94+CT94)/2,IF(CT94=0,(CS94+CR94)/2,FLOOR(((CR94+CS94+CT94)/3),0.1))))))))</f>
        <v/>
      </c>
      <c r="CV94" s="21" t="n"/>
      <c r="CW94" s="21" t="n"/>
      <c r="CX94" s="27">
        <f>SUM(CV94:CW94)</f>
        <v/>
      </c>
      <c r="CY94" s="28" t="n"/>
      <c r="CZ94" s="31" t="n"/>
      <c r="DA94" s="29">
        <f>IF(AND(CX94=0,CY94=0,CZ94=0),0,IF(AND(CX94=0,CY94=0),CZ94/1,IF(AND(CX94=0,CZ94=0),CY94/1,IF(AND(CY94=0,CZ94=0),CX94/1,IF(CX94=0,FLOOR((CY94+CZ94)/2,0.1),IF(CY94=0,(CX94+CZ94)/2,IF(CZ94=0,(CY94+CX94)/2,FLOOR(((CX94+CY94+CZ94)/3),0.1))))))))</f>
        <v/>
      </c>
      <c r="DB94" s="21" t="n"/>
      <c r="DC94" s="21" t="n"/>
      <c r="DD94" s="27">
        <f>SUM(DB94:DC94)</f>
        <v/>
      </c>
      <c r="DE94" s="28" t="n"/>
      <c r="DF94" s="31" t="n"/>
      <c r="DG94" s="29">
        <f>IF(AND(DD94=0,DE94=0,DF94=0),0,IF(AND(DD94=0,DE94=0),DF94/1,IF(AND(DD94=0,DF94=0),DE94/1,IF(AND(DE94=0,DF94=0),DD94/1,IF(DD94=0,FLOOR((DE94+DF94)/2,0.1),IF(DE94=0,(DD94+DF94)/2,IF(DF94=0,(DE94+DD94)/2,FLOOR(((DD94+DE94+DF94)/3),0.1))))))))</f>
        <v/>
      </c>
      <c r="DH94" s="34">
        <f>SUM(O94,U94,AA94,AG94,AM94,AS94,AY94,BE94,BK94,BQ94,BW94,CC94,CI94,CO94,CU94,DA94,DG94)</f>
        <v/>
      </c>
      <c r="DI94" s="39">
        <f>RANK(DH94,DH$4:DH$503)</f>
        <v/>
      </c>
      <c r="DJ94" s="40" t="inlineStr">
        <is>
          <t>CHOOSE RATING</t>
        </is>
      </c>
      <c r="DK94" s="40" t="inlineStr">
        <is>
          <t>CHOOSE RATING</t>
        </is>
      </c>
      <c r="DL94" s="40" t="inlineStr">
        <is>
          <t>CHOOSE RATING</t>
        </is>
      </c>
      <c r="DM94" s="40" t="inlineStr">
        <is>
          <t>CHOOSE RATING</t>
        </is>
      </c>
      <c r="DN94" s="40" t="inlineStr">
        <is>
          <t>CHOOSE RATING</t>
        </is>
      </c>
      <c r="DO94" s="40" t="inlineStr">
        <is>
          <t>CHOOSE RATING</t>
        </is>
      </c>
      <c r="DP94" s="40" t="inlineStr">
        <is>
          <t>CHOOSE RATING</t>
        </is>
      </c>
      <c r="DQ94" s="40" t="inlineStr">
        <is>
          <t>CHOOSE RATING</t>
        </is>
      </c>
      <c r="DR94" s="43" t="inlineStr">
        <is>
          <t>2024/2025</t>
        </is>
      </c>
      <c r="DS94" s="45" t="inlineStr">
        <is>
          <t>THIRD</t>
        </is>
      </c>
      <c r="DT94" s="40" t="inlineStr">
        <is>
          <t>CHOOSE RATING</t>
        </is>
      </c>
      <c r="DU94" s="40" t="inlineStr">
        <is>
          <t>CHOOSE RATING</t>
        </is>
      </c>
      <c r="DV94" s="40" t="inlineStr">
        <is>
          <t>CHOOSE RATING</t>
        </is>
      </c>
      <c r="DW94" s="40" t="inlineStr">
        <is>
          <t>CHOOSE RATING</t>
        </is>
      </c>
      <c r="DX94" s="40" t="inlineStr">
        <is>
          <t>CHOOSE RATING</t>
        </is>
      </c>
      <c r="DY94" s="40" t="inlineStr">
        <is>
          <t>CHOOSE RATING</t>
        </is>
      </c>
      <c r="DZ94" s="53" t="inlineStr">
        <is>
          <t>CHOOSE RATING</t>
        </is>
      </c>
      <c r="EA94" s="54" t="inlineStr">
        <is>
          <t>Add the Tutor's Comment . . .</t>
        </is>
      </c>
      <c r="EB94" s="55" t="inlineStr">
        <is>
          <t>Choose Principals comment</t>
        </is>
      </c>
      <c r="EC94" s="56" t="n"/>
      <c r="ED94" s="57" t="inlineStr">
        <is>
          <t>Next Term Begins on Monday, 22nd September, 2025</t>
        </is>
      </c>
    </row>
    <row r="95" ht="30.6" customHeight="1" s="6">
      <c r="A95" s="18" t="n">
        <v>92</v>
      </c>
      <c r="B95" s="19" t="n"/>
      <c r="C95" s="20" t="n"/>
      <c r="D95" s="128" t="n"/>
      <c r="E95" s="21" t="n"/>
      <c r="F95" s="22" t="n"/>
      <c r="G95" s="22" t="n"/>
      <c r="H95" s="22" t="n"/>
      <c r="I95" s="26">
        <f>G95-H95</f>
        <v/>
      </c>
      <c r="J95" s="21" t="n"/>
      <c r="K95" s="21" t="n"/>
      <c r="L95" s="27">
        <f>SUM(J95:K95)</f>
        <v/>
      </c>
      <c r="M95" s="28" t="n"/>
      <c r="N95" s="28" t="n"/>
      <c r="O95" s="29">
        <f>IF(AND(L95=0,M95=0,N95=0),0,IF(AND(L95=0,M95=0),N95/1,IF(AND(L95=0,N95=0),M95/1,IF(AND(M95=0,N95=0),L95/1,IF(L95=0,FLOOR((M95+N95)/2,0.1),IF(M95=0,(L95+N95)/2,IF(N95=0,(M95+L95)/2,FLOOR(((L95+M95+N95)/3),0.1))))))))</f>
        <v/>
      </c>
      <c r="P95" s="21" t="n"/>
      <c r="Q95" s="21" t="n"/>
      <c r="R95" s="27">
        <f>SUM(P95:Q95)</f>
        <v/>
      </c>
      <c r="S95" s="28" t="n"/>
      <c r="T95" s="28" t="n"/>
      <c r="U95" s="29">
        <f>IF(AND(R95=0,S95=0,T95=0),0,IF(AND(R95=0,S95=0),T95/1,IF(AND(R95=0,T95=0),S95/1,IF(AND(S95=0,T95=0),R95/1,IF(R95=0,FLOOR((S95+T95)/2,0.1),IF(S95=0,(R95+T95)/2,IF(T95=0,(S95+R95)/2,FLOOR(((R95+S95+T95)/3),0.1))))))))</f>
        <v/>
      </c>
      <c r="V95" s="21" t="n"/>
      <c r="W95" s="21" t="n"/>
      <c r="X95" s="27">
        <f>SUM(V95:W95)</f>
        <v/>
      </c>
      <c r="Y95" s="28" t="n"/>
      <c r="Z95" s="28" t="n"/>
      <c r="AA95" s="29">
        <f>IF(AND(X95=0,Y95=0,Z95=0),0,IF(AND(X95=0,Y95=0),Z95/1,IF(AND(X95=0,Z95=0),Y95/1,IF(AND(Y95=0,Z95=0),X95/1,IF(X95=0,FLOOR((Y95+Z95)/2,0.1),IF(Y95=0,(X95+Z95)/2,IF(Z95=0,(Y95+X95)/2,FLOOR(((X95+Y95+Z95)/3),0.1))))))))</f>
        <v/>
      </c>
      <c r="AB95" s="21" t="n"/>
      <c r="AC95" s="21" t="n"/>
      <c r="AD95" s="27">
        <f>SUM(AB95:AC95)</f>
        <v/>
      </c>
      <c r="AE95" s="28" t="n"/>
      <c r="AF95" s="28" t="n"/>
      <c r="AG95" s="29">
        <f>IF(AND(AD95=0,AE95=0,AF95=0),0,IF(AND(AD95=0,AE95=0),AF95/1,IF(AND(AD95=0,AF95=0),AE95/1,IF(AND(AE95=0,AF95=0),AD95/1,IF(AD95=0,FLOOR((AE95+AF95)/2,0.1),IF(AE95=0,(AD95+AF95)/2,IF(AF95=0,(AE95+AD95)/2,FLOOR(((AD95+AE95+AF95)/3),0.1))))))))</f>
        <v/>
      </c>
      <c r="AH95" s="21" t="n"/>
      <c r="AI95" s="21" t="n"/>
      <c r="AJ95" s="27">
        <f>SUM(AH95:AI95)</f>
        <v/>
      </c>
      <c r="AK95" s="28" t="n"/>
      <c r="AL95" s="28" t="n"/>
      <c r="AM95" s="29">
        <f>IF(AND(AJ95=0,AK95=0,AL95=0),0,IF(AND(AJ95=0,AK95=0),AL95/1,IF(AND(AJ95=0,AL95=0),AK95/1,IF(AND(AK95=0,AL95=0),AJ95/1,IF(AJ95=0,FLOOR((AK95+AL95)/2,0.1),IF(AK95=0,(AJ95+AL95)/2,IF(AL95=0,(AK95+AJ95)/2,FLOOR(((AJ95+AK95+AL95)/3),0.1))))))))</f>
        <v/>
      </c>
      <c r="AN95" s="21" t="n"/>
      <c r="AO95" s="21" t="n"/>
      <c r="AP95" s="27">
        <f>SUM(AN95:AO95)</f>
        <v/>
      </c>
      <c r="AQ95" s="28" t="n"/>
      <c r="AR95" s="30" t="n"/>
      <c r="AS95" s="29">
        <f>IF(AND(AP95=0,AQ95=0,AR95=0),0,IF(AND(AP95=0,AQ95=0),AR95/1,IF(AND(AP95=0,AR95=0),AQ95/1,IF(AND(AQ95=0,AR95=0),AP95/1,IF(AP95=0,FLOOR((AQ95+AR95)/2,0.1),IF(AQ95=0,(AP95+AR95)/2,IF(AR95=0,(AQ95+AP95)/2,FLOOR(((AP95+AQ95+AR95)/3),0.1))))))))</f>
        <v/>
      </c>
      <c r="AT95" s="21" t="n"/>
      <c r="AU95" s="21" t="n"/>
      <c r="AV95" s="27">
        <f>SUM(AT95:AU95)</f>
        <v/>
      </c>
      <c r="AW95" s="28" t="n"/>
      <c r="AX95" s="30" t="n"/>
      <c r="AY95" s="29">
        <f>IF(AND(AV95=0,AW95=0,AX95=0),0,IF(AND(AV95=0,AW95=0),AX95/1,IF(AND(AV95=0,AX95=0),AW95/1,IF(AND(AW95=0,AX95=0),AV95/1,IF(AV95=0,FLOOR((AW95+AX95)/2,0.1),IF(AW95=0,(AV95+AX95)/2,IF(AX95=0,(AW95+AV95)/2,FLOOR(((AV95+AW95+AX95)/3),0.1))))))))</f>
        <v/>
      </c>
      <c r="AZ95" s="21" t="n"/>
      <c r="BA95" s="21" t="n"/>
      <c r="BB95" s="27">
        <f>SUM(AZ95:BA95)</f>
        <v/>
      </c>
      <c r="BC95" s="28" t="n"/>
      <c r="BD95" s="28" t="n"/>
      <c r="BE95" s="29">
        <f>IF(AND(BB95=0,BC95=0,BD95=0),0,IF(AND(BB95=0,BC95=0),BD95/1,IF(AND(BB95=0,BD95=0),BC95/1,IF(AND(BC95=0,BD95=0),BB95/1,IF(BB95=0,FLOOR((BC95+BD95)/2,0.1),IF(BC95=0,(BB95+BD95)/2,IF(BD95=0,(BC95+BB95)/2,FLOOR(((BB95+BC95+BD95)/3),0.1))))))))</f>
        <v/>
      </c>
      <c r="BF95" s="21" t="n"/>
      <c r="BG95" s="21" t="n"/>
      <c r="BH95" s="27">
        <f>SUM(BF95:BG95)</f>
        <v/>
      </c>
      <c r="BI95" s="28" t="n"/>
      <c r="BJ95" s="28" t="n"/>
      <c r="BK95" s="29">
        <f>IF(AND(BH95=0,BI95=0,BJ95=0),0,IF(AND(BH95=0,BI95=0),BJ95/1,IF(AND(BH95=0,BJ95=0),BI95/1,IF(AND(BI95=0,BJ95=0),BH95/1,IF(BH95=0,FLOOR((BI95+BJ95)/2,0.1),IF(BI95=0,(BH95+BJ95)/2,IF(BJ95=0,(BI95+BH95)/2,FLOOR(((BH95+BI95+BJ95)/3),0.1))))))))</f>
        <v/>
      </c>
      <c r="BL95" s="21" t="n"/>
      <c r="BM95" s="21" t="n"/>
      <c r="BN95" s="27">
        <f>SUM(BL95:BM95)</f>
        <v/>
      </c>
      <c r="BO95" s="28" t="n"/>
      <c r="BP95" s="31" t="n"/>
      <c r="BQ95" s="29">
        <f>IF(AND(BN95=0,BO95=0,BP95=0),0,IF(AND(BN95=0,BO95=0),BP95/1,IF(AND(BN95=0,BP95=0),BO95/1,IF(AND(BO95=0,BP95=0),BN95/1,IF(BN95=0,FLOOR((BO95+BP95)/2,0.1),IF(BO95=0,(BN95+BP95)/2,IF(BP95=0,(BO95+BN95)/2,FLOOR(((BN95+BO95+BP95)/3),0.1))))))))</f>
        <v/>
      </c>
      <c r="BR95" s="21" t="n"/>
      <c r="BS95" s="21" t="n"/>
      <c r="BT95" s="27">
        <f>SUM(BR95:BS95)</f>
        <v/>
      </c>
      <c r="BU95" s="28" t="n"/>
      <c r="BV95" s="31" t="n"/>
      <c r="BW95" s="29">
        <f>IF(AND(BT95=0,BU95=0,BV95=0),0,IF(AND(BT95=0,BU95=0),BV95/1,IF(AND(BT95=0,BV95=0),BU95/1,IF(AND(BU95=0,BV95=0),BT95/1,IF(BT95=0,FLOOR((BU95+BV95)/2,0.1),IF(BU95=0,(BT95+BV95)/2,IF(BV95=0,(BU95+BT95)/2,FLOOR(((BT95+BU95+BV95)/3),0.1))))))))</f>
        <v/>
      </c>
      <c r="BX95" s="21" t="n"/>
      <c r="BY95" s="21" t="n"/>
      <c r="BZ95" s="27">
        <f>SUM(BX95:BY95)</f>
        <v/>
      </c>
      <c r="CA95" s="28" t="n"/>
      <c r="CB95" s="31" t="n"/>
      <c r="CC95" s="29">
        <f>IF(AND(BZ95=0,CA95=0,CB95=0),0,IF(AND(BZ95=0,CA95=0),CB95/1,IF(AND(BZ95=0,CB95=0),CA95/1,IF(AND(CA95=0,CB95=0),BZ95/1,IF(BZ95=0,FLOOR((CA95+CB95)/2,0.1),IF(CA95=0,(BZ95+CB95)/2,IF(CB95=0,(CA95+BZ95)/2,FLOOR(((BZ95+CA95+CB95)/3),0.1))))))))</f>
        <v/>
      </c>
      <c r="CD95" s="21" t="n"/>
      <c r="CE95" s="21" t="n"/>
      <c r="CF95" s="27">
        <f>SUM(CD95:CE95)</f>
        <v/>
      </c>
      <c r="CG95" s="28" t="n"/>
      <c r="CH95" s="31" t="n"/>
      <c r="CI95" s="29">
        <f>IF(AND(CF95=0,CG95=0,CH95=0),0,IF(AND(CF95=0,CG95=0),CH95/1,IF(AND(CF95=0,CH95=0),CG95/1,IF(AND(CG95=0,CH95=0),CF95/1,IF(CF95=0,FLOOR((CG95+CH95)/2,0.1),IF(CG95=0,(CF95+CH95)/2,IF(CH95=0,(CG95+CF95)/2,FLOOR(((CF95+CG95+CH95)/3),0.1))))))))</f>
        <v/>
      </c>
      <c r="CJ95" s="21" t="n"/>
      <c r="CK95" s="21" t="n"/>
      <c r="CL95" s="27">
        <f>SUM(CJ95:CK95)</f>
        <v/>
      </c>
      <c r="CM95" s="28" t="n"/>
      <c r="CN95" s="31" t="n"/>
      <c r="CO95" s="29">
        <f>IF(AND(CL95=0,CM95=0,CN95=0),0,IF(AND(CL95=0,CM95=0),CN95/1,IF(AND(CL95=0,CN95=0),CM95/1,IF(AND(CM95=0,CN95=0),CL95/1,IF(CL95=0,FLOOR((CM95+CN95)/2,0.1),IF(CM95=0,(CL95+CN95)/2,IF(CN95=0,(CM95+CL95)/2,FLOOR(((CL95+CM95+CN95)/3),0.1))))))))</f>
        <v/>
      </c>
      <c r="CP95" s="21" t="n"/>
      <c r="CQ95" s="21" t="n"/>
      <c r="CR95" s="27">
        <f>SUM(CP95:CQ95)</f>
        <v/>
      </c>
      <c r="CS95" s="28" t="n"/>
      <c r="CT95" s="31" t="n"/>
      <c r="CU95" s="29">
        <f>IF(AND(CR95=0,CS95=0,CT95=0),0,IF(AND(CR95=0,CS95=0),CT95/1,IF(AND(CR95=0,CT95=0),CS95/1,IF(AND(CS95=0,CT95=0),CR95/1,IF(CR95=0,FLOOR((CS95+CT95)/2,0.1),IF(CS95=0,(CR95+CT95)/2,IF(CT95=0,(CS95+CR95)/2,FLOOR(((CR95+CS95+CT95)/3),0.1))))))))</f>
        <v/>
      </c>
      <c r="CV95" s="21" t="n"/>
      <c r="CW95" s="21" t="n"/>
      <c r="CX95" s="27">
        <f>SUM(CV95:CW95)</f>
        <v/>
      </c>
      <c r="CY95" s="28" t="n"/>
      <c r="CZ95" s="31" t="n"/>
      <c r="DA95" s="29">
        <f>IF(AND(CX95=0,CY95=0,CZ95=0),0,IF(AND(CX95=0,CY95=0),CZ95/1,IF(AND(CX95=0,CZ95=0),CY95/1,IF(AND(CY95=0,CZ95=0),CX95/1,IF(CX95=0,FLOOR((CY95+CZ95)/2,0.1),IF(CY95=0,(CX95+CZ95)/2,IF(CZ95=0,(CY95+CX95)/2,FLOOR(((CX95+CY95+CZ95)/3),0.1))))))))</f>
        <v/>
      </c>
      <c r="DB95" s="21" t="n"/>
      <c r="DC95" s="21" t="n"/>
      <c r="DD95" s="27">
        <f>SUM(DB95:DC95)</f>
        <v/>
      </c>
      <c r="DE95" s="28" t="n"/>
      <c r="DF95" s="31" t="n"/>
      <c r="DG95" s="29">
        <f>IF(AND(DD95=0,DE95=0,DF95=0),0,IF(AND(DD95=0,DE95=0),DF95/1,IF(AND(DD95=0,DF95=0),DE95/1,IF(AND(DE95=0,DF95=0),DD95/1,IF(DD95=0,FLOOR((DE95+DF95)/2,0.1),IF(DE95=0,(DD95+DF95)/2,IF(DF95=0,(DE95+DD95)/2,FLOOR(((DD95+DE95+DF95)/3),0.1))))))))</f>
        <v/>
      </c>
      <c r="DH95" s="34">
        <f>SUM(O95,U95,AA95,AG95,AM95,AS95,AY95,BE95,BK95,BQ95,BW95,CC95,CI95,CO95,CU95,DA95,DG95)</f>
        <v/>
      </c>
      <c r="DI95" s="39">
        <f>RANK(DH95,DH$4:DH$503)</f>
        <v/>
      </c>
      <c r="DJ95" s="40" t="inlineStr">
        <is>
          <t>CHOOSE RATING</t>
        </is>
      </c>
      <c r="DK95" s="40" t="inlineStr">
        <is>
          <t>CHOOSE RATING</t>
        </is>
      </c>
      <c r="DL95" s="40" t="inlineStr">
        <is>
          <t>CHOOSE RATING</t>
        </is>
      </c>
      <c r="DM95" s="40" t="inlineStr">
        <is>
          <t>CHOOSE RATING</t>
        </is>
      </c>
      <c r="DN95" s="40" t="inlineStr">
        <is>
          <t>CHOOSE RATING</t>
        </is>
      </c>
      <c r="DO95" s="40" t="inlineStr">
        <is>
          <t>CHOOSE RATING</t>
        </is>
      </c>
      <c r="DP95" s="40" t="inlineStr">
        <is>
          <t>CHOOSE RATING</t>
        </is>
      </c>
      <c r="DQ95" s="40" t="inlineStr">
        <is>
          <t>CHOOSE RATING</t>
        </is>
      </c>
      <c r="DR95" s="43" t="inlineStr">
        <is>
          <t>2024/2025</t>
        </is>
      </c>
      <c r="DS95" s="45" t="inlineStr">
        <is>
          <t>THIRD</t>
        </is>
      </c>
      <c r="DT95" s="40" t="inlineStr">
        <is>
          <t>CHOOSE RATING</t>
        </is>
      </c>
      <c r="DU95" s="40" t="inlineStr">
        <is>
          <t>CHOOSE RATING</t>
        </is>
      </c>
      <c r="DV95" s="40" t="inlineStr">
        <is>
          <t>CHOOSE RATING</t>
        </is>
      </c>
      <c r="DW95" s="40" t="inlineStr">
        <is>
          <t>CHOOSE RATING</t>
        </is>
      </c>
      <c r="DX95" s="40" t="inlineStr">
        <is>
          <t>CHOOSE RATING</t>
        </is>
      </c>
      <c r="DY95" s="40" t="inlineStr">
        <is>
          <t>CHOOSE RATING</t>
        </is>
      </c>
      <c r="DZ95" s="53" t="inlineStr">
        <is>
          <t>CHOOSE RATING</t>
        </is>
      </c>
      <c r="EA95" s="54" t="inlineStr">
        <is>
          <t>Add the Tutor's Comment . . .</t>
        </is>
      </c>
      <c r="EB95" s="55" t="inlineStr">
        <is>
          <t>Choose Principals comment</t>
        </is>
      </c>
      <c r="EC95" s="56" t="n"/>
      <c r="ED95" s="57" t="inlineStr">
        <is>
          <t>Next Term Begins on Monday, 22nd September, 2025</t>
        </is>
      </c>
    </row>
    <row r="96" ht="30.6" customHeight="1" s="6">
      <c r="A96" s="18" t="n">
        <v>93</v>
      </c>
      <c r="B96" s="19" t="n"/>
      <c r="C96" s="20" t="n"/>
      <c r="D96" s="128" t="n"/>
      <c r="E96" s="21" t="n"/>
      <c r="F96" s="22" t="n"/>
      <c r="G96" s="22" t="n"/>
      <c r="H96" s="22" t="n"/>
      <c r="I96" s="26">
        <f>G96-H96</f>
        <v/>
      </c>
      <c r="J96" s="21" t="n"/>
      <c r="K96" s="21" t="n"/>
      <c r="L96" s="27">
        <f>SUM(J96:K96)</f>
        <v/>
      </c>
      <c r="M96" s="28" t="n"/>
      <c r="N96" s="28" t="n"/>
      <c r="O96" s="29">
        <f>IF(AND(L96=0,M96=0,N96=0),0,IF(AND(L96=0,M96=0),N96/1,IF(AND(L96=0,N96=0),M96/1,IF(AND(M96=0,N96=0),L96/1,IF(L96=0,FLOOR((M96+N96)/2,0.1),IF(M96=0,(L96+N96)/2,IF(N96=0,(M96+L96)/2,FLOOR(((L96+M96+N96)/3),0.1))))))))</f>
        <v/>
      </c>
      <c r="P96" s="21" t="n"/>
      <c r="Q96" s="21" t="n"/>
      <c r="R96" s="27">
        <f>SUM(P96:Q96)</f>
        <v/>
      </c>
      <c r="S96" s="28" t="n"/>
      <c r="T96" s="28" t="n"/>
      <c r="U96" s="29">
        <f>IF(AND(R96=0,S96=0,T96=0),0,IF(AND(R96=0,S96=0),T96/1,IF(AND(R96=0,T96=0),S96/1,IF(AND(S96=0,T96=0),R96/1,IF(R96=0,FLOOR((S96+T96)/2,0.1),IF(S96=0,(R96+T96)/2,IF(T96=0,(S96+R96)/2,FLOOR(((R96+S96+T96)/3),0.1))))))))</f>
        <v/>
      </c>
      <c r="V96" s="21" t="n"/>
      <c r="W96" s="21" t="n"/>
      <c r="X96" s="27">
        <f>SUM(V96:W96)</f>
        <v/>
      </c>
      <c r="Y96" s="28" t="n"/>
      <c r="Z96" s="28" t="n"/>
      <c r="AA96" s="29">
        <f>IF(AND(X96=0,Y96=0,Z96=0),0,IF(AND(X96=0,Y96=0),Z96/1,IF(AND(X96=0,Z96=0),Y96/1,IF(AND(Y96=0,Z96=0),X96/1,IF(X96=0,FLOOR((Y96+Z96)/2,0.1),IF(Y96=0,(X96+Z96)/2,IF(Z96=0,(Y96+X96)/2,FLOOR(((X96+Y96+Z96)/3),0.1))))))))</f>
        <v/>
      </c>
      <c r="AB96" s="21" t="n"/>
      <c r="AC96" s="21" t="n"/>
      <c r="AD96" s="27">
        <f>SUM(AB96:AC96)</f>
        <v/>
      </c>
      <c r="AE96" s="28" t="n"/>
      <c r="AF96" s="28" t="n"/>
      <c r="AG96" s="29">
        <f>IF(AND(AD96=0,AE96=0,AF96=0),0,IF(AND(AD96=0,AE96=0),AF96/1,IF(AND(AD96=0,AF96=0),AE96/1,IF(AND(AE96=0,AF96=0),AD96/1,IF(AD96=0,FLOOR((AE96+AF96)/2,0.1),IF(AE96=0,(AD96+AF96)/2,IF(AF96=0,(AE96+AD96)/2,FLOOR(((AD96+AE96+AF96)/3),0.1))))))))</f>
        <v/>
      </c>
      <c r="AH96" s="21" t="n"/>
      <c r="AI96" s="21" t="n"/>
      <c r="AJ96" s="27">
        <f>SUM(AH96:AI96)</f>
        <v/>
      </c>
      <c r="AK96" s="28" t="n"/>
      <c r="AL96" s="28" t="n"/>
      <c r="AM96" s="29">
        <f>IF(AND(AJ96=0,AK96=0,AL96=0),0,IF(AND(AJ96=0,AK96=0),AL96/1,IF(AND(AJ96=0,AL96=0),AK96/1,IF(AND(AK96=0,AL96=0),AJ96/1,IF(AJ96=0,FLOOR((AK96+AL96)/2,0.1),IF(AK96=0,(AJ96+AL96)/2,IF(AL96=0,(AK96+AJ96)/2,FLOOR(((AJ96+AK96+AL96)/3),0.1))))))))</f>
        <v/>
      </c>
      <c r="AN96" s="21" t="n"/>
      <c r="AO96" s="21" t="n"/>
      <c r="AP96" s="27">
        <f>SUM(AN96:AO96)</f>
        <v/>
      </c>
      <c r="AQ96" s="28" t="n"/>
      <c r="AR96" s="30" t="n"/>
      <c r="AS96" s="29">
        <f>IF(AND(AP96=0,AQ96=0,AR96=0),0,IF(AND(AP96=0,AQ96=0),AR96/1,IF(AND(AP96=0,AR96=0),AQ96/1,IF(AND(AQ96=0,AR96=0),AP96/1,IF(AP96=0,FLOOR((AQ96+AR96)/2,0.1),IF(AQ96=0,(AP96+AR96)/2,IF(AR96=0,(AQ96+AP96)/2,FLOOR(((AP96+AQ96+AR96)/3),0.1))))))))</f>
        <v/>
      </c>
      <c r="AT96" s="21" t="n"/>
      <c r="AU96" s="21" t="n"/>
      <c r="AV96" s="27">
        <f>SUM(AT96:AU96)</f>
        <v/>
      </c>
      <c r="AW96" s="28" t="n"/>
      <c r="AX96" s="30" t="n"/>
      <c r="AY96" s="29">
        <f>IF(AND(AV96=0,AW96=0,AX96=0),0,IF(AND(AV96=0,AW96=0),AX96/1,IF(AND(AV96=0,AX96=0),AW96/1,IF(AND(AW96=0,AX96=0),AV96/1,IF(AV96=0,FLOOR((AW96+AX96)/2,0.1),IF(AW96=0,(AV96+AX96)/2,IF(AX96=0,(AW96+AV96)/2,FLOOR(((AV96+AW96+AX96)/3),0.1))))))))</f>
        <v/>
      </c>
      <c r="AZ96" s="21" t="n"/>
      <c r="BA96" s="21" t="n"/>
      <c r="BB96" s="27">
        <f>SUM(AZ96:BA96)</f>
        <v/>
      </c>
      <c r="BC96" s="28" t="n"/>
      <c r="BD96" s="28" t="n"/>
      <c r="BE96" s="29">
        <f>IF(AND(BB96=0,BC96=0,BD96=0),0,IF(AND(BB96=0,BC96=0),BD96/1,IF(AND(BB96=0,BD96=0),BC96/1,IF(AND(BC96=0,BD96=0),BB96/1,IF(BB96=0,FLOOR((BC96+BD96)/2,0.1),IF(BC96=0,(BB96+BD96)/2,IF(BD96=0,(BC96+BB96)/2,FLOOR(((BB96+BC96+BD96)/3),0.1))))))))</f>
        <v/>
      </c>
      <c r="BF96" s="21" t="n"/>
      <c r="BG96" s="21" t="n"/>
      <c r="BH96" s="27">
        <f>SUM(BF96:BG96)</f>
        <v/>
      </c>
      <c r="BI96" s="28" t="n"/>
      <c r="BJ96" s="28" t="n"/>
      <c r="BK96" s="29">
        <f>IF(AND(BH96=0,BI96=0,BJ96=0),0,IF(AND(BH96=0,BI96=0),BJ96/1,IF(AND(BH96=0,BJ96=0),BI96/1,IF(AND(BI96=0,BJ96=0),BH96/1,IF(BH96=0,FLOOR((BI96+BJ96)/2,0.1),IF(BI96=0,(BH96+BJ96)/2,IF(BJ96=0,(BI96+BH96)/2,FLOOR(((BH96+BI96+BJ96)/3),0.1))))))))</f>
        <v/>
      </c>
      <c r="BL96" s="21" t="n"/>
      <c r="BM96" s="21" t="n"/>
      <c r="BN96" s="27">
        <f>SUM(BL96:BM96)</f>
        <v/>
      </c>
      <c r="BO96" s="28" t="n"/>
      <c r="BP96" s="31" t="n"/>
      <c r="BQ96" s="29">
        <f>IF(AND(BN96=0,BO96=0,BP96=0),0,IF(AND(BN96=0,BO96=0),BP96/1,IF(AND(BN96=0,BP96=0),BO96/1,IF(AND(BO96=0,BP96=0),BN96/1,IF(BN96=0,FLOOR((BO96+BP96)/2,0.1),IF(BO96=0,(BN96+BP96)/2,IF(BP96=0,(BO96+BN96)/2,FLOOR(((BN96+BO96+BP96)/3),0.1))))))))</f>
        <v/>
      </c>
      <c r="BR96" s="21" t="n"/>
      <c r="BS96" s="21" t="n"/>
      <c r="BT96" s="27">
        <f>SUM(BR96:BS96)</f>
        <v/>
      </c>
      <c r="BU96" s="28" t="n"/>
      <c r="BV96" s="31" t="n"/>
      <c r="BW96" s="29">
        <f>IF(AND(BT96=0,BU96=0,BV96=0),0,IF(AND(BT96=0,BU96=0),BV96/1,IF(AND(BT96=0,BV96=0),BU96/1,IF(AND(BU96=0,BV96=0),BT96/1,IF(BT96=0,FLOOR((BU96+BV96)/2,0.1),IF(BU96=0,(BT96+BV96)/2,IF(BV96=0,(BU96+BT96)/2,FLOOR(((BT96+BU96+BV96)/3),0.1))))))))</f>
        <v/>
      </c>
      <c r="BX96" s="21" t="n"/>
      <c r="BY96" s="21" t="n"/>
      <c r="BZ96" s="27">
        <f>SUM(BX96:BY96)</f>
        <v/>
      </c>
      <c r="CA96" s="28" t="n"/>
      <c r="CB96" s="31" t="n"/>
      <c r="CC96" s="29">
        <f>IF(AND(BZ96=0,CA96=0,CB96=0),0,IF(AND(BZ96=0,CA96=0),CB96/1,IF(AND(BZ96=0,CB96=0),CA96/1,IF(AND(CA96=0,CB96=0),BZ96/1,IF(BZ96=0,FLOOR((CA96+CB96)/2,0.1),IF(CA96=0,(BZ96+CB96)/2,IF(CB96=0,(CA96+BZ96)/2,FLOOR(((BZ96+CA96+CB96)/3),0.1))))))))</f>
        <v/>
      </c>
      <c r="CD96" s="21" t="n"/>
      <c r="CE96" s="21" t="n"/>
      <c r="CF96" s="27">
        <f>SUM(CD96:CE96)</f>
        <v/>
      </c>
      <c r="CG96" s="28" t="n"/>
      <c r="CH96" s="31" t="n"/>
      <c r="CI96" s="29">
        <f>IF(AND(CF96=0,CG96=0,CH96=0),0,IF(AND(CF96=0,CG96=0),CH96/1,IF(AND(CF96=0,CH96=0),CG96/1,IF(AND(CG96=0,CH96=0),CF96/1,IF(CF96=0,FLOOR((CG96+CH96)/2,0.1),IF(CG96=0,(CF96+CH96)/2,IF(CH96=0,(CG96+CF96)/2,FLOOR(((CF96+CG96+CH96)/3),0.1))))))))</f>
        <v/>
      </c>
      <c r="CJ96" s="21" t="n"/>
      <c r="CK96" s="21" t="n"/>
      <c r="CL96" s="27">
        <f>SUM(CJ96:CK96)</f>
        <v/>
      </c>
      <c r="CM96" s="28" t="n"/>
      <c r="CN96" s="31" t="n"/>
      <c r="CO96" s="29">
        <f>IF(AND(CL96=0,CM96=0,CN96=0),0,IF(AND(CL96=0,CM96=0),CN96/1,IF(AND(CL96=0,CN96=0),CM96/1,IF(AND(CM96=0,CN96=0),CL96/1,IF(CL96=0,FLOOR((CM96+CN96)/2,0.1),IF(CM96=0,(CL96+CN96)/2,IF(CN96=0,(CM96+CL96)/2,FLOOR(((CL96+CM96+CN96)/3),0.1))))))))</f>
        <v/>
      </c>
      <c r="CP96" s="21" t="n"/>
      <c r="CQ96" s="21" t="n"/>
      <c r="CR96" s="27">
        <f>SUM(CP96:CQ96)</f>
        <v/>
      </c>
      <c r="CS96" s="28" t="n"/>
      <c r="CT96" s="31" t="n"/>
      <c r="CU96" s="29">
        <f>IF(AND(CR96=0,CS96=0,CT96=0),0,IF(AND(CR96=0,CS96=0),CT96/1,IF(AND(CR96=0,CT96=0),CS96/1,IF(AND(CS96=0,CT96=0),CR96/1,IF(CR96=0,FLOOR((CS96+CT96)/2,0.1),IF(CS96=0,(CR96+CT96)/2,IF(CT96=0,(CS96+CR96)/2,FLOOR(((CR96+CS96+CT96)/3),0.1))))))))</f>
        <v/>
      </c>
      <c r="CV96" s="21" t="n"/>
      <c r="CW96" s="21" t="n"/>
      <c r="CX96" s="27">
        <f>SUM(CV96:CW96)</f>
        <v/>
      </c>
      <c r="CY96" s="28" t="n"/>
      <c r="CZ96" s="31" t="n"/>
      <c r="DA96" s="29">
        <f>IF(AND(CX96=0,CY96=0,CZ96=0),0,IF(AND(CX96=0,CY96=0),CZ96/1,IF(AND(CX96=0,CZ96=0),CY96/1,IF(AND(CY96=0,CZ96=0),CX96/1,IF(CX96=0,FLOOR((CY96+CZ96)/2,0.1),IF(CY96=0,(CX96+CZ96)/2,IF(CZ96=0,(CY96+CX96)/2,FLOOR(((CX96+CY96+CZ96)/3),0.1))))))))</f>
        <v/>
      </c>
      <c r="DB96" s="21" t="n"/>
      <c r="DC96" s="21" t="n"/>
      <c r="DD96" s="27">
        <f>SUM(DB96:DC96)</f>
        <v/>
      </c>
      <c r="DE96" s="28" t="n"/>
      <c r="DF96" s="31" t="n"/>
      <c r="DG96" s="29">
        <f>IF(AND(DD96=0,DE96=0,DF96=0),0,IF(AND(DD96=0,DE96=0),DF96/1,IF(AND(DD96=0,DF96=0),DE96/1,IF(AND(DE96=0,DF96=0),DD96/1,IF(DD96=0,FLOOR((DE96+DF96)/2,0.1),IF(DE96=0,(DD96+DF96)/2,IF(DF96=0,(DE96+DD96)/2,FLOOR(((DD96+DE96+DF96)/3),0.1))))))))</f>
        <v/>
      </c>
      <c r="DH96" s="34">
        <f>SUM(O96,U96,AA96,AG96,AM96,AS96,AY96,BE96,BK96,BQ96,BW96,CC96,CI96,CO96,CU96,DA96,DG96)</f>
        <v/>
      </c>
      <c r="DI96" s="39">
        <f>RANK(DH96,DH$4:DH$503)</f>
        <v/>
      </c>
      <c r="DJ96" s="40" t="inlineStr">
        <is>
          <t>CHOOSE RATING</t>
        </is>
      </c>
      <c r="DK96" s="40" t="inlineStr">
        <is>
          <t>CHOOSE RATING</t>
        </is>
      </c>
      <c r="DL96" s="40" t="inlineStr">
        <is>
          <t>CHOOSE RATING</t>
        </is>
      </c>
      <c r="DM96" s="40" t="inlineStr">
        <is>
          <t>CHOOSE RATING</t>
        </is>
      </c>
      <c r="DN96" s="40" t="inlineStr">
        <is>
          <t>CHOOSE RATING</t>
        </is>
      </c>
      <c r="DO96" s="40" t="inlineStr">
        <is>
          <t>CHOOSE RATING</t>
        </is>
      </c>
      <c r="DP96" s="40" t="inlineStr">
        <is>
          <t>CHOOSE RATING</t>
        </is>
      </c>
      <c r="DQ96" s="40" t="inlineStr">
        <is>
          <t>CHOOSE RATING</t>
        </is>
      </c>
      <c r="DR96" s="43" t="inlineStr">
        <is>
          <t>2024/2025</t>
        </is>
      </c>
      <c r="DS96" s="45" t="inlineStr">
        <is>
          <t>THIRD</t>
        </is>
      </c>
      <c r="DT96" s="40" t="inlineStr">
        <is>
          <t>CHOOSE RATING</t>
        </is>
      </c>
      <c r="DU96" s="40" t="inlineStr">
        <is>
          <t>CHOOSE RATING</t>
        </is>
      </c>
      <c r="DV96" s="40" t="inlineStr">
        <is>
          <t>CHOOSE RATING</t>
        </is>
      </c>
      <c r="DW96" s="40" t="inlineStr">
        <is>
          <t>CHOOSE RATING</t>
        </is>
      </c>
      <c r="DX96" s="40" t="inlineStr">
        <is>
          <t>CHOOSE RATING</t>
        </is>
      </c>
      <c r="DY96" s="40" t="inlineStr">
        <is>
          <t>CHOOSE RATING</t>
        </is>
      </c>
      <c r="DZ96" s="53" t="inlineStr">
        <is>
          <t>CHOOSE RATING</t>
        </is>
      </c>
      <c r="EA96" s="54" t="inlineStr">
        <is>
          <t>Add the Tutor's Comment . . .</t>
        </is>
      </c>
      <c r="EB96" s="55" t="inlineStr">
        <is>
          <t>Choose Principals comment</t>
        </is>
      </c>
      <c r="EC96" s="56" t="n"/>
      <c r="ED96" s="57" t="inlineStr">
        <is>
          <t>Next Term Begins on Monday, 22nd September, 2025</t>
        </is>
      </c>
    </row>
    <row r="97" ht="30.6" customHeight="1" s="6">
      <c r="A97" s="18" t="n">
        <v>94</v>
      </c>
      <c r="B97" s="19" t="n"/>
      <c r="C97" s="20" t="n"/>
      <c r="D97" s="128" t="n"/>
      <c r="E97" s="21" t="n"/>
      <c r="F97" s="22" t="n"/>
      <c r="G97" s="22" t="n"/>
      <c r="H97" s="22" t="n"/>
      <c r="I97" s="26">
        <f>G97-H97</f>
        <v/>
      </c>
      <c r="J97" s="21" t="n"/>
      <c r="K97" s="21" t="n"/>
      <c r="L97" s="27">
        <f>SUM(J97:K97)</f>
        <v/>
      </c>
      <c r="M97" s="28" t="n"/>
      <c r="N97" s="28" t="n"/>
      <c r="O97" s="29">
        <f>IF(AND(L97=0,M97=0,N97=0),0,IF(AND(L97=0,M97=0),N97/1,IF(AND(L97=0,N97=0),M97/1,IF(AND(M97=0,N97=0),L97/1,IF(L97=0,FLOOR((M97+N97)/2,0.1),IF(M97=0,(L97+N97)/2,IF(N97=0,(M97+L97)/2,FLOOR(((L97+M97+N97)/3),0.1))))))))</f>
        <v/>
      </c>
      <c r="P97" s="21" t="n"/>
      <c r="Q97" s="21" t="n"/>
      <c r="R97" s="27">
        <f>SUM(P97:Q97)</f>
        <v/>
      </c>
      <c r="S97" s="28" t="n"/>
      <c r="T97" s="28" t="n"/>
      <c r="U97" s="29">
        <f>IF(AND(R97=0,S97=0,T97=0),0,IF(AND(R97=0,S97=0),T97/1,IF(AND(R97=0,T97=0),S97/1,IF(AND(S97=0,T97=0),R97/1,IF(R97=0,FLOOR((S97+T97)/2,0.1),IF(S97=0,(R97+T97)/2,IF(T97=0,(S97+R97)/2,FLOOR(((R97+S97+T97)/3),0.1))))))))</f>
        <v/>
      </c>
      <c r="V97" s="21" t="n"/>
      <c r="W97" s="21" t="n"/>
      <c r="X97" s="27">
        <f>SUM(V97:W97)</f>
        <v/>
      </c>
      <c r="Y97" s="28" t="n"/>
      <c r="Z97" s="28" t="n"/>
      <c r="AA97" s="29">
        <f>IF(AND(X97=0,Y97=0,Z97=0),0,IF(AND(X97=0,Y97=0),Z97/1,IF(AND(X97=0,Z97=0),Y97/1,IF(AND(Y97=0,Z97=0),X97/1,IF(X97=0,FLOOR((Y97+Z97)/2,0.1),IF(Y97=0,(X97+Z97)/2,IF(Z97=0,(Y97+X97)/2,FLOOR(((X97+Y97+Z97)/3),0.1))))))))</f>
        <v/>
      </c>
      <c r="AB97" s="21" t="n"/>
      <c r="AC97" s="21" t="n"/>
      <c r="AD97" s="27">
        <f>SUM(AB97:AC97)</f>
        <v/>
      </c>
      <c r="AE97" s="28" t="n"/>
      <c r="AF97" s="28" t="n"/>
      <c r="AG97" s="29">
        <f>IF(AND(AD97=0,AE97=0,AF97=0),0,IF(AND(AD97=0,AE97=0),AF97/1,IF(AND(AD97=0,AF97=0),AE97/1,IF(AND(AE97=0,AF97=0),AD97/1,IF(AD97=0,FLOOR((AE97+AF97)/2,0.1),IF(AE97=0,(AD97+AF97)/2,IF(AF97=0,(AE97+AD97)/2,FLOOR(((AD97+AE97+AF97)/3),0.1))))))))</f>
        <v/>
      </c>
      <c r="AH97" s="21" t="n"/>
      <c r="AI97" s="21" t="n"/>
      <c r="AJ97" s="27">
        <f>SUM(AH97:AI97)</f>
        <v/>
      </c>
      <c r="AK97" s="28" t="n"/>
      <c r="AL97" s="28" t="n"/>
      <c r="AM97" s="29">
        <f>IF(AND(AJ97=0,AK97=0,AL97=0),0,IF(AND(AJ97=0,AK97=0),AL97/1,IF(AND(AJ97=0,AL97=0),AK97/1,IF(AND(AK97=0,AL97=0),AJ97/1,IF(AJ97=0,FLOOR((AK97+AL97)/2,0.1),IF(AK97=0,(AJ97+AL97)/2,IF(AL97=0,(AK97+AJ97)/2,FLOOR(((AJ97+AK97+AL97)/3),0.1))))))))</f>
        <v/>
      </c>
      <c r="AN97" s="21" t="n"/>
      <c r="AO97" s="21" t="n"/>
      <c r="AP97" s="27">
        <f>SUM(AN97:AO97)</f>
        <v/>
      </c>
      <c r="AQ97" s="28" t="n"/>
      <c r="AR97" s="30" t="n"/>
      <c r="AS97" s="29">
        <f>IF(AND(AP97=0,AQ97=0,AR97=0),0,IF(AND(AP97=0,AQ97=0),AR97/1,IF(AND(AP97=0,AR97=0),AQ97/1,IF(AND(AQ97=0,AR97=0),AP97/1,IF(AP97=0,FLOOR((AQ97+AR97)/2,0.1),IF(AQ97=0,(AP97+AR97)/2,IF(AR97=0,(AQ97+AP97)/2,FLOOR(((AP97+AQ97+AR97)/3),0.1))))))))</f>
        <v/>
      </c>
      <c r="AT97" s="21" t="n"/>
      <c r="AU97" s="21" t="n"/>
      <c r="AV97" s="27">
        <f>SUM(AT97:AU97)</f>
        <v/>
      </c>
      <c r="AW97" s="28" t="n"/>
      <c r="AX97" s="30" t="n"/>
      <c r="AY97" s="29">
        <f>IF(AND(AV97=0,AW97=0,AX97=0),0,IF(AND(AV97=0,AW97=0),AX97/1,IF(AND(AV97=0,AX97=0),AW97/1,IF(AND(AW97=0,AX97=0),AV97/1,IF(AV97=0,FLOOR((AW97+AX97)/2,0.1),IF(AW97=0,(AV97+AX97)/2,IF(AX97=0,(AW97+AV97)/2,FLOOR(((AV97+AW97+AX97)/3),0.1))))))))</f>
        <v/>
      </c>
      <c r="AZ97" s="21" t="n"/>
      <c r="BA97" s="21" t="n"/>
      <c r="BB97" s="27">
        <f>SUM(AZ97:BA97)</f>
        <v/>
      </c>
      <c r="BC97" s="28" t="n"/>
      <c r="BD97" s="28" t="n"/>
      <c r="BE97" s="29">
        <f>IF(AND(BB97=0,BC97=0,BD97=0),0,IF(AND(BB97=0,BC97=0),BD97/1,IF(AND(BB97=0,BD97=0),BC97/1,IF(AND(BC97=0,BD97=0),BB97/1,IF(BB97=0,FLOOR((BC97+BD97)/2,0.1),IF(BC97=0,(BB97+BD97)/2,IF(BD97=0,(BC97+BB97)/2,FLOOR(((BB97+BC97+BD97)/3),0.1))))))))</f>
        <v/>
      </c>
      <c r="BF97" s="21" t="n"/>
      <c r="BG97" s="21" t="n"/>
      <c r="BH97" s="27">
        <f>SUM(BF97:BG97)</f>
        <v/>
      </c>
      <c r="BI97" s="28" t="n"/>
      <c r="BJ97" s="28" t="n"/>
      <c r="BK97" s="29">
        <f>IF(AND(BH97=0,BI97=0,BJ97=0),0,IF(AND(BH97=0,BI97=0),BJ97/1,IF(AND(BH97=0,BJ97=0),BI97/1,IF(AND(BI97=0,BJ97=0),BH97/1,IF(BH97=0,FLOOR((BI97+BJ97)/2,0.1),IF(BI97=0,(BH97+BJ97)/2,IF(BJ97=0,(BI97+BH97)/2,FLOOR(((BH97+BI97+BJ97)/3),0.1))))))))</f>
        <v/>
      </c>
      <c r="BL97" s="21" t="n"/>
      <c r="BM97" s="21" t="n"/>
      <c r="BN97" s="27">
        <f>SUM(BL97:BM97)</f>
        <v/>
      </c>
      <c r="BO97" s="28" t="n"/>
      <c r="BP97" s="31" t="n"/>
      <c r="BQ97" s="29">
        <f>IF(AND(BN97=0,BO97=0,BP97=0),0,IF(AND(BN97=0,BO97=0),BP97/1,IF(AND(BN97=0,BP97=0),BO97/1,IF(AND(BO97=0,BP97=0),BN97/1,IF(BN97=0,FLOOR((BO97+BP97)/2,0.1),IF(BO97=0,(BN97+BP97)/2,IF(BP97=0,(BO97+BN97)/2,FLOOR(((BN97+BO97+BP97)/3),0.1))))))))</f>
        <v/>
      </c>
      <c r="BR97" s="21" t="n"/>
      <c r="BS97" s="21" t="n"/>
      <c r="BT97" s="27">
        <f>SUM(BR97:BS97)</f>
        <v/>
      </c>
      <c r="BU97" s="28" t="n"/>
      <c r="BV97" s="31" t="n"/>
      <c r="BW97" s="29">
        <f>IF(AND(BT97=0,BU97=0,BV97=0),0,IF(AND(BT97=0,BU97=0),BV97/1,IF(AND(BT97=0,BV97=0),BU97/1,IF(AND(BU97=0,BV97=0),BT97/1,IF(BT97=0,FLOOR((BU97+BV97)/2,0.1),IF(BU97=0,(BT97+BV97)/2,IF(BV97=0,(BU97+BT97)/2,FLOOR(((BT97+BU97+BV97)/3),0.1))))))))</f>
        <v/>
      </c>
      <c r="BX97" s="21" t="n"/>
      <c r="BY97" s="21" t="n"/>
      <c r="BZ97" s="27">
        <f>SUM(BX97:BY97)</f>
        <v/>
      </c>
      <c r="CA97" s="28" t="n"/>
      <c r="CB97" s="31" t="n"/>
      <c r="CC97" s="29">
        <f>IF(AND(BZ97=0,CA97=0,CB97=0),0,IF(AND(BZ97=0,CA97=0),CB97/1,IF(AND(BZ97=0,CB97=0),CA97/1,IF(AND(CA97=0,CB97=0),BZ97/1,IF(BZ97=0,FLOOR((CA97+CB97)/2,0.1),IF(CA97=0,(BZ97+CB97)/2,IF(CB97=0,(CA97+BZ97)/2,FLOOR(((BZ97+CA97+CB97)/3),0.1))))))))</f>
        <v/>
      </c>
      <c r="CD97" s="21" t="n"/>
      <c r="CE97" s="21" t="n"/>
      <c r="CF97" s="27">
        <f>SUM(CD97:CE97)</f>
        <v/>
      </c>
      <c r="CG97" s="28" t="n"/>
      <c r="CH97" s="31" t="n"/>
      <c r="CI97" s="29">
        <f>IF(AND(CF97=0,CG97=0,CH97=0),0,IF(AND(CF97=0,CG97=0),CH97/1,IF(AND(CF97=0,CH97=0),CG97/1,IF(AND(CG97=0,CH97=0),CF97/1,IF(CF97=0,FLOOR((CG97+CH97)/2,0.1),IF(CG97=0,(CF97+CH97)/2,IF(CH97=0,(CG97+CF97)/2,FLOOR(((CF97+CG97+CH97)/3),0.1))))))))</f>
        <v/>
      </c>
      <c r="CJ97" s="21" t="n"/>
      <c r="CK97" s="21" t="n"/>
      <c r="CL97" s="27">
        <f>SUM(CJ97:CK97)</f>
        <v/>
      </c>
      <c r="CM97" s="28" t="n"/>
      <c r="CN97" s="31" t="n"/>
      <c r="CO97" s="29">
        <f>IF(AND(CL97=0,CM97=0,CN97=0),0,IF(AND(CL97=0,CM97=0),CN97/1,IF(AND(CL97=0,CN97=0),CM97/1,IF(AND(CM97=0,CN97=0),CL97/1,IF(CL97=0,FLOOR((CM97+CN97)/2,0.1),IF(CM97=0,(CL97+CN97)/2,IF(CN97=0,(CM97+CL97)/2,FLOOR(((CL97+CM97+CN97)/3),0.1))))))))</f>
        <v/>
      </c>
      <c r="CP97" s="21" t="n"/>
      <c r="CQ97" s="21" t="n"/>
      <c r="CR97" s="27">
        <f>SUM(CP97:CQ97)</f>
        <v/>
      </c>
      <c r="CS97" s="28" t="n"/>
      <c r="CT97" s="31" t="n"/>
      <c r="CU97" s="29">
        <f>IF(AND(CR97=0,CS97=0,CT97=0),0,IF(AND(CR97=0,CS97=0),CT97/1,IF(AND(CR97=0,CT97=0),CS97/1,IF(AND(CS97=0,CT97=0),CR97/1,IF(CR97=0,FLOOR((CS97+CT97)/2,0.1),IF(CS97=0,(CR97+CT97)/2,IF(CT97=0,(CS97+CR97)/2,FLOOR(((CR97+CS97+CT97)/3),0.1))))))))</f>
        <v/>
      </c>
      <c r="CV97" s="21" t="n"/>
      <c r="CW97" s="21" t="n"/>
      <c r="CX97" s="27">
        <f>SUM(CV97:CW97)</f>
        <v/>
      </c>
      <c r="CY97" s="28" t="n"/>
      <c r="CZ97" s="31" t="n"/>
      <c r="DA97" s="29">
        <f>IF(AND(CX97=0,CY97=0,CZ97=0),0,IF(AND(CX97=0,CY97=0),CZ97/1,IF(AND(CX97=0,CZ97=0),CY97/1,IF(AND(CY97=0,CZ97=0),CX97/1,IF(CX97=0,FLOOR((CY97+CZ97)/2,0.1),IF(CY97=0,(CX97+CZ97)/2,IF(CZ97=0,(CY97+CX97)/2,FLOOR(((CX97+CY97+CZ97)/3),0.1))))))))</f>
        <v/>
      </c>
      <c r="DB97" s="21" t="n"/>
      <c r="DC97" s="21" t="n"/>
      <c r="DD97" s="27">
        <f>SUM(DB97:DC97)</f>
        <v/>
      </c>
      <c r="DE97" s="28" t="n"/>
      <c r="DF97" s="31" t="n"/>
      <c r="DG97" s="29">
        <f>IF(AND(DD97=0,DE97=0,DF97=0),0,IF(AND(DD97=0,DE97=0),DF97/1,IF(AND(DD97=0,DF97=0),DE97/1,IF(AND(DE97=0,DF97=0),DD97/1,IF(DD97=0,FLOOR((DE97+DF97)/2,0.1),IF(DE97=0,(DD97+DF97)/2,IF(DF97=0,(DE97+DD97)/2,FLOOR(((DD97+DE97+DF97)/3),0.1))))))))</f>
        <v/>
      </c>
      <c r="DH97" s="34">
        <f>SUM(O97,U97,AA97,AG97,AM97,AS97,AY97,BE97,BK97,BQ97,BW97,CC97,CI97,CO97,CU97,DA97,DG97)</f>
        <v/>
      </c>
      <c r="DI97" s="39">
        <f>RANK(DH97,DH$4:DH$503)</f>
        <v/>
      </c>
      <c r="DJ97" s="40" t="inlineStr">
        <is>
          <t>CHOOSE RATING</t>
        </is>
      </c>
      <c r="DK97" s="40" t="inlineStr">
        <is>
          <t>CHOOSE RATING</t>
        </is>
      </c>
      <c r="DL97" s="40" t="inlineStr">
        <is>
          <t>CHOOSE RATING</t>
        </is>
      </c>
      <c r="DM97" s="40" t="inlineStr">
        <is>
          <t>CHOOSE RATING</t>
        </is>
      </c>
      <c r="DN97" s="40" t="inlineStr">
        <is>
          <t>CHOOSE RATING</t>
        </is>
      </c>
      <c r="DO97" s="40" t="inlineStr">
        <is>
          <t>CHOOSE RATING</t>
        </is>
      </c>
      <c r="DP97" s="40" t="inlineStr">
        <is>
          <t>CHOOSE RATING</t>
        </is>
      </c>
      <c r="DQ97" s="40" t="inlineStr">
        <is>
          <t>CHOOSE RATING</t>
        </is>
      </c>
      <c r="DR97" s="43" t="inlineStr">
        <is>
          <t>2024/2025</t>
        </is>
      </c>
      <c r="DS97" s="45" t="inlineStr">
        <is>
          <t>THIRD</t>
        </is>
      </c>
      <c r="DT97" s="40" t="inlineStr">
        <is>
          <t>CHOOSE RATING</t>
        </is>
      </c>
      <c r="DU97" s="40" t="inlineStr">
        <is>
          <t>CHOOSE RATING</t>
        </is>
      </c>
      <c r="DV97" s="40" t="inlineStr">
        <is>
          <t>CHOOSE RATING</t>
        </is>
      </c>
      <c r="DW97" s="40" t="inlineStr">
        <is>
          <t>CHOOSE RATING</t>
        </is>
      </c>
      <c r="DX97" s="40" t="inlineStr">
        <is>
          <t>CHOOSE RATING</t>
        </is>
      </c>
      <c r="DY97" s="40" t="inlineStr">
        <is>
          <t>CHOOSE RATING</t>
        </is>
      </c>
      <c r="DZ97" s="53" t="inlineStr">
        <is>
          <t>CHOOSE RATING</t>
        </is>
      </c>
      <c r="EA97" s="54" t="inlineStr">
        <is>
          <t>Add the Tutor's Comment . . .</t>
        </is>
      </c>
      <c r="EB97" s="55" t="inlineStr">
        <is>
          <t>Choose Principals comment</t>
        </is>
      </c>
      <c r="EC97" s="56" t="n"/>
      <c r="ED97" s="57" t="inlineStr">
        <is>
          <t>Next Term Begins on Monday, 22nd September, 2025</t>
        </is>
      </c>
    </row>
    <row r="98" ht="30.6" customHeight="1" s="6">
      <c r="A98" s="18" t="n">
        <v>95</v>
      </c>
      <c r="B98" s="19" t="n"/>
      <c r="C98" s="20" t="n"/>
      <c r="D98" s="128" t="n"/>
      <c r="E98" s="21" t="n"/>
      <c r="F98" s="22" t="n"/>
      <c r="G98" s="22" t="n"/>
      <c r="H98" s="22" t="n"/>
      <c r="I98" s="26">
        <f>G98-H98</f>
        <v/>
      </c>
      <c r="J98" s="21" t="n"/>
      <c r="K98" s="21" t="n"/>
      <c r="L98" s="27">
        <f>SUM(J98:K98)</f>
        <v/>
      </c>
      <c r="M98" s="28" t="n"/>
      <c r="N98" s="28" t="n"/>
      <c r="O98" s="29">
        <f>IF(AND(L98=0,M98=0,N98=0),0,IF(AND(L98=0,M98=0),N98/1,IF(AND(L98=0,N98=0),M98/1,IF(AND(M98=0,N98=0),L98/1,IF(L98=0,FLOOR((M98+N98)/2,0.1),IF(M98=0,(L98+N98)/2,IF(N98=0,(M98+L98)/2,FLOOR(((L98+M98+N98)/3),0.1))))))))</f>
        <v/>
      </c>
      <c r="P98" s="21" t="n"/>
      <c r="Q98" s="21" t="n"/>
      <c r="R98" s="27">
        <f>SUM(P98:Q98)</f>
        <v/>
      </c>
      <c r="S98" s="28" t="n"/>
      <c r="T98" s="28" t="n"/>
      <c r="U98" s="29">
        <f>IF(AND(R98=0,S98=0,T98=0),0,IF(AND(R98=0,S98=0),T98/1,IF(AND(R98=0,T98=0),S98/1,IF(AND(S98=0,T98=0),R98/1,IF(R98=0,FLOOR((S98+T98)/2,0.1),IF(S98=0,(R98+T98)/2,IF(T98=0,(S98+R98)/2,FLOOR(((R98+S98+T98)/3),0.1))))))))</f>
        <v/>
      </c>
      <c r="V98" s="21" t="n"/>
      <c r="W98" s="21" t="n"/>
      <c r="X98" s="27">
        <f>SUM(V98:W98)</f>
        <v/>
      </c>
      <c r="Y98" s="28" t="n"/>
      <c r="Z98" s="28" t="n"/>
      <c r="AA98" s="29">
        <f>IF(AND(X98=0,Y98=0,Z98=0),0,IF(AND(X98=0,Y98=0),Z98/1,IF(AND(X98=0,Z98=0),Y98/1,IF(AND(Y98=0,Z98=0),X98/1,IF(X98=0,FLOOR((Y98+Z98)/2,0.1),IF(Y98=0,(X98+Z98)/2,IF(Z98=0,(Y98+X98)/2,FLOOR(((X98+Y98+Z98)/3),0.1))))))))</f>
        <v/>
      </c>
      <c r="AB98" s="21" t="n"/>
      <c r="AC98" s="21" t="n"/>
      <c r="AD98" s="27">
        <f>SUM(AB98:AC98)</f>
        <v/>
      </c>
      <c r="AE98" s="28" t="n"/>
      <c r="AF98" s="28" t="n"/>
      <c r="AG98" s="29">
        <f>IF(AND(AD98=0,AE98=0,AF98=0),0,IF(AND(AD98=0,AE98=0),AF98/1,IF(AND(AD98=0,AF98=0),AE98/1,IF(AND(AE98=0,AF98=0),AD98/1,IF(AD98=0,FLOOR((AE98+AF98)/2,0.1),IF(AE98=0,(AD98+AF98)/2,IF(AF98=0,(AE98+AD98)/2,FLOOR(((AD98+AE98+AF98)/3),0.1))))))))</f>
        <v/>
      </c>
      <c r="AH98" s="21" t="n"/>
      <c r="AI98" s="21" t="n"/>
      <c r="AJ98" s="27">
        <f>SUM(AH98:AI98)</f>
        <v/>
      </c>
      <c r="AK98" s="28" t="n"/>
      <c r="AL98" s="28" t="n"/>
      <c r="AM98" s="29">
        <f>IF(AND(AJ98=0,AK98=0,AL98=0),0,IF(AND(AJ98=0,AK98=0),AL98/1,IF(AND(AJ98=0,AL98=0),AK98/1,IF(AND(AK98=0,AL98=0),AJ98/1,IF(AJ98=0,FLOOR((AK98+AL98)/2,0.1),IF(AK98=0,(AJ98+AL98)/2,IF(AL98=0,(AK98+AJ98)/2,FLOOR(((AJ98+AK98+AL98)/3),0.1))))))))</f>
        <v/>
      </c>
      <c r="AN98" s="21" t="n"/>
      <c r="AO98" s="21" t="n"/>
      <c r="AP98" s="27">
        <f>SUM(AN98:AO98)</f>
        <v/>
      </c>
      <c r="AQ98" s="28" t="n"/>
      <c r="AR98" s="30" t="n"/>
      <c r="AS98" s="29">
        <f>IF(AND(AP98=0,AQ98=0,AR98=0),0,IF(AND(AP98=0,AQ98=0),AR98/1,IF(AND(AP98=0,AR98=0),AQ98/1,IF(AND(AQ98=0,AR98=0),AP98/1,IF(AP98=0,FLOOR((AQ98+AR98)/2,0.1),IF(AQ98=0,(AP98+AR98)/2,IF(AR98=0,(AQ98+AP98)/2,FLOOR(((AP98+AQ98+AR98)/3),0.1))))))))</f>
        <v/>
      </c>
      <c r="AT98" s="21" t="n"/>
      <c r="AU98" s="21" t="n"/>
      <c r="AV98" s="27">
        <f>SUM(AT98:AU98)</f>
        <v/>
      </c>
      <c r="AW98" s="28" t="n"/>
      <c r="AX98" s="30" t="n"/>
      <c r="AY98" s="29">
        <f>IF(AND(AV98=0,AW98=0,AX98=0),0,IF(AND(AV98=0,AW98=0),AX98/1,IF(AND(AV98=0,AX98=0),AW98/1,IF(AND(AW98=0,AX98=0),AV98/1,IF(AV98=0,FLOOR((AW98+AX98)/2,0.1),IF(AW98=0,(AV98+AX98)/2,IF(AX98=0,(AW98+AV98)/2,FLOOR(((AV98+AW98+AX98)/3),0.1))))))))</f>
        <v/>
      </c>
      <c r="AZ98" s="21" t="n"/>
      <c r="BA98" s="21" t="n"/>
      <c r="BB98" s="27">
        <f>SUM(AZ98:BA98)</f>
        <v/>
      </c>
      <c r="BC98" s="28" t="n"/>
      <c r="BD98" s="28" t="n"/>
      <c r="BE98" s="29">
        <f>IF(AND(BB98=0,BC98=0,BD98=0),0,IF(AND(BB98=0,BC98=0),BD98/1,IF(AND(BB98=0,BD98=0),BC98/1,IF(AND(BC98=0,BD98=0),BB98/1,IF(BB98=0,FLOOR((BC98+BD98)/2,0.1),IF(BC98=0,(BB98+BD98)/2,IF(BD98=0,(BC98+BB98)/2,FLOOR(((BB98+BC98+BD98)/3),0.1))))))))</f>
        <v/>
      </c>
      <c r="BF98" s="21" t="n"/>
      <c r="BG98" s="21" t="n"/>
      <c r="BH98" s="27">
        <f>SUM(BF98:BG98)</f>
        <v/>
      </c>
      <c r="BI98" s="28" t="n"/>
      <c r="BJ98" s="28" t="n"/>
      <c r="BK98" s="29">
        <f>IF(AND(BH98=0,BI98=0,BJ98=0),0,IF(AND(BH98=0,BI98=0),BJ98/1,IF(AND(BH98=0,BJ98=0),BI98/1,IF(AND(BI98=0,BJ98=0),BH98/1,IF(BH98=0,FLOOR((BI98+BJ98)/2,0.1),IF(BI98=0,(BH98+BJ98)/2,IF(BJ98=0,(BI98+BH98)/2,FLOOR(((BH98+BI98+BJ98)/3),0.1))))))))</f>
        <v/>
      </c>
      <c r="BL98" s="21" t="n"/>
      <c r="BM98" s="21" t="n"/>
      <c r="BN98" s="27">
        <f>SUM(BL98:BM98)</f>
        <v/>
      </c>
      <c r="BO98" s="28" t="n"/>
      <c r="BP98" s="31" t="n"/>
      <c r="BQ98" s="29">
        <f>IF(AND(BN98=0,BO98=0,BP98=0),0,IF(AND(BN98=0,BO98=0),BP98/1,IF(AND(BN98=0,BP98=0),BO98/1,IF(AND(BO98=0,BP98=0),BN98/1,IF(BN98=0,FLOOR((BO98+BP98)/2,0.1),IF(BO98=0,(BN98+BP98)/2,IF(BP98=0,(BO98+BN98)/2,FLOOR(((BN98+BO98+BP98)/3),0.1))))))))</f>
        <v/>
      </c>
      <c r="BR98" s="21" t="n"/>
      <c r="BS98" s="21" t="n"/>
      <c r="BT98" s="27">
        <f>SUM(BR98:BS98)</f>
        <v/>
      </c>
      <c r="BU98" s="28" t="n"/>
      <c r="BV98" s="31" t="n"/>
      <c r="BW98" s="29">
        <f>IF(AND(BT98=0,BU98=0,BV98=0),0,IF(AND(BT98=0,BU98=0),BV98/1,IF(AND(BT98=0,BV98=0),BU98/1,IF(AND(BU98=0,BV98=0),BT98/1,IF(BT98=0,FLOOR((BU98+BV98)/2,0.1),IF(BU98=0,(BT98+BV98)/2,IF(BV98=0,(BU98+BT98)/2,FLOOR(((BT98+BU98+BV98)/3),0.1))))))))</f>
        <v/>
      </c>
      <c r="BX98" s="21" t="n"/>
      <c r="BY98" s="21" t="n"/>
      <c r="BZ98" s="27">
        <f>SUM(BX98:BY98)</f>
        <v/>
      </c>
      <c r="CA98" s="28" t="n"/>
      <c r="CB98" s="31" t="n"/>
      <c r="CC98" s="29">
        <f>IF(AND(BZ98=0,CA98=0,CB98=0),0,IF(AND(BZ98=0,CA98=0),CB98/1,IF(AND(BZ98=0,CB98=0),CA98/1,IF(AND(CA98=0,CB98=0),BZ98/1,IF(BZ98=0,FLOOR((CA98+CB98)/2,0.1),IF(CA98=0,(BZ98+CB98)/2,IF(CB98=0,(CA98+BZ98)/2,FLOOR(((BZ98+CA98+CB98)/3),0.1))))))))</f>
        <v/>
      </c>
      <c r="CD98" s="21" t="n"/>
      <c r="CE98" s="21" t="n"/>
      <c r="CF98" s="27">
        <f>SUM(CD98:CE98)</f>
        <v/>
      </c>
      <c r="CG98" s="28" t="n"/>
      <c r="CH98" s="31" t="n"/>
      <c r="CI98" s="29">
        <f>IF(AND(CF98=0,CG98=0,CH98=0),0,IF(AND(CF98=0,CG98=0),CH98/1,IF(AND(CF98=0,CH98=0),CG98/1,IF(AND(CG98=0,CH98=0),CF98/1,IF(CF98=0,FLOOR((CG98+CH98)/2,0.1),IF(CG98=0,(CF98+CH98)/2,IF(CH98=0,(CG98+CF98)/2,FLOOR(((CF98+CG98+CH98)/3),0.1))))))))</f>
        <v/>
      </c>
      <c r="CJ98" s="21" t="n"/>
      <c r="CK98" s="21" t="n"/>
      <c r="CL98" s="27">
        <f>SUM(CJ98:CK98)</f>
        <v/>
      </c>
      <c r="CM98" s="28" t="n"/>
      <c r="CN98" s="31" t="n"/>
      <c r="CO98" s="29">
        <f>IF(AND(CL98=0,CM98=0,CN98=0),0,IF(AND(CL98=0,CM98=0),CN98/1,IF(AND(CL98=0,CN98=0),CM98/1,IF(AND(CM98=0,CN98=0),CL98/1,IF(CL98=0,FLOOR((CM98+CN98)/2,0.1),IF(CM98=0,(CL98+CN98)/2,IF(CN98=0,(CM98+CL98)/2,FLOOR(((CL98+CM98+CN98)/3),0.1))))))))</f>
        <v/>
      </c>
      <c r="CP98" s="21" t="n"/>
      <c r="CQ98" s="21" t="n"/>
      <c r="CR98" s="27">
        <f>SUM(CP98:CQ98)</f>
        <v/>
      </c>
      <c r="CS98" s="28" t="n"/>
      <c r="CT98" s="31" t="n"/>
      <c r="CU98" s="29">
        <f>IF(AND(CR98=0,CS98=0,CT98=0),0,IF(AND(CR98=0,CS98=0),CT98/1,IF(AND(CR98=0,CT98=0),CS98/1,IF(AND(CS98=0,CT98=0),CR98/1,IF(CR98=0,FLOOR((CS98+CT98)/2,0.1),IF(CS98=0,(CR98+CT98)/2,IF(CT98=0,(CS98+CR98)/2,FLOOR(((CR98+CS98+CT98)/3),0.1))))))))</f>
        <v/>
      </c>
      <c r="CV98" s="21" t="n"/>
      <c r="CW98" s="21" t="n"/>
      <c r="CX98" s="27">
        <f>SUM(CV98:CW98)</f>
        <v/>
      </c>
      <c r="CY98" s="28" t="n"/>
      <c r="CZ98" s="31" t="n"/>
      <c r="DA98" s="29">
        <f>IF(AND(CX98=0,CY98=0,CZ98=0),0,IF(AND(CX98=0,CY98=0),CZ98/1,IF(AND(CX98=0,CZ98=0),CY98/1,IF(AND(CY98=0,CZ98=0),CX98/1,IF(CX98=0,FLOOR((CY98+CZ98)/2,0.1),IF(CY98=0,(CX98+CZ98)/2,IF(CZ98=0,(CY98+CX98)/2,FLOOR(((CX98+CY98+CZ98)/3),0.1))))))))</f>
        <v/>
      </c>
      <c r="DB98" s="21" t="n"/>
      <c r="DC98" s="21" t="n"/>
      <c r="DD98" s="27">
        <f>SUM(DB98:DC98)</f>
        <v/>
      </c>
      <c r="DE98" s="28" t="n"/>
      <c r="DF98" s="31" t="n"/>
      <c r="DG98" s="29">
        <f>IF(AND(DD98=0,DE98=0,DF98=0),0,IF(AND(DD98=0,DE98=0),DF98/1,IF(AND(DD98=0,DF98=0),DE98/1,IF(AND(DE98=0,DF98=0),DD98/1,IF(DD98=0,FLOOR((DE98+DF98)/2,0.1),IF(DE98=0,(DD98+DF98)/2,IF(DF98=0,(DE98+DD98)/2,FLOOR(((DD98+DE98+DF98)/3),0.1))))))))</f>
        <v/>
      </c>
      <c r="DH98" s="34">
        <f>SUM(O98,U98,AA98,AG98,AM98,AS98,AY98,BE98,BK98,BQ98,BW98,CC98,CI98,CO98,CU98,DA98,DG98)</f>
        <v/>
      </c>
      <c r="DI98" s="39">
        <f>RANK(DH98,DH$4:DH$503)</f>
        <v/>
      </c>
      <c r="DJ98" s="40" t="inlineStr">
        <is>
          <t>CHOOSE RATING</t>
        </is>
      </c>
      <c r="DK98" s="40" t="inlineStr">
        <is>
          <t>CHOOSE RATING</t>
        </is>
      </c>
      <c r="DL98" s="40" t="inlineStr">
        <is>
          <t>CHOOSE RATING</t>
        </is>
      </c>
      <c r="DM98" s="40" t="inlineStr">
        <is>
          <t>CHOOSE RATING</t>
        </is>
      </c>
      <c r="DN98" s="40" t="inlineStr">
        <is>
          <t>CHOOSE RATING</t>
        </is>
      </c>
      <c r="DO98" s="40" t="inlineStr">
        <is>
          <t>CHOOSE RATING</t>
        </is>
      </c>
      <c r="DP98" s="40" t="inlineStr">
        <is>
          <t>CHOOSE RATING</t>
        </is>
      </c>
      <c r="DQ98" s="40" t="inlineStr">
        <is>
          <t>CHOOSE RATING</t>
        </is>
      </c>
      <c r="DR98" s="43" t="inlineStr">
        <is>
          <t>2024/2025</t>
        </is>
      </c>
      <c r="DS98" s="45" t="inlineStr">
        <is>
          <t>THIRD</t>
        </is>
      </c>
      <c r="DT98" s="40" t="inlineStr">
        <is>
          <t>CHOOSE RATING</t>
        </is>
      </c>
      <c r="DU98" s="40" t="inlineStr">
        <is>
          <t>CHOOSE RATING</t>
        </is>
      </c>
      <c r="DV98" s="40" t="inlineStr">
        <is>
          <t>CHOOSE RATING</t>
        </is>
      </c>
      <c r="DW98" s="40" t="inlineStr">
        <is>
          <t>CHOOSE RATING</t>
        </is>
      </c>
      <c r="DX98" s="40" t="inlineStr">
        <is>
          <t>CHOOSE RATING</t>
        </is>
      </c>
      <c r="DY98" s="40" t="inlineStr">
        <is>
          <t>CHOOSE RATING</t>
        </is>
      </c>
      <c r="DZ98" s="53" t="inlineStr">
        <is>
          <t>CHOOSE RATING</t>
        </is>
      </c>
      <c r="EA98" s="54" t="inlineStr">
        <is>
          <t>Add the Tutor's Comment . . .</t>
        </is>
      </c>
      <c r="EB98" s="55" t="inlineStr">
        <is>
          <t>Choose Principals comment</t>
        </is>
      </c>
      <c r="EC98" s="56" t="n"/>
      <c r="ED98" s="57" t="inlineStr">
        <is>
          <t>Next Term Begins on Monday, 22nd September, 2025</t>
        </is>
      </c>
    </row>
    <row r="99" ht="30.6" customHeight="1" s="6">
      <c r="A99" s="18" t="n">
        <v>96</v>
      </c>
      <c r="B99" s="19" t="n"/>
      <c r="C99" s="20" t="n"/>
      <c r="D99" s="128" t="n"/>
      <c r="E99" s="21" t="n"/>
      <c r="F99" s="22" t="n"/>
      <c r="G99" s="22" t="n"/>
      <c r="H99" s="22" t="n"/>
      <c r="I99" s="26">
        <f>G99-H99</f>
        <v/>
      </c>
      <c r="J99" s="21" t="n"/>
      <c r="K99" s="21" t="n"/>
      <c r="L99" s="27">
        <f>SUM(J99:K99)</f>
        <v/>
      </c>
      <c r="M99" s="28" t="n"/>
      <c r="N99" s="28" t="n"/>
      <c r="O99" s="29">
        <f>IF(AND(L99=0,M99=0,N99=0),0,IF(AND(L99=0,M99=0),N99/1,IF(AND(L99=0,N99=0),M99/1,IF(AND(M99=0,N99=0),L99/1,IF(L99=0,FLOOR((M99+N99)/2,0.1),IF(M99=0,(L99+N99)/2,IF(N99=0,(M99+L99)/2,FLOOR(((L99+M99+N99)/3),0.1))))))))</f>
        <v/>
      </c>
      <c r="P99" s="21" t="n"/>
      <c r="Q99" s="21" t="n"/>
      <c r="R99" s="27">
        <f>SUM(P99:Q99)</f>
        <v/>
      </c>
      <c r="S99" s="28" t="n"/>
      <c r="T99" s="28" t="n"/>
      <c r="U99" s="29">
        <f>IF(AND(R99=0,S99=0,T99=0),0,IF(AND(R99=0,S99=0),T99/1,IF(AND(R99=0,T99=0),S99/1,IF(AND(S99=0,T99=0),R99/1,IF(R99=0,FLOOR((S99+T99)/2,0.1),IF(S99=0,(R99+T99)/2,IF(T99=0,(S99+R99)/2,FLOOR(((R99+S99+T99)/3),0.1))))))))</f>
        <v/>
      </c>
      <c r="V99" s="21" t="n"/>
      <c r="W99" s="21" t="n"/>
      <c r="X99" s="27">
        <f>SUM(V99:W99)</f>
        <v/>
      </c>
      <c r="Y99" s="28" t="n"/>
      <c r="Z99" s="28" t="n"/>
      <c r="AA99" s="29">
        <f>IF(AND(X99=0,Y99=0,Z99=0),0,IF(AND(X99=0,Y99=0),Z99/1,IF(AND(X99=0,Z99=0),Y99/1,IF(AND(Y99=0,Z99=0),X99/1,IF(X99=0,FLOOR((Y99+Z99)/2,0.1),IF(Y99=0,(X99+Z99)/2,IF(Z99=0,(Y99+X99)/2,FLOOR(((X99+Y99+Z99)/3),0.1))))))))</f>
        <v/>
      </c>
      <c r="AB99" s="21" t="n"/>
      <c r="AC99" s="21" t="n"/>
      <c r="AD99" s="27">
        <f>SUM(AB99:AC99)</f>
        <v/>
      </c>
      <c r="AE99" s="28" t="n"/>
      <c r="AF99" s="28" t="n"/>
      <c r="AG99" s="29">
        <f>IF(AND(AD99=0,AE99=0,AF99=0),0,IF(AND(AD99=0,AE99=0),AF99/1,IF(AND(AD99=0,AF99=0),AE99/1,IF(AND(AE99=0,AF99=0),AD99/1,IF(AD99=0,FLOOR((AE99+AF99)/2,0.1),IF(AE99=0,(AD99+AF99)/2,IF(AF99=0,(AE99+AD99)/2,FLOOR(((AD99+AE99+AF99)/3),0.1))))))))</f>
        <v/>
      </c>
      <c r="AH99" s="21" t="n"/>
      <c r="AI99" s="21" t="n"/>
      <c r="AJ99" s="27">
        <f>SUM(AH99:AI99)</f>
        <v/>
      </c>
      <c r="AK99" s="28" t="n"/>
      <c r="AL99" s="28" t="n"/>
      <c r="AM99" s="29">
        <f>IF(AND(AJ99=0,AK99=0,AL99=0),0,IF(AND(AJ99=0,AK99=0),AL99/1,IF(AND(AJ99=0,AL99=0),AK99/1,IF(AND(AK99=0,AL99=0),AJ99/1,IF(AJ99=0,FLOOR((AK99+AL99)/2,0.1),IF(AK99=0,(AJ99+AL99)/2,IF(AL99=0,(AK99+AJ99)/2,FLOOR(((AJ99+AK99+AL99)/3),0.1))))))))</f>
        <v/>
      </c>
      <c r="AN99" s="21" t="n"/>
      <c r="AO99" s="21" t="n"/>
      <c r="AP99" s="27">
        <f>SUM(AN99:AO99)</f>
        <v/>
      </c>
      <c r="AQ99" s="28" t="n"/>
      <c r="AR99" s="30" t="n"/>
      <c r="AS99" s="29">
        <f>IF(AND(AP99=0,AQ99=0,AR99=0),0,IF(AND(AP99=0,AQ99=0),AR99/1,IF(AND(AP99=0,AR99=0),AQ99/1,IF(AND(AQ99=0,AR99=0),AP99/1,IF(AP99=0,FLOOR((AQ99+AR99)/2,0.1),IF(AQ99=0,(AP99+AR99)/2,IF(AR99=0,(AQ99+AP99)/2,FLOOR(((AP99+AQ99+AR99)/3),0.1))))))))</f>
        <v/>
      </c>
      <c r="AT99" s="21" t="n"/>
      <c r="AU99" s="21" t="n"/>
      <c r="AV99" s="27">
        <f>SUM(AT99:AU99)</f>
        <v/>
      </c>
      <c r="AW99" s="28" t="n"/>
      <c r="AX99" s="30" t="n"/>
      <c r="AY99" s="29">
        <f>IF(AND(AV99=0,AW99=0,AX99=0),0,IF(AND(AV99=0,AW99=0),AX99/1,IF(AND(AV99=0,AX99=0),AW99/1,IF(AND(AW99=0,AX99=0),AV99/1,IF(AV99=0,FLOOR((AW99+AX99)/2,0.1),IF(AW99=0,(AV99+AX99)/2,IF(AX99=0,(AW99+AV99)/2,FLOOR(((AV99+AW99+AX99)/3),0.1))))))))</f>
        <v/>
      </c>
      <c r="AZ99" s="21" t="n"/>
      <c r="BA99" s="21" t="n"/>
      <c r="BB99" s="27">
        <f>SUM(AZ99:BA99)</f>
        <v/>
      </c>
      <c r="BC99" s="28" t="n"/>
      <c r="BD99" s="28" t="n"/>
      <c r="BE99" s="29">
        <f>IF(AND(BB99=0,BC99=0,BD99=0),0,IF(AND(BB99=0,BC99=0),BD99/1,IF(AND(BB99=0,BD99=0),BC99/1,IF(AND(BC99=0,BD99=0),BB99/1,IF(BB99=0,FLOOR((BC99+BD99)/2,0.1),IF(BC99=0,(BB99+BD99)/2,IF(BD99=0,(BC99+BB99)/2,FLOOR(((BB99+BC99+BD99)/3),0.1))))))))</f>
        <v/>
      </c>
      <c r="BF99" s="21" t="n"/>
      <c r="BG99" s="21" t="n"/>
      <c r="BH99" s="27">
        <f>SUM(BF99:BG99)</f>
        <v/>
      </c>
      <c r="BI99" s="28" t="n"/>
      <c r="BJ99" s="28" t="n"/>
      <c r="BK99" s="29">
        <f>IF(AND(BH99=0,BI99=0,BJ99=0),0,IF(AND(BH99=0,BI99=0),BJ99/1,IF(AND(BH99=0,BJ99=0),BI99/1,IF(AND(BI99=0,BJ99=0),BH99/1,IF(BH99=0,FLOOR((BI99+BJ99)/2,0.1),IF(BI99=0,(BH99+BJ99)/2,IF(BJ99=0,(BI99+BH99)/2,FLOOR(((BH99+BI99+BJ99)/3),0.1))))))))</f>
        <v/>
      </c>
      <c r="BL99" s="21" t="n"/>
      <c r="BM99" s="21" t="n"/>
      <c r="BN99" s="27">
        <f>SUM(BL99:BM99)</f>
        <v/>
      </c>
      <c r="BO99" s="28" t="n"/>
      <c r="BP99" s="31" t="n"/>
      <c r="BQ99" s="29">
        <f>IF(AND(BN99=0,BO99=0,BP99=0),0,IF(AND(BN99=0,BO99=0),BP99/1,IF(AND(BN99=0,BP99=0),BO99/1,IF(AND(BO99=0,BP99=0),BN99/1,IF(BN99=0,FLOOR((BO99+BP99)/2,0.1),IF(BO99=0,(BN99+BP99)/2,IF(BP99=0,(BO99+BN99)/2,FLOOR(((BN99+BO99+BP99)/3),0.1))))))))</f>
        <v/>
      </c>
      <c r="BR99" s="21" t="n"/>
      <c r="BS99" s="21" t="n"/>
      <c r="BT99" s="27">
        <f>SUM(BR99:BS99)</f>
        <v/>
      </c>
      <c r="BU99" s="28" t="n"/>
      <c r="BV99" s="31" t="n"/>
      <c r="BW99" s="29">
        <f>IF(AND(BT99=0,BU99=0,BV99=0),0,IF(AND(BT99=0,BU99=0),BV99/1,IF(AND(BT99=0,BV99=0),BU99/1,IF(AND(BU99=0,BV99=0),BT99/1,IF(BT99=0,FLOOR((BU99+BV99)/2,0.1),IF(BU99=0,(BT99+BV99)/2,IF(BV99=0,(BU99+BT99)/2,FLOOR(((BT99+BU99+BV99)/3),0.1))))))))</f>
        <v/>
      </c>
      <c r="BX99" s="21" t="n"/>
      <c r="BY99" s="21" t="n"/>
      <c r="BZ99" s="27">
        <f>SUM(BX99:BY99)</f>
        <v/>
      </c>
      <c r="CA99" s="28" t="n"/>
      <c r="CB99" s="31" t="n"/>
      <c r="CC99" s="29">
        <f>IF(AND(BZ99=0,CA99=0,CB99=0),0,IF(AND(BZ99=0,CA99=0),CB99/1,IF(AND(BZ99=0,CB99=0),CA99/1,IF(AND(CA99=0,CB99=0),BZ99/1,IF(BZ99=0,FLOOR((CA99+CB99)/2,0.1),IF(CA99=0,(BZ99+CB99)/2,IF(CB99=0,(CA99+BZ99)/2,FLOOR(((BZ99+CA99+CB99)/3),0.1))))))))</f>
        <v/>
      </c>
      <c r="CD99" s="21" t="n"/>
      <c r="CE99" s="21" t="n"/>
      <c r="CF99" s="27">
        <f>SUM(CD99:CE99)</f>
        <v/>
      </c>
      <c r="CG99" s="28" t="n"/>
      <c r="CH99" s="31" t="n"/>
      <c r="CI99" s="29">
        <f>IF(AND(CF99=0,CG99=0,CH99=0),0,IF(AND(CF99=0,CG99=0),CH99/1,IF(AND(CF99=0,CH99=0),CG99/1,IF(AND(CG99=0,CH99=0),CF99/1,IF(CF99=0,FLOOR((CG99+CH99)/2,0.1),IF(CG99=0,(CF99+CH99)/2,IF(CH99=0,(CG99+CF99)/2,FLOOR(((CF99+CG99+CH99)/3),0.1))))))))</f>
        <v/>
      </c>
      <c r="CJ99" s="21" t="n"/>
      <c r="CK99" s="21" t="n"/>
      <c r="CL99" s="27">
        <f>SUM(CJ99:CK99)</f>
        <v/>
      </c>
      <c r="CM99" s="28" t="n"/>
      <c r="CN99" s="31" t="n"/>
      <c r="CO99" s="29">
        <f>IF(AND(CL99=0,CM99=0,CN99=0),0,IF(AND(CL99=0,CM99=0),CN99/1,IF(AND(CL99=0,CN99=0),CM99/1,IF(AND(CM99=0,CN99=0),CL99/1,IF(CL99=0,FLOOR((CM99+CN99)/2,0.1),IF(CM99=0,(CL99+CN99)/2,IF(CN99=0,(CM99+CL99)/2,FLOOR(((CL99+CM99+CN99)/3),0.1))))))))</f>
        <v/>
      </c>
      <c r="CP99" s="21" t="n"/>
      <c r="CQ99" s="21" t="n"/>
      <c r="CR99" s="27">
        <f>SUM(CP99:CQ99)</f>
        <v/>
      </c>
      <c r="CS99" s="28" t="n"/>
      <c r="CT99" s="31" t="n"/>
      <c r="CU99" s="29">
        <f>IF(AND(CR99=0,CS99=0,CT99=0),0,IF(AND(CR99=0,CS99=0),CT99/1,IF(AND(CR99=0,CT99=0),CS99/1,IF(AND(CS99=0,CT99=0),CR99/1,IF(CR99=0,FLOOR((CS99+CT99)/2,0.1),IF(CS99=0,(CR99+CT99)/2,IF(CT99=0,(CS99+CR99)/2,FLOOR(((CR99+CS99+CT99)/3),0.1))))))))</f>
        <v/>
      </c>
      <c r="CV99" s="21" t="n"/>
      <c r="CW99" s="21" t="n"/>
      <c r="CX99" s="27">
        <f>SUM(CV99:CW99)</f>
        <v/>
      </c>
      <c r="CY99" s="28" t="n"/>
      <c r="CZ99" s="31" t="n"/>
      <c r="DA99" s="29">
        <f>IF(AND(CX99=0,CY99=0,CZ99=0),0,IF(AND(CX99=0,CY99=0),CZ99/1,IF(AND(CX99=0,CZ99=0),CY99/1,IF(AND(CY99=0,CZ99=0),CX99/1,IF(CX99=0,FLOOR((CY99+CZ99)/2,0.1),IF(CY99=0,(CX99+CZ99)/2,IF(CZ99=0,(CY99+CX99)/2,FLOOR(((CX99+CY99+CZ99)/3),0.1))))))))</f>
        <v/>
      </c>
      <c r="DB99" s="21" t="n"/>
      <c r="DC99" s="21" t="n"/>
      <c r="DD99" s="27">
        <f>SUM(DB99:DC99)</f>
        <v/>
      </c>
      <c r="DE99" s="28" t="n"/>
      <c r="DF99" s="31" t="n"/>
      <c r="DG99" s="29">
        <f>IF(AND(DD99=0,DE99=0,DF99=0),0,IF(AND(DD99=0,DE99=0),DF99/1,IF(AND(DD99=0,DF99=0),DE99/1,IF(AND(DE99=0,DF99=0),DD99/1,IF(DD99=0,FLOOR((DE99+DF99)/2,0.1),IF(DE99=0,(DD99+DF99)/2,IF(DF99=0,(DE99+DD99)/2,FLOOR(((DD99+DE99+DF99)/3),0.1))))))))</f>
        <v/>
      </c>
      <c r="DH99" s="34">
        <f>SUM(O99,U99,AA99,AG99,AM99,AS99,AY99,BE99,BK99,BQ99,BW99,CC99,CI99,CO99,CU99,DA99,DG99)</f>
        <v/>
      </c>
      <c r="DI99" s="39">
        <f>RANK(DH99,DH$4:DH$503)</f>
        <v/>
      </c>
      <c r="DJ99" s="40" t="inlineStr">
        <is>
          <t>CHOOSE RATING</t>
        </is>
      </c>
      <c r="DK99" s="40" t="inlineStr">
        <is>
          <t>CHOOSE RATING</t>
        </is>
      </c>
      <c r="DL99" s="40" t="inlineStr">
        <is>
          <t>CHOOSE RATING</t>
        </is>
      </c>
      <c r="DM99" s="40" t="inlineStr">
        <is>
          <t>CHOOSE RATING</t>
        </is>
      </c>
      <c r="DN99" s="40" t="inlineStr">
        <is>
          <t>CHOOSE RATING</t>
        </is>
      </c>
      <c r="DO99" s="40" t="inlineStr">
        <is>
          <t>CHOOSE RATING</t>
        </is>
      </c>
      <c r="DP99" s="40" t="inlineStr">
        <is>
          <t>CHOOSE RATING</t>
        </is>
      </c>
      <c r="DQ99" s="40" t="inlineStr">
        <is>
          <t>CHOOSE RATING</t>
        </is>
      </c>
      <c r="DR99" s="43" t="inlineStr">
        <is>
          <t>2024/2025</t>
        </is>
      </c>
      <c r="DS99" s="45" t="inlineStr">
        <is>
          <t>THIRD</t>
        </is>
      </c>
      <c r="DT99" s="40" t="inlineStr">
        <is>
          <t>CHOOSE RATING</t>
        </is>
      </c>
      <c r="DU99" s="40" t="inlineStr">
        <is>
          <t>CHOOSE RATING</t>
        </is>
      </c>
      <c r="DV99" s="40" t="inlineStr">
        <is>
          <t>CHOOSE RATING</t>
        </is>
      </c>
      <c r="DW99" s="40" t="inlineStr">
        <is>
          <t>CHOOSE RATING</t>
        </is>
      </c>
      <c r="DX99" s="40" t="inlineStr">
        <is>
          <t>CHOOSE RATING</t>
        </is>
      </c>
      <c r="DY99" s="40" t="inlineStr">
        <is>
          <t>CHOOSE RATING</t>
        </is>
      </c>
      <c r="DZ99" s="53" t="inlineStr">
        <is>
          <t>CHOOSE RATING</t>
        </is>
      </c>
      <c r="EA99" s="54" t="inlineStr">
        <is>
          <t>Add the Tutor's Comment . . .</t>
        </is>
      </c>
      <c r="EB99" s="55" t="inlineStr">
        <is>
          <t>Choose Principals comment</t>
        </is>
      </c>
      <c r="EC99" s="56" t="n"/>
      <c r="ED99" s="57" t="inlineStr">
        <is>
          <t>Next Term Begins on Monday, 22nd September, 2025</t>
        </is>
      </c>
    </row>
    <row r="100" ht="30.6" customHeight="1" s="6">
      <c r="A100" s="18" t="n">
        <v>97</v>
      </c>
      <c r="B100" s="19" t="n"/>
      <c r="C100" s="20" t="n"/>
      <c r="D100" s="128" t="n"/>
      <c r="E100" s="21" t="n"/>
      <c r="F100" s="22" t="n"/>
      <c r="G100" s="22" t="n"/>
      <c r="H100" s="22" t="n"/>
      <c r="I100" s="26">
        <f>G100-H100</f>
        <v/>
      </c>
      <c r="J100" s="21" t="n"/>
      <c r="K100" s="21" t="n"/>
      <c r="L100" s="27">
        <f>SUM(J100:K100)</f>
        <v/>
      </c>
      <c r="M100" s="28" t="n"/>
      <c r="N100" s="28" t="n"/>
      <c r="O100" s="29">
        <f>IF(AND(L100=0,M100=0,N100=0),0,IF(AND(L100=0,M100=0),N100/1,IF(AND(L100=0,N100=0),M100/1,IF(AND(M100=0,N100=0),L100/1,IF(L100=0,FLOOR((M100+N100)/2,0.1),IF(M100=0,(L100+N100)/2,IF(N100=0,(M100+L100)/2,FLOOR(((L100+M100+N100)/3),0.1))))))))</f>
        <v/>
      </c>
      <c r="P100" s="21" t="n"/>
      <c r="Q100" s="21" t="n"/>
      <c r="R100" s="27">
        <f>SUM(P100:Q100)</f>
        <v/>
      </c>
      <c r="S100" s="28" t="n"/>
      <c r="T100" s="28" t="n"/>
      <c r="U100" s="29">
        <f>IF(AND(R100=0,S100=0,T100=0),0,IF(AND(R100=0,S100=0),T100/1,IF(AND(R100=0,T100=0),S100/1,IF(AND(S100=0,T100=0),R100/1,IF(R100=0,FLOOR((S100+T100)/2,0.1),IF(S100=0,(R100+T100)/2,IF(T100=0,(S100+R100)/2,FLOOR(((R100+S100+T100)/3),0.1))))))))</f>
        <v/>
      </c>
      <c r="V100" s="21" t="n"/>
      <c r="W100" s="21" t="n"/>
      <c r="X100" s="27">
        <f>SUM(V100:W100)</f>
        <v/>
      </c>
      <c r="Y100" s="28" t="n"/>
      <c r="Z100" s="28" t="n"/>
      <c r="AA100" s="29">
        <f>IF(AND(X100=0,Y100=0,Z100=0),0,IF(AND(X100=0,Y100=0),Z100/1,IF(AND(X100=0,Z100=0),Y100/1,IF(AND(Y100=0,Z100=0),X100/1,IF(X100=0,FLOOR((Y100+Z100)/2,0.1),IF(Y100=0,(X100+Z100)/2,IF(Z100=0,(Y100+X100)/2,FLOOR(((X100+Y100+Z100)/3),0.1))))))))</f>
        <v/>
      </c>
      <c r="AB100" s="21" t="n"/>
      <c r="AC100" s="21" t="n"/>
      <c r="AD100" s="27">
        <f>SUM(AB100:AC100)</f>
        <v/>
      </c>
      <c r="AE100" s="28" t="n"/>
      <c r="AF100" s="28" t="n"/>
      <c r="AG100" s="29">
        <f>IF(AND(AD100=0,AE100=0,AF100=0),0,IF(AND(AD100=0,AE100=0),AF100/1,IF(AND(AD100=0,AF100=0),AE100/1,IF(AND(AE100=0,AF100=0),AD100/1,IF(AD100=0,FLOOR((AE100+AF100)/2,0.1),IF(AE100=0,(AD100+AF100)/2,IF(AF100=0,(AE100+AD100)/2,FLOOR(((AD100+AE100+AF100)/3),0.1))))))))</f>
        <v/>
      </c>
      <c r="AH100" s="21" t="n"/>
      <c r="AI100" s="21" t="n"/>
      <c r="AJ100" s="27">
        <f>SUM(AH100:AI100)</f>
        <v/>
      </c>
      <c r="AK100" s="28" t="n"/>
      <c r="AL100" s="28" t="n"/>
      <c r="AM100" s="29">
        <f>IF(AND(AJ100=0,AK100=0,AL100=0),0,IF(AND(AJ100=0,AK100=0),AL100/1,IF(AND(AJ100=0,AL100=0),AK100/1,IF(AND(AK100=0,AL100=0),AJ100/1,IF(AJ100=0,FLOOR((AK100+AL100)/2,0.1),IF(AK100=0,(AJ100+AL100)/2,IF(AL100=0,(AK100+AJ100)/2,FLOOR(((AJ100+AK100+AL100)/3),0.1))))))))</f>
        <v/>
      </c>
      <c r="AN100" s="21" t="n"/>
      <c r="AO100" s="21" t="n"/>
      <c r="AP100" s="27">
        <f>SUM(AN100:AO100)</f>
        <v/>
      </c>
      <c r="AQ100" s="28" t="n"/>
      <c r="AR100" s="30" t="n"/>
      <c r="AS100" s="29">
        <f>IF(AND(AP100=0,AQ100=0,AR100=0),0,IF(AND(AP100=0,AQ100=0),AR100/1,IF(AND(AP100=0,AR100=0),AQ100/1,IF(AND(AQ100=0,AR100=0),AP100/1,IF(AP100=0,FLOOR((AQ100+AR100)/2,0.1),IF(AQ100=0,(AP100+AR100)/2,IF(AR100=0,(AQ100+AP100)/2,FLOOR(((AP100+AQ100+AR100)/3),0.1))))))))</f>
        <v/>
      </c>
      <c r="AT100" s="21" t="n"/>
      <c r="AU100" s="21" t="n"/>
      <c r="AV100" s="27">
        <f>SUM(AT100:AU100)</f>
        <v/>
      </c>
      <c r="AW100" s="28" t="n"/>
      <c r="AX100" s="30" t="n"/>
      <c r="AY100" s="29">
        <f>IF(AND(AV100=0,AW100=0,AX100=0),0,IF(AND(AV100=0,AW100=0),AX100/1,IF(AND(AV100=0,AX100=0),AW100/1,IF(AND(AW100=0,AX100=0),AV100/1,IF(AV100=0,FLOOR((AW100+AX100)/2,0.1),IF(AW100=0,(AV100+AX100)/2,IF(AX100=0,(AW100+AV100)/2,FLOOR(((AV100+AW100+AX100)/3),0.1))))))))</f>
        <v/>
      </c>
      <c r="AZ100" s="21" t="n"/>
      <c r="BA100" s="21" t="n"/>
      <c r="BB100" s="27">
        <f>SUM(AZ100:BA100)</f>
        <v/>
      </c>
      <c r="BC100" s="28" t="n"/>
      <c r="BD100" s="28" t="n"/>
      <c r="BE100" s="29">
        <f>IF(AND(BB100=0,BC100=0,BD100=0),0,IF(AND(BB100=0,BC100=0),BD100/1,IF(AND(BB100=0,BD100=0),BC100/1,IF(AND(BC100=0,BD100=0),BB100/1,IF(BB100=0,FLOOR((BC100+BD100)/2,0.1),IF(BC100=0,(BB100+BD100)/2,IF(BD100=0,(BC100+BB100)/2,FLOOR(((BB100+BC100+BD100)/3),0.1))))))))</f>
        <v/>
      </c>
      <c r="BF100" s="21" t="n"/>
      <c r="BG100" s="21" t="n"/>
      <c r="BH100" s="27">
        <f>SUM(BF100:BG100)</f>
        <v/>
      </c>
      <c r="BI100" s="28" t="n"/>
      <c r="BJ100" s="28" t="n"/>
      <c r="BK100" s="29">
        <f>IF(AND(BH100=0,BI100=0,BJ100=0),0,IF(AND(BH100=0,BI100=0),BJ100/1,IF(AND(BH100=0,BJ100=0),BI100/1,IF(AND(BI100=0,BJ100=0),BH100/1,IF(BH100=0,FLOOR((BI100+BJ100)/2,0.1),IF(BI100=0,(BH100+BJ100)/2,IF(BJ100=0,(BI100+BH100)/2,FLOOR(((BH100+BI100+BJ100)/3),0.1))))))))</f>
        <v/>
      </c>
      <c r="BL100" s="21" t="n"/>
      <c r="BM100" s="21" t="n"/>
      <c r="BN100" s="27">
        <f>SUM(BL100:BM100)</f>
        <v/>
      </c>
      <c r="BO100" s="28" t="n"/>
      <c r="BP100" s="31" t="n"/>
      <c r="BQ100" s="29">
        <f>IF(AND(BN100=0,BO100=0,BP100=0),0,IF(AND(BN100=0,BO100=0),BP100/1,IF(AND(BN100=0,BP100=0),BO100/1,IF(AND(BO100=0,BP100=0),BN100/1,IF(BN100=0,FLOOR((BO100+BP100)/2,0.1),IF(BO100=0,(BN100+BP100)/2,IF(BP100=0,(BO100+BN100)/2,FLOOR(((BN100+BO100+BP100)/3),0.1))))))))</f>
        <v/>
      </c>
      <c r="BR100" s="21" t="n"/>
      <c r="BS100" s="21" t="n"/>
      <c r="BT100" s="27">
        <f>SUM(BR100:BS100)</f>
        <v/>
      </c>
      <c r="BU100" s="28" t="n"/>
      <c r="BV100" s="31" t="n"/>
      <c r="BW100" s="29">
        <f>IF(AND(BT100=0,BU100=0,BV100=0),0,IF(AND(BT100=0,BU100=0),BV100/1,IF(AND(BT100=0,BV100=0),BU100/1,IF(AND(BU100=0,BV100=0),BT100/1,IF(BT100=0,FLOOR((BU100+BV100)/2,0.1),IF(BU100=0,(BT100+BV100)/2,IF(BV100=0,(BU100+BT100)/2,FLOOR(((BT100+BU100+BV100)/3),0.1))))))))</f>
        <v/>
      </c>
      <c r="BX100" s="21" t="n"/>
      <c r="BY100" s="21" t="n"/>
      <c r="BZ100" s="27">
        <f>SUM(BX100:BY100)</f>
        <v/>
      </c>
      <c r="CA100" s="28" t="n"/>
      <c r="CB100" s="31" t="n"/>
      <c r="CC100" s="29">
        <f>IF(AND(BZ100=0,CA100=0,CB100=0),0,IF(AND(BZ100=0,CA100=0),CB100/1,IF(AND(BZ100=0,CB100=0),CA100/1,IF(AND(CA100=0,CB100=0),BZ100/1,IF(BZ100=0,FLOOR((CA100+CB100)/2,0.1),IF(CA100=0,(BZ100+CB100)/2,IF(CB100=0,(CA100+BZ100)/2,FLOOR(((BZ100+CA100+CB100)/3),0.1))))))))</f>
        <v/>
      </c>
      <c r="CD100" s="21" t="n"/>
      <c r="CE100" s="21" t="n"/>
      <c r="CF100" s="27">
        <f>SUM(CD100:CE100)</f>
        <v/>
      </c>
      <c r="CG100" s="28" t="n"/>
      <c r="CH100" s="31" t="n"/>
      <c r="CI100" s="29">
        <f>IF(AND(CF100=0,CG100=0,CH100=0),0,IF(AND(CF100=0,CG100=0),CH100/1,IF(AND(CF100=0,CH100=0),CG100/1,IF(AND(CG100=0,CH100=0),CF100/1,IF(CF100=0,FLOOR((CG100+CH100)/2,0.1),IF(CG100=0,(CF100+CH100)/2,IF(CH100=0,(CG100+CF100)/2,FLOOR(((CF100+CG100+CH100)/3),0.1))))))))</f>
        <v/>
      </c>
      <c r="CJ100" s="21" t="n"/>
      <c r="CK100" s="21" t="n"/>
      <c r="CL100" s="27">
        <f>SUM(CJ100:CK100)</f>
        <v/>
      </c>
      <c r="CM100" s="28" t="n"/>
      <c r="CN100" s="31" t="n"/>
      <c r="CO100" s="29">
        <f>IF(AND(CL100=0,CM100=0,CN100=0),0,IF(AND(CL100=0,CM100=0),CN100/1,IF(AND(CL100=0,CN100=0),CM100/1,IF(AND(CM100=0,CN100=0),CL100/1,IF(CL100=0,FLOOR((CM100+CN100)/2,0.1),IF(CM100=0,(CL100+CN100)/2,IF(CN100=0,(CM100+CL100)/2,FLOOR(((CL100+CM100+CN100)/3),0.1))))))))</f>
        <v/>
      </c>
      <c r="CP100" s="21" t="n"/>
      <c r="CQ100" s="21" t="n"/>
      <c r="CR100" s="27">
        <f>SUM(CP100:CQ100)</f>
        <v/>
      </c>
      <c r="CS100" s="28" t="n"/>
      <c r="CT100" s="31" t="n"/>
      <c r="CU100" s="29">
        <f>IF(AND(CR100=0,CS100=0,CT100=0),0,IF(AND(CR100=0,CS100=0),CT100/1,IF(AND(CR100=0,CT100=0),CS100/1,IF(AND(CS100=0,CT100=0),CR100/1,IF(CR100=0,FLOOR((CS100+CT100)/2,0.1),IF(CS100=0,(CR100+CT100)/2,IF(CT100=0,(CS100+CR100)/2,FLOOR(((CR100+CS100+CT100)/3),0.1))))))))</f>
        <v/>
      </c>
      <c r="CV100" s="21" t="n"/>
      <c r="CW100" s="21" t="n"/>
      <c r="CX100" s="27">
        <f>SUM(CV100:CW100)</f>
        <v/>
      </c>
      <c r="CY100" s="28" t="n"/>
      <c r="CZ100" s="31" t="n"/>
      <c r="DA100" s="29">
        <f>IF(AND(CX100=0,CY100=0,CZ100=0),0,IF(AND(CX100=0,CY100=0),CZ100/1,IF(AND(CX100=0,CZ100=0),CY100/1,IF(AND(CY100=0,CZ100=0),CX100/1,IF(CX100=0,FLOOR((CY100+CZ100)/2,0.1),IF(CY100=0,(CX100+CZ100)/2,IF(CZ100=0,(CY100+CX100)/2,FLOOR(((CX100+CY100+CZ100)/3),0.1))))))))</f>
        <v/>
      </c>
      <c r="DB100" s="21" t="n"/>
      <c r="DC100" s="21" t="n"/>
      <c r="DD100" s="27">
        <f>SUM(DB100:DC100)</f>
        <v/>
      </c>
      <c r="DE100" s="28" t="n"/>
      <c r="DF100" s="31" t="n"/>
      <c r="DG100" s="29">
        <f>IF(AND(DD100=0,DE100=0,DF100=0),0,IF(AND(DD100=0,DE100=0),DF100/1,IF(AND(DD100=0,DF100=0),DE100/1,IF(AND(DE100=0,DF100=0),DD100/1,IF(DD100=0,FLOOR((DE100+DF100)/2,0.1),IF(DE100=0,(DD100+DF100)/2,IF(DF100=0,(DE100+DD100)/2,FLOOR(((DD100+DE100+DF100)/3),0.1))))))))</f>
        <v/>
      </c>
      <c r="DH100" s="34">
        <f>SUM(O100,U100,AA100,AG100,AM100,AS100,AY100,BE100,BK100,BQ100,BW100,CC100,CI100,CO100,CU100,DA100,DG100)</f>
        <v/>
      </c>
      <c r="DI100" s="39">
        <f>RANK(DH100,DH$4:DH$503)</f>
        <v/>
      </c>
      <c r="DJ100" s="40" t="inlineStr">
        <is>
          <t>CHOOSE RATING</t>
        </is>
      </c>
      <c r="DK100" s="40" t="inlineStr">
        <is>
          <t>CHOOSE RATING</t>
        </is>
      </c>
      <c r="DL100" s="40" t="inlineStr">
        <is>
          <t>CHOOSE RATING</t>
        </is>
      </c>
      <c r="DM100" s="40" t="inlineStr">
        <is>
          <t>CHOOSE RATING</t>
        </is>
      </c>
      <c r="DN100" s="40" t="inlineStr">
        <is>
          <t>CHOOSE RATING</t>
        </is>
      </c>
      <c r="DO100" s="40" t="inlineStr">
        <is>
          <t>CHOOSE RATING</t>
        </is>
      </c>
      <c r="DP100" s="40" t="inlineStr">
        <is>
          <t>CHOOSE RATING</t>
        </is>
      </c>
      <c r="DQ100" s="40" t="inlineStr">
        <is>
          <t>CHOOSE RATING</t>
        </is>
      </c>
      <c r="DR100" s="43" t="inlineStr">
        <is>
          <t>2024/2025</t>
        </is>
      </c>
      <c r="DS100" s="45" t="inlineStr">
        <is>
          <t>THIRD</t>
        </is>
      </c>
      <c r="DT100" s="40" t="inlineStr">
        <is>
          <t>CHOOSE RATING</t>
        </is>
      </c>
      <c r="DU100" s="40" t="inlineStr">
        <is>
          <t>CHOOSE RATING</t>
        </is>
      </c>
      <c r="DV100" s="40" t="inlineStr">
        <is>
          <t>CHOOSE RATING</t>
        </is>
      </c>
      <c r="DW100" s="40" t="inlineStr">
        <is>
          <t>CHOOSE RATING</t>
        </is>
      </c>
      <c r="DX100" s="40" t="inlineStr">
        <is>
          <t>CHOOSE RATING</t>
        </is>
      </c>
      <c r="DY100" s="40" t="inlineStr">
        <is>
          <t>CHOOSE RATING</t>
        </is>
      </c>
      <c r="DZ100" s="53" t="inlineStr">
        <is>
          <t>CHOOSE RATING</t>
        </is>
      </c>
      <c r="EA100" s="54" t="inlineStr">
        <is>
          <t>Add the Tutor's Comment . . .</t>
        </is>
      </c>
      <c r="EB100" s="55" t="inlineStr">
        <is>
          <t>Choose Principals comment</t>
        </is>
      </c>
      <c r="EC100" s="56" t="n"/>
      <c r="ED100" s="57" t="inlineStr">
        <is>
          <t>Next Term Begins on Monday, 22nd September, 2025</t>
        </is>
      </c>
    </row>
    <row r="101" ht="30.6" customHeight="1" s="6">
      <c r="A101" s="18" t="n">
        <v>98</v>
      </c>
      <c r="B101" s="19" t="n"/>
      <c r="C101" s="20" t="n"/>
      <c r="D101" s="128" t="n"/>
      <c r="E101" s="21" t="n"/>
      <c r="F101" s="22" t="n"/>
      <c r="G101" s="22" t="n"/>
      <c r="H101" s="22" t="n"/>
      <c r="I101" s="26">
        <f>G101-H101</f>
        <v/>
      </c>
      <c r="J101" s="21" t="n"/>
      <c r="K101" s="21" t="n"/>
      <c r="L101" s="27">
        <f>SUM(J101:K101)</f>
        <v/>
      </c>
      <c r="M101" s="28" t="n"/>
      <c r="N101" s="28" t="n"/>
      <c r="O101" s="29">
        <f>IF(AND(L101=0,M101=0,N101=0),0,IF(AND(L101=0,M101=0),N101/1,IF(AND(L101=0,N101=0),M101/1,IF(AND(M101=0,N101=0),L101/1,IF(L101=0,FLOOR((M101+N101)/2,0.1),IF(M101=0,(L101+N101)/2,IF(N101=0,(M101+L101)/2,FLOOR(((L101+M101+N101)/3),0.1))))))))</f>
        <v/>
      </c>
      <c r="P101" s="21" t="n"/>
      <c r="Q101" s="21" t="n"/>
      <c r="R101" s="27">
        <f>SUM(P101:Q101)</f>
        <v/>
      </c>
      <c r="S101" s="28" t="n"/>
      <c r="T101" s="28" t="n"/>
      <c r="U101" s="29">
        <f>IF(AND(R101=0,S101=0,T101=0),0,IF(AND(R101=0,S101=0),T101/1,IF(AND(R101=0,T101=0),S101/1,IF(AND(S101=0,T101=0),R101/1,IF(R101=0,FLOOR((S101+T101)/2,0.1),IF(S101=0,(R101+T101)/2,IF(T101=0,(S101+R101)/2,FLOOR(((R101+S101+T101)/3),0.1))))))))</f>
        <v/>
      </c>
      <c r="V101" s="21" t="n"/>
      <c r="W101" s="21" t="n"/>
      <c r="X101" s="27">
        <f>SUM(V101:W101)</f>
        <v/>
      </c>
      <c r="Y101" s="28" t="n"/>
      <c r="Z101" s="28" t="n"/>
      <c r="AA101" s="29">
        <f>IF(AND(X101=0,Y101=0,Z101=0),0,IF(AND(X101=0,Y101=0),Z101/1,IF(AND(X101=0,Z101=0),Y101/1,IF(AND(Y101=0,Z101=0),X101/1,IF(X101=0,FLOOR((Y101+Z101)/2,0.1),IF(Y101=0,(X101+Z101)/2,IF(Z101=0,(Y101+X101)/2,FLOOR(((X101+Y101+Z101)/3),0.1))))))))</f>
        <v/>
      </c>
      <c r="AB101" s="21" t="n"/>
      <c r="AC101" s="21" t="n"/>
      <c r="AD101" s="27">
        <f>SUM(AB101:AC101)</f>
        <v/>
      </c>
      <c r="AE101" s="28" t="n"/>
      <c r="AF101" s="28" t="n"/>
      <c r="AG101" s="29">
        <f>IF(AND(AD101=0,AE101=0,AF101=0),0,IF(AND(AD101=0,AE101=0),AF101/1,IF(AND(AD101=0,AF101=0),AE101/1,IF(AND(AE101=0,AF101=0),AD101/1,IF(AD101=0,FLOOR((AE101+AF101)/2,0.1),IF(AE101=0,(AD101+AF101)/2,IF(AF101=0,(AE101+AD101)/2,FLOOR(((AD101+AE101+AF101)/3),0.1))))))))</f>
        <v/>
      </c>
      <c r="AH101" s="21" t="n"/>
      <c r="AI101" s="21" t="n"/>
      <c r="AJ101" s="27">
        <f>SUM(AH101:AI101)</f>
        <v/>
      </c>
      <c r="AK101" s="28" t="n"/>
      <c r="AL101" s="28" t="n"/>
      <c r="AM101" s="29">
        <f>IF(AND(AJ101=0,AK101=0,AL101=0),0,IF(AND(AJ101=0,AK101=0),AL101/1,IF(AND(AJ101=0,AL101=0),AK101/1,IF(AND(AK101=0,AL101=0),AJ101/1,IF(AJ101=0,FLOOR((AK101+AL101)/2,0.1),IF(AK101=0,(AJ101+AL101)/2,IF(AL101=0,(AK101+AJ101)/2,FLOOR(((AJ101+AK101+AL101)/3),0.1))))))))</f>
        <v/>
      </c>
      <c r="AN101" s="21" t="n"/>
      <c r="AO101" s="21" t="n"/>
      <c r="AP101" s="27">
        <f>SUM(AN101:AO101)</f>
        <v/>
      </c>
      <c r="AQ101" s="28" t="n"/>
      <c r="AR101" s="30" t="n"/>
      <c r="AS101" s="29">
        <f>IF(AND(AP101=0,AQ101=0,AR101=0),0,IF(AND(AP101=0,AQ101=0),AR101/1,IF(AND(AP101=0,AR101=0),AQ101/1,IF(AND(AQ101=0,AR101=0),AP101/1,IF(AP101=0,FLOOR((AQ101+AR101)/2,0.1),IF(AQ101=0,(AP101+AR101)/2,IF(AR101=0,(AQ101+AP101)/2,FLOOR(((AP101+AQ101+AR101)/3),0.1))))))))</f>
        <v/>
      </c>
      <c r="AT101" s="21" t="n"/>
      <c r="AU101" s="21" t="n"/>
      <c r="AV101" s="27">
        <f>SUM(AT101:AU101)</f>
        <v/>
      </c>
      <c r="AW101" s="28" t="n"/>
      <c r="AX101" s="30" t="n"/>
      <c r="AY101" s="29">
        <f>IF(AND(AV101=0,AW101=0,AX101=0),0,IF(AND(AV101=0,AW101=0),AX101/1,IF(AND(AV101=0,AX101=0),AW101/1,IF(AND(AW101=0,AX101=0),AV101/1,IF(AV101=0,FLOOR((AW101+AX101)/2,0.1),IF(AW101=0,(AV101+AX101)/2,IF(AX101=0,(AW101+AV101)/2,FLOOR(((AV101+AW101+AX101)/3),0.1))))))))</f>
        <v/>
      </c>
      <c r="AZ101" s="21" t="n"/>
      <c r="BA101" s="21" t="n"/>
      <c r="BB101" s="27">
        <f>SUM(AZ101:BA101)</f>
        <v/>
      </c>
      <c r="BC101" s="28" t="n"/>
      <c r="BD101" s="28" t="n"/>
      <c r="BE101" s="29">
        <f>IF(AND(BB101=0,BC101=0,BD101=0),0,IF(AND(BB101=0,BC101=0),BD101/1,IF(AND(BB101=0,BD101=0),BC101/1,IF(AND(BC101=0,BD101=0),BB101/1,IF(BB101=0,FLOOR((BC101+BD101)/2,0.1),IF(BC101=0,(BB101+BD101)/2,IF(BD101=0,(BC101+BB101)/2,FLOOR(((BB101+BC101+BD101)/3),0.1))))))))</f>
        <v/>
      </c>
      <c r="BF101" s="21" t="n"/>
      <c r="BG101" s="21" t="n"/>
      <c r="BH101" s="27">
        <f>SUM(BF101:BG101)</f>
        <v/>
      </c>
      <c r="BI101" s="28" t="n"/>
      <c r="BJ101" s="28" t="n"/>
      <c r="BK101" s="29">
        <f>IF(AND(BH101=0,BI101=0,BJ101=0),0,IF(AND(BH101=0,BI101=0),BJ101/1,IF(AND(BH101=0,BJ101=0),BI101/1,IF(AND(BI101=0,BJ101=0),BH101/1,IF(BH101=0,FLOOR((BI101+BJ101)/2,0.1),IF(BI101=0,(BH101+BJ101)/2,IF(BJ101=0,(BI101+BH101)/2,FLOOR(((BH101+BI101+BJ101)/3),0.1))))))))</f>
        <v/>
      </c>
      <c r="BL101" s="21" t="n"/>
      <c r="BM101" s="21" t="n"/>
      <c r="BN101" s="27">
        <f>SUM(BL101:BM101)</f>
        <v/>
      </c>
      <c r="BO101" s="28" t="n"/>
      <c r="BP101" s="31" t="n"/>
      <c r="BQ101" s="29">
        <f>IF(AND(BN101=0,BO101=0,BP101=0),0,IF(AND(BN101=0,BO101=0),BP101/1,IF(AND(BN101=0,BP101=0),BO101/1,IF(AND(BO101=0,BP101=0),BN101/1,IF(BN101=0,FLOOR((BO101+BP101)/2,0.1),IF(BO101=0,(BN101+BP101)/2,IF(BP101=0,(BO101+BN101)/2,FLOOR(((BN101+BO101+BP101)/3),0.1))))))))</f>
        <v/>
      </c>
      <c r="BR101" s="21" t="n"/>
      <c r="BS101" s="21" t="n"/>
      <c r="BT101" s="27">
        <f>SUM(BR101:BS101)</f>
        <v/>
      </c>
      <c r="BU101" s="28" t="n"/>
      <c r="BV101" s="31" t="n"/>
      <c r="BW101" s="29">
        <f>IF(AND(BT101=0,BU101=0,BV101=0),0,IF(AND(BT101=0,BU101=0),BV101/1,IF(AND(BT101=0,BV101=0),BU101/1,IF(AND(BU101=0,BV101=0),BT101/1,IF(BT101=0,FLOOR((BU101+BV101)/2,0.1),IF(BU101=0,(BT101+BV101)/2,IF(BV101=0,(BU101+BT101)/2,FLOOR(((BT101+BU101+BV101)/3),0.1))))))))</f>
        <v/>
      </c>
      <c r="BX101" s="21" t="n"/>
      <c r="BY101" s="21" t="n"/>
      <c r="BZ101" s="27">
        <f>SUM(BX101:BY101)</f>
        <v/>
      </c>
      <c r="CA101" s="28" t="n"/>
      <c r="CB101" s="31" t="n"/>
      <c r="CC101" s="29">
        <f>IF(AND(BZ101=0,CA101=0,CB101=0),0,IF(AND(BZ101=0,CA101=0),CB101/1,IF(AND(BZ101=0,CB101=0),CA101/1,IF(AND(CA101=0,CB101=0),BZ101/1,IF(BZ101=0,FLOOR((CA101+CB101)/2,0.1),IF(CA101=0,(BZ101+CB101)/2,IF(CB101=0,(CA101+BZ101)/2,FLOOR(((BZ101+CA101+CB101)/3),0.1))))))))</f>
        <v/>
      </c>
      <c r="CD101" s="21" t="n"/>
      <c r="CE101" s="21" t="n"/>
      <c r="CF101" s="27">
        <f>SUM(CD101:CE101)</f>
        <v/>
      </c>
      <c r="CG101" s="28" t="n"/>
      <c r="CH101" s="31" t="n"/>
      <c r="CI101" s="29">
        <f>IF(AND(CF101=0,CG101=0,CH101=0),0,IF(AND(CF101=0,CG101=0),CH101/1,IF(AND(CF101=0,CH101=0),CG101/1,IF(AND(CG101=0,CH101=0),CF101/1,IF(CF101=0,FLOOR((CG101+CH101)/2,0.1),IF(CG101=0,(CF101+CH101)/2,IF(CH101=0,(CG101+CF101)/2,FLOOR(((CF101+CG101+CH101)/3),0.1))))))))</f>
        <v/>
      </c>
      <c r="CJ101" s="21" t="n"/>
      <c r="CK101" s="21" t="n"/>
      <c r="CL101" s="27">
        <f>SUM(CJ101:CK101)</f>
        <v/>
      </c>
      <c r="CM101" s="28" t="n"/>
      <c r="CN101" s="31" t="n"/>
      <c r="CO101" s="29">
        <f>IF(AND(CL101=0,CM101=0,CN101=0),0,IF(AND(CL101=0,CM101=0),CN101/1,IF(AND(CL101=0,CN101=0),CM101/1,IF(AND(CM101=0,CN101=0),CL101/1,IF(CL101=0,FLOOR((CM101+CN101)/2,0.1),IF(CM101=0,(CL101+CN101)/2,IF(CN101=0,(CM101+CL101)/2,FLOOR(((CL101+CM101+CN101)/3),0.1))))))))</f>
        <v/>
      </c>
      <c r="CP101" s="21" t="n"/>
      <c r="CQ101" s="21" t="n"/>
      <c r="CR101" s="27">
        <f>SUM(CP101:CQ101)</f>
        <v/>
      </c>
      <c r="CS101" s="28" t="n"/>
      <c r="CT101" s="31" t="n"/>
      <c r="CU101" s="29">
        <f>IF(AND(CR101=0,CS101=0,CT101=0),0,IF(AND(CR101=0,CS101=0),CT101/1,IF(AND(CR101=0,CT101=0),CS101/1,IF(AND(CS101=0,CT101=0),CR101/1,IF(CR101=0,FLOOR((CS101+CT101)/2,0.1),IF(CS101=0,(CR101+CT101)/2,IF(CT101=0,(CS101+CR101)/2,FLOOR(((CR101+CS101+CT101)/3),0.1))))))))</f>
        <v/>
      </c>
      <c r="CV101" s="21" t="n"/>
      <c r="CW101" s="21" t="n"/>
      <c r="CX101" s="27">
        <f>SUM(CV101:CW101)</f>
        <v/>
      </c>
      <c r="CY101" s="28" t="n"/>
      <c r="CZ101" s="31" t="n"/>
      <c r="DA101" s="29">
        <f>IF(AND(CX101=0,CY101=0,CZ101=0),0,IF(AND(CX101=0,CY101=0),CZ101/1,IF(AND(CX101=0,CZ101=0),CY101/1,IF(AND(CY101=0,CZ101=0),CX101/1,IF(CX101=0,FLOOR((CY101+CZ101)/2,0.1),IF(CY101=0,(CX101+CZ101)/2,IF(CZ101=0,(CY101+CX101)/2,FLOOR(((CX101+CY101+CZ101)/3),0.1))))))))</f>
        <v/>
      </c>
      <c r="DB101" s="21" t="n"/>
      <c r="DC101" s="21" t="n"/>
      <c r="DD101" s="27">
        <f>SUM(DB101:DC101)</f>
        <v/>
      </c>
      <c r="DE101" s="28" t="n"/>
      <c r="DF101" s="31" t="n"/>
      <c r="DG101" s="29">
        <f>IF(AND(DD101=0,DE101=0,DF101=0),0,IF(AND(DD101=0,DE101=0),DF101/1,IF(AND(DD101=0,DF101=0),DE101/1,IF(AND(DE101=0,DF101=0),DD101/1,IF(DD101=0,FLOOR((DE101+DF101)/2,0.1),IF(DE101=0,(DD101+DF101)/2,IF(DF101=0,(DE101+DD101)/2,FLOOR(((DD101+DE101+DF101)/3),0.1))))))))</f>
        <v/>
      </c>
      <c r="DH101" s="34">
        <f>SUM(O101,U101,AA101,AG101,AM101,AS101,AY101,BE101,BK101,BQ101,BW101,CC101,CI101,CO101,CU101,DA101,DG101)</f>
        <v/>
      </c>
      <c r="DI101" s="39">
        <f>RANK(DH101,DH$4:DH$503)</f>
        <v/>
      </c>
      <c r="DJ101" s="40" t="inlineStr">
        <is>
          <t>CHOOSE RATING</t>
        </is>
      </c>
      <c r="DK101" s="40" t="inlineStr">
        <is>
          <t>CHOOSE RATING</t>
        </is>
      </c>
      <c r="DL101" s="40" t="inlineStr">
        <is>
          <t>CHOOSE RATING</t>
        </is>
      </c>
      <c r="DM101" s="40" t="inlineStr">
        <is>
          <t>CHOOSE RATING</t>
        </is>
      </c>
      <c r="DN101" s="40" t="inlineStr">
        <is>
          <t>CHOOSE RATING</t>
        </is>
      </c>
      <c r="DO101" s="40" t="inlineStr">
        <is>
          <t>CHOOSE RATING</t>
        </is>
      </c>
      <c r="DP101" s="40" t="inlineStr">
        <is>
          <t>CHOOSE RATING</t>
        </is>
      </c>
      <c r="DQ101" s="40" t="inlineStr">
        <is>
          <t>CHOOSE RATING</t>
        </is>
      </c>
      <c r="DR101" s="43" t="inlineStr">
        <is>
          <t>2024/2025</t>
        </is>
      </c>
      <c r="DS101" s="45" t="inlineStr">
        <is>
          <t>THIRD</t>
        </is>
      </c>
      <c r="DT101" s="40" t="inlineStr">
        <is>
          <t>CHOOSE RATING</t>
        </is>
      </c>
      <c r="DU101" s="40" t="inlineStr">
        <is>
          <t>CHOOSE RATING</t>
        </is>
      </c>
      <c r="DV101" s="40" t="inlineStr">
        <is>
          <t>CHOOSE RATING</t>
        </is>
      </c>
      <c r="DW101" s="40" t="inlineStr">
        <is>
          <t>CHOOSE RATING</t>
        </is>
      </c>
      <c r="DX101" s="40" t="inlineStr">
        <is>
          <t>CHOOSE RATING</t>
        </is>
      </c>
      <c r="DY101" s="40" t="inlineStr">
        <is>
          <t>CHOOSE RATING</t>
        </is>
      </c>
      <c r="DZ101" s="53" t="inlineStr">
        <is>
          <t>CHOOSE RATING</t>
        </is>
      </c>
      <c r="EA101" s="54" t="inlineStr">
        <is>
          <t>Add the Tutor's Comment . . .</t>
        </is>
      </c>
      <c r="EB101" s="55" t="inlineStr">
        <is>
          <t>Choose Principals comment</t>
        </is>
      </c>
      <c r="EC101" s="56" t="n"/>
      <c r="ED101" s="57" t="inlineStr">
        <is>
          <t>Next Term Begins on Monday, 22nd September, 2025</t>
        </is>
      </c>
    </row>
    <row r="102" ht="30.6" customHeight="1" s="6">
      <c r="A102" s="18" t="n">
        <v>99</v>
      </c>
      <c r="B102" s="19" t="n"/>
      <c r="C102" s="20" t="n"/>
      <c r="D102" s="128" t="n"/>
      <c r="E102" s="21" t="n"/>
      <c r="F102" s="22" t="n"/>
      <c r="G102" s="22" t="n"/>
      <c r="H102" s="22" t="n"/>
      <c r="I102" s="26">
        <f>G102-H102</f>
        <v/>
      </c>
      <c r="J102" s="21" t="n"/>
      <c r="K102" s="21" t="n"/>
      <c r="L102" s="27">
        <f>SUM(J102:K102)</f>
        <v/>
      </c>
      <c r="M102" s="28" t="n"/>
      <c r="N102" s="28" t="n"/>
      <c r="O102" s="29">
        <f>IF(AND(L102=0,M102=0,N102=0),0,IF(AND(L102=0,M102=0),N102/1,IF(AND(L102=0,N102=0),M102/1,IF(AND(M102=0,N102=0),L102/1,IF(L102=0,FLOOR((M102+N102)/2,0.1),IF(M102=0,(L102+N102)/2,IF(N102=0,(M102+L102)/2,FLOOR(((L102+M102+N102)/3),0.1))))))))</f>
        <v/>
      </c>
      <c r="P102" s="21" t="n"/>
      <c r="Q102" s="21" t="n"/>
      <c r="R102" s="27">
        <f>SUM(P102:Q102)</f>
        <v/>
      </c>
      <c r="S102" s="28" t="n"/>
      <c r="T102" s="28" t="n"/>
      <c r="U102" s="29">
        <f>IF(AND(R102=0,S102=0,T102=0),0,IF(AND(R102=0,S102=0),T102/1,IF(AND(R102=0,T102=0),S102/1,IF(AND(S102=0,T102=0),R102/1,IF(R102=0,FLOOR((S102+T102)/2,0.1),IF(S102=0,(R102+T102)/2,IF(T102=0,(S102+R102)/2,FLOOR(((R102+S102+T102)/3),0.1))))))))</f>
        <v/>
      </c>
      <c r="V102" s="21" t="n"/>
      <c r="W102" s="21" t="n"/>
      <c r="X102" s="27">
        <f>SUM(V102:W102)</f>
        <v/>
      </c>
      <c r="Y102" s="28" t="n"/>
      <c r="Z102" s="28" t="n"/>
      <c r="AA102" s="29">
        <f>IF(AND(X102=0,Y102=0,Z102=0),0,IF(AND(X102=0,Y102=0),Z102/1,IF(AND(X102=0,Z102=0),Y102/1,IF(AND(Y102=0,Z102=0),X102/1,IF(X102=0,FLOOR((Y102+Z102)/2,0.1),IF(Y102=0,(X102+Z102)/2,IF(Z102=0,(Y102+X102)/2,FLOOR(((X102+Y102+Z102)/3),0.1))))))))</f>
        <v/>
      </c>
      <c r="AB102" s="21" t="n"/>
      <c r="AC102" s="21" t="n"/>
      <c r="AD102" s="27">
        <f>SUM(AB102:AC102)</f>
        <v/>
      </c>
      <c r="AE102" s="28" t="n"/>
      <c r="AF102" s="28" t="n"/>
      <c r="AG102" s="29">
        <f>IF(AND(AD102=0,AE102=0,AF102=0),0,IF(AND(AD102=0,AE102=0),AF102/1,IF(AND(AD102=0,AF102=0),AE102/1,IF(AND(AE102=0,AF102=0),AD102/1,IF(AD102=0,FLOOR((AE102+AF102)/2,0.1),IF(AE102=0,(AD102+AF102)/2,IF(AF102=0,(AE102+AD102)/2,FLOOR(((AD102+AE102+AF102)/3),0.1))))))))</f>
        <v/>
      </c>
      <c r="AH102" s="21" t="n"/>
      <c r="AI102" s="21" t="n"/>
      <c r="AJ102" s="27">
        <f>SUM(AH102:AI102)</f>
        <v/>
      </c>
      <c r="AK102" s="28" t="n"/>
      <c r="AL102" s="28" t="n"/>
      <c r="AM102" s="29">
        <f>IF(AND(AJ102=0,AK102=0,AL102=0),0,IF(AND(AJ102=0,AK102=0),AL102/1,IF(AND(AJ102=0,AL102=0),AK102/1,IF(AND(AK102=0,AL102=0),AJ102/1,IF(AJ102=0,FLOOR((AK102+AL102)/2,0.1),IF(AK102=0,(AJ102+AL102)/2,IF(AL102=0,(AK102+AJ102)/2,FLOOR(((AJ102+AK102+AL102)/3),0.1))))))))</f>
        <v/>
      </c>
      <c r="AN102" s="21" t="n"/>
      <c r="AO102" s="21" t="n"/>
      <c r="AP102" s="27">
        <f>SUM(AN102:AO102)</f>
        <v/>
      </c>
      <c r="AQ102" s="28" t="n"/>
      <c r="AR102" s="30" t="n"/>
      <c r="AS102" s="29">
        <f>IF(AND(AP102=0,AQ102=0,AR102=0),0,IF(AND(AP102=0,AQ102=0),AR102/1,IF(AND(AP102=0,AR102=0),AQ102/1,IF(AND(AQ102=0,AR102=0),AP102/1,IF(AP102=0,FLOOR((AQ102+AR102)/2,0.1),IF(AQ102=0,(AP102+AR102)/2,IF(AR102=0,(AQ102+AP102)/2,FLOOR(((AP102+AQ102+AR102)/3),0.1))))))))</f>
        <v/>
      </c>
      <c r="AT102" s="21" t="n"/>
      <c r="AU102" s="21" t="n"/>
      <c r="AV102" s="27">
        <f>SUM(AT102:AU102)</f>
        <v/>
      </c>
      <c r="AW102" s="28" t="n"/>
      <c r="AX102" s="30" t="n"/>
      <c r="AY102" s="29">
        <f>IF(AND(AV102=0,AW102=0,AX102=0),0,IF(AND(AV102=0,AW102=0),AX102/1,IF(AND(AV102=0,AX102=0),AW102/1,IF(AND(AW102=0,AX102=0),AV102/1,IF(AV102=0,FLOOR((AW102+AX102)/2,0.1),IF(AW102=0,(AV102+AX102)/2,IF(AX102=0,(AW102+AV102)/2,FLOOR(((AV102+AW102+AX102)/3),0.1))))))))</f>
        <v/>
      </c>
      <c r="AZ102" s="21" t="n"/>
      <c r="BA102" s="21" t="n"/>
      <c r="BB102" s="27">
        <f>SUM(AZ102:BA102)</f>
        <v/>
      </c>
      <c r="BC102" s="28" t="n"/>
      <c r="BD102" s="28" t="n"/>
      <c r="BE102" s="29">
        <f>IF(AND(BB102=0,BC102=0,BD102=0),0,IF(AND(BB102=0,BC102=0),BD102/1,IF(AND(BB102=0,BD102=0),BC102/1,IF(AND(BC102=0,BD102=0),BB102/1,IF(BB102=0,FLOOR((BC102+BD102)/2,0.1),IF(BC102=0,(BB102+BD102)/2,IF(BD102=0,(BC102+BB102)/2,FLOOR(((BB102+BC102+BD102)/3),0.1))))))))</f>
        <v/>
      </c>
      <c r="BF102" s="21" t="n"/>
      <c r="BG102" s="21" t="n"/>
      <c r="BH102" s="27">
        <f>SUM(BF102:BG102)</f>
        <v/>
      </c>
      <c r="BI102" s="28" t="n"/>
      <c r="BJ102" s="28" t="n"/>
      <c r="BK102" s="29">
        <f>IF(AND(BH102=0,BI102=0,BJ102=0),0,IF(AND(BH102=0,BI102=0),BJ102/1,IF(AND(BH102=0,BJ102=0),BI102/1,IF(AND(BI102=0,BJ102=0),BH102/1,IF(BH102=0,FLOOR((BI102+BJ102)/2,0.1),IF(BI102=0,(BH102+BJ102)/2,IF(BJ102=0,(BI102+BH102)/2,FLOOR(((BH102+BI102+BJ102)/3),0.1))))))))</f>
        <v/>
      </c>
      <c r="BL102" s="21" t="n"/>
      <c r="BM102" s="21" t="n"/>
      <c r="BN102" s="27">
        <f>SUM(BL102:BM102)</f>
        <v/>
      </c>
      <c r="BO102" s="28" t="n"/>
      <c r="BP102" s="31" t="n"/>
      <c r="BQ102" s="29">
        <f>IF(AND(BN102=0,BO102=0,BP102=0),0,IF(AND(BN102=0,BO102=0),BP102/1,IF(AND(BN102=0,BP102=0),BO102/1,IF(AND(BO102=0,BP102=0),BN102/1,IF(BN102=0,FLOOR((BO102+BP102)/2,0.1),IF(BO102=0,(BN102+BP102)/2,IF(BP102=0,(BO102+BN102)/2,FLOOR(((BN102+BO102+BP102)/3),0.1))))))))</f>
        <v/>
      </c>
      <c r="BR102" s="21" t="n"/>
      <c r="BS102" s="21" t="n"/>
      <c r="BT102" s="27">
        <f>SUM(BR102:BS102)</f>
        <v/>
      </c>
      <c r="BU102" s="28" t="n"/>
      <c r="BV102" s="31" t="n"/>
      <c r="BW102" s="29">
        <f>IF(AND(BT102=0,BU102=0,BV102=0),0,IF(AND(BT102=0,BU102=0),BV102/1,IF(AND(BT102=0,BV102=0),BU102/1,IF(AND(BU102=0,BV102=0),BT102/1,IF(BT102=0,FLOOR((BU102+BV102)/2,0.1),IF(BU102=0,(BT102+BV102)/2,IF(BV102=0,(BU102+BT102)/2,FLOOR(((BT102+BU102+BV102)/3),0.1))))))))</f>
        <v/>
      </c>
      <c r="BX102" s="21" t="n"/>
      <c r="BY102" s="21" t="n"/>
      <c r="BZ102" s="27">
        <f>SUM(BX102:BY102)</f>
        <v/>
      </c>
      <c r="CA102" s="28" t="n"/>
      <c r="CB102" s="31" t="n"/>
      <c r="CC102" s="29">
        <f>IF(AND(BZ102=0,CA102=0,CB102=0),0,IF(AND(BZ102=0,CA102=0),CB102/1,IF(AND(BZ102=0,CB102=0),CA102/1,IF(AND(CA102=0,CB102=0),BZ102/1,IF(BZ102=0,FLOOR((CA102+CB102)/2,0.1),IF(CA102=0,(BZ102+CB102)/2,IF(CB102=0,(CA102+BZ102)/2,FLOOR(((BZ102+CA102+CB102)/3),0.1))))))))</f>
        <v/>
      </c>
      <c r="CD102" s="21" t="n"/>
      <c r="CE102" s="21" t="n"/>
      <c r="CF102" s="27">
        <f>SUM(CD102:CE102)</f>
        <v/>
      </c>
      <c r="CG102" s="28" t="n"/>
      <c r="CH102" s="31" t="n"/>
      <c r="CI102" s="29">
        <f>IF(AND(CF102=0,CG102=0,CH102=0),0,IF(AND(CF102=0,CG102=0),CH102/1,IF(AND(CF102=0,CH102=0),CG102/1,IF(AND(CG102=0,CH102=0),CF102/1,IF(CF102=0,FLOOR((CG102+CH102)/2,0.1),IF(CG102=0,(CF102+CH102)/2,IF(CH102=0,(CG102+CF102)/2,FLOOR(((CF102+CG102+CH102)/3),0.1))))))))</f>
        <v/>
      </c>
      <c r="CJ102" s="21" t="n"/>
      <c r="CK102" s="21" t="n"/>
      <c r="CL102" s="27">
        <f>SUM(CJ102:CK102)</f>
        <v/>
      </c>
      <c r="CM102" s="28" t="n"/>
      <c r="CN102" s="31" t="n"/>
      <c r="CO102" s="29">
        <f>IF(AND(CL102=0,CM102=0,CN102=0),0,IF(AND(CL102=0,CM102=0),CN102/1,IF(AND(CL102=0,CN102=0),CM102/1,IF(AND(CM102=0,CN102=0),CL102/1,IF(CL102=0,FLOOR((CM102+CN102)/2,0.1),IF(CM102=0,(CL102+CN102)/2,IF(CN102=0,(CM102+CL102)/2,FLOOR(((CL102+CM102+CN102)/3),0.1))))))))</f>
        <v/>
      </c>
      <c r="CP102" s="21" t="n"/>
      <c r="CQ102" s="21" t="n"/>
      <c r="CR102" s="27">
        <f>SUM(CP102:CQ102)</f>
        <v/>
      </c>
      <c r="CS102" s="28" t="n"/>
      <c r="CT102" s="31" t="n"/>
      <c r="CU102" s="29">
        <f>IF(AND(CR102=0,CS102=0,CT102=0),0,IF(AND(CR102=0,CS102=0),CT102/1,IF(AND(CR102=0,CT102=0),CS102/1,IF(AND(CS102=0,CT102=0),CR102/1,IF(CR102=0,FLOOR((CS102+CT102)/2,0.1),IF(CS102=0,(CR102+CT102)/2,IF(CT102=0,(CS102+CR102)/2,FLOOR(((CR102+CS102+CT102)/3),0.1))))))))</f>
        <v/>
      </c>
      <c r="CV102" s="21" t="n"/>
      <c r="CW102" s="21" t="n"/>
      <c r="CX102" s="27">
        <f>SUM(CV102:CW102)</f>
        <v/>
      </c>
      <c r="CY102" s="28" t="n"/>
      <c r="CZ102" s="31" t="n"/>
      <c r="DA102" s="29">
        <f>IF(AND(CX102=0,CY102=0,CZ102=0),0,IF(AND(CX102=0,CY102=0),CZ102/1,IF(AND(CX102=0,CZ102=0),CY102/1,IF(AND(CY102=0,CZ102=0),CX102/1,IF(CX102=0,FLOOR((CY102+CZ102)/2,0.1),IF(CY102=0,(CX102+CZ102)/2,IF(CZ102=0,(CY102+CX102)/2,FLOOR(((CX102+CY102+CZ102)/3),0.1))))))))</f>
        <v/>
      </c>
      <c r="DB102" s="21" t="n"/>
      <c r="DC102" s="21" t="n"/>
      <c r="DD102" s="27">
        <f>SUM(DB102:DC102)</f>
        <v/>
      </c>
      <c r="DE102" s="28" t="n"/>
      <c r="DF102" s="31" t="n"/>
      <c r="DG102" s="29">
        <f>IF(AND(DD102=0,DE102=0,DF102=0),0,IF(AND(DD102=0,DE102=0),DF102/1,IF(AND(DD102=0,DF102=0),DE102/1,IF(AND(DE102=0,DF102=0),DD102/1,IF(DD102=0,FLOOR((DE102+DF102)/2,0.1),IF(DE102=0,(DD102+DF102)/2,IF(DF102=0,(DE102+DD102)/2,FLOOR(((DD102+DE102+DF102)/3),0.1))))))))</f>
        <v/>
      </c>
      <c r="DH102" s="34">
        <f>SUM(O102,U102,AA102,AG102,AM102,AS102,AY102,BE102,BK102,BQ102,BW102,CC102,CI102,CO102,CU102,DA102,DG102)</f>
        <v/>
      </c>
      <c r="DI102" s="39">
        <f>RANK(DH102,DH$4:DH$503)</f>
        <v/>
      </c>
      <c r="DJ102" s="40" t="inlineStr">
        <is>
          <t>CHOOSE RATING</t>
        </is>
      </c>
      <c r="DK102" s="40" t="inlineStr">
        <is>
          <t>CHOOSE RATING</t>
        </is>
      </c>
      <c r="DL102" s="40" t="inlineStr">
        <is>
          <t>CHOOSE RATING</t>
        </is>
      </c>
      <c r="DM102" s="40" t="inlineStr">
        <is>
          <t>CHOOSE RATING</t>
        </is>
      </c>
      <c r="DN102" s="40" t="inlineStr">
        <is>
          <t>CHOOSE RATING</t>
        </is>
      </c>
      <c r="DO102" s="40" t="inlineStr">
        <is>
          <t>CHOOSE RATING</t>
        </is>
      </c>
      <c r="DP102" s="40" t="inlineStr">
        <is>
          <t>CHOOSE RATING</t>
        </is>
      </c>
      <c r="DQ102" s="40" t="inlineStr">
        <is>
          <t>CHOOSE RATING</t>
        </is>
      </c>
      <c r="DR102" s="43" t="inlineStr">
        <is>
          <t>2024/2025</t>
        </is>
      </c>
      <c r="DS102" s="45" t="inlineStr">
        <is>
          <t>THIRD</t>
        </is>
      </c>
      <c r="DT102" s="40" t="inlineStr">
        <is>
          <t>CHOOSE RATING</t>
        </is>
      </c>
      <c r="DU102" s="40" t="inlineStr">
        <is>
          <t>CHOOSE RATING</t>
        </is>
      </c>
      <c r="DV102" s="40" t="inlineStr">
        <is>
          <t>CHOOSE RATING</t>
        </is>
      </c>
      <c r="DW102" s="40" t="inlineStr">
        <is>
          <t>CHOOSE RATING</t>
        </is>
      </c>
      <c r="DX102" s="40" t="inlineStr">
        <is>
          <t>CHOOSE RATING</t>
        </is>
      </c>
      <c r="DY102" s="40" t="inlineStr">
        <is>
          <t>CHOOSE RATING</t>
        </is>
      </c>
      <c r="DZ102" s="53" t="inlineStr">
        <is>
          <t>CHOOSE RATING</t>
        </is>
      </c>
      <c r="EA102" s="54" t="inlineStr">
        <is>
          <t>Add the Tutor's Comment . . .</t>
        </is>
      </c>
      <c r="EB102" s="55" t="inlineStr">
        <is>
          <t>Choose Principals comment</t>
        </is>
      </c>
      <c r="EC102" s="56" t="n"/>
      <c r="ED102" s="57" t="inlineStr">
        <is>
          <t>Next Term Begins on Monday, 22nd September, 2025</t>
        </is>
      </c>
    </row>
    <row r="103" ht="30.6" customHeight="1" s="6">
      <c r="A103" s="18" t="n">
        <v>100</v>
      </c>
      <c r="B103" s="19" t="n"/>
      <c r="C103" s="20" t="n"/>
      <c r="D103" s="128" t="n"/>
      <c r="E103" s="21" t="n"/>
      <c r="F103" s="22" t="n"/>
      <c r="G103" s="22" t="n"/>
      <c r="H103" s="22" t="n"/>
      <c r="I103" s="26">
        <f>G103-H103</f>
        <v/>
      </c>
      <c r="J103" s="21" t="n"/>
      <c r="K103" s="21" t="n"/>
      <c r="L103" s="27">
        <f>SUM(J103:K103)</f>
        <v/>
      </c>
      <c r="M103" s="28" t="n"/>
      <c r="N103" s="28" t="n"/>
      <c r="O103" s="29">
        <f>IF(AND(L103=0,M103=0,N103=0),0,IF(AND(L103=0,M103=0),N103/1,IF(AND(L103=0,N103=0),M103/1,IF(AND(M103=0,N103=0),L103/1,IF(L103=0,FLOOR((M103+N103)/2,0.1),IF(M103=0,(L103+N103)/2,IF(N103=0,(M103+L103)/2,FLOOR(((L103+M103+N103)/3),0.1))))))))</f>
        <v/>
      </c>
      <c r="P103" s="21" t="n"/>
      <c r="Q103" s="21" t="n"/>
      <c r="R103" s="27">
        <f>SUM(P103:Q103)</f>
        <v/>
      </c>
      <c r="S103" s="28" t="n"/>
      <c r="T103" s="28" t="n"/>
      <c r="U103" s="29">
        <f>IF(AND(R103=0,S103=0,T103=0),0,IF(AND(R103=0,S103=0),T103/1,IF(AND(R103=0,T103=0),S103/1,IF(AND(S103=0,T103=0),R103/1,IF(R103=0,FLOOR((S103+T103)/2,0.1),IF(S103=0,(R103+T103)/2,IF(T103=0,(S103+R103)/2,FLOOR(((R103+S103+T103)/3),0.1))))))))</f>
        <v/>
      </c>
      <c r="V103" s="21" t="n"/>
      <c r="W103" s="21" t="n"/>
      <c r="X103" s="27">
        <f>SUM(V103:W103)</f>
        <v/>
      </c>
      <c r="Y103" s="28" t="n"/>
      <c r="Z103" s="28" t="n"/>
      <c r="AA103" s="29">
        <f>IF(AND(X103=0,Y103=0,Z103=0),0,IF(AND(X103=0,Y103=0),Z103/1,IF(AND(X103=0,Z103=0),Y103/1,IF(AND(Y103=0,Z103=0),X103/1,IF(X103=0,FLOOR((Y103+Z103)/2,0.1),IF(Y103=0,(X103+Z103)/2,IF(Z103=0,(Y103+X103)/2,FLOOR(((X103+Y103+Z103)/3),0.1))))))))</f>
        <v/>
      </c>
      <c r="AB103" s="21" t="n"/>
      <c r="AC103" s="21" t="n"/>
      <c r="AD103" s="27">
        <f>SUM(AB103:AC103)</f>
        <v/>
      </c>
      <c r="AE103" s="28" t="n"/>
      <c r="AF103" s="28" t="n"/>
      <c r="AG103" s="29">
        <f>IF(AND(AD103=0,AE103=0,AF103=0),0,IF(AND(AD103=0,AE103=0),AF103/1,IF(AND(AD103=0,AF103=0),AE103/1,IF(AND(AE103=0,AF103=0),AD103/1,IF(AD103=0,FLOOR((AE103+AF103)/2,0.1),IF(AE103=0,(AD103+AF103)/2,IF(AF103=0,(AE103+AD103)/2,FLOOR(((AD103+AE103+AF103)/3),0.1))))))))</f>
        <v/>
      </c>
      <c r="AH103" s="21" t="n"/>
      <c r="AI103" s="21" t="n"/>
      <c r="AJ103" s="27">
        <f>SUM(AH103:AI103)</f>
        <v/>
      </c>
      <c r="AK103" s="28" t="n"/>
      <c r="AL103" s="28" t="n"/>
      <c r="AM103" s="29">
        <f>IF(AND(AJ103=0,AK103=0,AL103=0),0,IF(AND(AJ103=0,AK103=0),AL103/1,IF(AND(AJ103=0,AL103=0),AK103/1,IF(AND(AK103=0,AL103=0),AJ103/1,IF(AJ103=0,FLOOR((AK103+AL103)/2,0.1),IF(AK103=0,(AJ103+AL103)/2,IF(AL103=0,(AK103+AJ103)/2,FLOOR(((AJ103+AK103+AL103)/3),0.1))))))))</f>
        <v/>
      </c>
      <c r="AN103" s="21" t="n"/>
      <c r="AO103" s="21" t="n"/>
      <c r="AP103" s="27">
        <f>SUM(AN103:AO103)</f>
        <v/>
      </c>
      <c r="AQ103" s="28" t="n"/>
      <c r="AR103" s="30" t="n"/>
      <c r="AS103" s="29">
        <f>IF(AND(AP103=0,AQ103=0,AR103=0),0,IF(AND(AP103=0,AQ103=0),AR103/1,IF(AND(AP103=0,AR103=0),AQ103/1,IF(AND(AQ103=0,AR103=0),AP103/1,IF(AP103=0,FLOOR((AQ103+AR103)/2,0.1),IF(AQ103=0,(AP103+AR103)/2,IF(AR103=0,(AQ103+AP103)/2,FLOOR(((AP103+AQ103+AR103)/3),0.1))))))))</f>
        <v/>
      </c>
      <c r="AT103" s="21" t="n"/>
      <c r="AU103" s="21" t="n"/>
      <c r="AV103" s="27">
        <f>SUM(AT103:AU103)</f>
        <v/>
      </c>
      <c r="AW103" s="28" t="n"/>
      <c r="AX103" s="30" t="n"/>
      <c r="AY103" s="29">
        <f>IF(AND(AV103=0,AW103=0,AX103=0),0,IF(AND(AV103=0,AW103=0),AX103/1,IF(AND(AV103=0,AX103=0),AW103/1,IF(AND(AW103=0,AX103=0),AV103/1,IF(AV103=0,FLOOR((AW103+AX103)/2,0.1),IF(AW103=0,(AV103+AX103)/2,IF(AX103=0,(AW103+AV103)/2,FLOOR(((AV103+AW103+AX103)/3),0.1))))))))</f>
        <v/>
      </c>
      <c r="AZ103" s="21" t="n"/>
      <c r="BA103" s="21" t="n"/>
      <c r="BB103" s="27">
        <f>SUM(AZ103:BA103)</f>
        <v/>
      </c>
      <c r="BC103" s="28" t="n"/>
      <c r="BD103" s="28" t="n"/>
      <c r="BE103" s="29">
        <f>IF(AND(BB103=0,BC103=0,BD103=0),0,IF(AND(BB103=0,BC103=0),BD103/1,IF(AND(BB103=0,BD103=0),BC103/1,IF(AND(BC103=0,BD103=0),BB103/1,IF(BB103=0,FLOOR((BC103+BD103)/2,0.1),IF(BC103=0,(BB103+BD103)/2,IF(BD103=0,(BC103+BB103)/2,FLOOR(((BB103+BC103+BD103)/3),0.1))))))))</f>
        <v/>
      </c>
      <c r="BF103" s="21" t="n"/>
      <c r="BG103" s="21" t="n"/>
      <c r="BH103" s="27">
        <f>SUM(BF103:BG103)</f>
        <v/>
      </c>
      <c r="BI103" s="28" t="n"/>
      <c r="BJ103" s="28" t="n"/>
      <c r="BK103" s="29">
        <f>IF(AND(BH103=0,BI103=0,BJ103=0),0,IF(AND(BH103=0,BI103=0),BJ103/1,IF(AND(BH103=0,BJ103=0),BI103/1,IF(AND(BI103=0,BJ103=0),BH103/1,IF(BH103=0,FLOOR((BI103+BJ103)/2,0.1),IF(BI103=0,(BH103+BJ103)/2,IF(BJ103=0,(BI103+BH103)/2,FLOOR(((BH103+BI103+BJ103)/3),0.1))))))))</f>
        <v/>
      </c>
      <c r="BL103" s="21" t="n"/>
      <c r="BM103" s="21" t="n"/>
      <c r="BN103" s="27">
        <f>SUM(BL103:BM103)</f>
        <v/>
      </c>
      <c r="BO103" s="28" t="n"/>
      <c r="BP103" s="31" t="n"/>
      <c r="BQ103" s="29">
        <f>IF(AND(BN103=0,BO103=0,BP103=0),0,IF(AND(BN103=0,BO103=0),BP103/1,IF(AND(BN103=0,BP103=0),BO103/1,IF(AND(BO103=0,BP103=0),BN103/1,IF(BN103=0,FLOOR((BO103+BP103)/2,0.1),IF(BO103=0,(BN103+BP103)/2,IF(BP103=0,(BO103+BN103)/2,FLOOR(((BN103+BO103+BP103)/3),0.1))))))))</f>
        <v/>
      </c>
      <c r="BR103" s="21" t="n"/>
      <c r="BS103" s="21" t="n"/>
      <c r="BT103" s="27">
        <f>SUM(BR103:BS103)</f>
        <v/>
      </c>
      <c r="BU103" s="28" t="n"/>
      <c r="BV103" s="31" t="n"/>
      <c r="BW103" s="29">
        <f>IF(AND(BT103=0,BU103=0,BV103=0),0,IF(AND(BT103=0,BU103=0),BV103/1,IF(AND(BT103=0,BV103=0),BU103/1,IF(AND(BU103=0,BV103=0),BT103/1,IF(BT103=0,FLOOR((BU103+BV103)/2,0.1),IF(BU103=0,(BT103+BV103)/2,IF(BV103=0,(BU103+BT103)/2,FLOOR(((BT103+BU103+BV103)/3),0.1))))))))</f>
        <v/>
      </c>
      <c r="BX103" s="21" t="n"/>
      <c r="BY103" s="21" t="n"/>
      <c r="BZ103" s="27">
        <f>SUM(BX103:BY103)</f>
        <v/>
      </c>
      <c r="CA103" s="28" t="n"/>
      <c r="CB103" s="31" t="n"/>
      <c r="CC103" s="29">
        <f>IF(AND(BZ103=0,CA103=0,CB103=0),0,IF(AND(BZ103=0,CA103=0),CB103/1,IF(AND(BZ103=0,CB103=0),CA103/1,IF(AND(CA103=0,CB103=0),BZ103/1,IF(BZ103=0,FLOOR((CA103+CB103)/2,0.1),IF(CA103=0,(BZ103+CB103)/2,IF(CB103=0,(CA103+BZ103)/2,FLOOR(((BZ103+CA103+CB103)/3),0.1))))))))</f>
        <v/>
      </c>
      <c r="CD103" s="21" t="n"/>
      <c r="CE103" s="21" t="n"/>
      <c r="CF103" s="27">
        <f>SUM(CD103:CE103)</f>
        <v/>
      </c>
      <c r="CG103" s="28" t="n"/>
      <c r="CH103" s="31" t="n"/>
      <c r="CI103" s="29">
        <f>IF(AND(CF103=0,CG103=0,CH103=0),0,IF(AND(CF103=0,CG103=0),CH103/1,IF(AND(CF103=0,CH103=0),CG103/1,IF(AND(CG103=0,CH103=0),CF103/1,IF(CF103=0,FLOOR((CG103+CH103)/2,0.1),IF(CG103=0,(CF103+CH103)/2,IF(CH103=0,(CG103+CF103)/2,FLOOR(((CF103+CG103+CH103)/3),0.1))))))))</f>
        <v/>
      </c>
      <c r="CJ103" s="21" t="n"/>
      <c r="CK103" s="21" t="n"/>
      <c r="CL103" s="27">
        <f>SUM(CJ103:CK103)</f>
        <v/>
      </c>
      <c r="CM103" s="28" t="n"/>
      <c r="CN103" s="31" t="n"/>
      <c r="CO103" s="29">
        <f>IF(AND(CL103=0,CM103=0,CN103=0),0,IF(AND(CL103=0,CM103=0),CN103/1,IF(AND(CL103=0,CN103=0),CM103/1,IF(AND(CM103=0,CN103=0),CL103/1,IF(CL103=0,FLOOR((CM103+CN103)/2,0.1),IF(CM103=0,(CL103+CN103)/2,IF(CN103=0,(CM103+CL103)/2,FLOOR(((CL103+CM103+CN103)/3),0.1))))))))</f>
        <v/>
      </c>
      <c r="CP103" s="21" t="n"/>
      <c r="CQ103" s="21" t="n"/>
      <c r="CR103" s="27">
        <f>SUM(CP103:CQ103)</f>
        <v/>
      </c>
      <c r="CS103" s="28" t="n"/>
      <c r="CT103" s="31" t="n"/>
      <c r="CU103" s="29">
        <f>IF(AND(CR103=0,CS103=0,CT103=0),0,IF(AND(CR103=0,CS103=0),CT103/1,IF(AND(CR103=0,CT103=0),CS103/1,IF(AND(CS103=0,CT103=0),CR103/1,IF(CR103=0,FLOOR((CS103+CT103)/2,0.1),IF(CS103=0,(CR103+CT103)/2,IF(CT103=0,(CS103+CR103)/2,FLOOR(((CR103+CS103+CT103)/3),0.1))))))))</f>
        <v/>
      </c>
      <c r="CV103" s="21" t="n"/>
      <c r="CW103" s="21" t="n"/>
      <c r="CX103" s="27">
        <f>SUM(CV103:CW103)</f>
        <v/>
      </c>
      <c r="CY103" s="28" t="n"/>
      <c r="CZ103" s="31" t="n"/>
      <c r="DA103" s="29">
        <f>IF(AND(CX103=0,CY103=0,CZ103=0),0,IF(AND(CX103=0,CY103=0),CZ103/1,IF(AND(CX103=0,CZ103=0),CY103/1,IF(AND(CY103=0,CZ103=0),CX103/1,IF(CX103=0,FLOOR((CY103+CZ103)/2,0.1),IF(CY103=0,(CX103+CZ103)/2,IF(CZ103=0,(CY103+CX103)/2,FLOOR(((CX103+CY103+CZ103)/3),0.1))))))))</f>
        <v/>
      </c>
      <c r="DB103" s="21" t="n"/>
      <c r="DC103" s="21" t="n"/>
      <c r="DD103" s="27">
        <f>SUM(DB103:DC103)</f>
        <v/>
      </c>
      <c r="DE103" s="28" t="n"/>
      <c r="DF103" s="31" t="n"/>
      <c r="DG103" s="29">
        <f>IF(AND(DD103=0,DE103=0,DF103=0),0,IF(AND(DD103=0,DE103=0),DF103/1,IF(AND(DD103=0,DF103=0),DE103/1,IF(AND(DE103=0,DF103=0),DD103/1,IF(DD103=0,FLOOR((DE103+DF103)/2,0.1),IF(DE103=0,(DD103+DF103)/2,IF(DF103=0,(DE103+DD103)/2,FLOOR(((DD103+DE103+DF103)/3),0.1))))))))</f>
        <v/>
      </c>
      <c r="DH103" s="34">
        <f>SUM(O103,U103,AA103,AG103,AM103,AS103,AY103,BE103,BK103,BQ103,BW103,CC103,CI103,CO103,CU103,DA103,DG103)</f>
        <v/>
      </c>
      <c r="DI103" s="39">
        <f>RANK(DH103,DH$4:DH$503)</f>
        <v/>
      </c>
      <c r="DJ103" s="40" t="inlineStr">
        <is>
          <t>CHOOSE RATING</t>
        </is>
      </c>
      <c r="DK103" s="40" t="inlineStr">
        <is>
          <t>CHOOSE RATING</t>
        </is>
      </c>
      <c r="DL103" s="40" t="inlineStr">
        <is>
          <t>CHOOSE RATING</t>
        </is>
      </c>
      <c r="DM103" s="40" t="inlineStr">
        <is>
          <t>CHOOSE RATING</t>
        </is>
      </c>
      <c r="DN103" s="40" t="inlineStr">
        <is>
          <t>CHOOSE RATING</t>
        </is>
      </c>
      <c r="DO103" s="40" t="inlineStr">
        <is>
          <t>CHOOSE RATING</t>
        </is>
      </c>
      <c r="DP103" s="40" t="inlineStr">
        <is>
          <t>CHOOSE RATING</t>
        </is>
      </c>
      <c r="DQ103" s="40" t="inlineStr">
        <is>
          <t>CHOOSE RATING</t>
        </is>
      </c>
      <c r="DR103" s="43" t="inlineStr">
        <is>
          <t>2024/2025</t>
        </is>
      </c>
      <c r="DS103" s="45" t="inlineStr">
        <is>
          <t>THIRD</t>
        </is>
      </c>
      <c r="DT103" s="40" t="inlineStr">
        <is>
          <t>CHOOSE RATING</t>
        </is>
      </c>
      <c r="DU103" s="40" t="inlineStr">
        <is>
          <t>CHOOSE RATING</t>
        </is>
      </c>
      <c r="DV103" s="40" t="inlineStr">
        <is>
          <t>CHOOSE RATING</t>
        </is>
      </c>
      <c r="DW103" s="40" t="inlineStr">
        <is>
          <t>CHOOSE RATING</t>
        </is>
      </c>
      <c r="DX103" s="40" t="inlineStr">
        <is>
          <t>CHOOSE RATING</t>
        </is>
      </c>
      <c r="DY103" s="40" t="inlineStr">
        <is>
          <t>CHOOSE RATING</t>
        </is>
      </c>
      <c r="DZ103" s="53" t="inlineStr">
        <is>
          <t>CHOOSE RATING</t>
        </is>
      </c>
      <c r="EA103" s="54" t="inlineStr">
        <is>
          <t>Add the Tutor's Comment . . .</t>
        </is>
      </c>
      <c r="EB103" s="55" t="inlineStr">
        <is>
          <t>Choose Principals comment</t>
        </is>
      </c>
      <c r="EC103" s="56" t="n"/>
      <c r="ED103" s="57" t="inlineStr">
        <is>
          <t>Next Term Begins on Monday, 22nd September, 2025</t>
        </is>
      </c>
    </row>
    <row r="104" ht="30.6" customHeight="1" s="6">
      <c r="A104" s="18" t="n">
        <v>101</v>
      </c>
      <c r="B104" s="19" t="n"/>
      <c r="C104" s="20" t="n"/>
      <c r="D104" s="128" t="n"/>
      <c r="E104" s="21" t="n"/>
      <c r="F104" s="22" t="n"/>
      <c r="G104" s="22" t="n"/>
      <c r="H104" s="22" t="n"/>
      <c r="I104" s="26">
        <f>G104-H104</f>
        <v/>
      </c>
      <c r="J104" s="21" t="n"/>
      <c r="K104" s="21" t="n"/>
      <c r="L104" s="27">
        <f>SUM(J104:K104)</f>
        <v/>
      </c>
      <c r="M104" s="28" t="n"/>
      <c r="N104" s="28" t="n"/>
      <c r="O104" s="29">
        <f>IF(AND(L104=0,M104=0,N104=0),0,IF(AND(L104=0,M104=0),N104/1,IF(AND(L104=0,N104=0),M104/1,IF(AND(M104=0,N104=0),L104/1,IF(L104=0,FLOOR((M104+N104)/2,0.1),IF(M104=0,(L104+N104)/2,IF(N104=0,(M104+L104)/2,FLOOR(((L104+M104+N104)/3),0.1))))))))</f>
        <v/>
      </c>
      <c r="P104" s="21" t="n"/>
      <c r="Q104" s="21" t="n"/>
      <c r="R104" s="27">
        <f>SUM(P104:Q104)</f>
        <v/>
      </c>
      <c r="S104" s="28" t="n"/>
      <c r="T104" s="28" t="n"/>
      <c r="U104" s="29">
        <f>IF(AND(R104=0,S104=0,T104=0),0,IF(AND(R104=0,S104=0),T104/1,IF(AND(R104=0,T104=0),S104/1,IF(AND(S104=0,T104=0),R104/1,IF(R104=0,FLOOR((S104+T104)/2,0.1),IF(S104=0,(R104+T104)/2,IF(T104=0,(S104+R104)/2,FLOOR(((R104+S104+T104)/3),0.1))))))))</f>
        <v/>
      </c>
      <c r="V104" s="21" t="n"/>
      <c r="W104" s="21" t="n"/>
      <c r="X104" s="27">
        <f>SUM(V104:W104)</f>
        <v/>
      </c>
      <c r="Y104" s="28" t="n"/>
      <c r="Z104" s="28" t="n"/>
      <c r="AA104" s="29">
        <f>IF(AND(X104=0,Y104=0,Z104=0),0,IF(AND(X104=0,Y104=0),Z104/1,IF(AND(X104=0,Z104=0),Y104/1,IF(AND(Y104=0,Z104=0),X104/1,IF(X104=0,FLOOR((Y104+Z104)/2,0.1),IF(Y104=0,(X104+Z104)/2,IF(Z104=0,(Y104+X104)/2,FLOOR(((X104+Y104+Z104)/3),0.1))))))))</f>
        <v/>
      </c>
      <c r="AB104" s="21" t="n"/>
      <c r="AC104" s="21" t="n"/>
      <c r="AD104" s="27">
        <f>SUM(AB104:AC104)</f>
        <v/>
      </c>
      <c r="AE104" s="28" t="n"/>
      <c r="AF104" s="28" t="n"/>
      <c r="AG104" s="29">
        <f>IF(AND(AD104=0,AE104=0,AF104=0),0,IF(AND(AD104=0,AE104=0),AF104/1,IF(AND(AD104=0,AF104=0),AE104/1,IF(AND(AE104=0,AF104=0),AD104/1,IF(AD104=0,FLOOR((AE104+AF104)/2,0.1),IF(AE104=0,(AD104+AF104)/2,IF(AF104=0,(AE104+AD104)/2,FLOOR(((AD104+AE104+AF104)/3),0.1))))))))</f>
        <v/>
      </c>
      <c r="AH104" s="21" t="n"/>
      <c r="AI104" s="21" t="n"/>
      <c r="AJ104" s="27">
        <f>SUM(AH104:AI104)</f>
        <v/>
      </c>
      <c r="AK104" s="28" t="n"/>
      <c r="AL104" s="28" t="n"/>
      <c r="AM104" s="29">
        <f>IF(AND(AJ104=0,AK104=0,AL104=0),0,IF(AND(AJ104=0,AK104=0),AL104/1,IF(AND(AJ104=0,AL104=0),AK104/1,IF(AND(AK104=0,AL104=0),AJ104/1,IF(AJ104=0,FLOOR((AK104+AL104)/2,0.1),IF(AK104=0,(AJ104+AL104)/2,IF(AL104=0,(AK104+AJ104)/2,FLOOR(((AJ104+AK104+AL104)/3),0.1))))))))</f>
        <v/>
      </c>
      <c r="AN104" s="21" t="n"/>
      <c r="AO104" s="21" t="n"/>
      <c r="AP104" s="27">
        <f>SUM(AN104:AO104)</f>
        <v/>
      </c>
      <c r="AQ104" s="28" t="n"/>
      <c r="AR104" s="30" t="n"/>
      <c r="AS104" s="29">
        <f>IF(AND(AP104=0,AQ104=0,AR104=0),0,IF(AND(AP104=0,AQ104=0),AR104/1,IF(AND(AP104=0,AR104=0),AQ104/1,IF(AND(AQ104=0,AR104=0),AP104/1,IF(AP104=0,FLOOR((AQ104+AR104)/2,0.1),IF(AQ104=0,(AP104+AR104)/2,IF(AR104=0,(AQ104+AP104)/2,FLOOR(((AP104+AQ104+AR104)/3),0.1))))))))</f>
        <v/>
      </c>
      <c r="AT104" s="21" t="n"/>
      <c r="AU104" s="21" t="n"/>
      <c r="AV104" s="27">
        <f>SUM(AT104:AU104)</f>
        <v/>
      </c>
      <c r="AW104" s="28" t="n"/>
      <c r="AX104" s="30" t="n"/>
      <c r="AY104" s="29">
        <f>IF(AND(AV104=0,AW104=0,AX104=0),0,IF(AND(AV104=0,AW104=0),AX104/1,IF(AND(AV104=0,AX104=0),AW104/1,IF(AND(AW104=0,AX104=0),AV104/1,IF(AV104=0,FLOOR((AW104+AX104)/2,0.1),IF(AW104=0,(AV104+AX104)/2,IF(AX104=0,(AW104+AV104)/2,FLOOR(((AV104+AW104+AX104)/3),0.1))))))))</f>
        <v/>
      </c>
      <c r="AZ104" s="21" t="n"/>
      <c r="BA104" s="21" t="n"/>
      <c r="BB104" s="27">
        <f>SUM(AZ104:BA104)</f>
        <v/>
      </c>
      <c r="BC104" s="28" t="n"/>
      <c r="BD104" s="28" t="n"/>
      <c r="BE104" s="29">
        <f>IF(AND(BB104=0,BC104=0,BD104=0),0,IF(AND(BB104=0,BC104=0),BD104/1,IF(AND(BB104=0,BD104=0),BC104/1,IF(AND(BC104=0,BD104=0),BB104/1,IF(BB104=0,FLOOR((BC104+BD104)/2,0.1),IF(BC104=0,(BB104+BD104)/2,IF(BD104=0,(BC104+BB104)/2,FLOOR(((BB104+BC104+BD104)/3),0.1))))))))</f>
        <v/>
      </c>
      <c r="BF104" s="21" t="n"/>
      <c r="BG104" s="21" t="n"/>
      <c r="BH104" s="27">
        <f>SUM(BF104:BG104)</f>
        <v/>
      </c>
      <c r="BI104" s="28" t="n"/>
      <c r="BJ104" s="28" t="n"/>
      <c r="BK104" s="29">
        <f>IF(AND(BH104=0,BI104=0,BJ104=0),0,IF(AND(BH104=0,BI104=0),BJ104/1,IF(AND(BH104=0,BJ104=0),BI104/1,IF(AND(BI104=0,BJ104=0),BH104/1,IF(BH104=0,FLOOR((BI104+BJ104)/2,0.1),IF(BI104=0,(BH104+BJ104)/2,IF(BJ104=0,(BI104+BH104)/2,FLOOR(((BH104+BI104+BJ104)/3),0.1))))))))</f>
        <v/>
      </c>
      <c r="BL104" s="21" t="n"/>
      <c r="BM104" s="21" t="n"/>
      <c r="BN104" s="27">
        <f>SUM(BL104:BM104)</f>
        <v/>
      </c>
      <c r="BO104" s="28" t="n"/>
      <c r="BP104" s="31" t="n"/>
      <c r="BQ104" s="29">
        <f>IF(AND(BN104=0,BO104=0,BP104=0),0,IF(AND(BN104=0,BO104=0),BP104/1,IF(AND(BN104=0,BP104=0),BO104/1,IF(AND(BO104=0,BP104=0),BN104/1,IF(BN104=0,FLOOR((BO104+BP104)/2,0.1),IF(BO104=0,(BN104+BP104)/2,IF(BP104=0,(BO104+BN104)/2,FLOOR(((BN104+BO104+BP104)/3),0.1))))))))</f>
        <v/>
      </c>
      <c r="BR104" s="21" t="n"/>
      <c r="BS104" s="21" t="n"/>
      <c r="BT104" s="27">
        <f>SUM(BR104:BS104)</f>
        <v/>
      </c>
      <c r="BU104" s="28" t="n"/>
      <c r="BV104" s="31" t="n"/>
      <c r="BW104" s="29">
        <f>IF(AND(BT104=0,BU104=0,BV104=0),0,IF(AND(BT104=0,BU104=0),BV104/1,IF(AND(BT104=0,BV104=0),BU104/1,IF(AND(BU104=0,BV104=0),BT104/1,IF(BT104=0,FLOOR((BU104+BV104)/2,0.1),IF(BU104=0,(BT104+BV104)/2,IF(BV104=0,(BU104+BT104)/2,FLOOR(((BT104+BU104+BV104)/3),0.1))))))))</f>
        <v/>
      </c>
      <c r="BX104" s="21" t="n"/>
      <c r="BY104" s="21" t="n"/>
      <c r="BZ104" s="27">
        <f>SUM(BX104:BY104)</f>
        <v/>
      </c>
      <c r="CA104" s="28" t="n"/>
      <c r="CB104" s="31" t="n"/>
      <c r="CC104" s="29">
        <f>IF(AND(BZ104=0,CA104=0,CB104=0),0,IF(AND(BZ104=0,CA104=0),CB104/1,IF(AND(BZ104=0,CB104=0),CA104/1,IF(AND(CA104=0,CB104=0),BZ104/1,IF(BZ104=0,FLOOR((CA104+CB104)/2,0.1),IF(CA104=0,(BZ104+CB104)/2,IF(CB104=0,(CA104+BZ104)/2,FLOOR(((BZ104+CA104+CB104)/3),0.1))))))))</f>
        <v/>
      </c>
      <c r="CD104" s="21" t="n"/>
      <c r="CE104" s="21" t="n"/>
      <c r="CF104" s="27">
        <f>SUM(CD104:CE104)</f>
        <v/>
      </c>
      <c r="CG104" s="28" t="n"/>
      <c r="CH104" s="31" t="n"/>
      <c r="CI104" s="29">
        <f>IF(AND(CF104=0,CG104=0,CH104=0),0,IF(AND(CF104=0,CG104=0),CH104/1,IF(AND(CF104=0,CH104=0),CG104/1,IF(AND(CG104=0,CH104=0),CF104/1,IF(CF104=0,FLOOR((CG104+CH104)/2,0.1),IF(CG104=0,(CF104+CH104)/2,IF(CH104=0,(CG104+CF104)/2,FLOOR(((CF104+CG104+CH104)/3),0.1))))))))</f>
        <v/>
      </c>
      <c r="CJ104" s="21" t="n"/>
      <c r="CK104" s="21" t="n"/>
      <c r="CL104" s="27">
        <f>SUM(CJ104:CK104)</f>
        <v/>
      </c>
      <c r="CM104" s="28" t="n"/>
      <c r="CN104" s="31" t="n"/>
      <c r="CO104" s="29">
        <f>IF(AND(CL104=0,CM104=0,CN104=0),0,IF(AND(CL104=0,CM104=0),CN104/1,IF(AND(CL104=0,CN104=0),CM104/1,IF(AND(CM104=0,CN104=0),CL104/1,IF(CL104=0,FLOOR((CM104+CN104)/2,0.1),IF(CM104=0,(CL104+CN104)/2,IF(CN104=0,(CM104+CL104)/2,FLOOR(((CL104+CM104+CN104)/3),0.1))))))))</f>
        <v/>
      </c>
      <c r="CP104" s="21" t="n"/>
      <c r="CQ104" s="21" t="n"/>
      <c r="CR104" s="27">
        <f>SUM(CP104:CQ104)</f>
        <v/>
      </c>
      <c r="CS104" s="28" t="n"/>
      <c r="CT104" s="31" t="n"/>
      <c r="CU104" s="29">
        <f>IF(AND(CR104=0,CS104=0,CT104=0),0,IF(AND(CR104=0,CS104=0),CT104/1,IF(AND(CR104=0,CT104=0),CS104/1,IF(AND(CS104=0,CT104=0),CR104/1,IF(CR104=0,FLOOR((CS104+CT104)/2,0.1),IF(CS104=0,(CR104+CT104)/2,IF(CT104=0,(CS104+CR104)/2,FLOOR(((CR104+CS104+CT104)/3),0.1))))))))</f>
        <v/>
      </c>
      <c r="CV104" s="21" t="n"/>
      <c r="CW104" s="21" t="n"/>
      <c r="CX104" s="27">
        <f>SUM(CV104:CW104)</f>
        <v/>
      </c>
      <c r="CY104" s="28" t="n"/>
      <c r="CZ104" s="31" t="n"/>
      <c r="DA104" s="29">
        <f>IF(AND(CX104=0,CY104=0,CZ104=0),0,IF(AND(CX104=0,CY104=0),CZ104/1,IF(AND(CX104=0,CZ104=0),CY104/1,IF(AND(CY104=0,CZ104=0),CX104/1,IF(CX104=0,FLOOR((CY104+CZ104)/2,0.1),IF(CY104=0,(CX104+CZ104)/2,IF(CZ104=0,(CY104+CX104)/2,FLOOR(((CX104+CY104+CZ104)/3),0.1))))))))</f>
        <v/>
      </c>
      <c r="DB104" s="21" t="n"/>
      <c r="DC104" s="21" t="n"/>
      <c r="DD104" s="27">
        <f>SUM(DB104:DC104)</f>
        <v/>
      </c>
      <c r="DE104" s="28" t="n"/>
      <c r="DF104" s="31" t="n"/>
      <c r="DG104" s="29">
        <f>IF(AND(DD104=0,DE104=0,DF104=0),0,IF(AND(DD104=0,DE104=0),DF104/1,IF(AND(DD104=0,DF104=0),DE104/1,IF(AND(DE104=0,DF104=0),DD104/1,IF(DD104=0,FLOOR((DE104+DF104)/2,0.1),IF(DE104=0,(DD104+DF104)/2,IF(DF104=0,(DE104+DD104)/2,FLOOR(((DD104+DE104+DF104)/3),0.1))))))))</f>
        <v/>
      </c>
      <c r="DH104" s="34">
        <f>SUM(O104,U104,AA104,AG104,AM104,AS104,AY104,BE104,BK104,BQ104,BW104,CC104,CI104,CO104,CU104,DA104,DG104)</f>
        <v/>
      </c>
      <c r="DI104" s="39">
        <f>RANK(DH104,DH$4:DH$503)</f>
        <v/>
      </c>
      <c r="DJ104" s="40" t="inlineStr">
        <is>
          <t>CHOOSE RATING</t>
        </is>
      </c>
      <c r="DK104" s="40" t="inlineStr">
        <is>
          <t>CHOOSE RATING</t>
        </is>
      </c>
      <c r="DL104" s="40" t="inlineStr">
        <is>
          <t>CHOOSE RATING</t>
        </is>
      </c>
      <c r="DM104" s="40" t="inlineStr">
        <is>
          <t>CHOOSE RATING</t>
        </is>
      </c>
      <c r="DN104" s="40" t="inlineStr">
        <is>
          <t>CHOOSE RATING</t>
        </is>
      </c>
      <c r="DO104" s="40" t="inlineStr">
        <is>
          <t>CHOOSE RATING</t>
        </is>
      </c>
      <c r="DP104" s="40" t="inlineStr">
        <is>
          <t>CHOOSE RATING</t>
        </is>
      </c>
      <c r="DQ104" s="40" t="inlineStr">
        <is>
          <t>CHOOSE RATING</t>
        </is>
      </c>
      <c r="DR104" s="43" t="inlineStr">
        <is>
          <t>2024/2025</t>
        </is>
      </c>
      <c r="DS104" s="45" t="inlineStr">
        <is>
          <t>THIRD</t>
        </is>
      </c>
      <c r="DT104" s="40" t="inlineStr">
        <is>
          <t>CHOOSE RATING</t>
        </is>
      </c>
      <c r="DU104" s="40" t="inlineStr">
        <is>
          <t>CHOOSE RATING</t>
        </is>
      </c>
      <c r="DV104" s="40" t="inlineStr">
        <is>
          <t>CHOOSE RATING</t>
        </is>
      </c>
      <c r="DW104" s="40" t="inlineStr">
        <is>
          <t>CHOOSE RATING</t>
        </is>
      </c>
      <c r="DX104" s="40" t="inlineStr">
        <is>
          <t>CHOOSE RATING</t>
        </is>
      </c>
      <c r="DY104" s="40" t="inlineStr">
        <is>
          <t>CHOOSE RATING</t>
        </is>
      </c>
      <c r="DZ104" s="53" t="inlineStr">
        <is>
          <t>CHOOSE RATING</t>
        </is>
      </c>
      <c r="EA104" s="54" t="inlineStr">
        <is>
          <t>Add the Tutor's Comment . . .</t>
        </is>
      </c>
      <c r="EB104" s="55" t="inlineStr">
        <is>
          <t>Choose Principals comment</t>
        </is>
      </c>
      <c r="EC104" s="56" t="n"/>
      <c r="ED104" s="57" t="inlineStr">
        <is>
          <t>Next Term Begins on Monday, 22nd September, 2025</t>
        </is>
      </c>
    </row>
    <row r="105" ht="30.6" customHeight="1" s="6">
      <c r="A105" s="18" t="n">
        <v>102</v>
      </c>
      <c r="B105" s="19" t="n"/>
      <c r="C105" s="20" t="n"/>
      <c r="D105" s="128" t="n"/>
      <c r="E105" s="21" t="n"/>
      <c r="F105" s="22" t="n"/>
      <c r="G105" s="22" t="n"/>
      <c r="H105" s="22" t="n"/>
      <c r="I105" s="26">
        <f>G105-H105</f>
        <v/>
      </c>
      <c r="J105" s="21" t="n"/>
      <c r="K105" s="21" t="n"/>
      <c r="L105" s="27">
        <f>SUM(J105:K105)</f>
        <v/>
      </c>
      <c r="M105" s="28" t="n"/>
      <c r="N105" s="28" t="n"/>
      <c r="O105" s="29">
        <f>IF(AND(L105=0,M105=0,N105=0),0,IF(AND(L105=0,M105=0),N105/1,IF(AND(L105=0,N105=0),M105/1,IF(AND(M105=0,N105=0),L105/1,IF(L105=0,FLOOR((M105+N105)/2,0.1),IF(M105=0,(L105+N105)/2,IF(N105=0,(M105+L105)/2,FLOOR(((L105+M105+N105)/3),0.1))))))))</f>
        <v/>
      </c>
      <c r="P105" s="21" t="n"/>
      <c r="Q105" s="21" t="n"/>
      <c r="R105" s="27">
        <f>SUM(P105:Q105)</f>
        <v/>
      </c>
      <c r="S105" s="28" t="n"/>
      <c r="T105" s="28" t="n"/>
      <c r="U105" s="29">
        <f>IF(AND(R105=0,S105=0,T105=0),0,IF(AND(R105=0,S105=0),T105/1,IF(AND(R105=0,T105=0),S105/1,IF(AND(S105=0,T105=0),R105/1,IF(R105=0,FLOOR((S105+T105)/2,0.1),IF(S105=0,(R105+T105)/2,IF(T105=0,(S105+R105)/2,FLOOR(((R105+S105+T105)/3),0.1))))))))</f>
        <v/>
      </c>
      <c r="V105" s="21" t="n"/>
      <c r="W105" s="21" t="n"/>
      <c r="X105" s="27">
        <f>SUM(V105:W105)</f>
        <v/>
      </c>
      <c r="Y105" s="28" t="n"/>
      <c r="Z105" s="28" t="n"/>
      <c r="AA105" s="29">
        <f>IF(AND(X105=0,Y105=0,Z105=0),0,IF(AND(X105=0,Y105=0),Z105/1,IF(AND(X105=0,Z105=0),Y105/1,IF(AND(Y105=0,Z105=0),X105/1,IF(X105=0,FLOOR((Y105+Z105)/2,0.1),IF(Y105=0,(X105+Z105)/2,IF(Z105=0,(Y105+X105)/2,FLOOR(((X105+Y105+Z105)/3),0.1))))))))</f>
        <v/>
      </c>
      <c r="AB105" s="21" t="n"/>
      <c r="AC105" s="21" t="n"/>
      <c r="AD105" s="27">
        <f>SUM(AB105:AC105)</f>
        <v/>
      </c>
      <c r="AE105" s="28" t="n"/>
      <c r="AF105" s="28" t="n"/>
      <c r="AG105" s="29">
        <f>IF(AND(AD105=0,AE105=0,AF105=0),0,IF(AND(AD105=0,AE105=0),AF105/1,IF(AND(AD105=0,AF105=0),AE105/1,IF(AND(AE105=0,AF105=0),AD105/1,IF(AD105=0,FLOOR((AE105+AF105)/2,0.1),IF(AE105=0,(AD105+AF105)/2,IF(AF105=0,(AE105+AD105)/2,FLOOR(((AD105+AE105+AF105)/3),0.1))))))))</f>
        <v/>
      </c>
      <c r="AH105" s="21" t="n"/>
      <c r="AI105" s="21" t="n"/>
      <c r="AJ105" s="27">
        <f>SUM(AH105:AI105)</f>
        <v/>
      </c>
      <c r="AK105" s="28" t="n"/>
      <c r="AL105" s="28" t="n"/>
      <c r="AM105" s="29">
        <f>IF(AND(AJ105=0,AK105=0,AL105=0),0,IF(AND(AJ105=0,AK105=0),AL105/1,IF(AND(AJ105=0,AL105=0),AK105/1,IF(AND(AK105=0,AL105=0),AJ105/1,IF(AJ105=0,FLOOR((AK105+AL105)/2,0.1),IF(AK105=0,(AJ105+AL105)/2,IF(AL105=0,(AK105+AJ105)/2,FLOOR(((AJ105+AK105+AL105)/3),0.1))))))))</f>
        <v/>
      </c>
      <c r="AN105" s="21" t="n"/>
      <c r="AO105" s="21" t="n"/>
      <c r="AP105" s="27">
        <f>SUM(AN105:AO105)</f>
        <v/>
      </c>
      <c r="AQ105" s="28" t="n"/>
      <c r="AR105" s="30" t="n"/>
      <c r="AS105" s="29">
        <f>IF(AND(AP105=0,AQ105=0,AR105=0),0,IF(AND(AP105=0,AQ105=0),AR105/1,IF(AND(AP105=0,AR105=0),AQ105/1,IF(AND(AQ105=0,AR105=0),AP105/1,IF(AP105=0,FLOOR((AQ105+AR105)/2,0.1),IF(AQ105=0,(AP105+AR105)/2,IF(AR105=0,(AQ105+AP105)/2,FLOOR(((AP105+AQ105+AR105)/3),0.1))))))))</f>
        <v/>
      </c>
      <c r="AT105" s="21" t="n"/>
      <c r="AU105" s="21" t="n"/>
      <c r="AV105" s="27">
        <f>SUM(AT105:AU105)</f>
        <v/>
      </c>
      <c r="AW105" s="28" t="n"/>
      <c r="AX105" s="30" t="n"/>
      <c r="AY105" s="29">
        <f>IF(AND(AV105=0,AW105=0,AX105=0),0,IF(AND(AV105=0,AW105=0),AX105/1,IF(AND(AV105=0,AX105=0),AW105/1,IF(AND(AW105=0,AX105=0),AV105/1,IF(AV105=0,FLOOR((AW105+AX105)/2,0.1),IF(AW105=0,(AV105+AX105)/2,IF(AX105=0,(AW105+AV105)/2,FLOOR(((AV105+AW105+AX105)/3),0.1))))))))</f>
        <v/>
      </c>
      <c r="AZ105" s="21" t="n"/>
      <c r="BA105" s="21" t="n"/>
      <c r="BB105" s="27">
        <f>SUM(AZ105:BA105)</f>
        <v/>
      </c>
      <c r="BC105" s="28" t="n"/>
      <c r="BD105" s="28" t="n"/>
      <c r="BE105" s="29">
        <f>IF(AND(BB105=0,BC105=0,BD105=0),0,IF(AND(BB105=0,BC105=0),BD105/1,IF(AND(BB105=0,BD105=0),BC105/1,IF(AND(BC105=0,BD105=0),BB105/1,IF(BB105=0,FLOOR((BC105+BD105)/2,0.1),IF(BC105=0,(BB105+BD105)/2,IF(BD105=0,(BC105+BB105)/2,FLOOR(((BB105+BC105+BD105)/3),0.1))))))))</f>
        <v/>
      </c>
      <c r="BF105" s="21" t="n"/>
      <c r="BG105" s="21" t="n"/>
      <c r="BH105" s="27">
        <f>SUM(BF105:BG105)</f>
        <v/>
      </c>
      <c r="BI105" s="28" t="n"/>
      <c r="BJ105" s="28" t="n"/>
      <c r="BK105" s="29">
        <f>IF(AND(BH105=0,BI105=0,BJ105=0),0,IF(AND(BH105=0,BI105=0),BJ105/1,IF(AND(BH105=0,BJ105=0),BI105/1,IF(AND(BI105=0,BJ105=0),BH105/1,IF(BH105=0,FLOOR((BI105+BJ105)/2,0.1),IF(BI105=0,(BH105+BJ105)/2,IF(BJ105=0,(BI105+BH105)/2,FLOOR(((BH105+BI105+BJ105)/3),0.1))))))))</f>
        <v/>
      </c>
      <c r="BL105" s="21" t="n"/>
      <c r="BM105" s="21" t="n"/>
      <c r="BN105" s="27">
        <f>SUM(BL105:BM105)</f>
        <v/>
      </c>
      <c r="BO105" s="28" t="n"/>
      <c r="BP105" s="31" t="n"/>
      <c r="BQ105" s="29">
        <f>IF(AND(BN105=0,BO105=0,BP105=0),0,IF(AND(BN105=0,BO105=0),BP105/1,IF(AND(BN105=0,BP105=0),BO105/1,IF(AND(BO105=0,BP105=0),BN105/1,IF(BN105=0,FLOOR((BO105+BP105)/2,0.1),IF(BO105=0,(BN105+BP105)/2,IF(BP105=0,(BO105+BN105)/2,FLOOR(((BN105+BO105+BP105)/3),0.1))))))))</f>
        <v/>
      </c>
      <c r="BR105" s="21" t="n"/>
      <c r="BS105" s="21" t="n"/>
      <c r="BT105" s="27">
        <f>SUM(BR105:BS105)</f>
        <v/>
      </c>
      <c r="BU105" s="28" t="n"/>
      <c r="BV105" s="31" t="n"/>
      <c r="BW105" s="29">
        <f>IF(AND(BT105=0,BU105=0,BV105=0),0,IF(AND(BT105=0,BU105=0),BV105/1,IF(AND(BT105=0,BV105=0),BU105/1,IF(AND(BU105=0,BV105=0),BT105/1,IF(BT105=0,FLOOR((BU105+BV105)/2,0.1),IF(BU105=0,(BT105+BV105)/2,IF(BV105=0,(BU105+BT105)/2,FLOOR(((BT105+BU105+BV105)/3),0.1))))))))</f>
        <v/>
      </c>
      <c r="BX105" s="21" t="n"/>
      <c r="BY105" s="21" t="n"/>
      <c r="BZ105" s="27">
        <f>SUM(BX105:BY105)</f>
        <v/>
      </c>
      <c r="CA105" s="28" t="n"/>
      <c r="CB105" s="31" t="n"/>
      <c r="CC105" s="29">
        <f>IF(AND(BZ105=0,CA105=0,CB105=0),0,IF(AND(BZ105=0,CA105=0),CB105/1,IF(AND(BZ105=0,CB105=0),CA105/1,IF(AND(CA105=0,CB105=0),BZ105/1,IF(BZ105=0,FLOOR((CA105+CB105)/2,0.1),IF(CA105=0,(BZ105+CB105)/2,IF(CB105=0,(CA105+BZ105)/2,FLOOR(((BZ105+CA105+CB105)/3),0.1))))))))</f>
        <v/>
      </c>
      <c r="CD105" s="21" t="n"/>
      <c r="CE105" s="21" t="n"/>
      <c r="CF105" s="27">
        <f>SUM(CD105:CE105)</f>
        <v/>
      </c>
      <c r="CG105" s="28" t="n"/>
      <c r="CH105" s="31" t="n"/>
      <c r="CI105" s="29">
        <f>IF(AND(CF105=0,CG105=0,CH105=0),0,IF(AND(CF105=0,CG105=0),CH105/1,IF(AND(CF105=0,CH105=0),CG105/1,IF(AND(CG105=0,CH105=0),CF105/1,IF(CF105=0,FLOOR((CG105+CH105)/2,0.1),IF(CG105=0,(CF105+CH105)/2,IF(CH105=0,(CG105+CF105)/2,FLOOR(((CF105+CG105+CH105)/3),0.1))))))))</f>
        <v/>
      </c>
      <c r="CJ105" s="21" t="n"/>
      <c r="CK105" s="21" t="n"/>
      <c r="CL105" s="27">
        <f>SUM(CJ105:CK105)</f>
        <v/>
      </c>
      <c r="CM105" s="28" t="n"/>
      <c r="CN105" s="31" t="n"/>
      <c r="CO105" s="29">
        <f>IF(AND(CL105=0,CM105=0,CN105=0),0,IF(AND(CL105=0,CM105=0),CN105/1,IF(AND(CL105=0,CN105=0),CM105/1,IF(AND(CM105=0,CN105=0),CL105/1,IF(CL105=0,FLOOR((CM105+CN105)/2,0.1),IF(CM105=0,(CL105+CN105)/2,IF(CN105=0,(CM105+CL105)/2,FLOOR(((CL105+CM105+CN105)/3),0.1))))))))</f>
        <v/>
      </c>
      <c r="CP105" s="21" t="n"/>
      <c r="CQ105" s="21" t="n"/>
      <c r="CR105" s="27">
        <f>SUM(CP105:CQ105)</f>
        <v/>
      </c>
      <c r="CS105" s="28" t="n"/>
      <c r="CT105" s="31" t="n"/>
      <c r="CU105" s="29">
        <f>IF(AND(CR105=0,CS105=0,CT105=0),0,IF(AND(CR105=0,CS105=0),CT105/1,IF(AND(CR105=0,CT105=0),CS105/1,IF(AND(CS105=0,CT105=0),CR105/1,IF(CR105=0,FLOOR((CS105+CT105)/2,0.1),IF(CS105=0,(CR105+CT105)/2,IF(CT105=0,(CS105+CR105)/2,FLOOR(((CR105+CS105+CT105)/3),0.1))))))))</f>
        <v/>
      </c>
      <c r="CV105" s="21" t="n"/>
      <c r="CW105" s="21" t="n"/>
      <c r="CX105" s="27">
        <f>SUM(CV105:CW105)</f>
        <v/>
      </c>
      <c r="CY105" s="28" t="n"/>
      <c r="CZ105" s="31" t="n"/>
      <c r="DA105" s="29">
        <f>IF(AND(CX105=0,CY105=0,CZ105=0),0,IF(AND(CX105=0,CY105=0),CZ105/1,IF(AND(CX105=0,CZ105=0),CY105/1,IF(AND(CY105=0,CZ105=0),CX105/1,IF(CX105=0,FLOOR((CY105+CZ105)/2,0.1),IF(CY105=0,(CX105+CZ105)/2,IF(CZ105=0,(CY105+CX105)/2,FLOOR(((CX105+CY105+CZ105)/3),0.1))))))))</f>
        <v/>
      </c>
      <c r="DB105" s="21" t="n"/>
      <c r="DC105" s="21" t="n"/>
      <c r="DD105" s="27">
        <f>SUM(DB105:DC105)</f>
        <v/>
      </c>
      <c r="DE105" s="28" t="n"/>
      <c r="DF105" s="31" t="n"/>
      <c r="DG105" s="29">
        <f>IF(AND(DD105=0,DE105=0,DF105=0),0,IF(AND(DD105=0,DE105=0),DF105/1,IF(AND(DD105=0,DF105=0),DE105/1,IF(AND(DE105=0,DF105=0),DD105/1,IF(DD105=0,FLOOR((DE105+DF105)/2,0.1),IF(DE105=0,(DD105+DF105)/2,IF(DF105=0,(DE105+DD105)/2,FLOOR(((DD105+DE105+DF105)/3),0.1))))))))</f>
        <v/>
      </c>
      <c r="DH105" s="34">
        <f>SUM(O105,U105,AA105,AG105,AM105,AS105,AY105,BE105,BK105,BQ105,BW105,CC105,CI105,CO105,CU105,DA105,DG105)</f>
        <v/>
      </c>
      <c r="DI105" s="39">
        <f>RANK(DH105,DH$4:DH$503)</f>
        <v/>
      </c>
      <c r="DJ105" s="40" t="inlineStr">
        <is>
          <t>CHOOSE RATING</t>
        </is>
      </c>
      <c r="DK105" s="40" t="inlineStr">
        <is>
          <t>CHOOSE RATING</t>
        </is>
      </c>
      <c r="DL105" s="40" t="inlineStr">
        <is>
          <t>CHOOSE RATING</t>
        </is>
      </c>
      <c r="DM105" s="40" t="inlineStr">
        <is>
          <t>CHOOSE RATING</t>
        </is>
      </c>
      <c r="DN105" s="40" t="inlineStr">
        <is>
          <t>CHOOSE RATING</t>
        </is>
      </c>
      <c r="DO105" s="40" t="inlineStr">
        <is>
          <t>CHOOSE RATING</t>
        </is>
      </c>
      <c r="DP105" s="40" t="inlineStr">
        <is>
          <t>CHOOSE RATING</t>
        </is>
      </c>
      <c r="DQ105" s="40" t="inlineStr">
        <is>
          <t>CHOOSE RATING</t>
        </is>
      </c>
      <c r="DR105" s="43" t="inlineStr">
        <is>
          <t>2024/2025</t>
        </is>
      </c>
      <c r="DS105" s="45" t="inlineStr">
        <is>
          <t>THIRD</t>
        </is>
      </c>
      <c r="DT105" s="40" t="inlineStr">
        <is>
          <t>CHOOSE RATING</t>
        </is>
      </c>
      <c r="DU105" s="40" t="inlineStr">
        <is>
          <t>CHOOSE RATING</t>
        </is>
      </c>
      <c r="DV105" s="40" t="inlineStr">
        <is>
          <t>CHOOSE RATING</t>
        </is>
      </c>
      <c r="DW105" s="40" t="inlineStr">
        <is>
          <t>CHOOSE RATING</t>
        </is>
      </c>
      <c r="DX105" s="40" t="inlineStr">
        <is>
          <t>CHOOSE RATING</t>
        </is>
      </c>
      <c r="DY105" s="40" t="inlineStr">
        <is>
          <t>CHOOSE RATING</t>
        </is>
      </c>
      <c r="DZ105" s="53" t="inlineStr">
        <is>
          <t>CHOOSE RATING</t>
        </is>
      </c>
      <c r="EA105" s="54" t="inlineStr">
        <is>
          <t>Add the Tutor's Comment . . .</t>
        </is>
      </c>
      <c r="EB105" s="55" t="inlineStr">
        <is>
          <t>Choose Principals comment</t>
        </is>
      </c>
      <c r="EC105" s="56" t="n"/>
      <c r="ED105" s="57" t="inlineStr">
        <is>
          <t>Next Term Begins on Monday, 22nd September, 2025</t>
        </is>
      </c>
    </row>
    <row r="106" ht="30.6" customHeight="1" s="6">
      <c r="A106" s="18" t="n">
        <v>103</v>
      </c>
      <c r="B106" s="19" t="n"/>
      <c r="C106" s="20" t="n"/>
      <c r="D106" s="128" t="n"/>
      <c r="E106" s="21" t="n"/>
      <c r="F106" s="22" t="n"/>
      <c r="G106" s="22" t="n"/>
      <c r="H106" s="22" t="n"/>
      <c r="I106" s="26">
        <f>G106-H106</f>
        <v/>
      </c>
      <c r="J106" s="21" t="n"/>
      <c r="K106" s="21" t="n"/>
      <c r="L106" s="27">
        <f>SUM(J106:K106)</f>
        <v/>
      </c>
      <c r="M106" s="28" t="n"/>
      <c r="N106" s="28" t="n"/>
      <c r="O106" s="29">
        <f>IF(AND(L106=0,M106=0,N106=0),0,IF(AND(L106=0,M106=0),N106/1,IF(AND(L106=0,N106=0),M106/1,IF(AND(M106=0,N106=0),L106/1,IF(L106=0,FLOOR((M106+N106)/2,0.1),IF(M106=0,(L106+N106)/2,IF(N106=0,(M106+L106)/2,FLOOR(((L106+M106+N106)/3),0.1))))))))</f>
        <v/>
      </c>
      <c r="P106" s="21" t="n"/>
      <c r="Q106" s="21" t="n"/>
      <c r="R106" s="27">
        <f>SUM(P106:Q106)</f>
        <v/>
      </c>
      <c r="S106" s="28" t="n"/>
      <c r="T106" s="28" t="n"/>
      <c r="U106" s="29">
        <f>IF(AND(R106=0,S106=0,T106=0),0,IF(AND(R106=0,S106=0),T106/1,IF(AND(R106=0,T106=0),S106/1,IF(AND(S106=0,T106=0),R106/1,IF(R106=0,FLOOR((S106+T106)/2,0.1),IF(S106=0,(R106+T106)/2,IF(T106=0,(S106+R106)/2,FLOOR(((R106+S106+T106)/3),0.1))))))))</f>
        <v/>
      </c>
      <c r="V106" s="21" t="n"/>
      <c r="W106" s="21" t="n"/>
      <c r="X106" s="27">
        <f>SUM(V106:W106)</f>
        <v/>
      </c>
      <c r="Y106" s="28" t="n"/>
      <c r="Z106" s="28" t="n"/>
      <c r="AA106" s="29">
        <f>IF(AND(X106=0,Y106=0,Z106=0),0,IF(AND(X106=0,Y106=0),Z106/1,IF(AND(X106=0,Z106=0),Y106/1,IF(AND(Y106=0,Z106=0),X106/1,IF(X106=0,FLOOR((Y106+Z106)/2,0.1),IF(Y106=0,(X106+Z106)/2,IF(Z106=0,(Y106+X106)/2,FLOOR(((X106+Y106+Z106)/3),0.1))))))))</f>
        <v/>
      </c>
      <c r="AB106" s="21" t="n"/>
      <c r="AC106" s="21" t="n"/>
      <c r="AD106" s="27">
        <f>SUM(AB106:AC106)</f>
        <v/>
      </c>
      <c r="AE106" s="28" t="n"/>
      <c r="AF106" s="28" t="n"/>
      <c r="AG106" s="29">
        <f>IF(AND(AD106=0,AE106=0,AF106=0),0,IF(AND(AD106=0,AE106=0),AF106/1,IF(AND(AD106=0,AF106=0),AE106/1,IF(AND(AE106=0,AF106=0),AD106/1,IF(AD106=0,FLOOR((AE106+AF106)/2,0.1),IF(AE106=0,(AD106+AF106)/2,IF(AF106=0,(AE106+AD106)/2,FLOOR(((AD106+AE106+AF106)/3),0.1))))))))</f>
        <v/>
      </c>
      <c r="AH106" s="21" t="n"/>
      <c r="AI106" s="21" t="n"/>
      <c r="AJ106" s="27">
        <f>SUM(AH106:AI106)</f>
        <v/>
      </c>
      <c r="AK106" s="28" t="n"/>
      <c r="AL106" s="28" t="n"/>
      <c r="AM106" s="29">
        <f>IF(AND(AJ106=0,AK106=0,AL106=0),0,IF(AND(AJ106=0,AK106=0),AL106/1,IF(AND(AJ106=0,AL106=0),AK106/1,IF(AND(AK106=0,AL106=0),AJ106/1,IF(AJ106=0,FLOOR((AK106+AL106)/2,0.1),IF(AK106=0,(AJ106+AL106)/2,IF(AL106=0,(AK106+AJ106)/2,FLOOR(((AJ106+AK106+AL106)/3),0.1))))))))</f>
        <v/>
      </c>
      <c r="AN106" s="21" t="n"/>
      <c r="AO106" s="21" t="n"/>
      <c r="AP106" s="27">
        <f>SUM(AN106:AO106)</f>
        <v/>
      </c>
      <c r="AQ106" s="28" t="n"/>
      <c r="AR106" s="30" t="n"/>
      <c r="AS106" s="29">
        <f>IF(AND(AP106=0,AQ106=0,AR106=0),0,IF(AND(AP106=0,AQ106=0),AR106/1,IF(AND(AP106=0,AR106=0),AQ106/1,IF(AND(AQ106=0,AR106=0),AP106/1,IF(AP106=0,FLOOR((AQ106+AR106)/2,0.1),IF(AQ106=0,(AP106+AR106)/2,IF(AR106=0,(AQ106+AP106)/2,FLOOR(((AP106+AQ106+AR106)/3),0.1))))))))</f>
        <v/>
      </c>
      <c r="AT106" s="21" t="n"/>
      <c r="AU106" s="21" t="n"/>
      <c r="AV106" s="27">
        <f>SUM(AT106:AU106)</f>
        <v/>
      </c>
      <c r="AW106" s="28" t="n"/>
      <c r="AX106" s="30" t="n"/>
      <c r="AY106" s="29">
        <f>IF(AND(AV106=0,AW106=0,AX106=0),0,IF(AND(AV106=0,AW106=0),AX106/1,IF(AND(AV106=0,AX106=0),AW106/1,IF(AND(AW106=0,AX106=0),AV106/1,IF(AV106=0,FLOOR((AW106+AX106)/2,0.1),IF(AW106=0,(AV106+AX106)/2,IF(AX106=0,(AW106+AV106)/2,FLOOR(((AV106+AW106+AX106)/3),0.1))))))))</f>
        <v/>
      </c>
      <c r="AZ106" s="21" t="n"/>
      <c r="BA106" s="21" t="n"/>
      <c r="BB106" s="27">
        <f>SUM(AZ106:BA106)</f>
        <v/>
      </c>
      <c r="BC106" s="28" t="n"/>
      <c r="BD106" s="28" t="n"/>
      <c r="BE106" s="29">
        <f>IF(AND(BB106=0,BC106=0,BD106=0),0,IF(AND(BB106=0,BC106=0),BD106/1,IF(AND(BB106=0,BD106=0),BC106/1,IF(AND(BC106=0,BD106=0),BB106/1,IF(BB106=0,FLOOR((BC106+BD106)/2,0.1),IF(BC106=0,(BB106+BD106)/2,IF(BD106=0,(BC106+BB106)/2,FLOOR(((BB106+BC106+BD106)/3),0.1))))))))</f>
        <v/>
      </c>
      <c r="BF106" s="21" t="n"/>
      <c r="BG106" s="21" t="n"/>
      <c r="BH106" s="27">
        <f>SUM(BF106:BG106)</f>
        <v/>
      </c>
      <c r="BI106" s="28" t="n"/>
      <c r="BJ106" s="28" t="n"/>
      <c r="BK106" s="29">
        <f>IF(AND(BH106=0,BI106=0,BJ106=0),0,IF(AND(BH106=0,BI106=0),BJ106/1,IF(AND(BH106=0,BJ106=0),BI106/1,IF(AND(BI106=0,BJ106=0),BH106/1,IF(BH106=0,FLOOR((BI106+BJ106)/2,0.1),IF(BI106=0,(BH106+BJ106)/2,IF(BJ106=0,(BI106+BH106)/2,FLOOR(((BH106+BI106+BJ106)/3),0.1))))))))</f>
        <v/>
      </c>
      <c r="BL106" s="21" t="n"/>
      <c r="BM106" s="21" t="n"/>
      <c r="BN106" s="27">
        <f>SUM(BL106:BM106)</f>
        <v/>
      </c>
      <c r="BO106" s="28" t="n"/>
      <c r="BP106" s="31" t="n"/>
      <c r="BQ106" s="29">
        <f>IF(AND(BN106=0,BO106=0,BP106=0),0,IF(AND(BN106=0,BO106=0),BP106/1,IF(AND(BN106=0,BP106=0),BO106/1,IF(AND(BO106=0,BP106=0),BN106/1,IF(BN106=0,FLOOR((BO106+BP106)/2,0.1),IF(BO106=0,(BN106+BP106)/2,IF(BP106=0,(BO106+BN106)/2,FLOOR(((BN106+BO106+BP106)/3),0.1))))))))</f>
        <v/>
      </c>
      <c r="BR106" s="21" t="n"/>
      <c r="BS106" s="21" t="n"/>
      <c r="BT106" s="27">
        <f>SUM(BR106:BS106)</f>
        <v/>
      </c>
      <c r="BU106" s="28" t="n"/>
      <c r="BV106" s="31" t="n"/>
      <c r="BW106" s="29">
        <f>IF(AND(BT106=0,BU106=0,BV106=0),0,IF(AND(BT106=0,BU106=0),BV106/1,IF(AND(BT106=0,BV106=0),BU106/1,IF(AND(BU106=0,BV106=0),BT106/1,IF(BT106=0,FLOOR((BU106+BV106)/2,0.1),IF(BU106=0,(BT106+BV106)/2,IF(BV106=0,(BU106+BT106)/2,FLOOR(((BT106+BU106+BV106)/3),0.1))))))))</f>
        <v/>
      </c>
      <c r="BX106" s="21" t="n"/>
      <c r="BY106" s="21" t="n"/>
      <c r="BZ106" s="27">
        <f>SUM(BX106:BY106)</f>
        <v/>
      </c>
      <c r="CA106" s="28" t="n"/>
      <c r="CB106" s="31" t="n"/>
      <c r="CC106" s="29">
        <f>IF(AND(BZ106=0,CA106=0,CB106=0),0,IF(AND(BZ106=0,CA106=0),CB106/1,IF(AND(BZ106=0,CB106=0),CA106/1,IF(AND(CA106=0,CB106=0),BZ106/1,IF(BZ106=0,FLOOR((CA106+CB106)/2,0.1),IF(CA106=0,(BZ106+CB106)/2,IF(CB106=0,(CA106+BZ106)/2,FLOOR(((BZ106+CA106+CB106)/3),0.1))))))))</f>
        <v/>
      </c>
      <c r="CD106" s="21" t="n"/>
      <c r="CE106" s="21" t="n"/>
      <c r="CF106" s="27">
        <f>SUM(CD106:CE106)</f>
        <v/>
      </c>
      <c r="CG106" s="28" t="n"/>
      <c r="CH106" s="31" t="n"/>
      <c r="CI106" s="29">
        <f>IF(AND(CF106=0,CG106=0,CH106=0),0,IF(AND(CF106=0,CG106=0),CH106/1,IF(AND(CF106=0,CH106=0),CG106/1,IF(AND(CG106=0,CH106=0),CF106/1,IF(CF106=0,FLOOR((CG106+CH106)/2,0.1),IF(CG106=0,(CF106+CH106)/2,IF(CH106=0,(CG106+CF106)/2,FLOOR(((CF106+CG106+CH106)/3),0.1))))))))</f>
        <v/>
      </c>
      <c r="CJ106" s="21" t="n"/>
      <c r="CK106" s="21" t="n"/>
      <c r="CL106" s="27">
        <f>SUM(CJ106:CK106)</f>
        <v/>
      </c>
      <c r="CM106" s="28" t="n"/>
      <c r="CN106" s="31" t="n"/>
      <c r="CO106" s="29">
        <f>IF(AND(CL106=0,CM106=0,CN106=0),0,IF(AND(CL106=0,CM106=0),CN106/1,IF(AND(CL106=0,CN106=0),CM106/1,IF(AND(CM106=0,CN106=0),CL106/1,IF(CL106=0,FLOOR((CM106+CN106)/2,0.1),IF(CM106=0,(CL106+CN106)/2,IF(CN106=0,(CM106+CL106)/2,FLOOR(((CL106+CM106+CN106)/3),0.1))))))))</f>
        <v/>
      </c>
      <c r="CP106" s="21" t="n"/>
      <c r="CQ106" s="21" t="n"/>
      <c r="CR106" s="27">
        <f>SUM(CP106:CQ106)</f>
        <v/>
      </c>
      <c r="CS106" s="28" t="n"/>
      <c r="CT106" s="31" t="n"/>
      <c r="CU106" s="29">
        <f>IF(AND(CR106=0,CS106=0,CT106=0),0,IF(AND(CR106=0,CS106=0),CT106/1,IF(AND(CR106=0,CT106=0),CS106/1,IF(AND(CS106=0,CT106=0),CR106/1,IF(CR106=0,FLOOR((CS106+CT106)/2,0.1),IF(CS106=0,(CR106+CT106)/2,IF(CT106=0,(CS106+CR106)/2,FLOOR(((CR106+CS106+CT106)/3),0.1))))))))</f>
        <v/>
      </c>
      <c r="CV106" s="21" t="n"/>
      <c r="CW106" s="21" t="n"/>
      <c r="CX106" s="27">
        <f>SUM(CV106:CW106)</f>
        <v/>
      </c>
      <c r="CY106" s="28" t="n"/>
      <c r="CZ106" s="31" t="n"/>
      <c r="DA106" s="29">
        <f>IF(AND(CX106=0,CY106=0,CZ106=0),0,IF(AND(CX106=0,CY106=0),CZ106/1,IF(AND(CX106=0,CZ106=0),CY106/1,IF(AND(CY106=0,CZ106=0),CX106/1,IF(CX106=0,FLOOR((CY106+CZ106)/2,0.1),IF(CY106=0,(CX106+CZ106)/2,IF(CZ106=0,(CY106+CX106)/2,FLOOR(((CX106+CY106+CZ106)/3),0.1))))))))</f>
        <v/>
      </c>
      <c r="DB106" s="21" t="n"/>
      <c r="DC106" s="21" t="n"/>
      <c r="DD106" s="27">
        <f>SUM(DB106:DC106)</f>
        <v/>
      </c>
      <c r="DE106" s="28" t="n"/>
      <c r="DF106" s="31" t="n"/>
      <c r="DG106" s="29">
        <f>IF(AND(DD106=0,DE106=0,DF106=0),0,IF(AND(DD106=0,DE106=0),DF106/1,IF(AND(DD106=0,DF106=0),DE106/1,IF(AND(DE106=0,DF106=0),DD106/1,IF(DD106=0,FLOOR((DE106+DF106)/2,0.1),IF(DE106=0,(DD106+DF106)/2,IF(DF106=0,(DE106+DD106)/2,FLOOR(((DD106+DE106+DF106)/3),0.1))))))))</f>
        <v/>
      </c>
      <c r="DH106" s="34">
        <f>SUM(O106,U106,AA106,AG106,AM106,AS106,AY106,BE106,BK106,BQ106,BW106,CC106,CI106,CO106,CU106,DA106,DG106)</f>
        <v/>
      </c>
      <c r="DI106" s="39">
        <f>RANK(DH106,DH$4:DH$503)</f>
        <v/>
      </c>
      <c r="DJ106" s="40" t="inlineStr">
        <is>
          <t>CHOOSE RATING</t>
        </is>
      </c>
      <c r="DK106" s="40" t="inlineStr">
        <is>
          <t>CHOOSE RATING</t>
        </is>
      </c>
      <c r="DL106" s="40" t="inlineStr">
        <is>
          <t>CHOOSE RATING</t>
        </is>
      </c>
      <c r="DM106" s="40" t="inlineStr">
        <is>
          <t>CHOOSE RATING</t>
        </is>
      </c>
      <c r="DN106" s="40" t="inlineStr">
        <is>
          <t>CHOOSE RATING</t>
        </is>
      </c>
      <c r="DO106" s="40" t="inlineStr">
        <is>
          <t>CHOOSE RATING</t>
        </is>
      </c>
      <c r="DP106" s="40" t="inlineStr">
        <is>
          <t>CHOOSE RATING</t>
        </is>
      </c>
      <c r="DQ106" s="40" t="inlineStr">
        <is>
          <t>CHOOSE RATING</t>
        </is>
      </c>
      <c r="DR106" s="43" t="inlineStr">
        <is>
          <t>2024/2025</t>
        </is>
      </c>
      <c r="DS106" s="45" t="inlineStr">
        <is>
          <t>THIRD</t>
        </is>
      </c>
      <c r="DT106" s="40" t="inlineStr">
        <is>
          <t>CHOOSE RATING</t>
        </is>
      </c>
      <c r="DU106" s="40" t="inlineStr">
        <is>
          <t>CHOOSE RATING</t>
        </is>
      </c>
      <c r="DV106" s="40" t="inlineStr">
        <is>
          <t>CHOOSE RATING</t>
        </is>
      </c>
      <c r="DW106" s="40" t="inlineStr">
        <is>
          <t>CHOOSE RATING</t>
        </is>
      </c>
      <c r="DX106" s="40" t="inlineStr">
        <is>
          <t>CHOOSE RATING</t>
        </is>
      </c>
      <c r="DY106" s="40" t="inlineStr">
        <is>
          <t>CHOOSE RATING</t>
        </is>
      </c>
      <c r="DZ106" s="53" t="inlineStr">
        <is>
          <t>CHOOSE RATING</t>
        </is>
      </c>
      <c r="EA106" s="54" t="inlineStr">
        <is>
          <t>Add the Tutor's Comment . . .</t>
        </is>
      </c>
      <c r="EB106" s="55" t="inlineStr">
        <is>
          <t>Choose Principals comment</t>
        </is>
      </c>
      <c r="EC106" s="56" t="n"/>
      <c r="ED106" s="57" t="inlineStr">
        <is>
          <t>Next Term Begins on Monday, 22nd September, 2025</t>
        </is>
      </c>
    </row>
    <row r="107" ht="30.6" customHeight="1" s="6">
      <c r="A107" s="18" t="n">
        <v>104</v>
      </c>
      <c r="B107" s="19" t="n"/>
      <c r="C107" s="20" t="n"/>
      <c r="D107" s="128" t="n"/>
      <c r="E107" s="21" t="n"/>
      <c r="F107" s="22" t="n"/>
      <c r="G107" s="22" t="n"/>
      <c r="H107" s="22" t="n"/>
      <c r="I107" s="26">
        <f>G107-H107</f>
        <v/>
      </c>
      <c r="J107" s="21" t="n"/>
      <c r="K107" s="21" t="n"/>
      <c r="L107" s="27">
        <f>SUM(J107:K107)</f>
        <v/>
      </c>
      <c r="M107" s="28" t="n"/>
      <c r="N107" s="28" t="n"/>
      <c r="O107" s="29">
        <f>IF(AND(L107=0,M107=0,N107=0),0,IF(AND(L107=0,M107=0),N107/1,IF(AND(L107=0,N107=0),M107/1,IF(AND(M107=0,N107=0),L107/1,IF(L107=0,FLOOR((M107+N107)/2,0.1),IF(M107=0,(L107+N107)/2,IF(N107=0,(M107+L107)/2,FLOOR(((L107+M107+N107)/3),0.1))))))))</f>
        <v/>
      </c>
      <c r="P107" s="21" t="n"/>
      <c r="Q107" s="21" t="n"/>
      <c r="R107" s="27">
        <f>SUM(P107:Q107)</f>
        <v/>
      </c>
      <c r="S107" s="28" t="n"/>
      <c r="T107" s="28" t="n"/>
      <c r="U107" s="29">
        <f>IF(AND(R107=0,S107=0,T107=0),0,IF(AND(R107=0,S107=0),T107/1,IF(AND(R107=0,T107=0),S107/1,IF(AND(S107=0,T107=0),R107/1,IF(R107=0,FLOOR((S107+T107)/2,0.1),IF(S107=0,(R107+T107)/2,IF(T107=0,(S107+R107)/2,FLOOR(((R107+S107+T107)/3),0.1))))))))</f>
        <v/>
      </c>
      <c r="V107" s="21" t="n"/>
      <c r="W107" s="21" t="n"/>
      <c r="X107" s="27">
        <f>SUM(V107:W107)</f>
        <v/>
      </c>
      <c r="Y107" s="28" t="n"/>
      <c r="Z107" s="28" t="n"/>
      <c r="AA107" s="29">
        <f>IF(AND(X107=0,Y107=0,Z107=0),0,IF(AND(X107=0,Y107=0),Z107/1,IF(AND(X107=0,Z107=0),Y107/1,IF(AND(Y107=0,Z107=0),X107/1,IF(X107=0,FLOOR((Y107+Z107)/2,0.1),IF(Y107=0,(X107+Z107)/2,IF(Z107=0,(Y107+X107)/2,FLOOR(((X107+Y107+Z107)/3),0.1))))))))</f>
        <v/>
      </c>
      <c r="AB107" s="21" t="n"/>
      <c r="AC107" s="21" t="n"/>
      <c r="AD107" s="27">
        <f>SUM(AB107:AC107)</f>
        <v/>
      </c>
      <c r="AE107" s="28" t="n"/>
      <c r="AF107" s="28" t="n"/>
      <c r="AG107" s="29">
        <f>IF(AND(AD107=0,AE107=0,AF107=0),0,IF(AND(AD107=0,AE107=0),AF107/1,IF(AND(AD107=0,AF107=0),AE107/1,IF(AND(AE107=0,AF107=0),AD107/1,IF(AD107=0,FLOOR((AE107+AF107)/2,0.1),IF(AE107=0,(AD107+AF107)/2,IF(AF107=0,(AE107+AD107)/2,FLOOR(((AD107+AE107+AF107)/3),0.1))))))))</f>
        <v/>
      </c>
      <c r="AH107" s="21" t="n"/>
      <c r="AI107" s="21" t="n"/>
      <c r="AJ107" s="27">
        <f>SUM(AH107:AI107)</f>
        <v/>
      </c>
      <c r="AK107" s="28" t="n"/>
      <c r="AL107" s="28" t="n"/>
      <c r="AM107" s="29">
        <f>IF(AND(AJ107=0,AK107=0,AL107=0),0,IF(AND(AJ107=0,AK107=0),AL107/1,IF(AND(AJ107=0,AL107=0),AK107/1,IF(AND(AK107=0,AL107=0),AJ107/1,IF(AJ107=0,FLOOR((AK107+AL107)/2,0.1),IF(AK107=0,(AJ107+AL107)/2,IF(AL107=0,(AK107+AJ107)/2,FLOOR(((AJ107+AK107+AL107)/3),0.1))))))))</f>
        <v/>
      </c>
      <c r="AN107" s="21" t="n"/>
      <c r="AO107" s="21" t="n"/>
      <c r="AP107" s="27">
        <f>SUM(AN107:AO107)</f>
        <v/>
      </c>
      <c r="AQ107" s="28" t="n"/>
      <c r="AR107" s="30" t="n"/>
      <c r="AS107" s="29">
        <f>IF(AND(AP107=0,AQ107=0,AR107=0),0,IF(AND(AP107=0,AQ107=0),AR107/1,IF(AND(AP107=0,AR107=0),AQ107/1,IF(AND(AQ107=0,AR107=0),AP107/1,IF(AP107=0,FLOOR((AQ107+AR107)/2,0.1),IF(AQ107=0,(AP107+AR107)/2,IF(AR107=0,(AQ107+AP107)/2,FLOOR(((AP107+AQ107+AR107)/3),0.1))))))))</f>
        <v/>
      </c>
      <c r="AT107" s="21" t="n"/>
      <c r="AU107" s="21" t="n"/>
      <c r="AV107" s="27">
        <f>SUM(AT107:AU107)</f>
        <v/>
      </c>
      <c r="AW107" s="28" t="n"/>
      <c r="AX107" s="30" t="n"/>
      <c r="AY107" s="29">
        <f>IF(AND(AV107=0,AW107=0,AX107=0),0,IF(AND(AV107=0,AW107=0),AX107/1,IF(AND(AV107=0,AX107=0),AW107/1,IF(AND(AW107=0,AX107=0),AV107/1,IF(AV107=0,FLOOR((AW107+AX107)/2,0.1),IF(AW107=0,(AV107+AX107)/2,IF(AX107=0,(AW107+AV107)/2,FLOOR(((AV107+AW107+AX107)/3),0.1))))))))</f>
        <v/>
      </c>
      <c r="AZ107" s="21" t="n"/>
      <c r="BA107" s="21" t="n"/>
      <c r="BB107" s="27">
        <f>SUM(AZ107:BA107)</f>
        <v/>
      </c>
      <c r="BC107" s="28" t="n"/>
      <c r="BD107" s="28" t="n"/>
      <c r="BE107" s="29">
        <f>IF(AND(BB107=0,BC107=0,BD107=0),0,IF(AND(BB107=0,BC107=0),BD107/1,IF(AND(BB107=0,BD107=0),BC107/1,IF(AND(BC107=0,BD107=0),BB107/1,IF(BB107=0,FLOOR((BC107+BD107)/2,0.1),IF(BC107=0,(BB107+BD107)/2,IF(BD107=0,(BC107+BB107)/2,FLOOR(((BB107+BC107+BD107)/3),0.1))))))))</f>
        <v/>
      </c>
      <c r="BF107" s="21" t="n"/>
      <c r="BG107" s="21" t="n"/>
      <c r="BH107" s="27">
        <f>SUM(BF107:BG107)</f>
        <v/>
      </c>
      <c r="BI107" s="28" t="n"/>
      <c r="BJ107" s="28" t="n"/>
      <c r="BK107" s="29">
        <f>IF(AND(BH107=0,BI107=0,BJ107=0),0,IF(AND(BH107=0,BI107=0),BJ107/1,IF(AND(BH107=0,BJ107=0),BI107/1,IF(AND(BI107=0,BJ107=0),BH107/1,IF(BH107=0,FLOOR((BI107+BJ107)/2,0.1),IF(BI107=0,(BH107+BJ107)/2,IF(BJ107=0,(BI107+BH107)/2,FLOOR(((BH107+BI107+BJ107)/3),0.1))))))))</f>
        <v/>
      </c>
      <c r="BL107" s="21" t="n"/>
      <c r="BM107" s="21" t="n"/>
      <c r="BN107" s="27">
        <f>SUM(BL107:BM107)</f>
        <v/>
      </c>
      <c r="BO107" s="28" t="n"/>
      <c r="BP107" s="31" t="n"/>
      <c r="BQ107" s="29">
        <f>IF(AND(BN107=0,BO107=0,BP107=0),0,IF(AND(BN107=0,BO107=0),BP107/1,IF(AND(BN107=0,BP107=0),BO107/1,IF(AND(BO107=0,BP107=0),BN107/1,IF(BN107=0,FLOOR((BO107+BP107)/2,0.1),IF(BO107=0,(BN107+BP107)/2,IF(BP107=0,(BO107+BN107)/2,FLOOR(((BN107+BO107+BP107)/3),0.1))))))))</f>
        <v/>
      </c>
      <c r="BR107" s="21" t="n"/>
      <c r="BS107" s="21" t="n"/>
      <c r="BT107" s="27">
        <f>SUM(BR107:BS107)</f>
        <v/>
      </c>
      <c r="BU107" s="28" t="n"/>
      <c r="BV107" s="31" t="n"/>
      <c r="BW107" s="29">
        <f>IF(AND(BT107=0,BU107=0,BV107=0),0,IF(AND(BT107=0,BU107=0),BV107/1,IF(AND(BT107=0,BV107=0),BU107/1,IF(AND(BU107=0,BV107=0),BT107/1,IF(BT107=0,FLOOR((BU107+BV107)/2,0.1),IF(BU107=0,(BT107+BV107)/2,IF(BV107=0,(BU107+BT107)/2,FLOOR(((BT107+BU107+BV107)/3),0.1))))))))</f>
        <v/>
      </c>
      <c r="BX107" s="21" t="n"/>
      <c r="BY107" s="21" t="n"/>
      <c r="BZ107" s="27">
        <f>SUM(BX107:BY107)</f>
        <v/>
      </c>
      <c r="CA107" s="28" t="n"/>
      <c r="CB107" s="31" t="n"/>
      <c r="CC107" s="29">
        <f>IF(AND(BZ107=0,CA107=0,CB107=0),0,IF(AND(BZ107=0,CA107=0),CB107/1,IF(AND(BZ107=0,CB107=0),CA107/1,IF(AND(CA107=0,CB107=0),BZ107/1,IF(BZ107=0,FLOOR((CA107+CB107)/2,0.1),IF(CA107=0,(BZ107+CB107)/2,IF(CB107=0,(CA107+BZ107)/2,FLOOR(((BZ107+CA107+CB107)/3),0.1))))))))</f>
        <v/>
      </c>
      <c r="CD107" s="21" t="n"/>
      <c r="CE107" s="21" t="n"/>
      <c r="CF107" s="27">
        <f>SUM(CD107:CE107)</f>
        <v/>
      </c>
      <c r="CG107" s="28" t="n"/>
      <c r="CH107" s="31" t="n"/>
      <c r="CI107" s="29">
        <f>IF(AND(CF107=0,CG107=0,CH107=0),0,IF(AND(CF107=0,CG107=0),CH107/1,IF(AND(CF107=0,CH107=0),CG107/1,IF(AND(CG107=0,CH107=0),CF107/1,IF(CF107=0,FLOOR((CG107+CH107)/2,0.1),IF(CG107=0,(CF107+CH107)/2,IF(CH107=0,(CG107+CF107)/2,FLOOR(((CF107+CG107+CH107)/3),0.1))))))))</f>
        <v/>
      </c>
      <c r="CJ107" s="21" t="n"/>
      <c r="CK107" s="21" t="n"/>
      <c r="CL107" s="27">
        <f>SUM(CJ107:CK107)</f>
        <v/>
      </c>
      <c r="CM107" s="28" t="n"/>
      <c r="CN107" s="31" t="n"/>
      <c r="CO107" s="29">
        <f>IF(AND(CL107=0,CM107=0,CN107=0),0,IF(AND(CL107=0,CM107=0),CN107/1,IF(AND(CL107=0,CN107=0),CM107/1,IF(AND(CM107=0,CN107=0),CL107/1,IF(CL107=0,FLOOR((CM107+CN107)/2,0.1),IF(CM107=0,(CL107+CN107)/2,IF(CN107=0,(CM107+CL107)/2,FLOOR(((CL107+CM107+CN107)/3),0.1))))))))</f>
        <v/>
      </c>
      <c r="CP107" s="21" t="n"/>
      <c r="CQ107" s="21" t="n"/>
      <c r="CR107" s="27">
        <f>SUM(CP107:CQ107)</f>
        <v/>
      </c>
      <c r="CS107" s="28" t="n"/>
      <c r="CT107" s="31" t="n"/>
      <c r="CU107" s="29">
        <f>IF(AND(CR107=0,CS107=0,CT107=0),0,IF(AND(CR107=0,CS107=0),CT107/1,IF(AND(CR107=0,CT107=0),CS107/1,IF(AND(CS107=0,CT107=0),CR107/1,IF(CR107=0,FLOOR((CS107+CT107)/2,0.1),IF(CS107=0,(CR107+CT107)/2,IF(CT107=0,(CS107+CR107)/2,FLOOR(((CR107+CS107+CT107)/3),0.1))))))))</f>
        <v/>
      </c>
      <c r="CV107" s="21" t="n"/>
      <c r="CW107" s="21" t="n"/>
      <c r="CX107" s="27">
        <f>SUM(CV107:CW107)</f>
        <v/>
      </c>
      <c r="CY107" s="28" t="n"/>
      <c r="CZ107" s="31" t="n"/>
      <c r="DA107" s="29">
        <f>IF(AND(CX107=0,CY107=0,CZ107=0),0,IF(AND(CX107=0,CY107=0),CZ107/1,IF(AND(CX107=0,CZ107=0),CY107/1,IF(AND(CY107=0,CZ107=0),CX107/1,IF(CX107=0,FLOOR((CY107+CZ107)/2,0.1),IF(CY107=0,(CX107+CZ107)/2,IF(CZ107=0,(CY107+CX107)/2,FLOOR(((CX107+CY107+CZ107)/3),0.1))))))))</f>
        <v/>
      </c>
      <c r="DB107" s="21" t="n"/>
      <c r="DC107" s="21" t="n"/>
      <c r="DD107" s="27">
        <f>SUM(DB107:DC107)</f>
        <v/>
      </c>
      <c r="DE107" s="28" t="n"/>
      <c r="DF107" s="31" t="n"/>
      <c r="DG107" s="29">
        <f>IF(AND(DD107=0,DE107=0,DF107=0),0,IF(AND(DD107=0,DE107=0),DF107/1,IF(AND(DD107=0,DF107=0),DE107/1,IF(AND(DE107=0,DF107=0),DD107/1,IF(DD107=0,FLOOR((DE107+DF107)/2,0.1),IF(DE107=0,(DD107+DF107)/2,IF(DF107=0,(DE107+DD107)/2,FLOOR(((DD107+DE107+DF107)/3),0.1))))))))</f>
        <v/>
      </c>
      <c r="DH107" s="34">
        <f>SUM(O107,U107,AA107,AG107,AM107,AS107,AY107,BE107,BK107,BQ107,BW107,CC107,CI107,CO107,CU107,DA107,DG107)</f>
        <v/>
      </c>
      <c r="DI107" s="39">
        <f>RANK(DH107,DH$4:DH$503)</f>
        <v/>
      </c>
      <c r="DJ107" s="40" t="inlineStr">
        <is>
          <t>CHOOSE RATING</t>
        </is>
      </c>
      <c r="DK107" s="40" t="inlineStr">
        <is>
          <t>CHOOSE RATING</t>
        </is>
      </c>
      <c r="DL107" s="40" t="inlineStr">
        <is>
          <t>CHOOSE RATING</t>
        </is>
      </c>
      <c r="DM107" s="40" t="inlineStr">
        <is>
          <t>CHOOSE RATING</t>
        </is>
      </c>
      <c r="DN107" s="40" t="inlineStr">
        <is>
          <t>CHOOSE RATING</t>
        </is>
      </c>
      <c r="DO107" s="40" t="inlineStr">
        <is>
          <t>CHOOSE RATING</t>
        </is>
      </c>
      <c r="DP107" s="40" t="inlineStr">
        <is>
          <t>CHOOSE RATING</t>
        </is>
      </c>
      <c r="DQ107" s="40" t="inlineStr">
        <is>
          <t>CHOOSE RATING</t>
        </is>
      </c>
      <c r="DR107" s="43" t="inlineStr">
        <is>
          <t>2024/2025</t>
        </is>
      </c>
      <c r="DS107" s="45" t="inlineStr">
        <is>
          <t>THIRD</t>
        </is>
      </c>
      <c r="DT107" s="40" t="inlineStr">
        <is>
          <t>CHOOSE RATING</t>
        </is>
      </c>
      <c r="DU107" s="40" t="inlineStr">
        <is>
          <t>CHOOSE RATING</t>
        </is>
      </c>
      <c r="DV107" s="40" t="inlineStr">
        <is>
          <t>CHOOSE RATING</t>
        </is>
      </c>
      <c r="DW107" s="40" t="inlineStr">
        <is>
          <t>CHOOSE RATING</t>
        </is>
      </c>
      <c r="DX107" s="40" t="inlineStr">
        <is>
          <t>CHOOSE RATING</t>
        </is>
      </c>
      <c r="DY107" s="40" t="inlineStr">
        <is>
          <t>CHOOSE RATING</t>
        </is>
      </c>
      <c r="DZ107" s="53" t="inlineStr">
        <is>
          <t>CHOOSE RATING</t>
        </is>
      </c>
      <c r="EA107" s="54" t="inlineStr">
        <is>
          <t>Add the Tutor's Comment . . .</t>
        </is>
      </c>
      <c r="EB107" s="55" t="inlineStr">
        <is>
          <t>Choose Principals comment</t>
        </is>
      </c>
      <c r="EC107" s="56" t="n"/>
      <c r="ED107" s="57" t="inlineStr">
        <is>
          <t>Next Term Begins on Monday, 22nd September, 2025</t>
        </is>
      </c>
    </row>
    <row r="108" ht="30.6" customHeight="1" s="6">
      <c r="A108" s="18" t="n">
        <v>105</v>
      </c>
      <c r="B108" s="19" t="n"/>
      <c r="C108" s="20" t="n"/>
      <c r="D108" s="128" t="n"/>
      <c r="E108" s="21" t="n"/>
      <c r="F108" s="22" t="n"/>
      <c r="G108" s="22" t="n"/>
      <c r="H108" s="22" t="n"/>
      <c r="I108" s="26">
        <f>G108-H108</f>
        <v/>
      </c>
      <c r="J108" s="21" t="n"/>
      <c r="K108" s="21" t="n"/>
      <c r="L108" s="27">
        <f>SUM(J108:K108)</f>
        <v/>
      </c>
      <c r="M108" s="28" t="n"/>
      <c r="N108" s="28" t="n"/>
      <c r="O108" s="29">
        <f>IF(AND(L108=0,M108=0,N108=0),0,IF(AND(L108=0,M108=0),N108/1,IF(AND(L108=0,N108=0),M108/1,IF(AND(M108=0,N108=0),L108/1,IF(L108=0,FLOOR((M108+N108)/2,0.1),IF(M108=0,(L108+N108)/2,IF(N108=0,(M108+L108)/2,FLOOR(((L108+M108+N108)/3),0.1))))))))</f>
        <v/>
      </c>
      <c r="P108" s="21" t="n"/>
      <c r="Q108" s="21" t="n"/>
      <c r="R108" s="27">
        <f>SUM(P108:Q108)</f>
        <v/>
      </c>
      <c r="S108" s="28" t="n"/>
      <c r="T108" s="28" t="n"/>
      <c r="U108" s="29">
        <f>IF(AND(R108=0,S108=0,T108=0),0,IF(AND(R108=0,S108=0),T108/1,IF(AND(R108=0,T108=0),S108/1,IF(AND(S108=0,T108=0),R108/1,IF(R108=0,FLOOR((S108+T108)/2,0.1),IF(S108=0,(R108+T108)/2,IF(T108=0,(S108+R108)/2,FLOOR(((R108+S108+T108)/3),0.1))))))))</f>
        <v/>
      </c>
      <c r="V108" s="21" t="n"/>
      <c r="W108" s="21" t="n"/>
      <c r="X108" s="27">
        <f>SUM(V108:W108)</f>
        <v/>
      </c>
      <c r="Y108" s="28" t="n"/>
      <c r="Z108" s="28" t="n"/>
      <c r="AA108" s="29">
        <f>IF(AND(X108=0,Y108=0,Z108=0),0,IF(AND(X108=0,Y108=0),Z108/1,IF(AND(X108=0,Z108=0),Y108/1,IF(AND(Y108=0,Z108=0),X108/1,IF(X108=0,FLOOR((Y108+Z108)/2,0.1),IF(Y108=0,(X108+Z108)/2,IF(Z108=0,(Y108+X108)/2,FLOOR(((X108+Y108+Z108)/3),0.1))))))))</f>
        <v/>
      </c>
      <c r="AB108" s="21" t="n"/>
      <c r="AC108" s="21" t="n"/>
      <c r="AD108" s="27">
        <f>SUM(AB108:AC108)</f>
        <v/>
      </c>
      <c r="AE108" s="28" t="n"/>
      <c r="AF108" s="28" t="n"/>
      <c r="AG108" s="29">
        <f>IF(AND(AD108=0,AE108=0,AF108=0),0,IF(AND(AD108=0,AE108=0),AF108/1,IF(AND(AD108=0,AF108=0),AE108/1,IF(AND(AE108=0,AF108=0),AD108/1,IF(AD108=0,FLOOR((AE108+AF108)/2,0.1),IF(AE108=0,(AD108+AF108)/2,IF(AF108=0,(AE108+AD108)/2,FLOOR(((AD108+AE108+AF108)/3),0.1))))))))</f>
        <v/>
      </c>
      <c r="AH108" s="21" t="n"/>
      <c r="AI108" s="21" t="n"/>
      <c r="AJ108" s="27">
        <f>SUM(AH108:AI108)</f>
        <v/>
      </c>
      <c r="AK108" s="28" t="n"/>
      <c r="AL108" s="28" t="n"/>
      <c r="AM108" s="29">
        <f>IF(AND(AJ108=0,AK108=0,AL108=0),0,IF(AND(AJ108=0,AK108=0),AL108/1,IF(AND(AJ108=0,AL108=0),AK108/1,IF(AND(AK108=0,AL108=0),AJ108/1,IF(AJ108=0,FLOOR((AK108+AL108)/2,0.1),IF(AK108=0,(AJ108+AL108)/2,IF(AL108=0,(AK108+AJ108)/2,FLOOR(((AJ108+AK108+AL108)/3),0.1))))))))</f>
        <v/>
      </c>
      <c r="AN108" s="21" t="n"/>
      <c r="AO108" s="21" t="n"/>
      <c r="AP108" s="27">
        <f>SUM(AN108:AO108)</f>
        <v/>
      </c>
      <c r="AQ108" s="28" t="n"/>
      <c r="AR108" s="30" t="n"/>
      <c r="AS108" s="29">
        <f>IF(AND(AP108=0,AQ108=0,AR108=0),0,IF(AND(AP108=0,AQ108=0),AR108/1,IF(AND(AP108=0,AR108=0),AQ108/1,IF(AND(AQ108=0,AR108=0),AP108/1,IF(AP108=0,FLOOR((AQ108+AR108)/2,0.1),IF(AQ108=0,(AP108+AR108)/2,IF(AR108=0,(AQ108+AP108)/2,FLOOR(((AP108+AQ108+AR108)/3),0.1))))))))</f>
        <v/>
      </c>
      <c r="AT108" s="21" t="n"/>
      <c r="AU108" s="21" t="n"/>
      <c r="AV108" s="27">
        <f>SUM(AT108:AU108)</f>
        <v/>
      </c>
      <c r="AW108" s="28" t="n"/>
      <c r="AX108" s="30" t="n"/>
      <c r="AY108" s="29">
        <f>IF(AND(AV108=0,AW108=0,AX108=0),0,IF(AND(AV108=0,AW108=0),AX108/1,IF(AND(AV108=0,AX108=0),AW108/1,IF(AND(AW108=0,AX108=0),AV108/1,IF(AV108=0,FLOOR((AW108+AX108)/2,0.1),IF(AW108=0,(AV108+AX108)/2,IF(AX108=0,(AW108+AV108)/2,FLOOR(((AV108+AW108+AX108)/3),0.1))))))))</f>
        <v/>
      </c>
      <c r="AZ108" s="21" t="n"/>
      <c r="BA108" s="21" t="n"/>
      <c r="BB108" s="27">
        <f>SUM(AZ108:BA108)</f>
        <v/>
      </c>
      <c r="BC108" s="28" t="n"/>
      <c r="BD108" s="28" t="n"/>
      <c r="BE108" s="29">
        <f>IF(AND(BB108=0,BC108=0,BD108=0),0,IF(AND(BB108=0,BC108=0),BD108/1,IF(AND(BB108=0,BD108=0),BC108/1,IF(AND(BC108=0,BD108=0),BB108/1,IF(BB108=0,FLOOR((BC108+BD108)/2,0.1),IF(BC108=0,(BB108+BD108)/2,IF(BD108=0,(BC108+BB108)/2,FLOOR(((BB108+BC108+BD108)/3),0.1))))))))</f>
        <v/>
      </c>
      <c r="BF108" s="21" t="n"/>
      <c r="BG108" s="21" t="n"/>
      <c r="BH108" s="27">
        <f>SUM(BF108:BG108)</f>
        <v/>
      </c>
      <c r="BI108" s="28" t="n"/>
      <c r="BJ108" s="28" t="n"/>
      <c r="BK108" s="29">
        <f>IF(AND(BH108=0,BI108=0,BJ108=0),0,IF(AND(BH108=0,BI108=0),BJ108/1,IF(AND(BH108=0,BJ108=0),BI108/1,IF(AND(BI108=0,BJ108=0),BH108/1,IF(BH108=0,FLOOR((BI108+BJ108)/2,0.1),IF(BI108=0,(BH108+BJ108)/2,IF(BJ108=0,(BI108+BH108)/2,FLOOR(((BH108+BI108+BJ108)/3),0.1))))))))</f>
        <v/>
      </c>
      <c r="BL108" s="21" t="n"/>
      <c r="BM108" s="21" t="n"/>
      <c r="BN108" s="27">
        <f>SUM(BL108:BM108)</f>
        <v/>
      </c>
      <c r="BO108" s="28" t="n"/>
      <c r="BP108" s="31" t="n"/>
      <c r="BQ108" s="29">
        <f>IF(AND(BN108=0,BO108=0,BP108=0),0,IF(AND(BN108=0,BO108=0),BP108/1,IF(AND(BN108=0,BP108=0),BO108/1,IF(AND(BO108=0,BP108=0),BN108/1,IF(BN108=0,FLOOR((BO108+BP108)/2,0.1),IF(BO108=0,(BN108+BP108)/2,IF(BP108=0,(BO108+BN108)/2,FLOOR(((BN108+BO108+BP108)/3),0.1))))))))</f>
        <v/>
      </c>
      <c r="BR108" s="21" t="n"/>
      <c r="BS108" s="21" t="n"/>
      <c r="BT108" s="27">
        <f>SUM(BR108:BS108)</f>
        <v/>
      </c>
      <c r="BU108" s="28" t="n"/>
      <c r="BV108" s="31" t="n"/>
      <c r="BW108" s="29">
        <f>IF(AND(BT108=0,BU108=0,BV108=0),0,IF(AND(BT108=0,BU108=0),BV108/1,IF(AND(BT108=0,BV108=0),BU108/1,IF(AND(BU108=0,BV108=0),BT108/1,IF(BT108=0,FLOOR((BU108+BV108)/2,0.1),IF(BU108=0,(BT108+BV108)/2,IF(BV108=0,(BU108+BT108)/2,FLOOR(((BT108+BU108+BV108)/3),0.1))))))))</f>
        <v/>
      </c>
      <c r="BX108" s="21" t="n"/>
      <c r="BY108" s="21" t="n"/>
      <c r="BZ108" s="27">
        <f>SUM(BX108:BY108)</f>
        <v/>
      </c>
      <c r="CA108" s="28" t="n"/>
      <c r="CB108" s="31" t="n"/>
      <c r="CC108" s="29">
        <f>IF(AND(BZ108=0,CA108=0,CB108=0),0,IF(AND(BZ108=0,CA108=0),CB108/1,IF(AND(BZ108=0,CB108=0),CA108/1,IF(AND(CA108=0,CB108=0),BZ108/1,IF(BZ108=0,FLOOR((CA108+CB108)/2,0.1),IF(CA108=0,(BZ108+CB108)/2,IF(CB108=0,(CA108+BZ108)/2,FLOOR(((BZ108+CA108+CB108)/3),0.1))))))))</f>
        <v/>
      </c>
      <c r="CD108" s="21" t="n"/>
      <c r="CE108" s="21" t="n"/>
      <c r="CF108" s="27">
        <f>SUM(CD108:CE108)</f>
        <v/>
      </c>
      <c r="CG108" s="28" t="n"/>
      <c r="CH108" s="31" t="n"/>
      <c r="CI108" s="29">
        <f>IF(AND(CF108=0,CG108=0,CH108=0),0,IF(AND(CF108=0,CG108=0),CH108/1,IF(AND(CF108=0,CH108=0),CG108/1,IF(AND(CG108=0,CH108=0),CF108/1,IF(CF108=0,FLOOR((CG108+CH108)/2,0.1),IF(CG108=0,(CF108+CH108)/2,IF(CH108=0,(CG108+CF108)/2,FLOOR(((CF108+CG108+CH108)/3),0.1))))))))</f>
        <v/>
      </c>
      <c r="CJ108" s="21" t="n"/>
      <c r="CK108" s="21" t="n"/>
      <c r="CL108" s="27">
        <f>SUM(CJ108:CK108)</f>
        <v/>
      </c>
      <c r="CM108" s="28" t="n"/>
      <c r="CN108" s="31" t="n"/>
      <c r="CO108" s="29">
        <f>IF(AND(CL108=0,CM108=0,CN108=0),0,IF(AND(CL108=0,CM108=0),CN108/1,IF(AND(CL108=0,CN108=0),CM108/1,IF(AND(CM108=0,CN108=0),CL108/1,IF(CL108=0,FLOOR((CM108+CN108)/2,0.1),IF(CM108=0,(CL108+CN108)/2,IF(CN108=0,(CM108+CL108)/2,FLOOR(((CL108+CM108+CN108)/3),0.1))))))))</f>
        <v/>
      </c>
      <c r="CP108" s="21" t="n"/>
      <c r="CQ108" s="21" t="n"/>
      <c r="CR108" s="27">
        <f>SUM(CP108:CQ108)</f>
        <v/>
      </c>
      <c r="CS108" s="28" t="n"/>
      <c r="CT108" s="31" t="n"/>
      <c r="CU108" s="29">
        <f>IF(AND(CR108=0,CS108=0,CT108=0),0,IF(AND(CR108=0,CS108=0),CT108/1,IF(AND(CR108=0,CT108=0),CS108/1,IF(AND(CS108=0,CT108=0),CR108/1,IF(CR108=0,FLOOR((CS108+CT108)/2,0.1),IF(CS108=0,(CR108+CT108)/2,IF(CT108=0,(CS108+CR108)/2,FLOOR(((CR108+CS108+CT108)/3),0.1))))))))</f>
        <v/>
      </c>
      <c r="CV108" s="21" t="n"/>
      <c r="CW108" s="21" t="n"/>
      <c r="CX108" s="27">
        <f>SUM(CV108:CW108)</f>
        <v/>
      </c>
      <c r="CY108" s="28" t="n"/>
      <c r="CZ108" s="31" t="n"/>
      <c r="DA108" s="29">
        <f>IF(AND(CX108=0,CY108=0,CZ108=0),0,IF(AND(CX108=0,CY108=0),CZ108/1,IF(AND(CX108=0,CZ108=0),CY108/1,IF(AND(CY108=0,CZ108=0),CX108/1,IF(CX108=0,FLOOR((CY108+CZ108)/2,0.1),IF(CY108=0,(CX108+CZ108)/2,IF(CZ108=0,(CY108+CX108)/2,FLOOR(((CX108+CY108+CZ108)/3),0.1))))))))</f>
        <v/>
      </c>
      <c r="DB108" s="21" t="n"/>
      <c r="DC108" s="21" t="n"/>
      <c r="DD108" s="27">
        <f>SUM(DB108:DC108)</f>
        <v/>
      </c>
      <c r="DE108" s="28" t="n"/>
      <c r="DF108" s="31" t="n"/>
      <c r="DG108" s="29">
        <f>IF(AND(DD108=0,DE108=0,DF108=0),0,IF(AND(DD108=0,DE108=0),DF108/1,IF(AND(DD108=0,DF108=0),DE108/1,IF(AND(DE108=0,DF108=0),DD108/1,IF(DD108=0,FLOOR((DE108+DF108)/2,0.1),IF(DE108=0,(DD108+DF108)/2,IF(DF108=0,(DE108+DD108)/2,FLOOR(((DD108+DE108+DF108)/3),0.1))))))))</f>
        <v/>
      </c>
      <c r="DH108" s="34">
        <f>SUM(O108,U108,AA108,AG108,AM108,AS108,AY108,BE108,BK108,BQ108,BW108,CC108,CI108,CO108,CU108,DA108,DG108)</f>
        <v/>
      </c>
      <c r="DI108" s="39">
        <f>RANK(DH108,DH$4:DH$503)</f>
        <v/>
      </c>
      <c r="DJ108" s="40" t="inlineStr">
        <is>
          <t>CHOOSE RATING</t>
        </is>
      </c>
      <c r="DK108" s="40" t="inlineStr">
        <is>
          <t>CHOOSE RATING</t>
        </is>
      </c>
      <c r="DL108" s="40" t="inlineStr">
        <is>
          <t>CHOOSE RATING</t>
        </is>
      </c>
      <c r="DM108" s="40" t="inlineStr">
        <is>
          <t>CHOOSE RATING</t>
        </is>
      </c>
      <c r="DN108" s="40" t="inlineStr">
        <is>
          <t>CHOOSE RATING</t>
        </is>
      </c>
      <c r="DO108" s="40" t="inlineStr">
        <is>
          <t>CHOOSE RATING</t>
        </is>
      </c>
      <c r="DP108" s="40" t="inlineStr">
        <is>
          <t>CHOOSE RATING</t>
        </is>
      </c>
      <c r="DQ108" s="40" t="inlineStr">
        <is>
          <t>CHOOSE RATING</t>
        </is>
      </c>
      <c r="DR108" s="43" t="inlineStr">
        <is>
          <t>2024/2025</t>
        </is>
      </c>
      <c r="DS108" s="45" t="inlineStr">
        <is>
          <t>THIRD</t>
        </is>
      </c>
      <c r="DT108" s="40" t="inlineStr">
        <is>
          <t>CHOOSE RATING</t>
        </is>
      </c>
      <c r="DU108" s="40" t="inlineStr">
        <is>
          <t>CHOOSE RATING</t>
        </is>
      </c>
      <c r="DV108" s="40" t="inlineStr">
        <is>
          <t>CHOOSE RATING</t>
        </is>
      </c>
      <c r="DW108" s="40" t="inlineStr">
        <is>
          <t>CHOOSE RATING</t>
        </is>
      </c>
      <c r="DX108" s="40" t="inlineStr">
        <is>
          <t>CHOOSE RATING</t>
        </is>
      </c>
      <c r="DY108" s="40" t="inlineStr">
        <is>
          <t>CHOOSE RATING</t>
        </is>
      </c>
      <c r="DZ108" s="53" t="inlineStr">
        <is>
          <t>CHOOSE RATING</t>
        </is>
      </c>
      <c r="EA108" s="54" t="inlineStr">
        <is>
          <t>Add the Tutor's Comment . . .</t>
        </is>
      </c>
      <c r="EB108" s="55" t="inlineStr">
        <is>
          <t>Choose Principals comment</t>
        </is>
      </c>
      <c r="EC108" s="56" t="n"/>
      <c r="ED108" s="57" t="inlineStr">
        <is>
          <t>Next Term Begins on Monday, 22nd September, 2025</t>
        </is>
      </c>
    </row>
    <row r="109" ht="30.6" customHeight="1" s="6">
      <c r="A109" s="18" t="n">
        <v>106</v>
      </c>
      <c r="B109" s="19" t="n"/>
      <c r="C109" s="20" t="n"/>
      <c r="D109" s="128" t="n"/>
      <c r="E109" s="21" t="n"/>
      <c r="F109" s="22" t="n"/>
      <c r="G109" s="22" t="n"/>
      <c r="H109" s="22" t="n"/>
      <c r="I109" s="26">
        <f>G109-H109</f>
        <v/>
      </c>
      <c r="J109" s="21" t="n"/>
      <c r="K109" s="21" t="n"/>
      <c r="L109" s="27">
        <f>SUM(J109:K109)</f>
        <v/>
      </c>
      <c r="M109" s="28" t="n"/>
      <c r="N109" s="28" t="n"/>
      <c r="O109" s="29">
        <f>IF(AND(L109=0,M109=0,N109=0),0,IF(AND(L109=0,M109=0),N109/1,IF(AND(L109=0,N109=0),M109/1,IF(AND(M109=0,N109=0),L109/1,IF(L109=0,FLOOR((M109+N109)/2,0.1),IF(M109=0,(L109+N109)/2,IF(N109=0,(M109+L109)/2,FLOOR(((L109+M109+N109)/3),0.1))))))))</f>
        <v/>
      </c>
      <c r="P109" s="21" t="n"/>
      <c r="Q109" s="21" t="n"/>
      <c r="R109" s="27">
        <f>SUM(P109:Q109)</f>
        <v/>
      </c>
      <c r="S109" s="28" t="n"/>
      <c r="T109" s="28" t="n"/>
      <c r="U109" s="29">
        <f>IF(AND(R109=0,S109=0,T109=0),0,IF(AND(R109=0,S109=0),T109/1,IF(AND(R109=0,T109=0),S109/1,IF(AND(S109=0,T109=0),R109/1,IF(R109=0,FLOOR((S109+T109)/2,0.1),IF(S109=0,(R109+T109)/2,IF(T109=0,(S109+R109)/2,FLOOR(((R109+S109+T109)/3),0.1))))))))</f>
        <v/>
      </c>
      <c r="V109" s="21" t="n"/>
      <c r="W109" s="21" t="n"/>
      <c r="X109" s="27">
        <f>SUM(V109:W109)</f>
        <v/>
      </c>
      <c r="Y109" s="28" t="n"/>
      <c r="Z109" s="28" t="n"/>
      <c r="AA109" s="29">
        <f>IF(AND(X109=0,Y109=0,Z109=0),0,IF(AND(X109=0,Y109=0),Z109/1,IF(AND(X109=0,Z109=0),Y109/1,IF(AND(Y109=0,Z109=0),X109/1,IF(X109=0,FLOOR((Y109+Z109)/2,0.1),IF(Y109=0,(X109+Z109)/2,IF(Z109=0,(Y109+X109)/2,FLOOR(((X109+Y109+Z109)/3),0.1))))))))</f>
        <v/>
      </c>
      <c r="AB109" s="21" t="n"/>
      <c r="AC109" s="21" t="n"/>
      <c r="AD109" s="27">
        <f>SUM(AB109:AC109)</f>
        <v/>
      </c>
      <c r="AE109" s="28" t="n"/>
      <c r="AF109" s="28" t="n"/>
      <c r="AG109" s="29">
        <f>IF(AND(AD109=0,AE109=0,AF109=0),0,IF(AND(AD109=0,AE109=0),AF109/1,IF(AND(AD109=0,AF109=0),AE109/1,IF(AND(AE109=0,AF109=0),AD109/1,IF(AD109=0,FLOOR((AE109+AF109)/2,0.1),IF(AE109=0,(AD109+AF109)/2,IF(AF109=0,(AE109+AD109)/2,FLOOR(((AD109+AE109+AF109)/3),0.1))))))))</f>
        <v/>
      </c>
      <c r="AH109" s="21" t="n"/>
      <c r="AI109" s="21" t="n"/>
      <c r="AJ109" s="27">
        <f>SUM(AH109:AI109)</f>
        <v/>
      </c>
      <c r="AK109" s="28" t="n"/>
      <c r="AL109" s="28" t="n"/>
      <c r="AM109" s="29">
        <f>IF(AND(AJ109=0,AK109=0,AL109=0),0,IF(AND(AJ109=0,AK109=0),AL109/1,IF(AND(AJ109=0,AL109=0),AK109/1,IF(AND(AK109=0,AL109=0),AJ109/1,IF(AJ109=0,FLOOR((AK109+AL109)/2,0.1),IF(AK109=0,(AJ109+AL109)/2,IF(AL109=0,(AK109+AJ109)/2,FLOOR(((AJ109+AK109+AL109)/3),0.1))))))))</f>
        <v/>
      </c>
      <c r="AN109" s="21" t="n"/>
      <c r="AO109" s="21" t="n"/>
      <c r="AP109" s="27">
        <f>SUM(AN109:AO109)</f>
        <v/>
      </c>
      <c r="AQ109" s="28" t="n"/>
      <c r="AR109" s="30" t="n"/>
      <c r="AS109" s="29">
        <f>IF(AND(AP109=0,AQ109=0,AR109=0),0,IF(AND(AP109=0,AQ109=0),AR109/1,IF(AND(AP109=0,AR109=0),AQ109/1,IF(AND(AQ109=0,AR109=0),AP109/1,IF(AP109=0,FLOOR((AQ109+AR109)/2,0.1),IF(AQ109=0,(AP109+AR109)/2,IF(AR109=0,(AQ109+AP109)/2,FLOOR(((AP109+AQ109+AR109)/3),0.1))))))))</f>
        <v/>
      </c>
      <c r="AT109" s="21" t="n"/>
      <c r="AU109" s="21" t="n"/>
      <c r="AV109" s="27">
        <f>SUM(AT109:AU109)</f>
        <v/>
      </c>
      <c r="AW109" s="28" t="n"/>
      <c r="AX109" s="30" t="n"/>
      <c r="AY109" s="29">
        <f>IF(AND(AV109=0,AW109=0,AX109=0),0,IF(AND(AV109=0,AW109=0),AX109/1,IF(AND(AV109=0,AX109=0),AW109/1,IF(AND(AW109=0,AX109=0),AV109/1,IF(AV109=0,FLOOR((AW109+AX109)/2,0.1),IF(AW109=0,(AV109+AX109)/2,IF(AX109=0,(AW109+AV109)/2,FLOOR(((AV109+AW109+AX109)/3),0.1))))))))</f>
        <v/>
      </c>
      <c r="AZ109" s="21" t="n"/>
      <c r="BA109" s="21" t="n"/>
      <c r="BB109" s="27">
        <f>SUM(AZ109:BA109)</f>
        <v/>
      </c>
      <c r="BC109" s="28" t="n"/>
      <c r="BD109" s="28" t="n"/>
      <c r="BE109" s="29">
        <f>IF(AND(BB109=0,BC109=0,BD109=0),0,IF(AND(BB109=0,BC109=0),BD109/1,IF(AND(BB109=0,BD109=0),BC109/1,IF(AND(BC109=0,BD109=0),BB109/1,IF(BB109=0,FLOOR((BC109+BD109)/2,0.1),IF(BC109=0,(BB109+BD109)/2,IF(BD109=0,(BC109+BB109)/2,FLOOR(((BB109+BC109+BD109)/3),0.1))))))))</f>
        <v/>
      </c>
      <c r="BF109" s="21" t="n"/>
      <c r="BG109" s="21" t="n"/>
      <c r="BH109" s="27">
        <f>SUM(BF109:BG109)</f>
        <v/>
      </c>
      <c r="BI109" s="28" t="n"/>
      <c r="BJ109" s="28" t="n"/>
      <c r="BK109" s="29">
        <f>IF(AND(BH109=0,BI109=0,BJ109=0),0,IF(AND(BH109=0,BI109=0),BJ109/1,IF(AND(BH109=0,BJ109=0),BI109/1,IF(AND(BI109=0,BJ109=0),BH109/1,IF(BH109=0,FLOOR((BI109+BJ109)/2,0.1),IF(BI109=0,(BH109+BJ109)/2,IF(BJ109=0,(BI109+BH109)/2,FLOOR(((BH109+BI109+BJ109)/3),0.1))))))))</f>
        <v/>
      </c>
      <c r="BL109" s="21" t="n"/>
      <c r="BM109" s="21" t="n"/>
      <c r="BN109" s="27">
        <f>SUM(BL109:BM109)</f>
        <v/>
      </c>
      <c r="BO109" s="28" t="n"/>
      <c r="BP109" s="31" t="n"/>
      <c r="BQ109" s="29">
        <f>IF(AND(BN109=0,BO109=0,BP109=0),0,IF(AND(BN109=0,BO109=0),BP109/1,IF(AND(BN109=0,BP109=0),BO109/1,IF(AND(BO109=0,BP109=0),BN109/1,IF(BN109=0,FLOOR((BO109+BP109)/2,0.1),IF(BO109=0,(BN109+BP109)/2,IF(BP109=0,(BO109+BN109)/2,FLOOR(((BN109+BO109+BP109)/3),0.1))))))))</f>
        <v/>
      </c>
      <c r="BR109" s="21" t="n"/>
      <c r="BS109" s="21" t="n"/>
      <c r="BT109" s="27">
        <f>SUM(BR109:BS109)</f>
        <v/>
      </c>
      <c r="BU109" s="28" t="n"/>
      <c r="BV109" s="31" t="n"/>
      <c r="BW109" s="29">
        <f>IF(AND(BT109=0,BU109=0,BV109=0),0,IF(AND(BT109=0,BU109=0),BV109/1,IF(AND(BT109=0,BV109=0),BU109/1,IF(AND(BU109=0,BV109=0),BT109/1,IF(BT109=0,FLOOR((BU109+BV109)/2,0.1),IF(BU109=0,(BT109+BV109)/2,IF(BV109=0,(BU109+BT109)/2,FLOOR(((BT109+BU109+BV109)/3),0.1))))))))</f>
        <v/>
      </c>
      <c r="BX109" s="21" t="n"/>
      <c r="BY109" s="21" t="n"/>
      <c r="BZ109" s="27">
        <f>SUM(BX109:BY109)</f>
        <v/>
      </c>
      <c r="CA109" s="28" t="n"/>
      <c r="CB109" s="31" t="n"/>
      <c r="CC109" s="29">
        <f>IF(AND(BZ109=0,CA109=0,CB109=0),0,IF(AND(BZ109=0,CA109=0),CB109/1,IF(AND(BZ109=0,CB109=0),CA109/1,IF(AND(CA109=0,CB109=0),BZ109/1,IF(BZ109=0,FLOOR((CA109+CB109)/2,0.1),IF(CA109=0,(BZ109+CB109)/2,IF(CB109=0,(CA109+BZ109)/2,FLOOR(((BZ109+CA109+CB109)/3),0.1))))))))</f>
        <v/>
      </c>
      <c r="CD109" s="21" t="n"/>
      <c r="CE109" s="21" t="n"/>
      <c r="CF109" s="27">
        <f>SUM(CD109:CE109)</f>
        <v/>
      </c>
      <c r="CG109" s="28" t="n"/>
      <c r="CH109" s="31" t="n"/>
      <c r="CI109" s="29">
        <f>IF(AND(CF109=0,CG109=0,CH109=0),0,IF(AND(CF109=0,CG109=0),CH109/1,IF(AND(CF109=0,CH109=0),CG109/1,IF(AND(CG109=0,CH109=0),CF109/1,IF(CF109=0,FLOOR((CG109+CH109)/2,0.1),IF(CG109=0,(CF109+CH109)/2,IF(CH109=0,(CG109+CF109)/2,FLOOR(((CF109+CG109+CH109)/3),0.1))))))))</f>
        <v/>
      </c>
      <c r="CJ109" s="21" t="n"/>
      <c r="CK109" s="21" t="n"/>
      <c r="CL109" s="27">
        <f>SUM(CJ109:CK109)</f>
        <v/>
      </c>
      <c r="CM109" s="28" t="n"/>
      <c r="CN109" s="31" t="n"/>
      <c r="CO109" s="29">
        <f>IF(AND(CL109=0,CM109=0,CN109=0),0,IF(AND(CL109=0,CM109=0),CN109/1,IF(AND(CL109=0,CN109=0),CM109/1,IF(AND(CM109=0,CN109=0),CL109/1,IF(CL109=0,FLOOR((CM109+CN109)/2,0.1),IF(CM109=0,(CL109+CN109)/2,IF(CN109=0,(CM109+CL109)/2,FLOOR(((CL109+CM109+CN109)/3),0.1))))))))</f>
        <v/>
      </c>
      <c r="CP109" s="21" t="n"/>
      <c r="CQ109" s="21" t="n"/>
      <c r="CR109" s="27">
        <f>SUM(CP109:CQ109)</f>
        <v/>
      </c>
      <c r="CS109" s="28" t="n"/>
      <c r="CT109" s="31" t="n"/>
      <c r="CU109" s="29">
        <f>IF(AND(CR109=0,CS109=0,CT109=0),0,IF(AND(CR109=0,CS109=0),CT109/1,IF(AND(CR109=0,CT109=0),CS109/1,IF(AND(CS109=0,CT109=0),CR109/1,IF(CR109=0,FLOOR((CS109+CT109)/2,0.1),IF(CS109=0,(CR109+CT109)/2,IF(CT109=0,(CS109+CR109)/2,FLOOR(((CR109+CS109+CT109)/3),0.1))))))))</f>
        <v/>
      </c>
      <c r="CV109" s="21" t="n"/>
      <c r="CW109" s="21" t="n"/>
      <c r="CX109" s="27">
        <f>SUM(CV109:CW109)</f>
        <v/>
      </c>
      <c r="CY109" s="28" t="n"/>
      <c r="CZ109" s="31" t="n"/>
      <c r="DA109" s="29">
        <f>IF(AND(CX109=0,CY109=0,CZ109=0),0,IF(AND(CX109=0,CY109=0),CZ109/1,IF(AND(CX109=0,CZ109=0),CY109/1,IF(AND(CY109=0,CZ109=0),CX109/1,IF(CX109=0,FLOOR((CY109+CZ109)/2,0.1),IF(CY109=0,(CX109+CZ109)/2,IF(CZ109=0,(CY109+CX109)/2,FLOOR(((CX109+CY109+CZ109)/3),0.1))))))))</f>
        <v/>
      </c>
      <c r="DB109" s="21" t="n"/>
      <c r="DC109" s="21" t="n"/>
      <c r="DD109" s="27">
        <f>SUM(DB109:DC109)</f>
        <v/>
      </c>
      <c r="DE109" s="28" t="n"/>
      <c r="DF109" s="31" t="n"/>
      <c r="DG109" s="29">
        <f>IF(AND(DD109=0,DE109=0,DF109=0),0,IF(AND(DD109=0,DE109=0),DF109/1,IF(AND(DD109=0,DF109=0),DE109/1,IF(AND(DE109=0,DF109=0),DD109/1,IF(DD109=0,FLOOR((DE109+DF109)/2,0.1),IF(DE109=0,(DD109+DF109)/2,IF(DF109=0,(DE109+DD109)/2,FLOOR(((DD109+DE109+DF109)/3),0.1))))))))</f>
        <v/>
      </c>
      <c r="DH109" s="34">
        <f>SUM(O109,U109,AA109,AG109,AM109,AS109,AY109,BE109,BK109,BQ109,BW109,CC109,CI109,CO109,CU109,DA109,DG109)</f>
        <v/>
      </c>
      <c r="DI109" s="39">
        <f>RANK(DH109,DH$4:DH$503)</f>
        <v/>
      </c>
      <c r="DJ109" s="40" t="inlineStr">
        <is>
          <t>CHOOSE RATING</t>
        </is>
      </c>
      <c r="DK109" s="40" t="inlineStr">
        <is>
          <t>CHOOSE RATING</t>
        </is>
      </c>
      <c r="DL109" s="40" t="inlineStr">
        <is>
          <t>CHOOSE RATING</t>
        </is>
      </c>
      <c r="DM109" s="40" t="inlineStr">
        <is>
          <t>CHOOSE RATING</t>
        </is>
      </c>
      <c r="DN109" s="40" t="inlineStr">
        <is>
          <t>CHOOSE RATING</t>
        </is>
      </c>
      <c r="DO109" s="40" t="inlineStr">
        <is>
          <t>CHOOSE RATING</t>
        </is>
      </c>
      <c r="DP109" s="40" t="inlineStr">
        <is>
          <t>CHOOSE RATING</t>
        </is>
      </c>
      <c r="DQ109" s="40" t="inlineStr">
        <is>
          <t>CHOOSE RATING</t>
        </is>
      </c>
      <c r="DR109" s="43" t="inlineStr">
        <is>
          <t>2024/2025</t>
        </is>
      </c>
      <c r="DS109" s="45" t="inlineStr">
        <is>
          <t>THIRD</t>
        </is>
      </c>
      <c r="DT109" s="40" t="inlineStr">
        <is>
          <t>CHOOSE RATING</t>
        </is>
      </c>
      <c r="DU109" s="40" t="inlineStr">
        <is>
          <t>CHOOSE RATING</t>
        </is>
      </c>
      <c r="DV109" s="40" t="inlineStr">
        <is>
          <t>CHOOSE RATING</t>
        </is>
      </c>
      <c r="DW109" s="40" t="inlineStr">
        <is>
          <t>CHOOSE RATING</t>
        </is>
      </c>
      <c r="DX109" s="40" t="inlineStr">
        <is>
          <t>CHOOSE RATING</t>
        </is>
      </c>
      <c r="DY109" s="40" t="inlineStr">
        <is>
          <t>CHOOSE RATING</t>
        </is>
      </c>
      <c r="DZ109" s="53" t="inlineStr">
        <is>
          <t>CHOOSE RATING</t>
        </is>
      </c>
      <c r="EA109" s="54" t="inlineStr">
        <is>
          <t>Add the Tutor's Comment . . .</t>
        </is>
      </c>
      <c r="EB109" s="55" t="inlineStr">
        <is>
          <t>Choose Principals comment</t>
        </is>
      </c>
      <c r="EC109" s="56" t="n"/>
      <c r="ED109" s="57" t="inlineStr">
        <is>
          <t>Next Term Begins on Monday, 22nd September, 2025</t>
        </is>
      </c>
    </row>
    <row r="110" ht="30.6" customHeight="1" s="6">
      <c r="A110" s="18" t="n">
        <v>107</v>
      </c>
      <c r="B110" s="19" t="n"/>
      <c r="C110" s="20" t="n"/>
      <c r="D110" s="128" t="n"/>
      <c r="E110" s="21" t="n"/>
      <c r="F110" s="22" t="n"/>
      <c r="G110" s="22" t="n"/>
      <c r="H110" s="22" t="n"/>
      <c r="I110" s="26">
        <f>G110-H110</f>
        <v/>
      </c>
      <c r="J110" s="21" t="n"/>
      <c r="K110" s="21" t="n"/>
      <c r="L110" s="27">
        <f>SUM(J110:K110)</f>
        <v/>
      </c>
      <c r="M110" s="28" t="n"/>
      <c r="N110" s="28" t="n"/>
      <c r="O110" s="29">
        <f>IF(AND(L110=0,M110=0,N110=0),0,IF(AND(L110=0,M110=0),N110/1,IF(AND(L110=0,N110=0),M110/1,IF(AND(M110=0,N110=0),L110/1,IF(L110=0,FLOOR((M110+N110)/2,0.1),IF(M110=0,(L110+N110)/2,IF(N110=0,(M110+L110)/2,FLOOR(((L110+M110+N110)/3),0.1))))))))</f>
        <v/>
      </c>
      <c r="P110" s="21" t="n"/>
      <c r="Q110" s="21" t="n"/>
      <c r="R110" s="27">
        <f>SUM(P110:Q110)</f>
        <v/>
      </c>
      <c r="S110" s="28" t="n"/>
      <c r="T110" s="28" t="n"/>
      <c r="U110" s="29">
        <f>IF(AND(R110=0,S110=0,T110=0),0,IF(AND(R110=0,S110=0),T110/1,IF(AND(R110=0,T110=0),S110/1,IF(AND(S110=0,T110=0),R110/1,IF(R110=0,FLOOR((S110+T110)/2,0.1),IF(S110=0,(R110+T110)/2,IF(T110=0,(S110+R110)/2,FLOOR(((R110+S110+T110)/3),0.1))))))))</f>
        <v/>
      </c>
      <c r="V110" s="21" t="n"/>
      <c r="W110" s="21" t="n"/>
      <c r="X110" s="27">
        <f>SUM(V110:W110)</f>
        <v/>
      </c>
      <c r="Y110" s="28" t="n"/>
      <c r="Z110" s="28" t="n"/>
      <c r="AA110" s="29">
        <f>IF(AND(X110=0,Y110=0,Z110=0),0,IF(AND(X110=0,Y110=0),Z110/1,IF(AND(X110=0,Z110=0),Y110/1,IF(AND(Y110=0,Z110=0),X110/1,IF(X110=0,FLOOR((Y110+Z110)/2,0.1),IF(Y110=0,(X110+Z110)/2,IF(Z110=0,(Y110+X110)/2,FLOOR(((X110+Y110+Z110)/3),0.1))))))))</f>
        <v/>
      </c>
      <c r="AB110" s="21" t="n"/>
      <c r="AC110" s="21" t="n"/>
      <c r="AD110" s="27">
        <f>SUM(AB110:AC110)</f>
        <v/>
      </c>
      <c r="AE110" s="28" t="n"/>
      <c r="AF110" s="28" t="n"/>
      <c r="AG110" s="29">
        <f>IF(AND(AD110=0,AE110=0,AF110=0),0,IF(AND(AD110=0,AE110=0),AF110/1,IF(AND(AD110=0,AF110=0),AE110/1,IF(AND(AE110=0,AF110=0),AD110/1,IF(AD110=0,FLOOR((AE110+AF110)/2,0.1),IF(AE110=0,(AD110+AF110)/2,IF(AF110=0,(AE110+AD110)/2,FLOOR(((AD110+AE110+AF110)/3),0.1))))))))</f>
        <v/>
      </c>
      <c r="AH110" s="21" t="n"/>
      <c r="AI110" s="21" t="n"/>
      <c r="AJ110" s="27">
        <f>SUM(AH110:AI110)</f>
        <v/>
      </c>
      <c r="AK110" s="28" t="n"/>
      <c r="AL110" s="28" t="n"/>
      <c r="AM110" s="29">
        <f>IF(AND(AJ110=0,AK110=0,AL110=0),0,IF(AND(AJ110=0,AK110=0),AL110/1,IF(AND(AJ110=0,AL110=0),AK110/1,IF(AND(AK110=0,AL110=0),AJ110/1,IF(AJ110=0,FLOOR((AK110+AL110)/2,0.1),IF(AK110=0,(AJ110+AL110)/2,IF(AL110=0,(AK110+AJ110)/2,FLOOR(((AJ110+AK110+AL110)/3),0.1))))))))</f>
        <v/>
      </c>
      <c r="AN110" s="21" t="n"/>
      <c r="AO110" s="21" t="n"/>
      <c r="AP110" s="27">
        <f>SUM(AN110:AO110)</f>
        <v/>
      </c>
      <c r="AQ110" s="28" t="n"/>
      <c r="AR110" s="30" t="n"/>
      <c r="AS110" s="29">
        <f>IF(AND(AP110=0,AQ110=0,AR110=0),0,IF(AND(AP110=0,AQ110=0),AR110/1,IF(AND(AP110=0,AR110=0),AQ110/1,IF(AND(AQ110=0,AR110=0),AP110/1,IF(AP110=0,FLOOR((AQ110+AR110)/2,0.1),IF(AQ110=0,(AP110+AR110)/2,IF(AR110=0,(AQ110+AP110)/2,FLOOR(((AP110+AQ110+AR110)/3),0.1))))))))</f>
        <v/>
      </c>
      <c r="AT110" s="21" t="n"/>
      <c r="AU110" s="21" t="n"/>
      <c r="AV110" s="27">
        <f>SUM(AT110:AU110)</f>
        <v/>
      </c>
      <c r="AW110" s="28" t="n"/>
      <c r="AX110" s="30" t="n"/>
      <c r="AY110" s="29">
        <f>IF(AND(AV110=0,AW110=0,AX110=0),0,IF(AND(AV110=0,AW110=0),AX110/1,IF(AND(AV110=0,AX110=0),AW110/1,IF(AND(AW110=0,AX110=0),AV110/1,IF(AV110=0,FLOOR((AW110+AX110)/2,0.1),IF(AW110=0,(AV110+AX110)/2,IF(AX110=0,(AW110+AV110)/2,FLOOR(((AV110+AW110+AX110)/3),0.1))))))))</f>
        <v/>
      </c>
      <c r="AZ110" s="21" t="n"/>
      <c r="BA110" s="21" t="n"/>
      <c r="BB110" s="27">
        <f>SUM(AZ110:BA110)</f>
        <v/>
      </c>
      <c r="BC110" s="28" t="n"/>
      <c r="BD110" s="28" t="n"/>
      <c r="BE110" s="29">
        <f>IF(AND(BB110=0,BC110=0,BD110=0),0,IF(AND(BB110=0,BC110=0),BD110/1,IF(AND(BB110=0,BD110=0),BC110/1,IF(AND(BC110=0,BD110=0),BB110/1,IF(BB110=0,FLOOR((BC110+BD110)/2,0.1),IF(BC110=0,(BB110+BD110)/2,IF(BD110=0,(BC110+BB110)/2,FLOOR(((BB110+BC110+BD110)/3),0.1))))))))</f>
        <v/>
      </c>
      <c r="BF110" s="21" t="n"/>
      <c r="BG110" s="21" t="n"/>
      <c r="BH110" s="27">
        <f>SUM(BF110:BG110)</f>
        <v/>
      </c>
      <c r="BI110" s="28" t="n"/>
      <c r="BJ110" s="28" t="n"/>
      <c r="BK110" s="29">
        <f>IF(AND(BH110=0,BI110=0,BJ110=0),0,IF(AND(BH110=0,BI110=0),BJ110/1,IF(AND(BH110=0,BJ110=0),BI110/1,IF(AND(BI110=0,BJ110=0),BH110/1,IF(BH110=0,FLOOR((BI110+BJ110)/2,0.1),IF(BI110=0,(BH110+BJ110)/2,IF(BJ110=0,(BI110+BH110)/2,FLOOR(((BH110+BI110+BJ110)/3),0.1))))))))</f>
        <v/>
      </c>
      <c r="BL110" s="21" t="n"/>
      <c r="BM110" s="21" t="n"/>
      <c r="BN110" s="27">
        <f>SUM(BL110:BM110)</f>
        <v/>
      </c>
      <c r="BO110" s="28" t="n"/>
      <c r="BP110" s="31" t="n"/>
      <c r="BQ110" s="29">
        <f>IF(AND(BN110=0,BO110=0,BP110=0),0,IF(AND(BN110=0,BO110=0),BP110/1,IF(AND(BN110=0,BP110=0),BO110/1,IF(AND(BO110=0,BP110=0),BN110/1,IF(BN110=0,FLOOR((BO110+BP110)/2,0.1),IF(BO110=0,(BN110+BP110)/2,IF(BP110=0,(BO110+BN110)/2,FLOOR(((BN110+BO110+BP110)/3),0.1))))))))</f>
        <v/>
      </c>
      <c r="BR110" s="21" t="n"/>
      <c r="BS110" s="21" t="n"/>
      <c r="BT110" s="27">
        <f>SUM(BR110:BS110)</f>
        <v/>
      </c>
      <c r="BU110" s="28" t="n"/>
      <c r="BV110" s="31" t="n"/>
      <c r="BW110" s="29">
        <f>IF(AND(BT110=0,BU110=0,BV110=0),0,IF(AND(BT110=0,BU110=0),BV110/1,IF(AND(BT110=0,BV110=0),BU110/1,IF(AND(BU110=0,BV110=0),BT110/1,IF(BT110=0,FLOOR((BU110+BV110)/2,0.1),IF(BU110=0,(BT110+BV110)/2,IF(BV110=0,(BU110+BT110)/2,FLOOR(((BT110+BU110+BV110)/3),0.1))))))))</f>
        <v/>
      </c>
      <c r="BX110" s="21" t="n"/>
      <c r="BY110" s="21" t="n"/>
      <c r="BZ110" s="27">
        <f>SUM(BX110:BY110)</f>
        <v/>
      </c>
      <c r="CA110" s="28" t="n"/>
      <c r="CB110" s="31" t="n"/>
      <c r="CC110" s="29">
        <f>IF(AND(BZ110=0,CA110=0,CB110=0),0,IF(AND(BZ110=0,CA110=0),CB110/1,IF(AND(BZ110=0,CB110=0),CA110/1,IF(AND(CA110=0,CB110=0),BZ110/1,IF(BZ110=0,FLOOR((CA110+CB110)/2,0.1),IF(CA110=0,(BZ110+CB110)/2,IF(CB110=0,(CA110+BZ110)/2,FLOOR(((BZ110+CA110+CB110)/3),0.1))))))))</f>
        <v/>
      </c>
      <c r="CD110" s="21" t="n"/>
      <c r="CE110" s="21" t="n"/>
      <c r="CF110" s="27">
        <f>SUM(CD110:CE110)</f>
        <v/>
      </c>
      <c r="CG110" s="28" t="n"/>
      <c r="CH110" s="31" t="n"/>
      <c r="CI110" s="29">
        <f>IF(AND(CF110=0,CG110=0,CH110=0),0,IF(AND(CF110=0,CG110=0),CH110/1,IF(AND(CF110=0,CH110=0),CG110/1,IF(AND(CG110=0,CH110=0),CF110/1,IF(CF110=0,FLOOR((CG110+CH110)/2,0.1),IF(CG110=0,(CF110+CH110)/2,IF(CH110=0,(CG110+CF110)/2,FLOOR(((CF110+CG110+CH110)/3),0.1))))))))</f>
        <v/>
      </c>
      <c r="CJ110" s="21" t="n"/>
      <c r="CK110" s="21" t="n"/>
      <c r="CL110" s="27">
        <f>SUM(CJ110:CK110)</f>
        <v/>
      </c>
      <c r="CM110" s="28" t="n"/>
      <c r="CN110" s="31" t="n"/>
      <c r="CO110" s="29">
        <f>IF(AND(CL110=0,CM110=0,CN110=0),0,IF(AND(CL110=0,CM110=0),CN110/1,IF(AND(CL110=0,CN110=0),CM110/1,IF(AND(CM110=0,CN110=0),CL110/1,IF(CL110=0,FLOOR((CM110+CN110)/2,0.1),IF(CM110=0,(CL110+CN110)/2,IF(CN110=0,(CM110+CL110)/2,FLOOR(((CL110+CM110+CN110)/3),0.1))))))))</f>
        <v/>
      </c>
      <c r="CP110" s="21" t="n"/>
      <c r="CQ110" s="21" t="n"/>
      <c r="CR110" s="27">
        <f>SUM(CP110:CQ110)</f>
        <v/>
      </c>
      <c r="CS110" s="28" t="n"/>
      <c r="CT110" s="31" t="n"/>
      <c r="CU110" s="29">
        <f>IF(AND(CR110=0,CS110=0,CT110=0),0,IF(AND(CR110=0,CS110=0),CT110/1,IF(AND(CR110=0,CT110=0),CS110/1,IF(AND(CS110=0,CT110=0),CR110/1,IF(CR110=0,FLOOR((CS110+CT110)/2,0.1),IF(CS110=0,(CR110+CT110)/2,IF(CT110=0,(CS110+CR110)/2,FLOOR(((CR110+CS110+CT110)/3),0.1))))))))</f>
        <v/>
      </c>
      <c r="CV110" s="21" t="n"/>
      <c r="CW110" s="21" t="n"/>
      <c r="CX110" s="27">
        <f>SUM(CV110:CW110)</f>
        <v/>
      </c>
      <c r="CY110" s="28" t="n"/>
      <c r="CZ110" s="31" t="n"/>
      <c r="DA110" s="29">
        <f>IF(AND(CX110=0,CY110=0,CZ110=0),0,IF(AND(CX110=0,CY110=0),CZ110/1,IF(AND(CX110=0,CZ110=0),CY110/1,IF(AND(CY110=0,CZ110=0),CX110/1,IF(CX110=0,FLOOR((CY110+CZ110)/2,0.1),IF(CY110=0,(CX110+CZ110)/2,IF(CZ110=0,(CY110+CX110)/2,FLOOR(((CX110+CY110+CZ110)/3),0.1))))))))</f>
        <v/>
      </c>
      <c r="DB110" s="21" t="n"/>
      <c r="DC110" s="21" t="n"/>
      <c r="DD110" s="27">
        <f>SUM(DB110:DC110)</f>
        <v/>
      </c>
      <c r="DE110" s="28" t="n"/>
      <c r="DF110" s="31" t="n"/>
      <c r="DG110" s="29">
        <f>IF(AND(DD110=0,DE110=0,DF110=0),0,IF(AND(DD110=0,DE110=0),DF110/1,IF(AND(DD110=0,DF110=0),DE110/1,IF(AND(DE110=0,DF110=0),DD110/1,IF(DD110=0,FLOOR((DE110+DF110)/2,0.1),IF(DE110=0,(DD110+DF110)/2,IF(DF110=0,(DE110+DD110)/2,FLOOR(((DD110+DE110+DF110)/3),0.1))))))))</f>
        <v/>
      </c>
      <c r="DH110" s="34">
        <f>SUM(O110,U110,AA110,AG110,AM110,AS110,AY110,BE110,BK110,BQ110,BW110,CC110,CI110,CO110,CU110,DA110,DG110)</f>
        <v/>
      </c>
      <c r="DI110" s="39">
        <f>RANK(DH110,DH$4:DH$503)</f>
        <v/>
      </c>
      <c r="DJ110" s="40" t="inlineStr">
        <is>
          <t>CHOOSE RATING</t>
        </is>
      </c>
      <c r="DK110" s="40" t="inlineStr">
        <is>
          <t>CHOOSE RATING</t>
        </is>
      </c>
      <c r="DL110" s="40" t="inlineStr">
        <is>
          <t>CHOOSE RATING</t>
        </is>
      </c>
      <c r="DM110" s="40" t="inlineStr">
        <is>
          <t>CHOOSE RATING</t>
        </is>
      </c>
      <c r="DN110" s="40" t="inlineStr">
        <is>
          <t>CHOOSE RATING</t>
        </is>
      </c>
      <c r="DO110" s="40" t="inlineStr">
        <is>
          <t>CHOOSE RATING</t>
        </is>
      </c>
      <c r="DP110" s="40" t="inlineStr">
        <is>
          <t>CHOOSE RATING</t>
        </is>
      </c>
      <c r="DQ110" s="40" t="inlineStr">
        <is>
          <t>CHOOSE RATING</t>
        </is>
      </c>
      <c r="DR110" s="43" t="inlineStr">
        <is>
          <t>2024/2025</t>
        </is>
      </c>
      <c r="DS110" s="45" t="inlineStr">
        <is>
          <t>THIRD</t>
        </is>
      </c>
      <c r="DT110" s="40" t="inlineStr">
        <is>
          <t>CHOOSE RATING</t>
        </is>
      </c>
      <c r="DU110" s="40" t="inlineStr">
        <is>
          <t>CHOOSE RATING</t>
        </is>
      </c>
      <c r="DV110" s="40" t="inlineStr">
        <is>
          <t>CHOOSE RATING</t>
        </is>
      </c>
      <c r="DW110" s="40" t="inlineStr">
        <is>
          <t>CHOOSE RATING</t>
        </is>
      </c>
      <c r="DX110" s="40" t="inlineStr">
        <is>
          <t>CHOOSE RATING</t>
        </is>
      </c>
      <c r="DY110" s="40" t="inlineStr">
        <is>
          <t>CHOOSE RATING</t>
        </is>
      </c>
      <c r="DZ110" s="53" t="inlineStr">
        <is>
          <t>CHOOSE RATING</t>
        </is>
      </c>
      <c r="EA110" s="54" t="inlineStr">
        <is>
          <t>Add the Tutor's Comment . . .</t>
        </is>
      </c>
      <c r="EB110" s="55" t="inlineStr">
        <is>
          <t>Choose Principals comment</t>
        </is>
      </c>
      <c r="EC110" s="56" t="n"/>
      <c r="ED110" s="57" t="inlineStr">
        <is>
          <t>Next Term Begins on Monday, 22nd September, 2025</t>
        </is>
      </c>
    </row>
    <row r="111" ht="30.6" customHeight="1" s="6">
      <c r="A111" s="18" t="n">
        <v>108</v>
      </c>
      <c r="B111" s="19" t="n"/>
      <c r="C111" s="20" t="n"/>
      <c r="D111" s="128" t="n"/>
      <c r="E111" s="21" t="n"/>
      <c r="F111" s="22" t="n"/>
      <c r="G111" s="22" t="n"/>
      <c r="H111" s="22" t="n"/>
      <c r="I111" s="26">
        <f>G111-H111</f>
        <v/>
      </c>
      <c r="J111" s="21" t="n"/>
      <c r="K111" s="21" t="n"/>
      <c r="L111" s="27">
        <f>SUM(J111:K111)</f>
        <v/>
      </c>
      <c r="M111" s="28" t="n"/>
      <c r="N111" s="28" t="n"/>
      <c r="O111" s="29">
        <f>IF(AND(L111=0,M111=0,N111=0),0,IF(AND(L111=0,M111=0),N111/1,IF(AND(L111=0,N111=0),M111/1,IF(AND(M111=0,N111=0),L111/1,IF(L111=0,FLOOR((M111+N111)/2,0.1),IF(M111=0,(L111+N111)/2,IF(N111=0,(M111+L111)/2,FLOOR(((L111+M111+N111)/3),0.1))))))))</f>
        <v/>
      </c>
      <c r="P111" s="21" t="n"/>
      <c r="Q111" s="21" t="n"/>
      <c r="R111" s="27">
        <f>SUM(P111:Q111)</f>
        <v/>
      </c>
      <c r="S111" s="28" t="n"/>
      <c r="T111" s="28" t="n"/>
      <c r="U111" s="29">
        <f>IF(AND(R111=0,S111=0,T111=0),0,IF(AND(R111=0,S111=0),T111/1,IF(AND(R111=0,T111=0),S111/1,IF(AND(S111=0,T111=0),R111/1,IF(R111=0,FLOOR((S111+T111)/2,0.1),IF(S111=0,(R111+T111)/2,IF(T111=0,(S111+R111)/2,FLOOR(((R111+S111+T111)/3),0.1))))))))</f>
        <v/>
      </c>
      <c r="V111" s="21" t="n"/>
      <c r="W111" s="21" t="n"/>
      <c r="X111" s="27">
        <f>SUM(V111:W111)</f>
        <v/>
      </c>
      <c r="Y111" s="28" t="n"/>
      <c r="Z111" s="28" t="n"/>
      <c r="AA111" s="29">
        <f>IF(AND(X111=0,Y111=0,Z111=0),0,IF(AND(X111=0,Y111=0),Z111/1,IF(AND(X111=0,Z111=0),Y111/1,IF(AND(Y111=0,Z111=0),X111/1,IF(X111=0,FLOOR((Y111+Z111)/2,0.1),IF(Y111=0,(X111+Z111)/2,IF(Z111=0,(Y111+X111)/2,FLOOR(((X111+Y111+Z111)/3),0.1))))))))</f>
        <v/>
      </c>
      <c r="AB111" s="21" t="n"/>
      <c r="AC111" s="21" t="n"/>
      <c r="AD111" s="27">
        <f>SUM(AB111:AC111)</f>
        <v/>
      </c>
      <c r="AE111" s="28" t="n"/>
      <c r="AF111" s="28" t="n"/>
      <c r="AG111" s="29">
        <f>IF(AND(AD111=0,AE111=0,AF111=0),0,IF(AND(AD111=0,AE111=0),AF111/1,IF(AND(AD111=0,AF111=0),AE111/1,IF(AND(AE111=0,AF111=0),AD111/1,IF(AD111=0,FLOOR((AE111+AF111)/2,0.1),IF(AE111=0,(AD111+AF111)/2,IF(AF111=0,(AE111+AD111)/2,FLOOR(((AD111+AE111+AF111)/3),0.1))))))))</f>
        <v/>
      </c>
      <c r="AH111" s="21" t="n"/>
      <c r="AI111" s="21" t="n"/>
      <c r="AJ111" s="27">
        <f>SUM(AH111:AI111)</f>
        <v/>
      </c>
      <c r="AK111" s="28" t="n"/>
      <c r="AL111" s="28" t="n"/>
      <c r="AM111" s="29">
        <f>IF(AND(AJ111=0,AK111=0,AL111=0),0,IF(AND(AJ111=0,AK111=0),AL111/1,IF(AND(AJ111=0,AL111=0),AK111/1,IF(AND(AK111=0,AL111=0),AJ111/1,IF(AJ111=0,FLOOR((AK111+AL111)/2,0.1),IF(AK111=0,(AJ111+AL111)/2,IF(AL111=0,(AK111+AJ111)/2,FLOOR(((AJ111+AK111+AL111)/3),0.1))))))))</f>
        <v/>
      </c>
      <c r="AN111" s="21" t="n"/>
      <c r="AO111" s="21" t="n"/>
      <c r="AP111" s="27">
        <f>SUM(AN111:AO111)</f>
        <v/>
      </c>
      <c r="AQ111" s="28" t="n"/>
      <c r="AR111" s="30" t="n"/>
      <c r="AS111" s="29">
        <f>IF(AND(AP111=0,AQ111=0,AR111=0),0,IF(AND(AP111=0,AQ111=0),AR111/1,IF(AND(AP111=0,AR111=0),AQ111/1,IF(AND(AQ111=0,AR111=0),AP111/1,IF(AP111=0,FLOOR((AQ111+AR111)/2,0.1),IF(AQ111=0,(AP111+AR111)/2,IF(AR111=0,(AQ111+AP111)/2,FLOOR(((AP111+AQ111+AR111)/3),0.1))))))))</f>
        <v/>
      </c>
      <c r="AT111" s="21" t="n"/>
      <c r="AU111" s="21" t="n"/>
      <c r="AV111" s="27">
        <f>SUM(AT111:AU111)</f>
        <v/>
      </c>
      <c r="AW111" s="28" t="n"/>
      <c r="AX111" s="30" t="n"/>
      <c r="AY111" s="29">
        <f>IF(AND(AV111=0,AW111=0,AX111=0),0,IF(AND(AV111=0,AW111=0),AX111/1,IF(AND(AV111=0,AX111=0),AW111/1,IF(AND(AW111=0,AX111=0),AV111/1,IF(AV111=0,FLOOR((AW111+AX111)/2,0.1),IF(AW111=0,(AV111+AX111)/2,IF(AX111=0,(AW111+AV111)/2,FLOOR(((AV111+AW111+AX111)/3),0.1))))))))</f>
        <v/>
      </c>
      <c r="AZ111" s="21" t="n"/>
      <c r="BA111" s="21" t="n"/>
      <c r="BB111" s="27">
        <f>SUM(AZ111:BA111)</f>
        <v/>
      </c>
      <c r="BC111" s="28" t="n"/>
      <c r="BD111" s="28" t="n"/>
      <c r="BE111" s="29">
        <f>IF(AND(BB111=0,BC111=0,BD111=0),0,IF(AND(BB111=0,BC111=0),BD111/1,IF(AND(BB111=0,BD111=0),BC111/1,IF(AND(BC111=0,BD111=0),BB111/1,IF(BB111=0,FLOOR((BC111+BD111)/2,0.1),IF(BC111=0,(BB111+BD111)/2,IF(BD111=0,(BC111+BB111)/2,FLOOR(((BB111+BC111+BD111)/3),0.1))))))))</f>
        <v/>
      </c>
      <c r="BF111" s="21" t="n"/>
      <c r="BG111" s="21" t="n"/>
      <c r="BH111" s="27">
        <f>SUM(BF111:BG111)</f>
        <v/>
      </c>
      <c r="BI111" s="28" t="n"/>
      <c r="BJ111" s="28" t="n"/>
      <c r="BK111" s="29">
        <f>IF(AND(BH111=0,BI111=0,BJ111=0),0,IF(AND(BH111=0,BI111=0),BJ111/1,IF(AND(BH111=0,BJ111=0),BI111/1,IF(AND(BI111=0,BJ111=0),BH111/1,IF(BH111=0,FLOOR((BI111+BJ111)/2,0.1),IF(BI111=0,(BH111+BJ111)/2,IF(BJ111=0,(BI111+BH111)/2,FLOOR(((BH111+BI111+BJ111)/3),0.1))))))))</f>
        <v/>
      </c>
      <c r="BL111" s="21" t="n"/>
      <c r="BM111" s="21" t="n"/>
      <c r="BN111" s="27">
        <f>SUM(BL111:BM111)</f>
        <v/>
      </c>
      <c r="BO111" s="28" t="n"/>
      <c r="BP111" s="31" t="n"/>
      <c r="BQ111" s="29">
        <f>IF(AND(BN111=0,BO111=0,BP111=0),0,IF(AND(BN111=0,BO111=0),BP111/1,IF(AND(BN111=0,BP111=0),BO111/1,IF(AND(BO111=0,BP111=0),BN111/1,IF(BN111=0,FLOOR((BO111+BP111)/2,0.1),IF(BO111=0,(BN111+BP111)/2,IF(BP111=0,(BO111+BN111)/2,FLOOR(((BN111+BO111+BP111)/3),0.1))))))))</f>
        <v/>
      </c>
      <c r="BR111" s="21" t="n"/>
      <c r="BS111" s="21" t="n"/>
      <c r="BT111" s="27">
        <f>SUM(BR111:BS111)</f>
        <v/>
      </c>
      <c r="BU111" s="28" t="n"/>
      <c r="BV111" s="31" t="n"/>
      <c r="BW111" s="29">
        <f>IF(AND(BT111=0,BU111=0,BV111=0),0,IF(AND(BT111=0,BU111=0),BV111/1,IF(AND(BT111=0,BV111=0),BU111/1,IF(AND(BU111=0,BV111=0),BT111/1,IF(BT111=0,FLOOR((BU111+BV111)/2,0.1),IF(BU111=0,(BT111+BV111)/2,IF(BV111=0,(BU111+BT111)/2,FLOOR(((BT111+BU111+BV111)/3),0.1))))))))</f>
        <v/>
      </c>
      <c r="BX111" s="21" t="n"/>
      <c r="BY111" s="21" t="n"/>
      <c r="BZ111" s="27">
        <f>SUM(BX111:BY111)</f>
        <v/>
      </c>
      <c r="CA111" s="28" t="n"/>
      <c r="CB111" s="31" t="n"/>
      <c r="CC111" s="29">
        <f>IF(AND(BZ111=0,CA111=0,CB111=0),0,IF(AND(BZ111=0,CA111=0),CB111/1,IF(AND(BZ111=0,CB111=0),CA111/1,IF(AND(CA111=0,CB111=0),BZ111/1,IF(BZ111=0,FLOOR((CA111+CB111)/2,0.1),IF(CA111=0,(BZ111+CB111)/2,IF(CB111=0,(CA111+BZ111)/2,FLOOR(((BZ111+CA111+CB111)/3),0.1))))))))</f>
        <v/>
      </c>
      <c r="CD111" s="21" t="n"/>
      <c r="CE111" s="21" t="n"/>
      <c r="CF111" s="27">
        <f>SUM(CD111:CE111)</f>
        <v/>
      </c>
      <c r="CG111" s="28" t="n"/>
      <c r="CH111" s="31" t="n"/>
      <c r="CI111" s="29">
        <f>IF(AND(CF111=0,CG111=0,CH111=0),0,IF(AND(CF111=0,CG111=0),CH111/1,IF(AND(CF111=0,CH111=0),CG111/1,IF(AND(CG111=0,CH111=0),CF111/1,IF(CF111=0,FLOOR((CG111+CH111)/2,0.1),IF(CG111=0,(CF111+CH111)/2,IF(CH111=0,(CG111+CF111)/2,FLOOR(((CF111+CG111+CH111)/3),0.1))))))))</f>
        <v/>
      </c>
      <c r="CJ111" s="21" t="n"/>
      <c r="CK111" s="21" t="n"/>
      <c r="CL111" s="27">
        <f>SUM(CJ111:CK111)</f>
        <v/>
      </c>
      <c r="CM111" s="28" t="n"/>
      <c r="CN111" s="31" t="n"/>
      <c r="CO111" s="29">
        <f>IF(AND(CL111=0,CM111=0,CN111=0),0,IF(AND(CL111=0,CM111=0),CN111/1,IF(AND(CL111=0,CN111=0),CM111/1,IF(AND(CM111=0,CN111=0),CL111/1,IF(CL111=0,FLOOR((CM111+CN111)/2,0.1),IF(CM111=0,(CL111+CN111)/2,IF(CN111=0,(CM111+CL111)/2,FLOOR(((CL111+CM111+CN111)/3),0.1))))))))</f>
        <v/>
      </c>
      <c r="CP111" s="21" t="n"/>
      <c r="CQ111" s="21" t="n"/>
      <c r="CR111" s="27">
        <f>SUM(CP111:CQ111)</f>
        <v/>
      </c>
      <c r="CS111" s="28" t="n"/>
      <c r="CT111" s="31" t="n"/>
      <c r="CU111" s="29">
        <f>IF(AND(CR111=0,CS111=0,CT111=0),0,IF(AND(CR111=0,CS111=0),CT111/1,IF(AND(CR111=0,CT111=0),CS111/1,IF(AND(CS111=0,CT111=0),CR111/1,IF(CR111=0,FLOOR((CS111+CT111)/2,0.1),IF(CS111=0,(CR111+CT111)/2,IF(CT111=0,(CS111+CR111)/2,FLOOR(((CR111+CS111+CT111)/3),0.1))))))))</f>
        <v/>
      </c>
      <c r="CV111" s="21" t="n"/>
      <c r="CW111" s="21" t="n"/>
      <c r="CX111" s="27">
        <f>SUM(CV111:CW111)</f>
        <v/>
      </c>
      <c r="CY111" s="28" t="n"/>
      <c r="CZ111" s="31" t="n"/>
      <c r="DA111" s="29">
        <f>IF(AND(CX111=0,CY111=0,CZ111=0),0,IF(AND(CX111=0,CY111=0),CZ111/1,IF(AND(CX111=0,CZ111=0),CY111/1,IF(AND(CY111=0,CZ111=0),CX111/1,IF(CX111=0,FLOOR((CY111+CZ111)/2,0.1),IF(CY111=0,(CX111+CZ111)/2,IF(CZ111=0,(CY111+CX111)/2,FLOOR(((CX111+CY111+CZ111)/3),0.1))))))))</f>
        <v/>
      </c>
      <c r="DB111" s="21" t="n"/>
      <c r="DC111" s="21" t="n"/>
      <c r="DD111" s="27">
        <f>SUM(DB111:DC111)</f>
        <v/>
      </c>
      <c r="DE111" s="28" t="n"/>
      <c r="DF111" s="31" t="n"/>
      <c r="DG111" s="29">
        <f>IF(AND(DD111=0,DE111=0,DF111=0),0,IF(AND(DD111=0,DE111=0),DF111/1,IF(AND(DD111=0,DF111=0),DE111/1,IF(AND(DE111=0,DF111=0),DD111/1,IF(DD111=0,FLOOR((DE111+DF111)/2,0.1),IF(DE111=0,(DD111+DF111)/2,IF(DF111=0,(DE111+DD111)/2,FLOOR(((DD111+DE111+DF111)/3),0.1))))))))</f>
        <v/>
      </c>
      <c r="DH111" s="34">
        <f>SUM(O111,U111,AA111,AG111,AM111,AS111,AY111,BE111,BK111,BQ111,BW111,CC111,CI111,CO111,CU111,DA111,DG111)</f>
        <v/>
      </c>
      <c r="DI111" s="39">
        <f>RANK(DH111,DH$4:DH$503)</f>
        <v/>
      </c>
      <c r="DJ111" s="40" t="inlineStr">
        <is>
          <t>CHOOSE RATING</t>
        </is>
      </c>
      <c r="DK111" s="40" t="inlineStr">
        <is>
          <t>CHOOSE RATING</t>
        </is>
      </c>
      <c r="DL111" s="40" t="inlineStr">
        <is>
          <t>CHOOSE RATING</t>
        </is>
      </c>
      <c r="DM111" s="40" t="inlineStr">
        <is>
          <t>CHOOSE RATING</t>
        </is>
      </c>
      <c r="DN111" s="40" t="inlineStr">
        <is>
          <t>CHOOSE RATING</t>
        </is>
      </c>
      <c r="DO111" s="40" t="inlineStr">
        <is>
          <t>CHOOSE RATING</t>
        </is>
      </c>
      <c r="DP111" s="40" t="inlineStr">
        <is>
          <t>CHOOSE RATING</t>
        </is>
      </c>
      <c r="DQ111" s="40" t="inlineStr">
        <is>
          <t>CHOOSE RATING</t>
        </is>
      </c>
      <c r="DR111" s="43" t="inlineStr">
        <is>
          <t>2024/2025</t>
        </is>
      </c>
      <c r="DS111" s="45" t="inlineStr">
        <is>
          <t>THIRD</t>
        </is>
      </c>
      <c r="DT111" s="40" t="inlineStr">
        <is>
          <t>CHOOSE RATING</t>
        </is>
      </c>
      <c r="DU111" s="40" t="inlineStr">
        <is>
          <t>CHOOSE RATING</t>
        </is>
      </c>
      <c r="DV111" s="40" t="inlineStr">
        <is>
          <t>CHOOSE RATING</t>
        </is>
      </c>
      <c r="DW111" s="40" t="inlineStr">
        <is>
          <t>CHOOSE RATING</t>
        </is>
      </c>
      <c r="DX111" s="40" t="inlineStr">
        <is>
          <t>CHOOSE RATING</t>
        </is>
      </c>
      <c r="DY111" s="40" t="inlineStr">
        <is>
          <t>CHOOSE RATING</t>
        </is>
      </c>
      <c r="DZ111" s="53" t="inlineStr">
        <is>
          <t>CHOOSE RATING</t>
        </is>
      </c>
      <c r="EA111" s="54" t="inlineStr">
        <is>
          <t>Add the Tutor's Comment . . .</t>
        </is>
      </c>
      <c r="EB111" s="55" t="inlineStr">
        <is>
          <t>Choose Principals comment</t>
        </is>
      </c>
      <c r="EC111" s="56" t="n"/>
      <c r="ED111" s="57" t="inlineStr">
        <is>
          <t>Next Term Begins on Monday, 22nd September, 2025</t>
        </is>
      </c>
    </row>
    <row r="112" ht="30.6" customHeight="1" s="6">
      <c r="A112" s="18" t="n">
        <v>109</v>
      </c>
      <c r="B112" s="19" t="n"/>
      <c r="C112" s="20" t="n"/>
      <c r="D112" s="128" t="n"/>
      <c r="E112" s="21" t="n"/>
      <c r="F112" s="22" t="n"/>
      <c r="G112" s="22" t="n"/>
      <c r="H112" s="22" t="n"/>
      <c r="I112" s="26">
        <f>G112-H112</f>
        <v/>
      </c>
      <c r="J112" s="21" t="n"/>
      <c r="K112" s="21" t="n"/>
      <c r="L112" s="27">
        <f>SUM(J112:K112)</f>
        <v/>
      </c>
      <c r="M112" s="28" t="n"/>
      <c r="N112" s="28" t="n"/>
      <c r="O112" s="29">
        <f>IF(AND(L112=0,M112=0,N112=0),0,IF(AND(L112=0,M112=0),N112/1,IF(AND(L112=0,N112=0),M112/1,IF(AND(M112=0,N112=0),L112/1,IF(L112=0,FLOOR((M112+N112)/2,0.1),IF(M112=0,(L112+N112)/2,IF(N112=0,(M112+L112)/2,FLOOR(((L112+M112+N112)/3),0.1))))))))</f>
        <v/>
      </c>
      <c r="P112" s="21" t="n"/>
      <c r="Q112" s="21" t="n"/>
      <c r="R112" s="27">
        <f>SUM(P112:Q112)</f>
        <v/>
      </c>
      <c r="S112" s="28" t="n"/>
      <c r="T112" s="28" t="n"/>
      <c r="U112" s="29">
        <f>IF(AND(R112=0,S112=0,T112=0),0,IF(AND(R112=0,S112=0),T112/1,IF(AND(R112=0,T112=0),S112/1,IF(AND(S112=0,T112=0),R112/1,IF(R112=0,FLOOR((S112+T112)/2,0.1),IF(S112=0,(R112+T112)/2,IF(T112=0,(S112+R112)/2,FLOOR(((R112+S112+T112)/3),0.1))))))))</f>
        <v/>
      </c>
      <c r="V112" s="21" t="n"/>
      <c r="W112" s="21" t="n"/>
      <c r="X112" s="27">
        <f>SUM(V112:W112)</f>
        <v/>
      </c>
      <c r="Y112" s="28" t="n"/>
      <c r="Z112" s="28" t="n"/>
      <c r="AA112" s="29">
        <f>IF(AND(X112=0,Y112=0,Z112=0),0,IF(AND(X112=0,Y112=0),Z112/1,IF(AND(X112=0,Z112=0),Y112/1,IF(AND(Y112=0,Z112=0),X112/1,IF(X112=0,FLOOR((Y112+Z112)/2,0.1),IF(Y112=0,(X112+Z112)/2,IF(Z112=0,(Y112+X112)/2,FLOOR(((X112+Y112+Z112)/3),0.1))))))))</f>
        <v/>
      </c>
      <c r="AB112" s="21" t="n"/>
      <c r="AC112" s="21" t="n"/>
      <c r="AD112" s="27">
        <f>SUM(AB112:AC112)</f>
        <v/>
      </c>
      <c r="AE112" s="28" t="n"/>
      <c r="AF112" s="28" t="n"/>
      <c r="AG112" s="29">
        <f>IF(AND(AD112=0,AE112=0,AF112=0),0,IF(AND(AD112=0,AE112=0),AF112/1,IF(AND(AD112=0,AF112=0),AE112/1,IF(AND(AE112=0,AF112=0),AD112/1,IF(AD112=0,FLOOR((AE112+AF112)/2,0.1),IF(AE112=0,(AD112+AF112)/2,IF(AF112=0,(AE112+AD112)/2,FLOOR(((AD112+AE112+AF112)/3),0.1))))))))</f>
        <v/>
      </c>
      <c r="AH112" s="21" t="n"/>
      <c r="AI112" s="21" t="n"/>
      <c r="AJ112" s="27">
        <f>SUM(AH112:AI112)</f>
        <v/>
      </c>
      <c r="AK112" s="28" t="n"/>
      <c r="AL112" s="28" t="n"/>
      <c r="AM112" s="29">
        <f>IF(AND(AJ112=0,AK112=0,AL112=0),0,IF(AND(AJ112=0,AK112=0),AL112/1,IF(AND(AJ112=0,AL112=0),AK112/1,IF(AND(AK112=0,AL112=0),AJ112/1,IF(AJ112=0,FLOOR((AK112+AL112)/2,0.1),IF(AK112=0,(AJ112+AL112)/2,IF(AL112=0,(AK112+AJ112)/2,FLOOR(((AJ112+AK112+AL112)/3),0.1))))))))</f>
        <v/>
      </c>
      <c r="AN112" s="21" t="n"/>
      <c r="AO112" s="21" t="n"/>
      <c r="AP112" s="27">
        <f>SUM(AN112:AO112)</f>
        <v/>
      </c>
      <c r="AQ112" s="28" t="n"/>
      <c r="AR112" s="30" t="n"/>
      <c r="AS112" s="29">
        <f>IF(AND(AP112=0,AQ112=0,AR112=0),0,IF(AND(AP112=0,AQ112=0),AR112/1,IF(AND(AP112=0,AR112=0),AQ112/1,IF(AND(AQ112=0,AR112=0),AP112/1,IF(AP112=0,FLOOR((AQ112+AR112)/2,0.1),IF(AQ112=0,(AP112+AR112)/2,IF(AR112=0,(AQ112+AP112)/2,FLOOR(((AP112+AQ112+AR112)/3),0.1))))))))</f>
        <v/>
      </c>
      <c r="AT112" s="21" t="n"/>
      <c r="AU112" s="21" t="n"/>
      <c r="AV112" s="27">
        <f>SUM(AT112:AU112)</f>
        <v/>
      </c>
      <c r="AW112" s="28" t="n"/>
      <c r="AX112" s="30" t="n"/>
      <c r="AY112" s="29">
        <f>IF(AND(AV112=0,AW112=0,AX112=0),0,IF(AND(AV112=0,AW112=0),AX112/1,IF(AND(AV112=0,AX112=0),AW112/1,IF(AND(AW112=0,AX112=0),AV112/1,IF(AV112=0,FLOOR((AW112+AX112)/2,0.1),IF(AW112=0,(AV112+AX112)/2,IF(AX112=0,(AW112+AV112)/2,FLOOR(((AV112+AW112+AX112)/3),0.1))))))))</f>
        <v/>
      </c>
      <c r="AZ112" s="21" t="n"/>
      <c r="BA112" s="21" t="n"/>
      <c r="BB112" s="27">
        <f>SUM(AZ112:BA112)</f>
        <v/>
      </c>
      <c r="BC112" s="28" t="n"/>
      <c r="BD112" s="28" t="n"/>
      <c r="BE112" s="29">
        <f>IF(AND(BB112=0,BC112=0,BD112=0),0,IF(AND(BB112=0,BC112=0),BD112/1,IF(AND(BB112=0,BD112=0),BC112/1,IF(AND(BC112=0,BD112=0),BB112/1,IF(BB112=0,FLOOR((BC112+BD112)/2,0.1),IF(BC112=0,(BB112+BD112)/2,IF(BD112=0,(BC112+BB112)/2,FLOOR(((BB112+BC112+BD112)/3),0.1))))))))</f>
        <v/>
      </c>
      <c r="BF112" s="21" t="n"/>
      <c r="BG112" s="21" t="n"/>
      <c r="BH112" s="27">
        <f>SUM(BF112:BG112)</f>
        <v/>
      </c>
      <c r="BI112" s="28" t="n"/>
      <c r="BJ112" s="28" t="n"/>
      <c r="BK112" s="29">
        <f>IF(AND(BH112=0,BI112=0,BJ112=0),0,IF(AND(BH112=0,BI112=0),BJ112/1,IF(AND(BH112=0,BJ112=0),BI112/1,IF(AND(BI112=0,BJ112=0),BH112/1,IF(BH112=0,FLOOR((BI112+BJ112)/2,0.1),IF(BI112=0,(BH112+BJ112)/2,IF(BJ112=0,(BI112+BH112)/2,FLOOR(((BH112+BI112+BJ112)/3),0.1))))))))</f>
        <v/>
      </c>
      <c r="BL112" s="21" t="n"/>
      <c r="BM112" s="21" t="n"/>
      <c r="BN112" s="27">
        <f>SUM(BL112:BM112)</f>
        <v/>
      </c>
      <c r="BO112" s="28" t="n"/>
      <c r="BP112" s="31" t="n"/>
      <c r="BQ112" s="29">
        <f>IF(AND(BN112=0,BO112=0,BP112=0),0,IF(AND(BN112=0,BO112=0),BP112/1,IF(AND(BN112=0,BP112=0),BO112/1,IF(AND(BO112=0,BP112=0),BN112/1,IF(BN112=0,FLOOR((BO112+BP112)/2,0.1),IF(BO112=0,(BN112+BP112)/2,IF(BP112=0,(BO112+BN112)/2,FLOOR(((BN112+BO112+BP112)/3),0.1))))))))</f>
        <v/>
      </c>
      <c r="BR112" s="21" t="n"/>
      <c r="BS112" s="21" t="n"/>
      <c r="BT112" s="27">
        <f>SUM(BR112:BS112)</f>
        <v/>
      </c>
      <c r="BU112" s="28" t="n"/>
      <c r="BV112" s="31" t="n"/>
      <c r="BW112" s="29">
        <f>IF(AND(BT112=0,BU112=0,BV112=0),0,IF(AND(BT112=0,BU112=0),BV112/1,IF(AND(BT112=0,BV112=0),BU112/1,IF(AND(BU112=0,BV112=0),BT112/1,IF(BT112=0,FLOOR((BU112+BV112)/2,0.1),IF(BU112=0,(BT112+BV112)/2,IF(BV112=0,(BU112+BT112)/2,FLOOR(((BT112+BU112+BV112)/3),0.1))))))))</f>
        <v/>
      </c>
      <c r="BX112" s="21" t="n"/>
      <c r="BY112" s="21" t="n"/>
      <c r="BZ112" s="27">
        <f>SUM(BX112:BY112)</f>
        <v/>
      </c>
      <c r="CA112" s="28" t="n"/>
      <c r="CB112" s="31" t="n"/>
      <c r="CC112" s="29">
        <f>IF(AND(BZ112=0,CA112=0,CB112=0),0,IF(AND(BZ112=0,CA112=0),CB112/1,IF(AND(BZ112=0,CB112=0),CA112/1,IF(AND(CA112=0,CB112=0),BZ112/1,IF(BZ112=0,FLOOR((CA112+CB112)/2,0.1),IF(CA112=0,(BZ112+CB112)/2,IF(CB112=0,(CA112+BZ112)/2,FLOOR(((BZ112+CA112+CB112)/3),0.1))))))))</f>
        <v/>
      </c>
      <c r="CD112" s="21" t="n"/>
      <c r="CE112" s="21" t="n"/>
      <c r="CF112" s="27">
        <f>SUM(CD112:CE112)</f>
        <v/>
      </c>
      <c r="CG112" s="28" t="n"/>
      <c r="CH112" s="31" t="n"/>
      <c r="CI112" s="29">
        <f>IF(AND(CF112=0,CG112=0,CH112=0),0,IF(AND(CF112=0,CG112=0),CH112/1,IF(AND(CF112=0,CH112=0),CG112/1,IF(AND(CG112=0,CH112=0),CF112/1,IF(CF112=0,FLOOR((CG112+CH112)/2,0.1),IF(CG112=0,(CF112+CH112)/2,IF(CH112=0,(CG112+CF112)/2,FLOOR(((CF112+CG112+CH112)/3),0.1))))))))</f>
        <v/>
      </c>
      <c r="CJ112" s="21" t="n"/>
      <c r="CK112" s="21" t="n"/>
      <c r="CL112" s="27">
        <f>SUM(CJ112:CK112)</f>
        <v/>
      </c>
      <c r="CM112" s="28" t="n"/>
      <c r="CN112" s="31" t="n"/>
      <c r="CO112" s="29">
        <f>IF(AND(CL112=0,CM112=0,CN112=0),0,IF(AND(CL112=0,CM112=0),CN112/1,IF(AND(CL112=0,CN112=0),CM112/1,IF(AND(CM112=0,CN112=0),CL112/1,IF(CL112=0,FLOOR((CM112+CN112)/2,0.1),IF(CM112=0,(CL112+CN112)/2,IF(CN112=0,(CM112+CL112)/2,FLOOR(((CL112+CM112+CN112)/3),0.1))))))))</f>
        <v/>
      </c>
      <c r="CP112" s="21" t="n"/>
      <c r="CQ112" s="21" t="n"/>
      <c r="CR112" s="27">
        <f>SUM(CP112:CQ112)</f>
        <v/>
      </c>
      <c r="CS112" s="28" t="n"/>
      <c r="CT112" s="31" t="n"/>
      <c r="CU112" s="29">
        <f>IF(AND(CR112=0,CS112=0,CT112=0),0,IF(AND(CR112=0,CS112=0),CT112/1,IF(AND(CR112=0,CT112=0),CS112/1,IF(AND(CS112=0,CT112=0),CR112/1,IF(CR112=0,FLOOR((CS112+CT112)/2,0.1),IF(CS112=0,(CR112+CT112)/2,IF(CT112=0,(CS112+CR112)/2,FLOOR(((CR112+CS112+CT112)/3),0.1))))))))</f>
        <v/>
      </c>
      <c r="CV112" s="21" t="n"/>
      <c r="CW112" s="21" t="n"/>
      <c r="CX112" s="27">
        <f>SUM(CV112:CW112)</f>
        <v/>
      </c>
      <c r="CY112" s="28" t="n"/>
      <c r="CZ112" s="31" t="n"/>
      <c r="DA112" s="29">
        <f>IF(AND(CX112=0,CY112=0,CZ112=0),0,IF(AND(CX112=0,CY112=0),CZ112/1,IF(AND(CX112=0,CZ112=0),CY112/1,IF(AND(CY112=0,CZ112=0),CX112/1,IF(CX112=0,FLOOR((CY112+CZ112)/2,0.1),IF(CY112=0,(CX112+CZ112)/2,IF(CZ112=0,(CY112+CX112)/2,FLOOR(((CX112+CY112+CZ112)/3),0.1))))))))</f>
        <v/>
      </c>
      <c r="DB112" s="21" t="n"/>
      <c r="DC112" s="21" t="n"/>
      <c r="DD112" s="27">
        <f>SUM(DB112:DC112)</f>
        <v/>
      </c>
      <c r="DE112" s="28" t="n"/>
      <c r="DF112" s="31" t="n"/>
      <c r="DG112" s="29">
        <f>IF(AND(DD112=0,DE112=0,DF112=0),0,IF(AND(DD112=0,DE112=0),DF112/1,IF(AND(DD112=0,DF112=0),DE112/1,IF(AND(DE112=0,DF112=0),DD112/1,IF(DD112=0,FLOOR((DE112+DF112)/2,0.1),IF(DE112=0,(DD112+DF112)/2,IF(DF112=0,(DE112+DD112)/2,FLOOR(((DD112+DE112+DF112)/3),0.1))))))))</f>
        <v/>
      </c>
      <c r="DH112" s="34">
        <f>SUM(O112,U112,AA112,AG112,AM112,AS112,AY112,BE112,BK112,BQ112,BW112,CC112,CI112,CO112,CU112,DA112,DG112)</f>
        <v/>
      </c>
      <c r="DI112" s="39">
        <f>RANK(DH112,DH$4:DH$503)</f>
        <v/>
      </c>
      <c r="DJ112" s="40" t="inlineStr">
        <is>
          <t>CHOOSE RATING</t>
        </is>
      </c>
      <c r="DK112" s="40" t="inlineStr">
        <is>
          <t>CHOOSE RATING</t>
        </is>
      </c>
      <c r="DL112" s="40" t="inlineStr">
        <is>
          <t>CHOOSE RATING</t>
        </is>
      </c>
      <c r="DM112" s="40" t="inlineStr">
        <is>
          <t>CHOOSE RATING</t>
        </is>
      </c>
      <c r="DN112" s="40" t="inlineStr">
        <is>
          <t>CHOOSE RATING</t>
        </is>
      </c>
      <c r="DO112" s="40" t="inlineStr">
        <is>
          <t>CHOOSE RATING</t>
        </is>
      </c>
      <c r="DP112" s="40" t="inlineStr">
        <is>
          <t>CHOOSE RATING</t>
        </is>
      </c>
      <c r="DQ112" s="40" t="inlineStr">
        <is>
          <t>CHOOSE RATING</t>
        </is>
      </c>
      <c r="DR112" s="43" t="inlineStr">
        <is>
          <t>2024/2025</t>
        </is>
      </c>
      <c r="DS112" s="45" t="inlineStr">
        <is>
          <t>THIRD</t>
        </is>
      </c>
      <c r="DT112" s="40" t="inlineStr">
        <is>
          <t>CHOOSE RATING</t>
        </is>
      </c>
      <c r="DU112" s="40" t="inlineStr">
        <is>
          <t>CHOOSE RATING</t>
        </is>
      </c>
      <c r="DV112" s="40" t="inlineStr">
        <is>
          <t>CHOOSE RATING</t>
        </is>
      </c>
      <c r="DW112" s="40" t="inlineStr">
        <is>
          <t>CHOOSE RATING</t>
        </is>
      </c>
      <c r="DX112" s="40" t="inlineStr">
        <is>
          <t>CHOOSE RATING</t>
        </is>
      </c>
      <c r="DY112" s="40" t="inlineStr">
        <is>
          <t>CHOOSE RATING</t>
        </is>
      </c>
      <c r="DZ112" s="53" t="inlineStr">
        <is>
          <t>CHOOSE RATING</t>
        </is>
      </c>
      <c r="EA112" s="54" t="inlineStr">
        <is>
          <t>Add the Tutor's Comment . . .</t>
        </is>
      </c>
      <c r="EB112" s="55" t="inlineStr">
        <is>
          <t>Choose Principals comment</t>
        </is>
      </c>
      <c r="EC112" s="56" t="n"/>
      <c r="ED112" s="57" t="inlineStr">
        <is>
          <t>Next Term Begins on Monday, 22nd September, 2025</t>
        </is>
      </c>
    </row>
    <row r="113" ht="30.6" customHeight="1" s="6">
      <c r="A113" s="18" t="n">
        <v>110</v>
      </c>
      <c r="B113" s="19" t="n"/>
      <c r="C113" s="20" t="n"/>
      <c r="D113" s="128" t="n"/>
      <c r="E113" s="21" t="n"/>
      <c r="F113" s="22" t="n"/>
      <c r="G113" s="22" t="n"/>
      <c r="H113" s="22" t="n"/>
      <c r="I113" s="26">
        <f>G113-H113</f>
        <v/>
      </c>
      <c r="J113" s="21" t="n"/>
      <c r="K113" s="21" t="n"/>
      <c r="L113" s="27">
        <f>SUM(J113:K113)</f>
        <v/>
      </c>
      <c r="M113" s="28" t="n"/>
      <c r="N113" s="28" t="n"/>
      <c r="O113" s="29">
        <f>IF(AND(L113=0,M113=0,N113=0),0,IF(AND(L113=0,M113=0),N113/1,IF(AND(L113=0,N113=0),M113/1,IF(AND(M113=0,N113=0),L113/1,IF(L113=0,FLOOR((M113+N113)/2,0.1),IF(M113=0,(L113+N113)/2,IF(N113=0,(M113+L113)/2,FLOOR(((L113+M113+N113)/3),0.1))))))))</f>
        <v/>
      </c>
      <c r="P113" s="21" t="n"/>
      <c r="Q113" s="21" t="n"/>
      <c r="R113" s="27">
        <f>SUM(P113:Q113)</f>
        <v/>
      </c>
      <c r="S113" s="28" t="n"/>
      <c r="T113" s="28" t="n"/>
      <c r="U113" s="29">
        <f>IF(AND(R113=0,S113=0,T113=0),0,IF(AND(R113=0,S113=0),T113/1,IF(AND(R113=0,T113=0),S113/1,IF(AND(S113=0,T113=0),R113/1,IF(R113=0,FLOOR((S113+T113)/2,0.1),IF(S113=0,(R113+T113)/2,IF(T113=0,(S113+R113)/2,FLOOR(((R113+S113+T113)/3),0.1))))))))</f>
        <v/>
      </c>
      <c r="V113" s="21" t="n"/>
      <c r="W113" s="21" t="n"/>
      <c r="X113" s="27">
        <f>SUM(V113:W113)</f>
        <v/>
      </c>
      <c r="Y113" s="28" t="n"/>
      <c r="Z113" s="28" t="n"/>
      <c r="AA113" s="29">
        <f>IF(AND(X113=0,Y113=0,Z113=0),0,IF(AND(X113=0,Y113=0),Z113/1,IF(AND(X113=0,Z113=0),Y113/1,IF(AND(Y113=0,Z113=0),X113/1,IF(X113=0,FLOOR((Y113+Z113)/2,0.1),IF(Y113=0,(X113+Z113)/2,IF(Z113=0,(Y113+X113)/2,FLOOR(((X113+Y113+Z113)/3),0.1))))))))</f>
        <v/>
      </c>
      <c r="AB113" s="21" t="n"/>
      <c r="AC113" s="21" t="n"/>
      <c r="AD113" s="27">
        <f>SUM(AB113:AC113)</f>
        <v/>
      </c>
      <c r="AE113" s="28" t="n"/>
      <c r="AF113" s="28" t="n"/>
      <c r="AG113" s="29">
        <f>IF(AND(AD113=0,AE113=0,AF113=0),0,IF(AND(AD113=0,AE113=0),AF113/1,IF(AND(AD113=0,AF113=0),AE113/1,IF(AND(AE113=0,AF113=0),AD113/1,IF(AD113=0,FLOOR((AE113+AF113)/2,0.1),IF(AE113=0,(AD113+AF113)/2,IF(AF113=0,(AE113+AD113)/2,FLOOR(((AD113+AE113+AF113)/3),0.1))))))))</f>
        <v/>
      </c>
      <c r="AH113" s="21" t="n"/>
      <c r="AI113" s="21" t="n"/>
      <c r="AJ113" s="27">
        <f>SUM(AH113:AI113)</f>
        <v/>
      </c>
      <c r="AK113" s="28" t="n"/>
      <c r="AL113" s="28" t="n"/>
      <c r="AM113" s="29">
        <f>IF(AND(AJ113=0,AK113=0,AL113=0),0,IF(AND(AJ113=0,AK113=0),AL113/1,IF(AND(AJ113=0,AL113=0),AK113/1,IF(AND(AK113=0,AL113=0),AJ113/1,IF(AJ113=0,FLOOR((AK113+AL113)/2,0.1),IF(AK113=0,(AJ113+AL113)/2,IF(AL113=0,(AK113+AJ113)/2,FLOOR(((AJ113+AK113+AL113)/3),0.1))))))))</f>
        <v/>
      </c>
      <c r="AN113" s="21" t="n"/>
      <c r="AO113" s="21" t="n"/>
      <c r="AP113" s="27">
        <f>SUM(AN113:AO113)</f>
        <v/>
      </c>
      <c r="AQ113" s="28" t="n"/>
      <c r="AR113" s="30" t="n"/>
      <c r="AS113" s="29">
        <f>IF(AND(AP113=0,AQ113=0,AR113=0),0,IF(AND(AP113=0,AQ113=0),AR113/1,IF(AND(AP113=0,AR113=0),AQ113/1,IF(AND(AQ113=0,AR113=0),AP113/1,IF(AP113=0,FLOOR((AQ113+AR113)/2,0.1),IF(AQ113=0,(AP113+AR113)/2,IF(AR113=0,(AQ113+AP113)/2,FLOOR(((AP113+AQ113+AR113)/3),0.1))))))))</f>
        <v/>
      </c>
      <c r="AT113" s="21" t="n"/>
      <c r="AU113" s="21" t="n"/>
      <c r="AV113" s="27">
        <f>SUM(AT113:AU113)</f>
        <v/>
      </c>
      <c r="AW113" s="28" t="n"/>
      <c r="AX113" s="30" t="n"/>
      <c r="AY113" s="29">
        <f>IF(AND(AV113=0,AW113=0,AX113=0),0,IF(AND(AV113=0,AW113=0),AX113/1,IF(AND(AV113=0,AX113=0),AW113/1,IF(AND(AW113=0,AX113=0),AV113/1,IF(AV113=0,FLOOR((AW113+AX113)/2,0.1),IF(AW113=0,(AV113+AX113)/2,IF(AX113=0,(AW113+AV113)/2,FLOOR(((AV113+AW113+AX113)/3),0.1))))))))</f>
        <v/>
      </c>
      <c r="AZ113" s="21" t="n"/>
      <c r="BA113" s="21" t="n"/>
      <c r="BB113" s="27">
        <f>SUM(AZ113:BA113)</f>
        <v/>
      </c>
      <c r="BC113" s="28" t="n"/>
      <c r="BD113" s="28" t="n"/>
      <c r="BE113" s="29">
        <f>IF(AND(BB113=0,BC113=0,BD113=0),0,IF(AND(BB113=0,BC113=0),BD113/1,IF(AND(BB113=0,BD113=0),BC113/1,IF(AND(BC113=0,BD113=0),BB113/1,IF(BB113=0,FLOOR((BC113+BD113)/2,0.1),IF(BC113=0,(BB113+BD113)/2,IF(BD113=0,(BC113+BB113)/2,FLOOR(((BB113+BC113+BD113)/3),0.1))))))))</f>
        <v/>
      </c>
      <c r="BF113" s="21" t="n"/>
      <c r="BG113" s="21" t="n"/>
      <c r="BH113" s="27">
        <f>SUM(BF113:BG113)</f>
        <v/>
      </c>
      <c r="BI113" s="28" t="n"/>
      <c r="BJ113" s="28" t="n"/>
      <c r="BK113" s="29">
        <f>IF(AND(BH113=0,BI113=0,BJ113=0),0,IF(AND(BH113=0,BI113=0),BJ113/1,IF(AND(BH113=0,BJ113=0),BI113/1,IF(AND(BI113=0,BJ113=0),BH113/1,IF(BH113=0,FLOOR((BI113+BJ113)/2,0.1),IF(BI113=0,(BH113+BJ113)/2,IF(BJ113=0,(BI113+BH113)/2,FLOOR(((BH113+BI113+BJ113)/3),0.1))))))))</f>
        <v/>
      </c>
      <c r="BL113" s="21" t="n"/>
      <c r="BM113" s="21" t="n"/>
      <c r="BN113" s="27">
        <f>SUM(BL113:BM113)</f>
        <v/>
      </c>
      <c r="BO113" s="28" t="n"/>
      <c r="BP113" s="31" t="n"/>
      <c r="BQ113" s="29">
        <f>IF(AND(BN113=0,BO113=0,BP113=0),0,IF(AND(BN113=0,BO113=0),BP113/1,IF(AND(BN113=0,BP113=0),BO113/1,IF(AND(BO113=0,BP113=0),BN113/1,IF(BN113=0,FLOOR((BO113+BP113)/2,0.1),IF(BO113=0,(BN113+BP113)/2,IF(BP113=0,(BO113+BN113)/2,FLOOR(((BN113+BO113+BP113)/3),0.1))))))))</f>
        <v/>
      </c>
      <c r="BR113" s="21" t="n"/>
      <c r="BS113" s="21" t="n"/>
      <c r="BT113" s="27">
        <f>SUM(BR113:BS113)</f>
        <v/>
      </c>
      <c r="BU113" s="28" t="n"/>
      <c r="BV113" s="31" t="n"/>
      <c r="BW113" s="29">
        <f>IF(AND(BT113=0,BU113=0,BV113=0),0,IF(AND(BT113=0,BU113=0),BV113/1,IF(AND(BT113=0,BV113=0),BU113/1,IF(AND(BU113=0,BV113=0),BT113/1,IF(BT113=0,FLOOR((BU113+BV113)/2,0.1),IF(BU113=0,(BT113+BV113)/2,IF(BV113=0,(BU113+BT113)/2,FLOOR(((BT113+BU113+BV113)/3),0.1))))))))</f>
        <v/>
      </c>
      <c r="BX113" s="21" t="n"/>
      <c r="BY113" s="21" t="n"/>
      <c r="BZ113" s="27">
        <f>SUM(BX113:BY113)</f>
        <v/>
      </c>
      <c r="CA113" s="28" t="n"/>
      <c r="CB113" s="31" t="n"/>
      <c r="CC113" s="29">
        <f>IF(AND(BZ113=0,CA113=0,CB113=0),0,IF(AND(BZ113=0,CA113=0),CB113/1,IF(AND(BZ113=0,CB113=0),CA113/1,IF(AND(CA113=0,CB113=0),BZ113/1,IF(BZ113=0,FLOOR((CA113+CB113)/2,0.1),IF(CA113=0,(BZ113+CB113)/2,IF(CB113=0,(CA113+BZ113)/2,FLOOR(((BZ113+CA113+CB113)/3),0.1))))))))</f>
        <v/>
      </c>
      <c r="CD113" s="21" t="n"/>
      <c r="CE113" s="21" t="n"/>
      <c r="CF113" s="27">
        <f>SUM(CD113:CE113)</f>
        <v/>
      </c>
      <c r="CG113" s="28" t="n"/>
      <c r="CH113" s="31" t="n"/>
      <c r="CI113" s="29">
        <f>IF(AND(CF113=0,CG113=0,CH113=0),0,IF(AND(CF113=0,CG113=0),CH113/1,IF(AND(CF113=0,CH113=0),CG113/1,IF(AND(CG113=0,CH113=0),CF113/1,IF(CF113=0,FLOOR((CG113+CH113)/2,0.1),IF(CG113=0,(CF113+CH113)/2,IF(CH113=0,(CG113+CF113)/2,FLOOR(((CF113+CG113+CH113)/3),0.1))))))))</f>
        <v/>
      </c>
      <c r="CJ113" s="21" t="n"/>
      <c r="CK113" s="21" t="n"/>
      <c r="CL113" s="27">
        <f>SUM(CJ113:CK113)</f>
        <v/>
      </c>
      <c r="CM113" s="28" t="n"/>
      <c r="CN113" s="31" t="n"/>
      <c r="CO113" s="29">
        <f>IF(AND(CL113=0,CM113=0,CN113=0),0,IF(AND(CL113=0,CM113=0),CN113/1,IF(AND(CL113=0,CN113=0),CM113/1,IF(AND(CM113=0,CN113=0),CL113/1,IF(CL113=0,FLOOR((CM113+CN113)/2,0.1),IF(CM113=0,(CL113+CN113)/2,IF(CN113=0,(CM113+CL113)/2,FLOOR(((CL113+CM113+CN113)/3),0.1))))))))</f>
        <v/>
      </c>
      <c r="CP113" s="21" t="n"/>
      <c r="CQ113" s="21" t="n"/>
      <c r="CR113" s="27">
        <f>SUM(CP113:CQ113)</f>
        <v/>
      </c>
      <c r="CS113" s="28" t="n"/>
      <c r="CT113" s="31" t="n"/>
      <c r="CU113" s="29">
        <f>IF(AND(CR113=0,CS113=0,CT113=0),0,IF(AND(CR113=0,CS113=0),CT113/1,IF(AND(CR113=0,CT113=0),CS113/1,IF(AND(CS113=0,CT113=0),CR113/1,IF(CR113=0,FLOOR((CS113+CT113)/2,0.1),IF(CS113=0,(CR113+CT113)/2,IF(CT113=0,(CS113+CR113)/2,FLOOR(((CR113+CS113+CT113)/3),0.1))))))))</f>
        <v/>
      </c>
      <c r="CV113" s="21" t="n"/>
      <c r="CW113" s="21" t="n"/>
      <c r="CX113" s="27">
        <f>SUM(CV113:CW113)</f>
        <v/>
      </c>
      <c r="CY113" s="28" t="n"/>
      <c r="CZ113" s="31" t="n"/>
      <c r="DA113" s="29">
        <f>IF(AND(CX113=0,CY113=0,CZ113=0),0,IF(AND(CX113=0,CY113=0),CZ113/1,IF(AND(CX113=0,CZ113=0),CY113/1,IF(AND(CY113=0,CZ113=0),CX113/1,IF(CX113=0,FLOOR((CY113+CZ113)/2,0.1),IF(CY113=0,(CX113+CZ113)/2,IF(CZ113=0,(CY113+CX113)/2,FLOOR(((CX113+CY113+CZ113)/3),0.1))))))))</f>
        <v/>
      </c>
      <c r="DB113" s="21" t="n"/>
      <c r="DC113" s="21" t="n"/>
      <c r="DD113" s="27">
        <f>SUM(DB113:DC113)</f>
        <v/>
      </c>
      <c r="DE113" s="28" t="n"/>
      <c r="DF113" s="31" t="n"/>
      <c r="DG113" s="29">
        <f>IF(AND(DD113=0,DE113=0,DF113=0),0,IF(AND(DD113=0,DE113=0),DF113/1,IF(AND(DD113=0,DF113=0),DE113/1,IF(AND(DE113=0,DF113=0),DD113/1,IF(DD113=0,FLOOR((DE113+DF113)/2,0.1),IF(DE113=0,(DD113+DF113)/2,IF(DF113=0,(DE113+DD113)/2,FLOOR(((DD113+DE113+DF113)/3),0.1))))))))</f>
        <v/>
      </c>
      <c r="DH113" s="34">
        <f>SUM(O113,U113,AA113,AG113,AM113,AS113,AY113,BE113,BK113,BQ113,BW113,CC113,CI113,CO113,CU113,DA113,DG113)</f>
        <v/>
      </c>
      <c r="DI113" s="39">
        <f>RANK(DH113,DH$4:DH$503)</f>
        <v/>
      </c>
      <c r="DJ113" s="40" t="inlineStr">
        <is>
          <t>CHOOSE RATING</t>
        </is>
      </c>
      <c r="DK113" s="40" t="inlineStr">
        <is>
          <t>CHOOSE RATING</t>
        </is>
      </c>
      <c r="DL113" s="40" t="inlineStr">
        <is>
          <t>CHOOSE RATING</t>
        </is>
      </c>
      <c r="DM113" s="40" t="inlineStr">
        <is>
          <t>CHOOSE RATING</t>
        </is>
      </c>
      <c r="DN113" s="40" t="inlineStr">
        <is>
          <t>CHOOSE RATING</t>
        </is>
      </c>
      <c r="DO113" s="40" t="inlineStr">
        <is>
          <t>CHOOSE RATING</t>
        </is>
      </c>
      <c r="DP113" s="40" t="inlineStr">
        <is>
          <t>CHOOSE RATING</t>
        </is>
      </c>
      <c r="DQ113" s="40" t="inlineStr">
        <is>
          <t>CHOOSE RATING</t>
        </is>
      </c>
      <c r="DR113" s="43" t="inlineStr">
        <is>
          <t>2024/2025</t>
        </is>
      </c>
      <c r="DS113" s="45" t="inlineStr">
        <is>
          <t>THIRD</t>
        </is>
      </c>
      <c r="DT113" s="40" t="inlineStr">
        <is>
          <t>CHOOSE RATING</t>
        </is>
      </c>
      <c r="DU113" s="40" t="inlineStr">
        <is>
          <t>CHOOSE RATING</t>
        </is>
      </c>
      <c r="DV113" s="40" t="inlineStr">
        <is>
          <t>CHOOSE RATING</t>
        </is>
      </c>
      <c r="DW113" s="40" t="inlineStr">
        <is>
          <t>CHOOSE RATING</t>
        </is>
      </c>
      <c r="DX113" s="40" t="inlineStr">
        <is>
          <t>CHOOSE RATING</t>
        </is>
      </c>
      <c r="DY113" s="40" t="inlineStr">
        <is>
          <t>CHOOSE RATING</t>
        </is>
      </c>
      <c r="DZ113" s="53" t="inlineStr">
        <is>
          <t>CHOOSE RATING</t>
        </is>
      </c>
      <c r="EA113" s="54" t="inlineStr">
        <is>
          <t>Add the Tutor's Comment . . .</t>
        </is>
      </c>
      <c r="EB113" s="55" t="inlineStr">
        <is>
          <t>Choose Principals comment</t>
        </is>
      </c>
      <c r="EC113" s="56" t="n"/>
      <c r="ED113" s="57" t="inlineStr">
        <is>
          <t>Next Term Begins on Monday, 22nd September, 2025</t>
        </is>
      </c>
    </row>
    <row r="114" ht="30.6" customHeight="1" s="6">
      <c r="A114" s="18" t="n">
        <v>111</v>
      </c>
      <c r="B114" s="19" t="n"/>
      <c r="C114" s="20" t="n"/>
      <c r="D114" s="128" t="n"/>
      <c r="E114" s="21" t="n"/>
      <c r="F114" s="22" t="n"/>
      <c r="G114" s="22" t="n"/>
      <c r="H114" s="22" t="n"/>
      <c r="I114" s="26">
        <f>G114-H114</f>
        <v/>
      </c>
      <c r="J114" s="21" t="n"/>
      <c r="K114" s="21" t="n"/>
      <c r="L114" s="27">
        <f>SUM(J114:K114)</f>
        <v/>
      </c>
      <c r="M114" s="28" t="n"/>
      <c r="N114" s="28" t="n"/>
      <c r="O114" s="29">
        <f>IF(AND(L114=0,M114=0,N114=0),0,IF(AND(L114=0,M114=0),N114/1,IF(AND(L114=0,N114=0),M114/1,IF(AND(M114=0,N114=0),L114/1,IF(L114=0,FLOOR((M114+N114)/2,0.1),IF(M114=0,(L114+N114)/2,IF(N114=0,(M114+L114)/2,FLOOR(((L114+M114+N114)/3),0.1))))))))</f>
        <v/>
      </c>
      <c r="P114" s="21" t="n"/>
      <c r="Q114" s="21" t="n"/>
      <c r="R114" s="27">
        <f>SUM(P114:Q114)</f>
        <v/>
      </c>
      <c r="S114" s="28" t="n"/>
      <c r="T114" s="28" t="n"/>
      <c r="U114" s="29">
        <f>IF(AND(R114=0,S114=0,T114=0),0,IF(AND(R114=0,S114=0),T114/1,IF(AND(R114=0,T114=0),S114/1,IF(AND(S114=0,T114=0),R114/1,IF(R114=0,FLOOR((S114+T114)/2,0.1),IF(S114=0,(R114+T114)/2,IF(T114=0,(S114+R114)/2,FLOOR(((R114+S114+T114)/3),0.1))))))))</f>
        <v/>
      </c>
      <c r="V114" s="21" t="n"/>
      <c r="W114" s="21" t="n"/>
      <c r="X114" s="27">
        <f>SUM(V114:W114)</f>
        <v/>
      </c>
      <c r="Y114" s="28" t="n"/>
      <c r="Z114" s="28" t="n"/>
      <c r="AA114" s="29">
        <f>IF(AND(X114=0,Y114=0,Z114=0),0,IF(AND(X114=0,Y114=0),Z114/1,IF(AND(X114=0,Z114=0),Y114/1,IF(AND(Y114=0,Z114=0),X114/1,IF(X114=0,FLOOR((Y114+Z114)/2,0.1),IF(Y114=0,(X114+Z114)/2,IF(Z114=0,(Y114+X114)/2,FLOOR(((X114+Y114+Z114)/3),0.1))))))))</f>
        <v/>
      </c>
      <c r="AB114" s="21" t="n"/>
      <c r="AC114" s="21" t="n"/>
      <c r="AD114" s="27">
        <f>SUM(AB114:AC114)</f>
        <v/>
      </c>
      <c r="AE114" s="28" t="n"/>
      <c r="AF114" s="28" t="n"/>
      <c r="AG114" s="29">
        <f>IF(AND(AD114=0,AE114=0,AF114=0),0,IF(AND(AD114=0,AE114=0),AF114/1,IF(AND(AD114=0,AF114=0),AE114/1,IF(AND(AE114=0,AF114=0),AD114/1,IF(AD114=0,FLOOR((AE114+AF114)/2,0.1),IF(AE114=0,(AD114+AF114)/2,IF(AF114=0,(AE114+AD114)/2,FLOOR(((AD114+AE114+AF114)/3),0.1))))))))</f>
        <v/>
      </c>
      <c r="AH114" s="21" t="n"/>
      <c r="AI114" s="21" t="n"/>
      <c r="AJ114" s="27">
        <f>SUM(AH114:AI114)</f>
        <v/>
      </c>
      <c r="AK114" s="28" t="n"/>
      <c r="AL114" s="28" t="n"/>
      <c r="AM114" s="29">
        <f>IF(AND(AJ114=0,AK114=0,AL114=0),0,IF(AND(AJ114=0,AK114=0),AL114/1,IF(AND(AJ114=0,AL114=0),AK114/1,IF(AND(AK114=0,AL114=0),AJ114/1,IF(AJ114=0,FLOOR((AK114+AL114)/2,0.1),IF(AK114=0,(AJ114+AL114)/2,IF(AL114=0,(AK114+AJ114)/2,FLOOR(((AJ114+AK114+AL114)/3),0.1))))))))</f>
        <v/>
      </c>
      <c r="AN114" s="21" t="n"/>
      <c r="AO114" s="21" t="n"/>
      <c r="AP114" s="27">
        <f>SUM(AN114:AO114)</f>
        <v/>
      </c>
      <c r="AQ114" s="28" t="n"/>
      <c r="AR114" s="30" t="n"/>
      <c r="AS114" s="29">
        <f>IF(AND(AP114=0,AQ114=0,AR114=0),0,IF(AND(AP114=0,AQ114=0),AR114/1,IF(AND(AP114=0,AR114=0),AQ114/1,IF(AND(AQ114=0,AR114=0),AP114/1,IF(AP114=0,FLOOR((AQ114+AR114)/2,0.1),IF(AQ114=0,(AP114+AR114)/2,IF(AR114=0,(AQ114+AP114)/2,FLOOR(((AP114+AQ114+AR114)/3),0.1))))))))</f>
        <v/>
      </c>
      <c r="AT114" s="21" t="n"/>
      <c r="AU114" s="21" t="n"/>
      <c r="AV114" s="27">
        <f>SUM(AT114:AU114)</f>
        <v/>
      </c>
      <c r="AW114" s="28" t="n"/>
      <c r="AX114" s="30" t="n"/>
      <c r="AY114" s="29">
        <f>IF(AND(AV114=0,AW114=0,AX114=0),0,IF(AND(AV114=0,AW114=0),AX114/1,IF(AND(AV114=0,AX114=0),AW114/1,IF(AND(AW114=0,AX114=0),AV114/1,IF(AV114=0,FLOOR((AW114+AX114)/2,0.1),IF(AW114=0,(AV114+AX114)/2,IF(AX114=0,(AW114+AV114)/2,FLOOR(((AV114+AW114+AX114)/3),0.1))))))))</f>
        <v/>
      </c>
      <c r="AZ114" s="21" t="n"/>
      <c r="BA114" s="21" t="n"/>
      <c r="BB114" s="27">
        <f>SUM(AZ114:BA114)</f>
        <v/>
      </c>
      <c r="BC114" s="28" t="n"/>
      <c r="BD114" s="28" t="n"/>
      <c r="BE114" s="29">
        <f>IF(AND(BB114=0,BC114=0,BD114=0),0,IF(AND(BB114=0,BC114=0),BD114/1,IF(AND(BB114=0,BD114=0),BC114/1,IF(AND(BC114=0,BD114=0),BB114/1,IF(BB114=0,FLOOR((BC114+BD114)/2,0.1),IF(BC114=0,(BB114+BD114)/2,IF(BD114=0,(BC114+BB114)/2,FLOOR(((BB114+BC114+BD114)/3),0.1))))))))</f>
        <v/>
      </c>
      <c r="BF114" s="21" t="n"/>
      <c r="BG114" s="21" t="n"/>
      <c r="BH114" s="27">
        <f>SUM(BF114:BG114)</f>
        <v/>
      </c>
      <c r="BI114" s="28" t="n"/>
      <c r="BJ114" s="28" t="n"/>
      <c r="BK114" s="29">
        <f>IF(AND(BH114=0,BI114=0,BJ114=0),0,IF(AND(BH114=0,BI114=0),BJ114/1,IF(AND(BH114=0,BJ114=0),BI114/1,IF(AND(BI114=0,BJ114=0),BH114/1,IF(BH114=0,FLOOR((BI114+BJ114)/2,0.1),IF(BI114=0,(BH114+BJ114)/2,IF(BJ114=0,(BI114+BH114)/2,FLOOR(((BH114+BI114+BJ114)/3),0.1))))))))</f>
        <v/>
      </c>
      <c r="BL114" s="21" t="n"/>
      <c r="BM114" s="21" t="n"/>
      <c r="BN114" s="27">
        <f>SUM(BL114:BM114)</f>
        <v/>
      </c>
      <c r="BO114" s="28" t="n"/>
      <c r="BP114" s="31" t="n"/>
      <c r="BQ114" s="29">
        <f>IF(AND(BN114=0,BO114=0,BP114=0),0,IF(AND(BN114=0,BO114=0),BP114/1,IF(AND(BN114=0,BP114=0),BO114/1,IF(AND(BO114=0,BP114=0),BN114/1,IF(BN114=0,FLOOR((BO114+BP114)/2,0.1),IF(BO114=0,(BN114+BP114)/2,IF(BP114=0,(BO114+BN114)/2,FLOOR(((BN114+BO114+BP114)/3),0.1))))))))</f>
        <v/>
      </c>
      <c r="BR114" s="21" t="n"/>
      <c r="BS114" s="21" t="n"/>
      <c r="BT114" s="27">
        <f>SUM(BR114:BS114)</f>
        <v/>
      </c>
      <c r="BU114" s="28" t="n"/>
      <c r="BV114" s="31" t="n"/>
      <c r="BW114" s="29">
        <f>IF(AND(BT114=0,BU114=0,BV114=0),0,IF(AND(BT114=0,BU114=0),BV114/1,IF(AND(BT114=0,BV114=0),BU114/1,IF(AND(BU114=0,BV114=0),BT114/1,IF(BT114=0,FLOOR((BU114+BV114)/2,0.1),IF(BU114=0,(BT114+BV114)/2,IF(BV114=0,(BU114+BT114)/2,FLOOR(((BT114+BU114+BV114)/3),0.1))))))))</f>
        <v/>
      </c>
      <c r="BX114" s="21" t="n"/>
      <c r="BY114" s="21" t="n"/>
      <c r="BZ114" s="27">
        <f>SUM(BX114:BY114)</f>
        <v/>
      </c>
      <c r="CA114" s="28" t="n"/>
      <c r="CB114" s="31" t="n"/>
      <c r="CC114" s="29">
        <f>IF(AND(BZ114=0,CA114=0,CB114=0),0,IF(AND(BZ114=0,CA114=0),CB114/1,IF(AND(BZ114=0,CB114=0),CA114/1,IF(AND(CA114=0,CB114=0),BZ114/1,IF(BZ114=0,FLOOR((CA114+CB114)/2,0.1),IF(CA114=0,(BZ114+CB114)/2,IF(CB114=0,(CA114+BZ114)/2,FLOOR(((BZ114+CA114+CB114)/3),0.1))))))))</f>
        <v/>
      </c>
      <c r="CD114" s="21" t="n"/>
      <c r="CE114" s="21" t="n"/>
      <c r="CF114" s="27">
        <f>SUM(CD114:CE114)</f>
        <v/>
      </c>
      <c r="CG114" s="28" t="n"/>
      <c r="CH114" s="31" t="n"/>
      <c r="CI114" s="29">
        <f>IF(AND(CF114=0,CG114=0,CH114=0),0,IF(AND(CF114=0,CG114=0),CH114/1,IF(AND(CF114=0,CH114=0),CG114/1,IF(AND(CG114=0,CH114=0),CF114/1,IF(CF114=0,FLOOR((CG114+CH114)/2,0.1),IF(CG114=0,(CF114+CH114)/2,IF(CH114=0,(CG114+CF114)/2,FLOOR(((CF114+CG114+CH114)/3),0.1))))))))</f>
        <v/>
      </c>
      <c r="CJ114" s="21" t="n"/>
      <c r="CK114" s="21" t="n"/>
      <c r="CL114" s="27">
        <f>SUM(CJ114:CK114)</f>
        <v/>
      </c>
      <c r="CM114" s="28" t="n"/>
      <c r="CN114" s="31" t="n"/>
      <c r="CO114" s="29">
        <f>IF(AND(CL114=0,CM114=0,CN114=0),0,IF(AND(CL114=0,CM114=0),CN114/1,IF(AND(CL114=0,CN114=0),CM114/1,IF(AND(CM114=0,CN114=0),CL114/1,IF(CL114=0,FLOOR((CM114+CN114)/2,0.1),IF(CM114=0,(CL114+CN114)/2,IF(CN114=0,(CM114+CL114)/2,FLOOR(((CL114+CM114+CN114)/3),0.1))))))))</f>
        <v/>
      </c>
      <c r="CP114" s="21" t="n"/>
      <c r="CQ114" s="21" t="n"/>
      <c r="CR114" s="27">
        <f>SUM(CP114:CQ114)</f>
        <v/>
      </c>
      <c r="CS114" s="28" t="n"/>
      <c r="CT114" s="31" t="n"/>
      <c r="CU114" s="29">
        <f>IF(AND(CR114=0,CS114=0,CT114=0),0,IF(AND(CR114=0,CS114=0),CT114/1,IF(AND(CR114=0,CT114=0),CS114/1,IF(AND(CS114=0,CT114=0),CR114/1,IF(CR114=0,FLOOR((CS114+CT114)/2,0.1),IF(CS114=0,(CR114+CT114)/2,IF(CT114=0,(CS114+CR114)/2,FLOOR(((CR114+CS114+CT114)/3),0.1))))))))</f>
        <v/>
      </c>
      <c r="CV114" s="21" t="n"/>
      <c r="CW114" s="21" t="n"/>
      <c r="CX114" s="27">
        <f>SUM(CV114:CW114)</f>
        <v/>
      </c>
      <c r="CY114" s="28" t="n"/>
      <c r="CZ114" s="31" t="n"/>
      <c r="DA114" s="29">
        <f>IF(AND(CX114=0,CY114=0,CZ114=0),0,IF(AND(CX114=0,CY114=0),CZ114/1,IF(AND(CX114=0,CZ114=0),CY114/1,IF(AND(CY114=0,CZ114=0),CX114/1,IF(CX114=0,FLOOR((CY114+CZ114)/2,0.1),IF(CY114=0,(CX114+CZ114)/2,IF(CZ114=0,(CY114+CX114)/2,FLOOR(((CX114+CY114+CZ114)/3),0.1))))))))</f>
        <v/>
      </c>
      <c r="DB114" s="21" t="n"/>
      <c r="DC114" s="21" t="n"/>
      <c r="DD114" s="27">
        <f>SUM(DB114:DC114)</f>
        <v/>
      </c>
      <c r="DE114" s="28" t="n"/>
      <c r="DF114" s="31" t="n"/>
      <c r="DG114" s="29">
        <f>IF(AND(DD114=0,DE114=0,DF114=0),0,IF(AND(DD114=0,DE114=0),DF114/1,IF(AND(DD114=0,DF114=0),DE114/1,IF(AND(DE114=0,DF114=0),DD114/1,IF(DD114=0,FLOOR((DE114+DF114)/2,0.1),IF(DE114=0,(DD114+DF114)/2,IF(DF114=0,(DE114+DD114)/2,FLOOR(((DD114+DE114+DF114)/3),0.1))))))))</f>
        <v/>
      </c>
      <c r="DH114" s="34">
        <f>SUM(O114,U114,AA114,AG114,AM114,AS114,AY114,BE114,BK114,BQ114,BW114,CC114,CI114,CO114,CU114,DA114,DG114)</f>
        <v/>
      </c>
      <c r="DI114" s="39">
        <f>RANK(DH114,DH$4:DH$503)</f>
        <v/>
      </c>
      <c r="DJ114" s="40" t="inlineStr">
        <is>
          <t>CHOOSE RATING</t>
        </is>
      </c>
      <c r="DK114" s="40" t="inlineStr">
        <is>
          <t>CHOOSE RATING</t>
        </is>
      </c>
      <c r="DL114" s="40" t="inlineStr">
        <is>
          <t>CHOOSE RATING</t>
        </is>
      </c>
      <c r="DM114" s="40" t="inlineStr">
        <is>
          <t>CHOOSE RATING</t>
        </is>
      </c>
      <c r="DN114" s="40" t="inlineStr">
        <is>
          <t>CHOOSE RATING</t>
        </is>
      </c>
      <c r="DO114" s="40" t="inlineStr">
        <is>
          <t>CHOOSE RATING</t>
        </is>
      </c>
      <c r="DP114" s="40" t="inlineStr">
        <is>
          <t>CHOOSE RATING</t>
        </is>
      </c>
      <c r="DQ114" s="40" t="inlineStr">
        <is>
          <t>CHOOSE RATING</t>
        </is>
      </c>
      <c r="DR114" s="43" t="inlineStr">
        <is>
          <t>2024/2025</t>
        </is>
      </c>
      <c r="DS114" s="45" t="inlineStr">
        <is>
          <t>THIRD</t>
        </is>
      </c>
      <c r="DT114" s="40" t="inlineStr">
        <is>
          <t>CHOOSE RATING</t>
        </is>
      </c>
      <c r="DU114" s="40" t="inlineStr">
        <is>
          <t>CHOOSE RATING</t>
        </is>
      </c>
      <c r="DV114" s="40" t="inlineStr">
        <is>
          <t>CHOOSE RATING</t>
        </is>
      </c>
      <c r="DW114" s="40" t="inlineStr">
        <is>
          <t>CHOOSE RATING</t>
        </is>
      </c>
      <c r="DX114" s="40" t="inlineStr">
        <is>
          <t>CHOOSE RATING</t>
        </is>
      </c>
      <c r="DY114" s="40" t="inlineStr">
        <is>
          <t>CHOOSE RATING</t>
        </is>
      </c>
      <c r="DZ114" s="53" t="inlineStr">
        <is>
          <t>CHOOSE RATING</t>
        </is>
      </c>
      <c r="EA114" s="54" t="inlineStr">
        <is>
          <t>Add the Tutor's Comment . . .</t>
        </is>
      </c>
      <c r="EB114" s="55" t="inlineStr">
        <is>
          <t>Choose Principals comment</t>
        </is>
      </c>
      <c r="EC114" s="56" t="n"/>
      <c r="ED114" s="57" t="inlineStr">
        <is>
          <t>Next Term Begins on Monday, 22nd September, 2025</t>
        </is>
      </c>
    </row>
    <row r="115" ht="30.6" customHeight="1" s="6">
      <c r="A115" s="18" t="n">
        <v>112</v>
      </c>
      <c r="B115" s="19" t="n"/>
      <c r="C115" s="20" t="n"/>
      <c r="D115" s="128" t="n"/>
      <c r="E115" s="21" t="n"/>
      <c r="F115" s="22" t="n"/>
      <c r="G115" s="22" t="n"/>
      <c r="H115" s="22" t="n"/>
      <c r="I115" s="26">
        <f>G115-H115</f>
        <v/>
      </c>
      <c r="J115" s="21" t="n"/>
      <c r="K115" s="21" t="n"/>
      <c r="L115" s="27">
        <f>SUM(J115:K115)</f>
        <v/>
      </c>
      <c r="M115" s="28" t="n"/>
      <c r="N115" s="28" t="n"/>
      <c r="O115" s="29">
        <f>IF(AND(L115=0,M115=0,N115=0),0,IF(AND(L115=0,M115=0),N115/1,IF(AND(L115=0,N115=0),M115/1,IF(AND(M115=0,N115=0),L115/1,IF(L115=0,FLOOR((M115+N115)/2,0.1),IF(M115=0,(L115+N115)/2,IF(N115=0,(M115+L115)/2,FLOOR(((L115+M115+N115)/3),0.1))))))))</f>
        <v/>
      </c>
      <c r="P115" s="21" t="n"/>
      <c r="Q115" s="21" t="n"/>
      <c r="R115" s="27">
        <f>SUM(P115:Q115)</f>
        <v/>
      </c>
      <c r="S115" s="28" t="n"/>
      <c r="T115" s="28" t="n"/>
      <c r="U115" s="29">
        <f>IF(AND(R115=0,S115=0,T115=0),0,IF(AND(R115=0,S115=0),T115/1,IF(AND(R115=0,T115=0),S115/1,IF(AND(S115=0,T115=0),R115/1,IF(R115=0,FLOOR((S115+T115)/2,0.1),IF(S115=0,(R115+T115)/2,IF(T115=0,(S115+R115)/2,FLOOR(((R115+S115+T115)/3),0.1))))))))</f>
        <v/>
      </c>
      <c r="V115" s="21" t="n"/>
      <c r="W115" s="21" t="n"/>
      <c r="X115" s="27">
        <f>SUM(V115:W115)</f>
        <v/>
      </c>
      <c r="Y115" s="28" t="n"/>
      <c r="Z115" s="28" t="n"/>
      <c r="AA115" s="29">
        <f>IF(AND(X115=0,Y115=0,Z115=0),0,IF(AND(X115=0,Y115=0),Z115/1,IF(AND(X115=0,Z115=0),Y115/1,IF(AND(Y115=0,Z115=0),X115/1,IF(X115=0,FLOOR((Y115+Z115)/2,0.1),IF(Y115=0,(X115+Z115)/2,IF(Z115=0,(Y115+X115)/2,FLOOR(((X115+Y115+Z115)/3),0.1))))))))</f>
        <v/>
      </c>
      <c r="AB115" s="21" t="n"/>
      <c r="AC115" s="21" t="n"/>
      <c r="AD115" s="27">
        <f>SUM(AB115:AC115)</f>
        <v/>
      </c>
      <c r="AE115" s="28" t="n"/>
      <c r="AF115" s="28" t="n"/>
      <c r="AG115" s="29">
        <f>IF(AND(AD115=0,AE115=0,AF115=0),0,IF(AND(AD115=0,AE115=0),AF115/1,IF(AND(AD115=0,AF115=0),AE115/1,IF(AND(AE115=0,AF115=0),AD115/1,IF(AD115=0,FLOOR((AE115+AF115)/2,0.1),IF(AE115=0,(AD115+AF115)/2,IF(AF115=0,(AE115+AD115)/2,FLOOR(((AD115+AE115+AF115)/3),0.1))))))))</f>
        <v/>
      </c>
      <c r="AH115" s="21" t="n"/>
      <c r="AI115" s="21" t="n"/>
      <c r="AJ115" s="27">
        <f>SUM(AH115:AI115)</f>
        <v/>
      </c>
      <c r="AK115" s="28" t="n"/>
      <c r="AL115" s="28" t="n"/>
      <c r="AM115" s="29">
        <f>IF(AND(AJ115=0,AK115=0,AL115=0),0,IF(AND(AJ115=0,AK115=0),AL115/1,IF(AND(AJ115=0,AL115=0),AK115/1,IF(AND(AK115=0,AL115=0),AJ115/1,IF(AJ115=0,FLOOR((AK115+AL115)/2,0.1),IF(AK115=0,(AJ115+AL115)/2,IF(AL115=0,(AK115+AJ115)/2,FLOOR(((AJ115+AK115+AL115)/3),0.1))))))))</f>
        <v/>
      </c>
      <c r="AN115" s="21" t="n"/>
      <c r="AO115" s="21" t="n"/>
      <c r="AP115" s="27">
        <f>SUM(AN115:AO115)</f>
        <v/>
      </c>
      <c r="AQ115" s="28" t="n"/>
      <c r="AR115" s="30" t="n"/>
      <c r="AS115" s="29">
        <f>IF(AND(AP115=0,AQ115=0,AR115=0),0,IF(AND(AP115=0,AQ115=0),AR115/1,IF(AND(AP115=0,AR115=0),AQ115/1,IF(AND(AQ115=0,AR115=0),AP115/1,IF(AP115=0,FLOOR((AQ115+AR115)/2,0.1),IF(AQ115=0,(AP115+AR115)/2,IF(AR115=0,(AQ115+AP115)/2,FLOOR(((AP115+AQ115+AR115)/3),0.1))))))))</f>
        <v/>
      </c>
      <c r="AT115" s="21" t="n"/>
      <c r="AU115" s="21" t="n"/>
      <c r="AV115" s="27">
        <f>SUM(AT115:AU115)</f>
        <v/>
      </c>
      <c r="AW115" s="28" t="n"/>
      <c r="AX115" s="30" t="n"/>
      <c r="AY115" s="29">
        <f>IF(AND(AV115=0,AW115=0,AX115=0),0,IF(AND(AV115=0,AW115=0),AX115/1,IF(AND(AV115=0,AX115=0),AW115/1,IF(AND(AW115=0,AX115=0),AV115/1,IF(AV115=0,FLOOR((AW115+AX115)/2,0.1),IF(AW115=0,(AV115+AX115)/2,IF(AX115=0,(AW115+AV115)/2,FLOOR(((AV115+AW115+AX115)/3),0.1))))))))</f>
        <v/>
      </c>
      <c r="AZ115" s="21" t="n"/>
      <c r="BA115" s="21" t="n"/>
      <c r="BB115" s="27">
        <f>SUM(AZ115:BA115)</f>
        <v/>
      </c>
      <c r="BC115" s="28" t="n"/>
      <c r="BD115" s="28" t="n"/>
      <c r="BE115" s="29">
        <f>IF(AND(BB115=0,BC115=0,BD115=0),0,IF(AND(BB115=0,BC115=0),BD115/1,IF(AND(BB115=0,BD115=0),BC115/1,IF(AND(BC115=0,BD115=0),BB115/1,IF(BB115=0,FLOOR((BC115+BD115)/2,0.1),IF(BC115=0,(BB115+BD115)/2,IF(BD115=0,(BC115+BB115)/2,FLOOR(((BB115+BC115+BD115)/3),0.1))))))))</f>
        <v/>
      </c>
      <c r="BF115" s="21" t="n"/>
      <c r="BG115" s="21" t="n"/>
      <c r="BH115" s="27">
        <f>SUM(BF115:BG115)</f>
        <v/>
      </c>
      <c r="BI115" s="28" t="n"/>
      <c r="BJ115" s="28" t="n"/>
      <c r="BK115" s="29">
        <f>IF(AND(BH115=0,BI115=0,BJ115=0),0,IF(AND(BH115=0,BI115=0),BJ115/1,IF(AND(BH115=0,BJ115=0),BI115/1,IF(AND(BI115=0,BJ115=0),BH115/1,IF(BH115=0,FLOOR((BI115+BJ115)/2,0.1),IF(BI115=0,(BH115+BJ115)/2,IF(BJ115=0,(BI115+BH115)/2,FLOOR(((BH115+BI115+BJ115)/3),0.1))))))))</f>
        <v/>
      </c>
      <c r="BL115" s="21" t="n"/>
      <c r="BM115" s="21" t="n"/>
      <c r="BN115" s="27">
        <f>SUM(BL115:BM115)</f>
        <v/>
      </c>
      <c r="BO115" s="28" t="n"/>
      <c r="BP115" s="31" t="n"/>
      <c r="BQ115" s="29">
        <f>IF(AND(BN115=0,BO115=0,BP115=0),0,IF(AND(BN115=0,BO115=0),BP115/1,IF(AND(BN115=0,BP115=0),BO115/1,IF(AND(BO115=0,BP115=0),BN115/1,IF(BN115=0,FLOOR((BO115+BP115)/2,0.1),IF(BO115=0,(BN115+BP115)/2,IF(BP115=0,(BO115+BN115)/2,FLOOR(((BN115+BO115+BP115)/3),0.1))))))))</f>
        <v/>
      </c>
      <c r="BR115" s="21" t="n"/>
      <c r="BS115" s="21" t="n"/>
      <c r="BT115" s="27">
        <f>SUM(BR115:BS115)</f>
        <v/>
      </c>
      <c r="BU115" s="28" t="n"/>
      <c r="BV115" s="31" t="n"/>
      <c r="BW115" s="29">
        <f>IF(AND(BT115=0,BU115=0,BV115=0),0,IF(AND(BT115=0,BU115=0),BV115/1,IF(AND(BT115=0,BV115=0),BU115/1,IF(AND(BU115=0,BV115=0),BT115/1,IF(BT115=0,FLOOR((BU115+BV115)/2,0.1),IF(BU115=0,(BT115+BV115)/2,IF(BV115=0,(BU115+BT115)/2,FLOOR(((BT115+BU115+BV115)/3),0.1))))))))</f>
        <v/>
      </c>
      <c r="BX115" s="21" t="n"/>
      <c r="BY115" s="21" t="n"/>
      <c r="BZ115" s="27">
        <f>SUM(BX115:BY115)</f>
        <v/>
      </c>
      <c r="CA115" s="28" t="n"/>
      <c r="CB115" s="31" t="n"/>
      <c r="CC115" s="29">
        <f>IF(AND(BZ115=0,CA115=0,CB115=0),0,IF(AND(BZ115=0,CA115=0),CB115/1,IF(AND(BZ115=0,CB115=0),CA115/1,IF(AND(CA115=0,CB115=0),BZ115/1,IF(BZ115=0,FLOOR((CA115+CB115)/2,0.1),IF(CA115=0,(BZ115+CB115)/2,IF(CB115=0,(CA115+BZ115)/2,FLOOR(((BZ115+CA115+CB115)/3),0.1))))))))</f>
        <v/>
      </c>
      <c r="CD115" s="21" t="n"/>
      <c r="CE115" s="21" t="n"/>
      <c r="CF115" s="27">
        <f>SUM(CD115:CE115)</f>
        <v/>
      </c>
      <c r="CG115" s="28" t="n"/>
      <c r="CH115" s="31" t="n"/>
      <c r="CI115" s="29">
        <f>IF(AND(CF115=0,CG115=0,CH115=0),0,IF(AND(CF115=0,CG115=0),CH115/1,IF(AND(CF115=0,CH115=0),CG115/1,IF(AND(CG115=0,CH115=0),CF115/1,IF(CF115=0,FLOOR((CG115+CH115)/2,0.1),IF(CG115=0,(CF115+CH115)/2,IF(CH115=0,(CG115+CF115)/2,FLOOR(((CF115+CG115+CH115)/3),0.1))))))))</f>
        <v/>
      </c>
      <c r="CJ115" s="21" t="n"/>
      <c r="CK115" s="21" t="n"/>
      <c r="CL115" s="27">
        <f>SUM(CJ115:CK115)</f>
        <v/>
      </c>
      <c r="CM115" s="28" t="n"/>
      <c r="CN115" s="31" t="n"/>
      <c r="CO115" s="29">
        <f>IF(AND(CL115=0,CM115=0,CN115=0),0,IF(AND(CL115=0,CM115=0),CN115/1,IF(AND(CL115=0,CN115=0),CM115/1,IF(AND(CM115=0,CN115=0),CL115/1,IF(CL115=0,FLOOR((CM115+CN115)/2,0.1),IF(CM115=0,(CL115+CN115)/2,IF(CN115=0,(CM115+CL115)/2,FLOOR(((CL115+CM115+CN115)/3),0.1))))))))</f>
        <v/>
      </c>
      <c r="CP115" s="21" t="n"/>
      <c r="CQ115" s="21" t="n"/>
      <c r="CR115" s="27">
        <f>SUM(CP115:CQ115)</f>
        <v/>
      </c>
      <c r="CS115" s="28" t="n"/>
      <c r="CT115" s="31" t="n"/>
      <c r="CU115" s="29">
        <f>IF(AND(CR115=0,CS115=0,CT115=0),0,IF(AND(CR115=0,CS115=0),CT115/1,IF(AND(CR115=0,CT115=0),CS115/1,IF(AND(CS115=0,CT115=0),CR115/1,IF(CR115=0,FLOOR((CS115+CT115)/2,0.1),IF(CS115=0,(CR115+CT115)/2,IF(CT115=0,(CS115+CR115)/2,FLOOR(((CR115+CS115+CT115)/3),0.1))))))))</f>
        <v/>
      </c>
      <c r="CV115" s="21" t="n"/>
      <c r="CW115" s="21" t="n"/>
      <c r="CX115" s="27">
        <f>SUM(CV115:CW115)</f>
        <v/>
      </c>
      <c r="CY115" s="28" t="n"/>
      <c r="CZ115" s="31" t="n"/>
      <c r="DA115" s="29">
        <f>IF(AND(CX115=0,CY115=0,CZ115=0),0,IF(AND(CX115=0,CY115=0),CZ115/1,IF(AND(CX115=0,CZ115=0),CY115/1,IF(AND(CY115=0,CZ115=0),CX115/1,IF(CX115=0,FLOOR((CY115+CZ115)/2,0.1),IF(CY115=0,(CX115+CZ115)/2,IF(CZ115=0,(CY115+CX115)/2,FLOOR(((CX115+CY115+CZ115)/3),0.1))))))))</f>
        <v/>
      </c>
      <c r="DB115" s="21" t="n"/>
      <c r="DC115" s="21" t="n"/>
      <c r="DD115" s="27">
        <f>SUM(DB115:DC115)</f>
        <v/>
      </c>
      <c r="DE115" s="28" t="n"/>
      <c r="DF115" s="31" t="n"/>
      <c r="DG115" s="29">
        <f>IF(AND(DD115=0,DE115=0,DF115=0),0,IF(AND(DD115=0,DE115=0),DF115/1,IF(AND(DD115=0,DF115=0),DE115/1,IF(AND(DE115=0,DF115=0),DD115/1,IF(DD115=0,FLOOR((DE115+DF115)/2,0.1),IF(DE115=0,(DD115+DF115)/2,IF(DF115=0,(DE115+DD115)/2,FLOOR(((DD115+DE115+DF115)/3),0.1))))))))</f>
        <v/>
      </c>
      <c r="DH115" s="34">
        <f>SUM(O115,U115,AA115,AG115,AM115,AS115,AY115,BE115,BK115,BQ115,BW115,CC115,CI115,CO115,CU115,DA115,DG115)</f>
        <v/>
      </c>
      <c r="DI115" s="39">
        <f>RANK(DH115,DH$4:DH$503)</f>
        <v/>
      </c>
      <c r="DJ115" s="40" t="inlineStr">
        <is>
          <t>CHOOSE RATING</t>
        </is>
      </c>
      <c r="DK115" s="40" t="inlineStr">
        <is>
          <t>CHOOSE RATING</t>
        </is>
      </c>
      <c r="DL115" s="40" t="inlineStr">
        <is>
          <t>CHOOSE RATING</t>
        </is>
      </c>
      <c r="DM115" s="40" t="inlineStr">
        <is>
          <t>CHOOSE RATING</t>
        </is>
      </c>
      <c r="DN115" s="40" t="inlineStr">
        <is>
          <t>CHOOSE RATING</t>
        </is>
      </c>
      <c r="DO115" s="40" t="inlineStr">
        <is>
          <t>CHOOSE RATING</t>
        </is>
      </c>
      <c r="DP115" s="40" t="inlineStr">
        <is>
          <t>CHOOSE RATING</t>
        </is>
      </c>
      <c r="DQ115" s="40" t="inlineStr">
        <is>
          <t>CHOOSE RATING</t>
        </is>
      </c>
      <c r="DR115" s="43" t="inlineStr">
        <is>
          <t>2024/2025</t>
        </is>
      </c>
      <c r="DS115" s="45" t="inlineStr">
        <is>
          <t>THIRD</t>
        </is>
      </c>
      <c r="DT115" s="40" t="inlineStr">
        <is>
          <t>CHOOSE RATING</t>
        </is>
      </c>
      <c r="DU115" s="40" t="inlineStr">
        <is>
          <t>CHOOSE RATING</t>
        </is>
      </c>
      <c r="DV115" s="40" t="inlineStr">
        <is>
          <t>CHOOSE RATING</t>
        </is>
      </c>
      <c r="DW115" s="40" t="inlineStr">
        <is>
          <t>CHOOSE RATING</t>
        </is>
      </c>
      <c r="DX115" s="40" t="inlineStr">
        <is>
          <t>CHOOSE RATING</t>
        </is>
      </c>
      <c r="DY115" s="40" t="inlineStr">
        <is>
          <t>CHOOSE RATING</t>
        </is>
      </c>
      <c r="DZ115" s="53" t="inlineStr">
        <is>
          <t>CHOOSE RATING</t>
        </is>
      </c>
      <c r="EA115" s="54" t="inlineStr">
        <is>
          <t>Add the Tutor's Comment . . .</t>
        </is>
      </c>
      <c r="EB115" s="55" t="inlineStr">
        <is>
          <t>Choose Principals comment</t>
        </is>
      </c>
      <c r="EC115" s="56" t="n"/>
      <c r="ED115" s="57" t="inlineStr">
        <is>
          <t>Next Term Begins on Monday, 22nd September, 2025</t>
        </is>
      </c>
    </row>
    <row r="116" ht="30.6" customHeight="1" s="6">
      <c r="A116" s="18" t="n">
        <v>113</v>
      </c>
      <c r="B116" s="19" t="n"/>
      <c r="C116" s="20" t="n"/>
      <c r="D116" s="128" t="n"/>
      <c r="E116" s="21" t="n"/>
      <c r="F116" s="22" t="n"/>
      <c r="G116" s="22" t="n"/>
      <c r="H116" s="22" t="n"/>
      <c r="I116" s="26">
        <f>G116-H116</f>
        <v/>
      </c>
      <c r="J116" s="21" t="n"/>
      <c r="K116" s="21" t="n"/>
      <c r="L116" s="27">
        <f>SUM(J116:K116)</f>
        <v/>
      </c>
      <c r="M116" s="28" t="n"/>
      <c r="N116" s="28" t="n"/>
      <c r="O116" s="29">
        <f>IF(AND(L116=0,M116=0,N116=0),0,IF(AND(L116=0,M116=0),N116/1,IF(AND(L116=0,N116=0),M116/1,IF(AND(M116=0,N116=0),L116/1,IF(L116=0,FLOOR((M116+N116)/2,0.1),IF(M116=0,(L116+N116)/2,IF(N116=0,(M116+L116)/2,FLOOR(((L116+M116+N116)/3),0.1))))))))</f>
        <v/>
      </c>
      <c r="P116" s="21" t="n"/>
      <c r="Q116" s="21" t="n"/>
      <c r="R116" s="27">
        <f>SUM(P116:Q116)</f>
        <v/>
      </c>
      <c r="S116" s="28" t="n"/>
      <c r="T116" s="28" t="n"/>
      <c r="U116" s="29">
        <f>IF(AND(R116=0,S116=0,T116=0),0,IF(AND(R116=0,S116=0),T116/1,IF(AND(R116=0,T116=0),S116/1,IF(AND(S116=0,T116=0),R116/1,IF(R116=0,FLOOR((S116+T116)/2,0.1),IF(S116=0,(R116+T116)/2,IF(T116=0,(S116+R116)/2,FLOOR(((R116+S116+T116)/3),0.1))))))))</f>
        <v/>
      </c>
      <c r="V116" s="21" t="n"/>
      <c r="W116" s="21" t="n"/>
      <c r="X116" s="27">
        <f>SUM(V116:W116)</f>
        <v/>
      </c>
      <c r="Y116" s="28" t="n"/>
      <c r="Z116" s="28" t="n"/>
      <c r="AA116" s="29">
        <f>IF(AND(X116=0,Y116=0,Z116=0),0,IF(AND(X116=0,Y116=0),Z116/1,IF(AND(X116=0,Z116=0),Y116/1,IF(AND(Y116=0,Z116=0),X116/1,IF(X116=0,FLOOR((Y116+Z116)/2,0.1),IF(Y116=0,(X116+Z116)/2,IF(Z116=0,(Y116+X116)/2,FLOOR(((X116+Y116+Z116)/3),0.1))))))))</f>
        <v/>
      </c>
      <c r="AB116" s="21" t="n"/>
      <c r="AC116" s="21" t="n"/>
      <c r="AD116" s="27">
        <f>SUM(AB116:AC116)</f>
        <v/>
      </c>
      <c r="AE116" s="28" t="n"/>
      <c r="AF116" s="28" t="n"/>
      <c r="AG116" s="29">
        <f>IF(AND(AD116=0,AE116=0,AF116=0),0,IF(AND(AD116=0,AE116=0),AF116/1,IF(AND(AD116=0,AF116=0),AE116/1,IF(AND(AE116=0,AF116=0),AD116/1,IF(AD116=0,FLOOR((AE116+AF116)/2,0.1),IF(AE116=0,(AD116+AF116)/2,IF(AF116=0,(AE116+AD116)/2,FLOOR(((AD116+AE116+AF116)/3),0.1))))))))</f>
        <v/>
      </c>
      <c r="AH116" s="21" t="n"/>
      <c r="AI116" s="21" t="n"/>
      <c r="AJ116" s="27">
        <f>SUM(AH116:AI116)</f>
        <v/>
      </c>
      <c r="AK116" s="28" t="n"/>
      <c r="AL116" s="28" t="n"/>
      <c r="AM116" s="29">
        <f>IF(AND(AJ116=0,AK116=0,AL116=0),0,IF(AND(AJ116=0,AK116=0),AL116/1,IF(AND(AJ116=0,AL116=0),AK116/1,IF(AND(AK116=0,AL116=0),AJ116/1,IF(AJ116=0,FLOOR((AK116+AL116)/2,0.1),IF(AK116=0,(AJ116+AL116)/2,IF(AL116=0,(AK116+AJ116)/2,FLOOR(((AJ116+AK116+AL116)/3),0.1))))))))</f>
        <v/>
      </c>
      <c r="AN116" s="21" t="n"/>
      <c r="AO116" s="21" t="n"/>
      <c r="AP116" s="27">
        <f>SUM(AN116:AO116)</f>
        <v/>
      </c>
      <c r="AQ116" s="28" t="n"/>
      <c r="AR116" s="30" t="n"/>
      <c r="AS116" s="29">
        <f>IF(AND(AP116=0,AQ116=0,AR116=0),0,IF(AND(AP116=0,AQ116=0),AR116/1,IF(AND(AP116=0,AR116=0),AQ116/1,IF(AND(AQ116=0,AR116=0),AP116/1,IF(AP116=0,FLOOR((AQ116+AR116)/2,0.1),IF(AQ116=0,(AP116+AR116)/2,IF(AR116=0,(AQ116+AP116)/2,FLOOR(((AP116+AQ116+AR116)/3),0.1))))))))</f>
        <v/>
      </c>
      <c r="AT116" s="21" t="n"/>
      <c r="AU116" s="21" t="n"/>
      <c r="AV116" s="27">
        <f>SUM(AT116:AU116)</f>
        <v/>
      </c>
      <c r="AW116" s="28" t="n"/>
      <c r="AX116" s="30" t="n"/>
      <c r="AY116" s="29">
        <f>IF(AND(AV116=0,AW116=0,AX116=0),0,IF(AND(AV116=0,AW116=0),AX116/1,IF(AND(AV116=0,AX116=0),AW116/1,IF(AND(AW116=0,AX116=0),AV116/1,IF(AV116=0,FLOOR((AW116+AX116)/2,0.1),IF(AW116=0,(AV116+AX116)/2,IF(AX116=0,(AW116+AV116)/2,FLOOR(((AV116+AW116+AX116)/3),0.1))))))))</f>
        <v/>
      </c>
      <c r="AZ116" s="21" t="n"/>
      <c r="BA116" s="21" t="n"/>
      <c r="BB116" s="27">
        <f>SUM(AZ116:BA116)</f>
        <v/>
      </c>
      <c r="BC116" s="28" t="n"/>
      <c r="BD116" s="28" t="n"/>
      <c r="BE116" s="29">
        <f>IF(AND(BB116=0,BC116=0,BD116=0),0,IF(AND(BB116=0,BC116=0),BD116/1,IF(AND(BB116=0,BD116=0),BC116/1,IF(AND(BC116=0,BD116=0),BB116/1,IF(BB116=0,FLOOR((BC116+BD116)/2,0.1),IF(BC116=0,(BB116+BD116)/2,IF(BD116=0,(BC116+BB116)/2,FLOOR(((BB116+BC116+BD116)/3),0.1))))))))</f>
        <v/>
      </c>
      <c r="BF116" s="21" t="n"/>
      <c r="BG116" s="21" t="n"/>
      <c r="BH116" s="27">
        <f>SUM(BF116:BG116)</f>
        <v/>
      </c>
      <c r="BI116" s="28" t="n"/>
      <c r="BJ116" s="28" t="n"/>
      <c r="BK116" s="29">
        <f>IF(AND(BH116=0,BI116=0,BJ116=0),0,IF(AND(BH116=0,BI116=0),BJ116/1,IF(AND(BH116=0,BJ116=0),BI116/1,IF(AND(BI116=0,BJ116=0),BH116/1,IF(BH116=0,FLOOR((BI116+BJ116)/2,0.1),IF(BI116=0,(BH116+BJ116)/2,IF(BJ116=0,(BI116+BH116)/2,FLOOR(((BH116+BI116+BJ116)/3),0.1))))))))</f>
        <v/>
      </c>
      <c r="BL116" s="21" t="n"/>
      <c r="BM116" s="21" t="n"/>
      <c r="BN116" s="27">
        <f>SUM(BL116:BM116)</f>
        <v/>
      </c>
      <c r="BO116" s="28" t="n"/>
      <c r="BP116" s="31" t="n"/>
      <c r="BQ116" s="29">
        <f>IF(AND(BN116=0,BO116=0,BP116=0),0,IF(AND(BN116=0,BO116=0),BP116/1,IF(AND(BN116=0,BP116=0),BO116/1,IF(AND(BO116=0,BP116=0),BN116/1,IF(BN116=0,FLOOR((BO116+BP116)/2,0.1),IF(BO116=0,(BN116+BP116)/2,IF(BP116=0,(BO116+BN116)/2,FLOOR(((BN116+BO116+BP116)/3),0.1))))))))</f>
        <v/>
      </c>
      <c r="BR116" s="21" t="n"/>
      <c r="BS116" s="21" t="n"/>
      <c r="BT116" s="27">
        <f>SUM(BR116:BS116)</f>
        <v/>
      </c>
      <c r="BU116" s="28" t="n"/>
      <c r="BV116" s="31" t="n"/>
      <c r="BW116" s="29">
        <f>IF(AND(BT116=0,BU116=0,BV116=0),0,IF(AND(BT116=0,BU116=0),BV116/1,IF(AND(BT116=0,BV116=0),BU116/1,IF(AND(BU116=0,BV116=0),BT116/1,IF(BT116=0,FLOOR((BU116+BV116)/2,0.1),IF(BU116=0,(BT116+BV116)/2,IF(BV116=0,(BU116+BT116)/2,FLOOR(((BT116+BU116+BV116)/3),0.1))))))))</f>
        <v/>
      </c>
      <c r="BX116" s="21" t="n"/>
      <c r="BY116" s="21" t="n"/>
      <c r="BZ116" s="27">
        <f>SUM(BX116:BY116)</f>
        <v/>
      </c>
      <c r="CA116" s="28" t="n"/>
      <c r="CB116" s="31" t="n"/>
      <c r="CC116" s="29">
        <f>IF(AND(BZ116=0,CA116=0,CB116=0),0,IF(AND(BZ116=0,CA116=0),CB116/1,IF(AND(BZ116=0,CB116=0),CA116/1,IF(AND(CA116=0,CB116=0),BZ116/1,IF(BZ116=0,FLOOR((CA116+CB116)/2,0.1),IF(CA116=0,(BZ116+CB116)/2,IF(CB116=0,(CA116+BZ116)/2,FLOOR(((BZ116+CA116+CB116)/3),0.1))))))))</f>
        <v/>
      </c>
      <c r="CD116" s="21" t="n"/>
      <c r="CE116" s="21" t="n"/>
      <c r="CF116" s="27">
        <f>SUM(CD116:CE116)</f>
        <v/>
      </c>
      <c r="CG116" s="28" t="n"/>
      <c r="CH116" s="31" t="n"/>
      <c r="CI116" s="29">
        <f>IF(AND(CF116=0,CG116=0,CH116=0),0,IF(AND(CF116=0,CG116=0),CH116/1,IF(AND(CF116=0,CH116=0),CG116/1,IF(AND(CG116=0,CH116=0),CF116/1,IF(CF116=0,FLOOR((CG116+CH116)/2,0.1),IF(CG116=0,(CF116+CH116)/2,IF(CH116=0,(CG116+CF116)/2,FLOOR(((CF116+CG116+CH116)/3),0.1))))))))</f>
        <v/>
      </c>
      <c r="CJ116" s="21" t="n"/>
      <c r="CK116" s="21" t="n"/>
      <c r="CL116" s="27">
        <f>SUM(CJ116:CK116)</f>
        <v/>
      </c>
      <c r="CM116" s="28" t="n"/>
      <c r="CN116" s="31" t="n"/>
      <c r="CO116" s="29">
        <f>IF(AND(CL116=0,CM116=0,CN116=0),0,IF(AND(CL116=0,CM116=0),CN116/1,IF(AND(CL116=0,CN116=0),CM116/1,IF(AND(CM116=0,CN116=0),CL116/1,IF(CL116=0,FLOOR((CM116+CN116)/2,0.1),IF(CM116=0,(CL116+CN116)/2,IF(CN116=0,(CM116+CL116)/2,FLOOR(((CL116+CM116+CN116)/3),0.1))))))))</f>
        <v/>
      </c>
      <c r="CP116" s="21" t="n"/>
      <c r="CQ116" s="21" t="n"/>
      <c r="CR116" s="27">
        <f>SUM(CP116:CQ116)</f>
        <v/>
      </c>
      <c r="CS116" s="28" t="n"/>
      <c r="CT116" s="31" t="n"/>
      <c r="CU116" s="29">
        <f>IF(AND(CR116=0,CS116=0,CT116=0),0,IF(AND(CR116=0,CS116=0),CT116/1,IF(AND(CR116=0,CT116=0),CS116/1,IF(AND(CS116=0,CT116=0),CR116/1,IF(CR116=0,FLOOR((CS116+CT116)/2,0.1),IF(CS116=0,(CR116+CT116)/2,IF(CT116=0,(CS116+CR116)/2,FLOOR(((CR116+CS116+CT116)/3),0.1))))))))</f>
        <v/>
      </c>
      <c r="CV116" s="21" t="n"/>
      <c r="CW116" s="21" t="n"/>
      <c r="CX116" s="27">
        <f>SUM(CV116:CW116)</f>
        <v/>
      </c>
      <c r="CY116" s="28" t="n"/>
      <c r="CZ116" s="31" t="n"/>
      <c r="DA116" s="29">
        <f>IF(AND(CX116=0,CY116=0,CZ116=0),0,IF(AND(CX116=0,CY116=0),CZ116/1,IF(AND(CX116=0,CZ116=0),CY116/1,IF(AND(CY116=0,CZ116=0),CX116/1,IF(CX116=0,FLOOR((CY116+CZ116)/2,0.1),IF(CY116=0,(CX116+CZ116)/2,IF(CZ116=0,(CY116+CX116)/2,FLOOR(((CX116+CY116+CZ116)/3),0.1))))))))</f>
        <v/>
      </c>
      <c r="DB116" s="21" t="n"/>
      <c r="DC116" s="21" t="n"/>
      <c r="DD116" s="27">
        <f>SUM(DB116:DC116)</f>
        <v/>
      </c>
      <c r="DE116" s="28" t="n"/>
      <c r="DF116" s="31" t="n"/>
      <c r="DG116" s="29">
        <f>IF(AND(DD116=0,DE116=0,DF116=0),0,IF(AND(DD116=0,DE116=0),DF116/1,IF(AND(DD116=0,DF116=0),DE116/1,IF(AND(DE116=0,DF116=0),DD116/1,IF(DD116=0,FLOOR((DE116+DF116)/2,0.1),IF(DE116=0,(DD116+DF116)/2,IF(DF116=0,(DE116+DD116)/2,FLOOR(((DD116+DE116+DF116)/3),0.1))))))))</f>
        <v/>
      </c>
      <c r="DH116" s="34">
        <f>SUM(O116,U116,AA116,AG116,AM116,AS116,AY116,BE116,BK116,BQ116,BW116,CC116,CI116,CO116,CU116,DA116,DG116)</f>
        <v/>
      </c>
      <c r="DI116" s="39">
        <f>RANK(DH116,DH$4:DH$503)</f>
        <v/>
      </c>
      <c r="DJ116" s="40" t="inlineStr">
        <is>
          <t>CHOOSE RATING</t>
        </is>
      </c>
      <c r="DK116" s="40" t="inlineStr">
        <is>
          <t>CHOOSE RATING</t>
        </is>
      </c>
      <c r="DL116" s="40" t="inlineStr">
        <is>
          <t>CHOOSE RATING</t>
        </is>
      </c>
      <c r="DM116" s="40" t="inlineStr">
        <is>
          <t>CHOOSE RATING</t>
        </is>
      </c>
      <c r="DN116" s="40" t="inlineStr">
        <is>
          <t>CHOOSE RATING</t>
        </is>
      </c>
      <c r="DO116" s="40" t="inlineStr">
        <is>
          <t>CHOOSE RATING</t>
        </is>
      </c>
      <c r="DP116" s="40" t="inlineStr">
        <is>
          <t>CHOOSE RATING</t>
        </is>
      </c>
      <c r="DQ116" s="40" t="inlineStr">
        <is>
          <t>CHOOSE RATING</t>
        </is>
      </c>
      <c r="DR116" s="43" t="inlineStr">
        <is>
          <t>2024/2025</t>
        </is>
      </c>
      <c r="DS116" s="45" t="inlineStr">
        <is>
          <t>THIRD</t>
        </is>
      </c>
      <c r="DT116" s="40" t="inlineStr">
        <is>
          <t>CHOOSE RATING</t>
        </is>
      </c>
      <c r="DU116" s="40" t="inlineStr">
        <is>
          <t>CHOOSE RATING</t>
        </is>
      </c>
      <c r="DV116" s="40" t="inlineStr">
        <is>
          <t>CHOOSE RATING</t>
        </is>
      </c>
      <c r="DW116" s="40" t="inlineStr">
        <is>
          <t>CHOOSE RATING</t>
        </is>
      </c>
      <c r="DX116" s="40" t="inlineStr">
        <is>
          <t>CHOOSE RATING</t>
        </is>
      </c>
      <c r="DY116" s="40" t="inlineStr">
        <is>
          <t>CHOOSE RATING</t>
        </is>
      </c>
      <c r="DZ116" s="53" t="inlineStr">
        <is>
          <t>CHOOSE RATING</t>
        </is>
      </c>
      <c r="EA116" s="54" t="inlineStr">
        <is>
          <t>Add the Tutor's Comment . . .</t>
        </is>
      </c>
      <c r="EB116" s="55" t="inlineStr">
        <is>
          <t>Choose Principals comment</t>
        </is>
      </c>
      <c r="EC116" s="56" t="n"/>
      <c r="ED116" s="57" t="inlineStr">
        <is>
          <t>Next Term Begins on Monday, 22nd September, 2025</t>
        </is>
      </c>
    </row>
    <row r="117" ht="30.6" customHeight="1" s="6">
      <c r="A117" s="18" t="n">
        <v>114</v>
      </c>
      <c r="B117" s="19" t="n"/>
      <c r="C117" s="20" t="n"/>
      <c r="D117" s="128" t="n"/>
      <c r="E117" s="21" t="n"/>
      <c r="F117" s="22" t="n"/>
      <c r="G117" s="22" t="n"/>
      <c r="H117" s="22" t="n"/>
      <c r="I117" s="26">
        <f>G117-H117</f>
        <v/>
      </c>
      <c r="J117" s="21" t="n"/>
      <c r="K117" s="21" t="n"/>
      <c r="L117" s="27">
        <f>SUM(J117:K117)</f>
        <v/>
      </c>
      <c r="M117" s="28" t="n"/>
      <c r="N117" s="28" t="n"/>
      <c r="O117" s="29">
        <f>IF(AND(L117=0,M117=0,N117=0),0,IF(AND(L117=0,M117=0),N117/1,IF(AND(L117=0,N117=0),M117/1,IF(AND(M117=0,N117=0),L117/1,IF(L117=0,FLOOR((M117+N117)/2,0.1),IF(M117=0,(L117+N117)/2,IF(N117=0,(M117+L117)/2,FLOOR(((L117+M117+N117)/3),0.1))))))))</f>
        <v/>
      </c>
      <c r="P117" s="21" t="n"/>
      <c r="Q117" s="21" t="n"/>
      <c r="R117" s="27">
        <f>SUM(P117:Q117)</f>
        <v/>
      </c>
      <c r="S117" s="28" t="n"/>
      <c r="T117" s="28" t="n"/>
      <c r="U117" s="29">
        <f>IF(AND(R117=0,S117=0,T117=0),0,IF(AND(R117=0,S117=0),T117/1,IF(AND(R117=0,T117=0),S117/1,IF(AND(S117=0,T117=0),R117/1,IF(R117=0,FLOOR((S117+T117)/2,0.1),IF(S117=0,(R117+T117)/2,IF(T117=0,(S117+R117)/2,FLOOR(((R117+S117+T117)/3),0.1))))))))</f>
        <v/>
      </c>
      <c r="V117" s="21" t="n"/>
      <c r="W117" s="21" t="n"/>
      <c r="X117" s="27">
        <f>SUM(V117:W117)</f>
        <v/>
      </c>
      <c r="Y117" s="28" t="n"/>
      <c r="Z117" s="28" t="n"/>
      <c r="AA117" s="29">
        <f>IF(AND(X117=0,Y117=0,Z117=0),0,IF(AND(X117=0,Y117=0),Z117/1,IF(AND(X117=0,Z117=0),Y117/1,IF(AND(Y117=0,Z117=0),X117/1,IF(X117=0,FLOOR((Y117+Z117)/2,0.1),IF(Y117=0,(X117+Z117)/2,IF(Z117=0,(Y117+X117)/2,FLOOR(((X117+Y117+Z117)/3),0.1))))))))</f>
        <v/>
      </c>
      <c r="AB117" s="21" t="n"/>
      <c r="AC117" s="21" t="n"/>
      <c r="AD117" s="27">
        <f>SUM(AB117:AC117)</f>
        <v/>
      </c>
      <c r="AE117" s="28" t="n"/>
      <c r="AF117" s="28" t="n"/>
      <c r="AG117" s="29">
        <f>IF(AND(AD117=0,AE117=0,AF117=0),0,IF(AND(AD117=0,AE117=0),AF117/1,IF(AND(AD117=0,AF117=0),AE117/1,IF(AND(AE117=0,AF117=0),AD117/1,IF(AD117=0,FLOOR((AE117+AF117)/2,0.1),IF(AE117=0,(AD117+AF117)/2,IF(AF117=0,(AE117+AD117)/2,FLOOR(((AD117+AE117+AF117)/3),0.1))))))))</f>
        <v/>
      </c>
      <c r="AH117" s="21" t="n"/>
      <c r="AI117" s="21" t="n"/>
      <c r="AJ117" s="27">
        <f>SUM(AH117:AI117)</f>
        <v/>
      </c>
      <c r="AK117" s="28" t="n"/>
      <c r="AL117" s="28" t="n"/>
      <c r="AM117" s="29">
        <f>IF(AND(AJ117=0,AK117=0,AL117=0),0,IF(AND(AJ117=0,AK117=0),AL117/1,IF(AND(AJ117=0,AL117=0),AK117/1,IF(AND(AK117=0,AL117=0),AJ117/1,IF(AJ117=0,FLOOR((AK117+AL117)/2,0.1),IF(AK117=0,(AJ117+AL117)/2,IF(AL117=0,(AK117+AJ117)/2,FLOOR(((AJ117+AK117+AL117)/3),0.1))))))))</f>
        <v/>
      </c>
      <c r="AN117" s="21" t="n"/>
      <c r="AO117" s="21" t="n"/>
      <c r="AP117" s="27">
        <f>SUM(AN117:AO117)</f>
        <v/>
      </c>
      <c r="AQ117" s="28" t="n"/>
      <c r="AR117" s="30" t="n"/>
      <c r="AS117" s="29">
        <f>IF(AND(AP117=0,AQ117=0,AR117=0),0,IF(AND(AP117=0,AQ117=0),AR117/1,IF(AND(AP117=0,AR117=0),AQ117/1,IF(AND(AQ117=0,AR117=0),AP117/1,IF(AP117=0,FLOOR((AQ117+AR117)/2,0.1),IF(AQ117=0,(AP117+AR117)/2,IF(AR117=0,(AQ117+AP117)/2,FLOOR(((AP117+AQ117+AR117)/3),0.1))))))))</f>
        <v/>
      </c>
      <c r="AT117" s="21" t="n"/>
      <c r="AU117" s="21" t="n"/>
      <c r="AV117" s="27">
        <f>SUM(AT117:AU117)</f>
        <v/>
      </c>
      <c r="AW117" s="28" t="n"/>
      <c r="AX117" s="30" t="n"/>
      <c r="AY117" s="29">
        <f>IF(AND(AV117=0,AW117=0,AX117=0),0,IF(AND(AV117=0,AW117=0),AX117/1,IF(AND(AV117=0,AX117=0),AW117/1,IF(AND(AW117=0,AX117=0),AV117/1,IF(AV117=0,FLOOR((AW117+AX117)/2,0.1),IF(AW117=0,(AV117+AX117)/2,IF(AX117=0,(AW117+AV117)/2,FLOOR(((AV117+AW117+AX117)/3),0.1))))))))</f>
        <v/>
      </c>
      <c r="AZ117" s="21" t="n"/>
      <c r="BA117" s="21" t="n"/>
      <c r="BB117" s="27">
        <f>SUM(AZ117:BA117)</f>
        <v/>
      </c>
      <c r="BC117" s="28" t="n"/>
      <c r="BD117" s="28" t="n"/>
      <c r="BE117" s="29">
        <f>IF(AND(BB117=0,BC117=0,BD117=0),0,IF(AND(BB117=0,BC117=0),BD117/1,IF(AND(BB117=0,BD117=0),BC117/1,IF(AND(BC117=0,BD117=0),BB117/1,IF(BB117=0,FLOOR((BC117+BD117)/2,0.1),IF(BC117=0,(BB117+BD117)/2,IF(BD117=0,(BC117+BB117)/2,FLOOR(((BB117+BC117+BD117)/3),0.1))))))))</f>
        <v/>
      </c>
      <c r="BF117" s="21" t="n"/>
      <c r="BG117" s="21" t="n"/>
      <c r="BH117" s="27">
        <f>SUM(BF117:BG117)</f>
        <v/>
      </c>
      <c r="BI117" s="28" t="n"/>
      <c r="BJ117" s="28" t="n"/>
      <c r="BK117" s="29">
        <f>IF(AND(BH117=0,BI117=0,BJ117=0),0,IF(AND(BH117=0,BI117=0),BJ117/1,IF(AND(BH117=0,BJ117=0),BI117/1,IF(AND(BI117=0,BJ117=0),BH117/1,IF(BH117=0,FLOOR((BI117+BJ117)/2,0.1),IF(BI117=0,(BH117+BJ117)/2,IF(BJ117=0,(BI117+BH117)/2,FLOOR(((BH117+BI117+BJ117)/3),0.1))))))))</f>
        <v/>
      </c>
      <c r="BL117" s="21" t="n"/>
      <c r="BM117" s="21" t="n"/>
      <c r="BN117" s="27">
        <f>SUM(BL117:BM117)</f>
        <v/>
      </c>
      <c r="BO117" s="28" t="n"/>
      <c r="BP117" s="31" t="n"/>
      <c r="BQ117" s="29">
        <f>IF(AND(BN117=0,BO117=0,BP117=0),0,IF(AND(BN117=0,BO117=0),BP117/1,IF(AND(BN117=0,BP117=0),BO117/1,IF(AND(BO117=0,BP117=0),BN117/1,IF(BN117=0,FLOOR((BO117+BP117)/2,0.1),IF(BO117=0,(BN117+BP117)/2,IF(BP117=0,(BO117+BN117)/2,FLOOR(((BN117+BO117+BP117)/3),0.1))))))))</f>
        <v/>
      </c>
      <c r="BR117" s="21" t="n"/>
      <c r="BS117" s="21" t="n"/>
      <c r="BT117" s="27">
        <f>SUM(BR117:BS117)</f>
        <v/>
      </c>
      <c r="BU117" s="28" t="n"/>
      <c r="BV117" s="31" t="n"/>
      <c r="BW117" s="29">
        <f>IF(AND(BT117=0,BU117=0,BV117=0),0,IF(AND(BT117=0,BU117=0),BV117/1,IF(AND(BT117=0,BV117=0),BU117/1,IF(AND(BU117=0,BV117=0),BT117/1,IF(BT117=0,FLOOR((BU117+BV117)/2,0.1),IF(BU117=0,(BT117+BV117)/2,IF(BV117=0,(BU117+BT117)/2,FLOOR(((BT117+BU117+BV117)/3),0.1))))))))</f>
        <v/>
      </c>
      <c r="BX117" s="21" t="n"/>
      <c r="BY117" s="21" t="n"/>
      <c r="BZ117" s="27">
        <f>SUM(BX117:BY117)</f>
        <v/>
      </c>
      <c r="CA117" s="28" t="n"/>
      <c r="CB117" s="31" t="n"/>
      <c r="CC117" s="29">
        <f>IF(AND(BZ117=0,CA117=0,CB117=0),0,IF(AND(BZ117=0,CA117=0),CB117/1,IF(AND(BZ117=0,CB117=0),CA117/1,IF(AND(CA117=0,CB117=0),BZ117/1,IF(BZ117=0,FLOOR((CA117+CB117)/2,0.1),IF(CA117=0,(BZ117+CB117)/2,IF(CB117=0,(CA117+BZ117)/2,FLOOR(((BZ117+CA117+CB117)/3),0.1))))))))</f>
        <v/>
      </c>
      <c r="CD117" s="21" t="n"/>
      <c r="CE117" s="21" t="n"/>
      <c r="CF117" s="27">
        <f>SUM(CD117:CE117)</f>
        <v/>
      </c>
      <c r="CG117" s="28" t="n"/>
      <c r="CH117" s="31" t="n"/>
      <c r="CI117" s="29">
        <f>IF(AND(CF117=0,CG117=0,CH117=0),0,IF(AND(CF117=0,CG117=0),CH117/1,IF(AND(CF117=0,CH117=0),CG117/1,IF(AND(CG117=0,CH117=0),CF117/1,IF(CF117=0,FLOOR((CG117+CH117)/2,0.1),IF(CG117=0,(CF117+CH117)/2,IF(CH117=0,(CG117+CF117)/2,FLOOR(((CF117+CG117+CH117)/3),0.1))))))))</f>
        <v/>
      </c>
      <c r="CJ117" s="21" t="n"/>
      <c r="CK117" s="21" t="n"/>
      <c r="CL117" s="27">
        <f>SUM(CJ117:CK117)</f>
        <v/>
      </c>
      <c r="CM117" s="28" t="n"/>
      <c r="CN117" s="31" t="n"/>
      <c r="CO117" s="29">
        <f>IF(AND(CL117=0,CM117=0,CN117=0),0,IF(AND(CL117=0,CM117=0),CN117/1,IF(AND(CL117=0,CN117=0),CM117/1,IF(AND(CM117=0,CN117=0),CL117/1,IF(CL117=0,FLOOR((CM117+CN117)/2,0.1),IF(CM117=0,(CL117+CN117)/2,IF(CN117=0,(CM117+CL117)/2,FLOOR(((CL117+CM117+CN117)/3),0.1))))))))</f>
        <v/>
      </c>
      <c r="CP117" s="21" t="n"/>
      <c r="CQ117" s="21" t="n"/>
      <c r="CR117" s="27">
        <f>SUM(CP117:CQ117)</f>
        <v/>
      </c>
      <c r="CS117" s="28" t="n"/>
      <c r="CT117" s="31" t="n"/>
      <c r="CU117" s="29">
        <f>IF(AND(CR117=0,CS117=0,CT117=0),0,IF(AND(CR117=0,CS117=0),CT117/1,IF(AND(CR117=0,CT117=0),CS117/1,IF(AND(CS117=0,CT117=0),CR117/1,IF(CR117=0,FLOOR((CS117+CT117)/2,0.1),IF(CS117=0,(CR117+CT117)/2,IF(CT117=0,(CS117+CR117)/2,FLOOR(((CR117+CS117+CT117)/3),0.1))))))))</f>
        <v/>
      </c>
      <c r="CV117" s="21" t="n"/>
      <c r="CW117" s="21" t="n"/>
      <c r="CX117" s="27">
        <f>SUM(CV117:CW117)</f>
        <v/>
      </c>
      <c r="CY117" s="28" t="n"/>
      <c r="CZ117" s="31" t="n"/>
      <c r="DA117" s="29">
        <f>IF(AND(CX117=0,CY117=0,CZ117=0),0,IF(AND(CX117=0,CY117=0),CZ117/1,IF(AND(CX117=0,CZ117=0),CY117/1,IF(AND(CY117=0,CZ117=0),CX117/1,IF(CX117=0,FLOOR((CY117+CZ117)/2,0.1),IF(CY117=0,(CX117+CZ117)/2,IF(CZ117=0,(CY117+CX117)/2,FLOOR(((CX117+CY117+CZ117)/3),0.1))))))))</f>
        <v/>
      </c>
      <c r="DB117" s="21" t="n"/>
      <c r="DC117" s="21" t="n"/>
      <c r="DD117" s="27">
        <f>SUM(DB117:DC117)</f>
        <v/>
      </c>
      <c r="DE117" s="28" t="n"/>
      <c r="DF117" s="31" t="n"/>
      <c r="DG117" s="29">
        <f>IF(AND(DD117=0,DE117=0,DF117=0),0,IF(AND(DD117=0,DE117=0),DF117/1,IF(AND(DD117=0,DF117=0),DE117/1,IF(AND(DE117=0,DF117=0),DD117/1,IF(DD117=0,FLOOR((DE117+DF117)/2,0.1),IF(DE117=0,(DD117+DF117)/2,IF(DF117=0,(DE117+DD117)/2,FLOOR(((DD117+DE117+DF117)/3),0.1))))))))</f>
        <v/>
      </c>
      <c r="DH117" s="34">
        <f>SUM(O117,U117,AA117,AG117,AM117,AS117,AY117,BE117,BK117,BQ117,BW117,CC117,CI117,CO117,CU117,DA117,DG117)</f>
        <v/>
      </c>
      <c r="DI117" s="39">
        <f>RANK(DH117,DH$4:DH$503)</f>
        <v/>
      </c>
      <c r="DJ117" s="40" t="inlineStr">
        <is>
          <t>CHOOSE RATING</t>
        </is>
      </c>
      <c r="DK117" s="40" t="inlineStr">
        <is>
          <t>CHOOSE RATING</t>
        </is>
      </c>
      <c r="DL117" s="40" t="inlineStr">
        <is>
          <t>CHOOSE RATING</t>
        </is>
      </c>
      <c r="DM117" s="40" t="inlineStr">
        <is>
          <t>CHOOSE RATING</t>
        </is>
      </c>
      <c r="DN117" s="40" t="inlineStr">
        <is>
          <t>CHOOSE RATING</t>
        </is>
      </c>
      <c r="DO117" s="40" t="inlineStr">
        <is>
          <t>CHOOSE RATING</t>
        </is>
      </c>
      <c r="DP117" s="40" t="inlineStr">
        <is>
          <t>CHOOSE RATING</t>
        </is>
      </c>
      <c r="DQ117" s="40" t="inlineStr">
        <is>
          <t>CHOOSE RATING</t>
        </is>
      </c>
      <c r="DR117" s="43" t="inlineStr">
        <is>
          <t>2024/2025</t>
        </is>
      </c>
      <c r="DS117" s="45" t="inlineStr">
        <is>
          <t>THIRD</t>
        </is>
      </c>
      <c r="DT117" s="40" t="inlineStr">
        <is>
          <t>CHOOSE RATING</t>
        </is>
      </c>
      <c r="DU117" s="40" t="inlineStr">
        <is>
          <t>CHOOSE RATING</t>
        </is>
      </c>
      <c r="DV117" s="40" t="inlineStr">
        <is>
          <t>CHOOSE RATING</t>
        </is>
      </c>
      <c r="DW117" s="40" t="inlineStr">
        <is>
          <t>CHOOSE RATING</t>
        </is>
      </c>
      <c r="DX117" s="40" t="inlineStr">
        <is>
          <t>CHOOSE RATING</t>
        </is>
      </c>
      <c r="DY117" s="40" t="inlineStr">
        <is>
          <t>CHOOSE RATING</t>
        </is>
      </c>
      <c r="DZ117" s="53" t="inlineStr">
        <is>
          <t>CHOOSE RATING</t>
        </is>
      </c>
      <c r="EA117" s="54" t="inlineStr">
        <is>
          <t>Add the Tutor's Comment . . .</t>
        </is>
      </c>
      <c r="EB117" s="55" t="inlineStr">
        <is>
          <t>Choose Principals comment</t>
        </is>
      </c>
      <c r="EC117" s="56" t="n"/>
      <c r="ED117" s="57" t="inlineStr">
        <is>
          <t>Next Term Begins on Monday, 22nd September, 2025</t>
        </is>
      </c>
    </row>
    <row r="118" ht="30.6" customHeight="1" s="6">
      <c r="A118" s="18" t="n">
        <v>115</v>
      </c>
      <c r="B118" s="19" t="n"/>
      <c r="C118" s="20" t="n"/>
      <c r="D118" s="128" t="n"/>
      <c r="E118" s="21" t="n"/>
      <c r="F118" s="22" t="n"/>
      <c r="G118" s="22" t="n"/>
      <c r="H118" s="22" t="n"/>
      <c r="I118" s="26">
        <f>G118-H118</f>
        <v/>
      </c>
      <c r="J118" s="21" t="n"/>
      <c r="K118" s="21" t="n"/>
      <c r="L118" s="27">
        <f>SUM(J118:K118)</f>
        <v/>
      </c>
      <c r="M118" s="28" t="n"/>
      <c r="N118" s="28" t="n"/>
      <c r="O118" s="29">
        <f>IF(AND(L118=0,M118=0,N118=0),0,IF(AND(L118=0,M118=0),N118/1,IF(AND(L118=0,N118=0),M118/1,IF(AND(M118=0,N118=0),L118/1,IF(L118=0,FLOOR((M118+N118)/2,0.1),IF(M118=0,(L118+N118)/2,IF(N118=0,(M118+L118)/2,FLOOR(((L118+M118+N118)/3),0.1))))))))</f>
        <v/>
      </c>
      <c r="P118" s="21" t="n"/>
      <c r="Q118" s="21" t="n"/>
      <c r="R118" s="27">
        <f>SUM(P118:Q118)</f>
        <v/>
      </c>
      <c r="S118" s="28" t="n"/>
      <c r="T118" s="28" t="n"/>
      <c r="U118" s="29">
        <f>IF(AND(R118=0,S118=0,T118=0),0,IF(AND(R118=0,S118=0),T118/1,IF(AND(R118=0,T118=0),S118/1,IF(AND(S118=0,T118=0),R118/1,IF(R118=0,FLOOR((S118+T118)/2,0.1),IF(S118=0,(R118+T118)/2,IF(T118=0,(S118+R118)/2,FLOOR(((R118+S118+T118)/3),0.1))))))))</f>
        <v/>
      </c>
      <c r="V118" s="21" t="n"/>
      <c r="W118" s="21" t="n"/>
      <c r="X118" s="27">
        <f>SUM(V118:W118)</f>
        <v/>
      </c>
      <c r="Y118" s="28" t="n"/>
      <c r="Z118" s="28" t="n"/>
      <c r="AA118" s="29">
        <f>IF(AND(X118=0,Y118=0,Z118=0),0,IF(AND(X118=0,Y118=0),Z118/1,IF(AND(X118=0,Z118=0),Y118/1,IF(AND(Y118=0,Z118=0),X118/1,IF(X118=0,FLOOR((Y118+Z118)/2,0.1),IF(Y118=0,(X118+Z118)/2,IF(Z118=0,(Y118+X118)/2,FLOOR(((X118+Y118+Z118)/3),0.1))))))))</f>
        <v/>
      </c>
      <c r="AB118" s="21" t="n"/>
      <c r="AC118" s="21" t="n"/>
      <c r="AD118" s="27">
        <f>SUM(AB118:AC118)</f>
        <v/>
      </c>
      <c r="AE118" s="28" t="n"/>
      <c r="AF118" s="28" t="n"/>
      <c r="AG118" s="29">
        <f>IF(AND(AD118=0,AE118=0,AF118=0),0,IF(AND(AD118=0,AE118=0),AF118/1,IF(AND(AD118=0,AF118=0),AE118/1,IF(AND(AE118=0,AF118=0),AD118/1,IF(AD118=0,FLOOR((AE118+AF118)/2,0.1),IF(AE118=0,(AD118+AF118)/2,IF(AF118=0,(AE118+AD118)/2,FLOOR(((AD118+AE118+AF118)/3),0.1))))))))</f>
        <v/>
      </c>
      <c r="AH118" s="21" t="n"/>
      <c r="AI118" s="21" t="n"/>
      <c r="AJ118" s="27">
        <f>SUM(AH118:AI118)</f>
        <v/>
      </c>
      <c r="AK118" s="28" t="n"/>
      <c r="AL118" s="28" t="n"/>
      <c r="AM118" s="29">
        <f>IF(AND(AJ118=0,AK118=0,AL118=0),0,IF(AND(AJ118=0,AK118=0),AL118/1,IF(AND(AJ118=0,AL118=0),AK118/1,IF(AND(AK118=0,AL118=0),AJ118/1,IF(AJ118=0,FLOOR((AK118+AL118)/2,0.1),IF(AK118=0,(AJ118+AL118)/2,IF(AL118=0,(AK118+AJ118)/2,FLOOR(((AJ118+AK118+AL118)/3),0.1))))))))</f>
        <v/>
      </c>
      <c r="AN118" s="21" t="n"/>
      <c r="AO118" s="21" t="n"/>
      <c r="AP118" s="27">
        <f>SUM(AN118:AO118)</f>
        <v/>
      </c>
      <c r="AQ118" s="28" t="n"/>
      <c r="AR118" s="30" t="n"/>
      <c r="AS118" s="29">
        <f>IF(AND(AP118=0,AQ118=0,AR118=0),0,IF(AND(AP118=0,AQ118=0),AR118/1,IF(AND(AP118=0,AR118=0),AQ118/1,IF(AND(AQ118=0,AR118=0),AP118/1,IF(AP118=0,FLOOR((AQ118+AR118)/2,0.1),IF(AQ118=0,(AP118+AR118)/2,IF(AR118=0,(AQ118+AP118)/2,FLOOR(((AP118+AQ118+AR118)/3),0.1))))))))</f>
        <v/>
      </c>
      <c r="AT118" s="21" t="n"/>
      <c r="AU118" s="21" t="n"/>
      <c r="AV118" s="27">
        <f>SUM(AT118:AU118)</f>
        <v/>
      </c>
      <c r="AW118" s="28" t="n"/>
      <c r="AX118" s="30" t="n"/>
      <c r="AY118" s="29">
        <f>IF(AND(AV118=0,AW118=0,AX118=0),0,IF(AND(AV118=0,AW118=0),AX118/1,IF(AND(AV118=0,AX118=0),AW118/1,IF(AND(AW118=0,AX118=0),AV118/1,IF(AV118=0,FLOOR((AW118+AX118)/2,0.1),IF(AW118=0,(AV118+AX118)/2,IF(AX118=0,(AW118+AV118)/2,FLOOR(((AV118+AW118+AX118)/3),0.1))))))))</f>
        <v/>
      </c>
      <c r="AZ118" s="21" t="n"/>
      <c r="BA118" s="21" t="n"/>
      <c r="BB118" s="27">
        <f>SUM(AZ118:BA118)</f>
        <v/>
      </c>
      <c r="BC118" s="28" t="n"/>
      <c r="BD118" s="28" t="n"/>
      <c r="BE118" s="29">
        <f>IF(AND(BB118=0,BC118=0,BD118=0),0,IF(AND(BB118=0,BC118=0),BD118/1,IF(AND(BB118=0,BD118=0),BC118/1,IF(AND(BC118=0,BD118=0),BB118/1,IF(BB118=0,FLOOR((BC118+BD118)/2,0.1),IF(BC118=0,(BB118+BD118)/2,IF(BD118=0,(BC118+BB118)/2,FLOOR(((BB118+BC118+BD118)/3),0.1))))))))</f>
        <v/>
      </c>
      <c r="BF118" s="21" t="n"/>
      <c r="BG118" s="21" t="n"/>
      <c r="BH118" s="27">
        <f>SUM(BF118:BG118)</f>
        <v/>
      </c>
      <c r="BI118" s="28" t="n"/>
      <c r="BJ118" s="28" t="n"/>
      <c r="BK118" s="29">
        <f>IF(AND(BH118=0,BI118=0,BJ118=0),0,IF(AND(BH118=0,BI118=0),BJ118/1,IF(AND(BH118=0,BJ118=0),BI118/1,IF(AND(BI118=0,BJ118=0),BH118/1,IF(BH118=0,FLOOR((BI118+BJ118)/2,0.1),IF(BI118=0,(BH118+BJ118)/2,IF(BJ118=0,(BI118+BH118)/2,FLOOR(((BH118+BI118+BJ118)/3),0.1))))))))</f>
        <v/>
      </c>
      <c r="BL118" s="21" t="n"/>
      <c r="BM118" s="21" t="n"/>
      <c r="BN118" s="27">
        <f>SUM(BL118:BM118)</f>
        <v/>
      </c>
      <c r="BO118" s="28" t="n"/>
      <c r="BP118" s="31" t="n"/>
      <c r="BQ118" s="29">
        <f>IF(AND(BN118=0,BO118=0,BP118=0),0,IF(AND(BN118=0,BO118=0),BP118/1,IF(AND(BN118=0,BP118=0),BO118/1,IF(AND(BO118=0,BP118=0),BN118/1,IF(BN118=0,FLOOR((BO118+BP118)/2,0.1),IF(BO118=0,(BN118+BP118)/2,IF(BP118=0,(BO118+BN118)/2,FLOOR(((BN118+BO118+BP118)/3),0.1))))))))</f>
        <v/>
      </c>
      <c r="BR118" s="21" t="n"/>
      <c r="BS118" s="21" t="n"/>
      <c r="BT118" s="27">
        <f>SUM(BR118:BS118)</f>
        <v/>
      </c>
      <c r="BU118" s="28" t="n"/>
      <c r="BV118" s="31" t="n"/>
      <c r="BW118" s="29">
        <f>IF(AND(BT118=0,BU118=0,BV118=0),0,IF(AND(BT118=0,BU118=0),BV118/1,IF(AND(BT118=0,BV118=0),BU118/1,IF(AND(BU118=0,BV118=0),BT118/1,IF(BT118=0,FLOOR((BU118+BV118)/2,0.1),IF(BU118=0,(BT118+BV118)/2,IF(BV118=0,(BU118+BT118)/2,FLOOR(((BT118+BU118+BV118)/3),0.1))))))))</f>
        <v/>
      </c>
      <c r="BX118" s="21" t="n"/>
      <c r="BY118" s="21" t="n"/>
      <c r="BZ118" s="27">
        <f>SUM(BX118:BY118)</f>
        <v/>
      </c>
      <c r="CA118" s="28" t="n"/>
      <c r="CB118" s="31" t="n"/>
      <c r="CC118" s="29">
        <f>IF(AND(BZ118=0,CA118=0,CB118=0),0,IF(AND(BZ118=0,CA118=0),CB118/1,IF(AND(BZ118=0,CB118=0),CA118/1,IF(AND(CA118=0,CB118=0),BZ118/1,IF(BZ118=0,FLOOR((CA118+CB118)/2,0.1),IF(CA118=0,(BZ118+CB118)/2,IF(CB118=0,(CA118+BZ118)/2,FLOOR(((BZ118+CA118+CB118)/3),0.1))))))))</f>
        <v/>
      </c>
      <c r="CD118" s="21" t="n"/>
      <c r="CE118" s="21" t="n"/>
      <c r="CF118" s="27">
        <f>SUM(CD118:CE118)</f>
        <v/>
      </c>
      <c r="CG118" s="28" t="n"/>
      <c r="CH118" s="31" t="n"/>
      <c r="CI118" s="29">
        <f>IF(AND(CF118=0,CG118=0,CH118=0),0,IF(AND(CF118=0,CG118=0),CH118/1,IF(AND(CF118=0,CH118=0),CG118/1,IF(AND(CG118=0,CH118=0),CF118/1,IF(CF118=0,FLOOR((CG118+CH118)/2,0.1),IF(CG118=0,(CF118+CH118)/2,IF(CH118=0,(CG118+CF118)/2,FLOOR(((CF118+CG118+CH118)/3),0.1))))))))</f>
        <v/>
      </c>
      <c r="CJ118" s="21" t="n"/>
      <c r="CK118" s="21" t="n"/>
      <c r="CL118" s="27">
        <f>SUM(CJ118:CK118)</f>
        <v/>
      </c>
      <c r="CM118" s="28" t="n"/>
      <c r="CN118" s="31" t="n"/>
      <c r="CO118" s="29">
        <f>IF(AND(CL118=0,CM118=0,CN118=0),0,IF(AND(CL118=0,CM118=0),CN118/1,IF(AND(CL118=0,CN118=0),CM118/1,IF(AND(CM118=0,CN118=0),CL118/1,IF(CL118=0,FLOOR((CM118+CN118)/2,0.1),IF(CM118=0,(CL118+CN118)/2,IF(CN118=0,(CM118+CL118)/2,FLOOR(((CL118+CM118+CN118)/3),0.1))))))))</f>
        <v/>
      </c>
      <c r="CP118" s="21" t="n"/>
      <c r="CQ118" s="21" t="n"/>
      <c r="CR118" s="27">
        <f>SUM(CP118:CQ118)</f>
        <v/>
      </c>
      <c r="CS118" s="28" t="n"/>
      <c r="CT118" s="31" t="n"/>
      <c r="CU118" s="29">
        <f>IF(AND(CR118=0,CS118=0,CT118=0),0,IF(AND(CR118=0,CS118=0),CT118/1,IF(AND(CR118=0,CT118=0),CS118/1,IF(AND(CS118=0,CT118=0),CR118/1,IF(CR118=0,FLOOR((CS118+CT118)/2,0.1),IF(CS118=0,(CR118+CT118)/2,IF(CT118=0,(CS118+CR118)/2,FLOOR(((CR118+CS118+CT118)/3),0.1))))))))</f>
        <v/>
      </c>
      <c r="CV118" s="21" t="n"/>
      <c r="CW118" s="21" t="n"/>
      <c r="CX118" s="27">
        <f>SUM(CV118:CW118)</f>
        <v/>
      </c>
      <c r="CY118" s="28" t="n"/>
      <c r="CZ118" s="31" t="n"/>
      <c r="DA118" s="29">
        <f>IF(AND(CX118=0,CY118=0,CZ118=0),0,IF(AND(CX118=0,CY118=0),CZ118/1,IF(AND(CX118=0,CZ118=0),CY118/1,IF(AND(CY118=0,CZ118=0),CX118/1,IF(CX118=0,FLOOR((CY118+CZ118)/2,0.1),IF(CY118=0,(CX118+CZ118)/2,IF(CZ118=0,(CY118+CX118)/2,FLOOR(((CX118+CY118+CZ118)/3),0.1))))))))</f>
        <v/>
      </c>
      <c r="DB118" s="21" t="n"/>
      <c r="DC118" s="21" t="n"/>
      <c r="DD118" s="27">
        <f>SUM(DB118:DC118)</f>
        <v/>
      </c>
      <c r="DE118" s="28" t="n"/>
      <c r="DF118" s="31" t="n"/>
      <c r="DG118" s="29">
        <f>IF(AND(DD118=0,DE118=0,DF118=0),0,IF(AND(DD118=0,DE118=0),DF118/1,IF(AND(DD118=0,DF118=0),DE118/1,IF(AND(DE118=0,DF118=0),DD118/1,IF(DD118=0,FLOOR((DE118+DF118)/2,0.1),IF(DE118=0,(DD118+DF118)/2,IF(DF118=0,(DE118+DD118)/2,FLOOR(((DD118+DE118+DF118)/3),0.1))))))))</f>
        <v/>
      </c>
      <c r="DH118" s="34">
        <f>SUM(O118,U118,AA118,AG118,AM118,AS118,AY118,BE118,BK118,BQ118,BW118,CC118,CI118,CO118,CU118,DA118,DG118)</f>
        <v/>
      </c>
      <c r="DI118" s="39">
        <f>RANK(DH118,DH$4:DH$503)</f>
        <v/>
      </c>
      <c r="DJ118" s="40" t="inlineStr">
        <is>
          <t>CHOOSE RATING</t>
        </is>
      </c>
      <c r="DK118" s="40" t="inlineStr">
        <is>
          <t>CHOOSE RATING</t>
        </is>
      </c>
      <c r="DL118" s="40" t="inlineStr">
        <is>
          <t>CHOOSE RATING</t>
        </is>
      </c>
      <c r="DM118" s="40" t="inlineStr">
        <is>
          <t>CHOOSE RATING</t>
        </is>
      </c>
      <c r="DN118" s="40" t="inlineStr">
        <is>
          <t>CHOOSE RATING</t>
        </is>
      </c>
      <c r="DO118" s="40" t="inlineStr">
        <is>
          <t>CHOOSE RATING</t>
        </is>
      </c>
      <c r="DP118" s="40" t="inlineStr">
        <is>
          <t>CHOOSE RATING</t>
        </is>
      </c>
      <c r="DQ118" s="40" t="inlineStr">
        <is>
          <t>CHOOSE RATING</t>
        </is>
      </c>
      <c r="DR118" s="43" t="inlineStr">
        <is>
          <t>2024/2025</t>
        </is>
      </c>
      <c r="DS118" s="45" t="inlineStr">
        <is>
          <t>THIRD</t>
        </is>
      </c>
      <c r="DT118" s="40" t="inlineStr">
        <is>
          <t>CHOOSE RATING</t>
        </is>
      </c>
      <c r="DU118" s="40" t="inlineStr">
        <is>
          <t>CHOOSE RATING</t>
        </is>
      </c>
      <c r="DV118" s="40" t="inlineStr">
        <is>
          <t>CHOOSE RATING</t>
        </is>
      </c>
      <c r="DW118" s="40" t="inlineStr">
        <is>
          <t>CHOOSE RATING</t>
        </is>
      </c>
      <c r="DX118" s="40" t="inlineStr">
        <is>
          <t>CHOOSE RATING</t>
        </is>
      </c>
      <c r="DY118" s="40" t="inlineStr">
        <is>
          <t>CHOOSE RATING</t>
        </is>
      </c>
      <c r="DZ118" s="53" t="inlineStr">
        <is>
          <t>CHOOSE RATING</t>
        </is>
      </c>
      <c r="EA118" s="54" t="inlineStr">
        <is>
          <t>Add the Tutor's Comment . . .</t>
        </is>
      </c>
      <c r="EB118" s="55" t="inlineStr">
        <is>
          <t>Choose Principals comment</t>
        </is>
      </c>
      <c r="EC118" s="56" t="n"/>
      <c r="ED118" s="57" t="inlineStr">
        <is>
          <t>Next Term Begins on Monday, 22nd September, 2025</t>
        </is>
      </c>
    </row>
    <row r="119" ht="30.6" customHeight="1" s="6">
      <c r="A119" s="18" t="n">
        <v>116</v>
      </c>
      <c r="B119" s="19" t="n"/>
      <c r="C119" s="20" t="n"/>
      <c r="D119" s="128" t="n"/>
      <c r="E119" s="21" t="n"/>
      <c r="F119" s="22" t="n"/>
      <c r="G119" s="22" t="n"/>
      <c r="H119" s="22" t="n"/>
      <c r="I119" s="26">
        <f>G119-H119</f>
        <v/>
      </c>
      <c r="J119" s="21" t="n"/>
      <c r="K119" s="21" t="n"/>
      <c r="L119" s="27">
        <f>SUM(J119:K119)</f>
        <v/>
      </c>
      <c r="M119" s="28" t="n"/>
      <c r="N119" s="28" t="n"/>
      <c r="O119" s="29">
        <f>IF(AND(L119=0,M119=0,N119=0),0,IF(AND(L119=0,M119=0),N119/1,IF(AND(L119=0,N119=0),M119/1,IF(AND(M119=0,N119=0),L119/1,IF(L119=0,FLOOR((M119+N119)/2,0.1),IF(M119=0,(L119+N119)/2,IF(N119=0,(M119+L119)/2,FLOOR(((L119+M119+N119)/3),0.1))))))))</f>
        <v/>
      </c>
      <c r="P119" s="21" t="n"/>
      <c r="Q119" s="21" t="n"/>
      <c r="R119" s="27">
        <f>SUM(P119:Q119)</f>
        <v/>
      </c>
      <c r="S119" s="28" t="n"/>
      <c r="T119" s="28" t="n"/>
      <c r="U119" s="29">
        <f>IF(AND(R119=0,S119=0,T119=0),0,IF(AND(R119=0,S119=0),T119/1,IF(AND(R119=0,T119=0),S119/1,IF(AND(S119=0,T119=0),R119/1,IF(R119=0,FLOOR((S119+T119)/2,0.1),IF(S119=0,(R119+T119)/2,IF(T119=0,(S119+R119)/2,FLOOR(((R119+S119+T119)/3),0.1))))))))</f>
        <v/>
      </c>
      <c r="V119" s="21" t="n"/>
      <c r="W119" s="21" t="n"/>
      <c r="X119" s="27">
        <f>SUM(V119:W119)</f>
        <v/>
      </c>
      <c r="Y119" s="28" t="n"/>
      <c r="Z119" s="28" t="n"/>
      <c r="AA119" s="29">
        <f>IF(AND(X119=0,Y119=0,Z119=0),0,IF(AND(X119=0,Y119=0),Z119/1,IF(AND(X119=0,Z119=0),Y119/1,IF(AND(Y119=0,Z119=0),X119/1,IF(X119=0,FLOOR((Y119+Z119)/2,0.1),IF(Y119=0,(X119+Z119)/2,IF(Z119=0,(Y119+X119)/2,FLOOR(((X119+Y119+Z119)/3),0.1))))))))</f>
        <v/>
      </c>
      <c r="AB119" s="21" t="n"/>
      <c r="AC119" s="21" t="n"/>
      <c r="AD119" s="27">
        <f>SUM(AB119:AC119)</f>
        <v/>
      </c>
      <c r="AE119" s="28" t="n"/>
      <c r="AF119" s="28" t="n"/>
      <c r="AG119" s="29">
        <f>IF(AND(AD119=0,AE119=0,AF119=0),0,IF(AND(AD119=0,AE119=0),AF119/1,IF(AND(AD119=0,AF119=0),AE119/1,IF(AND(AE119=0,AF119=0),AD119/1,IF(AD119=0,FLOOR((AE119+AF119)/2,0.1),IF(AE119=0,(AD119+AF119)/2,IF(AF119=0,(AE119+AD119)/2,FLOOR(((AD119+AE119+AF119)/3),0.1))))))))</f>
        <v/>
      </c>
      <c r="AH119" s="21" t="n"/>
      <c r="AI119" s="21" t="n"/>
      <c r="AJ119" s="27">
        <f>SUM(AH119:AI119)</f>
        <v/>
      </c>
      <c r="AK119" s="28" t="n"/>
      <c r="AL119" s="28" t="n"/>
      <c r="AM119" s="29">
        <f>IF(AND(AJ119=0,AK119=0,AL119=0),0,IF(AND(AJ119=0,AK119=0),AL119/1,IF(AND(AJ119=0,AL119=0),AK119/1,IF(AND(AK119=0,AL119=0),AJ119/1,IF(AJ119=0,FLOOR((AK119+AL119)/2,0.1),IF(AK119=0,(AJ119+AL119)/2,IF(AL119=0,(AK119+AJ119)/2,FLOOR(((AJ119+AK119+AL119)/3),0.1))))))))</f>
        <v/>
      </c>
      <c r="AN119" s="21" t="n"/>
      <c r="AO119" s="21" t="n"/>
      <c r="AP119" s="27">
        <f>SUM(AN119:AO119)</f>
        <v/>
      </c>
      <c r="AQ119" s="28" t="n"/>
      <c r="AR119" s="30" t="n"/>
      <c r="AS119" s="29">
        <f>IF(AND(AP119=0,AQ119=0,AR119=0),0,IF(AND(AP119=0,AQ119=0),AR119/1,IF(AND(AP119=0,AR119=0),AQ119/1,IF(AND(AQ119=0,AR119=0),AP119/1,IF(AP119=0,FLOOR((AQ119+AR119)/2,0.1),IF(AQ119=0,(AP119+AR119)/2,IF(AR119=0,(AQ119+AP119)/2,FLOOR(((AP119+AQ119+AR119)/3),0.1))))))))</f>
        <v/>
      </c>
      <c r="AT119" s="21" t="n"/>
      <c r="AU119" s="21" t="n"/>
      <c r="AV119" s="27">
        <f>SUM(AT119:AU119)</f>
        <v/>
      </c>
      <c r="AW119" s="28" t="n"/>
      <c r="AX119" s="30" t="n"/>
      <c r="AY119" s="29">
        <f>IF(AND(AV119=0,AW119=0,AX119=0),0,IF(AND(AV119=0,AW119=0),AX119/1,IF(AND(AV119=0,AX119=0),AW119/1,IF(AND(AW119=0,AX119=0),AV119/1,IF(AV119=0,FLOOR((AW119+AX119)/2,0.1),IF(AW119=0,(AV119+AX119)/2,IF(AX119=0,(AW119+AV119)/2,FLOOR(((AV119+AW119+AX119)/3),0.1))))))))</f>
        <v/>
      </c>
      <c r="AZ119" s="21" t="n"/>
      <c r="BA119" s="21" t="n"/>
      <c r="BB119" s="27">
        <f>SUM(AZ119:BA119)</f>
        <v/>
      </c>
      <c r="BC119" s="28" t="n"/>
      <c r="BD119" s="28" t="n"/>
      <c r="BE119" s="29">
        <f>IF(AND(BB119=0,BC119=0,BD119=0),0,IF(AND(BB119=0,BC119=0),BD119/1,IF(AND(BB119=0,BD119=0),BC119/1,IF(AND(BC119=0,BD119=0),BB119/1,IF(BB119=0,FLOOR((BC119+BD119)/2,0.1),IF(BC119=0,(BB119+BD119)/2,IF(BD119=0,(BC119+BB119)/2,FLOOR(((BB119+BC119+BD119)/3),0.1))))))))</f>
        <v/>
      </c>
      <c r="BF119" s="21" t="n"/>
      <c r="BG119" s="21" t="n"/>
      <c r="BH119" s="27">
        <f>SUM(BF119:BG119)</f>
        <v/>
      </c>
      <c r="BI119" s="28" t="n"/>
      <c r="BJ119" s="28" t="n"/>
      <c r="BK119" s="29">
        <f>IF(AND(BH119=0,BI119=0,BJ119=0),0,IF(AND(BH119=0,BI119=0),BJ119/1,IF(AND(BH119=0,BJ119=0),BI119/1,IF(AND(BI119=0,BJ119=0),BH119/1,IF(BH119=0,FLOOR((BI119+BJ119)/2,0.1),IF(BI119=0,(BH119+BJ119)/2,IF(BJ119=0,(BI119+BH119)/2,FLOOR(((BH119+BI119+BJ119)/3),0.1))))))))</f>
        <v/>
      </c>
      <c r="BL119" s="21" t="n"/>
      <c r="BM119" s="21" t="n"/>
      <c r="BN119" s="27">
        <f>SUM(BL119:BM119)</f>
        <v/>
      </c>
      <c r="BO119" s="28" t="n"/>
      <c r="BP119" s="31" t="n"/>
      <c r="BQ119" s="29">
        <f>IF(AND(BN119=0,BO119=0,BP119=0),0,IF(AND(BN119=0,BO119=0),BP119/1,IF(AND(BN119=0,BP119=0),BO119/1,IF(AND(BO119=0,BP119=0),BN119/1,IF(BN119=0,FLOOR((BO119+BP119)/2,0.1),IF(BO119=0,(BN119+BP119)/2,IF(BP119=0,(BO119+BN119)/2,FLOOR(((BN119+BO119+BP119)/3),0.1))))))))</f>
        <v/>
      </c>
      <c r="BR119" s="21" t="n"/>
      <c r="BS119" s="21" t="n"/>
      <c r="BT119" s="27">
        <f>SUM(BR119:BS119)</f>
        <v/>
      </c>
      <c r="BU119" s="28" t="n"/>
      <c r="BV119" s="31" t="n"/>
      <c r="BW119" s="29">
        <f>IF(AND(BT119=0,BU119=0,BV119=0),0,IF(AND(BT119=0,BU119=0),BV119/1,IF(AND(BT119=0,BV119=0),BU119/1,IF(AND(BU119=0,BV119=0),BT119/1,IF(BT119=0,FLOOR((BU119+BV119)/2,0.1),IF(BU119=0,(BT119+BV119)/2,IF(BV119=0,(BU119+BT119)/2,FLOOR(((BT119+BU119+BV119)/3),0.1))))))))</f>
        <v/>
      </c>
      <c r="BX119" s="21" t="n"/>
      <c r="BY119" s="21" t="n"/>
      <c r="BZ119" s="27">
        <f>SUM(BX119:BY119)</f>
        <v/>
      </c>
      <c r="CA119" s="28" t="n"/>
      <c r="CB119" s="31" t="n"/>
      <c r="CC119" s="29">
        <f>IF(AND(BZ119=0,CA119=0,CB119=0),0,IF(AND(BZ119=0,CA119=0),CB119/1,IF(AND(BZ119=0,CB119=0),CA119/1,IF(AND(CA119=0,CB119=0),BZ119/1,IF(BZ119=0,FLOOR((CA119+CB119)/2,0.1),IF(CA119=0,(BZ119+CB119)/2,IF(CB119=0,(CA119+BZ119)/2,FLOOR(((BZ119+CA119+CB119)/3),0.1))))))))</f>
        <v/>
      </c>
      <c r="CD119" s="21" t="n"/>
      <c r="CE119" s="21" t="n"/>
      <c r="CF119" s="27">
        <f>SUM(CD119:CE119)</f>
        <v/>
      </c>
      <c r="CG119" s="28" t="n"/>
      <c r="CH119" s="31" t="n"/>
      <c r="CI119" s="29">
        <f>IF(AND(CF119=0,CG119=0,CH119=0),0,IF(AND(CF119=0,CG119=0),CH119/1,IF(AND(CF119=0,CH119=0),CG119/1,IF(AND(CG119=0,CH119=0),CF119/1,IF(CF119=0,FLOOR((CG119+CH119)/2,0.1),IF(CG119=0,(CF119+CH119)/2,IF(CH119=0,(CG119+CF119)/2,FLOOR(((CF119+CG119+CH119)/3),0.1))))))))</f>
        <v/>
      </c>
      <c r="CJ119" s="21" t="n"/>
      <c r="CK119" s="21" t="n"/>
      <c r="CL119" s="27">
        <f>SUM(CJ119:CK119)</f>
        <v/>
      </c>
      <c r="CM119" s="28" t="n"/>
      <c r="CN119" s="31" t="n"/>
      <c r="CO119" s="29">
        <f>IF(AND(CL119=0,CM119=0,CN119=0),0,IF(AND(CL119=0,CM119=0),CN119/1,IF(AND(CL119=0,CN119=0),CM119/1,IF(AND(CM119=0,CN119=0),CL119/1,IF(CL119=0,FLOOR((CM119+CN119)/2,0.1),IF(CM119=0,(CL119+CN119)/2,IF(CN119=0,(CM119+CL119)/2,FLOOR(((CL119+CM119+CN119)/3),0.1))))))))</f>
        <v/>
      </c>
      <c r="CP119" s="21" t="n"/>
      <c r="CQ119" s="21" t="n"/>
      <c r="CR119" s="27">
        <f>SUM(CP119:CQ119)</f>
        <v/>
      </c>
      <c r="CS119" s="28" t="n"/>
      <c r="CT119" s="31" t="n"/>
      <c r="CU119" s="29">
        <f>IF(AND(CR119=0,CS119=0,CT119=0),0,IF(AND(CR119=0,CS119=0),CT119/1,IF(AND(CR119=0,CT119=0),CS119/1,IF(AND(CS119=0,CT119=0),CR119/1,IF(CR119=0,FLOOR((CS119+CT119)/2,0.1),IF(CS119=0,(CR119+CT119)/2,IF(CT119=0,(CS119+CR119)/2,FLOOR(((CR119+CS119+CT119)/3),0.1))))))))</f>
        <v/>
      </c>
      <c r="CV119" s="21" t="n"/>
      <c r="CW119" s="21" t="n"/>
      <c r="CX119" s="27">
        <f>SUM(CV119:CW119)</f>
        <v/>
      </c>
      <c r="CY119" s="28" t="n"/>
      <c r="CZ119" s="31" t="n"/>
      <c r="DA119" s="29">
        <f>IF(AND(CX119=0,CY119=0,CZ119=0),0,IF(AND(CX119=0,CY119=0),CZ119/1,IF(AND(CX119=0,CZ119=0),CY119/1,IF(AND(CY119=0,CZ119=0),CX119/1,IF(CX119=0,FLOOR((CY119+CZ119)/2,0.1),IF(CY119=0,(CX119+CZ119)/2,IF(CZ119=0,(CY119+CX119)/2,FLOOR(((CX119+CY119+CZ119)/3),0.1))))))))</f>
        <v/>
      </c>
      <c r="DB119" s="21" t="n"/>
      <c r="DC119" s="21" t="n"/>
      <c r="DD119" s="27">
        <f>SUM(DB119:DC119)</f>
        <v/>
      </c>
      <c r="DE119" s="28" t="n"/>
      <c r="DF119" s="31" t="n"/>
      <c r="DG119" s="29">
        <f>IF(AND(DD119=0,DE119=0,DF119=0),0,IF(AND(DD119=0,DE119=0),DF119/1,IF(AND(DD119=0,DF119=0),DE119/1,IF(AND(DE119=0,DF119=0),DD119/1,IF(DD119=0,FLOOR((DE119+DF119)/2,0.1),IF(DE119=0,(DD119+DF119)/2,IF(DF119=0,(DE119+DD119)/2,FLOOR(((DD119+DE119+DF119)/3),0.1))))))))</f>
        <v/>
      </c>
      <c r="DH119" s="34">
        <f>SUM(O119,U119,AA119,AG119,AM119,AS119,AY119,BE119,BK119,BQ119,BW119,CC119,CI119,CO119,CU119,DA119,DG119)</f>
        <v/>
      </c>
      <c r="DI119" s="39">
        <f>RANK(DH119,DH$4:DH$503)</f>
        <v/>
      </c>
      <c r="DJ119" s="40" t="inlineStr">
        <is>
          <t>CHOOSE RATING</t>
        </is>
      </c>
      <c r="DK119" s="40" t="inlineStr">
        <is>
          <t>CHOOSE RATING</t>
        </is>
      </c>
      <c r="DL119" s="40" t="inlineStr">
        <is>
          <t>CHOOSE RATING</t>
        </is>
      </c>
      <c r="DM119" s="40" t="inlineStr">
        <is>
          <t>CHOOSE RATING</t>
        </is>
      </c>
      <c r="DN119" s="40" t="inlineStr">
        <is>
          <t>CHOOSE RATING</t>
        </is>
      </c>
      <c r="DO119" s="40" t="inlineStr">
        <is>
          <t>CHOOSE RATING</t>
        </is>
      </c>
      <c r="DP119" s="40" t="inlineStr">
        <is>
          <t>CHOOSE RATING</t>
        </is>
      </c>
      <c r="DQ119" s="40" t="inlineStr">
        <is>
          <t>CHOOSE RATING</t>
        </is>
      </c>
      <c r="DR119" s="43" t="inlineStr">
        <is>
          <t>2024/2025</t>
        </is>
      </c>
      <c r="DS119" s="45" t="inlineStr">
        <is>
          <t>THIRD</t>
        </is>
      </c>
      <c r="DT119" s="40" t="inlineStr">
        <is>
          <t>CHOOSE RATING</t>
        </is>
      </c>
      <c r="DU119" s="40" t="inlineStr">
        <is>
          <t>CHOOSE RATING</t>
        </is>
      </c>
      <c r="DV119" s="40" t="inlineStr">
        <is>
          <t>CHOOSE RATING</t>
        </is>
      </c>
      <c r="DW119" s="40" t="inlineStr">
        <is>
          <t>CHOOSE RATING</t>
        </is>
      </c>
      <c r="DX119" s="40" t="inlineStr">
        <is>
          <t>CHOOSE RATING</t>
        </is>
      </c>
      <c r="DY119" s="40" t="inlineStr">
        <is>
          <t>CHOOSE RATING</t>
        </is>
      </c>
      <c r="DZ119" s="53" t="inlineStr">
        <is>
          <t>CHOOSE RATING</t>
        </is>
      </c>
      <c r="EA119" s="54" t="inlineStr">
        <is>
          <t>Add the Tutor's Comment . . .</t>
        </is>
      </c>
      <c r="EB119" s="55" t="inlineStr">
        <is>
          <t>Choose Principals comment</t>
        </is>
      </c>
      <c r="EC119" s="56" t="n"/>
      <c r="ED119" s="57" t="inlineStr">
        <is>
          <t>Next Term Begins on Monday, 22nd September, 2025</t>
        </is>
      </c>
    </row>
    <row r="120" ht="30.6" customHeight="1" s="6">
      <c r="A120" s="18" t="n">
        <v>117</v>
      </c>
      <c r="B120" s="19" t="n"/>
      <c r="C120" s="20" t="n"/>
      <c r="D120" s="128" t="n"/>
      <c r="E120" s="21" t="n"/>
      <c r="F120" s="22" t="n"/>
      <c r="G120" s="22" t="n"/>
      <c r="H120" s="22" t="n"/>
      <c r="I120" s="26">
        <f>G120-H120</f>
        <v/>
      </c>
      <c r="J120" s="21" t="n"/>
      <c r="K120" s="21" t="n"/>
      <c r="L120" s="27">
        <f>SUM(J120:K120)</f>
        <v/>
      </c>
      <c r="M120" s="28" t="n"/>
      <c r="N120" s="28" t="n"/>
      <c r="O120" s="29">
        <f>IF(AND(L120=0,M120=0,N120=0),0,IF(AND(L120=0,M120=0),N120/1,IF(AND(L120=0,N120=0),M120/1,IF(AND(M120=0,N120=0),L120/1,IF(L120=0,FLOOR((M120+N120)/2,0.1),IF(M120=0,(L120+N120)/2,IF(N120=0,(M120+L120)/2,FLOOR(((L120+M120+N120)/3),0.1))))))))</f>
        <v/>
      </c>
      <c r="P120" s="21" t="n"/>
      <c r="Q120" s="21" t="n"/>
      <c r="R120" s="27">
        <f>SUM(P120:Q120)</f>
        <v/>
      </c>
      <c r="S120" s="28" t="n"/>
      <c r="T120" s="28" t="n"/>
      <c r="U120" s="29">
        <f>IF(AND(R120=0,S120=0,T120=0),0,IF(AND(R120=0,S120=0),T120/1,IF(AND(R120=0,T120=0),S120/1,IF(AND(S120=0,T120=0),R120/1,IF(R120=0,FLOOR((S120+T120)/2,0.1),IF(S120=0,(R120+T120)/2,IF(T120=0,(S120+R120)/2,FLOOR(((R120+S120+T120)/3),0.1))))))))</f>
        <v/>
      </c>
      <c r="V120" s="21" t="n"/>
      <c r="W120" s="21" t="n"/>
      <c r="X120" s="27">
        <f>SUM(V120:W120)</f>
        <v/>
      </c>
      <c r="Y120" s="28" t="n"/>
      <c r="Z120" s="28" t="n"/>
      <c r="AA120" s="29">
        <f>IF(AND(X120=0,Y120=0,Z120=0),0,IF(AND(X120=0,Y120=0),Z120/1,IF(AND(X120=0,Z120=0),Y120/1,IF(AND(Y120=0,Z120=0),X120/1,IF(X120=0,FLOOR((Y120+Z120)/2,0.1),IF(Y120=0,(X120+Z120)/2,IF(Z120=0,(Y120+X120)/2,FLOOR(((X120+Y120+Z120)/3),0.1))))))))</f>
        <v/>
      </c>
      <c r="AB120" s="21" t="n"/>
      <c r="AC120" s="21" t="n"/>
      <c r="AD120" s="27">
        <f>SUM(AB120:AC120)</f>
        <v/>
      </c>
      <c r="AE120" s="28" t="n"/>
      <c r="AF120" s="28" t="n"/>
      <c r="AG120" s="29">
        <f>IF(AND(AD120=0,AE120=0,AF120=0),0,IF(AND(AD120=0,AE120=0),AF120/1,IF(AND(AD120=0,AF120=0),AE120/1,IF(AND(AE120=0,AF120=0),AD120/1,IF(AD120=0,FLOOR((AE120+AF120)/2,0.1),IF(AE120=0,(AD120+AF120)/2,IF(AF120=0,(AE120+AD120)/2,FLOOR(((AD120+AE120+AF120)/3),0.1))))))))</f>
        <v/>
      </c>
      <c r="AH120" s="21" t="n"/>
      <c r="AI120" s="21" t="n"/>
      <c r="AJ120" s="27">
        <f>SUM(AH120:AI120)</f>
        <v/>
      </c>
      <c r="AK120" s="28" t="n"/>
      <c r="AL120" s="28" t="n"/>
      <c r="AM120" s="29">
        <f>IF(AND(AJ120=0,AK120=0,AL120=0),0,IF(AND(AJ120=0,AK120=0),AL120/1,IF(AND(AJ120=0,AL120=0),AK120/1,IF(AND(AK120=0,AL120=0),AJ120/1,IF(AJ120=0,FLOOR((AK120+AL120)/2,0.1),IF(AK120=0,(AJ120+AL120)/2,IF(AL120=0,(AK120+AJ120)/2,FLOOR(((AJ120+AK120+AL120)/3),0.1))))))))</f>
        <v/>
      </c>
      <c r="AN120" s="21" t="n"/>
      <c r="AO120" s="21" t="n"/>
      <c r="AP120" s="27">
        <f>SUM(AN120:AO120)</f>
        <v/>
      </c>
      <c r="AQ120" s="28" t="n"/>
      <c r="AR120" s="30" t="n"/>
      <c r="AS120" s="29">
        <f>IF(AND(AP120=0,AQ120=0,AR120=0),0,IF(AND(AP120=0,AQ120=0),AR120/1,IF(AND(AP120=0,AR120=0),AQ120/1,IF(AND(AQ120=0,AR120=0),AP120/1,IF(AP120=0,FLOOR((AQ120+AR120)/2,0.1),IF(AQ120=0,(AP120+AR120)/2,IF(AR120=0,(AQ120+AP120)/2,FLOOR(((AP120+AQ120+AR120)/3),0.1))))))))</f>
        <v/>
      </c>
      <c r="AT120" s="21" t="n"/>
      <c r="AU120" s="21" t="n"/>
      <c r="AV120" s="27">
        <f>SUM(AT120:AU120)</f>
        <v/>
      </c>
      <c r="AW120" s="28" t="n"/>
      <c r="AX120" s="30" t="n"/>
      <c r="AY120" s="29">
        <f>IF(AND(AV120=0,AW120=0,AX120=0),0,IF(AND(AV120=0,AW120=0),AX120/1,IF(AND(AV120=0,AX120=0),AW120/1,IF(AND(AW120=0,AX120=0),AV120/1,IF(AV120=0,FLOOR((AW120+AX120)/2,0.1),IF(AW120=0,(AV120+AX120)/2,IF(AX120=0,(AW120+AV120)/2,FLOOR(((AV120+AW120+AX120)/3),0.1))))))))</f>
        <v/>
      </c>
      <c r="AZ120" s="21" t="n"/>
      <c r="BA120" s="21" t="n"/>
      <c r="BB120" s="27">
        <f>SUM(AZ120:BA120)</f>
        <v/>
      </c>
      <c r="BC120" s="28" t="n"/>
      <c r="BD120" s="28" t="n"/>
      <c r="BE120" s="29">
        <f>IF(AND(BB120=0,BC120=0,BD120=0),0,IF(AND(BB120=0,BC120=0),BD120/1,IF(AND(BB120=0,BD120=0),BC120/1,IF(AND(BC120=0,BD120=0),BB120/1,IF(BB120=0,FLOOR((BC120+BD120)/2,0.1),IF(BC120=0,(BB120+BD120)/2,IF(BD120=0,(BC120+BB120)/2,FLOOR(((BB120+BC120+BD120)/3),0.1))))))))</f>
        <v/>
      </c>
      <c r="BF120" s="21" t="n"/>
      <c r="BG120" s="21" t="n"/>
      <c r="BH120" s="27">
        <f>SUM(BF120:BG120)</f>
        <v/>
      </c>
      <c r="BI120" s="28" t="n"/>
      <c r="BJ120" s="28" t="n"/>
      <c r="BK120" s="29">
        <f>IF(AND(BH120=0,BI120=0,BJ120=0),0,IF(AND(BH120=0,BI120=0),BJ120/1,IF(AND(BH120=0,BJ120=0),BI120/1,IF(AND(BI120=0,BJ120=0),BH120/1,IF(BH120=0,FLOOR((BI120+BJ120)/2,0.1),IF(BI120=0,(BH120+BJ120)/2,IF(BJ120=0,(BI120+BH120)/2,FLOOR(((BH120+BI120+BJ120)/3),0.1))))))))</f>
        <v/>
      </c>
      <c r="BL120" s="21" t="n"/>
      <c r="BM120" s="21" t="n"/>
      <c r="BN120" s="27">
        <f>SUM(BL120:BM120)</f>
        <v/>
      </c>
      <c r="BO120" s="28" t="n"/>
      <c r="BP120" s="31" t="n"/>
      <c r="BQ120" s="29">
        <f>IF(AND(BN120=0,BO120=0,BP120=0),0,IF(AND(BN120=0,BO120=0),BP120/1,IF(AND(BN120=0,BP120=0),BO120/1,IF(AND(BO120=0,BP120=0),BN120/1,IF(BN120=0,FLOOR((BO120+BP120)/2,0.1),IF(BO120=0,(BN120+BP120)/2,IF(BP120=0,(BO120+BN120)/2,FLOOR(((BN120+BO120+BP120)/3),0.1))))))))</f>
        <v/>
      </c>
      <c r="BR120" s="21" t="n"/>
      <c r="BS120" s="21" t="n"/>
      <c r="BT120" s="27">
        <f>SUM(BR120:BS120)</f>
        <v/>
      </c>
      <c r="BU120" s="28" t="n"/>
      <c r="BV120" s="31" t="n"/>
      <c r="BW120" s="29">
        <f>IF(AND(BT120=0,BU120=0,BV120=0),0,IF(AND(BT120=0,BU120=0),BV120/1,IF(AND(BT120=0,BV120=0),BU120/1,IF(AND(BU120=0,BV120=0),BT120/1,IF(BT120=0,FLOOR((BU120+BV120)/2,0.1),IF(BU120=0,(BT120+BV120)/2,IF(BV120=0,(BU120+BT120)/2,FLOOR(((BT120+BU120+BV120)/3),0.1))))))))</f>
        <v/>
      </c>
      <c r="BX120" s="21" t="n"/>
      <c r="BY120" s="21" t="n"/>
      <c r="BZ120" s="27">
        <f>SUM(BX120:BY120)</f>
        <v/>
      </c>
      <c r="CA120" s="28" t="n"/>
      <c r="CB120" s="31" t="n"/>
      <c r="CC120" s="29">
        <f>IF(AND(BZ120=0,CA120=0,CB120=0),0,IF(AND(BZ120=0,CA120=0),CB120/1,IF(AND(BZ120=0,CB120=0),CA120/1,IF(AND(CA120=0,CB120=0),BZ120/1,IF(BZ120=0,FLOOR((CA120+CB120)/2,0.1),IF(CA120=0,(BZ120+CB120)/2,IF(CB120=0,(CA120+BZ120)/2,FLOOR(((BZ120+CA120+CB120)/3),0.1))))))))</f>
        <v/>
      </c>
      <c r="CD120" s="21" t="n"/>
      <c r="CE120" s="21" t="n"/>
      <c r="CF120" s="27">
        <f>SUM(CD120:CE120)</f>
        <v/>
      </c>
      <c r="CG120" s="28" t="n"/>
      <c r="CH120" s="31" t="n"/>
      <c r="CI120" s="29">
        <f>IF(AND(CF120=0,CG120=0,CH120=0),0,IF(AND(CF120=0,CG120=0),CH120/1,IF(AND(CF120=0,CH120=0),CG120/1,IF(AND(CG120=0,CH120=0),CF120/1,IF(CF120=0,FLOOR((CG120+CH120)/2,0.1),IF(CG120=0,(CF120+CH120)/2,IF(CH120=0,(CG120+CF120)/2,FLOOR(((CF120+CG120+CH120)/3),0.1))))))))</f>
        <v/>
      </c>
      <c r="CJ120" s="21" t="n"/>
      <c r="CK120" s="21" t="n"/>
      <c r="CL120" s="27">
        <f>SUM(CJ120:CK120)</f>
        <v/>
      </c>
      <c r="CM120" s="28" t="n"/>
      <c r="CN120" s="31" t="n"/>
      <c r="CO120" s="29">
        <f>IF(AND(CL120=0,CM120=0,CN120=0),0,IF(AND(CL120=0,CM120=0),CN120/1,IF(AND(CL120=0,CN120=0),CM120/1,IF(AND(CM120=0,CN120=0),CL120/1,IF(CL120=0,FLOOR((CM120+CN120)/2,0.1),IF(CM120=0,(CL120+CN120)/2,IF(CN120=0,(CM120+CL120)/2,FLOOR(((CL120+CM120+CN120)/3),0.1))))))))</f>
        <v/>
      </c>
      <c r="CP120" s="21" t="n"/>
      <c r="CQ120" s="21" t="n"/>
      <c r="CR120" s="27">
        <f>SUM(CP120:CQ120)</f>
        <v/>
      </c>
      <c r="CS120" s="28" t="n"/>
      <c r="CT120" s="31" t="n"/>
      <c r="CU120" s="29">
        <f>IF(AND(CR120=0,CS120=0,CT120=0),0,IF(AND(CR120=0,CS120=0),CT120/1,IF(AND(CR120=0,CT120=0),CS120/1,IF(AND(CS120=0,CT120=0),CR120/1,IF(CR120=0,FLOOR((CS120+CT120)/2,0.1),IF(CS120=0,(CR120+CT120)/2,IF(CT120=0,(CS120+CR120)/2,FLOOR(((CR120+CS120+CT120)/3),0.1))))))))</f>
        <v/>
      </c>
      <c r="CV120" s="21" t="n"/>
      <c r="CW120" s="21" t="n"/>
      <c r="CX120" s="27">
        <f>SUM(CV120:CW120)</f>
        <v/>
      </c>
      <c r="CY120" s="28" t="n"/>
      <c r="CZ120" s="31" t="n"/>
      <c r="DA120" s="29">
        <f>IF(AND(CX120=0,CY120=0,CZ120=0),0,IF(AND(CX120=0,CY120=0),CZ120/1,IF(AND(CX120=0,CZ120=0),CY120/1,IF(AND(CY120=0,CZ120=0),CX120/1,IF(CX120=0,FLOOR((CY120+CZ120)/2,0.1),IF(CY120=0,(CX120+CZ120)/2,IF(CZ120=0,(CY120+CX120)/2,FLOOR(((CX120+CY120+CZ120)/3),0.1))))))))</f>
        <v/>
      </c>
      <c r="DB120" s="21" t="n"/>
      <c r="DC120" s="21" t="n"/>
      <c r="DD120" s="27">
        <f>SUM(DB120:DC120)</f>
        <v/>
      </c>
      <c r="DE120" s="28" t="n"/>
      <c r="DF120" s="31" t="n"/>
      <c r="DG120" s="29">
        <f>IF(AND(DD120=0,DE120=0,DF120=0),0,IF(AND(DD120=0,DE120=0),DF120/1,IF(AND(DD120=0,DF120=0),DE120/1,IF(AND(DE120=0,DF120=0),DD120/1,IF(DD120=0,FLOOR((DE120+DF120)/2,0.1),IF(DE120=0,(DD120+DF120)/2,IF(DF120=0,(DE120+DD120)/2,FLOOR(((DD120+DE120+DF120)/3),0.1))))))))</f>
        <v/>
      </c>
      <c r="DH120" s="34">
        <f>SUM(O120,U120,AA120,AG120,AM120,AS120,AY120,BE120,BK120,BQ120,BW120,CC120,CI120,CO120,CU120,DA120,DG120)</f>
        <v/>
      </c>
      <c r="DI120" s="39">
        <f>RANK(DH120,DH$4:DH$503)</f>
        <v/>
      </c>
      <c r="DJ120" s="40" t="inlineStr">
        <is>
          <t>CHOOSE RATING</t>
        </is>
      </c>
      <c r="DK120" s="40" t="inlineStr">
        <is>
          <t>CHOOSE RATING</t>
        </is>
      </c>
      <c r="DL120" s="40" t="inlineStr">
        <is>
          <t>CHOOSE RATING</t>
        </is>
      </c>
      <c r="DM120" s="40" t="inlineStr">
        <is>
          <t>CHOOSE RATING</t>
        </is>
      </c>
      <c r="DN120" s="40" t="inlineStr">
        <is>
          <t>CHOOSE RATING</t>
        </is>
      </c>
      <c r="DO120" s="40" t="inlineStr">
        <is>
          <t>CHOOSE RATING</t>
        </is>
      </c>
      <c r="DP120" s="40" t="inlineStr">
        <is>
          <t>CHOOSE RATING</t>
        </is>
      </c>
      <c r="DQ120" s="40" t="inlineStr">
        <is>
          <t>CHOOSE RATING</t>
        </is>
      </c>
      <c r="DR120" s="43" t="inlineStr">
        <is>
          <t>2024/2025</t>
        </is>
      </c>
      <c r="DS120" s="45" t="inlineStr">
        <is>
          <t>THIRD</t>
        </is>
      </c>
      <c r="DT120" s="40" t="inlineStr">
        <is>
          <t>CHOOSE RATING</t>
        </is>
      </c>
      <c r="DU120" s="40" t="inlineStr">
        <is>
          <t>CHOOSE RATING</t>
        </is>
      </c>
      <c r="DV120" s="40" t="inlineStr">
        <is>
          <t>CHOOSE RATING</t>
        </is>
      </c>
      <c r="DW120" s="40" t="inlineStr">
        <is>
          <t>CHOOSE RATING</t>
        </is>
      </c>
      <c r="DX120" s="40" t="inlineStr">
        <is>
          <t>CHOOSE RATING</t>
        </is>
      </c>
      <c r="DY120" s="40" t="inlineStr">
        <is>
          <t>CHOOSE RATING</t>
        </is>
      </c>
      <c r="DZ120" s="53" t="inlineStr">
        <is>
          <t>CHOOSE RATING</t>
        </is>
      </c>
      <c r="EA120" s="54" t="inlineStr">
        <is>
          <t>Add the Tutor's Comment . . .</t>
        </is>
      </c>
      <c r="EB120" s="55" t="inlineStr">
        <is>
          <t>Choose Principals comment</t>
        </is>
      </c>
      <c r="EC120" s="56" t="n"/>
      <c r="ED120" s="57" t="inlineStr">
        <is>
          <t>Next Term Begins on Monday, 22nd September, 2025</t>
        </is>
      </c>
    </row>
    <row r="121" ht="30.6" customHeight="1" s="6">
      <c r="A121" s="18" t="n">
        <v>118</v>
      </c>
      <c r="B121" s="19" t="n"/>
      <c r="C121" s="20" t="n"/>
      <c r="D121" s="128" t="n"/>
      <c r="E121" s="21" t="n"/>
      <c r="F121" s="22" t="n"/>
      <c r="G121" s="22" t="n"/>
      <c r="H121" s="22" t="n"/>
      <c r="I121" s="26">
        <f>G121-H121</f>
        <v/>
      </c>
      <c r="J121" s="21" t="n"/>
      <c r="K121" s="21" t="n"/>
      <c r="L121" s="27">
        <f>SUM(J121:K121)</f>
        <v/>
      </c>
      <c r="M121" s="28" t="n"/>
      <c r="N121" s="28" t="n"/>
      <c r="O121" s="29">
        <f>IF(AND(L121=0,M121=0,N121=0),0,IF(AND(L121=0,M121=0),N121/1,IF(AND(L121=0,N121=0),M121/1,IF(AND(M121=0,N121=0),L121/1,IF(L121=0,FLOOR((M121+N121)/2,0.1),IF(M121=0,(L121+N121)/2,IF(N121=0,(M121+L121)/2,FLOOR(((L121+M121+N121)/3),0.1))))))))</f>
        <v/>
      </c>
      <c r="P121" s="21" t="n"/>
      <c r="Q121" s="21" t="n"/>
      <c r="R121" s="27">
        <f>SUM(P121:Q121)</f>
        <v/>
      </c>
      <c r="S121" s="28" t="n"/>
      <c r="T121" s="28" t="n"/>
      <c r="U121" s="29">
        <f>IF(AND(R121=0,S121=0,T121=0),0,IF(AND(R121=0,S121=0),T121/1,IF(AND(R121=0,T121=0),S121/1,IF(AND(S121=0,T121=0),R121/1,IF(R121=0,FLOOR((S121+T121)/2,0.1),IF(S121=0,(R121+T121)/2,IF(T121=0,(S121+R121)/2,FLOOR(((R121+S121+T121)/3),0.1))))))))</f>
        <v/>
      </c>
      <c r="V121" s="21" t="n"/>
      <c r="W121" s="21" t="n"/>
      <c r="X121" s="27">
        <f>SUM(V121:W121)</f>
        <v/>
      </c>
      <c r="Y121" s="28" t="n"/>
      <c r="Z121" s="28" t="n"/>
      <c r="AA121" s="29">
        <f>IF(AND(X121=0,Y121=0,Z121=0),0,IF(AND(X121=0,Y121=0),Z121/1,IF(AND(X121=0,Z121=0),Y121/1,IF(AND(Y121=0,Z121=0),X121/1,IF(X121=0,FLOOR((Y121+Z121)/2,0.1),IF(Y121=0,(X121+Z121)/2,IF(Z121=0,(Y121+X121)/2,FLOOR(((X121+Y121+Z121)/3),0.1))))))))</f>
        <v/>
      </c>
      <c r="AB121" s="21" t="n"/>
      <c r="AC121" s="21" t="n"/>
      <c r="AD121" s="27">
        <f>SUM(AB121:AC121)</f>
        <v/>
      </c>
      <c r="AE121" s="28" t="n"/>
      <c r="AF121" s="28" t="n"/>
      <c r="AG121" s="29">
        <f>IF(AND(AD121=0,AE121=0,AF121=0),0,IF(AND(AD121=0,AE121=0),AF121/1,IF(AND(AD121=0,AF121=0),AE121/1,IF(AND(AE121=0,AF121=0),AD121/1,IF(AD121=0,FLOOR((AE121+AF121)/2,0.1),IF(AE121=0,(AD121+AF121)/2,IF(AF121=0,(AE121+AD121)/2,FLOOR(((AD121+AE121+AF121)/3),0.1))))))))</f>
        <v/>
      </c>
      <c r="AH121" s="21" t="n"/>
      <c r="AI121" s="21" t="n"/>
      <c r="AJ121" s="27">
        <f>SUM(AH121:AI121)</f>
        <v/>
      </c>
      <c r="AK121" s="28" t="n"/>
      <c r="AL121" s="28" t="n"/>
      <c r="AM121" s="29">
        <f>IF(AND(AJ121=0,AK121=0,AL121=0),0,IF(AND(AJ121=0,AK121=0),AL121/1,IF(AND(AJ121=0,AL121=0),AK121/1,IF(AND(AK121=0,AL121=0),AJ121/1,IF(AJ121=0,FLOOR((AK121+AL121)/2,0.1),IF(AK121=0,(AJ121+AL121)/2,IF(AL121=0,(AK121+AJ121)/2,FLOOR(((AJ121+AK121+AL121)/3),0.1))))))))</f>
        <v/>
      </c>
      <c r="AN121" s="21" t="n"/>
      <c r="AO121" s="21" t="n"/>
      <c r="AP121" s="27">
        <f>SUM(AN121:AO121)</f>
        <v/>
      </c>
      <c r="AQ121" s="28" t="n"/>
      <c r="AR121" s="30" t="n"/>
      <c r="AS121" s="29">
        <f>IF(AND(AP121=0,AQ121=0,AR121=0),0,IF(AND(AP121=0,AQ121=0),AR121/1,IF(AND(AP121=0,AR121=0),AQ121/1,IF(AND(AQ121=0,AR121=0),AP121/1,IF(AP121=0,FLOOR((AQ121+AR121)/2,0.1),IF(AQ121=0,(AP121+AR121)/2,IF(AR121=0,(AQ121+AP121)/2,FLOOR(((AP121+AQ121+AR121)/3),0.1))))))))</f>
        <v/>
      </c>
      <c r="AT121" s="21" t="n"/>
      <c r="AU121" s="21" t="n"/>
      <c r="AV121" s="27">
        <f>SUM(AT121:AU121)</f>
        <v/>
      </c>
      <c r="AW121" s="28" t="n"/>
      <c r="AX121" s="30" t="n"/>
      <c r="AY121" s="29">
        <f>IF(AND(AV121=0,AW121=0,AX121=0),0,IF(AND(AV121=0,AW121=0),AX121/1,IF(AND(AV121=0,AX121=0),AW121/1,IF(AND(AW121=0,AX121=0),AV121/1,IF(AV121=0,FLOOR((AW121+AX121)/2,0.1),IF(AW121=0,(AV121+AX121)/2,IF(AX121=0,(AW121+AV121)/2,FLOOR(((AV121+AW121+AX121)/3),0.1))))))))</f>
        <v/>
      </c>
      <c r="AZ121" s="21" t="n"/>
      <c r="BA121" s="21" t="n"/>
      <c r="BB121" s="27">
        <f>SUM(AZ121:BA121)</f>
        <v/>
      </c>
      <c r="BC121" s="28" t="n"/>
      <c r="BD121" s="28" t="n"/>
      <c r="BE121" s="29">
        <f>IF(AND(BB121=0,BC121=0,BD121=0),0,IF(AND(BB121=0,BC121=0),BD121/1,IF(AND(BB121=0,BD121=0),BC121/1,IF(AND(BC121=0,BD121=0),BB121/1,IF(BB121=0,FLOOR((BC121+BD121)/2,0.1),IF(BC121=0,(BB121+BD121)/2,IF(BD121=0,(BC121+BB121)/2,FLOOR(((BB121+BC121+BD121)/3),0.1))))))))</f>
        <v/>
      </c>
      <c r="BF121" s="21" t="n"/>
      <c r="BG121" s="21" t="n"/>
      <c r="BH121" s="27">
        <f>SUM(BF121:BG121)</f>
        <v/>
      </c>
      <c r="BI121" s="28" t="n"/>
      <c r="BJ121" s="28" t="n"/>
      <c r="BK121" s="29">
        <f>IF(AND(BH121=0,BI121=0,BJ121=0),0,IF(AND(BH121=0,BI121=0),BJ121/1,IF(AND(BH121=0,BJ121=0),BI121/1,IF(AND(BI121=0,BJ121=0),BH121/1,IF(BH121=0,FLOOR((BI121+BJ121)/2,0.1),IF(BI121=0,(BH121+BJ121)/2,IF(BJ121=0,(BI121+BH121)/2,FLOOR(((BH121+BI121+BJ121)/3),0.1))))))))</f>
        <v/>
      </c>
      <c r="BL121" s="21" t="n"/>
      <c r="BM121" s="21" t="n"/>
      <c r="BN121" s="27">
        <f>SUM(BL121:BM121)</f>
        <v/>
      </c>
      <c r="BO121" s="28" t="n"/>
      <c r="BP121" s="31" t="n"/>
      <c r="BQ121" s="29">
        <f>IF(AND(BN121=0,BO121=0,BP121=0),0,IF(AND(BN121=0,BO121=0),BP121/1,IF(AND(BN121=0,BP121=0),BO121/1,IF(AND(BO121=0,BP121=0),BN121/1,IF(BN121=0,FLOOR((BO121+BP121)/2,0.1),IF(BO121=0,(BN121+BP121)/2,IF(BP121=0,(BO121+BN121)/2,FLOOR(((BN121+BO121+BP121)/3),0.1))))))))</f>
        <v/>
      </c>
      <c r="BR121" s="21" t="n"/>
      <c r="BS121" s="21" t="n"/>
      <c r="BT121" s="27">
        <f>SUM(BR121:BS121)</f>
        <v/>
      </c>
      <c r="BU121" s="28" t="n"/>
      <c r="BV121" s="31" t="n"/>
      <c r="BW121" s="29">
        <f>IF(AND(BT121=0,BU121=0,BV121=0),0,IF(AND(BT121=0,BU121=0),BV121/1,IF(AND(BT121=0,BV121=0),BU121/1,IF(AND(BU121=0,BV121=0),BT121/1,IF(BT121=0,FLOOR((BU121+BV121)/2,0.1),IF(BU121=0,(BT121+BV121)/2,IF(BV121=0,(BU121+BT121)/2,FLOOR(((BT121+BU121+BV121)/3),0.1))))))))</f>
        <v/>
      </c>
      <c r="BX121" s="21" t="n"/>
      <c r="BY121" s="21" t="n"/>
      <c r="BZ121" s="27">
        <f>SUM(BX121:BY121)</f>
        <v/>
      </c>
      <c r="CA121" s="28" t="n"/>
      <c r="CB121" s="31" t="n"/>
      <c r="CC121" s="29">
        <f>IF(AND(BZ121=0,CA121=0,CB121=0),0,IF(AND(BZ121=0,CA121=0),CB121/1,IF(AND(BZ121=0,CB121=0),CA121/1,IF(AND(CA121=0,CB121=0),BZ121/1,IF(BZ121=0,FLOOR((CA121+CB121)/2,0.1),IF(CA121=0,(BZ121+CB121)/2,IF(CB121=0,(CA121+BZ121)/2,FLOOR(((BZ121+CA121+CB121)/3),0.1))))))))</f>
        <v/>
      </c>
      <c r="CD121" s="21" t="n"/>
      <c r="CE121" s="21" t="n"/>
      <c r="CF121" s="27">
        <f>SUM(CD121:CE121)</f>
        <v/>
      </c>
      <c r="CG121" s="28" t="n"/>
      <c r="CH121" s="31" t="n"/>
      <c r="CI121" s="29">
        <f>IF(AND(CF121=0,CG121=0,CH121=0),0,IF(AND(CF121=0,CG121=0),CH121/1,IF(AND(CF121=0,CH121=0),CG121/1,IF(AND(CG121=0,CH121=0),CF121/1,IF(CF121=0,FLOOR((CG121+CH121)/2,0.1),IF(CG121=0,(CF121+CH121)/2,IF(CH121=0,(CG121+CF121)/2,FLOOR(((CF121+CG121+CH121)/3),0.1))))))))</f>
        <v/>
      </c>
      <c r="CJ121" s="21" t="n"/>
      <c r="CK121" s="21" t="n"/>
      <c r="CL121" s="27">
        <f>SUM(CJ121:CK121)</f>
        <v/>
      </c>
      <c r="CM121" s="28" t="n"/>
      <c r="CN121" s="31" t="n"/>
      <c r="CO121" s="29">
        <f>IF(AND(CL121=0,CM121=0,CN121=0),0,IF(AND(CL121=0,CM121=0),CN121/1,IF(AND(CL121=0,CN121=0),CM121/1,IF(AND(CM121=0,CN121=0),CL121/1,IF(CL121=0,FLOOR((CM121+CN121)/2,0.1),IF(CM121=0,(CL121+CN121)/2,IF(CN121=0,(CM121+CL121)/2,FLOOR(((CL121+CM121+CN121)/3),0.1))))))))</f>
        <v/>
      </c>
      <c r="CP121" s="21" t="n"/>
      <c r="CQ121" s="21" t="n"/>
      <c r="CR121" s="27">
        <f>SUM(CP121:CQ121)</f>
        <v/>
      </c>
      <c r="CS121" s="28" t="n"/>
      <c r="CT121" s="31" t="n"/>
      <c r="CU121" s="29">
        <f>IF(AND(CR121=0,CS121=0,CT121=0),0,IF(AND(CR121=0,CS121=0),CT121/1,IF(AND(CR121=0,CT121=0),CS121/1,IF(AND(CS121=0,CT121=0),CR121/1,IF(CR121=0,FLOOR((CS121+CT121)/2,0.1),IF(CS121=0,(CR121+CT121)/2,IF(CT121=0,(CS121+CR121)/2,FLOOR(((CR121+CS121+CT121)/3),0.1))))))))</f>
        <v/>
      </c>
      <c r="CV121" s="21" t="n"/>
      <c r="CW121" s="21" t="n"/>
      <c r="CX121" s="27">
        <f>SUM(CV121:CW121)</f>
        <v/>
      </c>
      <c r="CY121" s="28" t="n"/>
      <c r="CZ121" s="31" t="n"/>
      <c r="DA121" s="29">
        <f>IF(AND(CX121=0,CY121=0,CZ121=0),0,IF(AND(CX121=0,CY121=0),CZ121/1,IF(AND(CX121=0,CZ121=0),CY121/1,IF(AND(CY121=0,CZ121=0),CX121/1,IF(CX121=0,FLOOR((CY121+CZ121)/2,0.1),IF(CY121=0,(CX121+CZ121)/2,IF(CZ121=0,(CY121+CX121)/2,FLOOR(((CX121+CY121+CZ121)/3),0.1))))))))</f>
        <v/>
      </c>
      <c r="DB121" s="21" t="n"/>
      <c r="DC121" s="21" t="n"/>
      <c r="DD121" s="27">
        <f>SUM(DB121:DC121)</f>
        <v/>
      </c>
      <c r="DE121" s="28" t="n"/>
      <c r="DF121" s="31" t="n"/>
      <c r="DG121" s="29">
        <f>IF(AND(DD121=0,DE121=0,DF121=0),0,IF(AND(DD121=0,DE121=0),DF121/1,IF(AND(DD121=0,DF121=0),DE121/1,IF(AND(DE121=0,DF121=0),DD121/1,IF(DD121=0,FLOOR((DE121+DF121)/2,0.1),IF(DE121=0,(DD121+DF121)/2,IF(DF121=0,(DE121+DD121)/2,FLOOR(((DD121+DE121+DF121)/3),0.1))))))))</f>
        <v/>
      </c>
      <c r="DH121" s="34">
        <f>SUM(O121,U121,AA121,AG121,AM121,AS121,AY121,BE121,BK121,BQ121,BW121,CC121,CI121,CO121,CU121,DA121,DG121)</f>
        <v/>
      </c>
      <c r="DI121" s="39">
        <f>RANK(DH121,DH$4:DH$503)</f>
        <v/>
      </c>
      <c r="DJ121" s="40" t="inlineStr">
        <is>
          <t>CHOOSE RATING</t>
        </is>
      </c>
      <c r="DK121" s="40" t="inlineStr">
        <is>
          <t>CHOOSE RATING</t>
        </is>
      </c>
      <c r="DL121" s="40" t="inlineStr">
        <is>
          <t>CHOOSE RATING</t>
        </is>
      </c>
      <c r="DM121" s="40" t="inlineStr">
        <is>
          <t>CHOOSE RATING</t>
        </is>
      </c>
      <c r="DN121" s="40" t="inlineStr">
        <is>
          <t>CHOOSE RATING</t>
        </is>
      </c>
      <c r="DO121" s="40" t="inlineStr">
        <is>
          <t>CHOOSE RATING</t>
        </is>
      </c>
      <c r="DP121" s="40" t="inlineStr">
        <is>
          <t>CHOOSE RATING</t>
        </is>
      </c>
      <c r="DQ121" s="40" t="inlineStr">
        <is>
          <t>CHOOSE RATING</t>
        </is>
      </c>
      <c r="DR121" s="43" t="inlineStr">
        <is>
          <t>2024/2025</t>
        </is>
      </c>
      <c r="DS121" s="45" t="inlineStr">
        <is>
          <t>THIRD</t>
        </is>
      </c>
      <c r="DT121" s="40" t="inlineStr">
        <is>
          <t>CHOOSE RATING</t>
        </is>
      </c>
      <c r="DU121" s="40" t="inlineStr">
        <is>
          <t>CHOOSE RATING</t>
        </is>
      </c>
      <c r="DV121" s="40" t="inlineStr">
        <is>
          <t>CHOOSE RATING</t>
        </is>
      </c>
      <c r="DW121" s="40" t="inlineStr">
        <is>
          <t>CHOOSE RATING</t>
        </is>
      </c>
      <c r="DX121" s="40" t="inlineStr">
        <is>
          <t>CHOOSE RATING</t>
        </is>
      </c>
      <c r="DY121" s="40" t="inlineStr">
        <is>
          <t>CHOOSE RATING</t>
        </is>
      </c>
      <c r="DZ121" s="53" t="inlineStr">
        <is>
          <t>CHOOSE RATING</t>
        </is>
      </c>
      <c r="EA121" s="54" t="inlineStr">
        <is>
          <t>Add the Tutor's Comment . . .</t>
        </is>
      </c>
      <c r="EB121" s="55" t="inlineStr">
        <is>
          <t>Choose Principals comment</t>
        </is>
      </c>
      <c r="EC121" s="56" t="n"/>
      <c r="ED121" s="57" t="inlineStr">
        <is>
          <t>Next Term Begins on Monday, 22nd September, 2025</t>
        </is>
      </c>
    </row>
    <row r="122" ht="30.6" customHeight="1" s="6">
      <c r="A122" s="18" t="n">
        <v>119</v>
      </c>
      <c r="B122" s="19" t="n"/>
      <c r="C122" s="20" t="n"/>
      <c r="D122" s="128" t="n"/>
      <c r="E122" s="21" t="n"/>
      <c r="F122" s="22" t="n"/>
      <c r="G122" s="22" t="n"/>
      <c r="H122" s="22" t="n"/>
      <c r="I122" s="26">
        <f>G122-H122</f>
        <v/>
      </c>
      <c r="J122" s="21" t="n"/>
      <c r="K122" s="21" t="n"/>
      <c r="L122" s="27">
        <f>SUM(J122:K122)</f>
        <v/>
      </c>
      <c r="M122" s="28" t="n"/>
      <c r="N122" s="28" t="n"/>
      <c r="O122" s="29">
        <f>IF(AND(L122=0,M122=0,N122=0),0,IF(AND(L122=0,M122=0),N122/1,IF(AND(L122=0,N122=0),M122/1,IF(AND(M122=0,N122=0),L122/1,IF(L122=0,FLOOR((M122+N122)/2,0.1),IF(M122=0,(L122+N122)/2,IF(N122=0,(M122+L122)/2,FLOOR(((L122+M122+N122)/3),0.1))))))))</f>
        <v/>
      </c>
      <c r="P122" s="21" t="n"/>
      <c r="Q122" s="21" t="n"/>
      <c r="R122" s="27">
        <f>SUM(P122:Q122)</f>
        <v/>
      </c>
      <c r="S122" s="28" t="n"/>
      <c r="T122" s="28" t="n"/>
      <c r="U122" s="29">
        <f>IF(AND(R122=0,S122=0,T122=0),0,IF(AND(R122=0,S122=0),T122/1,IF(AND(R122=0,T122=0),S122/1,IF(AND(S122=0,T122=0),R122/1,IF(R122=0,FLOOR((S122+T122)/2,0.1),IF(S122=0,(R122+T122)/2,IF(T122=0,(S122+R122)/2,FLOOR(((R122+S122+T122)/3),0.1))))))))</f>
        <v/>
      </c>
      <c r="V122" s="21" t="n"/>
      <c r="W122" s="21" t="n"/>
      <c r="X122" s="27">
        <f>SUM(V122:W122)</f>
        <v/>
      </c>
      <c r="Y122" s="28" t="n"/>
      <c r="Z122" s="28" t="n"/>
      <c r="AA122" s="29">
        <f>IF(AND(X122=0,Y122=0,Z122=0),0,IF(AND(X122=0,Y122=0),Z122/1,IF(AND(X122=0,Z122=0),Y122/1,IF(AND(Y122=0,Z122=0),X122/1,IF(X122=0,FLOOR((Y122+Z122)/2,0.1),IF(Y122=0,(X122+Z122)/2,IF(Z122=0,(Y122+X122)/2,FLOOR(((X122+Y122+Z122)/3),0.1))))))))</f>
        <v/>
      </c>
      <c r="AB122" s="21" t="n"/>
      <c r="AC122" s="21" t="n"/>
      <c r="AD122" s="27">
        <f>SUM(AB122:AC122)</f>
        <v/>
      </c>
      <c r="AE122" s="28" t="n"/>
      <c r="AF122" s="28" t="n"/>
      <c r="AG122" s="29">
        <f>IF(AND(AD122=0,AE122=0,AF122=0),0,IF(AND(AD122=0,AE122=0),AF122/1,IF(AND(AD122=0,AF122=0),AE122/1,IF(AND(AE122=0,AF122=0),AD122/1,IF(AD122=0,FLOOR((AE122+AF122)/2,0.1),IF(AE122=0,(AD122+AF122)/2,IF(AF122=0,(AE122+AD122)/2,FLOOR(((AD122+AE122+AF122)/3),0.1))))))))</f>
        <v/>
      </c>
      <c r="AH122" s="21" t="n"/>
      <c r="AI122" s="21" t="n"/>
      <c r="AJ122" s="27">
        <f>SUM(AH122:AI122)</f>
        <v/>
      </c>
      <c r="AK122" s="28" t="n"/>
      <c r="AL122" s="28" t="n"/>
      <c r="AM122" s="29">
        <f>IF(AND(AJ122=0,AK122=0,AL122=0),0,IF(AND(AJ122=0,AK122=0),AL122/1,IF(AND(AJ122=0,AL122=0),AK122/1,IF(AND(AK122=0,AL122=0),AJ122/1,IF(AJ122=0,FLOOR((AK122+AL122)/2,0.1),IF(AK122=0,(AJ122+AL122)/2,IF(AL122=0,(AK122+AJ122)/2,FLOOR(((AJ122+AK122+AL122)/3),0.1))))))))</f>
        <v/>
      </c>
      <c r="AN122" s="21" t="n"/>
      <c r="AO122" s="21" t="n"/>
      <c r="AP122" s="27">
        <f>SUM(AN122:AO122)</f>
        <v/>
      </c>
      <c r="AQ122" s="28" t="n"/>
      <c r="AR122" s="30" t="n"/>
      <c r="AS122" s="29">
        <f>IF(AND(AP122=0,AQ122=0,AR122=0),0,IF(AND(AP122=0,AQ122=0),AR122/1,IF(AND(AP122=0,AR122=0),AQ122/1,IF(AND(AQ122=0,AR122=0),AP122/1,IF(AP122=0,FLOOR((AQ122+AR122)/2,0.1),IF(AQ122=0,(AP122+AR122)/2,IF(AR122=0,(AQ122+AP122)/2,FLOOR(((AP122+AQ122+AR122)/3),0.1))))))))</f>
        <v/>
      </c>
      <c r="AT122" s="21" t="n"/>
      <c r="AU122" s="21" t="n"/>
      <c r="AV122" s="27">
        <f>SUM(AT122:AU122)</f>
        <v/>
      </c>
      <c r="AW122" s="28" t="n"/>
      <c r="AX122" s="30" t="n"/>
      <c r="AY122" s="29">
        <f>IF(AND(AV122=0,AW122=0,AX122=0),0,IF(AND(AV122=0,AW122=0),AX122/1,IF(AND(AV122=0,AX122=0),AW122/1,IF(AND(AW122=0,AX122=0),AV122/1,IF(AV122=0,FLOOR((AW122+AX122)/2,0.1),IF(AW122=0,(AV122+AX122)/2,IF(AX122=0,(AW122+AV122)/2,FLOOR(((AV122+AW122+AX122)/3),0.1))))))))</f>
        <v/>
      </c>
      <c r="AZ122" s="21" t="n"/>
      <c r="BA122" s="21" t="n"/>
      <c r="BB122" s="27">
        <f>SUM(AZ122:BA122)</f>
        <v/>
      </c>
      <c r="BC122" s="28" t="n"/>
      <c r="BD122" s="28" t="n"/>
      <c r="BE122" s="29">
        <f>IF(AND(BB122=0,BC122=0,BD122=0),0,IF(AND(BB122=0,BC122=0),BD122/1,IF(AND(BB122=0,BD122=0),BC122/1,IF(AND(BC122=0,BD122=0),BB122/1,IF(BB122=0,FLOOR((BC122+BD122)/2,0.1),IF(BC122=0,(BB122+BD122)/2,IF(BD122=0,(BC122+BB122)/2,FLOOR(((BB122+BC122+BD122)/3),0.1))))))))</f>
        <v/>
      </c>
      <c r="BF122" s="21" t="n"/>
      <c r="BG122" s="21" t="n"/>
      <c r="BH122" s="27">
        <f>SUM(BF122:BG122)</f>
        <v/>
      </c>
      <c r="BI122" s="28" t="n"/>
      <c r="BJ122" s="28" t="n"/>
      <c r="BK122" s="29">
        <f>IF(AND(BH122=0,BI122=0,BJ122=0),0,IF(AND(BH122=0,BI122=0),BJ122/1,IF(AND(BH122=0,BJ122=0),BI122/1,IF(AND(BI122=0,BJ122=0),BH122/1,IF(BH122=0,FLOOR((BI122+BJ122)/2,0.1),IF(BI122=0,(BH122+BJ122)/2,IF(BJ122=0,(BI122+BH122)/2,FLOOR(((BH122+BI122+BJ122)/3),0.1))))))))</f>
        <v/>
      </c>
      <c r="BL122" s="21" t="n"/>
      <c r="BM122" s="21" t="n"/>
      <c r="BN122" s="27">
        <f>SUM(BL122:BM122)</f>
        <v/>
      </c>
      <c r="BO122" s="28" t="n"/>
      <c r="BP122" s="31" t="n"/>
      <c r="BQ122" s="29">
        <f>IF(AND(BN122=0,BO122=0,BP122=0),0,IF(AND(BN122=0,BO122=0),BP122/1,IF(AND(BN122=0,BP122=0),BO122/1,IF(AND(BO122=0,BP122=0),BN122/1,IF(BN122=0,FLOOR((BO122+BP122)/2,0.1),IF(BO122=0,(BN122+BP122)/2,IF(BP122=0,(BO122+BN122)/2,FLOOR(((BN122+BO122+BP122)/3),0.1))))))))</f>
        <v/>
      </c>
      <c r="BR122" s="21" t="n"/>
      <c r="BS122" s="21" t="n"/>
      <c r="BT122" s="27">
        <f>SUM(BR122:BS122)</f>
        <v/>
      </c>
      <c r="BU122" s="28" t="n"/>
      <c r="BV122" s="31" t="n"/>
      <c r="BW122" s="29">
        <f>IF(AND(BT122=0,BU122=0,BV122=0),0,IF(AND(BT122=0,BU122=0),BV122/1,IF(AND(BT122=0,BV122=0),BU122/1,IF(AND(BU122=0,BV122=0),BT122/1,IF(BT122=0,FLOOR((BU122+BV122)/2,0.1),IF(BU122=0,(BT122+BV122)/2,IF(BV122=0,(BU122+BT122)/2,FLOOR(((BT122+BU122+BV122)/3),0.1))))))))</f>
        <v/>
      </c>
      <c r="BX122" s="21" t="n"/>
      <c r="BY122" s="21" t="n"/>
      <c r="BZ122" s="27">
        <f>SUM(BX122:BY122)</f>
        <v/>
      </c>
      <c r="CA122" s="28" t="n"/>
      <c r="CB122" s="31" t="n"/>
      <c r="CC122" s="29">
        <f>IF(AND(BZ122=0,CA122=0,CB122=0),0,IF(AND(BZ122=0,CA122=0),CB122/1,IF(AND(BZ122=0,CB122=0),CA122/1,IF(AND(CA122=0,CB122=0),BZ122/1,IF(BZ122=0,FLOOR((CA122+CB122)/2,0.1),IF(CA122=0,(BZ122+CB122)/2,IF(CB122=0,(CA122+BZ122)/2,FLOOR(((BZ122+CA122+CB122)/3),0.1))))))))</f>
        <v/>
      </c>
      <c r="CD122" s="21" t="n"/>
      <c r="CE122" s="21" t="n"/>
      <c r="CF122" s="27">
        <f>SUM(CD122:CE122)</f>
        <v/>
      </c>
      <c r="CG122" s="28" t="n"/>
      <c r="CH122" s="31" t="n"/>
      <c r="CI122" s="29">
        <f>IF(AND(CF122=0,CG122=0,CH122=0),0,IF(AND(CF122=0,CG122=0),CH122/1,IF(AND(CF122=0,CH122=0),CG122/1,IF(AND(CG122=0,CH122=0),CF122/1,IF(CF122=0,FLOOR((CG122+CH122)/2,0.1),IF(CG122=0,(CF122+CH122)/2,IF(CH122=0,(CG122+CF122)/2,FLOOR(((CF122+CG122+CH122)/3),0.1))))))))</f>
        <v/>
      </c>
      <c r="CJ122" s="21" t="n"/>
      <c r="CK122" s="21" t="n"/>
      <c r="CL122" s="27">
        <f>SUM(CJ122:CK122)</f>
        <v/>
      </c>
      <c r="CM122" s="28" t="n"/>
      <c r="CN122" s="31" t="n"/>
      <c r="CO122" s="29">
        <f>IF(AND(CL122=0,CM122=0,CN122=0),0,IF(AND(CL122=0,CM122=0),CN122/1,IF(AND(CL122=0,CN122=0),CM122/1,IF(AND(CM122=0,CN122=0),CL122/1,IF(CL122=0,FLOOR((CM122+CN122)/2,0.1),IF(CM122=0,(CL122+CN122)/2,IF(CN122=0,(CM122+CL122)/2,FLOOR(((CL122+CM122+CN122)/3),0.1))))))))</f>
        <v/>
      </c>
      <c r="CP122" s="21" t="n"/>
      <c r="CQ122" s="21" t="n"/>
      <c r="CR122" s="27">
        <f>SUM(CP122:CQ122)</f>
        <v/>
      </c>
      <c r="CS122" s="28" t="n"/>
      <c r="CT122" s="31" t="n"/>
      <c r="CU122" s="29">
        <f>IF(AND(CR122=0,CS122=0,CT122=0),0,IF(AND(CR122=0,CS122=0),CT122/1,IF(AND(CR122=0,CT122=0),CS122/1,IF(AND(CS122=0,CT122=0),CR122/1,IF(CR122=0,FLOOR((CS122+CT122)/2,0.1),IF(CS122=0,(CR122+CT122)/2,IF(CT122=0,(CS122+CR122)/2,FLOOR(((CR122+CS122+CT122)/3),0.1))))))))</f>
        <v/>
      </c>
      <c r="CV122" s="21" t="n"/>
      <c r="CW122" s="21" t="n"/>
      <c r="CX122" s="27">
        <f>SUM(CV122:CW122)</f>
        <v/>
      </c>
      <c r="CY122" s="28" t="n"/>
      <c r="CZ122" s="31" t="n"/>
      <c r="DA122" s="29">
        <f>IF(AND(CX122=0,CY122=0,CZ122=0),0,IF(AND(CX122=0,CY122=0),CZ122/1,IF(AND(CX122=0,CZ122=0),CY122/1,IF(AND(CY122=0,CZ122=0),CX122/1,IF(CX122=0,FLOOR((CY122+CZ122)/2,0.1),IF(CY122=0,(CX122+CZ122)/2,IF(CZ122=0,(CY122+CX122)/2,FLOOR(((CX122+CY122+CZ122)/3),0.1))))))))</f>
        <v/>
      </c>
      <c r="DB122" s="21" t="n"/>
      <c r="DC122" s="21" t="n"/>
      <c r="DD122" s="27">
        <f>SUM(DB122:DC122)</f>
        <v/>
      </c>
      <c r="DE122" s="28" t="n"/>
      <c r="DF122" s="31" t="n"/>
      <c r="DG122" s="29">
        <f>IF(AND(DD122=0,DE122=0,DF122=0),0,IF(AND(DD122=0,DE122=0),DF122/1,IF(AND(DD122=0,DF122=0),DE122/1,IF(AND(DE122=0,DF122=0),DD122/1,IF(DD122=0,FLOOR((DE122+DF122)/2,0.1),IF(DE122=0,(DD122+DF122)/2,IF(DF122=0,(DE122+DD122)/2,FLOOR(((DD122+DE122+DF122)/3),0.1))))))))</f>
        <v/>
      </c>
      <c r="DH122" s="34">
        <f>SUM(O122,U122,AA122,AG122,AM122,AS122,AY122,BE122,BK122,BQ122,BW122,CC122,CI122,CO122,CU122,DA122,DG122)</f>
        <v/>
      </c>
      <c r="DI122" s="39">
        <f>RANK(DH122,DH$4:DH$503)</f>
        <v/>
      </c>
      <c r="DJ122" s="40" t="inlineStr">
        <is>
          <t>CHOOSE RATING</t>
        </is>
      </c>
      <c r="DK122" s="40" t="inlineStr">
        <is>
          <t>CHOOSE RATING</t>
        </is>
      </c>
      <c r="DL122" s="40" t="inlineStr">
        <is>
          <t>CHOOSE RATING</t>
        </is>
      </c>
      <c r="DM122" s="40" t="inlineStr">
        <is>
          <t>CHOOSE RATING</t>
        </is>
      </c>
      <c r="DN122" s="40" t="inlineStr">
        <is>
          <t>CHOOSE RATING</t>
        </is>
      </c>
      <c r="DO122" s="40" t="inlineStr">
        <is>
          <t>CHOOSE RATING</t>
        </is>
      </c>
      <c r="DP122" s="40" t="inlineStr">
        <is>
          <t>CHOOSE RATING</t>
        </is>
      </c>
      <c r="DQ122" s="40" t="inlineStr">
        <is>
          <t>CHOOSE RATING</t>
        </is>
      </c>
      <c r="DR122" s="43" t="inlineStr">
        <is>
          <t>2024/2025</t>
        </is>
      </c>
      <c r="DS122" s="45" t="inlineStr">
        <is>
          <t>THIRD</t>
        </is>
      </c>
      <c r="DT122" s="40" t="inlineStr">
        <is>
          <t>CHOOSE RATING</t>
        </is>
      </c>
      <c r="DU122" s="40" t="inlineStr">
        <is>
          <t>CHOOSE RATING</t>
        </is>
      </c>
      <c r="DV122" s="40" t="inlineStr">
        <is>
          <t>CHOOSE RATING</t>
        </is>
      </c>
      <c r="DW122" s="40" t="inlineStr">
        <is>
          <t>CHOOSE RATING</t>
        </is>
      </c>
      <c r="DX122" s="40" t="inlineStr">
        <is>
          <t>CHOOSE RATING</t>
        </is>
      </c>
      <c r="DY122" s="40" t="inlineStr">
        <is>
          <t>CHOOSE RATING</t>
        </is>
      </c>
      <c r="DZ122" s="53" t="inlineStr">
        <is>
          <t>CHOOSE RATING</t>
        </is>
      </c>
      <c r="EA122" s="54" t="inlineStr">
        <is>
          <t>Add the Tutor's Comment . . .</t>
        </is>
      </c>
      <c r="EB122" s="55" t="inlineStr">
        <is>
          <t>Choose Principals comment</t>
        </is>
      </c>
      <c r="EC122" s="56" t="n"/>
      <c r="ED122" s="57" t="inlineStr">
        <is>
          <t>Next Term Begins on Monday, 22nd September, 2025</t>
        </is>
      </c>
    </row>
    <row r="123" ht="30.6" customHeight="1" s="6">
      <c r="A123" s="18" t="n">
        <v>120</v>
      </c>
      <c r="B123" s="19" t="n"/>
      <c r="C123" s="20" t="n"/>
      <c r="D123" s="128" t="n"/>
      <c r="E123" s="21" t="n"/>
      <c r="F123" s="22" t="n"/>
      <c r="G123" s="22" t="n"/>
      <c r="H123" s="22" t="n"/>
      <c r="I123" s="26">
        <f>G123-H123</f>
        <v/>
      </c>
      <c r="J123" s="21" t="n"/>
      <c r="K123" s="21" t="n"/>
      <c r="L123" s="27">
        <f>SUM(J123:K123)</f>
        <v/>
      </c>
      <c r="M123" s="28" t="n"/>
      <c r="N123" s="28" t="n"/>
      <c r="O123" s="29">
        <f>IF(AND(L123=0,M123=0,N123=0),0,IF(AND(L123=0,M123=0),N123/1,IF(AND(L123=0,N123=0),M123/1,IF(AND(M123=0,N123=0),L123/1,IF(L123=0,FLOOR((M123+N123)/2,0.1),IF(M123=0,(L123+N123)/2,IF(N123=0,(M123+L123)/2,FLOOR(((L123+M123+N123)/3),0.1))))))))</f>
        <v/>
      </c>
      <c r="P123" s="21" t="n"/>
      <c r="Q123" s="21" t="n"/>
      <c r="R123" s="27">
        <f>SUM(P123:Q123)</f>
        <v/>
      </c>
      <c r="S123" s="28" t="n"/>
      <c r="T123" s="28" t="n"/>
      <c r="U123" s="29">
        <f>IF(AND(R123=0,S123=0,T123=0),0,IF(AND(R123=0,S123=0),T123/1,IF(AND(R123=0,T123=0),S123/1,IF(AND(S123=0,T123=0),R123/1,IF(R123=0,FLOOR((S123+T123)/2,0.1),IF(S123=0,(R123+T123)/2,IF(T123=0,(S123+R123)/2,FLOOR(((R123+S123+T123)/3),0.1))))))))</f>
        <v/>
      </c>
      <c r="V123" s="21" t="n"/>
      <c r="W123" s="21" t="n"/>
      <c r="X123" s="27">
        <f>SUM(V123:W123)</f>
        <v/>
      </c>
      <c r="Y123" s="28" t="n"/>
      <c r="Z123" s="28" t="n"/>
      <c r="AA123" s="29">
        <f>IF(AND(X123=0,Y123=0,Z123=0),0,IF(AND(X123=0,Y123=0),Z123/1,IF(AND(X123=0,Z123=0),Y123/1,IF(AND(Y123=0,Z123=0),X123/1,IF(X123=0,FLOOR((Y123+Z123)/2,0.1),IF(Y123=0,(X123+Z123)/2,IF(Z123=0,(Y123+X123)/2,FLOOR(((X123+Y123+Z123)/3),0.1))))))))</f>
        <v/>
      </c>
      <c r="AB123" s="21" t="n"/>
      <c r="AC123" s="21" t="n"/>
      <c r="AD123" s="27">
        <f>SUM(AB123:AC123)</f>
        <v/>
      </c>
      <c r="AE123" s="28" t="n"/>
      <c r="AF123" s="28" t="n"/>
      <c r="AG123" s="29">
        <f>IF(AND(AD123=0,AE123=0,AF123=0),0,IF(AND(AD123=0,AE123=0),AF123/1,IF(AND(AD123=0,AF123=0),AE123/1,IF(AND(AE123=0,AF123=0),AD123/1,IF(AD123=0,FLOOR((AE123+AF123)/2,0.1),IF(AE123=0,(AD123+AF123)/2,IF(AF123=0,(AE123+AD123)/2,FLOOR(((AD123+AE123+AF123)/3),0.1))))))))</f>
        <v/>
      </c>
      <c r="AH123" s="21" t="n"/>
      <c r="AI123" s="21" t="n"/>
      <c r="AJ123" s="27">
        <f>SUM(AH123:AI123)</f>
        <v/>
      </c>
      <c r="AK123" s="28" t="n"/>
      <c r="AL123" s="28" t="n"/>
      <c r="AM123" s="29">
        <f>IF(AND(AJ123=0,AK123=0,AL123=0),0,IF(AND(AJ123=0,AK123=0),AL123/1,IF(AND(AJ123=0,AL123=0),AK123/1,IF(AND(AK123=0,AL123=0),AJ123/1,IF(AJ123=0,FLOOR((AK123+AL123)/2,0.1),IF(AK123=0,(AJ123+AL123)/2,IF(AL123=0,(AK123+AJ123)/2,FLOOR(((AJ123+AK123+AL123)/3),0.1))))))))</f>
        <v/>
      </c>
      <c r="AN123" s="21" t="n"/>
      <c r="AO123" s="21" t="n"/>
      <c r="AP123" s="27">
        <f>SUM(AN123:AO123)</f>
        <v/>
      </c>
      <c r="AQ123" s="28" t="n"/>
      <c r="AR123" s="30" t="n"/>
      <c r="AS123" s="29">
        <f>IF(AND(AP123=0,AQ123=0,AR123=0),0,IF(AND(AP123=0,AQ123=0),AR123/1,IF(AND(AP123=0,AR123=0),AQ123/1,IF(AND(AQ123=0,AR123=0),AP123/1,IF(AP123=0,FLOOR((AQ123+AR123)/2,0.1),IF(AQ123=0,(AP123+AR123)/2,IF(AR123=0,(AQ123+AP123)/2,FLOOR(((AP123+AQ123+AR123)/3),0.1))))))))</f>
        <v/>
      </c>
      <c r="AT123" s="21" t="n"/>
      <c r="AU123" s="21" t="n"/>
      <c r="AV123" s="27">
        <f>SUM(AT123:AU123)</f>
        <v/>
      </c>
      <c r="AW123" s="28" t="n"/>
      <c r="AX123" s="30" t="n"/>
      <c r="AY123" s="29">
        <f>IF(AND(AV123=0,AW123=0,AX123=0),0,IF(AND(AV123=0,AW123=0),AX123/1,IF(AND(AV123=0,AX123=0),AW123/1,IF(AND(AW123=0,AX123=0),AV123/1,IF(AV123=0,FLOOR((AW123+AX123)/2,0.1),IF(AW123=0,(AV123+AX123)/2,IF(AX123=0,(AW123+AV123)/2,FLOOR(((AV123+AW123+AX123)/3),0.1))))))))</f>
        <v/>
      </c>
      <c r="AZ123" s="21" t="n"/>
      <c r="BA123" s="21" t="n"/>
      <c r="BB123" s="27">
        <f>SUM(AZ123:BA123)</f>
        <v/>
      </c>
      <c r="BC123" s="28" t="n"/>
      <c r="BD123" s="28" t="n"/>
      <c r="BE123" s="29">
        <f>IF(AND(BB123=0,BC123=0,BD123=0),0,IF(AND(BB123=0,BC123=0),BD123/1,IF(AND(BB123=0,BD123=0),BC123/1,IF(AND(BC123=0,BD123=0),BB123/1,IF(BB123=0,FLOOR((BC123+BD123)/2,0.1),IF(BC123=0,(BB123+BD123)/2,IF(BD123=0,(BC123+BB123)/2,FLOOR(((BB123+BC123+BD123)/3),0.1))))))))</f>
        <v/>
      </c>
      <c r="BF123" s="21" t="n"/>
      <c r="BG123" s="21" t="n"/>
      <c r="BH123" s="27">
        <f>SUM(BF123:BG123)</f>
        <v/>
      </c>
      <c r="BI123" s="28" t="n"/>
      <c r="BJ123" s="28" t="n"/>
      <c r="BK123" s="29">
        <f>IF(AND(BH123=0,BI123=0,BJ123=0),0,IF(AND(BH123=0,BI123=0),BJ123/1,IF(AND(BH123=0,BJ123=0),BI123/1,IF(AND(BI123=0,BJ123=0),BH123/1,IF(BH123=0,FLOOR((BI123+BJ123)/2,0.1),IF(BI123=0,(BH123+BJ123)/2,IF(BJ123=0,(BI123+BH123)/2,FLOOR(((BH123+BI123+BJ123)/3),0.1))))))))</f>
        <v/>
      </c>
      <c r="BL123" s="21" t="n"/>
      <c r="BM123" s="21" t="n"/>
      <c r="BN123" s="27">
        <f>SUM(BL123:BM123)</f>
        <v/>
      </c>
      <c r="BO123" s="28" t="n"/>
      <c r="BP123" s="31" t="n"/>
      <c r="BQ123" s="29">
        <f>IF(AND(BN123=0,BO123=0,BP123=0),0,IF(AND(BN123=0,BO123=0),BP123/1,IF(AND(BN123=0,BP123=0),BO123/1,IF(AND(BO123=0,BP123=0),BN123/1,IF(BN123=0,FLOOR((BO123+BP123)/2,0.1),IF(BO123=0,(BN123+BP123)/2,IF(BP123=0,(BO123+BN123)/2,FLOOR(((BN123+BO123+BP123)/3),0.1))))))))</f>
        <v/>
      </c>
      <c r="BR123" s="21" t="n"/>
      <c r="BS123" s="21" t="n"/>
      <c r="BT123" s="27">
        <f>SUM(BR123:BS123)</f>
        <v/>
      </c>
      <c r="BU123" s="28" t="n"/>
      <c r="BV123" s="31" t="n"/>
      <c r="BW123" s="29">
        <f>IF(AND(BT123=0,BU123=0,BV123=0),0,IF(AND(BT123=0,BU123=0),BV123/1,IF(AND(BT123=0,BV123=0),BU123/1,IF(AND(BU123=0,BV123=0),BT123/1,IF(BT123=0,FLOOR((BU123+BV123)/2,0.1),IF(BU123=0,(BT123+BV123)/2,IF(BV123=0,(BU123+BT123)/2,FLOOR(((BT123+BU123+BV123)/3),0.1))))))))</f>
        <v/>
      </c>
      <c r="BX123" s="21" t="n"/>
      <c r="BY123" s="21" t="n"/>
      <c r="BZ123" s="27">
        <f>SUM(BX123:BY123)</f>
        <v/>
      </c>
      <c r="CA123" s="28" t="n"/>
      <c r="CB123" s="31" t="n"/>
      <c r="CC123" s="29">
        <f>IF(AND(BZ123=0,CA123=0,CB123=0),0,IF(AND(BZ123=0,CA123=0),CB123/1,IF(AND(BZ123=0,CB123=0),CA123/1,IF(AND(CA123=0,CB123=0),BZ123/1,IF(BZ123=0,FLOOR((CA123+CB123)/2,0.1),IF(CA123=0,(BZ123+CB123)/2,IF(CB123=0,(CA123+BZ123)/2,FLOOR(((BZ123+CA123+CB123)/3),0.1))))))))</f>
        <v/>
      </c>
      <c r="CD123" s="21" t="n"/>
      <c r="CE123" s="21" t="n"/>
      <c r="CF123" s="27">
        <f>SUM(CD123:CE123)</f>
        <v/>
      </c>
      <c r="CG123" s="28" t="n"/>
      <c r="CH123" s="31" t="n"/>
      <c r="CI123" s="29">
        <f>IF(AND(CF123=0,CG123=0,CH123=0),0,IF(AND(CF123=0,CG123=0),CH123/1,IF(AND(CF123=0,CH123=0),CG123/1,IF(AND(CG123=0,CH123=0),CF123/1,IF(CF123=0,FLOOR((CG123+CH123)/2,0.1),IF(CG123=0,(CF123+CH123)/2,IF(CH123=0,(CG123+CF123)/2,FLOOR(((CF123+CG123+CH123)/3),0.1))))))))</f>
        <v/>
      </c>
      <c r="CJ123" s="21" t="n"/>
      <c r="CK123" s="21" t="n"/>
      <c r="CL123" s="27">
        <f>SUM(CJ123:CK123)</f>
        <v/>
      </c>
      <c r="CM123" s="28" t="n"/>
      <c r="CN123" s="31" t="n"/>
      <c r="CO123" s="29">
        <f>IF(AND(CL123=0,CM123=0,CN123=0),0,IF(AND(CL123=0,CM123=0),CN123/1,IF(AND(CL123=0,CN123=0),CM123/1,IF(AND(CM123=0,CN123=0),CL123/1,IF(CL123=0,FLOOR((CM123+CN123)/2,0.1),IF(CM123=0,(CL123+CN123)/2,IF(CN123=0,(CM123+CL123)/2,FLOOR(((CL123+CM123+CN123)/3),0.1))))))))</f>
        <v/>
      </c>
      <c r="CP123" s="21" t="n"/>
      <c r="CQ123" s="21" t="n"/>
      <c r="CR123" s="27">
        <f>SUM(CP123:CQ123)</f>
        <v/>
      </c>
      <c r="CS123" s="28" t="n"/>
      <c r="CT123" s="31" t="n"/>
      <c r="CU123" s="29">
        <f>IF(AND(CR123=0,CS123=0,CT123=0),0,IF(AND(CR123=0,CS123=0),CT123/1,IF(AND(CR123=0,CT123=0),CS123/1,IF(AND(CS123=0,CT123=0),CR123/1,IF(CR123=0,FLOOR((CS123+CT123)/2,0.1),IF(CS123=0,(CR123+CT123)/2,IF(CT123=0,(CS123+CR123)/2,FLOOR(((CR123+CS123+CT123)/3),0.1))))))))</f>
        <v/>
      </c>
      <c r="CV123" s="21" t="n"/>
      <c r="CW123" s="21" t="n"/>
      <c r="CX123" s="27">
        <f>SUM(CV123:CW123)</f>
        <v/>
      </c>
      <c r="CY123" s="28" t="n"/>
      <c r="CZ123" s="31" t="n"/>
      <c r="DA123" s="29">
        <f>IF(AND(CX123=0,CY123=0,CZ123=0),0,IF(AND(CX123=0,CY123=0),CZ123/1,IF(AND(CX123=0,CZ123=0),CY123/1,IF(AND(CY123=0,CZ123=0),CX123/1,IF(CX123=0,FLOOR((CY123+CZ123)/2,0.1),IF(CY123=0,(CX123+CZ123)/2,IF(CZ123=0,(CY123+CX123)/2,FLOOR(((CX123+CY123+CZ123)/3),0.1))))))))</f>
        <v/>
      </c>
      <c r="DB123" s="21" t="n"/>
      <c r="DC123" s="21" t="n"/>
      <c r="DD123" s="27">
        <f>SUM(DB123:DC123)</f>
        <v/>
      </c>
      <c r="DE123" s="28" t="n"/>
      <c r="DF123" s="31" t="n"/>
      <c r="DG123" s="29">
        <f>IF(AND(DD123=0,DE123=0,DF123=0),0,IF(AND(DD123=0,DE123=0),DF123/1,IF(AND(DD123=0,DF123=0),DE123/1,IF(AND(DE123=0,DF123=0),DD123/1,IF(DD123=0,FLOOR((DE123+DF123)/2,0.1),IF(DE123=0,(DD123+DF123)/2,IF(DF123=0,(DE123+DD123)/2,FLOOR(((DD123+DE123+DF123)/3),0.1))))))))</f>
        <v/>
      </c>
      <c r="DH123" s="34">
        <f>SUM(O123,U123,AA123,AG123,AM123,AS123,AY123,BE123,BK123,BQ123,BW123,CC123,CI123,CO123,CU123,DA123,DG123)</f>
        <v/>
      </c>
      <c r="DI123" s="39">
        <f>RANK(DH123,DH$4:DH$503)</f>
        <v/>
      </c>
      <c r="DJ123" s="40" t="inlineStr">
        <is>
          <t>CHOOSE RATING</t>
        </is>
      </c>
      <c r="DK123" s="40" t="inlineStr">
        <is>
          <t>CHOOSE RATING</t>
        </is>
      </c>
      <c r="DL123" s="40" t="inlineStr">
        <is>
          <t>CHOOSE RATING</t>
        </is>
      </c>
      <c r="DM123" s="40" t="inlineStr">
        <is>
          <t>CHOOSE RATING</t>
        </is>
      </c>
      <c r="DN123" s="40" t="inlineStr">
        <is>
          <t>CHOOSE RATING</t>
        </is>
      </c>
      <c r="DO123" s="40" t="inlineStr">
        <is>
          <t>CHOOSE RATING</t>
        </is>
      </c>
      <c r="DP123" s="40" t="inlineStr">
        <is>
          <t>CHOOSE RATING</t>
        </is>
      </c>
      <c r="DQ123" s="40" t="inlineStr">
        <is>
          <t>CHOOSE RATING</t>
        </is>
      </c>
      <c r="DR123" s="43" t="inlineStr">
        <is>
          <t>2024/2025</t>
        </is>
      </c>
      <c r="DS123" s="45" t="inlineStr">
        <is>
          <t>THIRD</t>
        </is>
      </c>
      <c r="DT123" s="40" t="inlineStr">
        <is>
          <t>CHOOSE RATING</t>
        </is>
      </c>
      <c r="DU123" s="40" t="inlineStr">
        <is>
          <t>CHOOSE RATING</t>
        </is>
      </c>
      <c r="DV123" s="40" t="inlineStr">
        <is>
          <t>CHOOSE RATING</t>
        </is>
      </c>
      <c r="DW123" s="40" t="inlineStr">
        <is>
          <t>CHOOSE RATING</t>
        </is>
      </c>
      <c r="DX123" s="40" t="inlineStr">
        <is>
          <t>CHOOSE RATING</t>
        </is>
      </c>
      <c r="DY123" s="40" t="inlineStr">
        <is>
          <t>CHOOSE RATING</t>
        </is>
      </c>
      <c r="DZ123" s="53" t="inlineStr">
        <is>
          <t>CHOOSE RATING</t>
        </is>
      </c>
      <c r="EA123" s="54" t="inlineStr">
        <is>
          <t>Add the Tutor's Comment . . .</t>
        </is>
      </c>
      <c r="EB123" s="55" t="inlineStr">
        <is>
          <t>Choose Principals comment</t>
        </is>
      </c>
      <c r="EC123" s="56" t="n"/>
      <c r="ED123" s="57" t="inlineStr">
        <is>
          <t>Next Term Begins on Monday, 22nd September, 2025</t>
        </is>
      </c>
    </row>
    <row r="124" ht="30.6" customHeight="1" s="6">
      <c r="A124" s="18" t="n">
        <v>121</v>
      </c>
      <c r="B124" s="19" t="n"/>
      <c r="C124" s="20" t="n"/>
      <c r="D124" s="128" t="n"/>
      <c r="E124" s="21" t="n"/>
      <c r="F124" s="22" t="n"/>
      <c r="G124" s="22" t="n"/>
      <c r="H124" s="22" t="n"/>
      <c r="I124" s="26">
        <f>G124-H124</f>
        <v/>
      </c>
      <c r="J124" s="21" t="n"/>
      <c r="K124" s="21" t="n"/>
      <c r="L124" s="27">
        <f>SUM(J124:K124)</f>
        <v/>
      </c>
      <c r="M124" s="28" t="n"/>
      <c r="N124" s="28" t="n"/>
      <c r="O124" s="29">
        <f>IF(AND(L124=0,M124=0,N124=0),0,IF(AND(L124=0,M124=0),N124/1,IF(AND(L124=0,N124=0),M124/1,IF(AND(M124=0,N124=0),L124/1,IF(L124=0,FLOOR((M124+N124)/2,0.1),IF(M124=0,(L124+N124)/2,IF(N124=0,(M124+L124)/2,FLOOR(((L124+M124+N124)/3),0.1))))))))</f>
        <v/>
      </c>
      <c r="P124" s="21" t="n"/>
      <c r="Q124" s="21" t="n"/>
      <c r="R124" s="27">
        <f>SUM(P124:Q124)</f>
        <v/>
      </c>
      <c r="S124" s="28" t="n"/>
      <c r="T124" s="28" t="n"/>
      <c r="U124" s="29">
        <f>IF(AND(R124=0,S124=0,T124=0),0,IF(AND(R124=0,S124=0),T124/1,IF(AND(R124=0,T124=0),S124/1,IF(AND(S124=0,T124=0),R124/1,IF(R124=0,FLOOR((S124+T124)/2,0.1),IF(S124=0,(R124+T124)/2,IF(T124=0,(S124+R124)/2,FLOOR(((R124+S124+T124)/3),0.1))))))))</f>
        <v/>
      </c>
      <c r="V124" s="21" t="n"/>
      <c r="W124" s="21" t="n"/>
      <c r="X124" s="27">
        <f>SUM(V124:W124)</f>
        <v/>
      </c>
      <c r="Y124" s="28" t="n"/>
      <c r="Z124" s="28" t="n"/>
      <c r="AA124" s="29">
        <f>IF(AND(X124=0,Y124=0,Z124=0),0,IF(AND(X124=0,Y124=0),Z124/1,IF(AND(X124=0,Z124=0),Y124/1,IF(AND(Y124=0,Z124=0),X124/1,IF(X124=0,FLOOR((Y124+Z124)/2,0.1),IF(Y124=0,(X124+Z124)/2,IF(Z124=0,(Y124+X124)/2,FLOOR(((X124+Y124+Z124)/3),0.1))))))))</f>
        <v/>
      </c>
      <c r="AB124" s="21" t="n"/>
      <c r="AC124" s="21" t="n"/>
      <c r="AD124" s="27">
        <f>SUM(AB124:AC124)</f>
        <v/>
      </c>
      <c r="AE124" s="28" t="n"/>
      <c r="AF124" s="28" t="n"/>
      <c r="AG124" s="29">
        <f>IF(AND(AD124=0,AE124=0,AF124=0),0,IF(AND(AD124=0,AE124=0),AF124/1,IF(AND(AD124=0,AF124=0),AE124/1,IF(AND(AE124=0,AF124=0),AD124/1,IF(AD124=0,FLOOR((AE124+AF124)/2,0.1),IF(AE124=0,(AD124+AF124)/2,IF(AF124=0,(AE124+AD124)/2,FLOOR(((AD124+AE124+AF124)/3),0.1))))))))</f>
        <v/>
      </c>
      <c r="AH124" s="21" t="n"/>
      <c r="AI124" s="21" t="n"/>
      <c r="AJ124" s="27">
        <f>SUM(AH124:AI124)</f>
        <v/>
      </c>
      <c r="AK124" s="28" t="n"/>
      <c r="AL124" s="28" t="n"/>
      <c r="AM124" s="29">
        <f>IF(AND(AJ124=0,AK124=0,AL124=0),0,IF(AND(AJ124=0,AK124=0),AL124/1,IF(AND(AJ124=0,AL124=0),AK124/1,IF(AND(AK124=0,AL124=0),AJ124/1,IF(AJ124=0,FLOOR((AK124+AL124)/2,0.1),IF(AK124=0,(AJ124+AL124)/2,IF(AL124=0,(AK124+AJ124)/2,FLOOR(((AJ124+AK124+AL124)/3),0.1))))))))</f>
        <v/>
      </c>
      <c r="AN124" s="21" t="n"/>
      <c r="AO124" s="21" t="n"/>
      <c r="AP124" s="27">
        <f>SUM(AN124:AO124)</f>
        <v/>
      </c>
      <c r="AQ124" s="28" t="n"/>
      <c r="AR124" s="30" t="n"/>
      <c r="AS124" s="29">
        <f>IF(AND(AP124=0,AQ124=0,AR124=0),0,IF(AND(AP124=0,AQ124=0),AR124/1,IF(AND(AP124=0,AR124=0),AQ124/1,IF(AND(AQ124=0,AR124=0),AP124/1,IF(AP124=0,FLOOR((AQ124+AR124)/2,0.1),IF(AQ124=0,(AP124+AR124)/2,IF(AR124=0,(AQ124+AP124)/2,FLOOR(((AP124+AQ124+AR124)/3),0.1))))))))</f>
        <v/>
      </c>
      <c r="AT124" s="21" t="n"/>
      <c r="AU124" s="21" t="n"/>
      <c r="AV124" s="27">
        <f>SUM(AT124:AU124)</f>
        <v/>
      </c>
      <c r="AW124" s="28" t="n"/>
      <c r="AX124" s="30" t="n"/>
      <c r="AY124" s="29">
        <f>IF(AND(AV124=0,AW124=0,AX124=0),0,IF(AND(AV124=0,AW124=0),AX124/1,IF(AND(AV124=0,AX124=0),AW124/1,IF(AND(AW124=0,AX124=0),AV124/1,IF(AV124=0,FLOOR((AW124+AX124)/2,0.1),IF(AW124=0,(AV124+AX124)/2,IF(AX124=0,(AW124+AV124)/2,FLOOR(((AV124+AW124+AX124)/3),0.1))))))))</f>
        <v/>
      </c>
      <c r="AZ124" s="21" t="n"/>
      <c r="BA124" s="21" t="n"/>
      <c r="BB124" s="27">
        <f>SUM(AZ124:BA124)</f>
        <v/>
      </c>
      <c r="BC124" s="28" t="n"/>
      <c r="BD124" s="28" t="n"/>
      <c r="BE124" s="29">
        <f>IF(AND(BB124=0,BC124=0,BD124=0),0,IF(AND(BB124=0,BC124=0),BD124/1,IF(AND(BB124=0,BD124=0),BC124/1,IF(AND(BC124=0,BD124=0),BB124/1,IF(BB124=0,FLOOR((BC124+BD124)/2,0.1),IF(BC124=0,(BB124+BD124)/2,IF(BD124=0,(BC124+BB124)/2,FLOOR(((BB124+BC124+BD124)/3),0.1))))))))</f>
        <v/>
      </c>
      <c r="BF124" s="21" t="n"/>
      <c r="BG124" s="21" t="n"/>
      <c r="BH124" s="27">
        <f>SUM(BF124:BG124)</f>
        <v/>
      </c>
      <c r="BI124" s="28" t="n"/>
      <c r="BJ124" s="28" t="n"/>
      <c r="BK124" s="29">
        <f>IF(AND(BH124=0,BI124=0,BJ124=0),0,IF(AND(BH124=0,BI124=0),BJ124/1,IF(AND(BH124=0,BJ124=0),BI124/1,IF(AND(BI124=0,BJ124=0),BH124/1,IF(BH124=0,FLOOR((BI124+BJ124)/2,0.1),IF(BI124=0,(BH124+BJ124)/2,IF(BJ124=0,(BI124+BH124)/2,FLOOR(((BH124+BI124+BJ124)/3),0.1))))))))</f>
        <v/>
      </c>
      <c r="BL124" s="21" t="n"/>
      <c r="BM124" s="21" t="n"/>
      <c r="BN124" s="27">
        <f>SUM(BL124:BM124)</f>
        <v/>
      </c>
      <c r="BO124" s="28" t="n"/>
      <c r="BP124" s="31" t="n"/>
      <c r="BQ124" s="29">
        <f>IF(AND(BN124=0,BO124=0,BP124=0),0,IF(AND(BN124=0,BO124=0),BP124/1,IF(AND(BN124=0,BP124=0),BO124/1,IF(AND(BO124=0,BP124=0),BN124/1,IF(BN124=0,FLOOR((BO124+BP124)/2,0.1),IF(BO124=0,(BN124+BP124)/2,IF(BP124=0,(BO124+BN124)/2,FLOOR(((BN124+BO124+BP124)/3),0.1))))))))</f>
        <v/>
      </c>
      <c r="BR124" s="21" t="n"/>
      <c r="BS124" s="21" t="n"/>
      <c r="BT124" s="27">
        <f>SUM(BR124:BS124)</f>
        <v/>
      </c>
      <c r="BU124" s="28" t="n"/>
      <c r="BV124" s="31" t="n"/>
      <c r="BW124" s="29">
        <f>IF(AND(BT124=0,BU124=0,BV124=0),0,IF(AND(BT124=0,BU124=0),BV124/1,IF(AND(BT124=0,BV124=0),BU124/1,IF(AND(BU124=0,BV124=0),BT124/1,IF(BT124=0,FLOOR((BU124+BV124)/2,0.1),IF(BU124=0,(BT124+BV124)/2,IF(BV124=0,(BU124+BT124)/2,FLOOR(((BT124+BU124+BV124)/3),0.1))))))))</f>
        <v/>
      </c>
      <c r="BX124" s="21" t="n"/>
      <c r="BY124" s="21" t="n"/>
      <c r="BZ124" s="27">
        <f>SUM(BX124:BY124)</f>
        <v/>
      </c>
      <c r="CA124" s="28" t="n"/>
      <c r="CB124" s="31" t="n"/>
      <c r="CC124" s="29">
        <f>IF(AND(BZ124=0,CA124=0,CB124=0),0,IF(AND(BZ124=0,CA124=0),CB124/1,IF(AND(BZ124=0,CB124=0),CA124/1,IF(AND(CA124=0,CB124=0),BZ124/1,IF(BZ124=0,FLOOR((CA124+CB124)/2,0.1),IF(CA124=0,(BZ124+CB124)/2,IF(CB124=0,(CA124+BZ124)/2,FLOOR(((BZ124+CA124+CB124)/3),0.1))))))))</f>
        <v/>
      </c>
      <c r="CD124" s="21" t="n"/>
      <c r="CE124" s="21" t="n"/>
      <c r="CF124" s="27">
        <f>SUM(CD124:CE124)</f>
        <v/>
      </c>
      <c r="CG124" s="28" t="n"/>
      <c r="CH124" s="31" t="n"/>
      <c r="CI124" s="29">
        <f>IF(AND(CF124=0,CG124=0,CH124=0),0,IF(AND(CF124=0,CG124=0),CH124/1,IF(AND(CF124=0,CH124=0),CG124/1,IF(AND(CG124=0,CH124=0),CF124/1,IF(CF124=0,FLOOR((CG124+CH124)/2,0.1),IF(CG124=0,(CF124+CH124)/2,IF(CH124=0,(CG124+CF124)/2,FLOOR(((CF124+CG124+CH124)/3),0.1))))))))</f>
        <v/>
      </c>
      <c r="CJ124" s="21" t="n"/>
      <c r="CK124" s="21" t="n"/>
      <c r="CL124" s="27">
        <f>SUM(CJ124:CK124)</f>
        <v/>
      </c>
      <c r="CM124" s="28" t="n"/>
      <c r="CN124" s="31" t="n"/>
      <c r="CO124" s="29">
        <f>IF(AND(CL124=0,CM124=0,CN124=0),0,IF(AND(CL124=0,CM124=0),CN124/1,IF(AND(CL124=0,CN124=0),CM124/1,IF(AND(CM124=0,CN124=0),CL124/1,IF(CL124=0,FLOOR((CM124+CN124)/2,0.1),IF(CM124=0,(CL124+CN124)/2,IF(CN124=0,(CM124+CL124)/2,FLOOR(((CL124+CM124+CN124)/3),0.1))))))))</f>
        <v/>
      </c>
      <c r="CP124" s="21" t="n"/>
      <c r="CQ124" s="21" t="n"/>
      <c r="CR124" s="27">
        <f>SUM(CP124:CQ124)</f>
        <v/>
      </c>
      <c r="CS124" s="28" t="n"/>
      <c r="CT124" s="31" t="n"/>
      <c r="CU124" s="29">
        <f>IF(AND(CR124=0,CS124=0,CT124=0),0,IF(AND(CR124=0,CS124=0),CT124/1,IF(AND(CR124=0,CT124=0),CS124/1,IF(AND(CS124=0,CT124=0),CR124/1,IF(CR124=0,FLOOR((CS124+CT124)/2,0.1),IF(CS124=0,(CR124+CT124)/2,IF(CT124=0,(CS124+CR124)/2,FLOOR(((CR124+CS124+CT124)/3),0.1))))))))</f>
        <v/>
      </c>
      <c r="CV124" s="21" t="n"/>
      <c r="CW124" s="21" t="n"/>
      <c r="CX124" s="27">
        <f>SUM(CV124:CW124)</f>
        <v/>
      </c>
      <c r="CY124" s="28" t="n"/>
      <c r="CZ124" s="31" t="n"/>
      <c r="DA124" s="29">
        <f>IF(AND(CX124=0,CY124=0,CZ124=0),0,IF(AND(CX124=0,CY124=0),CZ124/1,IF(AND(CX124=0,CZ124=0),CY124/1,IF(AND(CY124=0,CZ124=0),CX124/1,IF(CX124=0,FLOOR((CY124+CZ124)/2,0.1),IF(CY124=0,(CX124+CZ124)/2,IF(CZ124=0,(CY124+CX124)/2,FLOOR(((CX124+CY124+CZ124)/3),0.1))))))))</f>
        <v/>
      </c>
      <c r="DB124" s="21" t="n"/>
      <c r="DC124" s="21" t="n"/>
      <c r="DD124" s="27">
        <f>SUM(DB124:DC124)</f>
        <v/>
      </c>
      <c r="DE124" s="28" t="n"/>
      <c r="DF124" s="31" t="n"/>
      <c r="DG124" s="29">
        <f>IF(AND(DD124=0,DE124=0,DF124=0),0,IF(AND(DD124=0,DE124=0),DF124/1,IF(AND(DD124=0,DF124=0),DE124/1,IF(AND(DE124=0,DF124=0),DD124/1,IF(DD124=0,FLOOR((DE124+DF124)/2,0.1),IF(DE124=0,(DD124+DF124)/2,IF(DF124=0,(DE124+DD124)/2,FLOOR(((DD124+DE124+DF124)/3),0.1))))))))</f>
        <v/>
      </c>
      <c r="DH124" s="34">
        <f>SUM(O124,U124,AA124,AG124,AM124,AS124,AY124,BE124,BK124,BQ124,BW124,CC124,CI124,CO124,CU124,DA124,DG124)</f>
        <v/>
      </c>
      <c r="DI124" s="39">
        <f>RANK(DH124,DH$4:DH$503)</f>
        <v/>
      </c>
      <c r="DJ124" s="40" t="inlineStr">
        <is>
          <t>CHOOSE RATING</t>
        </is>
      </c>
      <c r="DK124" s="40" t="inlineStr">
        <is>
          <t>CHOOSE RATING</t>
        </is>
      </c>
      <c r="DL124" s="40" t="inlineStr">
        <is>
          <t>CHOOSE RATING</t>
        </is>
      </c>
      <c r="DM124" s="40" t="inlineStr">
        <is>
          <t>CHOOSE RATING</t>
        </is>
      </c>
      <c r="DN124" s="40" t="inlineStr">
        <is>
          <t>CHOOSE RATING</t>
        </is>
      </c>
      <c r="DO124" s="40" t="inlineStr">
        <is>
          <t>CHOOSE RATING</t>
        </is>
      </c>
      <c r="DP124" s="40" t="inlineStr">
        <is>
          <t>CHOOSE RATING</t>
        </is>
      </c>
      <c r="DQ124" s="40" t="inlineStr">
        <is>
          <t>CHOOSE RATING</t>
        </is>
      </c>
      <c r="DR124" s="43" t="inlineStr">
        <is>
          <t>2024/2025</t>
        </is>
      </c>
      <c r="DS124" s="45" t="inlineStr">
        <is>
          <t>THIRD</t>
        </is>
      </c>
      <c r="DT124" s="40" t="inlineStr">
        <is>
          <t>CHOOSE RATING</t>
        </is>
      </c>
      <c r="DU124" s="40" t="inlineStr">
        <is>
          <t>CHOOSE RATING</t>
        </is>
      </c>
      <c r="DV124" s="40" t="inlineStr">
        <is>
          <t>CHOOSE RATING</t>
        </is>
      </c>
      <c r="DW124" s="40" t="inlineStr">
        <is>
          <t>CHOOSE RATING</t>
        </is>
      </c>
      <c r="DX124" s="40" t="inlineStr">
        <is>
          <t>CHOOSE RATING</t>
        </is>
      </c>
      <c r="DY124" s="40" t="inlineStr">
        <is>
          <t>CHOOSE RATING</t>
        </is>
      </c>
      <c r="DZ124" s="53" t="inlineStr">
        <is>
          <t>CHOOSE RATING</t>
        </is>
      </c>
      <c r="EA124" s="54" t="inlineStr">
        <is>
          <t>Add the Tutor's Comment . . .</t>
        </is>
      </c>
      <c r="EB124" s="55" t="inlineStr">
        <is>
          <t>Choose Principals comment</t>
        </is>
      </c>
      <c r="EC124" s="56" t="n"/>
      <c r="ED124" s="57" t="inlineStr">
        <is>
          <t>Next Term Begins on Monday, 22nd September, 2025</t>
        </is>
      </c>
    </row>
    <row r="125" ht="30.6" customHeight="1" s="6">
      <c r="A125" s="18" t="n">
        <v>122</v>
      </c>
      <c r="B125" s="19" t="n"/>
      <c r="C125" s="20" t="n"/>
      <c r="D125" s="128" t="n"/>
      <c r="E125" s="21" t="n"/>
      <c r="F125" s="22" t="n"/>
      <c r="G125" s="22" t="n"/>
      <c r="H125" s="22" t="n"/>
      <c r="I125" s="26">
        <f>G125-H125</f>
        <v/>
      </c>
      <c r="J125" s="21" t="n"/>
      <c r="K125" s="21" t="n"/>
      <c r="L125" s="27">
        <f>SUM(J125:K125)</f>
        <v/>
      </c>
      <c r="M125" s="28" t="n"/>
      <c r="N125" s="28" t="n"/>
      <c r="O125" s="29">
        <f>IF(AND(L125=0,M125=0,N125=0),0,IF(AND(L125=0,M125=0),N125/1,IF(AND(L125=0,N125=0),M125/1,IF(AND(M125=0,N125=0),L125/1,IF(L125=0,FLOOR((M125+N125)/2,0.1),IF(M125=0,(L125+N125)/2,IF(N125=0,(M125+L125)/2,FLOOR(((L125+M125+N125)/3),0.1))))))))</f>
        <v/>
      </c>
      <c r="P125" s="21" t="n"/>
      <c r="Q125" s="21" t="n"/>
      <c r="R125" s="27">
        <f>SUM(P125:Q125)</f>
        <v/>
      </c>
      <c r="S125" s="28" t="n"/>
      <c r="T125" s="28" t="n"/>
      <c r="U125" s="29">
        <f>IF(AND(R125=0,S125=0,T125=0),0,IF(AND(R125=0,S125=0),T125/1,IF(AND(R125=0,T125=0),S125/1,IF(AND(S125=0,T125=0),R125/1,IF(R125=0,FLOOR((S125+T125)/2,0.1),IF(S125=0,(R125+T125)/2,IF(T125=0,(S125+R125)/2,FLOOR(((R125+S125+T125)/3),0.1))))))))</f>
        <v/>
      </c>
      <c r="V125" s="21" t="n"/>
      <c r="W125" s="21" t="n"/>
      <c r="X125" s="27">
        <f>SUM(V125:W125)</f>
        <v/>
      </c>
      <c r="Y125" s="28" t="n"/>
      <c r="Z125" s="28" t="n"/>
      <c r="AA125" s="29">
        <f>IF(AND(X125=0,Y125=0,Z125=0),0,IF(AND(X125=0,Y125=0),Z125/1,IF(AND(X125=0,Z125=0),Y125/1,IF(AND(Y125=0,Z125=0),X125/1,IF(X125=0,FLOOR((Y125+Z125)/2,0.1),IF(Y125=0,(X125+Z125)/2,IF(Z125=0,(Y125+X125)/2,FLOOR(((X125+Y125+Z125)/3),0.1))))))))</f>
        <v/>
      </c>
      <c r="AB125" s="21" t="n"/>
      <c r="AC125" s="21" t="n"/>
      <c r="AD125" s="27">
        <f>SUM(AB125:AC125)</f>
        <v/>
      </c>
      <c r="AE125" s="28" t="n"/>
      <c r="AF125" s="28" t="n"/>
      <c r="AG125" s="29">
        <f>IF(AND(AD125=0,AE125=0,AF125=0),0,IF(AND(AD125=0,AE125=0),AF125/1,IF(AND(AD125=0,AF125=0),AE125/1,IF(AND(AE125=0,AF125=0),AD125/1,IF(AD125=0,FLOOR((AE125+AF125)/2,0.1),IF(AE125=0,(AD125+AF125)/2,IF(AF125=0,(AE125+AD125)/2,FLOOR(((AD125+AE125+AF125)/3),0.1))))))))</f>
        <v/>
      </c>
      <c r="AH125" s="21" t="n"/>
      <c r="AI125" s="21" t="n"/>
      <c r="AJ125" s="27">
        <f>SUM(AH125:AI125)</f>
        <v/>
      </c>
      <c r="AK125" s="28" t="n"/>
      <c r="AL125" s="28" t="n"/>
      <c r="AM125" s="29">
        <f>IF(AND(AJ125=0,AK125=0,AL125=0),0,IF(AND(AJ125=0,AK125=0),AL125/1,IF(AND(AJ125=0,AL125=0),AK125/1,IF(AND(AK125=0,AL125=0),AJ125/1,IF(AJ125=0,FLOOR((AK125+AL125)/2,0.1),IF(AK125=0,(AJ125+AL125)/2,IF(AL125=0,(AK125+AJ125)/2,FLOOR(((AJ125+AK125+AL125)/3),0.1))))))))</f>
        <v/>
      </c>
      <c r="AN125" s="21" t="n"/>
      <c r="AO125" s="21" t="n"/>
      <c r="AP125" s="27">
        <f>SUM(AN125:AO125)</f>
        <v/>
      </c>
      <c r="AQ125" s="28" t="n"/>
      <c r="AR125" s="30" t="n"/>
      <c r="AS125" s="29">
        <f>IF(AND(AP125=0,AQ125=0,AR125=0),0,IF(AND(AP125=0,AQ125=0),AR125/1,IF(AND(AP125=0,AR125=0),AQ125/1,IF(AND(AQ125=0,AR125=0),AP125/1,IF(AP125=0,FLOOR((AQ125+AR125)/2,0.1),IF(AQ125=0,(AP125+AR125)/2,IF(AR125=0,(AQ125+AP125)/2,FLOOR(((AP125+AQ125+AR125)/3),0.1))))))))</f>
        <v/>
      </c>
      <c r="AT125" s="21" t="n"/>
      <c r="AU125" s="21" t="n"/>
      <c r="AV125" s="27">
        <f>SUM(AT125:AU125)</f>
        <v/>
      </c>
      <c r="AW125" s="28" t="n"/>
      <c r="AX125" s="30" t="n"/>
      <c r="AY125" s="29">
        <f>IF(AND(AV125=0,AW125=0,AX125=0),0,IF(AND(AV125=0,AW125=0),AX125/1,IF(AND(AV125=0,AX125=0),AW125/1,IF(AND(AW125=0,AX125=0),AV125/1,IF(AV125=0,FLOOR((AW125+AX125)/2,0.1),IF(AW125=0,(AV125+AX125)/2,IF(AX125=0,(AW125+AV125)/2,FLOOR(((AV125+AW125+AX125)/3),0.1))))))))</f>
        <v/>
      </c>
      <c r="AZ125" s="21" t="n"/>
      <c r="BA125" s="21" t="n"/>
      <c r="BB125" s="27">
        <f>SUM(AZ125:BA125)</f>
        <v/>
      </c>
      <c r="BC125" s="28" t="n"/>
      <c r="BD125" s="28" t="n"/>
      <c r="BE125" s="29">
        <f>IF(AND(BB125=0,BC125=0,BD125=0),0,IF(AND(BB125=0,BC125=0),BD125/1,IF(AND(BB125=0,BD125=0),BC125/1,IF(AND(BC125=0,BD125=0),BB125/1,IF(BB125=0,FLOOR((BC125+BD125)/2,0.1),IF(BC125=0,(BB125+BD125)/2,IF(BD125=0,(BC125+BB125)/2,FLOOR(((BB125+BC125+BD125)/3),0.1))))))))</f>
        <v/>
      </c>
      <c r="BF125" s="21" t="n"/>
      <c r="BG125" s="21" t="n"/>
      <c r="BH125" s="27">
        <f>SUM(BF125:BG125)</f>
        <v/>
      </c>
      <c r="BI125" s="28" t="n"/>
      <c r="BJ125" s="28" t="n"/>
      <c r="BK125" s="29">
        <f>IF(AND(BH125=0,BI125=0,BJ125=0),0,IF(AND(BH125=0,BI125=0),BJ125/1,IF(AND(BH125=0,BJ125=0),BI125/1,IF(AND(BI125=0,BJ125=0),BH125/1,IF(BH125=0,FLOOR((BI125+BJ125)/2,0.1),IF(BI125=0,(BH125+BJ125)/2,IF(BJ125=0,(BI125+BH125)/2,FLOOR(((BH125+BI125+BJ125)/3),0.1))))))))</f>
        <v/>
      </c>
      <c r="BL125" s="21" t="n"/>
      <c r="BM125" s="21" t="n"/>
      <c r="BN125" s="27">
        <f>SUM(BL125:BM125)</f>
        <v/>
      </c>
      <c r="BO125" s="28" t="n"/>
      <c r="BP125" s="31" t="n"/>
      <c r="BQ125" s="29">
        <f>IF(AND(BN125=0,BO125=0,BP125=0),0,IF(AND(BN125=0,BO125=0),BP125/1,IF(AND(BN125=0,BP125=0),BO125/1,IF(AND(BO125=0,BP125=0),BN125/1,IF(BN125=0,FLOOR((BO125+BP125)/2,0.1),IF(BO125=0,(BN125+BP125)/2,IF(BP125=0,(BO125+BN125)/2,FLOOR(((BN125+BO125+BP125)/3),0.1))))))))</f>
        <v/>
      </c>
      <c r="BR125" s="21" t="n"/>
      <c r="BS125" s="21" t="n"/>
      <c r="BT125" s="27">
        <f>SUM(BR125:BS125)</f>
        <v/>
      </c>
      <c r="BU125" s="28" t="n"/>
      <c r="BV125" s="31" t="n"/>
      <c r="BW125" s="29">
        <f>IF(AND(BT125=0,BU125=0,BV125=0),0,IF(AND(BT125=0,BU125=0),BV125/1,IF(AND(BT125=0,BV125=0),BU125/1,IF(AND(BU125=0,BV125=0),BT125/1,IF(BT125=0,FLOOR((BU125+BV125)/2,0.1),IF(BU125=0,(BT125+BV125)/2,IF(BV125=0,(BU125+BT125)/2,FLOOR(((BT125+BU125+BV125)/3),0.1))))))))</f>
        <v/>
      </c>
      <c r="BX125" s="21" t="n"/>
      <c r="BY125" s="21" t="n"/>
      <c r="BZ125" s="27">
        <f>SUM(BX125:BY125)</f>
        <v/>
      </c>
      <c r="CA125" s="28" t="n"/>
      <c r="CB125" s="31" t="n"/>
      <c r="CC125" s="29">
        <f>IF(AND(BZ125=0,CA125=0,CB125=0),0,IF(AND(BZ125=0,CA125=0),CB125/1,IF(AND(BZ125=0,CB125=0),CA125/1,IF(AND(CA125=0,CB125=0),BZ125/1,IF(BZ125=0,FLOOR((CA125+CB125)/2,0.1),IF(CA125=0,(BZ125+CB125)/2,IF(CB125=0,(CA125+BZ125)/2,FLOOR(((BZ125+CA125+CB125)/3),0.1))))))))</f>
        <v/>
      </c>
      <c r="CD125" s="21" t="n"/>
      <c r="CE125" s="21" t="n"/>
      <c r="CF125" s="27">
        <f>SUM(CD125:CE125)</f>
        <v/>
      </c>
      <c r="CG125" s="28" t="n"/>
      <c r="CH125" s="31" t="n"/>
      <c r="CI125" s="29">
        <f>IF(AND(CF125=0,CG125=0,CH125=0),0,IF(AND(CF125=0,CG125=0),CH125/1,IF(AND(CF125=0,CH125=0),CG125/1,IF(AND(CG125=0,CH125=0),CF125/1,IF(CF125=0,FLOOR((CG125+CH125)/2,0.1),IF(CG125=0,(CF125+CH125)/2,IF(CH125=0,(CG125+CF125)/2,FLOOR(((CF125+CG125+CH125)/3),0.1))))))))</f>
        <v/>
      </c>
      <c r="CJ125" s="21" t="n"/>
      <c r="CK125" s="21" t="n"/>
      <c r="CL125" s="27">
        <f>SUM(CJ125:CK125)</f>
        <v/>
      </c>
      <c r="CM125" s="28" t="n"/>
      <c r="CN125" s="31" t="n"/>
      <c r="CO125" s="29">
        <f>IF(AND(CL125=0,CM125=0,CN125=0),0,IF(AND(CL125=0,CM125=0),CN125/1,IF(AND(CL125=0,CN125=0),CM125/1,IF(AND(CM125=0,CN125=0),CL125/1,IF(CL125=0,FLOOR((CM125+CN125)/2,0.1),IF(CM125=0,(CL125+CN125)/2,IF(CN125=0,(CM125+CL125)/2,FLOOR(((CL125+CM125+CN125)/3),0.1))))))))</f>
        <v/>
      </c>
      <c r="CP125" s="21" t="n"/>
      <c r="CQ125" s="21" t="n"/>
      <c r="CR125" s="27">
        <f>SUM(CP125:CQ125)</f>
        <v/>
      </c>
      <c r="CS125" s="28" t="n"/>
      <c r="CT125" s="31" t="n"/>
      <c r="CU125" s="29">
        <f>IF(AND(CR125=0,CS125=0,CT125=0),0,IF(AND(CR125=0,CS125=0),CT125/1,IF(AND(CR125=0,CT125=0),CS125/1,IF(AND(CS125=0,CT125=0),CR125/1,IF(CR125=0,FLOOR((CS125+CT125)/2,0.1),IF(CS125=0,(CR125+CT125)/2,IF(CT125=0,(CS125+CR125)/2,FLOOR(((CR125+CS125+CT125)/3),0.1))))))))</f>
        <v/>
      </c>
      <c r="CV125" s="21" t="n"/>
      <c r="CW125" s="21" t="n"/>
      <c r="CX125" s="27">
        <f>SUM(CV125:CW125)</f>
        <v/>
      </c>
      <c r="CY125" s="28" t="n"/>
      <c r="CZ125" s="31" t="n"/>
      <c r="DA125" s="29">
        <f>IF(AND(CX125=0,CY125=0,CZ125=0),0,IF(AND(CX125=0,CY125=0),CZ125/1,IF(AND(CX125=0,CZ125=0),CY125/1,IF(AND(CY125=0,CZ125=0),CX125/1,IF(CX125=0,FLOOR((CY125+CZ125)/2,0.1),IF(CY125=0,(CX125+CZ125)/2,IF(CZ125=0,(CY125+CX125)/2,FLOOR(((CX125+CY125+CZ125)/3),0.1))))))))</f>
        <v/>
      </c>
      <c r="DB125" s="21" t="n"/>
      <c r="DC125" s="21" t="n"/>
      <c r="DD125" s="27">
        <f>SUM(DB125:DC125)</f>
        <v/>
      </c>
      <c r="DE125" s="28" t="n"/>
      <c r="DF125" s="31" t="n"/>
      <c r="DG125" s="29">
        <f>IF(AND(DD125=0,DE125=0,DF125=0),0,IF(AND(DD125=0,DE125=0),DF125/1,IF(AND(DD125=0,DF125=0),DE125/1,IF(AND(DE125=0,DF125=0),DD125/1,IF(DD125=0,FLOOR((DE125+DF125)/2,0.1),IF(DE125=0,(DD125+DF125)/2,IF(DF125=0,(DE125+DD125)/2,FLOOR(((DD125+DE125+DF125)/3),0.1))))))))</f>
        <v/>
      </c>
      <c r="DH125" s="34">
        <f>SUM(O125,U125,AA125,AG125,AM125,AS125,AY125,BE125,BK125,BQ125,BW125,CC125,CI125,CO125,CU125,DA125,DG125)</f>
        <v/>
      </c>
      <c r="DI125" s="39">
        <f>RANK(DH125,DH$4:DH$503)</f>
        <v/>
      </c>
      <c r="DJ125" s="40" t="inlineStr">
        <is>
          <t>CHOOSE RATING</t>
        </is>
      </c>
      <c r="DK125" s="40" t="inlineStr">
        <is>
          <t>CHOOSE RATING</t>
        </is>
      </c>
      <c r="DL125" s="40" t="inlineStr">
        <is>
          <t>CHOOSE RATING</t>
        </is>
      </c>
      <c r="DM125" s="40" t="inlineStr">
        <is>
          <t>CHOOSE RATING</t>
        </is>
      </c>
      <c r="DN125" s="40" t="inlineStr">
        <is>
          <t>CHOOSE RATING</t>
        </is>
      </c>
      <c r="DO125" s="40" t="inlineStr">
        <is>
          <t>CHOOSE RATING</t>
        </is>
      </c>
      <c r="DP125" s="40" t="inlineStr">
        <is>
          <t>CHOOSE RATING</t>
        </is>
      </c>
      <c r="DQ125" s="40" t="inlineStr">
        <is>
          <t>CHOOSE RATING</t>
        </is>
      </c>
      <c r="DR125" s="43" t="inlineStr">
        <is>
          <t>2024/2025</t>
        </is>
      </c>
      <c r="DS125" s="45" t="inlineStr">
        <is>
          <t>THIRD</t>
        </is>
      </c>
      <c r="DT125" s="40" t="inlineStr">
        <is>
          <t>CHOOSE RATING</t>
        </is>
      </c>
      <c r="DU125" s="40" t="inlineStr">
        <is>
          <t>CHOOSE RATING</t>
        </is>
      </c>
      <c r="DV125" s="40" t="inlineStr">
        <is>
          <t>CHOOSE RATING</t>
        </is>
      </c>
      <c r="DW125" s="40" t="inlineStr">
        <is>
          <t>CHOOSE RATING</t>
        </is>
      </c>
      <c r="DX125" s="40" t="inlineStr">
        <is>
          <t>CHOOSE RATING</t>
        </is>
      </c>
      <c r="DY125" s="40" t="inlineStr">
        <is>
          <t>CHOOSE RATING</t>
        </is>
      </c>
      <c r="DZ125" s="53" t="inlineStr">
        <is>
          <t>CHOOSE RATING</t>
        </is>
      </c>
      <c r="EA125" s="54" t="inlineStr">
        <is>
          <t>Add the Tutor's Comment . . .</t>
        </is>
      </c>
      <c r="EB125" s="55" t="inlineStr">
        <is>
          <t>Choose Principals comment</t>
        </is>
      </c>
      <c r="EC125" s="56" t="n"/>
      <c r="ED125" s="57" t="inlineStr">
        <is>
          <t>Next Term Begins on Monday, 22nd September, 2025</t>
        </is>
      </c>
    </row>
    <row r="126" ht="30.6" customHeight="1" s="6">
      <c r="A126" s="18" t="n">
        <v>123</v>
      </c>
      <c r="B126" s="19" t="n"/>
      <c r="C126" s="20" t="n"/>
      <c r="D126" s="128" t="n"/>
      <c r="E126" s="21" t="n"/>
      <c r="F126" s="22" t="n"/>
      <c r="G126" s="22" t="n"/>
      <c r="H126" s="22" t="n"/>
      <c r="I126" s="26">
        <f>G126-H126</f>
        <v/>
      </c>
      <c r="J126" s="21" t="n"/>
      <c r="K126" s="21" t="n"/>
      <c r="L126" s="27">
        <f>SUM(J126:K126)</f>
        <v/>
      </c>
      <c r="M126" s="28" t="n"/>
      <c r="N126" s="28" t="n"/>
      <c r="O126" s="29">
        <f>IF(AND(L126=0,M126=0,N126=0),0,IF(AND(L126=0,M126=0),N126/1,IF(AND(L126=0,N126=0),M126/1,IF(AND(M126=0,N126=0),L126/1,IF(L126=0,FLOOR((M126+N126)/2,0.1),IF(M126=0,(L126+N126)/2,IF(N126=0,(M126+L126)/2,FLOOR(((L126+M126+N126)/3),0.1))))))))</f>
        <v/>
      </c>
      <c r="P126" s="21" t="n"/>
      <c r="Q126" s="21" t="n"/>
      <c r="R126" s="27">
        <f>SUM(P126:Q126)</f>
        <v/>
      </c>
      <c r="S126" s="28" t="n"/>
      <c r="T126" s="28" t="n"/>
      <c r="U126" s="29">
        <f>IF(AND(R126=0,S126=0,T126=0),0,IF(AND(R126=0,S126=0),T126/1,IF(AND(R126=0,T126=0),S126/1,IF(AND(S126=0,T126=0),R126/1,IF(R126=0,FLOOR((S126+T126)/2,0.1),IF(S126=0,(R126+T126)/2,IF(T126=0,(S126+R126)/2,FLOOR(((R126+S126+T126)/3),0.1))))))))</f>
        <v/>
      </c>
      <c r="V126" s="21" t="n"/>
      <c r="W126" s="21" t="n"/>
      <c r="X126" s="27">
        <f>SUM(V126:W126)</f>
        <v/>
      </c>
      <c r="Y126" s="28" t="n"/>
      <c r="Z126" s="28" t="n"/>
      <c r="AA126" s="29">
        <f>IF(AND(X126=0,Y126=0,Z126=0),0,IF(AND(X126=0,Y126=0),Z126/1,IF(AND(X126=0,Z126=0),Y126/1,IF(AND(Y126=0,Z126=0),X126/1,IF(X126=0,FLOOR((Y126+Z126)/2,0.1),IF(Y126=0,(X126+Z126)/2,IF(Z126=0,(Y126+X126)/2,FLOOR(((X126+Y126+Z126)/3),0.1))))))))</f>
        <v/>
      </c>
      <c r="AB126" s="21" t="n"/>
      <c r="AC126" s="21" t="n"/>
      <c r="AD126" s="27">
        <f>SUM(AB126:AC126)</f>
        <v/>
      </c>
      <c r="AE126" s="28" t="n"/>
      <c r="AF126" s="28" t="n"/>
      <c r="AG126" s="29">
        <f>IF(AND(AD126=0,AE126=0,AF126=0),0,IF(AND(AD126=0,AE126=0),AF126/1,IF(AND(AD126=0,AF126=0),AE126/1,IF(AND(AE126=0,AF126=0),AD126/1,IF(AD126=0,FLOOR((AE126+AF126)/2,0.1),IF(AE126=0,(AD126+AF126)/2,IF(AF126=0,(AE126+AD126)/2,FLOOR(((AD126+AE126+AF126)/3),0.1))))))))</f>
        <v/>
      </c>
      <c r="AH126" s="21" t="n"/>
      <c r="AI126" s="21" t="n"/>
      <c r="AJ126" s="27">
        <f>SUM(AH126:AI126)</f>
        <v/>
      </c>
      <c r="AK126" s="28" t="n"/>
      <c r="AL126" s="28" t="n"/>
      <c r="AM126" s="29">
        <f>IF(AND(AJ126=0,AK126=0,AL126=0),0,IF(AND(AJ126=0,AK126=0),AL126/1,IF(AND(AJ126=0,AL126=0),AK126/1,IF(AND(AK126=0,AL126=0),AJ126/1,IF(AJ126=0,FLOOR((AK126+AL126)/2,0.1),IF(AK126=0,(AJ126+AL126)/2,IF(AL126=0,(AK126+AJ126)/2,FLOOR(((AJ126+AK126+AL126)/3),0.1))))))))</f>
        <v/>
      </c>
      <c r="AN126" s="21" t="n"/>
      <c r="AO126" s="21" t="n"/>
      <c r="AP126" s="27">
        <f>SUM(AN126:AO126)</f>
        <v/>
      </c>
      <c r="AQ126" s="28" t="n"/>
      <c r="AR126" s="30" t="n"/>
      <c r="AS126" s="29">
        <f>IF(AND(AP126=0,AQ126=0,AR126=0),0,IF(AND(AP126=0,AQ126=0),AR126/1,IF(AND(AP126=0,AR126=0),AQ126/1,IF(AND(AQ126=0,AR126=0),AP126/1,IF(AP126=0,FLOOR((AQ126+AR126)/2,0.1),IF(AQ126=0,(AP126+AR126)/2,IF(AR126=0,(AQ126+AP126)/2,FLOOR(((AP126+AQ126+AR126)/3),0.1))))))))</f>
        <v/>
      </c>
      <c r="AT126" s="21" t="n"/>
      <c r="AU126" s="21" t="n"/>
      <c r="AV126" s="27">
        <f>SUM(AT126:AU126)</f>
        <v/>
      </c>
      <c r="AW126" s="28" t="n"/>
      <c r="AX126" s="30" t="n"/>
      <c r="AY126" s="29">
        <f>IF(AND(AV126=0,AW126=0,AX126=0),0,IF(AND(AV126=0,AW126=0),AX126/1,IF(AND(AV126=0,AX126=0),AW126/1,IF(AND(AW126=0,AX126=0),AV126/1,IF(AV126=0,FLOOR((AW126+AX126)/2,0.1),IF(AW126=0,(AV126+AX126)/2,IF(AX126=0,(AW126+AV126)/2,FLOOR(((AV126+AW126+AX126)/3),0.1))))))))</f>
        <v/>
      </c>
      <c r="AZ126" s="21" t="n"/>
      <c r="BA126" s="21" t="n"/>
      <c r="BB126" s="27">
        <f>SUM(AZ126:BA126)</f>
        <v/>
      </c>
      <c r="BC126" s="28" t="n"/>
      <c r="BD126" s="28" t="n"/>
      <c r="BE126" s="29">
        <f>IF(AND(BB126=0,BC126=0,BD126=0),0,IF(AND(BB126=0,BC126=0),BD126/1,IF(AND(BB126=0,BD126=0),BC126/1,IF(AND(BC126=0,BD126=0),BB126/1,IF(BB126=0,FLOOR((BC126+BD126)/2,0.1),IF(BC126=0,(BB126+BD126)/2,IF(BD126=0,(BC126+BB126)/2,FLOOR(((BB126+BC126+BD126)/3),0.1))))))))</f>
        <v/>
      </c>
      <c r="BF126" s="21" t="n"/>
      <c r="BG126" s="21" t="n"/>
      <c r="BH126" s="27">
        <f>SUM(BF126:BG126)</f>
        <v/>
      </c>
      <c r="BI126" s="28" t="n"/>
      <c r="BJ126" s="28" t="n"/>
      <c r="BK126" s="29">
        <f>IF(AND(BH126=0,BI126=0,BJ126=0),0,IF(AND(BH126=0,BI126=0),BJ126/1,IF(AND(BH126=0,BJ126=0),BI126/1,IF(AND(BI126=0,BJ126=0),BH126/1,IF(BH126=0,FLOOR((BI126+BJ126)/2,0.1),IF(BI126=0,(BH126+BJ126)/2,IF(BJ126=0,(BI126+BH126)/2,FLOOR(((BH126+BI126+BJ126)/3),0.1))))))))</f>
        <v/>
      </c>
      <c r="BL126" s="21" t="n"/>
      <c r="BM126" s="21" t="n"/>
      <c r="BN126" s="27">
        <f>SUM(BL126:BM126)</f>
        <v/>
      </c>
      <c r="BO126" s="28" t="n"/>
      <c r="BP126" s="31" t="n"/>
      <c r="BQ126" s="29">
        <f>IF(AND(BN126=0,BO126=0,BP126=0),0,IF(AND(BN126=0,BO126=0),BP126/1,IF(AND(BN126=0,BP126=0),BO126/1,IF(AND(BO126=0,BP126=0),BN126/1,IF(BN126=0,FLOOR((BO126+BP126)/2,0.1),IF(BO126=0,(BN126+BP126)/2,IF(BP126=0,(BO126+BN126)/2,FLOOR(((BN126+BO126+BP126)/3),0.1))))))))</f>
        <v/>
      </c>
      <c r="BR126" s="21" t="n"/>
      <c r="BS126" s="21" t="n"/>
      <c r="BT126" s="27">
        <f>SUM(BR126:BS126)</f>
        <v/>
      </c>
      <c r="BU126" s="28" t="n"/>
      <c r="BV126" s="31" t="n"/>
      <c r="BW126" s="29">
        <f>IF(AND(BT126=0,BU126=0,BV126=0),0,IF(AND(BT126=0,BU126=0),BV126/1,IF(AND(BT126=0,BV126=0),BU126/1,IF(AND(BU126=0,BV126=0),BT126/1,IF(BT126=0,FLOOR((BU126+BV126)/2,0.1),IF(BU126=0,(BT126+BV126)/2,IF(BV126=0,(BU126+BT126)/2,FLOOR(((BT126+BU126+BV126)/3),0.1))))))))</f>
        <v/>
      </c>
      <c r="BX126" s="21" t="n"/>
      <c r="BY126" s="21" t="n"/>
      <c r="BZ126" s="27">
        <f>SUM(BX126:BY126)</f>
        <v/>
      </c>
      <c r="CA126" s="28" t="n"/>
      <c r="CB126" s="31" t="n"/>
      <c r="CC126" s="29">
        <f>IF(AND(BZ126=0,CA126=0,CB126=0),0,IF(AND(BZ126=0,CA126=0),CB126/1,IF(AND(BZ126=0,CB126=0),CA126/1,IF(AND(CA126=0,CB126=0),BZ126/1,IF(BZ126=0,FLOOR((CA126+CB126)/2,0.1),IF(CA126=0,(BZ126+CB126)/2,IF(CB126=0,(CA126+BZ126)/2,FLOOR(((BZ126+CA126+CB126)/3),0.1))))))))</f>
        <v/>
      </c>
      <c r="CD126" s="21" t="n"/>
      <c r="CE126" s="21" t="n"/>
      <c r="CF126" s="27">
        <f>SUM(CD126:CE126)</f>
        <v/>
      </c>
      <c r="CG126" s="28" t="n"/>
      <c r="CH126" s="31" t="n"/>
      <c r="CI126" s="29">
        <f>IF(AND(CF126=0,CG126=0,CH126=0),0,IF(AND(CF126=0,CG126=0),CH126/1,IF(AND(CF126=0,CH126=0),CG126/1,IF(AND(CG126=0,CH126=0),CF126/1,IF(CF126=0,FLOOR((CG126+CH126)/2,0.1),IF(CG126=0,(CF126+CH126)/2,IF(CH126=0,(CG126+CF126)/2,FLOOR(((CF126+CG126+CH126)/3),0.1))))))))</f>
        <v/>
      </c>
      <c r="CJ126" s="21" t="n"/>
      <c r="CK126" s="21" t="n"/>
      <c r="CL126" s="27">
        <f>SUM(CJ126:CK126)</f>
        <v/>
      </c>
      <c r="CM126" s="28" t="n"/>
      <c r="CN126" s="31" t="n"/>
      <c r="CO126" s="29">
        <f>IF(AND(CL126=0,CM126=0,CN126=0),0,IF(AND(CL126=0,CM126=0),CN126/1,IF(AND(CL126=0,CN126=0),CM126/1,IF(AND(CM126=0,CN126=0),CL126/1,IF(CL126=0,FLOOR((CM126+CN126)/2,0.1),IF(CM126=0,(CL126+CN126)/2,IF(CN126=0,(CM126+CL126)/2,FLOOR(((CL126+CM126+CN126)/3),0.1))))))))</f>
        <v/>
      </c>
      <c r="CP126" s="21" t="n"/>
      <c r="CQ126" s="21" t="n"/>
      <c r="CR126" s="27">
        <f>SUM(CP126:CQ126)</f>
        <v/>
      </c>
      <c r="CS126" s="28" t="n"/>
      <c r="CT126" s="31" t="n"/>
      <c r="CU126" s="29">
        <f>IF(AND(CR126=0,CS126=0,CT126=0),0,IF(AND(CR126=0,CS126=0),CT126/1,IF(AND(CR126=0,CT126=0),CS126/1,IF(AND(CS126=0,CT126=0),CR126/1,IF(CR126=0,FLOOR((CS126+CT126)/2,0.1),IF(CS126=0,(CR126+CT126)/2,IF(CT126=0,(CS126+CR126)/2,FLOOR(((CR126+CS126+CT126)/3),0.1))))))))</f>
        <v/>
      </c>
      <c r="CV126" s="21" t="n"/>
      <c r="CW126" s="21" t="n"/>
      <c r="CX126" s="27">
        <f>SUM(CV126:CW126)</f>
        <v/>
      </c>
      <c r="CY126" s="28" t="n"/>
      <c r="CZ126" s="31" t="n"/>
      <c r="DA126" s="29">
        <f>IF(AND(CX126=0,CY126=0,CZ126=0),0,IF(AND(CX126=0,CY126=0),CZ126/1,IF(AND(CX126=0,CZ126=0),CY126/1,IF(AND(CY126=0,CZ126=0),CX126/1,IF(CX126=0,FLOOR((CY126+CZ126)/2,0.1),IF(CY126=0,(CX126+CZ126)/2,IF(CZ126=0,(CY126+CX126)/2,FLOOR(((CX126+CY126+CZ126)/3),0.1))))))))</f>
        <v/>
      </c>
      <c r="DB126" s="21" t="n"/>
      <c r="DC126" s="21" t="n"/>
      <c r="DD126" s="27">
        <f>SUM(DB126:DC126)</f>
        <v/>
      </c>
      <c r="DE126" s="28" t="n"/>
      <c r="DF126" s="31" t="n"/>
      <c r="DG126" s="29">
        <f>IF(AND(DD126=0,DE126=0,DF126=0),0,IF(AND(DD126=0,DE126=0),DF126/1,IF(AND(DD126=0,DF126=0),DE126/1,IF(AND(DE126=0,DF126=0),DD126/1,IF(DD126=0,FLOOR((DE126+DF126)/2,0.1),IF(DE126=0,(DD126+DF126)/2,IF(DF126=0,(DE126+DD126)/2,FLOOR(((DD126+DE126+DF126)/3),0.1))))))))</f>
        <v/>
      </c>
      <c r="DH126" s="34">
        <f>SUM(O126,U126,AA126,AG126,AM126,AS126,AY126,BE126,BK126,BQ126,BW126,CC126,CI126,CO126,CU126,DA126,DG126)</f>
        <v/>
      </c>
      <c r="DI126" s="39">
        <f>RANK(DH126,DH$4:DH$503)</f>
        <v/>
      </c>
      <c r="DJ126" s="40" t="inlineStr">
        <is>
          <t>CHOOSE RATING</t>
        </is>
      </c>
      <c r="DK126" s="40" t="inlineStr">
        <is>
          <t>CHOOSE RATING</t>
        </is>
      </c>
      <c r="DL126" s="40" t="inlineStr">
        <is>
          <t>CHOOSE RATING</t>
        </is>
      </c>
      <c r="DM126" s="40" t="inlineStr">
        <is>
          <t>CHOOSE RATING</t>
        </is>
      </c>
      <c r="DN126" s="40" t="inlineStr">
        <is>
          <t>CHOOSE RATING</t>
        </is>
      </c>
      <c r="DO126" s="40" t="inlineStr">
        <is>
          <t>CHOOSE RATING</t>
        </is>
      </c>
      <c r="DP126" s="40" t="inlineStr">
        <is>
          <t>CHOOSE RATING</t>
        </is>
      </c>
      <c r="DQ126" s="40" t="inlineStr">
        <is>
          <t>CHOOSE RATING</t>
        </is>
      </c>
      <c r="DR126" s="43" t="inlineStr">
        <is>
          <t>2024/2025</t>
        </is>
      </c>
      <c r="DS126" s="45" t="inlineStr">
        <is>
          <t>THIRD</t>
        </is>
      </c>
      <c r="DT126" s="40" t="inlineStr">
        <is>
          <t>CHOOSE RATING</t>
        </is>
      </c>
      <c r="DU126" s="40" t="inlineStr">
        <is>
          <t>CHOOSE RATING</t>
        </is>
      </c>
      <c r="DV126" s="40" t="inlineStr">
        <is>
          <t>CHOOSE RATING</t>
        </is>
      </c>
      <c r="DW126" s="40" t="inlineStr">
        <is>
          <t>CHOOSE RATING</t>
        </is>
      </c>
      <c r="DX126" s="40" t="inlineStr">
        <is>
          <t>CHOOSE RATING</t>
        </is>
      </c>
      <c r="DY126" s="40" t="inlineStr">
        <is>
          <t>CHOOSE RATING</t>
        </is>
      </c>
      <c r="DZ126" s="53" t="inlineStr">
        <is>
          <t>CHOOSE RATING</t>
        </is>
      </c>
      <c r="EA126" s="54" t="inlineStr">
        <is>
          <t>Add the Tutor's Comment . . .</t>
        </is>
      </c>
      <c r="EB126" s="55" t="inlineStr">
        <is>
          <t>Choose Principals comment</t>
        </is>
      </c>
      <c r="EC126" s="56" t="n"/>
      <c r="ED126" s="57" t="inlineStr">
        <is>
          <t>Next Term Begins on Monday, 22nd September, 2025</t>
        </is>
      </c>
    </row>
    <row r="127" ht="30.6" customHeight="1" s="6">
      <c r="A127" s="18" t="n">
        <v>124</v>
      </c>
      <c r="B127" s="19" t="n"/>
      <c r="C127" s="20" t="n"/>
      <c r="D127" s="128" t="n"/>
      <c r="E127" s="21" t="n"/>
      <c r="F127" s="22" t="n"/>
      <c r="G127" s="22" t="n"/>
      <c r="H127" s="22" t="n"/>
      <c r="I127" s="26">
        <f>G127-H127</f>
        <v/>
      </c>
      <c r="J127" s="21" t="n"/>
      <c r="K127" s="21" t="n"/>
      <c r="L127" s="27">
        <f>SUM(J127:K127)</f>
        <v/>
      </c>
      <c r="M127" s="28" t="n"/>
      <c r="N127" s="28" t="n"/>
      <c r="O127" s="29">
        <f>IF(AND(L127=0,M127=0,N127=0),0,IF(AND(L127=0,M127=0),N127/1,IF(AND(L127=0,N127=0),M127/1,IF(AND(M127=0,N127=0),L127/1,IF(L127=0,FLOOR((M127+N127)/2,0.1),IF(M127=0,(L127+N127)/2,IF(N127=0,(M127+L127)/2,FLOOR(((L127+M127+N127)/3),0.1))))))))</f>
        <v/>
      </c>
      <c r="P127" s="21" t="n"/>
      <c r="Q127" s="21" t="n"/>
      <c r="R127" s="27">
        <f>SUM(P127:Q127)</f>
        <v/>
      </c>
      <c r="S127" s="28" t="n"/>
      <c r="T127" s="28" t="n"/>
      <c r="U127" s="29">
        <f>IF(AND(R127=0,S127=0,T127=0),0,IF(AND(R127=0,S127=0),T127/1,IF(AND(R127=0,T127=0),S127/1,IF(AND(S127=0,T127=0),R127/1,IF(R127=0,FLOOR((S127+T127)/2,0.1),IF(S127=0,(R127+T127)/2,IF(T127=0,(S127+R127)/2,FLOOR(((R127+S127+T127)/3),0.1))))))))</f>
        <v/>
      </c>
      <c r="V127" s="21" t="n"/>
      <c r="W127" s="21" t="n"/>
      <c r="X127" s="27">
        <f>SUM(V127:W127)</f>
        <v/>
      </c>
      <c r="Y127" s="28" t="n"/>
      <c r="Z127" s="28" t="n"/>
      <c r="AA127" s="29">
        <f>IF(AND(X127=0,Y127=0,Z127=0),0,IF(AND(X127=0,Y127=0),Z127/1,IF(AND(X127=0,Z127=0),Y127/1,IF(AND(Y127=0,Z127=0),X127/1,IF(X127=0,FLOOR((Y127+Z127)/2,0.1),IF(Y127=0,(X127+Z127)/2,IF(Z127=0,(Y127+X127)/2,FLOOR(((X127+Y127+Z127)/3),0.1))))))))</f>
        <v/>
      </c>
      <c r="AB127" s="21" t="n"/>
      <c r="AC127" s="21" t="n"/>
      <c r="AD127" s="27">
        <f>SUM(AB127:AC127)</f>
        <v/>
      </c>
      <c r="AE127" s="28" t="n"/>
      <c r="AF127" s="28" t="n"/>
      <c r="AG127" s="29">
        <f>IF(AND(AD127=0,AE127=0,AF127=0),0,IF(AND(AD127=0,AE127=0),AF127/1,IF(AND(AD127=0,AF127=0),AE127/1,IF(AND(AE127=0,AF127=0),AD127/1,IF(AD127=0,FLOOR((AE127+AF127)/2,0.1),IF(AE127=0,(AD127+AF127)/2,IF(AF127=0,(AE127+AD127)/2,FLOOR(((AD127+AE127+AF127)/3),0.1))))))))</f>
        <v/>
      </c>
      <c r="AH127" s="21" t="n"/>
      <c r="AI127" s="21" t="n"/>
      <c r="AJ127" s="27">
        <f>SUM(AH127:AI127)</f>
        <v/>
      </c>
      <c r="AK127" s="28" t="n"/>
      <c r="AL127" s="28" t="n"/>
      <c r="AM127" s="29">
        <f>IF(AND(AJ127=0,AK127=0,AL127=0),0,IF(AND(AJ127=0,AK127=0),AL127/1,IF(AND(AJ127=0,AL127=0),AK127/1,IF(AND(AK127=0,AL127=0),AJ127/1,IF(AJ127=0,FLOOR((AK127+AL127)/2,0.1),IF(AK127=0,(AJ127+AL127)/2,IF(AL127=0,(AK127+AJ127)/2,FLOOR(((AJ127+AK127+AL127)/3),0.1))))))))</f>
        <v/>
      </c>
      <c r="AN127" s="21" t="n"/>
      <c r="AO127" s="21" t="n"/>
      <c r="AP127" s="27">
        <f>SUM(AN127:AO127)</f>
        <v/>
      </c>
      <c r="AQ127" s="28" t="n"/>
      <c r="AR127" s="30" t="n"/>
      <c r="AS127" s="29">
        <f>IF(AND(AP127=0,AQ127=0,AR127=0),0,IF(AND(AP127=0,AQ127=0),AR127/1,IF(AND(AP127=0,AR127=0),AQ127/1,IF(AND(AQ127=0,AR127=0),AP127/1,IF(AP127=0,FLOOR((AQ127+AR127)/2,0.1),IF(AQ127=0,(AP127+AR127)/2,IF(AR127=0,(AQ127+AP127)/2,FLOOR(((AP127+AQ127+AR127)/3),0.1))))))))</f>
        <v/>
      </c>
      <c r="AT127" s="21" t="n"/>
      <c r="AU127" s="21" t="n"/>
      <c r="AV127" s="27">
        <f>SUM(AT127:AU127)</f>
        <v/>
      </c>
      <c r="AW127" s="28" t="n"/>
      <c r="AX127" s="30" t="n"/>
      <c r="AY127" s="29">
        <f>IF(AND(AV127=0,AW127=0,AX127=0),0,IF(AND(AV127=0,AW127=0),AX127/1,IF(AND(AV127=0,AX127=0),AW127/1,IF(AND(AW127=0,AX127=0),AV127/1,IF(AV127=0,FLOOR((AW127+AX127)/2,0.1),IF(AW127=0,(AV127+AX127)/2,IF(AX127=0,(AW127+AV127)/2,FLOOR(((AV127+AW127+AX127)/3),0.1))))))))</f>
        <v/>
      </c>
      <c r="AZ127" s="21" t="n"/>
      <c r="BA127" s="21" t="n"/>
      <c r="BB127" s="27">
        <f>SUM(AZ127:BA127)</f>
        <v/>
      </c>
      <c r="BC127" s="28" t="n"/>
      <c r="BD127" s="28" t="n"/>
      <c r="BE127" s="29">
        <f>IF(AND(BB127=0,BC127=0,BD127=0),0,IF(AND(BB127=0,BC127=0),BD127/1,IF(AND(BB127=0,BD127=0),BC127/1,IF(AND(BC127=0,BD127=0),BB127/1,IF(BB127=0,FLOOR((BC127+BD127)/2,0.1),IF(BC127=0,(BB127+BD127)/2,IF(BD127=0,(BC127+BB127)/2,FLOOR(((BB127+BC127+BD127)/3),0.1))))))))</f>
        <v/>
      </c>
      <c r="BF127" s="21" t="n"/>
      <c r="BG127" s="21" t="n"/>
      <c r="BH127" s="27">
        <f>SUM(BF127:BG127)</f>
        <v/>
      </c>
      <c r="BI127" s="28" t="n"/>
      <c r="BJ127" s="28" t="n"/>
      <c r="BK127" s="29">
        <f>IF(AND(BH127=0,BI127=0,BJ127=0),0,IF(AND(BH127=0,BI127=0),BJ127/1,IF(AND(BH127=0,BJ127=0),BI127/1,IF(AND(BI127=0,BJ127=0),BH127/1,IF(BH127=0,FLOOR((BI127+BJ127)/2,0.1),IF(BI127=0,(BH127+BJ127)/2,IF(BJ127=0,(BI127+BH127)/2,FLOOR(((BH127+BI127+BJ127)/3),0.1))))))))</f>
        <v/>
      </c>
      <c r="BL127" s="21" t="n"/>
      <c r="BM127" s="21" t="n"/>
      <c r="BN127" s="27">
        <f>SUM(BL127:BM127)</f>
        <v/>
      </c>
      <c r="BO127" s="28" t="n"/>
      <c r="BP127" s="31" t="n"/>
      <c r="BQ127" s="29">
        <f>IF(AND(BN127=0,BO127=0,BP127=0),0,IF(AND(BN127=0,BO127=0),BP127/1,IF(AND(BN127=0,BP127=0),BO127/1,IF(AND(BO127=0,BP127=0),BN127/1,IF(BN127=0,FLOOR((BO127+BP127)/2,0.1),IF(BO127=0,(BN127+BP127)/2,IF(BP127=0,(BO127+BN127)/2,FLOOR(((BN127+BO127+BP127)/3),0.1))))))))</f>
        <v/>
      </c>
      <c r="BR127" s="21" t="n"/>
      <c r="BS127" s="21" t="n"/>
      <c r="BT127" s="27">
        <f>SUM(BR127:BS127)</f>
        <v/>
      </c>
      <c r="BU127" s="28" t="n"/>
      <c r="BV127" s="31" t="n"/>
      <c r="BW127" s="29">
        <f>IF(AND(BT127=0,BU127=0,BV127=0),0,IF(AND(BT127=0,BU127=0),BV127/1,IF(AND(BT127=0,BV127=0),BU127/1,IF(AND(BU127=0,BV127=0),BT127/1,IF(BT127=0,FLOOR((BU127+BV127)/2,0.1),IF(BU127=0,(BT127+BV127)/2,IF(BV127=0,(BU127+BT127)/2,FLOOR(((BT127+BU127+BV127)/3),0.1))))))))</f>
        <v/>
      </c>
      <c r="BX127" s="21" t="n"/>
      <c r="BY127" s="21" t="n"/>
      <c r="BZ127" s="27">
        <f>SUM(BX127:BY127)</f>
        <v/>
      </c>
      <c r="CA127" s="28" t="n"/>
      <c r="CB127" s="31" t="n"/>
      <c r="CC127" s="29">
        <f>IF(AND(BZ127=0,CA127=0,CB127=0),0,IF(AND(BZ127=0,CA127=0),CB127/1,IF(AND(BZ127=0,CB127=0),CA127/1,IF(AND(CA127=0,CB127=0),BZ127/1,IF(BZ127=0,FLOOR((CA127+CB127)/2,0.1),IF(CA127=0,(BZ127+CB127)/2,IF(CB127=0,(CA127+BZ127)/2,FLOOR(((BZ127+CA127+CB127)/3),0.1))))))))</f>
        <v/>
      </c>
      <c r="CD127" s="21" t="n"/>
      <c r="CE127" s="21" t="n"/>
      <c r="CF127" s="27">
        <f>SUM(CD127:CE127)</f>
        <v/>
      </c>
      <c r="CG127" s="28" t="n"/>
      <c r="CH127" s="31" t="n"/>
      <c r="CI127" s="29">
        <f>IF(AND(CF127=0,CG127=0,CH127=0),0,IF(AND(CF127=0,CG127=0),CH127/1,IF(AND(CF127=0,CH127=0),CG127/1,IF(AND(CG127=0,CH127=0),CF127/1,IF(CF127=0,FLOOR((CG127+CH127)/2,0.1),IF(CG127=0,(CF127+CH127)/2,IF(CH127=0,(CG127+CF127)/2,FLOOR(((CF127+CG127+CH127)/3),0.1))))))))</f>
        <v/>
      </c>
      <c r="CJ127" s="21" t="n"/>
      <c r="CK127" s="21" t="n"/>
      <c r="CL127" s="27">
        <f>SUM(CJ127:CK127)</f>
        <v/>
      </c>
      <c r="CM127" s="28" t="n"/>
      <c r="CN127" s="31" t="n"/>
      <c r="CO127" s="29">
        <f>IF(AND(CL127=0,CM127=0,CN127=0),0,IF(AND(CL127=0,CM127=0),CN127/1,IF(AND(CL127=0,CN127=0),CM127/1,IF(AND(CM127=0,CN127=0),CL127/1,IF(CL127=0,FLOOR((CM127+CN127)/2,0.1),IF(CM127=0,(CL127+CN127)/2,IF(CN127=0,(CM127+CL127)/2,FLOOR(((CL127+CM127+CN127)/3),0.1))))))))</f>
        <v/>
      </c>
      <c r="CP127" s="21" t="n"/>
      <c r="CQ127" s="21" t="n"/>
      <c r="CR127" s="27">
        <f>SUM(CP127:CQ127)</f>
        <v/>
      </c>
      <c r="CS127" s="28" t="n"/>
      <c r="CT127" s="31" t="n"/>
      <c r="CU127" s="29">
        <f>IF(AND(CR127=0,CS127=0,CT127=0),0,IF(AND(CR127=0,CS127=0),CT127/1,IF(AND(CR127=0,CT127=0),CS127/1,IF(AND(CS127=0,CT127=0),CR127/1,IF(CR127=0,FLOOR((CS127+CT127)/2,0.1),IF(CS127=0,(CR127+CT127)/2,IF(CT127=0,(CS127+CR127)/2,FLOOR(((CR127+CS127+CT127)/3),0.1))))))))</f>
        <v/>
      </c>
      <c r="CV127" s="21" t="n"/>
      <c r="CW127" s="21" t="n"/>
      <c r="CX127" s="27">
        <f>SUM(CV127:CW127)</f>
        <v/>
      </c>
      <c r="CY127" s="28" t="n"/>
      <c r="CZ127" s="31" t="n"/>
      <c r="DA127" s="29">
        <f>IF(AND(CX127=0,CY127=0,CZ127=0),0,IF(AND(CX127=0,CY127=0),CZ127/1,IF(AND(CX127=0,CZ127=0),CY127/1,IF(AND(CY127=0,CZ127=0),CX127/1,IF(CX127=0,FLOOR((CY127+CZ127)/2,0.1),IF(CY127=0,(CX127+CZ127)/2,IF(CZ127=0,(CY127+CX127)/2,FLOOR(((CX127+CY127+CZ127)/3),0.1))))))))</f>
        <v/>
      </c>
      <c r="DB127" s="21" t="n"/>
      <c r="DC127" s="21" t="n"/>
      <c r="DD127" s="27">
        <f>SUM(DB127:DC127)</f>
        <v/>
      </c>
      <c r="DE127" s="28" t="n"/>
      <c r="DF127" s="31" t="n"/>
      <c r="DG127" s="29">
        <f>IF(AND(DD127=0,DE127=0,DF127=0),0,IF(AND(DD127=0,DE127=0),DF127/1,IF(AND(DD127=0,DF127=0),DE127/1,IF(AND(DE127=0,DF127=0),DD127/1,IF(DD127=0,FLOOR((DE127+DF127)/2,0.1),IF(DE127=0,(DD127+DF127)/2,IF(DF127=0,(DE127+DD127)/2,FLOOR(((DD127+DE127+DF127)/3),0.1))))))))</f>
        <v/>
      </c>
      <c r="DH127" s="34">
        <f>SUM(O127,U127,AA127,AG127,AM127,AS127,AY127,BE127,BK127,BQ127,BW127,CC127,CI127,CO127,CU127,DA127,DG127)</f>
        <v/>
      </c>
      <c r="DI127" s="39">
        <f>RANK(DH127,DH$4:DH$503)</f>
        <v/>
      </c>
      <c r="DJ127" s="40" t="inlineStr">
        <is>
          <t>CHOOSE RATING</t>
        </is>
      </c>
      <c r="DK127" s="40" t="inlineStr">
        <is>
          <t>CHOOSE RATING</t>
        </is>
      </c>
      <c r="DL127" s="40" t="inlineStr">
        <is>
          <t>CHOOSE RATING</t>
        </is>
      </c>
      <c r="DM127" s="40" t="inlineStr">
        <is>
          <t>CHOOSE RATING</t>
        </is>
      </c>
      <c r="DN127" s="40" t="inlineStr">
        <is>
          <t>CHOOSE RATING</t>
        </is>
      </c>
      <c r="DO127" s="40" t="inlineStr">
        <is>
          <t>CHOOSE RATING</t>
        </is>
      </c>
      <c r="DP127" s="40" t="inlineStr">
        <is>
          <t>CHOOSE RATING</t>
        </is>
      </c>
      <c r="DQ127" s="40" t="inlineStr">
        <is>
          <t>CHOOSE RATING</t>
        </is>
      </c>
      <c r="DR127" s="43" t="inlineStr">
        <is>
          <t>2024/2025</t>
        </is>
      </c>
      <c r="DS127" s="45" t="inlineStr">
        <is>
          <t>THIRD</t>
        </is>
      </c>
      <c r="DT127" s="40" t="inlineStr">
        <is>
          <t>CHOOSE RATING</t>
        </is>
      </c>
      <c r="DU127" s="40" t="inlineStr">
        <is>
          <t>CHOOSE RATING</t>
        </is>
      </c>
      <c r="DV127" s="40" t="inlineStr">
        <is>
          <t>CHOOSE RATING</t>
        </is>
      </c>
      <c r="DW127" s="40" t="inlineStr">
        <is>
          <t>CHOOSE RATING</t>
        </is>
      </c>
      <c r="DX127" s="40" t="inlineStr">
        <is>
          <t>CHOOSE RATING</t>
        </is>
      </c>
      <c r="DY127" s="40" t="inlineStr">
        <is>
          <t>CHOOSE RATING</t>
        </is>
      </c>
      <c r="DZ127" s="53" t="inlineStr">
        <is>
          <t>CHOOSE RATING</t>
        </is>
      </c>
      <c r="EA127" s="54" t="inlineStr">
        <is>
          <t>Add the Tutor's Comment . . .</t>
        </is>
      </c>
      <c r="EB127" s="55" t="inlineStr">
        <is>
          <t>Choose Principals comment</t>
        </is>
      </c>
      <c r="EC127" s="56" t="n"/>
      <c r="ED127" s="57" t="inlineStr">
        <is>
          <t>Next Term Begins on Monday, 22nd September, 2025</t>
        </is>
      </c>
    </row>
    <row r="128" ht="30.6" customHeight="1" s="6">
      <c r="A128" s="18" t="n">
        <v>125</v>
      </c>
      <c r="B128" s="19" t="n"/>
      <c r="C128" s="20" t="n"/>
      <c r="D128" s="128" t="n"/>
      <c r="E128" s="21" t="n"/>
      <c r="F128" s="22" t="n"/>
      <c r="G128" s="22" t="n"/>
      <c r="H128" s="22" t="n"/>
      <c r="I128" s="26">
        <f>G128-H128</f>
        <v/>
      </c>
      <c r="J128" s="21" t="n"/>
      <c r="K128" s="21" t="n"/>
      <c r="L128" s="27">
        <f>SUM(J128:K128)</f>
        <v/>
      </c>
      <c r="M128" s="28" t="n"/>
      <c r="N128" s="28" t="n"/>
      <c r="O128" s="29">
        <f>IF(AND(L128=0,M128=0,N128=0),0,IF(AND(L128=0,M128=0),N128/1,IF(AND(L128=0,N128=0),M128/1,IF(AND(M128=0,N128=0),L128/1,IF(L128=0,FLOOR((M128+N128)/2,0.1),IF(M128=0,(L128+N128)/2,IF(N128=0,(M128+L128)/2,FLOOR(((L128+M128+N128)/3),0.1))))))))</f>
        <v/>
      </c>
      <c r="P128" s="21" t="n"/>
      <c r="Q128" s="21" t="n"/>
      <c r="R128" s="27">
        <f>SUM(P128:Q128)</f>
        <v/>
      </c>
      <c r="S128" s="28" t="n"/>
      <c r="T128" s="28" t="n"/>
      <c r="U128" s="29">
        <f>IF(AND(R128=0,S128=0,T128=0),0,IF(AND(R128=0,S128=0),T128/1,IF(AND(R128=0,T128=0),S128/1,IF(AND(S128=0,T128=0),R128/1,IF(R128=0,FLOOR((S128+T128)/2,0.1),IF(S128=0,(R128+T128)/2,IF(T128=0,(S128+R128)/2,FLOOR(((R128+S128+T128)/3),0.1))))))))</f>
        <v/>
      </c>
      <c r="V128" s="21" t="n"/>
      <c r="W128" s="21" t="n"/>
      <c r="X128" s="27">
        <f>SUM(V128:W128)</f>
        <v/>
      </c>
      <c r="Y128" s="28" t="n"/>
      <c r="Z128" s="28" t="n"/>
      <c r="AA128" s="29">
        <f>IF(AND(X128=0,Y128=0,Z128=0),0,IF(AND(X128=0,Y128=0),Z128/1,IF(AND(X128=0,Z128=0),Y128/1,IF(AND(Y128=0,Z128=0),X128/1,IF(X128=0,FLOOR((Y128+Z128)/2,0.1),IF(Y128=0,(X128+Z128)/2,IF(Z128=0,(Y128+X128)/2,FLOOR(((X128+Y128+Z128)/3),0.1))))))))</f>
        <v/>
      </c>
      <c r="AB128" s="21" t="n"/>
      <c r="AC128" s="21" t="n"/>
      <c r="AD128" s="27">
        <f>SUM(AB128:AC128)</f>
        <v/>
      </c>
      <c r="AE128" s="28" t="n"/>
      <c r="AF128" s="28" t="n"/>
      <c r="AG128" s="29">
        <f>IF(AND(AD128=0,AE128=0,AF128=0),0,IF(AND(AD128=0,AE128=0),AF128/1,IF(AND(AD128=0,AF128=0),AE128/1,IF(AND(AE128=0,AF128=0),AD128/1,IF(AD128=0,FLOOR((AE128+AF128)/2,0.1),IF(AE128=0,(AD128+AF128)/2,IF(AF128=0,(AE128+AD128)/2,FLOOR(((AD128+AE128+AF128)/3),0.1))))))))</f>
        <v/>
      </c>
      <c r="AH128" s="21" t="n"/>
      <c r="AI128" s="21" t="n"/>
      <c r="AJ128" s="27">
        <f>SUM(AH128:AI128)</f>
        <v/>
      </c>
      <c r="AK128" s="28" t="n"/>
      <c r="AL128" s="28" t="n"/>
      <c r="AM128" s="29">
        <f>IF(AND(AJ128=0,AK128=0,AL128=0),0,IF(AND(AJ128=0,AK128=0),AL128/1,IF(AND(AJ128=0,AL128=0),AK128/1,IF(AND(AK128=0,AL128=0),AJ128/1,IF(AJ128=0,FLOOR((AK128+AL128)/2,0.1),IF(AK128=0,(AJ128+AL128)/2,IF(AL128=0,(AK128+AJ128)/2,FLOOR(((AJ128+AK128+AL128)/3),0.1))))))))</f>
        <v/>
      </c>
      <c r="AN128" s="21" t="n"/>
      <c r="AO128" s="21" t="n"/>
      <c r="AP128" s="27">
        <f>SUM(AN128:AO128)</f>
        <v/>
      </c>
      <c r="AQ128" s="28" t="n"/>
      <c r="AR128" s="30" t="n"/>
      <c r="AS128" s="29">
        <f>IF(AND(AP128=0,AQ128=0,AR128=0),0,IF(AND(AP128=0,AQ128=0),AR128/1,IF(AND(AP128=0,AR128=0),AQ128/1,IF(AND(AQ128=0,AR128=0),AP128/1,IF(AP128=0,FLOOR((AQ128+AR128)/2,0.1),IF(AQ128=0,(AP128+AR128)/2,IF(AR128=0,(AQ128+AP128)/2,FLOOR(((AP128+AQ128+AR128)/3),0.1))))))))</f>
        <v/>
      </c>
      <c r="AT128" s="21" t="n"/>
      <c r="AU128" s="21" t="n"/>
      <c r="AV128" s="27">
        <f>SUM(AT128:AU128)</f>
        <v/>
      </c>
      <c r="AW128" s="28" t="n"/>
      <c r="AX128" s="30" t="n"/>
      <c r="AY128" s="29">
        <f>IF(AND(AV128=0,AW128=0,AX128=0),0,IF(AND(AV128=0,AW128=0),AX128/1,IF(AND(AV128=0,AX128=0),AW128/1,IF(AND(AW128=0,AX128=0),AV128/1,IF(AV128=0,FLOOR((AW128+AX128)/2,0.1),IF(AW128=0,(AV128+AX128)/2,IF(AX128=0,(AW128+AV128)/2,FLOOR(((AV128+AW128+AX128)/3),0.1))))))))</f>
        <v/>
      </c>
      <c r="AZ128" s="21" t="n"/>
      <c r="BA128" s="21" t="n"/>
      <c r="BB128" s="27">
        <f>SUM(AZ128:BA128)</f>
        <v/>
      </c>
      <c r="BC128" s="28" t="n"/>
      <c r="BD128" s="28" t="n"/>
      <c r="BE128" s="29">
        <f>IF(AND(BB128=0,BC128=0,BD128=0),0,IF(AND(BB128=0,BC128=0),BD128/1,IF(AND(BB128=0,BD128=0),BC128/1,IF(AND(BC128=0,BD128=0),BB128/1,IF(BB128=0,FLOOR((BC128+BD128)/2,0.1),IF(BC128=0,(BB128+BD128)/2,IF(BD128=0,(BC128+BB128)/2,FLOOR(((BB128+BC128+BD128)/3),0.1))))))))</f>
        <v/>
      </c>
      <c r="BF128" s="21" t="n"/>
      <c r="BG128" s="21" t="n"/>
      <c r="BH128" s="27">
        <f>SUM(BF128:BG128)</f>
        <v/>
      </c>
      <c r="BI128" s="28" t="n"/>
      <c r="BJ128" s="28" t="n"/>
      <c r="BK128" s="29">
        <f>IF(AND(BH128=0,BI128=0,BJ128=0),0,IF(AND(BH128=0,BI128=0),BJ128/1,IF(AND(BH128=0,BJ128=0),BI128/1,IF(AND(BI128=0,BJ128=0),BH128/1,IF(BH128=0,FLOOR((BI128+BJ128)/2,0.1),IF(BI128=0,(BH128+BJ128)/2,IF(BJ128=0,(BI128+BH128)/2,FLOOR(((BH128+BI128+BJ128)/3),0.1))))))))</f>
        <v/>
      </c>
      <c r="BL128" s="21" t="n"/>
      <c r="BM128" s="21" t="n"/>
      <c r="BN128" s="27">
        <f>SUM(BL128:BM128)</f>
        <v/>
      </c>
      <c r="BO128" s="28" t="n"/>
      <c r="BP128" s="31" t="n"/>
      <c r="BQ128" s="29">
        <f>IF(AND(BN128=0,BO128=0,BP128=0),0,IF(AND(BN128=0,BO128=0),BP128/1,IF(AND(BN128=0,BP128=0),BO128/1,IF(AND(BO128=0,BP128=0),BN128/1,IF(BN128=0,FLOOR((BO128+BP128)/2,0.1),IF(BO128=0,(BN128+BP128)/2,IF(BP128=0,(BO128+BN128)/2,FLOOR(((BN128+BO128+BP128)/3),0.1))))))))</f>
        <v/>
      </c>
      <c r="BR128" s="21" t="n"/>
      <c r="BS128" s="21" t="n"/>
      <c r="BT128" s="27">
        <f>SUM(BR128:BS128)</f>
        <v/>
      </c>
      <c r="BU128" s="28" t="n"/>
      <c r="BV128" s="31" t="n"/>
      <c r="BW128" s="29">
        <f>IF(AND(BT128=0,BU128=0,BV128=0),0,IF(AND(BT128=0,BU128=0),BV128/1,IF(AND(BT128=0,BV128=0),BU128/1,IF(AND(BU128=0,BV128=0),BT128/1,IF(BT128=0,FLOOR((BU128+BV128)/2,0.1),IF(BU128=0,(BT128+BV128)/2,IF(BV128=0,(BU128+BT128)/2,FLOOR(((BT128+BU128+BV128)/3),0.1))))))))</f>
        <v/>
      </c>
      <c r="BX128" s="21" t="n"/>
      <c r="BY128" s="21" t="n"/>
      <c r="BZ128" s="27">
        <f>SUM(BX128:BY128)</f>
        <v/>
      </c>
      <c r="CA128" s="28" t="n"/>
      <c r="CB128" s="31" t="n"/>
      <c r="CC128" s="29">
        <f>IF(AND(BZ128=0,CA128=0,CB128=0),0,IF(AND(BZ128=0,CA128=0),CB128/1,IF(AND(BZ128=0,CB128=0),CA128/1,IF(AND(CA128=0,CB128=0),BZ128/1,IF(BZ128=0,FLOOR((CA128+CB128)/2,0.1),IF(CA128=0,(BZ128+CB128)/2,IF(CB128=0,(CA128+BZ128)/2,FLOOR(((BZ128+CA128+CB128)/3),0.1))))))))</f>
        <v/>
      </c>
      <c r="CD128" s="21" t="n"/>
      <c r="CE128" s="21" t="n"/>
      <c r="CF128" s="27">
        <f>SUM(CD128:CE128)</f>
        <v/>
      </c>
      <c r="CG128" s="28" t="n"/>
      <c r="CH128" s="31" t="n"/>
      <c r="CI128" s="29">
        <f>IF(AND(CF128=0,CG128=0,CH128=0),0,IF(AND(CF128=0,CG128=0),CH128/1,IF(AND(CF128=0,CH128=0),CG128/1,IF(AND(CG128=0,CH128=0),CF128/1,IF(CF128=0,FLOOR((CG128+CH128)/2,0.1),IF(CG128=0,(CF128+CH128)/2,IF(CH128=0,(CG128+CF128)/2,FLOOR(((CF128+CG128+CH128)/3),0.1))))))))</f>
        <v/>
      </c>
      <c r="CJ128" s="21" t="n"/>
      <c r="CK128" s="21" t="n"/>
      <c r="CL128" s="27">
        <f>SUM(CJ128:CK128)</f>
        <v/>
      </c>
      <c r="CM128" s="28" t="n"/>
      <c r="CN128" s="31" t="n"/>
      <c r="CO128" s="29">
        <f>IF(AND(CL128=0,CM128=0,CN128=0),0,IF(AND(CL128=0,CM128=0),CN128/1,IF(AND(CL128=0,CN128=0),CM128/1,IF(AND(CM128=0,CN128=0),CL128/1,IF(CL128=0,FLOOR((CM128+CN128)/2,0.1),IF(CM128=0,(CL128+CN128)/2,IF(CN128=0,(CM128+CL128)/2,FLOOR(((CL128+CM128+CN128)/3),0.1))))))))</f>
        <v/>
      </c>
      <c r="CP128" s="21" t="n"/>
      <c r="CQ128" s="21" t="n"/>
      <c r="CR128" s="27">
        <f>SUM(CP128:CQ128)</f>
        <v/>
      </c>
      <c r="CS128" s="28" t="n"/>
      <c r="CT128" s="31" t="n"/>
      <c r="CU128" s="29">
        <f>IF(AND(CR128=0,CS128=0,CT128=0),0,IF(AND(CR128=0,CS128=0),CT128/1,IF(AND(CR128=0,CT128=0),CS128/1,IF(AND(CS128=0,CT128=0),CR128/1,IF(CR128=0,FLOOR((CS128+CT128)/2,0.1),IF(CS128=0,(CR128+CT128)/2,IF(CT128=0,(CS128+CR128)/2,FLOOR(((CR128+CS128+CT128)/3),0.1))))))))</f>
        <v/>
      </c>
      <c r="CV128" s="21" t="n"/>
      <c r="CW128" s="21" t="n"/>
      <c r="CX128" s="27">
        <f>SUM(CV128:CW128)</f>
        <v/>
      </c>
      <c r="CY128" s="28" t="n"/>
      <c r="CZ128" s="31" t="n"/>
      <c r="DA128" s="29">
        <f>IF(AND(CX128=0,CY128=0,CZ128=0),0,IF(AND(CX128=0,CY128=0),CZ128/1,IF(AND(CX128=0,CZ128=0),CY128/1,IF(AND(CY128=0,CZ128=0),CX128/1,IF(CX128=0,FLOOR((CY128+CZ128)/2,0.1),IF(CY128=0,(CX128+CZ128)/2,IF(CZ128=0,(CY128+CX128)/2,FLOOR(((CX128+CY128+CZ128)/3),0.1))))))))</f>
        <v/>
      </c>
      <c r="DB128" s="21" t="n"/>
      <c r="DC128" s="21" t="n"/>
      <c r="DD128" s="27">
        <f>SUM(DB128:DC128)</f>
        <v/>
      </c>
      <c r="DE128" s="28" t="n"/>
      <c r="DF128" s="31" t="n"/>
      <c r="DG128" s="29">
        <f>IF(AND(DD128=0,DE128=0,DF128=0),0,IF(AND(DD128=0,DE128=0),DF128/1,IF(AND(DD128=0,DF128=0),DE128/1,IF(AND(DE128=0,DF128=0),DD128/1,IF(DD128=0,FLOOR((DE128+DF128)/2,0.1),IF(DE128=0,(DD128+DF128)/2,IF(DF128=0,(DE128+DD128)/2,FLOOR(((DD128+DE128+DF128)/3),0.1))))))))</f>
        <v/>
      </c>
      <c r="DH128" s="34">
        <f>SUM(O128,U128,AA128,AG128,AM128,AS128,AY128,BE128,BK128,BQ128,BW128,CC128,CI128,CO128,CU128,DA128,DG128)</f>
        <v/>
      </c>
      <c r="DI128" s="39">
        <f>RANK(DH128,DH$4:DH$503)</f>
        <v/>
      </c>
      <c r="DJ128" s="40" t="inlineStr">
        <is>
          <t>CHOOSE RATING</t>
        </is>
      </c>
      <c r="DK128" s="40" t="inlineStr">
        <is>
          <t>CHOOSE RATING</t>
        </is>
      </c>
      <c r="DL128" s="40" t="inlineStr">
        <is>
          <t>CHOOSE RATING</t>
        </is>
      </c>
      <c r="DM128" s="40" t="inlineStr">
        <is>
          <t>CHOOSE RATING</t>
        </is>
      </c>
      <c r="DN128" s="40" t="inlineStr">
        <is>
          <t>CHOOSE RATING</t>
        </is>
      </c>
      <c r="DO128" s="40" t="inlineStr">
        <is>
          <t>CHOOSE RATING</t>
        </is>
      </c>
      <c r="DP128" s="40" t="inlineStr">
        <is>
          <t>CHOOSE RATING</t>
        </is>
      </c>
      <c r="DQ128" s="40" t="inlineStr">
        <is>
          <t>CHOOSE RATING</t>
        </is>
      </c>
      <c r="DR128" s="43" t="inlineStr">
        <is>
          <t>2024/2025</t>
        </is>
      </c>
      <c r="DS128" s="45" t="inlineStr">
        <is>
          <t>THIRD</t>
        </is>
      </c>
      <c r="DT128" s="40" t="inlineStr">
        <is>
          <t>CHOOSE RATING</t>
        </is>
      </c>
      <c r="DU128" s="40" t="inlineStr">
        <is>
          <t>CHOOSE RATING</t>
        </is>
      </c>
      <c r="DV128" s="40" t="inlineStr">
        <is>
          <t>CHOOSE RATING</t>
        </is>
      </c>
      <c r="DW128" s="40" t="inlineStr">
        <is>
          <t>CHOOSE RATING</t>
        </is>
      </c>
      <c r="DX128" s="40" t="inlineStr">
        <is>
          <t>CHOOSE RATING</t>
        </is>
      </c>
      <c r="DY128" s="40" t="inlineStr">
        <is>
          <t>CHOOSE RATING</t>
        </is>
      </c>
      <c r="DZ128" s="53" t="inlineStr">
        <is>
          <t>CHOOSE RATING</t>
        </is>
      </c>
      <c r="EA128" s="54" t="inlineStr">
        <is>
          <t>Add the Tutor's Comment . . .</t>
        </is>
      </c>
      <c r="EB128" s="55" t="inlineStr">
        <is>
          <t>Choose Principals comment</t>
        </is>
      </c>
      <c r="EC128" s="56" t="n"/>
      <c r="ED128" s="57" t="inlineStr">
        <is>
          <t>Next Term Begins on Monday, 22nd September, 2025</t>
        </is>
      </c>
    </row>
    <row r="129" ht="30.6" customHeight="1" s="6">
      <c r="A129" s="18" t="n">
        <v>126</v>
      </c>
      <c r="B129" s="19" t="n"/>
      <c r="C129" s="20" t="n"/>
      <c r="D129" s="128" t="n"/>
      <c r="E129" s="21" t="n"/>
      <c r="F129" s="22" t="n"/>
      <c r="G129" s="22" t="n"/>
      <c r="H129" s="22" t="n"/>
      <c r="I129" s="26">
        <f>G129-H129</f>
        <v/>
      </c>
      <c r="J129" s="21" t="n"/>
      <c r="K129" s="21" t="n"/>
      <c r="L129" s="27">
        <f>SUM(J129:K129)</f>
        <v/>
      </c>
      <c r="M129" s="28" t="n"/>
      <c r="N129" s="28" t="n"/>
      <c r="O129" s="29">
        <f>IF(AND(L129=0,M129=0,N129=0),0,IF(AND(L129=0,M129=0),N129/1,IF(AND(L129=0,N129=0),M129/1,IF(AND(M129=0,N129=0),L129/1,IF(L129=0,FLOOR((M129+N129)/2,0.1),IF(M129=0,(L129+N129)/2,IF(N129=0,(M129+L129)/2,FLOOR(((L129+M129+N129)/3),0.1))))))))</f>
        <v/>
      </c>
      <c r="P129" s="21" t="n"/>
      <c r="Q129" s="21" t="n"/>
      <c r="R129" s="27">
        <f>SUM(P129:Q129)</f>
        <v/>
      </c>
      <c r="S129" s="28" t="n"/>
      <c r="T129" s="28" t="n"/>
      <c r="U129" s="29">
        <f>IF(AND(R129=0,S129=0,T129=0),0,IF(AND(R129=0,S129=0),T129/1,IF(AND(R129=0,T129=0),S129/1,IF(AND(S129=0,T129=0),R129/1,IF(R129=0,FLOOR((S129+T129)/2,0.1),IF(S129=0,(R129+T129)/2,IF(T129=0,(S129+R129)/2,FLOOR(((R129+S129+T129)/3),0.1))))))))</f>
        <v/>
      </c>
      <c r="V129" s="21" t="n"/>
      <c r="W129" s="21" t="n"/>
      <c r="X129" s="27">
        <f>SUM(V129:W129)</f>
        <v/>
      </c>
      <c r="Y129" s="28" t="n"/>
      <c r="Z129" s="28" t="n"/>
      <c r="AA129" s="29">
        <f>IF(AND(X129=0,Y129=0,Z129=0),0,IF(AND(X129=0,Y129=0),Z129/1,IF(AND(X129=0,Z129=0),Y129/1,IF(AND(Y129=0,Z129=0),X129/1,IF(X129=0,FLOOR((Y129+Z129)/2,0.1),IF(Y129=0,(X129+Z129)/2,IF(Z129=0,(Y129+X129)/2,FLOOR(((X129+Y129+Z129)/3),0.1))))))))</f>
        <v/>
      </c>
      <c r="AB129" s="21" t="n"/>
      <c r="AC129" s="21" t="n"/>
      <c r="AD129" s="27">
        <f>SUM(AB129:AC129)</f>
        <v/>
      </c>
      <c r="AE129" s="28" t="n"/>
      <c r="AF129" s="28" t="n"/>
      <c r="AG129" s="29">
        <f>IF(AND(AD129=0,AE129=0,AF129=0),0,IF(AND(AD129=0,AE129=0),AF129/1,IF(AND(AD129=0,AF129=0),AE129/1,IF(AND(AE129=0,AF129=0),AD129/1,IF(AD129=0,FLOOR((AE129+AF129)/2,0.1),IF(AE129=0,(AD129+AF129)/2,IF(AF129=0,(AE129+AD129)/2,FLOOR(((AD129+AE129+AF129)/3),0.1))))))))</f>
        <v/>
      </c>
      <c r="AH129" s="21" t="n"/>
      <c r="AI129" s="21" t="n"/>
      <c r="AJ129" s="27">
        <f>SUM(AH129:AI129)</f>
        <v/>
      </c>
      <c r="AK129" s="28" t="n"/>
      <c r="AL129" s="28" t="n"/>
      <c r="AM129" s="29">
        <f>IF(AND(AJ129=0,AK129=0,AL129=0),0,IF(AND(AJ129=0,AK129=0),AL129/1,IF(AND(AJ129=0,AL129=0),AK129/1,IF(AND(AK129=0,AL129=0),AJ129/1,IF(AJ129=0,FLOOR((AK129+AL129)/2,0.1),IF(AK129=0,(AJ129+AL129)/2,IF(AL129=0,(AK129+AJ129)/2,FLOOR(((AJ129+AK129+AL129)/3),0.1))))))))</f>
        <v/>
      </c>
      <c r="AN129" s="21" t="n"/>
      <c r="AO129" s="21" t="n"/>
      <c r="AP129" s="27">
        <f>SUM(AN129:AO129)</f>
        <v/>
      </c>
      <c r="AQ129" s="28" t="n"/>
      <c r="AR129" s="30" t="n"/>
      <c r="AS129" s="29">
        <f>IF(AND(AP129=0,AQ129=0,AR129=0),0,IF(AND(AP129=0,AQ129=0),AR129/1,IF(AND(AP129=0,AR129=0),AQ129/1,IF(AND(AQ129=0,AR129=0),AP129/1,IF(AP129=0,FLOOR((AQ129+AR129)/2,0.1),IF(AQ129=0,(AP129+AR129)/2,IF(AR129=0,(AQ129+AP129)/2,FLOOR(((AP129+AQ129+AR129)/3),0.1))))))))</f>
        <v/>
      </c>
      <c r="AT129" s="21" t="n"/>
      <c r="AU129" s="21" t="n"/>
      <c r="AV129" s="27">
        <f>SUM(AT129:AU129)</f>
        <v/>
      </c>
      <c r="AW129" s="28" t="n"/>
      <c r="AX129" s="30" t="n"/>
      <c r="AY129" s="29">
        <f>IF(AND(AV129=0,AW129=0,AX129=0),0,IF(AND(AV129=0,AW129=0),AX129/1,IF(AND(AV129=0,AX129=0),AW129/1,IF(AND(AW129=0,AX129=0),AV129/1,IF(AV129=0,FLOOR((AW129+AX129)/2,0.1),IF(AW129=0,(AV129+AX129)/2,IF(AX129=0,(AW129+AV129)/2,FLOOR(((AV129+AW129+AX129)/3),0.1))))))))</f>
        <v/>
      </c>
      <c r="AZ129" s="21" t="n"/>
      <c r="BA129" s="21" t="n"/>
      <c r="BB129" s="27">
        <f>SUM(AZ129:BA129)</f>
        <v/>
      </c>
      <c r="BC129" s="28" t="n"/>
      <c r="BD129" s="28" t="n"/>
      <c r="BE129" s="29">
        <f>IF(AND(BB129=0,BC129=0,BD129=0),0,IF(AND(BB129=0,BC129=0),BD129/1,IF(AND(BB129=0,BD129=0),BC129/1,IF(AND(BC129=0,BD129=0),BB129/1,IF(BB129=0,FLOOR((BC129+BD129)/2,0.1),IF(BC129=0,(BB129+BD129)/2,IF(BD129=0,(BC129+BB129)/2,FLOOR(((BB129+BC129+BD129)/3),0.1))))))))</f>
        <v/>
      </c>
      <c r="BF129" s="21" t="n"/>
      <c r="BG129" s="21" t="n"/>
      <c r="BH129" s="27">
        <f>SUM(BF129:BG129)</f>
        <v/>
      </c>
      <c r="BI129" s="28" t="n"/>
      <c r="BJ129" s="28" t="n"/>
      <c r="BK129" s="29">
        <f>IF(AND(BH129=0,BI129=0,BJ129=0),0,IF(AND(BH129=0,BI129=0),BJ129/1,IF(AND(BH129=0,BJ129=0),BI129/1,IF(AND(BI129=0,BJ129=0),BH129/1,IF(BH129=0,FLOOR((BI129+BJ129)/2,0.1),IF(BI129=0,(BH129+BJ129)/2,IF(BJ129=0,(BI129+BH129)/2,FLOOR(((BH129+BI129+BJ129)/3),0.1))))))))</f>
        <v/>
      </c>
      <c r="BL129" s="21" t="n"/>
      <c r="BM129" s="21" t="n"/>
      <c r="BN129" s="27">
        <f>SUM(BL129:BM129)</f>
        <v/>
      </c>
      <c r="BO129" s="28" t="n"/>
      <c r="BP129" s="31" t="n"/>
      <c r="BQ129" s="29">
        <f>IF(AND(BN129=0,BO129=0,BP129=0),0,IF(AND(BN129=0,BO129=0),BP129/1,IF(AND(BN129=0,BP129=0),BO129/1,IF(AND(BO129=0,BP129=0),BN129/1,IF(BN129=0,FLOOR((BO129+BP129)/2,0.1),IF(BO129=0,(BN129+BP129)/2,IF(BP129=0,(BO129+BN129)/2,FLOOR(((BN129+BO129+BP129)/3),0.1))))))))</f>
        <v/>
      </c>
      <c r="BR129" s="21" t="n"/>
      <c r="BS129" s="21" t="n"/>
      <c r="BT129" s="27">
        <f>SUM(BR129:BS129)</f>
        <v/>
      </c>
      <c r="BU129" s="28" t="n"/>
      <c r="BV129" s="31" t="n"/>
      <c r="BW129" s="29">
        <f>IF(AND(BT129=0,BU129=0,BV129=0),0,IF(AND(BT129=0,BU129=0),BV129/1,IF(AND(BT129=0,BV129=0),BU129/1,IF(AND(BU129=0,BV129=0),BT129/1,IF(BT129=0,FLOOR((BU129+BV129)/2,0.1),IF(BU129=0,(BT129+BV129)/2,IF(BV129=0,(BU129+BT129)/2,FLOOR(((BT129+BU129+BV129)/3),0.1))))))))</f>
        <v/>
      </c>
      <c r="BX129" s="21" t="n"/>
      <c r="BY129" s="21" t="n"/>
      <c r="BZ129" s="27">
        <f>SUM(BX129:BY129)</f>
        <v/>
      </c>
      <c r="CA129" s="28" t="n"/>
      <c r="CB129" s="31" t="n"/>
      <c r="CC129" s="29">
        <f>IF(AND(BZ129=0,CA129=0,CB129=0),0,IF(AND(BZ129=0,CA129=0),CB129/1,IF(AND(BZ129=0,CB129=0),CA129/1,IF(AND(CA129=0,CB129=0),BZ129/1,IF(BZ129=0,FLOOR((CA129+CB129)/2,0.1),IF(CA129=0,(BZ129+CB129)/2,IF(CB129=0,(CA129+BZ129)/2,FLOOR(((BZ129+CA129+CB129)/3),0.1))))))))</f>
        <v/>
      </c>
      <c r="CD129" s="21" t="n"/>
      <c r="CE129" s="21" t="n"/>
      <c r="CF129" s="27">
        <f>SUM(CD129:CE129)</f>
        <v/>
      </c>
      <c r="CG129" s="28" t="n"/>
      <c r="CH129" s="31" t="n"/>
      <c r="CI129" s="29">
        <f>IF(AND(CF129=0,CG129=0,CH129=0),0,IF(AND(CF129=0,CG129=0),CH129/1,IF(AND(CF129=0,CH129=0),CG129/1,IF(AND(CG129=0,CH129=0),CF129/1,IF(CF129=0,FLOOR((CG129+CH129)/2,0.1),IF(CG129=0,(CF129+CH129)/2,IF(CH129=0,(CG129+CF129)/2,FLOOR(((CF129+CG129+CH129)/3),0.1))))))))</f>
        <v/>
      </c>
      <c r="CJ129" s="21" t="n"/>
      <c r="CK129" s="21" t="n"/>
      <c r="CL129" s="27">
        <f>SUM(CJ129:CK129)</f>
        <v/>
      </c>
      <c r="CM129" s="28" t="n"/>
      <c r="CN129" s="31" t="n"/>
      <c r="CO129" s="29">
        <f>IF(AND(CL129=0,CM129=0,CN129=0),0,IF(AND(CL129=0,CM129=0),CN129/1,IF(AND(CL129=0,CN129=0),CM129/1,IF(AND(CM129=0,CN129=0),CL129/1,IF(CL129=0,FLOOR((CM129+CN129)/2,0.1),IF(CM129=0,(CL129+CN129)/2,IF(CN129=0,(CM129+CL129)/2,FLOOR(((CL129+CM129+CN129)/3),0.1))))))))</f>
        <v/>
      </c>
      <c r="CP129" s="21" t="n"/>
      <c r="CQ129" s="21" t="n"/>
      <c r="CR129" s="27">
        <f>SUM(CP129:CQ129)</f>
        <v/>
      </c>
      <c r="CS129" s="28" t="n"/>
      <c r="CT129" s="31" t="n"/>
      <c r="CU129" s="29">
        <f>IF(AND(CR129=0,CS129=0,CT129=0),0,IF(AND(CR129=0,CS129=0),CT129/1,IF(AND(CR129=0,CT129=0),CS129/1,IF(AND(CS129=0,CT129=0),CR129/1,IF(CR129=0,FLOOR((CS129+CT129)/2,0.1),IF(CS129=0,(CR129+CT129)/2,IF(CT129=0,(CS129+CR129)/2,FLOOR(((CR129+CS129+CT129)/3),0.1))))))))</f>
        <v/>
      </c>
      <c r="CV129" s="21" t="n"/>
      <c r="CW129" s="21" t="n"/>
      <c r="CX129" s="27">
        <f>SUM(CV129:CW129)</f>
        <v/>
      </c>
      <c r="CY129" s="28" t="n"/>
      <c r="CZ129" s="31" t="n"/>
      <c r="DA129" s="29">
        <f>IF(AND(CX129=0,CY129=0,CZ129=0),0,IF(AND(CX129=0,CY129=0),CZ129/1,IF(AND(CX129=0,CZ129=0),CY129/1,IF(AND(CY129=0,CZ129=0),CX129/1,IF(CX129=0,FLOOR((CY129+CZ129)/2,0.1),IF(CY129=0,(CX129+CZ129)/2,IF(CZ129=0,(CY129+CX129)/2,FLOOR(((CX129+CY129+CZ129)/3),0.1))))))))</f>
        <v/>
      </c>
      <c r="DB129" s="21" t="n"/>
      <c r="DC129" s="21" t="n"/>
      <c r="DD129" s="27">
        <f>SUM(DB129:DC129)</f>
        <v/>
      </c>
      <c r="DE129" s="28" t="n"/>
      <c r="DF129" s="31" t="n"/>
      <c r="DG129" s="29">
        <f>IF(AND(DD129=0,DE129=0,DF129=0),0,IF(AND(DD129=0,DE129=0),DF129/1,IF(AND(DD129=0,DF129=0),DE129/1,IF(AND(DE129=0,DF129=0),DD129/1,IF(DD129=0,FLOOR((DE129+DF129)/2,0.1),IF(DE129=0,(DD129+DF129)/2,IF(DF129=0,(DE129+DD129)/2,FLOOR(((DD129+DE129+DF129)/3),0.1))))))))</f>
        <v/>
      </c>
      <c r="DH129" s="34">
        <f>SUM(O129,U129,AA129,AG129,AM129,AS129,AY129,BE129,BK129,BQ129,BW129,CC129,CI129,CO129,CU129,DA129,DG129)</f>
        <v/>
      </c>
      <c r="DI129" s="39">
        <f>RANK(DH129,DH$4:DH$503)</f>
        <v/>
      </c>
      <c r="DJ129" s="40" t="inlineStr">
        <is>
          <t>CHOOSE RATING</t>
        </is>
      </c>
      <c r="DK129" s="40" t="inlineStr">
        <is>
          <t>CHOOSE RATING</t>
        </is>
      </c>
      <c r="DL129" s="40" t="inlineStr">
        <is>
          <t>CHOOSE RATING</t>
        </is>
      </c>
      <c r="DM129" s="40" t="inlineStr">
        <is>
          <t>CHOOSE RATING</t>
        </is>
      </c>
      <c r="DN129" s="40" t="inlineStr">
        <is>
          <t>CHOOSE RATING</t>
        </is>
      </c>
      <c r="DO129" s="40" t="inlineStr">
        <is>
          <t>CHOOSE RATING</t>
        </is>
      </c>
      <c r="DP129" s="40" t="inlineStr">
        <is>
          <t>CHOOSE RATING</t>
        </is>
      </c>
      <c r="DQ129" s="40" t="inlineStr">
        <is>
          <t>CHOOSE RATING</t>
        </is>
      </c>
      <c r="DR129" s="43" t="inlineStr">
        <is>
          <t>2024/2025</t>
        </is>
      </c>
      <c r="DS129" s="45" t="inlineStr">
        <is>
          <t>THIRD</t>
        </is>
      </c>
      <c r="DT129" s="40" t="inlineStr">
        <is>
          <t>CHOOSE RATING</t>
        </is>
      </c>
      <c r="DU129" s="40" t="inlineStr">
        <is>
          <t>CHOOSE RATING</t>
        </is>
      </c>
      <c r="DV129" s="40" t="inlineStr">
        <is>
          <t>CHOOSE RATING</t>
        </is>
      </c>
      <c r="DW129" s="40" t="inlineStr">
        <is>
          <t>CHOOSE RATING</t>
        </is>
      </c>
      <c r="DX129" s="40" t="inlineStr">
        <is>
          <t>CHOOSE RATING</t>
        </is>
      </c>
      <c r="DY129" s="40" t="inlineStr">
        <is>
          <t>CHOOSE RATING</t>
        </is>
      </c>
      <c r="DZ129" s="53" t="inlineStr">
        <is>
          <t>CHOOSE RATING</t>
        </is>
      </c>
      <c r="EA129" s="54" t="inlineStr">
        <is>
          <t>Add the Tutor's Comment . . .</t>
        </is>
      </c>
      <c r="EB129" s="55" t="inlineStr">
        <is>
          <t>Choose Principals comment</t>
        </is>
      </c>
      <c r="EC129" s="56" t="n"/>
      <c r="ED129" s="57" t="inlineStr">
        <is>
          <t>Next Term Begins on Monday, 22nd September, 2025</t>
        </is>
      </c>
    </row>
    <row r="130" ht="30.6" customHeight="1" s="6">
      <c r="A130" s="18" t="n">
        <v>127</v>
      </c>
      <c r="B130" s="19" t="n"/>
      <c r="C130" s="20" t="n"/>
      <c r="D130" s="128" t="n"/>
      <c r="E130" s="21" t="n"/>
      <c r="F130" s="22" t="n"/>
      <c r="G130" s="22" t="n"/>
      <c r="H130" s="22" t="n"/>
      <c r="I130" s="26">
        <f>G130-H130</f>
        <v/>
      </c>
      <c r="J130" s="21" t="n"/>
      <c r="K130" s="21" t="n"/>
      <c r="L130" s="27">
        <f>SUM(J130:K130)</f>
        <v/>
      </c>
      <c r="M130" s="28" t="n"/>
      <c r="N130" s="28" t="n"/>
      <c r="O130" s="29">
        <f>IF(AND(L130=0,M130=0,N130=0),0,IF(AND(L130=0,M130=0),N130/1,IF(AND(L130=0,N130=0),M130/1,IF(AND(M130=0,N130=0),L130/1,IF(L130=0,FLOOR((M130+N130)/2,0.1),IF(M130=0,(L130+N130)/2,IF(N130=0,(M130+L130)/2,FLOOR(((L130+M130+N130)/3),0.1))))))))</f>
        <v/>
      </c>
      <c r="P130" s="21" t="n"/>
      <c r="Q130" s="21" t="n"/>
      <c r="R130" s="27">
        <f>SUM(P130:Q130)</f>
        <v/>
      </c>
      <c r="S130" s="28" t="n"/>
      <c r="T130" s="28" t="n"/>
      <c r="U130" s="29">
        <f>IF(AND(R130=0,S130=0,T130=0),0,IF(AND(R130=0,S130=0),T130/1,IF(AND(R130=0,T130=0),S130/1,IF(AND(S130=0,T130=0),R130/1,IF(R130=0,FLOOR((S130+T130)/2,0.1),IF(S130=0,(R130+T130)/2,IF(T130=0,(S130+R130)/2,FLOOR(((R130+S130+T130)/3),0.1))))))))</f>
        <v/>
      </c>
      <c r="V130" s="21" t="n"/>
      <c r="W130" s="21" t="n"/>
      <c r="X130" s="27">
        <f>SUM(V130:W130)</f>
        <v/>
      </c>
      <c r="Y130" s="28" t="n"/>
      <c r="Z130" s="28" t="n"/>
      <c r="AA130" s="29">
        <f>IF(AND(X130=0,Y130=0,Z130=0),0,IF(AND(X130=0,Y130=0),Z130/1,IF(AND(X130=0,Z130=0),Y130/1,IF(AND(Y130=0,Z130=0),X130/1,IF(X130=0,FLOOR((Y130+Z130)/2,0.1),IF(Y130=0,(X130+Z130)/2,IF(Z130=0,(Y130+X130)/2,FLOOR(((X130+Y130+Z130)/3),0.1))))))))</f>
        <v/>
      </c>
      <c r="AB130" s="21" t="n"/>
      <c r="AC130" s="21" t="n"/>
      <c r="AD130" s="27">
        <f>SUM(AB130:AC130)</f>
        <v/>
      </c>
      <c r="AE130" s="28" t="n"/>
      <c r="AF130" s="28" t="n"/>
      <c r="AG130" s="29">
        <f>IF(AND(AD130=0,AE130=0,AF130=0),0,IF(AND(AD130=0,AE130=0),AF130/1,IF(AND(AD130=0,AF130=0),AE130/1,IF(AND(AE130=0,AF130=0),AD130/1,IF(AD130=0,FLOOR((AE130+AF130)/2,0.1),IF(AE130=0,(AD130+AF130)/2,IF(AF130=0,(AE130+AD130)/2,FLOOR(((AD130+AE130+AF130)/3),0.1))))))))</f>
        <v/>
      </c>
      <c r="AH130" s="21" t="n"/>
      <c r="AI130" s="21" t="n"/>
      <c r="AJ130" s="27">
        <f>SUM(AH130:AI130)</f>
        <v/>
      </c>
      <c r="AK130" s="28" t="n"/>
      <c r="AL130" s="28" t="n"/>
      <c r="AM130" s="29">
        <f>IF(AND(AJ130=0,AK130=0,AL130=0),0,IF(AND(AJ130=0,AK130=0),AL130/1,IF(AND(AJ130=0,AL130=0),AK130/1,IF(AND(AK130=0,AL130=0),AJ130/1,IF(AJ130=0,FLOOR((AK130+AL130)/2,0.1),IF(AK130=0,(AJ130+AL130)/2,IF(AL130=0,(AK130+AJ130)/2,FLOOR(((AJ130+AK130+AL130)/3),0.1))))))))</f>
        <v/>
      </c>
      <c r="AN130" s="21" t="n"/>
      <c r="AO130" s="21" t="n"/>
      <c r="AP130" s="27">
        <f>SUM(AN130:AO130)</f>
        <v/>
      </c>
      <c r="AQ130" s="28" t="n"/>
      <c r="AR130" s="30" t="n"/>
      <c r="AS130" s="29">
        <f>IF(AND(AP130=0,AQ130=0,AR130=0),0,IF(AND(AP130=0,AQ130=0),AR130/1,IF(AND(AP130=0,AR130=0),AQ130/1,IF(AND(AQ130=0,AR130=0),AP130/1,IF(AP130=0,FLOOR((AQ130+AR130)/2,0.1),IF(AQ130=0,(AP130+AR130)/2,IF(AR130=0,(AQ130+AP130)/2,FLOOR(((AP130+AQ130+AR130)/3),0.1))))))))</f>
        <v/>
      </c>
      <c r="AT130" s="21" t="n"/>
      <c r="AU130" s="21" t="n"/>
      <c r="AV130" s="27">
        <f>SUM(AT130:AU130)</f>
        <v/>
      </c>
      <c r="AW130" s="28" t="n"/>
      <c r="AX130" s="30" t="n"/>
      <c r="AY130" s="29">
        <f>IF(AND(AV130=0,AW130=0,AX130=0),0,IF(AND(AV130=0,AW130=0),AX130/1,IF(AND(AV130=0,AX130=0),AW130/1,IF(AND(AW130=0,AX130=0),AV130/1,IF(AV130=0,FLOOR((AW130+AX130)/2,0.1),IF(AW130=0,(AV130+AX130)/2,IF(AX130=0,(AW130+AV130)/2,FLOOR(((AV130+AW130+AX130)/3),0.1))))))))</f>
        <v/>
      </c>
      <c r="AZ130" s="21" t="n"/>
      <c r="BA130" s="21" t="n"/>
      <c r="BB130" s="27">
        <f>SUM(AZ130:BA130)</f>
        <v/>
      </c>
      <c r="BC130" s="28" t="n"/>
      <c r="BD130" s="28" t="n"/>
      <c r="BE130" s="29">
        <f>IF(AND(BB130=0,BC130=0,BD130=0),0,IF(AND(BB130=0,BC130=0),BD130/1,IF(AND(BB130=0,BD130=0),BC130/1,IF(AND(BC130=0,BD130=0),BB130/1,IF(BB130=0,FLOOR((BC130+BD130)/2,0.1),IF(BC130=0,(BB130+BD130)/2,IF(BD130=0,(BC130+BB130)/2,FLOOR(((BB130+BC130+BD130)/3),0.1))))))))</f>
        <v/>
      </c>
      <c r="BF130" s="21" t="n"/>
      <c r="BG130" s="21" t="n"/>
      <c r="BH130" s="27">
        <f>SUM(BF130:BG130)</f>
        <v/>
      </c>
      <c r="BI130" s="28" t="n"/>
      <c r="BJ130" s="28" t="n"/>
      <c r="BK130" s="29">
        <f>IF(AND(BH130=0,BI130=0,BJ130=0),0,IF(AND(BH130=0,BI130=0),BJ130/1,IF(AND(BH130=0,BJ130=0),BI130/1,IF(AND(BI130=0,BJ130=0),BH130/1,IF(BH130=0,FLOOR((BI130+BJ130)/2,0.1),IF(BI130=0,(BH130+BJ130)/2,IF(BJ130=0,(BI130+BH130)/2,FLOOR(((BH130+BI130+BJ130)/3),0.1))))))))</f>
        <v/>
      </c>
      <c r="BL130" s="21" t="n"/>
      <c r="BM130" s="21" t="n"/>
      <c r="BN130" s="27">
        <f>SUM(BL130:BM130)</f>
        <v/>
      </c>
      <c r="BO130" s="28" t="n"/>
      <c r="BP130" s="31" t="n"/>
      <c r="BQ130" s="29">
        <f>IF(AND(BN130=0,BO130=0,BP130=0),0,IF(AND(BN130=0,BO130=0),BP130/1,IF(AND(BN130=0,BP130=0),BO130/1,IF(AND(BO130=0,BP130=0),BN130/1,IF(BN130=0,FLOOR((BO130+BP130)/2,0.1),IF(BO130=0,(BN130+BP130)/2,IF(BP130=0,(BO130+BN130)/2,FLOOR(((BN130+BO130+BP130)/3),0.1))))))))</f>
        <v/>
      </c>
      <c r="BR130" s="21" t="n"/>
      <c r="BS130" s="21" t="n"/>
      <c r="BT130" s="27">
        <f>SUM(BR130:BS130)</f>
        <v/>
      </c>
      <c r="BU130" s="28" t="n"/>
      <c r="BV130" s="31" t="n"/>
      <c r="BW130" s="29">
        <f>IF(AND(BT130=0,BU130=0,BV130=0),0,IF(AND(BT130=0,BU130=0),BV130/1,IF(AND(BT130=0,BV130=0),BU130/1,IF(AND(BU130=0,BV130=0),BT130/1,IF(BT130=0,FLOOR((BU130+BV130)/2,0.1),IF(BU130=0,(BT130+BV130)/2,IF(BV130=0,(BU130+BT130)/2,FLOOR(((BT130+BU130+BV130)/3),0.1))))))))</f>
        <v/>
      </c>
      <c r="BX130" s="21" t="n"/>
      <c r="BY130" s="21" t="n"/>
      <c r="BZ130" s="27">
        <f>SUM(BX130:BY130)</f>
        <v/>
      </c>
      <c r="CA130" s="28" t="n"/>
      <c r="CB130" s="31" t="n"/>
      <c r="CC130" s="29">
        <f>IF(AND(BZ130=0,CA130=0,CB130=0),0,IF(AND(BZ130=0,CA130=0),CB130/1,IF(AND(BZ130=0,CB130=0),CA130/1,IF(AND(CA130=0,CB130=0),BZ130/1,IF(BZ130=0,FLOOR((CA130+CB130)/2,0.1),IF(CA130=0,(BZ130+CB130)/2,IF(CB130=0,(CA130+BZ130)/2,FLOOR(((BZ130+CA130+CB130)/3),0.1))))))))</f>
        <v/>
      </c>
      <c r="CD130" s="21" t="n"/>
      <c r="CE130" s="21" t="n"/>
      <c r="CF130" s="27">
        <f>SUM(CD130:CE130)</f>
        <v/>
      </c>
      <c r="CG130" s="28" t="n"/>
      <c r="CH130" s="31" t="n"/>
      <c r="CI130" s="29">
        <f>IF(AND(CF130=0,CG130=0,CH130=0),0,IF(AND(CF130=0,CG130=0),CH130/1,IF(AND(CF130=0,CH130=0),CG130/1,IF(AND(CG130=0,CH130=0),CF130/1,IF(CF130=0,FLOOR((CG130+CH130)/2,0.1),IF(CG130=0,(CF130+CH130)/2,IF(CH130=0,(CG130+CF130)/2,FLOOR(((CF130+CG130+CH130)/3),0.1))))))))</f>
        <v/>
      </c>
      <c r="CJ130" s="21" t="n"/>
      <c r="CK130" s="21" t="n"/>
      <c r="CL130" s="27">
        <f>SUM(CJ130:CK130)</f>
        <v/>
      </c>
      <c r="CM130" s="28" t="n"/>
      <c r="CN130" s="31" t="n"/>
      <c r="CO130" s="29">
        <f>IF(AND(CL130=0,CM130=0,CN130=0),0,IF(AND(CL130=0,CM130=0),CN130/1,IF(AND(CL130=0,CN130=0),CM130/1,IF(AND(CM130=0,CN130=0),CL130/1,IF(CL130=0,FLOOR((CM130+CN130)/2,0.1),IF(CM130=0,(CL130+CN130)/2,IF(CN130=0,(CM130+CL130)/2,FLOOR(((CL130+CM130+CN130)/3),0.1))))))))</f>
        <v/>
      </c>
      <c r="CP130" s="21" t="n"/>
      <c r="CQ130" s="21" t="n"/>
      <c r="CR130" s="27">
        <f>SUM(CP130:CQ130)</f>
        <v/>
      </c>
      <c r="CS130" s="28" t="n"/>
      <c r="CT130" s="31" t="n"/>
      <c r="CU130" s="29">
        <f>IF(AND(CR130=0,CS130=0,CT130=0),0,IF(AND(CR130=0,CS130=0),CT130/1,IF(AND(CR130=0,CT130=0),CS130/1,IF(AND(CS130=0,CT130=0),CR130/1,IF(CR130=0,FLOOR((CS130+CT130)/2,0.1),IF(CS130=0,(CR130+CT130)/2,IF(CT130=0,(CS130+CR130)/2,FLOOR(((CR130+CS130+CT130)/3),0.1))))))))</f>
        <v/>
      </c>
      <c r="CV130" s="21" t="n"/>
      <c r="CW130" s="21" t="n"/>
      <c r="CX130" s="27">
        <f>SUM(CV130:CW130)</f>
        <v/>
      </c>
      <c r="CY130" s="28" t="n"/>
      <c r="CZ130" s="31" t="n"/>
      <c r="DA130" s="29">
        <f>IF(AND(CX130=0,CY130=0,CZ130=0),0,IF(AND(CX130=0,CY130=0),CZ130/1,IF(AND(CX130=0,CZ130=0),CY130/1,IF(AND(CY130=0,CZ130=0),CX130/1,IF(CX130=0,FLOOR((CY130+CZ130)/2,0.1),IF(CY130=0,(CX130+CZ130)/2,IF(CZ130=0,(CY130+CX130)/2,FLOOR(((CX130+CY130+CZ130)/3),0.1))))))))</f>
        <v/>
      </c>
      <c r="DB130" s="21" t="n"/>
      <c r="DC130" s="21" t="n"/>
      <c r="DD130" s="27">
        <f>SUM(DB130:DC130)</f>
        <v/>
      </c>
      <c r="DE130" s="28" t="n"/>
      <c r="DF130" s="31" t="n"/>
      <c r="DG130" s="29">
        <f>IF(AND(DD130=0,DE130=0,DF130=0),0,IF(AND(DD130=0,DE130=0),DF130/1,IF(AND(DD130=0,DF130=0),DE130/1,IF(AND(DE130=0,DF130=0),DD130/1,IF(DD130=0,FLOOR((DE130+DF130)/2,0.1),IF(DE130=0,(DD130+DF130)/2,IF(DF130=0,(DE130+DD130)/2,FLOOR(((DD130+DE130+DF130)/3),0.1))))))))</f>
        <v/>
      </c>
      <c r="DH130" s="34">
        <f>SUM(O130,U130,AA130,AG130,AM130,AS130,AY130,BE130,BK130,BQ130,BW130,CC130,CI130,CO130,CU130,DA130,DG130)</f>
        <v/>
      </c>
      <c r="DI130" s="39">
        <f>RANK(DH130,DH$4:DH$503)</f>
        <v/>
      </c>
      <c r="DJ130" s="40" t="inlineStr">
        <is>
          <t>CHOOSE RATING</t>
        </is>
      </c>
      <c r="DK130" s="40" t="inlineStr">
        <is>
          <t>CHOOSE RATING</t>
        </is>
      </c>
      <c r="DL130" s="40" t="inlineStr">
        <is>
          <t>CHOOSE RATING</t>
        </is>
      </c>
      <c r="DM130" s="40" t="inlineStr">
        <is>
          <t>CHOOSE RATING</t>
        </is>
      </c>
      <c r="DN130" s="40" t="inlineStr">
        <is>
          <t>CHOOSE RATING</t>
        </is>
      </c>
      <c r="DO130" s="40" t="inlineStr">
        <is>
          <t>CHOOSE RATING</t>
        </is>
      </c>
      <c r="DP130" s="40" t="inlineStr">
        <is>
          <t>CHOOSE RATING</t>
        </is>
      </c>
      <c r="DQ130" s="40" t="inlineStr">
        <is>
          <t>CHOOSE RATING</t>
        </is>
      </c>
      <c r="DR130" s="43" t="inlineStr">
        <is>
          <t>2024/2025</t>
        </is>
      </c>
      <c r="DS130" s="45" t="inlineStr">
        <is>
          <t>THIRD</t>
        </is>
      </c>
      <c r="DT130" s="40" t="inlineStr">
        <is>
          <t>CHOOSE RATING</t>
        </is>
      </c>
      <c r="DU130" s="40" t="inlineStr">
        <is>
          <t>CHOOSE RATING</t>
        </is>
      </c>
      <c r="DV130" s="40" t="inlineStr">
        <is>
          <t>CHOOSE RATING</t>
        </is>
      </c>
      <c r="DW130" s="40" t="inlineStr">
        <is>
          <t>CHOOSE RATING</t>
        </is>
      </c>
      <c r="DX130" s="40" t="inlineStr">
        <is>
          <t>CHOOSE RATING</t>
        </is>
      </c>
      <c r="DY130" s="40" t="inlineStr">
        <is>
          <t>CHOOSE RATING</t>
        </is>
      </c>
      <c r="DZ130" s="53" t="inlineStr">
        <is>
          <t>CHOOSE RATING</t>
        </is>
      </c>
      <c r="EA130" s="54" t="inlineStr">
        <is>
          <t>Add the Tutor's Comment . . .</t>
        </is>
      </c>
      <c r="EB130" s="55" t="inlineStr">
        <is>
          <t>Choose Principals comment</t>
        </is>
      </c>
      <c r="EC130" s="56" t="n"/>
      <c r="ED130" s="57" t="inlineStr">
        <is>
          <t>Next Term Begins on Monday, 22nd September, 2025</t>
        </is>
      </c>
    </row>
    <row r="131" ht="30.6" customHeight="1" s="6">
      <c r="A131" s="18" t="n">
        <v>128</v>
      </c>
      <c r="B131" s="19" t="n"/>
      <c r="C131" s="20" t="n"/>
      <c r="D131" s="128" t="n"/>
      <c r="E131" s="21" t="n"/>
      <c r="F131" s="22" t="n"/>
      <c r="G131" s="22" t="n"/>
      <c r="H131" s="22" t="n"/>
      <c r="I131" s="26">
        <f>G131-H131</f>
        <v/>
      </c>
      <c r="J131" s="21" t="n"/>
      <c r="K131" s="21" t="n"/>
      <c r="L131" s="27">
        <f>SUM(J131:K131)</f>
        <v/>
      </c>
      <c r="M131" s="28" t="n"/>
      <c r="N131" s="28" t="n"/>
      <c r="O131" s="29">
        <f>IF(AND(L131=0,M131=0,N131=0),0,IF(AND(L131=0,M131=0),N131/1,IF(AND(L131=0,N131=0),M131/1,IF(AND(M131=0,N131=0),L131/1,IF(L131=0,FLOOR((M131+N131)/2,0.1),IF(M131=0,(L131+N131)/2,IF(N131=0,(M131+L131)/2,FLOOR(((L131+M131+N131)/3),0.1))))))))</f>
        <v/>
      </c>
      <c r="P131" s="21" t="n"/>
      <c r="Q131" s="21" t="n"/>
      <c r="R131" s="27">
        <f>SUM(P131:Q131)</f>
        <v/>
      </c>
      <c r="S131" s="28" t="n"/>
      <c r="T131" s="28" t="n"/>
      <c r="U131" s="29">
        <f>IF(AND(R131=0,S131=0,T131=0),0,IF(AND(R131=0,S131=0),T131/1,IF(AND(R131=0,T131=0),S131/1,IF(AND(S131=0,T131=0),R131/1,IF(R131=0,FLOOR((S131+T131)/2,0.1),IF(S131=0,(R131+T131)/2,IF(T131=0,(S131+R131)/2,FLOOR(((R131+S131+T131)/3),0.1))))))))</f>
        <v/>
      </c>
      <c r="V131" s="21" t="n"/>
      <c r="W131" s="21" t="n"/>
      <c r="X131" s="27">
        <f>SUM(V131:W131)</f>
        <v/>
      </c>
      <c r="Y131" s="28" t="n"/>
      <c r="Z131" s="28" t="n"/>
      <c r="AA131" s="29">
        <f>IF(AND(X131=0,Y131=0,Z131=0),0,IF(AND(X131=0,Y131=0),Z131/1,IF(AND(X131=0,Z131=0),Y131/1,IF(AND(Y131=0,Z131=0),X131/1,IF(X131=0,FLOOR((Y131+Z131)/2,0.1),IF(Y131=0,(X131+Z131)/2,IF(Z131=0,(Y131+X131)/2,FLOOR(((X131+Y131+Z131)/3),0.1))))))))</f>
        <v/>
      </c>
      <c r="AB131" s="21" t="n"/>
      <c r="AC131" s="21" t="n"/>
      <c r="AD131" s="27">
        <f>SUM(AB131:AC131)</f>
        <v/>
      </c>
      <c r="AE131" s="28" t="n"/>
      <c r="AF131" s="28" t="n"/>
      <c r="AG131" s="29">
        <f>IF(AND(AD131=0,AE131=0,AF131=0),0,IF(AND(AD131=0,AE131=0),AF131/1,IF(AND(AD131=0,AF131=0),AE131/1,IF(AND(AE131=0,AF131=0),AD131/1,IF(AD131=0,FLOOR((AE131+AF131)/2,0.1),IF(AE131=0,(AD131+AF131)/2,IF(AF131=0,(AE131+AD131)/2,FLOOR(((AD131+AE131+AF131)/3),0.1))))))))</f>
        <v/>
      </c>
      <c r="AH131" s="21" t="n"/>
      <c r="AI131" s="21" t="n"/>
      <c r="AJ131" s="27">
        <f>SUM(AH131:AI131)</f>
        <v/>
      </c>
      <c r="AK131" s="28" t="n"/>
      <c r="AL131" s="28" t="n"/>
      <c r="AM131" s="29">
        <f>IF(AND(AJ131=0,AK131=0,AL131=0),0,IF(AND(AJ131=0,AK131=0),AL131/1,IF(AND(AJ131=0,AL131=0),AK131/1,IF(AND(AK131=0,AL131=0),AJ131/1,IF(AJ131=0,FLOOR((AK131+AL131)/2,0.1),IF(AK131=0,(AJ131+AL131)/2,IF(AL131=0,(AK131+AJ131)/2,FLOOR(((AJ131+AK131+AL131)/3),0.1))))))))</f>
        <v/>
      </c>
      <c r="AN131" s="21" t="n"/>
      <c r="AO131" s="21" t="n"/>
      <c r="AP131" s="27">
        <f>SUM(AN131:AO131)</f>
        <v/>
      </c>
      <c r="AQ131" s="28" t="n"/>
      <c r="AR131" s="30" t="n"/>
      <c r="AS131" s="29">
        <f>IF(AND(AP131=0,AQ131=0,AR131=0),0,IF(AND(AP131=0,AQ131=0),AR131/1,IF(AND(AP131=0,AR131=0),AQ131/1,IF(AND(AQ131=0,AR131=0),AP131/1,IF(AP131=0,FLOOR((AQ131+AR131)/2,0.1),IF(AQ131=0,(AP131+AR131)/2,IF(AR131=0,(AQ131+AP131)/2,FLOOR(((AP131+AQ131+AR131)/3),0.1))))))))</f>
        <v/>
      </c>
      <c r="AT131" s="21" t="n"/>
      <c r="AU131" s="21" t="n"/>
      <c r="AV131" s="27">
        <f>SUM(AT131:AU131)</f>
        <v/>
      </c>
      <c r="AW131" s="28" t="n"/>
      <c r="AX131" s="30" t="n"/>
      <c r="AY131" s="29">
        <f>IF(AND(AV131=0,AW131=0,AX131=0),0,IF(AND(AV131=0,AW131=0),AX131/1,IF(AND(AV131=0,AX131=0),AW131/1,IF(AND(AW131=0,AX131=0),AV131/1,IF(AV131=0,FLOOR((AW131+AX131)/2,0.1),IF(AW131=0,(AV131+AX131)/2,IF(AX131=0,(AW131+AV131)/2,FLOOR(((AV131+AW131+AX131)/3),0.1))))))))</f>
        <v/>
      </c>
      <c r="AZ131" s="21" t="n"/>
      <c r="BA131" s="21" t="n"/>
      <c r="BB131" s="27">
        <f>SUM(AZ131:BA131)</f>
        <v/>
      </c>
      <c r="BC131" s="28" t="n"/>
      <c r="BD131" s="28" t="n"/>
      <c r="BE131" s="29">
        <f>IF(AND(BB131=0,BC131=0,BD131=0),0,IF(AND(BB131=0,BC131=0),BD131/1,IF(AND(BB131=0,BD131=0),BC131/1,IF(AND(BC131=0,BD131=0),BB131/1,IF(BB131=0,FLOOR((BC131+BD131)/2,0.1),IF(BC131=0,(BB131+BD131)/2,IF(BD131=0,(BC131+BB131)/2,FLOOR(((BB131+BC131+BD131)/3),0.1))))))))</f>
        <v/>
      </c>
      <c r="BF131" s="21" t="n"/>
      <c r="BG131" s="21" t="n"/>
      <c r="BH131" s="27">
        <f>SUM(BF131:BG131)</f>
        <v/>
      </c>
      <c r="BI131" s="28" t="n"/>
      <c r="BJ131" s="28" t="n"/>
      <c r="BK131" s="29">
        <f>IF(AND(BH131=0,BI131=0,BJ131=0),0,IF(AND(BH131=0,BI131=0),BJ131/1,IF(AND(BH131=0,BJ131=0),BI131/1,IF(AND(BI131=0,BJ131=0),BH131/1,IF(BH131=0,FLOOR((BI131+BJ131)/2,0.1),IF(BI131=0,(BH131+BJ131)/2,IF(BJ131=0,(BI131+BH131)/2,FLOOR(((BH131+BI131+BJ131)/3),0.1))))))))</f>
        <v/>
      </c>
      <c r="BL131" s="21" t="n"/>
      <c r="BM131" s="21" t="n"/>
      <c r="BN131" s="27">
        <f>SUM(BL131:BM131)</f>
        <v/>
      </c>
      <c r="BO131" s="28" t="n"/>
      <c r="BP131" s="31" t="n"/>
      <c r="BQ131" s="29">
        <f>IF(AND(BN131=0,BO131=0,BP131=0),0,IF(AND(BN131=0,BO131=0),BP131/1,IF(AND(BN131=0,BP131=0),BO131/1,IF(AND(BO131=0,BP131=0),BN131/1,IF(BN131=0,FLOOR((BO131+BP131)/2,0.1),IF(BO131=0,(BN131+BP131)/2,IF(BP131=0,(BO131+BN131)/2,FLOOR(((BN131+BO131+BP131)/3),0.1))))))))</f>
        <v/>
      </c>
      <c r="BR131" s="21" t="n"/>
      <c r="BS131" s="21" t="n"/>
      <c r="BT131" s="27">
        <f>SUM(BR131:BS131)</f>
        <v/>
      </c>
      <c r="BU131" s="28" t="n"/>
      <c r="BV131" s="31" t="n"/>
      <c r="BW131" s="29">
        <f>IF(AND(BT131=0,BU131=0,BV131=0),0,IF(AND(BT131=0,BU131=0),BV131/1,IF(AND(BT131=0,BV131=0),BU131/1,IF(AND(BU131=0,BV131=0),BT131/1,IF(BT131=0,FLOOR((BU131+BV131)/2,0.1),IF(BU131=0,(BT131+BV131)/2,IF(BV131=0,(BU131+BT131)/2,FLOOR(((BT131+BU131+BV131)/3),0.1))))))))</f>
        <v/>
      </c>
      <c r="BX131" s="21" t="n"/>
      <c r="BY131" s="21" t="n"/>
      <c r="BZ131" s="27">
        <f>SUM(BX131:BY131)</f>
        <v/>
      </c>
      <c r="CA131" s="28" t="n"/>
      <c r="CB131" s="31" t="n"/>
      <c r="CC131" s="29">
        <f>IF(AND(BZ131=0,CA131=0,CB131=0),0,IF(AND(BZ131=0,CA131=0),CB131/1,IF(AND(BZ131=0,CB131=0),CA131/1,IF(AND(CA131=0,CB131=0),BZ131/1,IF(BZ131=0,FLOOR((CA131+CB131)/2,0.1),IF(CA131=0,(BZ131+CB131)/2,IF(CB131=0,(CA131+BZ131)/2,FLOOR(((BZ131+CA131+CB131)/3),0.1))))))))</f>
        <v/>
      </c>
      <c r="CD131" s="21" t="n"/>
      <c r="CE131" s="21" t="n"/>
      <c r="CF131" s="27">
        <f>SUM(CD131:CE131)</f>
        <v/>
      </c>
      <c r="CG131" s="28" t="n"/>
      <c r="CH131" s="31" t="n"/>
      <c r="CI131" s="29">
        <f>IF(AND(CF131=0,CG131=0,CH131=0),0,IF(AND(CF131=0,CG131=0),CH131/1,IF(AND(CF131=0,CH131=0),CG131/1,IF(AND(CG131=0,CH131=0),CF131/1,IF(CF131=0,FLOOR((CG131+CH131)/2,0.1),IF(CG131=0,(CF131+CH131)/2,IF(CH131=0,(CG131+CF131)/2,FLOOR(((CF131+CG131+CH131)/3),0.1))))))))</f>
        <v/>
      </c>
      <c r="CJ131" s="21" t="n"/>
      <c r="CK131" s="21" t="n"/>
      <c r="CL131" s="27">
        <f>SUM(CJ131:CK131)</f>
        <v/>
      </c>
      <c r="CM131" s="28" t="n"/>
      <c r="CN131" s="31" t="n"/>
      <c r="CO131" s="29">
        <f>IF(AND(CL131=0,CM131=0,CN131=0),0,IF(AND(CL131=0,CM131=0),CN131/1,IF(AND(CL131=0,CN131=0),CM131/1,IF(AND(CM131=0,CN131=0),CL131/1,IF(CL131=0,FLOOR((CM131+CN131)/2,0.1),IF(CM131=0,(CL131+CN131)/2,IF(CN131=0,(CM131+CL131)/2,FLOOR(((CL131+CM131+CN131)/3),0.1))))))))</f>
        <v/>
      </c>
      <c r="CP131" s="21" t="n"/>
      <c r="CQ131" s="21" t="n"/>
      <c r="CR131" s="27">
        <f>SUM(CP131:CQ131)</f>
        <v/>
      </c>
      <c r="CS131" s="28" t="n"/>
      <c r="CT131" s="31" t="n"/>
      <c r="CU131" s="29">
        <f>IF(AND(CR131=0,CS131=0,CT131=0),0,IF(AND(CR131=0,CS131=0),CT131/1,IF(AND(CR131=0,CT131=0),CS131/1,IF(AND(CS131=0,CT131=0),CR131/1,IF(CR131=0,FLOOR((CS131+CT131)/2,0.1),IF(CS131=0,(CR131+CT131)/2,IF(CT131=0,(CS131+CR131)/2,FLOOR(((CR131+CS131+CT131)/3),0.1))))))))</f>
        <v/>
      </c>
      <c r="CV131" s="21" t="n"/>
      <c r="CW131" s="21" t="n"/>
      <c r="CX131" s="27">
        <f>SUM(CV131:CW131)</f>
        <v/>
      </c>
      <c r="CY131" s="28" t="n"/>
      <c r="CZ131" s="31" t="n"/>
      <c r="DA131" s="29">
        <f>IF(AND(CX131=0,CY131=0,CZ131=0),0,IF(AND(CX131=0,CY131=0),CZ131/1,IF(AND(CX131=0,CZ131=0),CY131/1,IF(AND(CY131=0,CZ131=0),CX131/1,IF(CX131=0,FLOOR((CY131+CZ131)/2,0.1),IF(CY131=0,(CX131+CZ131)/2,IF(CZ131=0,(CY131+CX131)/2,FLOOR(((CX131+CY131+CZ131)/3),0.1))))))))</f>
        <v/>
      </c>
      <c r="DB131" s="21" t="n"/>
      <c r="DC131" s="21" t="n"/>
      <c r="DD131" s="27">
        <f>SUM(DB131:DC131)</f>
        <v/>
      </c>
      <c r="DE131" s="28" t="n"/>
      <c r="DF131" s="31" t="n"/>
      <c r="DG131" s="29">
        <f>IF(AND(DD131=0,DE131=0,DF131=0),0,IF(AND(DD131=0,DE131=0),DF131/1,IF(AND(DD131=0,DF131=0),DE131/1,IF(AND(DE131=0,DF131=0),DD131/1,IF(DD131=0,FLOOR((DE131+DF131)/2,0.1),IF(DE131=0,(DD131+DF131)/2,IF(DF131=0,(DE131+DD131)/2,FLOOR(((DD131+DE131+DF131)/3),0.1))))))))</f>
        <v/>
      </c>
      <c r="DH131" s="34">
        <f>SUM(O131,U131,AA131,AG131,AM131,AS131,AY131,BE131,BK131,BQ131,BW131,CC131,CI131,CO131,CU131,DA131,DG131)</f>
        <v/>
      </c>
      <c r="DI131" s="39">
        <f>RANK(DH131,DH$4:DH$503)</f>
        <v/>
      </c>
      <c r="DJ131" s="40" t="inlineStr">
        <is>
          <t>CHOOSE RATING</t>
        </is>
      </c>
      <c r="DK131" s="40" t="inlineStr">
        <is>
          <t>CHOOSE RATING</t>
        </is>
      </c>
      <c r="DL131" s="40" t="inlineStr">
        <is>
          <t>CHOOSE RATING</t>
        </is>
      </c>
      <c r="DM131" s="40" t="inlineStr">
        <is>
          <t>CHOOSE RATING</t>
        </is>
      </c>
      <c r="DN131" s="40" t="inlineStr">
        <is>
          <t>CHOOSE RATING</t>
        </is>
      </c>
      <c r="DO131" s="40" t="inlineStr">
        <is>
          <t>CHOOSE RATING</t>
        </is>
      </c>
      <c r="DP131" s="40" t="inlineStr">
        <is>
          <t>CHOOSE RATING</t>
        </is>
      </c>
      <c r="DQ131" s="40" t="inlineStr">
        <is>
          <t>CHOOSE RATING</t>
        </is>
      </c>
      <c r="DR131" s="43" t="inlineStr">
        <is>
          <t>2024/2025</t>
        </is>
      </c>
      <c r="DS131" s="45" t="inlineStr">
        <is>
          <t>THIRD</t>
        </is>
      </c>
      <c r="DT131" s="40" t="inlineStr">
        <is>
          <t>CHOOSE RATING</t>
        </is>
      </c>
      <c r="DU131" s="40" t="inlineStr">
        <is>
          <t>CHOOSE RATING</t>
        </is>
      </c>
      <c r="DV131" s="40" t="inlineStr">
        <is>
          <t>CHOOSE RATING</t>
        </is>
      </c>
      <c r="DW131" s="40" t="inlineStr">
        <is>
          <t>CHOOSE RATING</t>
        </is>
      </c>
      <c r="DX131" s="40" t="inlineStr">
        <is>
          <t>CHOOSE RATING</t>
        </is>
      </c>
      <c r="DY131" s="40" t="inlineStr">
        <is>
          <t>CHOOSE RATING</t>
        </is>
      </c>
      <c r="DZ131" s="53" t="inlineStr">
        <is>
          <t>CHOOSE RATING</t>
        </is>
      </c>
      <c r="EA131" s="54" t="inlineStr">
        <is>
          <t>Add the Tutor's Comment . . .</t>
        </is>
      </c>
      <c r="EB131" s="55" t="inlineStr">
        <is>
          <t>Choose Principals comment</t>
        </is>
      </c>
      <c r="EC131" s="56" t="n"/>
      <c r="ED131" s="57" t="inlineStr">
        <is>
          <t>Next Term Begins on Monday, 22nd September, 2025</t>
        </is>
      </c>
    </row>
    <row r="132" ht="30.6" customHeight="1" s="6">
      <c r="A132" s="18" t="n">
        <v>129</v>
      </c>
      <c r="B132" s="19" t="n"/>
      <c r="C132" s="20" t="n"/>
      <c r="D132" s="128" t="n"/>
      <c r="E132" s="21" t="n"/>
      <c r="F132" s="22" t="n"/>
      <c r="G132" s="22" t="n"/>
      <c r="H132" s="22" t="n"/>
      <c r="I132" s="26">
        <f>G132-H132</f>
        <v/>
      </c>
      <c r="J132" s="21" t="n"/>
      <c r="K132" s="21" t="n"/>
      <c r="L132" s="27">
        <f>SUM(J132:K132)</f>
        <v/>
      </c>
      <c r="M132" s="28" t="n"/>
      <c r="N132" s="28" t="n"/>
      <c r="O132" s="29">
        <f>IF(AND(L132=0,M132=0,N132=0),0,IF(AND(L132=0,M132=0),N132/1,IF(AND(L132=0,N132=0),M132/1,IF(AND(M132=0,N132=0),L132/1,IF(L132=0,FLOOR((M132+N132)/2,0.1),IF(M132=0,(L132+N132)/2,IF(N132=0,(M132+L132)/2,FLOOR(((L132+M132+N132)/3),0.1))))))))</f>
        <v/>
      </c>
      <c r="P132" s="21" t="n"/>
      <c r="Q132" s="21" t="n"/>
      <c r="R132" s="27">
        <f>SUM(P132:Q132)</f>
        <v/>
      </c>
      <c r="S132" s="28" t="n"/>
      <c r="T132" s="28" t="n"/>
      <c r="U132" s="29">
        <f>IF(AND(R132=0,S132=0,T132=0),0,IF(AND(R132=0,S132=0),T132/1,IF(AND(R132=0,T132=0),S132/1,IF(AND(S132=0,T132=0),R132/1,IF(R132=0,FLOOR((S132+T132)/2,0.1),IF(S132=0,(R132+T132)/2,IF(T132=0,(S132+R132)/2,FLOOR(((R132+S132+T132)/3),0.1))))))))</f>
        <v/>
      </c>
      <c r="V132" s="21" t="n"/>
      <c r="W132" s="21" t="n"/>
      <c r="X132" s="27">
        <f>SUM(V132:W132)</f>
        <v/>
      </c>
      <c r="Y132" s="28" t="n"/>
      <c r="Z132" s="28" t="n"/>
      <c r="AA132" s="29">
        <f>IF(AND(X132=0,Y132=0,Z132=0),0,IF(AND(X132=0,Y132=0),Z132/1,IF(AND(X132=0,Z132=0),Y132/1,IF(AND(Y132=0,Z132=0),X132/1,IF(X132=0,FLOOR((Y132+Z132)/2,0.1),IF(Y132=0,(X132+Z132)/2,IF(Z132=0,(Y132+X132)/2,FLOOR(((X132+Y132+Z132)/3),0.1))))))))</f>
        <v/>
      </c>
      <c r="AB132" s="21" t="n"/>
      <c r="AC132" s="21" t="n"/>
      <c r="AD132" s="27">
        <f>SUM(AB132:AC132)</f>
        <v/>
      </c>
      <c r="AE132" s="28" t="n"/>
      <c r="AF132" s="28" t="n"/>
      <c r="AG132" s="29">
        <f>IF(AND(AD132=0,AE132=0,AF132=0),0,IF(AND(AD132=0,AE132=0),AF132/1,IF(AND(AD132=0,AF132=0),AE132/1,IF(AND(AE132=0,AF132=0),AD132/1,IF(AD132=0,FLOOR((AE132+AF132)/2,0.1),IF(AE132=0,(AD132+AF132)/2,IF(AF132=0,(AE132+AD132)/2,FLOOR(((AD132+AE132+AF132)/3),0.1))))))))</f>
        <v/>
      </c>
      <c r="AH132" s="21" t="n"/>
      <c r="AI132" s="21" t="n"/>
      <c r="AJ132" s="27">
        <f>SUM(AH132:AI132)</f>
        <v/>
      </c>
      <c r="AK132" s="28" t="n"/>
      <c r="AL132" s="28" t="n"/>
      <c r="AM132" s="29">
        <f>IF(AND(AJ132=0,AK132=0,AL132=0),0,IF(AND(AJ132=0,AK132=0),AL132/1,IF(AND(AJ132=0,AL132=0),AK132/1,IF(AND(AK132=0,AL132=0),AJ132/1,IF(AJ132=0,FLOOR((AK132+AL132)/2,0.1),IF(AK132=0,(AJ132+AL132)/2,IF(AL132=0,(AK132+AJ132)/2,FLOOR(((AJ132+AK132+AL132)/3),0.1))))))))</f>
        <v/>
      </c>
      <c r="AN132" s="21" t="n"/>
      <c r="AO132" s="21" t="n"/>
      <c r="AP132" s="27">
        <f>SUM(AN132:AO132)</f>
        <v/>
      </c>
      <c r="AQ132" s="28" t="n"/>
      <c r="AR132" s="30" t="n"/>
      <c r="AS132" s="29">
        <f>IF(AND(AP132=0,AQ132=0,AR132=0),0,IF(AND(AP132=0,AQ132=0),AR132/1,IF(AND(AP132=0,AR132=0),AQ132/1,IF(AND(AQ132=0,AR132=0),AP132/1,IF(AP132=0,FLOOR((AQ132+AR132)/2,0.1),IF(AQ132=0,(AP132+AR132)/2,IF(AR132=0,(AQ132+AP132)/2,FLOOR(((AP132+AQ132+AR132)/3),0.1))))))))</f>
        <v/>
      </c>
      <c r="AT132" s="21" t="n"/>
      <c r="AU132" s="21" t="n"/>
      <c r="AV132" s="27">
        <f>SUM(AT132:AU132)</f>
        <v/>
      </c>
      <c r="AW132" s="28" t="n"/>
      <c r="AX132" s="30" t="n"/>
      <c r="AY132" s="29">
        <f>IF(AND(AV132=0,AW132=0,AX132=0),0,IF(AND(AV132=0,AW132=0),AX132/1,IF(AND(AV132=0,AX132=0),AW132/1,IF(AND(AW132=0,AX132=0),AV132/1,IF(AV132=0,FLOOR((AW132+AX132)/2,0.1),IF(AW132=0,(AV132+AX132)/2,IF(AX132=0,(AW132+AV132)/2,FLOOR(((AV132+AW132+AX132)/3),0.1))))))))</f>
        <v/>
      </c>
      <c r="AZ132" s="21" t="n"/>
      <c r="BA132" s="21" t="n"/>
      <c r="BB132" s="27">
        <f>SUM(AZ132:BA132)</f>
        <v/>
      </c>
      <c r="BC132" s="28" t="n"/>
      <c r="BD132" s="28" t="n"/>
      <c r="BE132" s="29">
        <f>IF(AND(BB132=0,BC132=0,BD132=0),0,IF(AND(BB132=0,BC132=0),BD132/1,IF(AND(BB132=0,BD132=0),BC132/1,IF(AND(BC132=0,BD132=0),BB132/1,IF(BB132=0,FLOOR((BC132+BD132)/2,0.1),IF(BC132=0,(BB132+BD132)/2,IF(BD132=0,(BC132+BB132)/2,FLOOR(((BB132+BC132+BD132)/3),0.1))))))))</f>
        <v/>
      </c>
      <c r="BF132" s="21" t="n"/>
      <c r="BG132" s="21" t="n"/>
      <c r="BH132" s="27">
        <f>SUM(BF132:BG132)</f>
        <v/>
      </c>
      <c r="BI132" s="28" t="n"/>
      <c r="BJ132" s="28" t="n"/>
      <c r="BK132" s="29">
        <f>IF(AND(BH132=0,BI132=0,BJ132=0),0,IF(AND(BH132=0,BI132=0),BJ132/1,IF(AND(BH132=0,BJ132=0),BI132/1,IF(AND(BI132=0,BJ132=0),BH132/1,IF(BH132=0,FLOOR((BI132+BJ132)/2,0.1),IF(BI132=0,(BH132+BJ132)/2,IF(BJ132=0,(BI132+BH132)/2,FLOOR(((BH132+BI132+BJ132)/3),0.1))))))))</f>
        <v/>
      </c>
      <c r="BL132" s="21" t="n"/>
      <c r="BM132" s="21" t="n"/>
      <c r="BN132" s="27">
        <f>SUM(BL132:BM132)</f>
        <v/>
      </c>
      <c r="BO132" s="28" t="n"/>
      <c r="BP132" s="31" t="n"/>
      <c r="BQ132" s="29">
        <f>IF(AND(BN132=0,BO132=0,BP132=0),0,IF(AND(BN132=0,BO132=0),BP132/1,IF(AND(BN132=0,BP132=0),BO132/1,IF(AND(BO132=0,BP132=0),BN132/1,IF(BN132=0,FLOOR((BO132+BP132)/2,0.1),IF(BO132=0,(BN132+BP132)/2,IF(BP132=0,(BO132+BN132)/2,FLOOR(((BN132+BO132+BP132)/3),0.1))))))))</f>
        <v/>
      </c>
      <c r="BR132" s="21" t="n"/>
      <c r="BS132" s="21" t="n"/>
      <c r="BT132" s="27">
        <f>SUM(BR132:BS132)</f>
        <v/>
      </c>
      <c r="BU132" s="28" t="n"/>
      <c r="BV132" s="31" t="n"/>
      <c r="BW132" s="29">
        <f>IF(AND(BT132=0,BU132=0,BV132=0),0,IF(AND(BT132=0,BU132=0),BV132/1,IF(AND(BT132=0,BV132=0),BU132/1,IF(AND(BU132=0,BV132=0),BT132/1,IF(BT132=0,FLOOR((BU132+BV132)/2,0.1),IF(BU132=0,(BT132+BV132)/2,IF(BV132=0,(BU132+BT132)/2,FLOOR(((BT132+BU132+BV132)/3),0.1))))))))</f>
        <v/>
      </c>
      <c r="BX132" s="21" t="n"/>
      <c r="BY132" s="21" t="n"/>
      <c r="BZ132" s="27">
        <f>SUM(BX132:BY132)</f>
        <v/>
      </c>
      <c r="CA132" s="28" t="n"/>
      <c r="CB132" s="31" t="n"/>
      <c r="CC132" s="29">
        <f>IF(AND(BZ132=0,CA132=0,CB132=0),0,IF(AND(BZ132=0,CA132=0),CB132/1,IF(AND(BZ132=0,CB132=0),CA132/1,IF(AND(CA132=0,CB132=0),BZ132/1,IF(BZ132=0,FLOOR((CA132+CB132)/2,0.1),IF(CA132=0,(BZ132+CB132)/2,IF(CB132=0,(CA132+BZ132)/2,FLOOR(((BZ132+CA132+CB132)/3),0.1))))))))</f>
        <v/>
      </c>
      <c r="CD132" s="21" t="n"/>
      <c r="CE132" s="21" t="n"/>
      <c r="CF132" s="27">
        <f>SUM(CD132:CE132)</f>
        <v/>
      </c>
      <c r="CG132" s="28" t="n"/>
      <c r="CH132" s="31" t="n"/>
      <c r="CI132" s="29">
        <f>IF(AND(CF132=0,CG132=0,CH132=0),0,IF(AND(CF132=0,CG132=0),CH132/1,IF(AND(CF132=0,CH132=0),CG132/1,IF(AND(CG132=0,CH132=0),CF132/1,IF(CF132=0,FLOOR((CG132+CH132)/2,0.1),IF(CG132=0,(CF132+CH132)/2,IF(CH132=0,(CG132+CF132)/2,FLOOR(((CF132+CG132+CH132)/3),0.1))))))))</f>
        <v/>
      </c>
      <c r="CJ132" s="21" t="n"/>
      <c r="CK132" s="21" t="n"/>
      <c r="CL132" s="27">
        <f>SUM(CJ132:CK132)</f>
        <v/>
      </c>
      <c r="CM132" s="28" t="n"/>
      <c r="CN132" s="31" t="n"/>
      <c r="CO132" s="29">
        <f>IF(AND(CL132=0,CM132=0,CN132=0),0,IF(AND(CL132=0,CM132=0),CN132/1,IF(AND(CL132=0,CN132=0),CM132/1,IF(AND(CM132=0,CN132=0),CL132/1,IF(CL132=0,FLOOR((CM132+CN132)/2,0.1),IF(CM132=0,(CL132+CN132)/2,IF(CN132=0,(CM132+CL132)/2,FLOOR(((CL132+CM132+CN132)/3),0.1))))))))</f>
        <v/>
      </c>
      <c r="CP132" s="21" t="n"/>
      <c r="CQ132" s="21" t="n"/>
      <c r="CR132" s="27">
        <f>SUM(CP132:CQ132)</f>
        <v/>
      </c>
      <c r="CS132" s="28" t="n"/>
      <c r="CT132" s="31" t="n"/>
      <c r="CU132" s="29">
        <f>IF(AND(CR132=0,CS132=0,CT132=0),0,IF(AND(CR132=0,CS132=0),CT132/1,IF(AND(CR132=0,CT132=0),CS132/1,IF(AND(CS132=0,CT132=0),CR132/1,IF(CR132=0,FLOOR((CS132+CT132)/2,0.1),IF(CS132=0,(CR132+CT132)/2,IF(CT132=0,(CS132+CR132)/2,FLOOR(((CR132+CS132+CT132)/3),0.1))))))))</f>
        <v/>
      </c>
      <c r="CV132" s="21" t="n"/>
      <c r="CW132" s="21" t="n"/>
      <c r="CX132" s="27">
        <f>SUM(CV132:CW132)</f>
        <v/>
      </c>
      <c r="CY132" s="28" t="n"/>
      <c r="CZ132" s="31" t="n"/>
      <c r="DA132" s="29">
        <f>IF(AND(CX132=0,CY132=0,CZ132=0),0,IF(AND(CX132=0,CY132=0),CZ132/1,IF(AND(CX132=0,CZ132=0),CY132/1,IF(AND(CY132=0,CZ132=0),CX132/1,IF(CX132=0,FLOOR((CY132+CZ132)/2,0.1),IF(CY132=0,(CX132+CZ132)/2,IF(CZ132=0,(CY132+CX132)/2,FLOOR(((CX132+CY132+CZ132)/3),0.1))))))))</f>
        <v/>
      </c>
      <c r="DB132" s="21" t="n"/>
      <c r="DC132" s="21" t="n"/>
      <c r="DD132" s="27">
        <f>SUM(DB132:DC132)</f>
        <v/>
      </c>
      <c r="DE132" s="28" t="n"/>
      <c r="DF132" s="31" t="n"/>
      <c r="DG132" s="29">
        <f>IF(AND(DD132=0,DE132=0,DF132=0),0,IF(AND(DD132=0,DE132=0),DF132/1,IF(AND(DD132=0,DF132=0),DE132/1,IF(AND(DE132=0,DF132=0),DD132/1,IF(DD132=0,FLOOR((DE132+DF132)/2,0.1),IF(DE132=0,(DD132+DF132)/2,IF(DF132=0,(DE132+DD132)/2,FLOOR(((DD132+DE132+DF132)/3),0.1))))))))</f>
        <v/>
      </c>
      <c r="DH132" s="34">
        <f>SUM(O132,U132,AA132,AG132,AM132,AS132,AY132,BE132,BK132,BQ132,BW132,CC132,CI132,CO132,CU132,DA132,DG132)</f>
        <v/>
      </c>
      <c r="DI132" s="39">
        <f>RANK(DH132,DH$4:DH$503)</f>
        <v/>
      </c>
      <c r="DJ132" s="40" t="inlineStr">
        <is>
          <t>CHOOSE RATING</t>
        </is>
      </c>
      <c r="DK132" s="40" t="inlineStr">
        <is>
          <t>CHOOSE RATING</t>
        </is>
      </c>
      <c r="DL132" s="40" t="inlineStr">
        <is>
          <t>CHOOSE RATING</t>
        </is>
      </c>
      <c r="DM132" s="40" t="inlineStr">
        <is>
          <t>CHOOSE RATING</t>
        </is>
      </c>
      <c r="DN132" s="40" t="inlineStr">
        <is>
          <t>CHOOSE RATING</t>
        </is>
      </c>
      <c r="DO132" s="40" t="inlineStr">
        <is>
          <t>CHOOSE RATING</t>
        </is>
      </c>
      <c r="DP132" s="40" t="inlineStr">
        <is>
          <t>CHOOSE RATING</t>
        </is>
      </c>
      <c r="DQ132" s="40" t="inlineStr">
        <is>
          <t>CHOOSE RATING</t>
        </is>
      </c>
      <c r="DR132" s="43" t="inlineStr">
        <is>
          <t>2024/2025</t>
        </is>
      </c>
      <c r="DS132" s="45" t="inlineStr">
        <is>
          <t>THIRD</t>
        </is>
      </c>
      <c r="DT132" s="40" t="inlineStr">
        <is>
          <t>CHOOSE RATING</t>
        </is>
      </c>
      <c r="DU132" s="40" t="inlineStr">
        <is>
          <t>CHOOSE RATING</t>
        </is>
      </c>
      <c r="DV132" s="40" t="inlineStr">
        <is>
          <t>CHOOSE RATING</t>
        </is>
      </c>
      <c r="DW132" s="40" t="inlineStr">
        <is>
          <t>CHOOSE RATING</t>
        </is>
      </c>
      <c r="DX132" s="40" t="inlineStr">
        <is>
          <t>CHOOSE RATING</t>
        </is>
      </c>
      <c r="DY132" s="40" t="inlineStr">
        <is>
          <t>CHOOSE RATING</t>
        </is>
      </c>
      <c r="DZ132" s="53" t="inlineStr">
        <is>
          <t>CHOOSE RATING</t>
        </is>
      </c>
      <c r="EA132" s="54" t="inlineStr">
        <is>
          <t>Add the Tutor's Comment . . .</t>
        </is>
      </c>
      <c r="EB132" s="55" t="inlineStr">
        <is>
          <t>Choose Principals comment</t>
        </is>
      </c>
      <c r="EC132" s="56" t="n"/>
      <c r="ED132" s="57" t="inlineStr">
        <is>
          <t>Next Term Begins on Monday, 22nd September, 2025</t>
        </is>
      </c>
    </row>
    <row r="133" ht="30.6" customHeight="1" s="6">
      <c r="A133" s="18" t="n">
        <v>130</v>
      </c>
      <c r="B133" s="19" t="n"/>
      <c r="C133" s="20" t="n"/>
      <c r="D133" s="128" t="n"/>
      <c r="E133" s="21" t="n"/>
      <c r="F133" s="22" t="n"/>
      <c r="G133" s="22" t="n"/>
      <c r="H133" s="22" t="n"/>
      <c r="I133" s="26">
        <f>G133-H133</f>
        <v/>
      </c>
      <c r="J133" s="21" t="n"/>
      <c r="K133" s="21" t="n"/>
      <c r="L133" s="27">
        <f>SUM(J133:K133)</f>
        <v/>
      </c>
      <c r="M133" s="28" t="n"/>
      <c r="N133" s="28" t="n"/>
      <c r="O133" s="29">
        <f>IF(AND(L133=0,M133=0,N133=0),0,IF(AND(L133=0,M133=0),N133/1,IF(AND(L133=0,N133=0),M133/1,IF(AND(M133=0,N133=0),L133/1,IF(L133=0,FLOOR((M133+N133)/2,0.1),IF(M133=0,(L133+N133)/2,IF(N133=0,(M133+L133)/2,FLOOR(((L133+M133+N133)/3),0.1))))))))</f>
        <v/>
      </c>
      <c r="P133" s="21" t="n"/>
      <c r="Q133" s="21" t="n"/>
      <c r="R133" s="27">
        <f>SUM(P133:Q133)</f>
        <v/>
      </c>
      <c r="S133" s="28" t="n"/>
      <c r="T133" s="28" t="n"/>
      <c r="U133" s="29">
        <f>IF(AND(R133=0,S133=0,T133=0),0,IF(AND(R133=0,S133=0),T133/1,IF(AND(R133=0,T133=0),S133/1,IF(AND(S133=0,T133=0),R133/1,IF(R133=0,FLOOR((S133+T133)/2,0.1),IF(S133=0,(R133+T133)/2,IF(T133=0,(S133+R133)/2,FLOOR(((R133+S133+T133)/3),0.1))))))))</f>
        <v/>
      </c>
      <c r="V133" s="21" t="n"/>
      <c r="W133" s="21" t="n"/>
      <c r="X133" s="27">
        <f>SUM(V133:W133)</f>
        <v/>
      </c>
      <c r="Y133" s="28" t="n"/>
      <c r="Z133" s="28" t="n"/>
      <c r="AA133" s="29">
        <f>IF(AND(X133=0,Y133=0,Z133=0),0,IF(AND(X133=0,Y133=0),Z133/1,IF(AND(X133=0,Z133=0),Y133/1,IF(AND(Y133=0,Z133=0),X133/1,IF(X133=0,FLOOR((Y133+Z133)/2,0.1),IF(Y133=0,(X133+Z133)/2,IF(Z133=0,(Y133+X133)/2,FLOOR(((X133+Y133+Z133)/3),0.1))))))))</f>
        <v/>
      </c>
      <c r="AB133" s="21" t="n"/>
      <c r="AC133" s="21" t="n"/>
      <c r="AD133" s="27">
        <f>SUM(AB133:AC133)</f>
        <v/>
      </c>
      <c r="AE133" s="28" t="n"/>
      <c r="AF133" s="28" t="n"/>
      <c r="AG133" s="29">
        <f>IF(AND(AD133=0,AE133=0,AF133=0),0,IF(AND(AD133=0,AE133=0),AF133/1,IF(AND(AD133=0,AF133=0),AE133/1,IF(AND(AE133=0,AF133=0),AD133/1,IF(AD133=0,FLOOR((AE133+AF133)/2,0.1),IF(AE133=0,(AD133+AF133)/2,IF(AF133=0,(AE133+AD133)/2,FLOOR(((AD133+AE133+AF133)/3),0.1))))))))</f>
        <v/>
      </c>
      <c r="AH133" s="21" t="n"/>
      <c r="AI133" s="21" t="n"/>
      <c r="AJ133" s="27">
        <f>SUM(AH133:AI133)</f>
        <v/>
      </c>
      <c r="AK133" s="28" t="n"/>
      <c r="AL133" s="28" t="n"/>
      <c r="AM133" s="29">
        <f>IF(AND(AJ133=0,AK133=0,AL133=0),0,IF(AND(AJ133=0,AK133=0),AL133/1,IF(AND(AJ133=0,AL133=0),AK133/1,IF(AND(AK133=0,AL133=0),AJ133/1,IF(AJ133=0,FLOOR((AK133+AL133)/2,0.1),IF(AK133=0,(AJ133+AL133)/2,IF(AL133=0,(AK133+AJ133)/2,FLOOR(((AJ133+AK133+AL133)/3),0.1))))))))</f>
        <v/>
      </c>
      <c r="AN133" s="21" t="n"/>
      <c r="AO133" s="21" t="n"/>
      <c r="AP133" s="27">
        <f>SUM(AN133:AO133)</f>
        <v/>
      </c>
      <c r="AQ133" s="28" t="n"/>
      <c r="AR133" s="30" t="n"/>
      <c r="AS133" s="29">
        <f>IF(AND(AP133=0,AQ133=0,AR133=0),0,IF(AND(AP133=0,AQ133=0),AR133/1,IF(AND(AP133=0,AR133=0),AQ133/1,IF(AND(AQ133=0,AR133=0),AP133/1,IF(AP133=0,FLOOR((AQ133+AR133)/2,0.1),IF(AQ133=0,(AP133+AR133)/2,IF(AR133=0,(AQ133+AP133)/2,FLOOR(((AP133+AQ133+AR133)/3),0.1))))))))</f>
        <v/>
      </c>
      <c r="AT133" s="21" t="n"/>
      <c r="AU133" s="21" t="n"/>
      <c r="AV133" s="27">
        <f>SUM(AT133:AU133)</f>
        <v/>
      </c>
      <c r="AW133" s="28" t="n"/>
      <c r="AX133" s="30" t="n"/>
      <c r="AY133" s="29">
        <f>IF(AND(AV133=0,AW133=0,AX133=0),0,IF(AND(AV133=0,AW133=0),AX133/1,IF(AND(AV133=0,AX133=0),AW133/1,IF(AND(AW133=0,AX133=0),AV133/1,IF(AV133=0,FLOOR((AW133+AX133)/2,0.1),IF(AW133=0,(AV133+AX133)/2,IF(AX133=0,(AW133+AV133)/2,FLOOR(((AV133+AW133+AX133)/3),0.1))))))))</f>
        <v/>
      </c>
      <c r="AZ133" s="21" t="n"/>
      <c r="BA133" s="21" t="n"/>
      <c r="BB133" s="27">
        <f>SUM(AZ133:BA133)</f>
        <v/>
      </c>
      <c r="BC133" s="28" t="n"/>
      <c r="BD133" s="28" t="n"/>
      <c r="BE133" s="29">
        <f>IF(AND(BB133=0,BC133=0,BD133=0),0,IF(AND(BB133=0,BC133=0),BD133/1,IF(AND(BB133=0,BD133=0),BC133/1,IF(AND(BC133=0,BD133=0),BB133/1,IF(BB133=0,FLOOR((BC133+BD133)/2,0.1),IF(BC133=0,(BB133+BD133)/2,IF(BD133=0,(BC133+BB133)/2,FLOOR(((BB133+BC133+BD133)/3),0.1))))))))</f>
        <v/>
      </c>
      <c r="BF133" s="21" t="n"/>
      <c r="BG133" s="21" t="n"/>
      <c r="BH133" s="27">
        <f>SUM(BF133:BG133)</f>
        <v/>
      </c>
      <c r="BI133" s="28" t="n"/>
      <c r="BJ133" s="28" t="n"/>
      <c r="BK133" s="29">
        <f>IF(AND(BH133=0,BI133=0,BJ133=0),0,IF(AND(BH133=0,BI133=0),BJ133/1,IF(AND(BH133=0,BJ133=0),BI133/1,IF(AND(BI133=0,BJ133=0),BH133/1,IF(BH133=0,FLOOR((BI133+BJ133)/2,0.1),IF(BI133=0,(BH133+BJ133)/2,IF(BJ133=0,(BI133+BH133)/2,FLOOR(((BH133+BI133+BJ133)/3),0.1))))))))</f>
        <v/>
      </c>
      <c r="BL133" s="21" t="n"/>
      <c r="BM133" s="21" t="n"/>
      <c r="BN133" s="27">
        <f>SUM(BL133:BM133)</f>
        <v/>
      </c>
      <c r="BO133" s="28" t="n"/>
      <c r="BP133" s="31" t="n"/>
      <c r="BQ133" s="29">
        <f>IF(AND(BN133=0,BO133=0,BP133=0),0,IF(AND(BN133=0,BO133=0),BP133/1,IF(AND(BN133=0,BP133=0),BO133/1,IF(AND(BO133=0,BP133=0),BN133/1,IF(BN133=0,FLOOR((BO133+BP133)/2,0.1),IF(BO133=0,(BN133+BP133)/2,IF(BP133=0,(BO133+BN133)/2,FLOOR(((BN133+BO133+BP133)/3),0.1))))))))</f>
        <v/>
      </c>
      <c r="BR133" s="21" t="n"/>
      <c r="BS133" s="21" t="n"/>
      <c r="BT133" s="27">
        <f>SUM(BR133:BS133)</f>
        <v/>
      </c>
      <c r="BU133" s="28" t="n"/>
      <c r="BV133" s="31" t="n"/>
      <c r="BW133" s="29">
        <f>IF(AND(BT133=0,BU133=0,BV133=0),0,IF(AND(BT133=0,BU133=0),BV133/1,IF(AND(BT133=0,BV133=0),BU133/1,IF(AND(BU133=0,BV133=0),BT133/1,IF(BT133=0,FLOOR((BU133+BV133)/2,0.1),IF(BU133=0,(BT133+BV133)/2,IF(BV133=0,(BU133+BT133)/2,FLOOR(((BT133+BU133+BV133)/3),0.1))))))))</f>
        <v/>
      </c>
      <c r="BX133" s="21" t="n"/>
      <c r="BY133" s="21" t="n"/>
      <c r="BZ133" s="27">
        <f>SUM(BX133:BY133)</f>
        <v/>
      </c>
      <c r="CA133" s="28" t="n"/>
      <c r="CB133" s="31" t="n"/>
      <c r="CC133" s="29">
        <f>IF(AND(BZ133=0,CA133=0,CB133=0),0,IF(AND(BZ133=0,CA133=0),CB133/1,IF(AND(BZ133=0,CB133=0),CA133/1,IF(AND(CA133=0,CB133=0),BZ133/1,IF(BZ133=0,FLOOR((CA133+CB133)/2,0.1),IF(CA133=0,(BZ133+CB133)/2,IF(CB133=0,(CA133+BZ133)/2,FLOOR(((BZ133+CA133+CB133)/3),0.1))))))))</f>
        <v/>
      </c>
      <c r="CD133" s="21" t="n"/>
      <c r="CE133" s="21" t="n"/>
      <c r="CF133" s="27">
        <f>SUM(CD133:CE133)</f>
        <v/>
      </c>
      <c r="CG133" s="28" t="n"/>
      <c r="CH133" s="31" t="n"/>
      <c r="CI133" s="29">
        <f>IF(AND(CF133=0,CG133=0,CH133=0),0,IF(AND(CF133=0,CG133=0),CH133/1,IF(AND(CF133=0,CH133=0),CG133/1,IF(AND(CG133=0,CH133=0),CF133/1,IF(CF133=0,FLOOR((CG133+CH133)/2,0.1),IF(CG133=0,(CF133+CH133)/2,IF(CH133=0,(CG133+CF133)/2,FLOOR(((CF133+CG133+CH133)/3),0.1))))))))</f>
        <v/>
      </c>
      <c r="CJ133" s="21" t="n"/>
      <c r="CK133" s="21" t="n"/>
      <c r="CL133" s="27">
        <f>SUM(CJ133:CK133)</f>
        <v/>
      </c>
      <c r="CM133" s="28" t="n"/>
      <c r="CN133" s="31" t="n"/>
      <c r="CO133" s="29">
        <f>IF(AND(CL133=0,CM133=0,CN133=0),0,IF(AND(CL133=0,CM133=0),CN133/1,IF(AND(CL133=0,CN133=0),CM133/1,IF(AND(CM133=0,CN133=0),CL133/1,IF(CL133=0,FLOOR((CM133+CN133)/2,0.1),IF(CM133=0,(CL133+CN133)/2,IF(CN133=0,(CM133+CL133)/2,FLOOR(((CL133+CM133+CN133)/3),0.1))))))))</f>
        <v/>
      </c>
      <c r="CP133" s="21" t="n"/>
      <c r="CQ133" s="21" t="n"/>
      <c r="CR133" s="27">
        <f>SUM(CP133:CQ133)</f>
        <v/>
      </c>
      <c r="CS133" s="28" t="n"/>
      <c r="CT133" s="31" t="n"/>
      <c r="CU133" s="29">
        <f>IF(AND(CR133=0,CS133=0,CT133=0),0,IF(AND(CR133=0,CS133=0),CT133/1,IF(AND(CR133=0,CT133=0),CS133/1,IF(AND(CS133=0,CT133=0),CR133/1,IF(CR133=0,FLOOR((CS133+CT133)/2,0.1),IF(CS133=0,(CR133+CT133)/2,IF(CT133=0,(CS133+CR133)/2,FLOOR(((CR133+CS133+CT133)/3),0.1))))))))</f>
        <v/>
      </c>
      <c r="CV133" s="21" t="n"/>
      <c r="CW133" s="21" t="n"/>
      <c r="CX133" s="27">
        <f>SUM(CV133:CW133)</f>
        <v/>
      </c>
      <c r="CY133" s="28" t="n"/>
      <c r="CZ133" s="31" t="n"/>
      <c r="DA133" s="29">
        <f>IF(AND(CX133=0,CY133=0,CZ133=0),0,IF(AND(CX133=0,CY133=0),CZ133/1,IF(AND(CX133=0,CZ133=0),CY133/1,IF(AND(CY133=0,CZ133=0),CX133/1,IF(CX133=0,FLOOR((CY133+CZ133)/2,0.1),IF(CY133=0,(CX133+CZ133)/2,IF(CZ133=0,(CY133+CX133)/2,FLOOR(((CX133+CY133+CZ133)/3),0.1))))))))</f>
        <v/>
      </c>
      <c r="DB133" s="21" t="n"/>
      <c r="DC133" s="21" t="n"/>
      <c r="DD133" s="27">
        <f>SUM(DB133:DC133)</f>
        <v/>
      </c>
      <c r="DE133" s="28" t="n"/>
      <c r="DF133" s="31" t="n"/>
      <c r="DG133" s="29">
        <f>IF(AND(DD133=0,DE133=0,DF133=0),0,IF(AND(DD133=0,DE133=0),DF133/1,IF(AND(DD133=0,DF133=0),DE133/1,IF(AND(DE133=0,DF133=0),DD133/1,IF(DD133=0,FLOOR((DE133+DF133)/2,0.1),IF(DE133=0,(DD133+DF133)/2,IF(DF133=0,(DE133+DD133)/2,FLOOR(((DD133+DE133+DF133)/3),0.1))))))))</f>
        <v/>
      </c>
      <c r="DH133" s="34">
        <f>SUM(O133,U133,AA133,AG133,AM133,AS133,AY133,BE133,BK133,BQ133,BW133,CC133,CI133,CO133,CU133,DA133,DG133)</f>
        <v/>
      </c>
      <c r="DI133" s="39">
        <f>RANK(DH133,DH$4:DH$503)</f>
        <v/>
      </c>
      <c r="DJ133" s="40" t="inlineStr">
        <is>
          <t>CHOOSE RATING</t>
        </is>
      </c>
      <c r="DK133" s="40" t="inlineStr">
        <is>
          <t>CHOOSE RATING</t>
        </is>
      </c>
      <c r="DL133" s="40" t="inlineStr">
        <is>
          <t>CHOOSE RATING</t>
        </is>
      </c>
      <c r="DM133" s="40" t="inlineStr">
        <is>
          <t>CHOOSE RATING</t>
        </is>
      </c>
      <c r="DN133" s="40" t="inlineStr">
        <is>
          <t>CHOOSE RATING</t>
        </is>
      </c>
      <c r="DO133" s="40" t="inlineStr">
        <is>
          <t>CHOOSE RATING</t>
        </is>
      </c>
      <c r="DP133" s="40" t="inlineStr">
        <is>
          <t>CHOOSE RATING</t>
        </is>
      </c>
      <c r="DQ133" s="40" t="inlineStr">
        <is>
          <t>CHOOSE RATING</t>
        </is>
      </c>
      <c r="DR133" s="43" t="inlineStr">
        <is>
          <t>2024/2025</t>
        </is>
      </c>
      <c r="DS133" s="45" t="inlineStr">
        <is>
          <t>THIRD</t>
        </is>
      </c>
      <c r="DT133" s="40" t="inlineStr">
        <is>
          <t>CHOOSE RATING</t>
        </is>
      </c>
      <c r="DU133" s="40" t="inlineStr">
        <is>
          <t>CHOOSE RATING</t>
        </is>
      </c>
      <c r="DV133" s="40" t="inlineStr">
        <is>
          <t>CHOOSE RATING</t>
        </is>
      </c>
      <c r="DW133" s="40" t="inlineStr">
        <is>
          <t>CHOOSE RATING</t>
        </is>
      </c>
      <c r="DX133" s="40" t="inlineStr">
        <is>
          <t>CHOOSE RATING</t>
        </is>
      </c>
      <c r="DY133" s="40" t="inlineStr">
        <is>
          <t>CHOOSE RATING</t>
        </is>
      </c>
      <c r="DZ133" s="53" t="inlineStr">
        <is>
          <t>CHOOSE RATING</t>
        </is>
      </c>
      <c r="EA133" s="54" t="inlineStr">
        <is>
          <t>Add the Tutor's Comment . . .</t>
        </is>
      </c>
      <c r="EB133" s="55" t="inlineStr">
        <is>
          <t>Choose Principals comment</t>
        </is>
      </c>
      <c r="EC133" s="56" t="n"/>
      <c r="ED133" s="57" t="inlineStr">
        <is>
          <t>Next Term Begins on Monday, 22nd September, 2025</t>
        </is>
      </c>
    </row>
    <row r="134" ht="30.6" customHeight="1" s="6">
      <c r="A134" s="18" t="n">
        <v>131</v>
      </c>
      <c r="B134" s="19" t="n"/>
      <c r="C134" s="20" t="n"/>
      <c r="D134" s="128" t="n"/>
      <c r="E134" s="21" t="n"/>
      <c r="F134" s="22" t="n"/>
      <c r="G134" s="22" t="n"/>
      <c r="H134" s="22" t="n"/>
      <c r="I134" s="26">
        <f>G134-H134</f>
        <v/>
      </c>
      <c r="J134" s="21" t="n"/>
      <c r="K134" s="21" t="n"/>
      <c r="L134" s="27">
        <f>SUM(J134:K134)</f>
        <v/>
      </c>
      <c r="M134" s="28" t="n"/>
      <c r="N134" s="28" t="n"/>
      <c r="O134" s="29">
        <f>IF(AND(L134=0,M134=0,N134=0),0,IF(AND(L134=0,M134=0),N134/1,IF(AND(L134=0,N134=0),M134/1,IF(AND(M134=0,N134=0),L134/1,IF(L134=0,FLOOR((M134+N134)/2,0.1),IF(M134=0,(L134+N134)/2,IF(N134=0,(M134+L134)/2,FLOOR(((L134+M134+N134)/3),0.1))))))))</f>
        <v/>
      </c>
      <c r="P134" s="21" t="n"/>
      <c r="Q134" s="21" t="n"/>
      <c r="R134" s="27">
        <f>SUM(P134:Q134)</f>
        <v/>
      </c>
      <c r="S134" s="28" t="n"/>
      <c r="T134" s="28" t="n"/>
      <c r="U134" s="29">
        <f>IF(AND(R134=0,S134=0,T134=0),0,IF(AND(R134=0,S134=0),T134/1,IF(AND(R134=0,T134=0),S134/1,IF(AND(S134=0,T134=0),R134/1,IF(R134=0,FLOOR((S134+T134)/2,0.1),IF(S134=0,(R134+T134)/2,IF(T134=0,(S134+R134)/2,FLOOR(((R134+S134+T134)/3),0.1))))))))</f>
        <v/>
      </c>
      <c r="V134" s="21" t="n"/>
      <c r="W134" s="21" t="n"/>
      <c r="X134" s="27">
        <f>SUM(V134:W134)</f>
        <v/>
      </c>
      <c r="Y134" s="28" t="n"/>
      <c r="Z134" s="28" t="n"/>
      <c r="AA134" s="29">
        <f>IF(AND(X134=0,Y134=0,Z134=0),0,IF(AND(X134=0,Y134=0),Z134/1,IF(AND(X134=0,Z134=0),Y134/1,IF(AND(Y134=0,Z134=0),X134/1,IF(X134=0,FLOOR((Y134+Z134)/2,0.1),IF(Y134=0,(X134+Z134)/2,IF(Z134=0,(Y134+X134)/2,FLOOR(((X134+Y134+Z134)/3),0.1))))))))</f>
        <v/>
      </c>
      <c r="AB134" s="21" t="n"/>
      <c r="AC134" s="21" t="n"/>
      <c r="AD134" s="27">
        <f>SUM(AB134:AC134)</f>
        <v/>
      </c>
      <c r="AE134" s="28" t="n"/>
      <c r="AF134" s="28" t="n"/>
      <c r="AG134" s="29">
        <f>IF(AND(AD134=0,AE134=0,AF134=0),0,IF(AND(AD134=0,AE134=0),AF134/1,IF(AND(AD134=0,AF134=0),AE134/1,IF(AND(AE134=0,AF134=0),AD134/1,IF(AD134=0,FLOOR((AE134+AF134)/2,0.1),IF(AE134=0,(AD134+AF134)/2,IF(AF134=0,(AE134+AD134)/2,FLOOR(((AD134+AE134+AF134)/3),0.1))))))))</f>
        <v/>
      </c>
      <c r="AH134" s="21" t="n"/>
      <c r="AI134" s="21" t="n"/>
      <c r="AJ134" s="27">
        <f>SUM(AH134:AI134)</f>
        <v/>
      </c>
      <c r="AK134" s="28" t="n"/>
      <c r="AL134" s="28" t="n"/>
      <c r="AM134" s="29">
        <f>IF(AND(AJ134=0,AK134=0,AL134=0),0,IF(AND(AJ134=0,AK134=0),AL134/1,IF(AND(AJ134=0,AL134=0),AK134/1,IF(AND(AK134=0,AL134=0),AJ134/1,IF(AJ134=0,FLOOR((AK134+AL134)/2,0.1),IF(AK134=0,(AJ134+AL134)/2,IF(AL134=0,(AK134+AJ134)/2,FLOOR(((AJ134+AK134+AL134)/3),0.1))))))))</f>
        <v/>
      </c>
      <c r="AN134" s="21" t="n"/>
      <c r="AO134" s="21" t="n"/>
      <c r="AP134" s="27">
        <f>SUM(AN134:AO134)</f>
        <v/>
      </c>
      <c r="AQ134" s="28" t="n"/>
      <c r="AR134" s="30" t="n"/>
      <c r="AS134" s="29">
        <f>IF(AND(AP134=0,AQ134=0,AR134=0),0,IF(AND(AP134=0,AQ134=0),AR134/1,IF(AND(AP134=0,AR134=0),AQ134/1,IF(AND(AQ134=0,AR134=0),AP134/1,IF(AP134=0,FLOOR((AQ134+AR134)/2,0.1),IF(AQ134=0,(AP134+AR134)/2,IF(AR134=0,(AQ134+AP134)/2,FLOOR(((AP134+AQ134+AR134)/3),0.1))))))))</f>
        <v/>
      </c>
      <c r="AT134" s="21" t="n"/>
      <c r="AU134" s="21" t="n"/>
      <c r="AV134" s="27">
        <f>SUM(AT134:AU134)</f>
        <v/>
      </c>
      <c r="AW134" s="28" t="n"/>
      <c r="AX134" s="30" t="n"/>
      <c r="AY134" s="29">
        <f>IF(AND(AV134=0,AW134=0,AX134=0),0,IF(AND(AV134=0,AW134=0),AX134/1,IF(AND(AV134=0,AX134=0),AW134/1,IF(AND(AW134=0,AX134=0),AV134/1,IF(AV134=0,FLOOR((AW134+AX134)/2,0.1),IF(AW134=0,(AV134+AX134)/2,IF(AX134=0,(AW134+AV134)/2,FLOOR(((AV134+AW134+AX134)/3),0.1))))))))</f>
        <v/>
      </c>
      <c r="AZ134" s="21" t="n"/>
      <c r="BA134" s="21" t="n"/>
      <c r="BB134" s="27">
        <f>SUM(AZ134:BA134)</f>
        <v/>
      </c>
      <c r="BC134" s="28" t="n"/>
      <c r="BD134" s="28" t="n"/>
      <c r="BE134" s="29">
        <f>IF(AND(BB134=0,BC134=0,BD134=0),0,IF(AND(BB134=0,BC134=0),BD134/1,IF(AND(BB134=0,BD134=0),BC134/1,IF(AND(BC134=0,BD134=0),BB134/1,IF(BB134=0,FLOOR((BC134+BD134)/2,0.1),IF(BC134=0,(BB134+BD134)/2,IF(BD134=0,(BC134+BB134)/2,FLOOR(((BB134+BC134+BD134)/3),0.1))))))))</f>
        <v/>
      </c>
      <c r="BF134" s="21" t="n"/>
      <c r="BG134" s="21" t="n"/>
      <c r="BH134" s="27">
        <f>SUM(BF134:BG134)</f>
        <v/>
      </c>
      <c r="BI134" s="28" t="n"/>
      <c r="BJ134" s="28" t="n"/>
      <c r="BK134" s="29">
        <f>IF(AND(BH134=0,BI134=0,BJ134=0),0,IF(AND(BH134=0,BI134=0),BJ134/1,IF(AND(BH134=0,BJ134=0),BI134/1,IF(AND(BI134=0,BJ134=0),BH134/1,IF(BH134=0,FLOOR((BI134+BJ134)/2,0.1),IF(BI134=0,(BH134+BJ134)/2,IF(BJ134=0,(BI134+BH134)/2,FLOOR(((BH134+BI134+BJ134)/3),0.1))))))))</f>
        <v/>
      </c>
      <c r="BL134" s="21" t="n"/>
      <c r="BM134" s="21" t="n"/>
      <c r="BN134" s="27">
        <f>SUM(BL134:BM134)</f>
        <v/>
      </c>
      <c r="BO134" s="28" t="n"/>
      <c r="BP134" s="31" t="n"/>
      <c r="BQ134" s="29">
        <f>IF(AND(BN134=0,BO134=0,BP134=0),0,IF(AND(BN134=0,BO134=0),BP134/1,IF(AND(BN134=0,BP134=0),BO134/1,IF(AND(BO134=0,BP134=0),BN134/1,IF(BN134=0,FLOOR((BO134+BP134)/2,0.1),IF(BO134=0,(BN134+BP134)/2,IF(BP134=0,(BO134+BN134)/2,FLOOR(((BN134+BO134+BP134)/3),0.1))))))))</f>
        <v/>
      </c>
      <c r="BR134" s="21" t="n"/>
      <c r="BS134" s="21" t="n"/>
      <c r="BT134" s="27">
        <f>SUM(BR134:BS134)</f>
        <v/>
      </c>
      <c r="BU134" s="28" t="n"/>
      <c r="BV134" s="31" t="n"/>
      <c r="BW134" s="29">
        <f>IF(AND(BT134=0,BU134=0,BV134=0),0,IF(AND(BT134=0,BU134=0),BV134/1,IF(AND(BT134=0,BV134=0),BU134/1,IF(AND(BU134=0,BV134=0),BT134/1,IF(BT134=0,FLOOR((BU134+BV134)/2,0.1),IF(BU134=0,(BT134+BV134)/2,IF(BV134=0,(BU134+BT134)/2,FLOOR(((BT134+BU134+BV134)/3),0.1))))))))</f>
        <v/>
      </c>
      <c r="BX134" s="21" t="n"/>
      <c r="BY134" s="21" t="n"/>
      <c r="BZ134" s="27">
        <f>SUM(BX134:BY134)</f>
        <v/>
      </c>
      <c r="CA134" s="28" t="n"/>
      <c r="CB134" s="31" t="n"/>
      <c r="CC134" s="29">
        <f>IF(AND(BZ134=0,CA134=0,CB134=0),0,IF(AND(BZ134=0,CA134=0),CB134/1,IF(AND(BZ134=0,CB134=0),CA134/1,IF(AND(CA134=0,CB134=0),BZ134/1,IF(BZ134=0,FLOOR((CA134+CB134)/2,0.1),IF(CA134=0,(BZ134+CB134)/2,IF(CB134=0,(CA134+BZ134)/2,FLOOR(((BZ134+CA134+CB134)/3),0.1))))))))</f>
        <v/>
      </c>
      <c r="CD134" s="21" t="n"/>
      <c r="CE134" s="21" t="n"/>
      <c r="CF134" s="27">
        <f>SUM(CD134:CE134)</f>
        <v/>
      </c>
      <c r="CG134" s="28" t="n"/>
      <c r="CH134" s="31" t="n"/>
      <c r="CI134" s="29">
        <f>IF(AND(CF134=0,CG134=0,CH134=0),0,IF(AND(CF134=0,CG134=0),CH134/1,IF(AND(CF134=0,CH134=0),CG134/1,IF(AND(CG134=0,CH134=0),CF134/1,IF(CF134=0,FLOOR((CG134+CH134)/2,0.1),IF(CG134=0,(CF134+CH134)/2,IF(CH134=0,(CG134+CF134)/2,FLOOR(((CF134+CG134+CH134)/3),0.1))))))))</f>
        <v/>
      </c>
      <c r="CJ134" s="21" t="n"/>
      <c r="CK134" s="21" t="n"/>
      <c r="CL134" s="27">
        <f>SUM(CJ134:CK134)</f>
        <v/>
      </c>
      <c r="CM134" s="28" t="n"/>
      <c r="CN134" s="31" t="n"/>
      <c r="CO134" s="29">
        <f>IF(AND(CL134=0,CM134=0,CN134=0),0,IF(AND(CL134=0,CM134=0),CN134/1,IF(AND(CL134=0,CN134=0),CM134/1,IF(AND(CM134=0,CN134=0),CL134/1,IF(CL134=0,FLOOR((CM134+CN134)/2,0.1),IF(CM134=0,(CL134+CN134)/2,IF(CN134=0,(CM134+CL134)/2,FLOOR(((CL134+CM134+CN134)/3),0.1))))))))</f>
        <v/>
      </c>
      <c r="CP134" s="21" t="n"/>
      <c r="CQ134" s="21" t="n"/>
      <c r="CR134" s="27">
        <f>SUM(CP134:CQ134)</f>
        <v/>
      </c>
      <c r="CS134" s="28" t="n"/>
      <c r="CT134" s="31" t="n"/>
      <c r="CU134" s="29">
        <f>IF(AND(CR134=0,CS134=0,CT134=0),0,IF(AND(CR134=0,CS134=0),CT134/1,IF(AND(CR134=0,CT134=0),CS134/1,IF(AND(CS134=0,CT134=0),CR134/1,IF(CR134=0,FLOOR((CS134+CT134)/2,0.1),IF(CS134=0,(CR134+CT134)/2,IF(CT134=0,(CS134+CR134)/2,FLOOR(((CR134+CS134+CT134)/3),0.1))))))))</f>
        <v/>
      </c>
      <c r="CV134" s="21" t="n"/>
      <c r="CW134" s="21" t="n"/>
      <c r="CX134" s="27">
        <f>SUM(CV134:CW134)</f>
        <v/>
      </c>
      <c r="CY134" s="28" t="n"/>
      <c r="CZ134" s="31" t="n"/>
      <c r="DA134" s="29">
        <f>IF(AND(CX134=0,CY134=0,CZ134=0),0,IF(AND(CX134=0,CY134=0),CZ134/1,IF(AND(CX134=0,CZ134=0),CY134/1,IF(AND(CY134=0,CZ134=0),CX134/1,IF(CX134=0,FLOOR((CY134+CZ134)/2,0.1),IF(CY134=0,(CX134+CZ134)/2,IF(CZ134=0,(CY134+CX134)/2,FLOOR(((CX134+CY134+CZ134)/3),0.1))))))))</f>
        <v/>
      </c>
      <c r="DB134" s="21" t="n"/>
      <c r="DC134" s="21" t="n"/>
      <c r="DD134" s="27">
        <f>SUM(DB134:DC134)</f>
        <v/>
      </c>
      <c r="DE134" s="28" t="n"/>
      <c r="DF134" s="31" t="n"/>
      <c r="DG134" s="29">
        <f>IF(AND(DD134=0,DE134=0,DF134=0),0,IF(AND(DD134=0,DE134=0),DF134/1,IF(AND(DD134=0,DF134=0),DE134/1,IF(AND(DE134=0,DF134=0),DD134/1,IF(DD134=0,FLOOR((DE134+DF134)/2,0.1),IF(DE134=0,(DD134+DF134)/2,IF(DF134=0,(DE134+DD134)/2,FLOOR(((DD134+DE134+DF134)/3),0.1))))))))</f>
        <v/>
      </c>
      <c r="DH134" s="34">
        <f>SUM(O134,U134,AA134,AG134,AM134,AS134,AY134,BE134,BK134,BQ134,BW134,CC134,CI134,CO134,CU134,DA134,DG134)</f>
        <v/>
      </c>
      <c r="DI134" s="39">
        <f>RANK(DH134,DH$4:DH$503)</f>
        <v/>
      </c>
      <c r="DJ134" s="40" t="inlineStr">
        <is>
          <t>CHOOSE RATING</t>
        </is>
      </c>
      <c r="DK134" s="40" t="inlineStr">
        <is>
          <t>CHOOSE RATING</t>
        </is>
      </c>
      <c r="DL134" s="40" t="inlineStr">
        <is>
          <t>CHOOSE RATING</t>
        </is>
      </c>
      <c r="DM134" s="40" t="inlineStr">
        <is>
          <t>CHOOSE RATING</t>
        </is>
      </c>
      <c r="DN134" s="40" t="inlineStr">
        <is>
          <t>CHOOSE RATING</t>
        </is>
      </c>
      <c r="DO134" s="40" t="inlineStr">
        <is>
          <t>CHOOSE RATING</t>
        </is>
      </c>
      <c r="DP134" s="40" t="inlineStr">
        <is>
          <t>CHOOSE RATING</t>
        </is>
      </c>
      <c r="DQ134" s="40" t="inlineStr">
        <is>
          <t>CHOOSE RATING</t>
        </is>
      </c>
      <c r="DR134" s="43" t="inlineStr">
        <is>
          <t>2024/2025</t>
        </is>
      </c>
      <c r="DS134" s="45" t="inlineStr">
        <is>
          <t>THIRD</t>
        </is>
      </c>
      <c r="DT134" s="40" t="inlineStr">
        <is>
          <t>CHOOSE RATING</t>
        </is>
      </c>
      <c r="DU134" s="40" t="inlineStr">
        <is>
          <t>CHOOSE RATING</t>
        </is>
      </c>
      <c r="DV134" s="40" t="inlineStr">
        <is>
          <t>CHOOSE RATING</t>
        </is>
      </c>
      <c r="DW134" s="40" t="inlineStr">
        <is>
          <t>CHOOSE RATING</t>
        </is>
      </c>
      <c r="DX134" s="40" t="inlineStr">
        <is>
          <t>CHOOSE RATING</t>
        </is>
      </c>
      <c r="DY134" s="40" t="inlineStr">
        <is>
          <t>CHOOSE RATING</t>
        </is>
      </c>
      <c r="DZ134" s="53" t="inlineStr">
        <is>
          <t>CHOOSE RATING</t>
        </is>
      </c>
      <c r="EA134" s="54" t="inlineStr">
        <is>
          <t>Add the Tutor's Comment . . .</t>
        </is>
      </c>
      <c r="EB134" s="55" t="inlineStr">
        <is>
          <t>Choose Principals comment</t>
        </is>
      </c>
      <c r="EC134" s="56" t="n"/>
      <c r="ED134" s="57" t="inlineStr">
        <is>
          <t>Next Term Begins on Monday, 22nd September, 2025</t>
        </is>
      </c>
    </row>
    <row r="135" ht="30.6" customHeight="1" s="6">
      <c r="A135" s="18" t="n">
        <v>132</v>
      </c>
      <c r="B135" s="19" t="n"/>
      <c r="C135" s="20" t="n"/>
      <c r="D135" s="128" t="n"/>
      <c r="E135" s="21" t="n"/>
      <c r="F135" s="22" t="n"/>
      <c r="G135" s="22" t="n"/>
      <c r="H135" s="22" t="n"/>
      <c r="I135" s="26">
        <f>G135-H135</f>
        <v/>
      </c>
      <c r="J135" s="21" t="n"/>
      <c r="K135" s="21" t="n"/>
      <c r="L135" s="27">
        <f>SUM(J135:K135)</f>
        <v/>
      </c>
      <c r="M135" s="28" t="n"/>
      <c r="N135" s="28" t="n"/>
      <c r="O135" s="29">
        <f>IF(AND(L135=0,M135=0,N135=0),0,IF(AND(L135=0,M135=0),N135/1,IF(AND(L135=0,N135=0),M135/1,IF(AND(M135=0,N135=0),L135/1,IF(L135=0,FLOOR((M135+N135)/2,0.1),IF(M135=0,(L135+N135)/2,IF(N135=0,(M135+L135)/2,FLOOR(((L135+M135+N135)/3),0.1))))))))</f>
        <v/>
      </c>
      <c r="P135" s="21" t="n"/>
      <c r="Q135" s="21" t="n"/>
      <c r="R135" s="27">
        <f>SUM(P135:Q135)</f>
        <v/>
      </c>
      <c r="S135" s="28" t="n"/>
      <c r="T135" s="28" t="n"/>
      <c r="U135" s="29">
        <f>IF(AND(R135=0,S135=0,T135=0),0,IF(AND(R135=0,S135=0),T135/1,IF(AND(R135=0,T135=0),S135/1,IF(AND(S135=0,T135=0),R135/1,IF(R135=0,FLOOR((S135+T135)/2,0.1),IF(S135=0,(R135+T135)/2,IF(T135=0,(S135+R135)/2,FLOOR(((R135+S135+T135)/3),0.1))))))))</f>
        <v/>
      </c>
      <c r="V135" s="21" t="n"/>
      <c r="W135" s="21" t="n"/>
      <c r="X135" s="27">
        <f>SUM(V135:W135)</f>
        <v/>
      </c>
      <c r="Y135" s="28" t="n"/>
      <c r="Z135" s="28" t="n"/>
      <c r="AA135" s="29">
        <f>IF(AND(X135=0,Y135=0,Z135=0),0,IF(AND(X135=0,Y135=0),Z135/1,IF(AND(X135=0,Z135=0),Y135/1,IF(AND(Y135=0,Z135=0),X135/1,IF(X135=0,FLOOR((Y135+Z135)/2,0.1),IF(Y135=0,(X135+Z135)/2,IF(Z135=0,(Y135+X135)/2,FLOOR(((X135+Y135+Z135)/3),0.1))))))))</f>
        <v/>
      </c>
      <c r="AB135" s="21" t="n"/>
      <c r="AC135" s="21" t="n"/>
      <c r="AD135" s="27">
        <f>SUM(AB135:AC135)</f>
        <v/>
      </c>
      <c r="AE135" s="28" t="n"/>
      <c r="AF135" s="28" t="n"/>
      <c r="AG135" s="29">
        <f>IF(AND(AD135=0,AE135=0,AF135=0),0,IF(AND(AD135=0,AE135=0),AF135/1,IF(AND(AD135=0,AF135=0),AE135/1,IF(AND(AE135=0,AF135=0),AD135/1,IF(AD135=0,FLOOR((AE135+AF135)/2,0.1),IF(AE135=0,(AD135+AF135)/2,IF(AF135=0,(AE135+AD135)/2,FLOOR(((AD135+AE135+AF135)/3),0.1))))))))</f>
        <v/>
      </c>
      <c r="AH135" s="21" t="n"/>
      <c r="AI135" s="21" t="n"/>
      <c r="AJ135" s="27">
        <f>SUM(AH135:AI135)</f>
        <v/>
      </c>
      <c r="AK135" s="28" t="n"/>
      <c r="AL135" s="28" t="n"/>
      <c r="AM135" s="29">
        <f>IF(AND(AJ135=0,AK135=0,AL135=0),0,IF(AND(AJ135=0,AK135=0),AL135/1,IF(AND(AJ135=0,AL135=0),AK135/1,IF(AND(AK135=0,AL135=0),AJ135/1,IF(AJ135=0,FLOOR((AK135+AL135)/2,0.1),IF(AK135=0,(AJ135+AL135)/2,IF(AL135=0,(AK135+AJ135)/2,FLOOR(((AJ135+AK135+AL135)/3),0.1))))))))</f>
        <v/>
      </c>
      <c r="AN135" s="21" t="n"/>
      <c r="AO135" s="21" t="n"/>
      <c r="AP135" s="27">
        <f>SUM(AN135:AO135)</f>
        <v/>
      </c>
      <c r="AQ135" s="28" t="n"/>
      <c r="AR135" s="30" t="n"/>
      <c r="AS135" s="29">
        <f>IF(AND(AP135=0,AQ135=0,AR135=0),0,IF(AND(AP135=0,AQ135=0),AR135/1,IF(AND(AP135=0,AR135=0),AQ135/1,IF(AND(AQ135=0,AR135=0),AP135/1,IF(AP135=0,FLOOR((AQ135+AR135)/2,0.1),IF(AQ135=0,(AP135+AR135)/2,IF(AR135=0,(AQ135+AP135)/2,FLOOR(((AP135+AQ135+AR135)/3),0.1))))))))</f>
        <v/>
      </c>
      <c r="AT135" s="21" t="n"/>
      <c r="AU135" s="21" t="n"/>
      <c r="AV135" s="27">
        <f>SUM(AT135:AU135)</f>
        <v/>
      </c>
      <c r="AW135" s="28" t="n"/>
      <c r="AX135" s="30" t="n"/>
      <c r="AY135" s="29">
        <f>IF(AND(AV135=0,AW135=0,AX135=0),0,IF(AND(AV135=0,AW135=0),AX135/1,IF(AND(AV135=0,AX135=0),AW135/1,IF(AND(AW135=0,AX135=0),AV135/1,IF(AV135=0,FLOOR((AW135+AX135)/2,0.1),IF(AW135=0,(AV135+AX135)/2,IF(AX135=0,(AW135+AV135)/2,FLOOR(((AV135+AW135+AX135)/3),0.1))))))))</f>
        <v/>
      </c>
      <c r="AZ135" s="21" t="n"/>
      <c r="BA135" s="21" t="n"/>
      <c r="BB135" s="27">
        <f>SUM(AZ135:BA135)</f>
        <v/>
      </c>
      <c r="BC135" s="28" t="n"/>
      <c r="BD135" s="28" t="n"/>
      <c r="BE135" s="29">
        <f>IF(AND(BB135=0,BC135=0,BD135=0),0,IF(AND(BB135=0,BC135=0),BD135/1,IF(AND(BB135=0,BD135=0),BC135/1,IF(AND(BC135=0,BD135=0),BB135/1,IF(BB135=0,FLOOR((BC135+BD135)/2,0.1),IF(BC135=0,(BB135+BD135)/2,IF(BD135=0,(BC135+BB135)/2,FLOOR(((BB135+BC135+BD135)/3),0.1))))))))</f>
        <v/>
      </c>
      <c r="BF135" s="21" t="n"/>
      <c r="BG135" s="21" t="n"/>
      <c r="BH135" s="27">
        <f>SUM(BF135:BG135)</f>
        <v/>
      </c>
      <c r="BI135" s="28" t="n"/>
      <c r="BJ135" s="28" t="n"/>
      <c r="BK135" s="29">
        <f>IF(AND(BH135=0,BI135=0,BJ135=0),0,IF(AND(BH135=0,BI135=0),BJ135/1,IF(AND(BH135=0,BJ135=0),BI135/1,IF(AND(BI135=0,BJ135=0),BH135/1,IF(BH135=0,FLOOR((BI135+BJ135)/2,0.1),IF(BI135=0,(BH135+BJ135)/2,IF(BJ135=0,(BI135+BH135)/2,FLOOR(((BH135+BI135+BJ135)/3),0.1))))))))</f>
        <v/>
      </c>
      <c r="BL135" s="21" t="n"/>
      <c r="BM135" s="21" t="n"/>
      <c r="BN135" s="27">
        <f>SUM(BL135:BM135)</f>
        <v/>
      </c>
      <c r="BO135" s="28" t="n"/>
      <c r="BP135" s="31" t="n"/>
      <c r="BQ135" s="29">
        <f>IF(AND(BN135=0,BO135=0,BP135=0),0,IF(AND(BN135=0,BO135=0),BP135/1,IF(AND(BN135=0,BP135=0),BO135/1,IF(AND(BO135=0,BP135=0),BN135/1,IF(BN135=0,FLOOR((BO135+BP135)/2,0.1),IF(BO135=0,(BN135+BP135)/2,IF(BP135=0,(BO135+BN135)/2,FLOOR(((BN135+BO135+BP135)/3),0.1))))))))</f>
        <v/>
      </c>
      <c r="BR135" s="21" t="n"/>
      <c r="BS135" s="21" t="n"/>
      <c r="BT135" s="27">
        <f>SUM(BR135:BS135)</f>
        <v/>
      </c>
      <c r="BU135" s="28" t="n"/>
      <c r="BV135" s="31" t="n"/>
      <c r="BW135" s="29">
        <f>IF(AND(BT135=0,BU135=0,BV135=0),0,IF(AND(BT135=0,BU135=0),BV135/1,IF(AND(BT135=0,BV135=0),BU135/1,IF(AND(BU135=0,BV135=0),BT135/1,IF(BT135=0,FLOOR((BU135+BV135)/2,0.1),IF(BU135=0,(BT135+BV135)/2,IF(BV135=0,(BU135+BT135)/2,FLOOR(((BT135+BU135+BV135)/3),0.1))))))))</f>
        <v/>
      </c>
      <c r="BX135" s="21" t="n"/>
      <c r="BY135" s="21" t="n"/>
      <c r="BZ135" s="27">
        <f>SUM(BX135:BY135)</f>
        <v/>
      </c>
      <c r="CA135" s="28" t="n"/>
      <c r="CB135" s="31" t="n"/>
      <c r="CC135" s="29">
        <f>IF(AND(BZ135=0,CA135=0,CB135=0),0,IF(AND(BZ135=0,CA135=0),CB135/1,IF(AND(BZ135=0,CB135=0),CA135/1,IF(AND(CA135=0,CB135=0),BZ135/1,IF(BZ135=0,FLOOR((CA135+CB135)/2,0.1),IF(CA135=0,(BZ135+CB135)/2,IF(CB135=0,(CA135+BZ135)/2,FLOOR(((BZ135+CA135+CB135)/3),0.1))))))))</f>
        <v/>
      </c>
      <c r="CD135" s="21" t="n"/>
      <c r="CE135" s="21" t="n"/>
      <c r="CF135" s="27">
        <f>SUM(CD135:CE135)</f>
        <v/>
      </c>
      <c r="CG135" s="28" t="n"/>
      <c r="CH135" s="31" t="n"/>
      <c r="CI135" s="29">
        <f>IF(AND(CF135=0,CG135=0,CH135=0),0,IF(AND(CF135=0,CG135=0),CH135/1,IF(AND(CF135=0,CH135=0),CG135/1,IF(AND(CG135=0,CH135=0),CF135/1,IF(CF135=0,FLOOR((CG135+CH135)/2,0.1),IF(CG135=0,(CF135+CH135)/2,IF(CH135=0,(CG135+CF135)/2,FLOOR(((CF135+CG135+CH135)/3),0.1))))))))</f>
        <v/>
      </c>
      <c r="CJ135" s="21" t="n"/>
      <c r="CK135" s="21" t="n"/>
      <c r="CL135" s="27">
        <f>SUM(CJ135:CK135)</f>
        <v/>
      </c>
      <c r="CM135" s="28" t="n"/>
      <c r="CN135" s="31" t="n"/>
      <c r="CO135" s="29">
        <f>IF(AND(CL135=0,CM135=0,CN135=0),0,IF(AND(CL135=0,CM135=0),CN135/1,IF(AND(CL135=0,CN135=0),CM135/1,IF(AND(CM135=0,CN135=0),CL135/1,IF(CL135=0,FLOOR((CM135+CN135)/2,0.1),IF(CM135=0,(CL135+CN135)/2,IF(CN135=0,(CM135+CL135)/2,FLOOR(((CL135+CM135+CN135)/3),0.1))))))))</f>
        <v/>
      </c>
      <c r="CP135" s="21" t="n"/>
      <c r="CQ135" s="21" t="n"/>
      <c r="CR135" s="27">
        <f>SUM(CP135:CQ135)</f>
        <v/>
      </c>
      <c r="CS135" s="28" t="n"/>
      <c r="CT135" s="31" t="n"/>
      <c r="CU135" s="29">
        <f>IF(AND(CR135=0,CS135=0,CT135=0),0,IF(AND(CR135=0,CS135=0),CT135/1,IF(AND(CR135=0,CT135=0),CS135/1,IF(AND(CS135=0,CT135=0),CR135/1,IF(CR135=0,FLOOR((CS135+CT135)/2,0.1),IF(CS135=0,(CR135+CT135)/2,IF(CT135=0,(CS135+CR135)/2,FLOOR(((CR135+CS135+CT135)/3),0.1))))))))</f>
        <v/>
      </c>
      <c r="CV135" s="21" t="n"/>
      <c r="CW135" s="21" t="n"/>
      <c r="CX135" s="27">
        <f>SUM(CV135:CW135)</f>
        <v/>
      </c>
      <c r="CY135" s="28" t="n"/>
      <c r="CZ135" s="31" t="n"/>
      <c r="DA135" s="29">
        <f>IF(AND(CX135=0,CY135=0,CZ135=0),0,IF(AND(CX135=0,CY135=0),CZ135/1,IF(AND(CX135=0,CZ135=0),CY135/1,IF(AND(CY135=0,CZ135=0),CX135/1,IF(CX135=0,FLOOR((CY135+CZ135)/2,0.1),IF(CY135=0,(CX135+CZ135)/2,IF(CZ135=0,(CY135+CX135)/2,FLOOR(((CX135+CY135+CZ135)/3),0.1))))))))</f>
        <v/>
      </c>
      <c r="DB135" s="21" t="n"/>
      <c r="DC135" s="21" t="n"/>
      <c r="DD135" s="27">
        <f>SUM(DB135:DC135)</f>
        <v/>
      </c>
      <c r="DE135" s="28" t="n"/>
      <c r="DF135" s="31" t="n"/>
      <c r="DG135" s="29">
        <f>IF(AND(DD135=0,DE135=0,DF135=0),0,IF(AND(DD135=0,DE135=0),DF135/1,IF(AND(DD135=0,DF135=0),DE135/1,IF(AND(DE135=0,DF135=0),DD135/1,IF(DD135=0,FLOOR((DE135+DF135)/2,0.1),IF(DE135=0,(DD135+DF135)/2,IF(DF135=0,(DE135+DD135)/2,FLOOR(((DD135+DE135+DF135)/3),0.1))))))))</f>
        <v/>
      </c>
      <c r="DH135" s="34">
        <f>SUM(O135,U135,AA135,AG135,AM135,AS135,AY135,BE135,BK135,BQ135,BW135,CC135,CI135,CO135,CU135,DA135,DG135)</f>
        <v/>
      </c>
      <c r="DI135" s="39">
        <f>RANK(DH135,DH$4:DH$503)</f>
        <v/>
      </c>
      <c r="DJ135" s="40" t="inlineStr">
        <is>
          <t>CHOOSE RATING</t>
        </is>
      </c>
      <c r="DK135" s="40" t="inlineStr">
        <is>
          <t>CHOOSE RATING</t>
        </is>
      </c>
      <c r="DL135" s="40" t="inlineStr">
        <is>
          <t>CHOOSE RATING</t>
        </is>
      </c>
      <c r="DM135" s="40" t="inlineStr">
        <is>
          <t>CHOOSE RATING</t>
        </is>
      </c>
      <c r="DN135" s="40" t="inlineStr">
        <is>
          <t>CHOOSE RATING</t>
        </is>
      </c>
      <c r="DO135" s="40" t="inlineStr">
        <is>
          <t>CHOOSE RATING</t>
        </is>
      </c>
      <c r="DP135" s="40" t="inlineStr">
        <is>
          <t>CHOOSE RATING</t>
        </is>
      </c>
      <c r="DQ135" s="40" t="inlineStr">
        <is>
          <t>CHOOSE RATING</t>
        </is>
      </c>
      <c r="DR135" s="43" t="inlineStr">
        <is>
          <t>2024/2025</t>
        </is>
      </c>
      <c r="DS135" s="45" t="inlineStr">
        <is>
          <t>THIRD</t>
        </is>
      </c>
      <c r="DT135" s="40" t="inlineStr">
        <is>
          <t>CHOOSE RATING</t>
        </is>
      </c>
      <c r="DU135" s="40" t="inlineStr">
        <is>
          <t>CHOOSE RATING</t>
        </is>
      </c>
      <c r="DV135" s="40" t="inlineStr">
        <is>
          <t>CHOOSE RATING</t>
        </is>
      </c>
      <c r="DW135" s="40" t="inlineStr">
        <is>
          <t>CHOOSE RATING</t>
        </is>
      </c>
      <c r="DX135" s="40" t="inlineStr">
        <is>
          <t>CHOOSE RATING</t>
        </is>
      </c>
      <c r="DY135" s="40" t="inlineStr">
        <is>
          <t>CHOOSE RATING</t>
        </is>
      </c>
      <c r="DZ135" s="53" t="inlineStr">
        <is>
          <t>CHOOSE RATING</t>
        </is>
      </c>
      <c r="EA135" s="54" t="inlineStr">
        <is>
          <t>Add the Tutor's Comment . . .</t>
        </is>
      </c>
      <c r="EB135" s="55" t="inlineStr">
        <is>
          <t>Choose Principals comment</t>
        </is>
      </c>
      <c r="EC135" s="56" t="n"/>
      <c r="ED135" s="57" t="inlineStr">
        <is>
          <t>Next Term Begins on Monday, 22nd September, 2025</t>
        </is>
      </c>
    </row>
    <row r="136" ht="30.6" customHeight="1" s="6">
      <c r="A136" s="18" t="n">
        <v>133</v>
      </c>
      <c r="B136" s="19" t="n"/>
      <c r="C136" s="20" t="n"/>
      <c r="D136" s="128" t="n"/>
      <c r="E136" s="21" t="n"/>
      <c r="F136" s="22" t="n"/>
      <c r="G136" s="22" t="n"/>
      <c r="H136" s="22" t="n"/>
      <c r="I136" s="26">
        <f>G136-H136</f>
        <v/>
      </c>
      <c r="J136" s="21" t="n"/>
      <c r="K136" s="21" t="n"/>
      <c r="L136" s="27">
        <f>SUM(J136:K136)</f>
        <v/>
      </c>
      <c r="M136" s="28" t="n"/>
      <c r="N136" s="28" t="n"/>
      <c r="O136" s="29">
        <f>IF(AND(L136=0,M136=0,N136=0),0,IF(AND(L136=0,M136=0),N136/1,IF(AND(L136=0,N136=0),M136/1,IF(AND(M136=0,N136=0),L136/1,IF(L136=0,FLOOR((M136+N136)/2,0.1),IF(M136=0,(L136+N136)/2,IF(N136=0,(M136+L136)/2,FLOOR(((L136+M136+N136)/3),0.1))))))))</f>
        <v/>
      </c>
      <c r="P136" s="21" t="n"/>
      <c r="Q136" s="21" t="n"/>
      <c r="R136" s="27">
        <f>SUM(P136:Q136)</f>
        <v/>
      </c>
      <c r="S136" s="28" t="n"/>
      <c r="T136" s="28" t="n"/>
      <c r="U136" s="29">
        <f>IF(AND(R136=0,S136=0,T136=0),0,IF(AND(R136=0,S136=0),T136/1,IF(AND(R136=0,T136=0),S136/1,IF(AND(S136=0,T136=0),R136/1,IF(R136=0,FLOOR((S136+T136)/2,0.1),IF(S136=0,(R136+T136)/2,IF(T136=0,(S136+R136)/2,FLOOR(((R136+S136+T136)/3),0.1))))))))</f>
        <v/>
      </c>
      <c r="V136" s="21" t="n"/>
      <c r="W136" s="21" t="n"/>
      <c r="X136" s="27">
        <f>SUM(V136:W136)</f>
        <v/>
      </c>
      <c r="Y136" s="28" t="n"/>
      <c r="Z136" s="28" t="n"/>
      <c r="AA136" s="29">
        <f>IF(AND(X136=0,Y136=0,Z136=0),0,IF(AND(X136=0,Y136=0),Z136/1,IF(AND(X136=0,Z136=0),Y136/1,IF(AND(Y136=0,Z136=0),X136/1,IF(X136=0,FLOOR((Y136+Z136)/2,0.1),IF(Y136=0,(X136+Z136)/2,IF(Z136=0,(Y136+X136)/2,FLOOR(((X136+Y136+Z136)/3),0.1))))))))</f>
        <v/>
      </c>
      <c r="AB136" s="21" t="n"/>
      <c r="AC136" s="21" t="n"/>
      <c r="AD136" s="27">
        <f>SUM(AB136:AC136)</f>
        <v/>
      </c>
      <c r="AE136" s="28" t="n"/>
      <c r="AF136" s="28" t="n"/>
      <c r="AG136" s="29">
        <f>IF(AND(AD136=0,AE136=0,AF136=0),0,IF(AND(AD136=0,AE136=0),AF136/1,IF(AND(AD136=0,AF136=0),AE136/1,IF(AND(AE136=0,AF136=0),AD136/1,IF(AD136=0,FLOOR((AE136+AF136)/2,0.1),IF(AE136=0,(AD136+AF136)/2,IF(AF136=0,(AE136+AD136)/2,FLOOR(((AD136+AE136+AF136)/3),0.1))))))))</f>
        <v/>
      </c>
      <c r="AH136" s="21" t="n"/>
      <c r="AI136" s="21" t="n"/>
      <c r="AJ136" s="27">
        <f>SUM(AH136:AI136)</f>
        <v/>
      </c>
      <c r="AK136" s="28" t="n"/>
      <c r="AL136" s="28" t="n"/>
      <c r="AM136" s="29">
        <f>IF(AND(AJ136=0,AK136=0,AL136=0),0,IF(AND(AJ136=0,AK136=0),AL136/1,IF(AND(AJ136=0,AL136=0),AK136/1,IF(AND(AK136=0,AL136=0),AJ136/1,IF(AJ136=0,FLOOR((AK136+AL136)/2,0.1),IF(AK136=0,(AJ136+AL136)/2,IF(AL136=0,(AK136+AJ136)/2,FLOOR(((AJ136+AK136+AL136)/3),0.1))))))))</f>
        <v/>
      </c>
      <c r="AN136" s="21" t="n"/>
      <c r="AO136" s="21" t="n"/>
      <c r="AP136" s="27">
        <f>SUM(AN136:AO136)</f>
        <v/>
      </c>
      <c r="AQ136" s="28" t="n"/>
      <c r="AR136" s="30" t="n"/>
      <c r="AS136" s="29">
        <f>IF(AND(AP136=0,AQ136=0,AR136=0),0,IF(AND(AP136=0,AQ136=0),AR136/1,IF(AND(AP136=0,AR136=0),AQ136/1,IF(AND(AQ136=0,AR136=0),AP136/1,IF(AP136=0,FLOOR((AQ136+AR136)/2,0.1),IF(AQ136=0,(AP136+AR136)/2,IF(AR136=0,(AQ136+AP136)/2,FLOOR(((AP136+AQ136+AR136)/3),0.1))))))))</f>
        <v/>
      </c>
      <c r="AT136" s="21" t="n"/>
      <c r="AU136" s="21" t="n"/>
      <c r="AV136" s="27">
        <f>SUM(AT136:AU136)</f>
        <v/>
      </c>
      <c r="AW136" s="28" t="n"/>
      <c r="AX136" s="30" t="n"/>
      <c r="AY136" s="29">
        <f>IF(AND(AV136=0,AW136=0,AX136=0),0,IF(AND(AV136=0,AW136=0),AX136/1,IF(AND(AV136=0,AX136=0),AW136/1,IF(AND(AW136=0,AX136=0),AV136/1,IF(AV136=0,FLOOR((AW136+AX136)/2,0.1),IF(AW136=0,(AV136+AX136)/2,IF(AX136=0,(AW136+AV136)/2,FLOOR(((AV136+AW136+AX136)/3),0.1))))))))</f>
        <v/>
      </c>
      <c r="AZ136" s="21" t="n"/>
      <c r="BA136" s="21" t="n"/>
      <c r="BB136" s="27">
        <f>SUM(AZ136:BA136)</f>
        <v/>
      </c>
      <c r="BC136" s="28" t="n"/>
      <c r="BD136" s="28" t="n"/>
      <c r="BE136" s="29">
        <f>IF(AND(BB136=0,BC136=0,BD136=0),0,IF(AND(BB136=0,BC136=0),BD136/1,IF(AND(BB136=0,BD136=0),BC136/1,IF(AND(BC136=0,BD136=0),BB136/1,IF(BB136=0,FLOOR((BC136+BD136)/2,0.1),IF(BC136=0,(BB136+BD136)/2,IF(BD136=0,(BC136+BB136)/2,FLOOR(((BB136+BC136+BD136)/3),0.1))))))))</f>
        <v/>
      </c>
      <c r="BF136" s="21" t="n"/>
      <c r="BG136" s="21" t="n"/>
      <c r="BH136" s="27">
        <f>SUM(BF136:BG136)</f>
        <v/>
      </c>
      <c r="BI136" s="28" t="n"/>
      <c r="BJ136" s="28" t="n"/>
      <c r="BK136" s="29">
        <f>IF(AND(BH136=0,BI136=0,BJ136=0),0,IF(AND(BH136=0,BI136=0),BJ136/1,IF(AND(BH136=0,BJ136=0),BI136/1,IF(AND(BI136=0,BJ136=0),BH136/1,IF(BH136=0,FLOOR((BI136+BJ136)/2,0.1),IF(BI136=0,(BH136+BJ136)/2,IF(BJ136=0,(BI136+BH136)/2,FLOOR(((BH136+BI136+BJ136)/3),0.1))))))))</f>
        <v/>
      </c>
      <c r="BL136" s="21" t="n"/>
      <c r="BM136" s="21" t="n"/>
      <c r="BN136" s="27">
        <f>SUM(BL136:BM136)</f>
        <v/>
      </c>
      <c r="BO136" s="28" t="n"/>
      <c r="BP136" s="31" t="n"/>
      <c r="BQ136" s="29">
        <f>IF(AND(BN136=0,BO136=0,BP136=0),0,IF(AND(BN136=0,BO136=0),BP136/1,IF(AND(BN136=0,BP136=0),BO136/1,IF(AND(BO136=0,BP136=0),BN136/1,IF(BN136=0,FLOOR((BO136+BP136)/2,0.1),IF(BO136=0,(BN136+BP136)/2,IF(BP136=0,(BO136+BN136)/2,FLOOR(((BN136+BO136+BP136)/3),0.1))))))))</f>
        <v/>
      </c>
      <c r="BR136" s="21" t="n"/>
      <c r="BS136" s="21" t="n"/>
      <c r="BT136" s="27">
        <f>SUM(BR136:BS136)</f>
        <v/>
      </c>
      <c r="BU136" s="28" t="n"/>
      <c r="BV136" s="31" t="n"/>
      <c r="BW136" s="29">
        <f>IF(AND(BT136=0,BU136=0,BV136=0),0,IF(AND(BT136=0,BU136=0),BV136/1,IF(AND(BT136=0,BV136=0),BU136/1,IF(AND(BU136=0,BV136=0),BT136/1,IF(BT136=0,FLOOR((BU136+BV136)/2,0.1),IF(BU136=0,(BT136+BV136)/2,IF(BV136=0,(BU136+BT136)/2,FLOOR(((BT136+BU136+BV136)/3),0.1))))))))</f>
        <v/>
      </c>
      <c r="BX136" s="21" t="n"/>
      <c r="BY136" s="21" t="n"/>
      <c r="BZ136" s="27">
        <f>SUM(BX136:BY136)</f>
        <v/>
      </c>
      <c r="CA136" s="28" t="n"/>
      <c r="CB136" s="31" t="n"/>
      <c r="CC136" s="29">
        <f>IF(AND(BZ136=0,CA136=0,CB136=0),0,IF(AND(BZ136=0,CA136=0),CB136/1,IF(AND(BZ136=0,CB136=0),CA136/1,IF(AND(CA136=0,CB136=0),BZ136/1,IF(BZ136=0,FLOOR((CA136+CB136)/2,0.1),IF(CA136=0,(BZ136+CB136)/2,IF(CB136=0,(CA136+BZ136)/2,FLOOR(((BZ136+CA136+CB136)/3),0.1))))))))</f>
        <v/>
      </c>
      <c r="CD136" s="21" t="n"/>
      <c r="CE136" s="21" t="n"/>
      <c r="CF136" s="27">
        <f>SUM(CD136:CE136)</f>
        <v/>
      </c>
      <c r="CG136" s="28" t="n"/>
      <c r="CH136" s="31" t="n"/>
      <c r="CI136" s="29">
        <f>IF(AND(CF136=0,CG136=0,CH136=0),0,IF(AND(CF136=0,CG136=0),CH136/1,IF(AND(CF136=0,CH136=0),CG136/1,IF(AND(CG136=0,CH136=0),CF136/1,IF(CF136=0,FLOOR((CG136+CH136)/2,0.1),IF(CG136=0,(CF136+CH136)/2,IF(CH136=0,(CG136+CF136)/2,FLOOR(((CF136+CG136+CH136)/3),0.1))))))))</f>
        <v/>
      </c>
      <c r="CJ136" s="21" t="n"/>
      <c r="CK136" s="21" t="n"/>
      <c r="CL136" s="27">
        <f>SUM(CJ136:CK136)</f>
        <v/>
      </c>
      <c r="CM136" s="28" t="n"/>
      <c r="CN136" s="31" t="n"/>
      <c r="CO136" s="29">
        <f>IF(AND(CL136=0,CM136=0,CN136=0),0,IF(AND(CL136=0,CM136=0),CN136/1,IF(AND(CL136=0,CN136=0),CM136/1,IF(AND(CM136=0,CN136=0),CL136/1,IF(CL136=0,FLOOR((CM136+CN136)/2,0.1),IF(CM136=0,(CL136+CN136)/2,IF(CN136=0,(CM136+CL136)/2,FLOOR(((CL136+CM136+CN136)/3),0.1))))))))</f>
        <v/>
      </c>
      <c r="CP136" s="21" t="n"/>
      <c r="CQ136" s="21" t="n"/>
      <c r="CR136" s="27">
        <f>SUM(CP136:CQ136)</f>
        <v/>
      </c>
      <c r="CS136" s="28" t="n"/>
      <c r="CT136" s="31" t="n"/>
      <c r="CU136" s="29">
        <f>IF(AND(CR136=0,CS136=0,CT136=0),0,IF(AND(CR136=0,CS136=0),CT136/1,IF(AND(CR136=0,CT136=0),CS136/1,IF(AND(CS136=0,CT136=0),CR136/1,IF(CR136=0,FLOOR((CS136+CT136)/2,0.1),IF(CS136=0,(CR136+CT136)/2,IF(CT136=0,(CS136+CR136)/2,FLOOR(((CR136+CS136+CT136)/3),0.1))))))))</f>
        <v/>
      </c>
      <c r="CV136" s="21" t="n"/>
      <c r="CW136" s="21" t="n"/>
      <c r="CX136" s="27">
        <f>SUM(CV136:CW136)</f>
        <v/>
      </c>
      <c r="CY136" s="28" t="n"/>
      <c r="CZ136" s="31" t="n"/>
      <c r="DA136" s="29">
        <f>IF(AND(CX136=0,CY136=0,CZ136=0),0,IF(AND(CX136=0,CY136=0),CZ136/1,IF(AND(CX136=0,CZ136=0),CY136/1,IF(AND(CY136=0,CZ136=0),CX136/1,IF(CX136=0,FLOOR((CY136+CZ136)/2,0.1),IF(CY136=0,(CX136+CZ136)/2,IF(CZ136=0,(CY136+CX136)/2,FLOOR(((CX136+CY136+CZ136)/3),0.1))))))))</f>
        <v/>
      </c>
      <c r="DB136" s="21" t="n"/>
      <c r="DC136" s="21" t="n"/>
      <c r="DD136" s="27">
        <f>SUM(DB136:DC136)</f>
        <v/>
      </c>
      <c r="DE136" s="28" t="n"/>
      <c r="DF136" s="31" t="n"/>
      <c r="DG136" s="29">
        <f>IF(AND(DD136=0,DE136=0,DF136=0),0,IF(AND(DD136=0,DE136=0),DF136/1,IF(AND(DD136=0,DF136=0),DE136/1,IF(AND(DE136=0,DF136=0),DD136/1,IF(DD136=0,FLOOR((DE136+DF136)/2,0.1),IF(DE136=0,(DD136+DF136)/2,IF(DF136=0,(DE136+DD136)/2,FLOOR(((DD136+DE136+DF136)/3),0.1))))))))</f>
        <v/>
      </c>
      <c r="DH136" s="34">
        <f>SUM(O136,U136,AA136,AG136,AM136,AS136,AY136,BE136,BK136,BQ136,BW136,CC136,CI136,CO136,CU136,DA136,DG136)</f>
        <v/>
      </c>
      <c r="DI136" s="39">
        <f>RANK(DH136,DH$4:DH$503)</f>
        <v/>
      </c>
      <c r="DJ136" s="40" t="inlineStr">
        <is>
          <t>CHOOSE RATING</t>
        </is>
      </c>
      <c r="DK136" s="40" t="inlineStr">
        <is>
          <t>CHOOSE RATING</t>
        </is>
      </c>
      <c r="DL136" s="40" t="inlineStr">
        <is>
          <t>CHOOSE RATING</t>
        </is>
      </c>
      <c r="DM136" s="40" t="inlineStr">
        <is>
          <t>CHOOSE RATING</t>
        </is>
      </c>
      <c r="DN136" s="40" t="inlineStr">
        <is>
          <t>CHOOSE RATING</t>
        </is>
      </c>
      <c r="DO136" s="40" t="inlineStr">
        <is>
          <t>CHOOSE RATING</t>
        </is>
      </c>
      <c r="DP136" s="40" t="inlineStr">
        <is>
          <t>CHOOSE RATING</t>
        </is>
      </c>
      <c r="DQ136" s="40" t="inlineStr">
        <is>
          <t>CHOOSE RATING</t>
        </is>
      </c>
      <c r="DR136" s="43" t="inlineStr">
        <is>
          <t>2024/2025</t>
        </is>
      </c>
      <c r="DS136" s="45" t="inlineStr">
        <is>
          <t>THIRD</t>
        </is>
      </c>
      <c r="DT136" s="40" t="inlineStr">
        <is>
          <t>CHOOSE RATING</t>
        </is>
      </c>
      <c r="DU136" s="40" t="inlineStr">
        <is>
          <t>CHOOSE RATING</t>
        </is>
      </c>
      <c r="DV136" s="40" t="inlineStr">
        <is>
          <t>CHOOSE RATING</t>
        </is>
      </c>
      <c r="DW136" s="40" t="inlineStr">
        <is>
          <t>CHOOSE RATING</t>
        </is>
      </c>
      <c r="DX136" s="40" t="inlineStr">
        <is>
          <t>CHOOSE RATING</t>
        </is>
      </c>
      <c r="DY136" s="40" t="inlineStr">
        <is>
          <t>CHOOSE RATING</t>
        </is>
      </c>
      <c r="DZ136" s="53" t="inlineStr">
        <is>
          <t>CHOOSE RATING</t>
        </is>
      </c>
      <c r="EA136" s="54" t="inlineStr">
        <is>
          <t>Add the Tutor's Comment . . .</t>
        </is>
      </c>
      <c r="EB136" s="55" t="inlineStr">
        <is>
          <t>Choose Principals comment</t>
        </is>
      </c>
      <c r="EC136" s="56" t="n"/>
      <c r="ED136" s="57" t="inlineStr">
        <is>
          <t>Next Term Begins on Monday, 22nd September, 2025</t>
        </is>
      </c>
    </row>
    <row r="137" ht="30.6" customHeight="1" s="6">
      <c r="A137" s="18" t="n">
        <v>134</v>
      </c>
      <c r="B137" s="19" t="n"/>
      <c r="C137" s="20" t="n"/>
      <c r="D137" s="128" t="n"/>
      <c r="E137" s="21" t="n"/>
      <c r="F137" s="22" t="n"/>
      <c r="G137" s="22" t="n"/>
      <c r="H137" s="22" t="n"/>
      <c r="I137" s="26">
        <f>G137-H137</f>
        <v/>
      </c>
      <c r="J137" s="21" t="n"/>
      <c r="K137" s="21" t="n"/>
      <c r="L137" s="27">
        <f>SUM(J137:K137)</f>
        <v/>
      </c>
      <c r="M137" s="28" t="n"/>
      <c r="N137" s="28" t="n"/>
      <c r="O137" s="29">
        <f>IF(AND(L137=0,M137=0,N137=0),0,IF(AND(L137=0,M137=0),N137/1,IF(AND(L137=0,N137=0),M137/1,IF(AND(M137=0,N137=0),L137/1,IF(L137=0,FLOOR((M137+N137)/2,0.1),IF(M137=0,(L137+N137)/2,IF(N137=0,(M137+L137)/2,FLOOR(((L137+M137+N137)/3),0.1))))))))</f>
        <v/>
      </c>
      <c r="P137" s="21" t="n"/>
      <c r="Q137" s="21" t="n"/>
      <c r="R137" s="27">
        <f>SUM(P137:Q137)</f>
        <v/>
      </c>
      <c r="S137" s="28" t="n"/>
      <c r="T137" s="28" t="n"/>
      <c r="U137" s="29">
        <f>IF(AND(R137=0,S137=0,T137=0),0,IF(AND(R137=0,S137=0),T137/1,IF(AND(R137=0,T137=0),S137/1,IF(AND(S137=0,T137=0),R137/1,IF(R137=0,FLOOR((S137+T137)/2,0.1),IF(S137=0,(R137+T137)/2,IF(T137=0,(S137+R137)/2,FLOOR(((R137+S137+T137)/3),0.1))))))))</f>
        <v/>
      </c>
      <c r="V137" s="21" t="n"/>
      <c r="W137" s="21" t="n"/>
      <c r="X137" s="27">
        <f>SUM(V137:W137)</f>
        <v/>
      </c>
      <c r="Y137" s="28" t="n"/>
      <c r="Z137" s="28" t="n"/>
      <c r="AA137" s="29">
        <f>IF(AND(X137=0,Y137=0,Z137=0),0,IF(AND(X137=0,Y137=0),Z137/1,IF(AND(X137=0,Z137=0),Y137/1,IF(AND(Y137=0,Z137=0),X137/1,IF(X137=0,FLOOR((Y137+Z137)/2,0.1),IF(Y137=0,(X137+Z137)/2,IF(Z137=0,(Y137+X137)/2,FLOOR(((X137+Y137+Z137)/3),0.1))))))))</f>
        <v/>
      </c>
      <c r="AB137" s="21" t="n"/>
      <c r="AC137" s="21" t="n"/>
      <c r="AD137" s="27">
        <f>SUM(AB137:AC137)</f>
        <v/>
      </c>
      <c r="AE137" s="28" t="n"/>
      <c r="AF137" s="28" t="n"/>
      <c r="AG137" s="29">
        <f>IF(AND(AD137=0,AE137=0,AF137=0),0,IF(AND(AD137=0,AE137=0),AF137/1,IF(AND(AD137=0,AF137=0),AE137/1,IF(AND(AE137=0,AF137=0),AD137/1,IF(AD137=0,FLOOR((AE137+AF137)/2,0.1),IF(AE137=0,(AD137+AF137)/2,IF(AF137=0,(AE137+AD137)/2,FLOOR(((AD137+AE137+AF137)/3),0.1))))))))</f>
        <v/>
      </c>
      <c r="AH137" s="21" t="n"/>
      <c r="AI137" s="21" t="n"/>
      <c r="AJ137" s="27">
        <f>SUM(AH137:AI137)</f>
        <v/>
      </c>
      <c r="AK137" s="28" t="n"/>
      <c r="AL137" s="28" t="n"/>
      <c r="AM137" s="29">
        <f>IF(AND(AJ137=0,AK137=0,AL137=0),0,IF(AND(AJ137=0,AK137=0),AL137/1,IF(AND(AJ137=0,AL137=0),AK137/1,IF(AND(AK137=0,AL137=0),AJ137/1,IF(AJ137=0,FLOOR((AK137+AL137)/2,0.1),IF(AK137=0,(AJ137+AL137)/2,IF(AL137=0,(AK137+AJ137)/2,FLOOR(((AJ137+AK137+AL137)/3),0.1))))))))</f>
        <v/>
      </c>
      <c r="AN137" s="21" t="n"/>
      <c r="AO137" s="21" t="n"/>
      <c r="AP137" s="27">
        <f>SUM(AN137:AO137)</f>
        <v/>
      </c>
      <c r="AQ137" s="28" t="n"/>
      <c r="AR137" s="30" t="n"/>
      <c r="AS137" s="29">
        <f>IF(AND(AP137=0,AQ137=0,AR137=0),0,IF(AND(AP137=0,AQ137=0),AR137/1,IF(AND(AP137=0,AR137=0),AQ137/1,IF(AND(AQ137=0,AR137=0),AP137/1,IF(AP137=0,FLOOR((AQ137+AR137)/2,0.1),IF(AQ137=0,(AP137+AR137)/2,IF(AR137=0,(AQ137+AP137)/2,FLOOR(((AP137+AQ137+AR137)/3),0.1))))))))</f>
        <v/>
      </c>
      <c r="AT137" s="21" t="n"/>
      <c r="AU137" s="21" t="n"/>
      <c r="AV137" s="27">
        <f>SUM(AT137:AU137)</f>
        <v/>
      </c>
      <c r="AW137" s="28" t="n"/>
      <c r="AX137" s="30" t="n"/>
      <c r="AY137" s="29">
        <f>IF(AND(AV137=0,AW137=0,AX137=0),0,IF(AND(AV137=0,AW137=0),AX137/1,IF(AND(AV137=0,AX137=0),AW137/1,IF(AND(AW137=0,AX137=0),AV137/1,IF(AV137=0,FLOOR((AW137+AX137)/2,0.1),IF(AW137=0,(AV137+AX137)/2,IF(AX137=0,(AW137+AV137)/2,FLOOR(((AV137+AW137+AX137)/3),0.1))))))))</f>
        <v/>
      </c>
      <c r="AZ137" s="21" t="n"/>
      <c r="BA137" s="21" t="n"/>
      <c r="BB137" s="27">
        <f>SUM(AZ137:BA137)</f>
        <v/>
      </c>
      <c r="BC137" s="28" t="n"/>
      <c r="BD137" s="28" t="n"/>
      <c r="BE137" s="29">
        <f>IF(AND(BB137=0,BC137=0,BD137=0),0,IF(AND(BB137=0,BC137=0),BD137/1,IF(AND(BB137=0,BD137=0),BC137/1,IF(AND(BC137=0,BD137=0),BB137/1,IF(BB137=0,FLOOR((BC137+BD137)/2,0.1),IF(BC137=0,(BB137+BD137)/2,IF(BD137=0,(BC137+BB137)/2,FLOOR(((BB137+BC137+BD137)/3),0.1))))))))</f>
        <v/>
      </c>
      <c r="BF137" s="21" t="n"/>
      <c r="BG137" s="21" t="n"/>
      <c r="BH137" s="27">
        <f>SUM(BF137:BG137)</f>
        <v/>
      </c>
      <c r="BI137" s="28" t="n"/>
      <c r="BJ137" s="28" t="n"/>
      <c r="BK137" s="29">
        <f>IF(AND(BH137=0,BI137=0,BJ137=0),0,IF(AND(BH137=0,BI137=0),BJ137/1,IF(AND(BH137=0,BJ137=0),BI137/1,IF(AND(BI137=0,BJ137=0),BH137/1,IF(BH137=0,FLOOR((BI137+BJ137)/2,0.1),IF(BI137=0,(BH137+BJ137)/2,IF(BJ137=0,(BI137+BH137)/2,FLOOR(((BH137+BI137+BJ137)/3),0.1))))))))</f>
        <v/>
      </c>
      <c r="BL137" s="21" t="n"/>
      <c r="BM137" s="21" t="n"/>
      <c r="BN137" s="27">
        <f>SUM(BL137:BM137)</f>
        <v/>
      </c>
      <c r="BO137" s="28" t="n"/>
      <c r="BP137" s="31" t="n"/>
      <c r="BQ137" s="29">
        <f>IF(AND(BN137=0,BO137=0,BP137=0),0,IF(AND(BN137=0,BO137=0),BP137/1,IF(AND(BN137=0,BP137=0),BO137/1,IF(AND(BO137=0,BP137=0),BN137/1,IF(BN137=0,FLOOR((BO137+BP137)/2,0.1),IF(BO137=0,(BN137+BP137)/2,IF(BP137=0,(BO137+BN137)/2,FLOOR(((BN137+BO137+BP137)/3),0.1))))))))</f>
        <v/>
      </c>
      <c r="BR137" s="21" t="n"/>
      <c r="BS137" s="21" t="n"/>
      <c r="BT137" s="27">
        <f>SUM(BR137:BS137)</f>
        <v/>
      </c>
      <c r="BU137" s="28" t="n"/>
      <c r="BV137" s="31" t="n"/>
      <c r="BW137" s="29">
        <f>IF(AND(BT137=0,BU137=0,BV137=0),0,IF(AND(BT137=0,BU137=0),BV137/1,IF(AND(BT137=0,BV137=0),BU137/1,IF(AND(BU137=0,BV137=0),BT137/1,IF(BT137=0,FLOOR((BU137+BV137)/2,0.1),IF(BU137=0,(BT137+BV137)/2,IF(BV137=0,(BU137+BT137)/2,FLOOR(((BT137+BU137+BV137)/3),0.1))))))))</f>
        <v/>
      </c>
      <c r="BX137" s="21" t="n"/>
      <c r="BY137" s="21" t="n"/>
      <c r="BZ137" s="27">
        <f>SUM(BX137:BY137)</f>
        <v/>
      </c>
      <c r="CA137" s="28" t="n"/>
      <c r="CB137" s="31" t="n"/>
      <c r="CC137" s="29">
        <f>IF(AND(BZ137=0,CA137=0,CB137=0),0,IF(AND(BZ137=0,CA137=0),CB137/1,IF(AND(BZ137=0,CB137=0),CA137/1,IF(AND(CA137=0,CB137=0),BZ137/1,IF(BZ137=0,FLOOR((CA137+CB137)/2,0.1),IF(CA137=0,(BZ137+CB137)/2,IF(CB137=0,(CA137+BZ137)/2,FLOOR(((BZ137+CA137+CB137)/3),0.1))))))))</f>
        <v/>
      </c>
      <c r="CD137" s="21" t="n"/>
      <c r="CE137" s="21" t="n"/>
      <c r="CF137" s="27">
        <f>SUM(CD137:CE137)</f>
        <v/>
      </c>
      <c r="CG137" s="28" t="n"/>
      <c r="CH137" s="31" t="n"/>
      <c r="CI137" s="29">
        <f>IF(AND(CF137=0,CG137=0,CH137=0),0,IF(AND(CF137=0,CG137=0),CH137/1,IF(AND(CF137=0,CH137=0),CG137/1,IF(AND(CG137=0,CH137=0),CF137/1,IF(CF137=0,FLOOR((CG137+CH137)/2,0.1),IF(CG137=0,(CF137+CH137)/2,IF(CH137=0,(CG137+CF137)/2,FLOOR(((CF137+CG137+CH137)/3),0.1))))))))</f>
        <v/>
      </c>
      <c r="CJ137" s="21" t="n"/>
      <c r="CK137" s="21" t="n"/>
      <c r="CL137" s="27">
        <f>SUM(CJ137:CK137)</f>
        <v/>
      </c>
      <c r="CM137" s="28" t="n"/>
      <c r="CN137" s="31" t="n"/>
      <c r="CO137" s="29">
        <f>IF(AND(CL137=0,CM137=0,CN137=0),0,IF(AND(CL137=0,CM137=0),CN137/1,IF(AND(CL137=0,CN137=0),CM137/1,IF(AND(CM137=0,CN137=0),CL137/1,IF(CL137=0,FLOOR((CM137+CN137)/2,0.1),IF(CM137=0,(CL137+CN137)/2,IF(CN137=0,(CM137+CL137)/2,FLOOR(((CL137+CM137+CN137)/3),0.1))))))))</f>
        <v/>
      </c>
      <c r="CP137" s="21" t="n"/>
      <c r="CQ137" s="21" t="n"/>
      <c r="CR137" s="27">
        <f>SUM(CP137:CQ137)</f>
        <v/>
      </c>
      <c r="CS137" s="28" t="n"/>
      <c r="CT137" s="31" t="n"/>
      <c r="CU137" s="29">
        <f>IF(AND(CR137=0,CS137=0,CT137=0),0,IF(AND(CR137=0,CS137=0),CT137/1,IF(AND(CR137=0,CT137=0),CS137/1,IF(AND(CS137=0,CT137=0),CR137/1,IF(CR137=0,FLOOR((CS137+CT137)/2,0.1),IF(CS137=0,(CR137+CT137)/2,IF(CT137=0,(CS137+CR137)/2,FLOOR(((CR137+CS137+CT137)/3),0.1))))))))</f>
        <v/>
      </c>
      <c r="CV137" s="21" t="n"/>
      <c r="CW137" s="21" t="n"/>
      <c r="CX137" s="27">
        <f>SUM(CV137:CW137)</f>
        <v/>
      </c>
      <c r="CY137" s="28" t="n"/>
      <c r="CZ137" s="31" t="n"/>
      <c r="DA137" s="29">
        <f>IF(AND(CX137=0,CY137=0,CZ137=0),0,IF(AND(CX137=0,CY137=0),CZ137/1,IF(AND(CX137=0,CZ137=0),CY137/1,IF(AND(CY137=0,CZ137=0),CX137/1,IF(CX137=0,FLOOR((CY137+CZ137)/2,0.1),IF(CY137=0,(CX137+CZ137)/2,IF(CZ137=0,(CY137+CX137)/2,FLOOR(((CX137+CY137+CZ137)/3),0.1))))))))</f>
        <v/>
      </c>
      <c r="DB137" s="21" t="n"/>
      <c r="DC137" s="21" t="n"/>
      <c r="DD137" s="27">
        <f>SUM(DB137:DC137)</f>
        <v/>
      </c>
      <c r="DE137" s="28" t="n"/>
      <c r="DF137" s="31" t="n"/>
      <c r="DG137" s="29">
        <f>IF(AND(DD137=0,DE137=0,DF137=0),0,IF(AND(DD137=0,DE137=0),DF137/1,IF(AND(DD137=0,DF137=0),DE137/1,IF(AND(DE137=0,DF137=0),DD137/1,IF(DD137=0,FLOOR((DE137+DF137)/2,0.1),IF(DE137=0,(DD137+DF137)/2,IF(DF137=0,(DE137+DD137)/2,FLOOR(((DD137+DE137+DF137)/3),0.1))))))))</f>
        <v/>
      </c>
      <c r="DH137" s="34">
        <f>SUM(O137,U137,AA137,AG137,AM137,AS137,AY137,BE137,BK137,BQ137,BW137,CC137,CI137,CO137,CU137,DA137,DG137)</f>
        <v/>
      </c>
      <c r="DI137" s="39">
        <f>RANK(DH137,DH$4:DH$503)</f>
        <v/>
      </c>
      <c r="DJ137" s="40" t="inlineStr">
        <is>
          <t>CHOOSE RATING</t>
        </is>
      </c>
      <c r="DK137" s="40" t="inlineStr">
        <is>
          <t>CHOOSE RATING</t>
        </is>
      </c>
      <c r="DL137" s="40" t="inlineStr">
        <is>
          <t>CHOOSE RATING</t>
        </is>
      </c>
      <c r="DM137" s="40" t="inlineStr">
        <is>
          <t>CHOOSE RATING</t>
        </is>
      </c>
      <c r="DN137" s="40" t="inlineStr">
        <is>
          <t>CHOOSE RATING</t>
        </is>
      </c>
      <c r="DO137" s="40" t="inlineStr">
        <is>
          <t>CHOOSE RATING</t>
        </is>
      </c>
      <c r="DP137" s="40" t="inlineStr">
        <is>
          <t>CHOOSE RATING</t>
        </is>
      </c>
      <c r="DQ137" s="40" t="inlineStr">
        <is>
          <t>CHOOSE RATING</t>
        </is>
      </c>
      <c r="DR137" s="43" t="inlineStr">
        <is>
          <t>2024/2025</t>
        </is>
      </c>
      <c r="DS137" s="45" t="inlineStr">
        <is>
          <t>THIRD</t>
        </is>
      </c>
      <c r="DT137" s="40" t="inlineStr">
        <is>
          <t>CHOOSE RATING</t>
        </is>
      </c>
      <c r="DU137" s="40" t="inlineStr">
        <is>
          <t>CHOOSE RATING</t>
        </is>
      </c>
      <c r="DV137" s="40" t="inlineStr">
        <is>
          <t>CHOOSE RATING</t>
        </is>
      </c>
      <c r="DW137" s="40" t="inlineStr">
        <is>
          <t>CHOOSE RATING</t>
        </is>
      </c>
      <c r="DX137" s="40" t="inlineStr">
        <is>
          <t>CHOOSE RATING</t>
        </is>
      </c>
      <c r="DY137" s="40" t="inlineStr">
        <is>
          <t>CHOOSE RATING</t>
        </is>
      </c>
      <c r="DZ137" s="53" t="inlineStr">
        <is>
          <t>CHOOSE RATING</t>
        </is>
      </c>
      <c r="EA137" s="54" t="inlineStr">
        <is>
          <t>Add the Tutor's Comment . . .</t>
        </is>
      </c>
      <c r="EB137" s="55" t="inlineStr">
        <is>
          <t>Choose Principals comment</t>
        </is>
      </c>
      <c r="EC137" s="56" t="n"/>
      <c r="ED137" s="57" t="inlineStr">
        <is>
          <t>Next Term Begins on Monday, 22nd September, 2025</t>
        </is>
      </c>
    </row>
    <row r="138" ht="30.6" customHeight="1" s="6">
      <c r="A138" s="18" t="n">
        <v>135</v>
      </c>
      <c r="B138" s="19" t="n"/>
      <c r="C138" s="20" t="n"/>
      <c r="D138" s="128" t="n"/>
      <c r="E138" s="21" t="n"/>
      <c r="F138" s="22" t="n"/>
      <c r="G138" s="22" t="n"/>
      <c r="H138" s="22" t="n"/>
      <c r="I138" s="26">
        <f>G138-H138</f>
        <v/>
      </c>
      <c r="J138" s="21" t="n"/>
      <c r="K138" s="21" t="n"/>
      <c r="L138" s="27">
        <f>SUM(J138:K138)</f>
        <v/>
      </c>
      <c r="M138" s="28" t="n"/>
      <c r="N138" s="28" t="n"/>
      <c r="O138" s="29">
        <f>IF(AND(L138=0,M138=0,N138=0),0,IF(AND(L138=0,M138=0),N138/1,IF(AND(L138=0,N138=0),M138/1,IF(AND(M138=0,N138=0),L138/1,IF(L138=0,FLOOR((M138+N138)/2,0.1),IF(M138=0,(L138+N138)/2,IF(N138=0,(M138+L138)/2,FLOOR(((L138+M138+N138)/3),0.1))))))))</f>
        <v/>
      </c>
      <c r="P138" s="21" t="n"/>
      <c r="Q138" s="21" t="n"/>
      <c r="R138" s="27">
        <f>SUM(P138:Q138)</f>
        <v/>
      </c>
      <c r="S138" s="28" t="n"/>
      <c r="T138" s="28" t="n"/>
      <c r="U138" s="29">
        <f>IF(AND(R138=0,S138=0,T138=0),0,IF(AND(R138=0,S138=0),T138/1,IF(AND(R138=0,T138=0),S138/1,IF(AND(S138=0,T138=0),R138/1,IF(R138=0,FLOOR((S138+T138)/2,0.1),IF(S138=0,(R138+T138)/2,IF(T138=0,(S138+R138)/2,FLOOR(((R138+S138+T138)/3),0.1))))))))</f>
        <v/>
      </c>
      <c r="V138" s="21" t="n"/>
      <c r="W138" s="21" t="n"/>
      <c r="X138" s="27">
        <f>SUM(V138:W138)</f>
        <v/>
      </c>
      <c r="Y138" s="28" t="n"/>
      <c r="Z138" s="28" t="n"/>
      <c r="AA138" s="29">
        <f>IF(AND(X138=0,Y138=0,Z138=0),0,IF(AND(X138=0,Y138=0),Z138/1,IF(AND(X138=0,Z138=0),Y138/1,IF(AND(Y138=0,Z138=0),X138/1,IF(X138=0,FLOOR((Y138+Z138)/2,0.1),IF(Y138=0,(X138+Z138)/2,IF(Z138=0,(Y138+X138)/2,FLOOR(((X138+Y138+Z138)/3),0.1))))))))</f>
        <v/>
      </c>
      <c r="AB138" s="21" t="n"/>
      <c r="AC138" s="21" t="n"/>
      <c r="AD138" s="27">
        <f>SUM(AB138:AC138)</f>
        <v/>
      </c>
      <c r="AE138" s="28" t="n"/>
      <c r="AF138" s="28" t="n"/>
      <c r="AG138" s="29">
        <f>IF(AND(AD138=0,AE138=0,AF138=0),0,IF(AND(AD138=0,AE138=0),AF138/1,IF(AND(AD138=0,AF138=0),AE138/1,IF(AND(AE138=0,AF138=0),AD138/1,IF(AD138=0,FLOOR((AE138+AF138)/2,0.1),IF(AE138=0,(AD138+AF138)/2,IF(AF138=0,(AE138+AD138)/2,FLOOR(((AD138+AE138+AF138)/3),0.1))))))))</f>
        <v/>
      </c>
      <c r="AH138" s="21" t="n"/>
      <c r="AI138" s="21" t="n"/>
      <c r="AJ138" s="27">
        <f>SUM(AH138:AI138)</f>
        <v/>
      </c>
      <c r="AK138" s="28" t="n"/>
      <c r="AL138" s="28" t="n"/>
      <c r="AM138" s="29">
        <f>IF(AND(AJ138=0,AK138=0,AL138=0),0,IF(AND(AJ138=0,AK138=0),AL138/1,IF(AND(AJ138=0,AL138=0),AK138/1,IF(AND(AK138=0,AL138=0),AJ138/1,IF(AJ138=0,FLOOR((AK138+AL138)/2,0.1),IF(AK138=0,(AJ138+AL138)/2,IF(AL138=0,(AK138+AJ138)/2,FLOOR(((AJ138+AK138+AL138)/3),0.1))))))))</f>
        <v/>
      </c>
      <c r="AN138" s="21" t="n"/>
      <c r="AO138" s="21" t="n"/>
      <c r="AP138" s="27">
        <f>SUM(AN138:AO138)</f>
        <v/>
      </c>
      <c r="AQ138" s="28" t="n"/>
      <c r="AR138" s="30" t="n"/>
      <c r="AS138" s="29">
        <f>IF(AND(AP138=0,AQ138=0,AR138=0),0,IF(AND(AP138=0,AQ138=0),AR138/1,IF(AND(AP138=0,AR138=0),AQ138/1,IF(AND(AQ138=0,AR138=0),AP138/1,IF(AP138=0,FLOOR((AQ138+AR138)/2,0.1),IF(AQ138=0,(AP138+AR138)/2,IF(AR138=0,(AQ138+AP138)/2,FLOOR(((AP138+AQ138+AR138)/3),0.1))))))))</f>
        <v/>
      </c>
      <c r="AT138" s="21" t="n"/>
      <c r="AU138" s="21" t="n"/>
      <c r="AV138" s="27">
        <f>SUM(AT138:AU138)</f>
        <v/>
      </c>
      <c r="AW138" s="28" t="n"/>
      <c r="AX138" s="30" t="n"/>
      <c r="AY138" s="29">
        <f>IF(AND(AV138=0,AW138=0,AX138=0),0,IF(AND(AV138=0,AW138=0),AX138/1,IF(AND(AV138=0,AX138=0),AW138/1,IF(AND(AW138=0,AX138=0),AV138/1,IF(AV138=0,FLOOR((AW138+AX138)/2,0.1),IF(AW138=0,(AV138+AX138)/2,IF(AX138=0,(AW138+AV138)/2,FLOOR(((AV138+AW138+AX138)/3),0.1))))))))</f>
        <v/>
      </c>
      <c r="AZ138" s="21" t="n"/>
      <c r="BA138" s="21" t="n"/>
      <c r="BB138" s="27">
        <f>SUM(AZ138:BA138)</f>
        <v/>
      </c>
      <c r="BC138" s="28" t="n"/>
      <c r="BD138" s="28" t="n"/>
      <c r="BE138" s="29">
        <f>IF(AND(BB138=0,BC138=0,BD138=0),0,IF(AND(BB138=0,BC138=0),BD138/1,IF(AND(BB138=0,BD138=0),BC138/1,IF(AND(BC138=0,BD138=0),BB138/1,IF(BB138=0,FLOOR((BC138+BD138)/2,0.1),IF(BC138=0,(BB138+BD138)/2,IF(BD138=0,(BC138+BB138)/2,FLOOR(((BB138+BC138+BD138)/3),0.1))))))))</f>
        <v/>
      </c>
      <c r="BF138" s="21" t="n"/>
      <c r="BG138" s="21" t="n"/>
      <c r="BH138" s="27">
        <f>SUM(BF138:BG138)</f>
        <v/>
      </c>
      <c r="BI138" s="28" t="n"/>
      <c r="BJ138" s="28" t="n"/>
      <c r="BK138" s="29">
        <f>IF(AND(BH138=0,BI138=0,BJ138=0),0,IF(AND(BH138=0,BI138=0),BJ138/1,IF(AND(BH138=0,BJ138=0),BI138/1,IF(AND(BI138=0,BJ138=0),BH138/1,IF(BH138=0,FLOOR((BI138+BJ138)/2,0.1),IF(BI138=0,(BH138+BJ138)/2,IF(BJ138=0,(BI138+BH138)/2,FLOOR(((BH138+BI138+BJ138)/3),0.1))))))))</f>
        <v/>
      </c>
      <c r="BL138" s="21" t="n"/>
      <c r="BM138" s="21" t="n"/>
      <c r="BN138" s="27">
        <f>SUM(BL138:BM138)</f>
        <v/>
      </c>
      <c r="BO138" s="28" t="n"/>
      <c r="BP138" s="31" t="n"/>
      <c r="BQ138" s="29">
        <f>IF(AND(BN138=0,BO138=0,BP138=0),0,IF(AND(BN138=0,BO138=0),BP138/1,IF(AND(BN138=0,BP138=0),BO138/1,IF(AND(BO138=0,BP138=0),BN138/1,IF(BN138=0,FLOOR((BO138+BP138)/2,0.1),IF(BO138=0,(BN138+BP138)/2,IF(BP138=0,(BO138+BN138)/2,FLOOR(((BN138+BO138+BP138)/3),0.1))))))))</f>
        <v/>
      </c>
      <c r="BR138" s="21" t="n"/>
      <c r="BS138" s="21" t="n"/>
      <c r="BT138" s="27">
        <f>SUM(BR138:BS138)</f>
        <v/>
      </c>
      <c r="BU138" s="28" t="n"/>
      <c r="BV138" s="31" t="n"/>
      <c r="BW138" s="29">
        <f>IF(AND(BT138=0,BU138=0,BV138=0),0,IF(AND(BT138=0,BU138=0),BV138/1,IF(AND(BT138=0,BV138=0),BU138/1,IF(AND(BU138=0,BV138=0),BT138/1,IF(BT138=0,FLOOR((BU138+BV138)/2,0.1),IF(BU138=0,(BT138+BV138)/2,IF(BV138=0,(BU138+BT138)/2,FLOOR(((BT138+BU138+BV138)/3),0.1))))))))</f>
        <v/>
      </c>
      <c r="BX138" s="21" t="n"/>
      <c r="BY138" s="21" t="n"/>
      <c r="BZ138" s="27">
        <f>SUM(BX138:BY138)</f>
        <v/>
      </c>
      <c r="CA138" s="28" t="n"/>
      <c r="CB138" s="31" t="n"/>
      <c r="CC138" s="29">
        <f>IF(AND(BZ138=0,CA138=0,CB138=0),0,IF(AND(BZ138=0,CA138=0),CB138/1,IF(AND(BZ138=0,CB138=0),CA138/1,IF(AND(CA138=0,CB138=0),BZ138/1,IF(BZ138=0,FLOOR((CA138+CB138)/2,0.1),IF(CA138=0,(BZ138+CB138)/2,IF(CB138=0,(CA138+BZ138)/2,FLOOR(((BZ138+CA138+CB138)/3),0.1))))))))</f>
        <v/>
      </c>
      <c r="CD138" s="21" t="n"/>
      <c r="CE138" s="21" t="n"/>
      <c r="CF138" s="27">
        <f>SUM(CD138:CE138)</f>
        <v/>
      </c>
      <c r="CG138" s="28" t="n"/>
      <c r="CH138" s="31" t="n"/>
      <c r="CI138" s="29">
        <f>IF(AND(CF138=0,CG138=0,CH138=0),0,IF(AND(CF138=0,CG138=0),CH138/1,IF(AND(CF138=0,CH138=0),CG138/1,IF(AND(CG138=0,CH138=0),CF138/1,IF(CF138=0,FLOOR((CG138+CH138)/2,0.1),IF(CG138=0,(CF138+CH138)/2,IF(CH138=0,(CG138+CF138)/2,FLOOR(((CF138+CG138+CH138)/3),0.1))))))))</f>
        <v/>
      </c>
      <c r="CJ138" s="21" t="n"/>
      <c r="CK138" s="21" t="n"/>
      <c r="CL138" s="27">
        <f>SUM(CJ138:CK138)</f>
        <v/>
      </c>
      <c r="CM138" s="28" t="n"/>
      <c r="CN138" s="31" t="n"/>
      <c r="CO138" s="29">
        <f>IF(AND(CL138=0,CM138=0,CN138=0),0,IF(AND(CL138=0,CM138=0),CN138/1,IF(AND(CL138=0,CN138=0),CM138/1,IF(AND(CM138=0,CN138=0),CL138/1,IF(CL138=0,FLOOR((CM138+CN138)/2,0.1),IF(CM138=0,(CL138+CN138)/2,IF(CN138=0,(CM138+CL138)/2,FLOOR(((CL138+CM138+CN138)/3),0.1))))))))</f>
        <v/>
      </c>
      <c r="CP138" s="21" t="n"/>
      <c r="CQ138" s="21" t="n"/>
      <c r="CR138" s="27">
        <f>SUM(CP138:CQ138)</f>
        <v/>
      </c>
      <c r="CS138" s="28" t="n"/>
      <c r="CT138" s="31" t="n"/>
      <c r="CU138" s="29">
        <f>IF(AND(CR138=0,CS138=0,CT138=0),0,IF(AND(CR138=0,CS138=0),CT138/1,IF(AND(CR138=0,CT138=0),CS138/1,IF(AND(CS138=0,CT138=0),CR138/1,IF(CR138=0,FLOOR((CS138+CT138)/2,0.1),IF(CS138=0,(CR138+CT138)/2,IF(CT138=0,(CS138+CR138)/2,FLOOR(((CR138+CS138+CT138)/3),0.1))))))))</f>
        <v/>
      </c>
      <c r="CV138" s="21" t="n"/>
      <c r="CW138" s="21" t="n"/>
      <c r="CX138" s="27">
        <f>SUM(CV138:CW138)</f>
        <v/>
      </c>
      <c r="CY138" s="28" t="n"/>
      <c r="CZ138" s="31" t="n"/>
      <c r="DA138" s="29">
        <f>IF(AND(CX138=0,CY138=0,CZ138=0),0,IF(AND(CX138=0,CY138=0),CZ138/1,IF(AND(CX138=0,CZ138=0),CY138/1,IF(AND(CY138=0,CZ138=0),CX138/1,IF(CX138=0,FLOOR((CY138+CZ138)/2,0.1),IF(CY138=0,(CX138+CZ138)/2,IF(CZ138=0,(CY138+CX138)/2,FLOOR(((CX138+CY138+CZ138)/3),0.1))))))))</f>
        <v/>
      </c>
      <c r="DB138" s="21" t="n"/>
      <c r="DC138" s="21" t="n"/>
      <c r="DD138" s="27">
        <f>SUM(DB138:DC138)</f>
        <v/>
      </c>
      <c r="DE138" s="28" t="n"/>
      <c r="DF138" s="31" t="n"/>
      <c r="DG138" s="29">
        <f>IF(AND(DD138=0,DE138=0,DF138=0),0,IF(AND(DD138=0,DE138=0),DF138/1,IF(AND(DD138=0,DF138=0),DE138/1,IF(AND(DE138=0,DF138=0),DD138/1,IF(DD138=0,FLOOR((DE138+DF138)/2,0.1),IF(DE138=0,(DD138+DF138)/2,IF(DF138=0,(DE138+DD138)/2,FLOOR(((DD138+DE138+DF138)/3),0.1))))))))</f>
        <v/>
      </c>
      <c r="DH138" s="34">
        <f>SUM(O138,U138,AA138,AG138,AM138,AS138,AY138,BE138,BK138,BQ138,BW138,CC138,CI138,CO138,CU138,DA138,DG138)</f>
        <v/>
      </c>
      <c r="DI138" s="39">
        <f>RANK(DH138,DH$4:DH$503)</f>
        <v/>
      </c>
      <c r="DJ138" s="40" t="inlineStr">
        <is>
          <t>CHOOSE RATING</t>
        </is>
      </c>
      <c r="DK138" s="40" t="inlineStr">
        <is>
          <t>CHOOSE RATING</t>
        </is>
      </c>
      <c r="DL138" s="40" t="inlineStr">
        <is>
          <t>CHOOSE RATING</t>
        </is>
      </c>
      <c r="DM138" s="40" t="inlineStr">
        <is>
          <t>CHOOSE RATING</t>
        </is>
      </c>
      <c r="DN138" s="40" t="inlineStr">
        <is>
          <t>CHOOSE RATING</t>
        </is>
      </c>
      <c r="DO138" s="40" t="inlineStr">
        <is>
          <t>CHOOSE RATING</t>
        </is>
      </c>
      <c r="DP138" s="40" t="inlineStr">
        <is>
          <t>CHOOSE RATING</t>
        </is>
      </c>
      <c r="DQ138" s="40" t="inlineStr">
        <is>
          <t>CHOOSE RATING</t>
        </is>
      </c>
      <c r="DR138" s="43" t="inlineStr">
        <is>
          <t>2024/2025</t>
        </is>
      </c>
      <c r="DS138" s="45" t="inlineStr">
        <is>
          <t>THIRD</t>
        </is>
      </c>
      <c r="DT138" s="40" t="inlineStr">
        <is>
          <t>CHOOSE RATING</t>
        </is>
      </c>
      <c r="DU138" s="40" t="inlineStr">
        <is>
          <t>CHOOSE RATING</t>
        </is>
      </c>
      <c r="DV138" s="40" t="inlineStr">
        <is>
          <t>CHOOSE RATING</t>
        </is>
      </c>
      <c r="DW138" s="40" t="inlineStr">
        <is>
          <t>CHOOSE RATING</t>
        </is>
      </c>
      <c r="DX138" s="40" t="inlineStr">
        <is>
          <t>CHOOSE RATING</t>
        </is>
      </c>
      <c r="DY138" s="40" t="inlineStr">
        <is>
          <t>CHOOSE RATING</t>
        </is>
      </c>
      <c r="DZ138" s="53" t="inlineStr">
        <is>
          <t>CHOOSE RATING</t>
        </is>
      </c>
      <c r="EA138" s="54" t="inlineStr">
        <is>
          <t>Add the Tutor's Comment . . .</t>
        </is>
      </c>
      <c r="EB138" s="55" t="inlineStr">
        <is>
          <t>Choose Principals comment</t>
        </is>
      </c>
      <c r="EC138" s="56" t="n"/>
      <c r="ED138" s="57" t="inlineStr">
        <is>
          <t>Next Term Begins on Monday, 22nd September, 2025</t>
        </is>
      </c>
    </row>
    <row r="139" ht="30.6" customHeight="1" s="6">
      <c r="A139" s="18" t="n">
        <v>136</v>
      </c>
      <c r="B139" s="19" t="n"/>
      <c r="C139" s="20" t="n"/>
      <c r="D139" s="128" t="n"/>
      <c r="E139" s="21" t="n"/>
      <c r="F139" s="22" t="n"/>
      <c r="G139" s="22" t="n"/>
      <c r="H139" s="22" t="n"/>
      <c r="I139" s="26">
        <f>G139-H139</f>
        <v/>
      </c>
      <c r="J139" s="21" t="n"/>
      <c r="K139" s="21" t="n"/>
      <c r="L139" s="27">
        <f>SUM(J139:K139)</f>
        <v/>
      </c>
      <c r="M139" s="28" t="n"/>
      <c r="N139" s="28" t="n"/>
      <c r="O139" s="29">
        <f>IF(AND(L139=0,M139=0,N139=0),0,IF(AND(L139=0,M139=0),N139/1,IF(AND(L139=0,N139=0),M139/1,IF(AND(M139=0,N139=0),L139/1,IF(L139=0,FLOOR((M139+N139)/2,0.1),IF(M139=0,(L139+N139)/2,IF(N139=0,(M139+L139)/2,FLOOR(((L139+M139+N139)/3),0.1))))))))</f>
        <v/>
      </c>
      <c r="P139" s="21" t="n"/>
      <c r="Q139" s="21" t="n"/>
      <c r="R139" s="27">
        <f>SUM(P139:Q139)</f>
        <v/>
      </c>
      <c r="S139" s="28" t="n"/>
      <c r="T139" s="28" t="n"/>
      <c r="U139" s="29">
        <f>IF(AND(R139=0,S139=0,T139=0),0,IF(AND(R139=0,S139=0),T139/1,IF(AND(R139=0,T139=0),S139/1,IF(AND(S139=0,T139=0),R139/1,IF(R139=0,FLOOR((S139+T139)/2,0.1),IF(S139=0,(R139+T139)/2,IF(T139=0,(S139+R139)/2,FLOOR(((R139+S139+T139)/3),0.1))))))))</f>
        <v/>
      </c>
      <c r="V139" s="21" t="n"/>
      <c r="W139" s="21" t="n"/>
      <c r="X139" s="27">
        <f>SUM(V139:W139)</f>
        <v/>
      </c>
      <c r="Y139" s="28" t="n"/>
      <c r="Z139" s="28" t="n"/>
      <c r="AA139" s="29">
        <f>IF(AND(X139=0,Y139=0,Z139=0),0,IF(AND(X139=0,Y139=0),Z139/1,IF(AND(X139=0,Z139=0),Y139/1,IF(AND(Y139=0,Z139=0),X139/1,IF(X139=0,FLOOR((Y139+Z139)/2,0.1),IF(Y139=0,(X139+Z139)/2,IF(Z139=0,(Y139+X139)/2,FLOOR(((X139+Y139+Z139)/3),0.1))))))))</f>
        <v/>
      </c>
      <c r="AB139" s="21" t="n"/>
      <c r="AC139" s="21" t="n"/>
      <c r="AD139" s="27">
        <f>SUM(AB139:AC139)</f>
        <v/>
      </c>
      <c r="AE139" s="28" t="n"/>
      <c r="AF139" s="28" t="n"/>
      <c r="AG139" s="29">
        <f>IF(AND(AD139=0,AE139=0,AF139=0),0,IF(AND(AD139=0,AE139=0),AF139/1,IF(AND(AD139=0,AF139=0),AE139/1,IF(AND(AE139=0,AF139=0),AD139/1,IF(AD139=0,FLOOR((AE139+AF139)/2,0.1),IF(AE139=0,(AD139+AF139)/2,IF(AF139=0,(AE139+AD139)/2,FLOOR(((AD139+AE139+AF139)/3),0.1))))))))</f>
        <v/>
      </c>
      <c r="AH139" s="21" t="n"/>
      <c r="AI139" s="21" t="n"/>
      <c r="AJ139" s="27">
        <f>SUM(AH139:AI139)</f>
        <v/>
      </c>
      <c r="AK139" s="28" t="n"/>
      <c r="AL139" s="28" t="n"/>
      <c r="AM139" s="29">
        <f>IF(AND(AJ139=0,AK139=0,AL139=0),0,IF(AND(AJ139=0,AK139=0),AL139/1,IF(AND(AJ139=0,AL139=0),AK139/1,IF(AND(AK139=0,AL139=0),AJ139/1,IF(AJ139=0,FLOOR((AK139+AL139)/2,0.1),IF(AK139=0,(AJ139+AL139)/2,IF(AL139=0,(AK139+AJ139)/2,FLOOR(((AJ139+AK139+AL139)/3),0.1))))))))</f>
        <v/>
      </c>
      <c r="AN139" s="21" t="n"/>
      <c r="AO139" s="21" t="n"/>
      <c r="AP139" s="27">
        <f>SUM(AN139:AO139)</f>
        <v/>
      </c>
      <c r="AQ139" s="28" t="n"/>
      <c r="AR139" s="30" t="n"/>
      <c r="AS139" s="29">
        <f>IF(AND(AP139=0,AQ139=0,AR139=0),0,IF(AND(AP139=0,AQ139=0),AR139/1,IF(AND(AP139=0,AR139=0),AQ139/1,IF(AND(AQ139=0,AR139=0),AP139/1,IF(AP139=0,FLOOR((AQ139+AR139)/2,0.1),IF(AQ139=0,(AP139+AR139)/2,IF(AR139=0,(AQ139+AP139)/2,FLOOR(((AP139+AQ139+AR139)/3),0.1))))))))</f>
        <v/>
      </c>
      <c r="AT139" s="21" t="n"/>
      <c r="AU139" s="21" t="n"/>
      <c r="AV139" s="27">
        <f>SUM(AT139:AU139)</f>
        <v/>
      </c>
      <c r="AW139" s="28" t="n"/>
      <c r="AX139" s="30" t="n"/>
      <c r="AY139" s="29">
        <f>IF(AND(AV139=0,AW139=0,AX139=0),0,IF(AND(AV139=0,AW139=0),AX139/1,IF(AND(AV139=0,AX139=0),AW139/1,IF(AND(AW139=0,AX139=0),AV139/1,IF(AV139=0,FLOOR((AW139+AX139)/2,0.1),IF(AW139=0,(AV139+AX139)/2,IF(AX139=0,(AW139+AV139)/2,FLOOR(((AV139+AW139+AX139)/3),0.1))))))))</f>
        <v/>
      </c>
      <c r="AZ139" s="21" t="n"/>
      <c r="BA139" s="21" t="n"/>
      <c r="BB139" s="27">
        <f>SUM(AZ139:BA139)</f>
        <v/>
      </c>
      <c r="BC139" s="28" t="n"/>
      <c r="BD139" s="28" t="n"/>
      <c r="BE139" s="29">
        <f>IF(AND(BB139=0,BC139=0,BD139=0),0,IF(AND(BB139=0,BC139=0),BD139/1,IF(AND(BB139=0,BD139=0),BC139/1,IF(AND(BC139=0,BD139=0),BB139/1,IF(BB139=0,FLOOR((BC139+BD139)/2,0.1),IF(BC139=0,(BB139+BD139)/2,IF(BD139=0,(BC139+BB139)/2,FLOOR(((BB139+BC139+BD139)/3),0.1))))))))</f>
        <v/>
      </c>
      <c r="BF139" s="21" t="n"/>
      <c r="BG139" s="21" t="n"/>
      <c r="BH139" s="27">
        <f>SUM(BF139:BG139)</f>
        <v/>
      </c>
      <c r="BI139" s="28" t="n"/>
      <c r="BJ139" s="28" t="n"/>
      <c r="BK139" s="29">
        <f>IF(AND(BH139=0,BI139=0,BJ139=0),0,IF(AND(BH139=0,BI139=0),BJ139/1,IF(AND(BH139=0,BJ139=0),BI139/1,IF(AND(BI139=0,BJ139=0),BH139/1,IF(BH139=0,FLOOR((BI139+BJ139)/2,0.1),IF(BI139=0,(BH139+BJ139)/2,IF(BJ139=0,(BI139+BH139)/2,FLOOR(((BH139+BI139+BJ139)/3),0.1))))))))</f>
        <v/>
      </c>
      <c r="BL139" s="21" t="n"/>
      <c r="BM139" s="21" t="n"/>
      <c r="BN139" s="27">
        <f>SUM(BL139:BM139)</f>
        <v/>
      </c>
      <c r="BO139" s="28" t="n"/>
      <c r="BP139" s="31" t="n"/>
      <c r="BQ139" s="29">
        <f>IF(AND(BN139=0,BO139=0,BP139=0),0,IF(AND(BN139=0,BO139=0),BP139/1,IF(AND(BN139=0,BP139=0),BO139/1,IF(AND(BO139=0,BP139=0),BN139/1,IF(BN139=0,FLOOR((BO139+BP139)/2,0.1),IF(BO139=0,(BN139+BP139)/2,IF(BP139=0,(BO139+BN139)/2,FLOOR(((BN139+BO139+BP139)/3),0.1))))))))</f>
        <v/>
      </c>
      <c r="BR139" s="21" t="n"/>
      <c r="BS139" s="21" t="n"/>
      <c r="BT139" s="27">
        <f>SUM(BR139:BS139)</f>
        <v/>
      </c>
      <c r="BU139" s="28" t="n"/>
      <c r="BV139" s="31" t="n"/>
      <c r="BW139" s="29">
        <f>IF(AND(BT139=0,BU139=0,BV139=0),0,IF(AND(BT139=0,BU139=0),BV139/1,IF(AND(BT139=0,BV139=0),BU139/1,IF(AND(BU139=0,BV139=0),BT139/1,IF(BT139=0,FLOOR((BU139+BV139)/2,0.1),IF(BU139=0,(BT139+BV139)/2,IF(BV139=0,(BU139+BT139)/2,FLOOR(((BT139+BU139+BV139)/3),0.1))))))))</f>
        <v/>
      </c>
      <c r="BX139" s="21" t="n"/>
      <c r="BY139" s="21" t="n"/>
      <c r="BZ139" s="27">
        <f>SUM(BX139:BY139)</f>
        <v/>
      </c>
      <c r="CA139" s="28" t="n"/>
      <c r="CB139" s="31" t="n"/>
      <c r="CC139" s="29">
        <f>IF(AND(BZ139=0,CA139=0,CB139=0),0,IF(AND(BZ139=0,CA139=0),CB139/1,IF(AND(BZ139=0,CB139=0),CA139/1,IF(AND(CA139=0,CB139=0),BZ139/1,IF(BZ139=0,FLOOR((CA139+CB139)/2,0.1),IF(CA139=0,(BZ139+CB139)/2,IF(CB139=0,(CA139+BZ139)/2,FLOOR(((BZ139+CA139+CB139)/3),0.1))))))))</f>
        <v/>
      </c>
      <c r="CD139" s="21" t="n"/>
      <c r="CE139" s="21" t="n"/>
      <c r="CF139" s="27">
        <f>SUM(CD139:CE139)</f>
        <v/>
      </c>
      <c r="CG139" s="28" t="n"/>
      <c r="CH139" s="31" t="n"/>
      <c r="CI139" s="29">
        <f>IF(AND(CF139=0,CG139=0,CH139=0),0,IF(AND(CF139=0,CG139=0),CH139/1,IF(AND(CF139=0,CH139=0),CG139/1,IF(AND(CG139=0,CH139=0),CF139/1,IF(CF139=0,FLOOR((CG139+CH139)/2,0.1),IF(CG139=0,(CF139+CH139)/2,IF(CH139=0,(CG139+CF139)/2,FLOOR(((CF139+CG139+CH139)/3),0.1))))))))</f>
        <v/>
      </c>
      <c r="CJ139" s="21" t="n"/>
      <c r="CK139" s="21" t="n"/>
      <c r="CL139" s="27">
        <f>SUM(CJ139:CK139)</f>
        <v/>
      </c>
      <c r="CM139" s="28" t="n"/>
      <c r="CN139" s="31" t="n"/>
      <c r="CO139" s="29">
        <f>IF(AND(CL139=0,CM139=0,CN139=0),0,IF(AND(CL139=0,CM139=0),CN139/1,IF(AND(CL139=0,CN139=0),CM139/1,IF(AND(CM139=0,CN139=0),CL139/1,IF(CL139=0,FLOOR((CM139+CN139)/2,0.1),IF(CM139=0,(CL139+CN139)/2,IF(CN139=0,(CM139+CL139)/2,FLOOR(((CL139+CM139+CN139)/3),0.1))))))))</f>
        <v/>
      </c>
      <c r="CP139" s="21" t="n"/>
      <c r="CQ139" s="21" t="n"/>
      <c r="CR139" s="27">
        <f>SUM(CP139:CQ139)</f>
        <v/>
      </c>
      <c r="CS139" s="28" t="n"/>
      <c r="CT139" s="31" t="n"/>
      <c r="CU139" s="29">
        <f>IF(AND(CR139=0,CS139=0,CT139=0),0,IF(AND(CR139=0,CS139=0),CT139/1,IF(AND(CR139=0,CT139=0),CS139/1,IF(AND(CS139=0,CT139=0),CR139/1,IF(CR139=0,FLOOR((CS139+CT139)/2,0.1),IF(CS139=0,(CR139+CT139)/2,IF(CT139=0,(CS139+CR139)/2,FLOOR(((CR139+CS139+CT139)/3),0.1))))))))</f>
        <v/>
      </c>
      <c r="CV139" s="21" t="n"/>
      <c r="CW139" s="21" t="n"/>
      <c r="CX139" s="27">
        <f>SUM(CV139:CW139)</f>
        <v/>
      </c>
      <c r="CY139" s="28" t="n"/>
      <c r="CZ139" s="31" t="n"/>
      <c r="DA139" s="29">
        <f>IF(AND(CX139=0,CY139=0,CZ139=0),0,IF(AND(CX139=0,CY139=0),CZ139/1,IF(AND(CX139=0,CZ139=0),CY139/1,IF(AND(CY139=0,CZ139=0),CX139/1,IF(CX139=0,FLOOR((CY139+CZ139)/2,0.1),IF(CY139=0,(CX139+CZ139)/2,IF(CZ139=0,(CY139+CX139)/2,FLOOR(((CX139+CY139+CZ139)/3),0.1))))))))</f>
        <v/>
      </c>
      <c r="DB139" s="21" t="n"/>
      <c r="DC139" s="21" t="n"/>
      <c r="DD139" s="27">
        <f>SUM(DB139:DC139)</f>
        <v/>
      </c>
      <c r="DE139" s="28" t="n"/>
      <c r="DF139" s="31" t="n"/>
      <c r="DG139" s="29">
        <f>IF(AND(DD139=0,DE139=0,DF139=0),0,IF(AND(DD139=0,DE139=0),DF139/1,IF(AND(DD139=0,DF139=0),DE139/1,IF(AND(DE139=0,DF139=0),DD139/1,IF(DD139=0,FLOOR((DE139+DF139)/2,0.1),IF(DE139=0,(DD139+DF139)/2,IF(DF139=0,(DE139+DD139)/2,FLOOR(((DD139+DE139+DF139)/3),0.1))))))))</f>
        <v/>
      </c>
      <c r="DH139" s="34">
        <f>SUM(O139,U139,AA139,AG139,AM139,AS139,AY139,BE139,BK139,BQ139,BW139,CC139,CI139,CO139,CU139,DA139,DG139)</f>
        <v/>
      </c>
      <c r="DI139" s="39">
        <f>RANK(DH139,DH$4:DH$503)</f>
        <v/>
      </c>
      <c r="DJ139" s="40" t="inlineStr">
        <is>
          <t>CHOOSE RATING</t>
        </is>
      </c>
      <c r="DK139" s="40" t="inlineStr">
        <is>
          <t>CHOOSE RATING</t>
        </is>
      </c>
      <c r="DL139" s="40" t="inlineStr">
        <is>
          <t>CHOOSE RATING</t>
        </is>
      </c>
      <c r="DM139" s="40" t="inlineStr">
        <is>
          <t>CHOOSE RATING</t>
        </is>
      </c>
      <c r="DN139" s="40" t="inlineStr">
        <is>
          <t>CHOOSE RATING</t>
        </is>
      </c>
      <c r="DO139" s="40" t="inlineStr">
        <is>
          <t>CHOOSE RATING</t>
        </is>
      </c>
      <c r="DP139" s="40" t="inlineStr">
        <is>
          <t>CHOOSE RATING</t>
        </is>
      </c>
      <c r="DQ139" s="40" t="inlineStr">
        <is>
          <t>CHOOSE RATING</t>
        </is>
      </c>
      <c r="DR139" s="43" t="inlineStr">
        <is>
          <t>2024/2025</t>
        </is>
      </c>
      <c r="DS139" s="45" t="inlineStr">
        <is>
          <t>THIRD</t>
        </is>
      </c>
      <c r="DT139" s="40" t="inlineStr">
        <is>
          <t>CHOOSE RATING</t>
        </is>
      </c>
      <c r="DU139" s="40" t="inlineStr">
        <is>
          <t>CHOOSE RATING</t>
        </is>
      </c>
      <c r="DV139" s="40" t="inlineStr">
        <is>
          <t>CHOOSE RATING</t>
        </is>
      </c>
      <c r="DW139" s="40" t="inlineStr">
        <is>
          <t>CHOOSE RATING</t>
        </is>
      </c>
      <c r="DX139" s="40" t="inlineStr">
        <is>
          <t>CHOOSE RATING</t>
        </is>
      </c>
      <c r="DY139" s="40" t="inlineStr">
        <is>
          <t>CHOOSE RATING</t>
        </is>
      </c>
      <c r="DZ139" s="53" t="inlineStr">
        <is>
          <t>CHOOSE RATING</t>
        </is>
      </c>
      <c r="EA139" s="54" t="inlineStr">
        <is>
          <t>Add the Tutor's Comment . . .</t>
        </is>
      </c>
      <c r="EB139" s="55" t="inlineStr">
        <is>
          <t>Choose Principals comment</t>
        </is>
      </c>
      <c r="EC139" s="56" t="n"/>
      <c r="ED139" s="57" t="inlineStr">
        <is>
          <t>Next Term Begins on Monday, 22nd September, 2025</t>
        </is>
      </c>
    </row>
    <row r="140" ht="30.6" customHeight="1" s="6">
      <c r="A140" s="18" t="n">
        <v>137</v>
      </c>
      <c r="B140" s="19" t="n"/>
      <c r="C140" s="20" t="n"/>
      <c r="D140" s="128" t="n"/>
      <c r="E140" s="21" t="n"/>
      <c r="F140" s="22" t="n"/>
      <c r="G140" s="22" t="n"/>
      <c r="H140" s="22" t="n"/>
      <c r="I140" s="26">
        <f>G140-H140</f>
        <v/>
      </c>
      <c r="J140" s="21" t="n"/>
      <c r="K140" s="21" t="n"/>
      <c r="L140" s="27">
        <f>SUM(J140:K140)</f>
        <v/>
      </c>
      <c r="M140" s="28" t="n"/>
      <c r="N140" s="28" t="n"/>
      <c r="O140" s="29">
        <f>IF(AND(L140=0,M140=0,N140=0),0,IF(AND(L140=0,M140=0),N140/1,IF(AND(L140=0,N140=0),M140/1,IF(AND(M140=0,N140=0),L140/1,IF(L140=0,FLOOR((M140+N140)/2,0.1),IF(M140=0,(L140+N140)/2,IF(N140=0,(M140+L140)/2,FLOOR(((L140+M140+N140)/3),0.1))))))))</f>
        <v/>
      </c>
      <c r="P140" s="21" t="n"/>
      <c r="Q140" s="21" t="n"/>
      <c r="R140" s="27">
        <f>SUM(P140:Q140)</f>
        <v/>
      </c>
      <c r="S140" s="28" t="n"/>
      <c r="T140" s="28" t="n"/>
      <c r="U140" s="29">
        <f>IF(AND(R140=0,S140=0,T140=0),0,IF(AND(R140=0,S140=0),T140/1,IF(AND(R140=0,T140=0),S140/1,IF(AND(S140=0,T140=0),R140/1,IF(R140=0,FLOOR((S140+T140)/2,0.1),IF(S140=0,(R140+T140)/2,IF(T140=0,(S140+R140)/2,FLOOR(((R140+S140+T140)/3),0.1))))))))</f>
        <v/>
      </c>
      <c r="V140" s="21" t="n"/>
      <c r="W140" s="21" t="n"/>
      <c r="X140" s="27">
        <f>SUM(V140:W140)</f>
        <v/>
      </c>
      <c r="Y140" s="28" t="n"/>
      <c r="Z140" s="28" t="n"/>
      <c r="AA140" s="29">
        <f>IF(AND(X140=0,Y140=0,Z140=0),0,IF(AND(X140=0,Y140=0),Z140/1,IF(AND(X140=0,Z140=0),Y140/1,IF(AND(Y140=0,Z140=0),X140/1,IF(X140=0,FLOOR((Y140+Z140)/2,0.1),IF(Y140=0,(X140+Z140)/2,IF(Z140=0,(Y140+X140)/2,FLOOR(((X140+Y140+Z140)/3),0.1))))))))</f>
        <v/>
      </c>
      <c r="AB140" s="21" t="n"/>
      <c r="AC140" s="21" t="n"/>
      <c r="AD140" s="27">
        <f>SUM(AB140:AC140)</f>
        <v/>
      </c>
      <c r="AE140" s="28" t="n"/>
      <c r="AF140" s="28" t="n"/>
      <c r="AG140" s="29">
        <f>IF(AND(AD140=0,AE140=0,AF140=0),0,IF(AND(AD140=0,AE140=0),AF140/1,IF(AND(AD140=0,AF140=0),AE140/1,IF(AND(AE140=0,AF140=0),AD140/1,IF(AD140=0,FLOOR((AE140+AF140)/2,0.1),IF(AE140=0,(AD140+AF140)/2,IF(AF140=0,(AE140+AD140)/2,FLOOR(((AD140+AE140+AF140)/3),0.1))))))))</f>
        <v/>
      </c>
      <c r="AH140" s="21" t="n"/>
      <c r="AI140" s="21" t="n"/>
      <c r="AJ140" s="27">
        <f>SUM(AH140:AI140)</f>
        <v/>
      </c>
      <c r="AK140" s="28" t="n"/>
      <c r="AL140" s="28" t="n"/>
      <c r="AM140" s="29">
        <f>IF(AND(AJ140=0,AK140=0,AL140=0),0,IF(AND(AJ140=0,AK140=0),AL140/1,IF(AND(AJ140=0,AL140=0),AK140/1,IF(AND(AK140=0,AL140=0),AJ140/1,IF(AJ140=0,FLOOR((AK140+AL140)/2,0.1),IF(AK140=0,(AJ140+AL140)/2,IF(AL140=0,(AK140+AJ140)/2,FLOOR(((AJ140+AK140+AL140)/3),0.1))))))))</f>
        <v/>
      </c>
      <c r="AN140" s="21" t="n"/>
      <c r="AO140" s="21" t="n"/>
      <c r="AP140" s="27">
        <f>SUM(AN140:AO140)</f>
        <v/>
      </c>
      <c r="AQ140" s="28" t="n"/>
      <c r="AR140" s="30" t="n"/>
      <c r="AS140" s="29">
        <f>IF(AND(AP140=0,AQ140=0,AR140=0),0,IF(AND(AP140=0,AQ140=0),AR140/1,IF(AND(AP140=0,AR140=0),AQ140/1,IF(AND(AQ140=0,AR140=0),AP140/1,IF(AP140=0,FLOOR((AQ140+AR140)/2,0.1),IF(AQ140=0,(AP140+AR140)/2,IF(AR140=0,(AQ140+AP140)/2,FLOOR(((AP140+AQ140+AR140)/3),0.1))))))))</f>
        <v/>
      </c>
      <c r="AT140" s="21" t="n"/>
      <c r="AU140" s="21" t="n"/>
      <c r="AV140" s="27">
        <f>SUM(AT140:AU140)</f>
        <v/>
      </c>
      <c r="AW140" s="28" t="n"/>
      <c r="AX140" s="30" t="n"/>
      <c r="AY140" s="29">
        <f>IF(AND(AV140=0,AW140=0,AX140=0),0,IF(AND(AV140=0,AW140=0),AX140/1,IF(AND(AV140=0,AX140=0),AW140/1,IF(AND(AW140=0,AX140=0),AV140/1,IF(AV140=0,FLOOR((AW140+AX140)/2,0.1),IF(AW140=0,(AV140+AX140)/2,IF(AX140=0,(AW140+AV140)/2,FLOOR(((AV140+AW140+AX140)/3),0.1))))))))</f>
        <v/>
      </c>
      <c r="AZ140" s="21" t="n"/>
      <c r="BA140" s="21" t="n"/>
      <c r="BB140" s="27">
        <f>SUM(AZ140:BA140)</f>
        <v/>
      </c>
      <c r="BC140" s="28" t="n"/>
      <c r="BD140" s="28" t="n"/>
      <c r="BE140" s="29">
        <f>IF(AND(BB140=0,BC140=0,BD140=0),0,IF(AND(BB140=0,BC140=0),BD140/1,IF(AND(BB140=0,BD140=0),BC140/1,IF(AND(BC140=0,BD140=0),BB140/1,IF(BB140=0,FLOOR((BC140+BD140)/2,0.1),IF(BC140=0,(BB140+BD140)/2,IF(BD140=0,(BC140+BB140)/2,FLOOR(((BB140+BC140+BD140)/3),0.1))))))))</f>
        <v/>
      </c>
      <c r="BF140" s="21" t="n"/>
      <c r="BG140" s="21" t="n"/>
      <c r="BH140" s="27">
        <f>SUM(BF140:BG140)</f>
        <v/>
      </c>
      <c r="BI140" s="28" t="n"/>
      <c r="BJ140" s="28" t="n"/>
      <c r="BK140" s="29">
        <f>IF(AND(BH140=0,BI140=0,BJ140=0),0,IF(AND(BH140=0,BI140=0),BJ140/1,IF(AND(BH140=0,BJ140=0),BI140/1,IF(AND(BI140=0,BJ140=0),BH140/1,IF(BH140=0,FLOOR((BI140+BJ140)/2,0.1),IF(BI140=0,(BH140+BJ140)/2,IF(BJ140=0,(BI140+BH140)/2,FLOOR(((BH140+BI140+BJ140)/3),0.1))))))))</f>
        <v/>
      </c>
      <c r="BL140" s="21" t="n"/>
      <c r="BM140" s="21" t="n"/>
      <c r="BN140" s="27">
        <f>SUM(BL140:BM140)</f>
        <v/>
      </c>
      <c r="BO140" s="28" t="n"/>
      <c r="BP140" s="31" t="n"/>
      <c r="BQ140" s="29">
        <f>IF(AND(BN140=0,BO140=0,BP140=0),0,IF(AND(BN140=0,BO140=0),BP140/1,IF(AND(BN140=0,BP140=0),BO140/1,IF(AND(BO140=0,BP140=0),BN140/1,IF(BN140=0,FLOOR((BO140+BP140)/2,0.1),IF(BO140=0,(BN140+BP140)/2,IF(BP140=0,(BO140+BN140)/2,FLOOR(((BN140+BO140+BP140)/3),0.1))))))))</f>
        <v/>
      </c>
      <c r="BR140" s="21" t="n"/>
      <c r="BS140" s="21" t="n"/>
      <c r="BT140" s="27">
        <f>SUM(BR140:BS140)</f>
        <v/>
      </c>
      <c r="BU140" s="28" t="n"/>
      <c r="BV140" s="31" t="n"/>
      <c r="BW140" s="29">
        <f>IF(AND(BT140=0,BU140=0,BV140=0),0,IF(AND(BT140=0,BU140=0),BV140/1,IF(AND(BT140=0,BV140=0),BU140/1,IF(AND(BU140=0,BV140=0),BT140/1,IF(BT140=0,FLOOR((BU140+BV140)/2,0.1),IF(BU140=0,(BT140+BV140)/2,IF(BV140=0,(BU140+BT140)/2,FLOOR(((BT140+BU140+BV140)/3),0.1))))))))</f>
        <v/>
      </c>
      <c r="BX140" s="21" t="n"/>
      <c r="BY140" s="21" t="n"/>
      <c r="BZ140" s="27">
        <f>SUM(BX140:BY140)</f>
        <v/>
      </c>
      <c r="CA140" s="28" t="n"/>
      <c r="CB140" s="31" t="n"/>
      <c r="CC140" s="29">
        <f>IF(AND(BZ140=0,CA140=0,CB140=0),0,IF(AND(BZ140=0,CA140=0),CB140/1,IF(AND(BZ140=0,CB140=0),CA140/1,IF(AND(CA140=0,CB140=0),BZ140/1,IF(BZ140=0,FLOOR((CA140+CB140)/2,0.1),IF(CA140=0,(BZ140+CB140)/2,IF(CB140=0,(CA140+BZ140)/2,FLOOR(((BZ140+CA140+CB140)/3),0.1))))))))</f>
        <v/>
      </c>
      <c r="CD140" s="21" t="n"/>
      <c r="CE140" s="21" t="n"/>
      <c r="CF140" s="27">
        <f>SUM(CD140:CE140)</f>
        <v/>
      </c>
      <c r="CG140" s="28" t="n"/>
      <c r="CH140" s="31" t="n"/>
      <c r="CI140" s="29">
        <f>IF(AND(CF140=0,CG140=0,CH140=0),0,IF(AND(CF140=0,CG140=0),CH140/1,IF(AND(CF140=0,CH140=0),CG140/1,IF(AND(CG140=0,CH140=0),CF140/1,IF(CF140=0,FLOOR((CG140+CH140)/2,0.1),IF(CG140=0,(CF140+CH140)/2,IF(CH140=0,(CG140+CF140)/2,FLOOR(((CF140+CG140+CH140)/3),0.1))))))))</f>
        <v/>
      </c>
      <c r="CJ140" s="21" t="n"/>
      <c r="CK140" s="21" t="n"/>
      <c r="CL140" s="27">
        <f>SUM(CJ140:CK140)</f>
        <v/>
      </c>
      <c r="CM140" s="28" t="n"/>
      <c r="CN140" s="31" t="n"/>
      <c r="CO140" s="29">
        <f>IF(AND(CL140=0,CM140=0,CN140=0),0,IF(AND(CL140=0,CM140=0),CN140/1,IF(AND(CL140=0,CN140=0),CM140/1,IF(AND(CM140=0,CN140=0),CL140/1,IF(CL140=0,FLOOR((CM140+CN140)/2,0.1),IF(CM140=0,(CL140+CN140)/2,IF(CN140=0,(CM140+CL140)/2,FLOOR(((CL140+CM140+CN140)/3),0.1))))))))</f>
        <v/>
      </c>
      <c r="CP140" s="21" t="n"/>
      <c r="CQ140" s="21" t="n"/>
      <c r="CR140" s="27">
        <f>SUM(CP140:CQ140)</f>
        <v/>
      </c>
      <c r="CS140" s="28" t="n"/>
      <c r="CT140" s="31" t="n"/>
      <c r="CU140" s="29">
        <f>IF(AND(CR140=0,CS140=0,CT140=0),0,IF(AND(CR140=0,CS140=0),CT140/1,IF(AND(CR140=0,CT140=0),CS140/1,IF(AND(CS140=0,CT140=0),CR140/1,IF(CR140=0,FLOOR((CS140+CT140)/2,0.1),IF(CS140=0,(CR140+CT140)/2,IF(CT140=0,(CS140+CR140)/2,FLOOR(((CR140+CS140+CT140)/3),0.1))))))))</f>
        <v/>
      </c>
      <c r="CV140" s="21" t="n"/>
      <c r="CW140" s="21" t="n"/>
      <c r="CX140" s="27">
        <f>SUM(CV140:CW140)</f>
        <v/>
      </c>
      <c r="CY140" s="28" t="n"/>
      <c r="CZ140" s="31" t="n"/>
      <c r="DA140" s="29">
        <f>IF(AND(CX140=0,CY140=0,CZ140=0),0,IF(AND(CX140=0,CY140=0),CZ140/1,IF(AND(CX140=0,CZ140=0),CY140/1,IF(AND(CY140=0,CZ140=0),CX140/1,IF(CX140=0,FLOOR((CY140+CZ140)/2,0.1),IF(CY140=0,(CX140+CZ140)/2,IF(CZ140=0,(CY140+CX140)/2,FLOOR(((CX140+CY140+CZ140)/3),0.1))))))))</f>
        <v/>
      </c>
      <c r="DB140" s="21" t="n"/>
      <c r="DC140" s="21" t="n"/>
      <c r="DD140" s="27">
        <f>SUM(DB140:DC140)</f>
        <v/>
      </c>
      <c r="DE140" s="28" t="n"/>
      <c r="DF140" s="31" t="n"/>
      <c r="DG140" s="29">
        <f>IF(AND(DD140=0,DE140=0,DF140=0),0,IF(AND(DD140=0,DE140=0),DF140/1,IF(AND(DD140=0,DF140=0),DE140/1,IF(AND(DE140=0,DF140=0),DD140/1,IF(DD140=0,FLOOR((DE140+DF140)/2,0.1),IF(DE140=0,(DD140+DF140)/2,IF(DF140=0,(DE140+DD140)/2,FLOOR(((DD140+DE140+DF140)/3),0.1))))))))</f>
        <v/>
      </c>
      <c r="DH140" s="34">
        <f>SUM(O140,U140,AA140,AG140,AM140,AS140,AY140,BE140,BK140,BQ140,BW140,CC140,CI140,CO140,CU140,DA140,DG140)</f>
        <v/>
      </c>
      <c r="DI140" s="39">
        <f>RANK(DH140,DH$4:DH$503)</f>
        <v/>
      </c>
      <c r="DJ140" s="40" t="inlineStr">
        <is>
          <t>CHOOSE RATING</t>
        </is>
      </c>
      <c r="DK140" s="40" t="inlineStr">
        <is>
          <t>CHOOSE RATING</t>
        </is>
      </c>
      <c r="DL140" s="40" t="inlineStr">
        <is>
          <t>CHOOSE RATING</t>
        </is>
      </c>
      <c r="DM140" s="40" t="inlineStr">
        <is>
          <t>CHOOSE RATING</t>
        </is>
      </c>
      <c r="DN140" s="40" t="inlineStr">
        <is>
          <t>CHOOSE RATING</t>
        </is>
      </c>
      <c r="DO140" s="40" t="inlineStr">
        <is>
          <t>CHOOSE RATING</t>
        </is>
      </c>
      <c r="DP140" s="40" t="inlineStr">
        <is>
          <t>CHOOSE RATING</t>
        </is>
      </c>
      <c r="DQ140" s="40" t="inlineStr">
        <is>
          <t>CHOOSE RATING</t>
        </is>
      </c>
      <c r="DR140" s="43" t="inlineStr">
        <is>
          <t>2024/2025</t>
        </is>
      </c>
      <c r="DS140" s="45" t="inlineStr">
        <is>
          <t>THIRD</t>
        </is>
      </c>
      <c r="DT140" s="40" t="inlineStr">
        <is>
          <t>CHOOSE RATING</t>
        </is>
      </c>
      <c r="DU140" s="40" t="inlineStr">
        <is>
          <t>CHOOSE RATING</t>
        </is>
      </c>
      <c r="DV140" s="40" t="inlineStr">
        <is>
          <t>CHOOSE RATING</t>
        </is>
      </c>
      <c r="DW140" s="40" t="inlineStr">
        <is>
          <t>CHOOSE RATING</t>
        </is>
      </c>
      <c r="DX140" s="40" t="inlineStr">
        <is>
          <t>CHOOSE RATING</t>
        </is>
      </c>
      <c r="DY140" s="40" t="inlineStr">
        <is>
          <t>CHOOSE RATING</t>
        </is>
      </c>
      <c r="DZ140" s="53" t="inlineStr">
        <is>
          <t>CHOOSE RATING</t>
        </is>
      </c>
      <c r="EA140" s="54" t="inlineStr">
        <is>
          <t>Add the Tutor's Comment . . .</t>
        </is>
      </c>
      <c r="EB140" s="55" t="inlineStr">
        <is>
          <t>Choose Principals comment</t>
        </is>
      </c>
      <c r="EC140" s="56" t="n"/>
      <c r="ED140" s="57" t="inlineStr">
        <is>
          <t>Next Term Begins on Monday, 22nd September, 2025</t>
        </is>
      </c>
    </row>
    <row r="141" ht="30.6" customHeight="1" s="6">
      <c r="A141" s="18" t="n">
        <v>138</v>
      </c>
      <c r="B141" s="19" t="n"/>
      <c r="C141" s="20" t="n"/>
      <c r="D141" s="128" t="n"/>
      <c r="E141" s="21" t="n"/>
      <c r="F141" s="22" t="n"/>
      <c r="G141" s="22" t="n"/>
      <c r="H141" s="22" t="n"/>
      <c r="I141" s="26">
        <f>G141-H141</f>
        <v/>
      </c>
      <c r="J141" s="21" t="n"/>
      <c r="K141" s="21" t="n"/>
      <c r="L141" s="27">
        <f>SUM(J141:K141)</f>
        <v/>
      </c>
      <c r="M141" s="28" t="n"/>
      <c r="N141" s="28" t="n"/>
      <c r="O141" s="29">
        <f>IF(AND(L141=0,M141=0,N141=0),0,IF(AND(L141=0,M141=0),N141/1,IF(AND(L141=0,N141=0),M141/1,IF(AND(M141=0,N141=0),L141/1,IF(L141=0,FLOOR((M141+N141)/2,0.1),IF(M141=0,(L141+N141)/2,IF(N141=0,(M141+L141)/2,FLOOR(((L141+M141+N141)/3),0.1))))))))</f>
        <v/>
      </c>
      <c r="P141" s="21" t="n"/>
      <c r="Q141" s="21" t="n"/>
      <c r="R141" s="27">
        <f>SUM(P141:Q141)</f>
        <v/>
      </c>
      <c r="S141" s="28" t="n"/>
      <c r="T141" s="28" t="n"/>
      <c r="U141" s="29">
        <f>IF(AND(R141=0,S141=0,T141=0),0,IF(AND(R141=0,S141=0),T141/1,IF(AND(R141=0,T141=0),S141/1,IF(AND(S141=0,T141=0),R141/1,IF(R141=0,FLOOR((S141+T141)/2,0.1),IF(S141=0,(R141+T141)/2,IF(T141=0,(S141+R141)/2,FLOOR(((R141+S141+T141)/3),0.1))))))))</f>
        <v/>
      </c>
      <c r="V141" s="21" t="n"/>
      <c r="W141" s="21" t="n"/>
      <c r="X141" s="27">
        <f>SUM(V141:W141)</f>
        <v/>
      </c>
      <c r="Y141" s="28" t="n"/>
      <c r="Z141" s="28" t="n"/>
      <c r="AA141" s="29">
        <f>IF(AND(X141=0,Y141=0,Z141=0),0,IF(AND(X141=0,Y141=0),Z141/1,IF(AND(X141=0,Z141=0),Y141/1,IF(AND(Y141=0,Z141=0),X141/1,IF(X141=0,FLOOR((Y141+Z141)/2,0.1),IF(Y141=0,(X141+Z141)/2,IF(Z141=0,(Y141+X141)/2,FLOOR(((X141+Y141+Z141)/3),0.1))))))))</f>
        <v/>
      </c>
      <c r="AB141" s="21" t="n"/>
      <c r="AC141" s="21" t="n"/>
      <c r="AD141" s="27">
        <f>SUM(AB141:AC141)</f>
        <v/>
      </c>
      <c r="AE141" s="28" t="n"/>
      <c r="AF141" s="28" t="n"/>
      <c r="AG141" s="29">
        <f>IF(AND(AD141=0,AE141=0,AF141=0),0,IF(AND(AD141=0,AE141=0),AF141/1,IF(AND(AD141=0,AF141=0),AE141/1,IF(AND(AE141=0,AF141=0),AD141/1,IF(AD141=0,FLOOR((AE141+AF141)/2,0.1),IF(AE141=0,(AD141+AF141)/2,IF(AF141=0,(AE141+AD141)/2,FLOOR(((AD141+AE141+AF141)/3),0.1))))))))</f>
        <v/>
      </c>
      <c r="AH141" s="21" t="n"/>
      <c r="AI141" s="21" t="n"/>
      <c r="AJ141" s="27">
        <f>SUM(AH141:AI141)</f>
        <v/>
      </c>
      <c r="AK141" s="28" t="n"/>
      <c r="AL141" s="28" t="n"/>
      <c r="AM141" s="29">
        <f>IF(AND(AJ141=0,AK141=0,AL141=0),0,IF(AND(AJ141=0,AK141=0),AL141/1,IF(AND(AJ141=0,AL141=0),AK141/1,IF(AND(AK141=0,AL141=0),AJ141/1,IF(AJ141=0,FLOOR((AK141+AL141)/2,0.1),IF(AK141=0,(AJ141+AL141)/2,IF(AL141=0,(AK141+AJ141)/2,FLOOR(((AJ141+AK141+AL141)/3),0.1))))))))</f>
        <v/>
      </c>
      <c r="AN141" s="21" t="n"/>
      <c r="AO141" s="21" t="n"/>
      <c r="AP141" s="27">
        <f>SUM(AN141:AO141)</f>
        <v/>
      </c>
      <c r="AQ141" s="28" t="n"/>
      <c r="AR141" s="30" t="n"/>
      <c r="AS141" s="29">
        <f>IF(AND(AP141=0,AQ141=0,AR141=0),0,IF(AND(AP141=0,AQ141=0),AR141/1,IF(AND(AP141=0,AR141=0),AQ141/1,IF(AND(AQ141=0,AR141=0),AP141/1,IF(AP141=0,FLOOR((AQ141+AR141)/2,0.1),IF(AQ141=0,(AP141+AR141)/2,IF(AR141=0,(AQ141+AP141)/2,FLOOR(((AP141+AQ141+AR141)/3),0.1))))))))</f>
        <v/>
      </c>
      <c r="AT141" s="21" t="n"/>
      <c r="AU141" s="21" t="n"/>
      <c r="AV141" s="27">
        <f>SUM(AT141:AU141)</f>
        <v/>
      </c>
      <c r="AW141" s="28" t="n"/>
      <c r="AX141" s="30" t="n"/>
      <c r="AY141" s="29">
        <f>IF(AND(AV141=0,AW141=0,AX141=0),0,IF(AND(AV141=0,AW141=0),AX141/1,IF(AND(AV141=0,AX141=0),AW141/1,IF(AND(AW141=0,AX141=0),AV141/1,IF(AV141=0,FLOOR((AW141+AX141)/2,0.1),IF(AW141=0,(AV141+AX141)/2,IF(AX141=0,(AW141+AV141)/2,FLOOR(((AV141+AW141+AX141)/3),0.1))))))))</f>
        <v/>
      </c>
      <c r="AZ141" s="21" t="n"/>
      <c r="BA141" s="21" t="n"/>
      <c r="BB141" s="27">
        <f>SUM(AZ141:BA141)</f>
        <v/>
      </c>
      <c r="BC141" s="28" t="n"/>
      <c r="BD141" s="28" t="n"/>
      <c r="BE141" s="29">
        <f>IF(AND(BB141=0,BC141=0,BD141=0),0,IF(AND(BB141=0,BC141=0),BD141/1,IF(AND(BB141=0,BD141=0),BC141/1,IF(AND(BC141=0,BD141=0),BB141/1,IF(BB141=0,FLOOR((BC141+BD141)/2,0.1),IF(BC141=0,(BB141+BD141)/2,IF(BD141=0,(BC141+BB141)/2,FLOOR(((BB141+BC141+BD141)/3),0.1))))))))</f>
        <v/>
      </c>
      <c r="BF141" s="21" t="n"/>
      <c r="BG141" s="21" t="n"/>
      <c r="BH141" s="27">
        <f>SUM(BF141:BG141)</f>
        <v/>
      </c>
      <c r="BI141" s="28" t="n"/>
      <c r="BJ141" s="28" t="n"/>
      <c r="BK141" s="29">
        <f>IF(AND(BH141=0,BI141=0,BJ141=0),0,IF(AND(BH141=0,BI141=0),BJ141/1,IF(AND(BH141=0,BJ141=0),BI141/1,IF(AND(BI141=0,BJ141=0),BH141/1,IF(BH141=0,FLOOR((BI141+BJ141)/2,0.1),IF(BI141=0,(BH141+BJ141)/2,IF(BJ141=0,(BI141+BH141)/2,FLOOR(((BH141+BI141+BJ141)/3),0.1))))))))</f>
        <v/>
      </c>
      <c r="BL141" s="21" t="n"/>
      <c r="BM141" s="21" t="n"/>
      <c r="BN141" s="27">
        <f>SUM(BL141:BM141)</f>
        <v/>
      </c>
      <c r="BO141" s="28" t="n"/>
      <c r="BP141" s="31" t="n"/>
      <c r="BQ141" s="29">
        <f>IF(AND(BN141=0,BO141=0,BP141=0),0,IF(AND(BN141=0,BO141=0),BP141/1,IF(AND(BN141=0,BP141=0),BO141/1,IF(AND(BO141=0,BP141=0),BN141/1,IF(BN141=0,FLOOR((BO141+BP141)/2,0.1),IF(BO141=0,(BN141+BP141)/2,IF(BP141=0,(BO141+BN141)/2,FLOOR(((BN141+BO141+BP141)/3),0.1))))))))</f>
        <v/>
      </c>
      <c r="BR141" s="21" t="n"/>
      <c r="BS141" s="21" t="n"/>
      <c r="BT141" s="27">
        <f>SUM(BR141:BS141)</f>
        <v/>
      </c>
      <c r="BU141" s="28" t="n"/>
      <c r="BV141" s="31" t="n"/>
      <c r="BW141" s="29">
        <f>IF(AND(BT141=0,BU141=0,BV141=0),0,IF(AND(BT141=0,BU141=0),BV141/1,IF(AND(BT141=0,BV141=0),BU141/1,IF(AND(BU141=0,BV141=0),BT141/1,IF(BT141=0,FLOOR((BU141+BV141)/2,0.1),IF(BU141=0,(BT141+BV141)/2,IF(BV141=0,(BU141+BT141)/2,FLOOR(((BT141+BU141+BV141)/3),0.1))))))))</f>
        <v/>
      </c>
      <c r="BX141" s="21" t="n"/>
      <c r="BY141" s="21" t="n"/>
      <c r="BZ141" s="27">
        <f>SUM(BX141:BY141)</f>
        <v/>
      </c>
      <c r="CA141" s="28" t="n"/>
      <c r="CB141" s="31" t="n"/>
      <c r="CC141" s="29">
        <f>IF(AND(BZ141=0,CA141=0,CB141=0),0,IF(AND(BZ141=0,CA141=0),CB141/1,IF(AND(BZ141=0,CB141=0),CA141/1,IF(AND(CA141=0,CB141=0),BZ141/1,IF(BZ141=0,FLOOR((CA141+CB141)/2,0.1),IF(CA141=0,(BZ141+CB141)/2,IF(CB141=0,(CA141+BZ141)/2,FLOOR(((BZ141+CA141+CB141)/3),0.1))))))))</f>
        <v/>
      </c>
      <c r="CD141" s="21" t="n"/>
      <c r="CE141" s="21" t="n"/>
      <c r="CF141" s="27">
        <f>SUM(CD141:CE141)</f>
        <v/>
      </c>
      <c r="CG141" s="28" t="n"/>
      <c r="CH141" s="31" t="n"/>
      <c r="CI141" s="29">
        <f>IF(AND(CF141=0,CG141=0,CH141=0),0,IF(AND(CF141=0,CG141=0),CH141/1,IF(AND(CF141=0,CH141=0),CG141/1,IF(AND(CG141=0,CH141=0),CF141/1,IF(CF141=0,FLOOR((CG141+CH141)/2,0.1),IF(CG141=0,(CF141+CH141)/2,IF(CH141=0,(CG141+CF141)/2,FLOOR(((CF141+CG141+CH141)/3),0.1))))))))</f>
        <v/>
      </c>
      <c r="CJ141" s="21" t="n"/>
      <c r="CK141" s="21" t="n"/>
      <c r="CL141" s="27">
        <f>SUM(CJ141:CK141)</f>
        <v/>
      </c>
      <c r="CM141" s="28" t="n"/>
      <c r="CN141" s="31" t="n"/>
      <c r="CO141" s="29">
        <f>IF(AND(CL141=0,CM141=0,CN141=0),0,IF(AND(CL141=0,CM141=0),CN141/1,IF(AND(CL141=0,CN141=0),CM141/1,IF(AND(CM141=0,CN141=0),CL141/1,IF(CL141=0,FLOOR((CM141+CN141)/2,0.1),IF(CM141=0,(CL141+CN141)/2,IF(CN141=0,(CM141+CL141)/2,FLOOR(((CL141+CM141+CN141)/3),0.1))))))))</f>
        <v/>
      </c>
      <c r="CP141" s="21" t="n"/>
      <c r="CQ141" s="21" t="n"/>
      <c r="CR141" s="27">
        <f>SUM(CP141:CQ141)</f>
        <v/>
      </c>
      <c r="CS141" s="28" t="n"/>
      <c r="CT141" s="31" t="n"/>
      <c r="CU141" s="29">
        <f>IF(AND(CR141=0,CS141=0,CT141=0),0,IF(AND(CR141=0,CS141=0),CT141/1,IF(AND(CR141=0,CT141=0),CS141/1,IF(AND(CS141=0,CT141=0),CR141/1,IF(CR141=0,FLOOR((CS141+CT141)/2,0.1),IF(CS141=0,(CR141+CT141)/2,IF(CT141=0,(CS141+CR141)/2,FLOOR(((CR141+CS141+CT141)/3),0.1))))))))</f>
        <v/>
      </c>
      <c r="CV141" s="21" t="n"/>
      <c r="CW141" s="21" t="n"/>
      <c r="CX141" s="27">
        <f>SUM(CV141:CW141)</f>
        <v/>
      </c>
      <c r="CY141" s="28" t="n"/>
      <c r="CZ141" s="31" t="n"/>
      <c r="DA141" s="29">
        <f>IF(AND(CX141=0,CY141=0,CZ141=0),0,IF(AND(CX141=0,CY141=0),CZ141/1,IF(AND(CX141=0,CZ141=0),CY141/1,IF(AND(CY141=0,CZ141=0),CX141/1,IF(CX141=0,FLOOR((CY141+CZ141)/2,0.1),IF(CY141=0,(CX141+CZ141)/2,IF(CZ141=0,(CY141+CX141)/2,FLOOR(((CX141+CY141+CZ141)/3),0.1))))))))</f>
        <v/>
      </c>
      <c r="DB141" s="21" t="n"/>
      <c r="DC141" s="21" t="n"/>
      <c r="DD141" s="27">
        <f>SUM(DB141:DC141)</f>
        <v/>
      </c>
      <c r="DE141" s="28" t="n"/>
      <c r="DF141" s="31" t="n"/>
      <c r="DG141" s="29">
        <f>IF(AND(DD141=0,DE141=0,DF141=0),0,IF(AND(DD141=0,DE141=0),DF141/1,IF(AND(DD141=0,DF141=0),DE141/1,IF(AND(DE141=0,DF141=0),DD141/1,IF(DD141=0,FLOOR((DE141+DF141)/2,0.1),IF(DE141=0,(DD141+DF141)/2,IF(DF141=0,(DE141+DD141)/2,FLOOR(((DD141+DE141+DF141)/3),0.1))))))))</f>
        <v/>
      </c>
      <c r="DH141" s="34">
        <f>SUM(O141,U141,AA141,AG141,AM141,AS141,AY141,BE141,BK141,BQ141,BW141,CC141,CI141,CO141,CU141,DA141,DG141)</f>
        <v/>
      </c>
      <c r="DI141" s="39">
        <f>RANK(DH141,DH$4:DH$503)</f>
        <v/>
      </c>
      <c r="DJ141" s="40" t="inlineStr">
        <is>
          <t>CHOOSE RATING</t>
        </is>
      </c>
      <c r="DK141" s="40" t="inlineStr">
        <is>
          <t>CHOOSE RATING</t>
        </is>
      </c>
      <c r="DL141" s="40" t="inlineStr">
        <is>
          <t>CHOOSE RATING</t>
        </is>
      </c>
      <c r="DM141" s="40" t="inlineStr">
        <is>
          <t>CHOOSE RATING</t>
        </is>
      </c>
      <c r="DN141" s="40" t="inlineStr">
        <is>
          <t>CHOOSE RATING</t>
        </is>
      </c>
      <c r="DO141" s="40" t="inlineStr">
        <is>
          <t>CHOOSE RATING</t>
        </is>
      </c>
      <c r="DP141" s="40" t="inlineStr">
        <is>
          <t>CHOOSE RATING</t>
        </is>
      </c>
      <c r="DQ141" s="40" t="inlineStr">
        <is>
          <t>CHOOSE RATING</t>
        </is>
      </c>
      <c r="DR141" s="43" t="inlineStr">
        <is>
          <t>2024/2025</t>
        </is>
      </c>
      <c r="DS141" s="45" t="inlineStr">
        <is>
          <t>THIRD</t>
        </is>
      </c>
      <c r="DT141" s="40" t="inlineStr">
        <is>
          <t>CHOOSE RATING</t>
        </is>
      </c>
      <c r="DU141" s="40" t="inlineStr">
        <is>
          <t>CHOOSE RATING</t>
        </is>
      </c>
      <c r="DV141" s="40" t="inlineStr">
        <is>
          <t>CHOOSE RATING</t>
        </is>
      </c>
      <c r="DW141" s="40" t="inlineStr">
        <is>
          <t>CHOOSE RATING</t>
        </is>
      </c>
      <c r="DX141" s="40" t="inlineStr">
        <is>
          <t>CHOOSE RATING</t>
        </is>
      </c>
      <c r="DY141" s="40" t="inlineStr">
        <is>
          <t>CHOOSE RATING</t>
        </is>
      </c>
      <c r="DZ141" s="53" t="inlineStr">
        <is>
          <t>CHOOSE RATING</t>
        </is>
      </c>
      <c r="EA141" s="54" t="inlineStr">
        <is>
          <t>Add the Tutor's Comment . . .</t>
        </is>
      </c>
      <c r="EB141" s="55" t="inlineStr">
        <is>
          <t>Choose Principals comment</t>
        </is>
      </c>
      <c r="EC141" s="56" t="n"/>
      <c r="ED141" s="57" t="inlineStr">
        <is>
          <t>Next Term Begins on Monday, 22nd September, 2025</t>
        </is>
      </c>
    </row>
    <row r="142" ht="30.6" customHeight="1" s="6">
      <c r="A142" s="18" t="n">
        <v>139</v>
      </c>
      <c r="B142" s="19" t="n"/>
      <c r="C142" s="20" t="n"/>
      <c r="D142" s="128" t="n"/>
      <c r="E142" s="21" t="n"/>
      <c r="F142" s="22" t="n"/>
      <c r="G142" s="22" t="n"/>
      <c r="H142" s="22" t="n"/>
      <c r="I142" s="26">
        <f>G142-H142</f>
        <v/>
      </c>
      <c r="J142" s="21" t="n"/>
      <c r="K142" s="21" t="n"/>
      <c r="L142" s="27">
        <f>SUM(J142:K142)</f>
        <v/>
      </c>
      <c r="M142" s="28" t="n"/>
      <c r="N142" s="28" t="n"/>
      <c r="O142" s="29">
        <f>IF(AND(L142=0,M142=0,N142=0),0,IF(AND(L142=0,M142=0),N142/1,IF(AND(L142=0,N142=0),M142/1,IF(AND(M142=0,N142=0),L142/1,IF(L142=0,FLOOR((M142+N142)/2,0.1),IF(M142=0,(L142+N142)/2,IF(N142=0,(M142+L142)/2,FLOOR(((L142+M142+N142)/3),0.1))))))))</f>
        <v/>
      </c>
      <c r="P142" s="21" t="n"/>
      <c r="Q142" s="21" t="n"/>
      <c r="R142" s="27">
        <f>SUM(P142:Q142)</f>
        <v/>
      </c>
      <c r="S142" s="28" t="n"/>
      <c r="T142" s="28" t="n"/>
      <c r="U142" s="29">
        <f>IF(AND(R142=0,S142=0,T142=0),0,IF(AND(R142=0,S142=0),T142/1,IF(AND(R142=0,T142=0),S142/1,IF(AND(S142=0,T142=0),R142/1,IF(R142=0,FLOOR((S142+T142)/2,0.1),IF(S142=0,(R142+T142)/2,IF(T142=0,(S142+R142)/2,FLOOR(((R142+S142+T142)/3),0.1))))))))</f>
        <v/>
      </c>
      <c r="V142" s="21" t="n"/>
      <c r="W142" s="21" t="n"/>
      <c r="X142" s="27">
        <f>SUM(V142:W142)</f>
        <v/>
      </c>
      <c r="Y142" s="28" t="n"/>
      <c r="Z142" s="28" t="n"/>
      <c r="AA142" s="29">
        <f>IF(AND(X142=0,Y142=0,Z142=0),0,IF(AND(X142=0,Y142=0),Z142/1,IF(AND(X142=0,Z142=0),Y142/1,IF(AND(Y142=0,Z142=0),X142/1,IF(X142=0,FLOOR((Y142+Z142)/2,0.1),IF(Y142=0,(X142+Z142)/2,IF(Z142=0,(Y142+X142)/2,FLOOR(((X142+Y142+Z142)/3),0.1))))))))</f>
        <v/>
      </c>
      <c r="AB142" s="21" t="n"/>
      <c r="AC142" s="21" t="n"/>
      <c r="AD142" s="27">
        <f>SUM(AB142:AC142)</f>
        <v/>
      </c>
      <c r="AE142" s="28" t="n"/>
      <c r="AF142" s="28" t="n"/>
      <c r="AG142" s="29">
        <f>IF(AND(AD142=0,AE142=0,AF142=0),0,IF(AND(AD142=0,AE142=0),AF142/1,IF(AND(AD142=0,AF142=0),AE142/1,IF(AND(AE142=0,AF142=0),AD142/1,IF(AD142=0,FLOOR((AE142+AF142)/2,0.1),IF(AE142=0,(AD142+AF142)/2,IF(AF142=0,(AE142+AD142)/2,FLOOR(((AD142+AE142+AF142)/3),0.1))))))))</f>
        <v/>
      </c>
      <c r="AH142" s="21" t="n"/>
      <c r="AI142" s="21" t="n"/>
      <c r="AJ142" s="27">
        <f>SUM(AH142:AI142)</f>
        <v/>
      </c>
      <c r="AK142" s="28" t="n"/>
      <c r="AL142" s="28" t="n"/>
      <c r="AM142" s="29">
        <f>IF(AND(AJ142=0,AK142=0,AL142=0),0,IF(AND(AJ142=0,AK142=0),AL142/1,IF(AND(AJ142=0,AL142=0),AK142/1,IF(AND(AK142=0,AL142=0),AJ142/1,IF(AJ142=0,FLOOR((AK142+AL142)/2,0.1),IF(AK142=0,(AJ142+AL142)/2,IF(AL142=0,(AK142+AJ142)/2,FLOOR(((AJ142+AK142+AL142)/3),0.1))))))))</f>
        <v/>
      </c>
      <c r="AN142" s="21" t="n"/>
      <c r="AO142" s="21" t="n"/>
      <c r="AP142" s="27">
        <f>SUM(AN142:AO142)</f>
        <v/>
      </c>
      <c r="AQ142" s="28" t="n"/>
      <c r="AR142" s="30" t="n"/>
      <c r="AS142" s="29">
        <f>IF(AND(AP142=0,AQ142=0,AR142=0),0,IF(AND(AP142=0,AQ142=0),AR142/1,IF(AND(AP142=0,AR142=0),AQ142/1,IF(AND(AQ142=0,AR142=0),AP142/1,IF(AP142=0,FLOOR((AQ142+AR142)/2,0.1),IF(AQ142=0,(AP142+AR142)/2,IF(AR142=0,(AQ142+AP142)/2,FLOOR(((AP142+AQ142+AR142)/3),0.1))))))))</f>
        <v/>
      </c>
      <c r="AT142" s="21" t="n"/>
      <c r="AU142" s="21" t="n"/>
      <c r="AV142" s="27">
        <f>SUM(AT142:AU142)</f>
        <v/>
      </c>
      <c r="AW142" s="28" t="n"/>
      <c r="AX142" s="30" t="n"/>
      <c r="AY142" s="29">
        <f>IF(AND(AV142=0,AW142=0,AX142=0),0,IF(AND(AV142=0,AW142=0),AX142/1,IF(AND(AV142=0,AX142=0),AW142/1,IF(AND(AW142=0,AX142=0),AV142/1,IF(AV142=0,FLOOR((AW142+AX142)/2,0.1),IF(AW142=0,(AV142+AX142)/2,IF(AX142=0,(AW142+AV142)/2,FLOOR(((AV142+AW142+AX142)/3),0.1))))))))</f>
        <v/>
      </c>
      <c r="AZ142" s="21" t="n"/>
      <c r="BA142" s="21" t="n"/>
      <c r="BB142" s="27">
        <f>SUM(AZ142:BA142)</f>
        <v/>
      </c>
      <c r="BC142" s="28" t="n"/>
      <c r="BD142" s="28" t="n"/>
      <c r="BE142" s="29">
        <f>IF(AND(BB142=0,BC142=0,BD142=0),0,IF(AND(BB142=0,BC142=0),BD142/1,IF(AND(BB142=0,BD142=0),BC142/1,IF(AND(BC142=0,BD142=0),BB142/1,IF(BB142=0,FLOOR((BC142+BD142)/2,0.1),IF(BC142=0,(BB142+BD142)/2,IF(BD142=0,(BC142+BB142)/2,FLOOR(((BB142+BC142+BD142)/3),0.1))))))))</f>
        <v/>
      </c>
      <c r="BF142" s="21" t="n"/>
      <c r="BG142" s="21" t="n"/>
      <c r="BH142" s="27">
        <f>SUM(BF142:BG142)</f>
        <v/>
      </c>
      <c r="BI142" s="28" t="n"/>
      <c r="BJ142" s="28" t="n"/>
      <c r="BK142" s="29">
        <f>IF(AND(BH142=0,BI142=0,BJ142=0),0,IF(AND(BH142=0,BI142=0),BJ142/1,IF(AND(BH142=0,BJ142=0),BI142/1,IF(AND(BI142=0,BJ142=0),BH142/1,IF(BH142=0,FLOOR((BI142+BJ142)/2,0.1),IF(BI142=0,(BH142+BJ142)/2,IF(BJ142=0,(BI142+BH142)/2,FLOOR(((BH142+BI142+BJ142)/3),0.1))))))))</f>
        <v/>
      </c>
      <c r="BL142" s="21" t="n"/>
      <c r="BM142" s="21" t="n"/>
      <c r="BN142" s="27">
        <f>SUM(BL142:BM142)</f>
        <v/>
      </c>
      <c r="BO142" s="28" t="n"/>
      <c r="BP142" s="31" t="n"/>
      <c r="BQ142" s="29">
        <f>IF(AND(BN142=0,BO142=0,BP142=0),0,IF(AND(BN142=0,BO142=0),BP142/1,IF(AND(BN142=0,BP142=0),BO142/1,IF(AND(BO142=0,BP142=0),BN142/1,IF(BN142=0,FLOOR((BO142+BP142)/2,0.1),IF(BO142=0,(BN142+BP142)/2,IF(BP142=0,(BO142+BN142)/2,FLOOR(((BN142+BO142+BP142)/3),0.1))))))))</f>
        <v/>
      </c>
      <c r="BR142" s="21" t="n"/>
      <c r="BS142" s="21" t="n"/>
      <c r="BT142" s="27">
        <f>SUM(BR142:BS142)</f>
        <v/>
      </c>
      <c r="BU142" s="28" t="n"/>
      <c r="BV142" s="31" t="n"/>
      <c r="BW142" s="29">
        <f>IF(AND(BT142=0,BU142=0,BV142=0),0,IF(AND(BT142=0,BU142=0),BV142/1,IF(AND(BT142=0,BV142=0),BU142/1,IF(AND(BU142=0,BV142=0),BT142/1,IF(BT142=0,FLOOR((BU142+BV142)/2,0.1),IF(BU142=0,(BT142+BV142)/2,IF(BV142=0,(BU142+BT142)/2,FLOOR(((BT142+BU142+BV142)/3),0.1))))))))</f>
        <v/>
      </c>
      <c r="BX142" s="21" t="n"/>
      <c r="BY142" s="21" t="n"/>
      <c r="BZ142" s="27">
        <f>SUM(BX142:BY142)</f>
        <v/>
      </c>
      <c r="CA142" s="28" t="n"/>
      <c r="CB142" s="31" t="n"/>
      <c r="CC142" s="29">
        <f>IF(AND(BZ142=0,CA142=0,CB142=0),0,IF(AND(BZ142=0,CA142=0),CB142/1,IF(AND(BZ142=0,CB142=0),CA142/1,IF(AND(CA142=0,CB142=0),BZ142/1,IF(BZ142=0,FLOOR((CA142+CB142)/2,0.1),IF(CA142=0,(BZ142+CB142)/2,IF(CB142=0,(CA142+BZ142)/2,FLOOR(((BZ142+CA142+CB142)/3),0.1))))))))</f>
        <v/>
      </c>
      <c r="CD142" s="21" t="n"/>
      <c r="CE142" s="21" t="n"/>
      <c r="CF142" s="27">
        <f>SUM(CD142:CE142)</f>
        <v/>
      </c>
      <c r="CG142" s="28" t="n"/>
      <c r="CH142" s="31" t="n"/>
      <c r="CI142" s="29">
        <f>IF(AND(CF142=0,CG142=0,CH142=0),0,IF(AND(CF142=0,CG142=0),CH142/1,IF(AND(CF142=0,CH142=0),CG142/1,IF(AND(CG142=0,CH142=0),CF142/1,IF(CF142=0,FLOOR((CG142+CH142)/2,0.1),IF(CG142=0,(CF142+CH142)/2,IF(CH142=0,(CG142+CF142)/2,FLOOR(((CF142+CG142+CH142)/3),0.1))))))))</f>
        <v/>
      </c>
      <c r="CJ142" s="21" t="n"/>
      <c r="CK142" s="21" t="n"/>
      <c r="CL142" s="27">
        <f>SUM(CJ142:CK142)</f>
        <v/>
      </c>
      <c r="CM142" s="28" t="n"/>
      <c r="CN142" s="31" t="n"/>
      <c r="CO142" s="29">
        <f>IF(AND(CL142=0,CM142=0,CN142=0),0,IF(AND(CL142=0,CM142=0),CN142/1,IF(AND(CL142=0,CN142=0),CM142/1,IF(AND(CM142=0,CN142=0),CL142/1,IF(CL142=0,FLOOR((CM142+CN142)/2,0.1),IF(CM142=0,(CL142+CN142)/2,IF(CN142=0,(CM142+CL142)/2,FLOOR(((CL142+CM142+CN142)/3),0.1))))))))</f>
        <v/>
      </c>
      <c r="CP142" s="21" t="n"/>
      <c r="CQ142" s="21" t="n"/>
      <c r="CR142" s="27">
        <f>SUM(CP142:CQ142)</f>
        <v/>
      </c>
      <c r="CS142" s="28" t="n"/>
      <c r="CT142" s="31" t="n"/>
      <c r="CU142" s="29">
        <f>IF(AND(CR142=0,CS142=0,CT142=0),0,IF(AND(CR142=0,CS142=0),CT142/1,IF(AND(CR142=0,CT142=0),CS142/1,IF(AND(CS142=0,CT142=0),CR142/1,IF(CR142=0,FLOOR((CS142+CT142)/2,0.1),IF(CS142=0,(CR142+CT142)/2,IF(CT142=0,(CS142+CR142)/2,FLOOR(((CR142+CS142+CT142)/3),0.1))))))))</f>
        <v/>
      </c>
      <c r="CV142" s="21" t="n"/>
      <c r="CW142" s="21" t="n"/>
      <c r="CX142" s="27">
        <f>SUM(CV142:CW142)</f>
        <v/>
      </c>
      <c r="CY142" s="28" t="n"/>
      <c r="CZ142" s="31" t="n"/>
      <c r="DA142" s="29">
        <f>IF(AND(CX142=0,CY142=0,CZ142=0),0,IF(AND(CX142=0,CY142=0),CZ142/1,IF(AND(CX142=0,CZ142=0),CY142/1,IF(AND(CY142=0,CZ142=0),CX142/1,IF(CX142=0,FLOOR((CY142+CZ142)/2,0.1),IF(CY142=0,(CX142+CZ142)/2,IF(CZ142=0,(CY142+CX142)/2,FLOOR(((CX142+CY142+CZ142)/3),0.1))))))))</f>
        <v/>
      </c>
      <c r="DB142" s="21" t="n"/>
      <c r="DC142" s="21" t="n"/>
      <c r="DD142" s="27">
        <f>SUM(DB142:DC142)</f>
        <v/>
      </c>
      <c r="DE142" s="28" t="n"/>
      <c r="DF142" s="31" t="n"/>
      <c r="DG142" s="29">
        <f>IF(AND(DD142=0,DE142=0,DF142=0),0,IF(AND(DD142=0,DE142=0),DF142/1,IF(AND(DD142=0,DF142=0),DE142/1,IF(AND(DE142=0,DF142=0),DD142/1,IF(DD142=0,FLOOR((DE142+DF142)/2,0.1),IF(DE142=0,(DD142+DF142)/2,IF(DF142=0,(DE142+DD142)/2,FLOOR(((DD142+DE142+DF142)/3),0.1))))))))</f>
        <v/>
      </c>
      <c r="DH142" s="34">
        <f>SUM(O142,U142,AA142,AG142,AM142,AS142,AY142,BE142,BK142,BQ142,BW142,CC142,CI142,CO142,CU142,DA142,DG142)</f>
        <v/>
      </c>
      <c r="DI142" s="39">
        <f>RANK(DH142,DH$4:DH$503)</f>
        <v/>
      </c>
      <c r="DJ142" s="40" t="inlineStr">
        <is>
          <t>CHOOSE RATING</t>
        </is>
      </c>
      <c r="DK142" s="40" t="inlineStr">
        <is>
          <t>CHOOSE RATING</t>
        </is>
      </c>
      <c r="DL142" s="40" t="inlineStr">
        <is>
          <t>CHOOSE RATING</t>
        </is>
      </c>
      <c r="DM142" s="40" t="inlineStr">
        <is>
          <t>CHOOSE RATING</t>
        </is>
      </c>
      <c r="DN142" s="40" t="inlineStr">
        <is>
          <t>CHOOSE RATING</t>
        </is>
      </c>
      <c r="DO142" s="40" t="inlineStr">
        <is>
          <t>CHOOSE RATING</t>
        </is>
      </c>
      <c r="DP142" s="40" t="inlineStr">
        <is>
          <t>CHOOSE RATING</t>
        </is>
      </c>
      <c r="DQ142" s="40" t="inlineStr">
        <is>
          <t>CHOOSE RATING</t>
        </is>
      </c>
      <c r="DR142" s="43" t="inlineStr">
        <is>
          <t>2024/2025</t>
        </is>
      </c>
      <c r="DS142" s="45" t="inlineStr">
        <is>
          <t>THIRD</t>
        </is>
      </c>
      <c r="DT142" s="40" t="inlineStr">
        <is>
          <t>CHOOSE RATING</t>
        </is>
      </c>
      <c r="DU142" s="40" t="inlineStr">
        <is>
          <t>CHOOSE RATING</t>
        </is>
      </c>
      <c r="DV142" s="40" t="inlineStr">
        <is>
          <t>CHOOSE RATING</t>
        </is>
      </c>
      <c r="DW142" s="40" t="inlineStr">
        <is>
          <t>CHOOSE RATING</t>
        </is>
      </c>
      <c r="DX142" s="40" t="inlineStr">
        <is>
          <t>CHOOSE RATING</t>
        </is>
      </c>
      <c r="DY142" s="40" t="inlineStr">
        <is>
          <t>CHOOSE RATING</t>
        </is>
      </c>
      <c r="DZ142" s="53" t="inlineStr">
        <is>
          <t>CHOOSE RATING</t>
        </is>
      </c>
      <c r="EA142" s="54" t="inlineStr">
        <is>
          <t>Add the Tutor's Comment . . .</t>
        </is>
      </c>
      <c r="EB142" s="55" t="inlineStr">
        <is>
          <t>Choose Principals comment</t>
        </is>
      </c>
      <c r="EC142" s="56" t="n"/>
      <c r="ED142" s="57" t="inlineStr">
        <is>
          <t>Next Term Begins on Monday, 22nd September, 2025</t>
        </is>
      </c>
    </row>
    <row r="143" ht="30.6" customHeight="1" s="6">
      <c r="A143" s="18" t="n">
        <v>140</v>
      </c>
      <c r="B143" s="19" t="n"/>
      <c r="C143" s="20" t="n"/>
      <c r="D143" s="128" t="n"/>
      <c r="E143" s="21" t="n"/>
      <c r="F143" s="22" t="n"/>
      <c r="G143" s="22" t="n"/>
      <c r="H143" s="22" t="n"/>
      <c r="I143" s="26">
        <f>G143-H143</f>
        <v/>
      </c>
      <c r="J143" s="21" t="n"/>
      <c r="K143" s="21" t="n"/>
      <c r="L143" s="27">
        <f>SUM(J143:K143)</f>
        <v/>
      </c>
      <c r="M143" s="28" t="n"/>
      <c r="N143" s="28" t="n"/>
      <c r="O143" s="29">
        <f>IF(AND(L143=0,M143=0,N143=0),0,IF(AND(L143=0,M143=0),N143/1,IF(AND(L143=0,N143=0),M143/1,IF(AND(M143=0,N143=0),L143/1,IF(L143=0,FLOOR((M143+N143)/2,0.1),IF(M143=0,(L143+N143)/2,IF(N143=0,(M143+L143)/2,FLOOR(((L143+M143+N143)/3),0.1))))))))</f>
        <v/>
      </c>
      <c r="P143" s="21" t="n"/>
      <c r="Q143" s="21" t="n"/>
      <c r="R143" s="27">
        <f>SUM(P143:Q143)</f>
        <v/>
      </c>
      <c r="S143" s="28" t="n"/>
      <c r="T143" s="28" t="n"/>
      <c r="U143" s="29">
        <f>IF(AND(R143=0,S143=0,T143=0),0,IF(AND(R143=0,S143=0),T143/1,IF(AND(R143=0,T143=0),S143/1,IF(AND(S143=0,T143=0),R143/1,IF(R143=0,FLOOR((S143+T143)/2,0.1),IF(S143=0,(R143+T143)/2,IF(T143=0,(S143+R143)/2,FLOOR(((R143+S143+T143)/3),0.1))))))))</f>
        <v/>
      </c>
      <c r="V143" s="21" t="n"/>
      <c r="W143" s="21" t="n"/>
      <c r="X143" s="27">
        <f>SUM(V143:W143)</f>
        <v/>
      </c>
      <c r="Y143" s="28" t="n"/>
      <c r="Z143" s="28" t="n"/>
      <c r="AA143" s="29">
        <f>IF(AND(X143=0,Y143=0,Z143=0),0,IF(AND(X143=0,Y143=0),Z143/1,IF(AND(X143=0,Z143=0),Y143/1,IF(AND(Y143=0,Z143=0),X143/1,IF(X143=0,FLOOR((Y143+Z143)/2,0.1),IF(Y143=0,(X143+Z143)/2,IF(Z143=0,(Y143+X143)/2,FLOOR(((X143+Y143+Z143)/3),0.1))))))))</f>
        <v/>
      </c>
      <c r="AB143" s="21" t="n"/>
      <c r="AC143" s="21" t="n"/>
      <c r="AD143" s="27">
        <f>SUM(AB143:AC143)</f>
        <v/>
      </c>
      <c r="AE143" s="28" t="n"/>
      <c r="AF143" s="28" t="n"/>
      <c r="AG143" s="29">
        <f>IF(AND(AD143=0,AE143=0,AF143=0),0,IF(AND(AD143=0,AE143=0),AF143/1,IF(AND(AD143=0,AF143=0),AE143/1,IF(AND(AE143=0,AF143=0),AD143/1,IF(AD143=0,FLOOR((AE143+AF143)/2,0.1),IF(AE143=0,(AD143+AF143)/2,IF(AF143=0,(AE143+AD143)/2,FLOOR(((AD143+AE143+AF143)/3),0.1))))))))</f>
        <v/>
      </c>
      <c r="AH143" s="21" t="n"/>
      <c r="AI143" s="21" t="n"/>
      <c r="AJ143" s="27">
        <f>SUM(AH143:AI143)</f>
        <v/>
      </c>
      <c r="AK143" s="28" t="n"/>
      <c r="AL143" s="28" t="n"/>
      <c r="AM143" s="29">
        <f>IF(AND(AJ143=0,AK143=0,AL143=0),0,IF(AND(AJ143=0,AK143=0),AL143/1,IF(AND(AJ143=0,AL143=0),AK143/1,IF(AND(AK143=0,AL143=0),AJ143/1,IF(AJ143=0,FLOOR((AK143+AL143)/2,0.1),IF(AK143=0,(AJ143+AL143)/2,IF(AL143=0,(AK143+AJ143)/2,FLOOR(((AJ143+AK143+AL143)/3),0.1))))))))</f>
        <v/>
      </c>
      <c r="AN143" s="21" t="n"/>
      <c r="AO143" s="21" t="n"/>
      <c r="AP143" s="27">
        <f>SUM(AN143:AO143)</f>
        <v/>
      </c>
      <c r="AQ143" s="28" t="n"/>
      <c r="AR143" s="30" t="n"/>
      <c r="AS143" s="29">
        <f>IF(AND(AP143=0,AQ143=0,AR143=0),0,IF(AND(AP143=0,AQ143=0),AR143/1,IF(AND(AP143=0,AR143=0),AQ143/1,IF(AND(AQ143=0,AR143=0),AP143/1,IF(AP143=0,FLOOR((AQ143+AR143)/2,0.1),IF(AQ143=0,(AP143+AR143)/2,IF(AR143=0,(AQ143+AP143)/2,FLOOR(((AP143+AQ143+AR143)/3),0.1))))))))</f>
        <v/>
      </c>
      <c r="AT143" s="21" t="n"/>
      <c r="AU143" s="21" t="n"/>
      <c r="AV143" s="27">
        <f>SUM(AT143:AU143)</f>
        <v/>
      </c>
      <c r="AW143" s="28" t="n"/>
      <c r="AX143" s="30" t="n"/>
      <c r="AY143" s="29">
        <f>IF(AND(AV143=0,AW143=0,AX143=0),0,IF(AND(AV143=0,AW143=0),AX143/1,IF(AND(AV143=0,AX143=0),AW143/1,IF(AND(AW143=0,AX143=0),AV143/1,IF(AV143=0,FLOOR((AW143+AX143)/2,0.1),IF(AW143=0,(AV143+AX143)/2,IF(AX143=0,(AW143+AV143)/2,FLOOR(((AV143+AW143+AX143)/3),0.1))))))))</f>
        <v/>
      </c>
      <c r="AZ143" s="21" t="n"/>
      <c r="BA143" s="21" t="n"/>
      <c r="BB143" s="27">
        <f>SUM(AZ143:BA143)</f>
        <v/>
      </c>
      <c r="BC143" s="28" t="n"/>
      <c r="BD143" s="28" t="n"/>
      <c r="BE143" s="29">
        <f>IF(AND(BB143=0,BC143=0,BD143=0),0,IF(AND(BB143=0,BC143=0),BD143/1,IF(AND(BB143=0,BD143=0),BC143/1,IF(AND(BC143=0,BD143=0),BB143/1,IF(BB143=0,FLOOR((BC143+BD143)/2,0.1),IF(BC143=0,(BB143+BD143)/2,IF(BD143=0,(BC143+BB143)/2,FLOOR(((BB143+BC143+BD143)/3),0.1))))))))</f>
        <v/>
      </c>
      <c r="BF143" s="21" t="n"/>
      <c r="BG143" s="21" t="n"/>
      <c r="BH143" s="27">
        <f>SUM(BF143:BG143)</f>
        <v/>
      </c>
      <c r="BI143" s="28" t="n"/>
      <c r="BJ143" s="28" t="n"/>
      <c r="BK143" s="29">
        <f>IF(AND(BH143=0,BI143=0,BJ143=0),0,IF(AND(BH143=0,BI143=0),BJ143/1,IF(AND(BH143=0,BJ143=0),BI143/1,IF(AND(BI143=0,BJ143=0),BH143/1,IF(BH143=0,FLOOR((BI143+BJ143)/2,0.1),IF(BI143=0,(BH143+BJ143)/2,IF(BJ143=0,(BI143+BH143)/2,FLOOR(((BH143+BI143+BJ143)/3),0.1))))))))</f>
        <v/>
      </c>
      <c r="BL143" s="21" t="n"/>
      <c r="BM143" s="21" t="n"/>
      <c r="BN143" s="27">
        <f>SUM(BL143:BM143)</f>
        <v/>
      </c>
      <c r="BO143" s="28" t="n"/>
      <c r="BP143" s="31" t="n"/>
      <c r="BQ143" s="29">
        <f>IF(AND(BN143=0,BO143=0,BP143=0),0,IF(AND(BN143=0,BO143=0),BP143/1,IF(AND(BN143=0,BP143=0),BO143/1,IF(AND(BO143=0,BP143=0),BN143/1,IF(BN143=0,FLOOR((BO143+BP143)/2,0.1),IF(BO143=0,(BN143+BP143)/2,IF(BP143=0,(BO143+BN143)/2,FLOOR(((BN143+BO143+BP143)/3),0.1))))))))</f>
        <v/>
      </c>
      <c r="BR143" s="21" t="n"/>
      <c r="BS143" s="21" t="n"/>
      <c r="BT143" s="27">
        <f>SUM(BR143:BS143)</f>
        <v/>
      </c>
      <c r="BU143" s="28" t="n"/>
      <c r="BV143" s="31" t="n"/>
      <c r="BW143" s="29">
        <f>IF(AND(BT143=0,BU143=0,BV143=0),0,IF(AND(BT143=0,BU143=0),BV143/1,IF(AND(BT143=0,BV143=0),BU143/1,IF(AND(BU143=0,BV143=0),BT143/1,IF(BT143=0,FLOOR((BU143+BV143)/2,0.1),IF(BU143=0,(BT143+BV143)/2,IF(BV143=0,(BU143+BT143)/2,FLOOR(((BT143+BU143+BV143)/3),0.1))))))))</f>
        <v/>
      </c>
      <c r="BX143" s="21" t="n"/>
      <c r="BY143" s="21" t="n"/>
      <c r="BZ143" s="27">
        <f>SUM(BX143:BY143)</f>
        <v/>
      </c>
      <c r="CA143" s="28" t="n"/>
      <c r="CB143" s="31" t="n"/>
      <c r="CC143" s="29">
        <f>IF(AND(BZ143=0,CA143=0,CB143=0),0,IF(AND(BZ143=0,CA143=0),CB143/1,IF(AND(BZ143=0,CB143=0),CA143/1,IF(AND(CA143=0,CB143=0),BZ143/1,IF(BZ143=0,FLOOR((CA143+CB143)/2,0.1),IF(CA143=0,(BZ143+CB143)/2,IF(CB143=0,(CA143+BZ143)/2,FLOOR(((BZ143+CA143+CB143)/3),0.1))))))))</f>
        <v/>
      </c>
      <c r="CD143" s="21" t="n"/>
      <c r="CE143" s="21" t="n"/>
      <c r="CF143" s="27">
        <f>SUM(CD143:CE143)</f>
        <v/>
      </c>
      <c r="CG143" s="28" t="n"/>
      <c r="CH143" s="31" t="n"/>
      <c r="CI143" s="29">
        <f>IF(AND(CF143=0,CG143=0,CH143=0),0,IF(AND(CF143=0,CG143=0),CH143/1,IF(AND(CF143=0,CH143=0),CG143/1,IF(AND(CG143=0,CH143=0),CF143/1,IF(CF143=0,FLOOR((CG143+CH143)/2,0.1),IF(CG143=0,(CF143+CH143)/2,IF(CH143=0,(CG143+CF143)/2,FLOOR(((CF143+CG143+CH143)/3),0.1))))))))</f>
        <v/>
      </c>
      <c r="CJ143" s="21" t="n"/>
      <c r="CK143" s="21" t="n"/>
      <c r="CL143" s="27">
        <f>SUM(CJ143:CK143)</f>
        <v/>
      </c>
      <c r="CM143" s="28" t="n"/>
      <c r="CN143" s="31" t="n"/>
      <c r="CO143" s="29">
        <f>IF(AND(CL143=0,CM143=0,CN143=0),0,IF(AND(CL143=0,CM143=0),CN143/1,IF(AND(CL143=0,CN143=0),CM143/1,IF(AND(CM143=0,CN143=0),CL143/1,IF(CL143=0,FLOOR((CM143+CN143)/2,0.1),IF(CM143=0,(CL143+CN143)/2,IF(CN143=0,(CM143+CL143)/2,FLOOR(((CL143+CM143+CN143)/3),0.1))))))))</f>
        <v/>
      </c>
      <c r="CP143" s="21" t="n"/>
      <c r="CQ143" s="21" t="n"/>
      <c r="CR143" s="27">
        <f>SUM(CP143:CQ143)</f>
        <v/>
      </c>
      <c r="CS143" s="28" t="n"/>
      <c r="CT143" s="31" t="n"/>
      <c r="CU143" s="29">
        <f>IF(AND(CR143=0,CS143=0,CT143=0),0,IF(AND(CR143=0,CS143=0),CT143/1,IF(AND(CR143=0,CT143=0),CS143/1,IF(AND(CS143=0,CT143=0),CR143/1,IF(CR143=0,FLOOR((CS143+CT143)/2,0.1),IF(CS143=0,(CR143+CT143)/2,IF(CT143=0,(CS143+CR143)/2,FLOOR(((CR143+CS143+CT143)/3),0.1))))))))</f>
        <v/>
      </c>
      <c r="CV143" s="21" t="n"/>
      <c r="CW143" s="21" t="n"/>
      <c r="CX143" s="27">
        <f>SUM(CV143:CW143)</f>
        <v/>
      </c>
      <c r="CY143" s="28" t="n"/>
      <c r="CZ143" s="31" t="n"/>
      <c r="DA143" s="29">
        <f>IF(AND(CX143=0,CY143=0,CZ143=0),0,IF(AND(CX143=0,CY143=0),CZ143/1,IF(AND(CX143=0,CZ143=0),CY143/1,IF(AND(CY143=0,CZ143=0),CX143/1,IF(CX143=0,FLOOR((CY143+CZ143)/2,0.1),IF(CY143=0,(CX143+CZ143)/2,IF(CZ143=0,(CY143+CX143)/2,FLOOR(((CX143+CY143+CZ143)/3),0.1))))))))</f>
        <v/>
      </c>
      <c r="DB143" s="21" t="n"/>
      <c r="DC143" s="21" t="n"/>
      <c r="DD143" s="27">
        <f>SUM(DB143:DC143)</f>
        <v/>
      </c>
      <c r="DE143" s="28" t="n"/>
      <c r="DF143" s="31" t="n"/>
      <c r="DG143" s="29">
        <f>IF(AND(DD143=0,DE143=0,DF143=0),0,IF(AND(DD143=0,DE143=0),DF143/1,IF(AND(DD143=0,DF143=0),DE143/1,IF(AND(DE143=0,DF143=0),DD143/1,IF(DD143=0,FLOOR((DE143+DF143)/2,0.1),IF(DE143=0,(DD143+DF143)/2,IF(DF143=0,(DE143+DD143)/2,FLOOR(((DD143+DE143+DF143)/3),0.1))))))))</f>
        <v/>
      </c>
      <c r="DH143" s="34">
        <f>SUM(O143,U143,AA143,AG143,AM143,AS143,AY143,BE143,BK143,BQ143,BW143,CC143,CI143,CO143,CU143,DA143,DG143)</f>
        <v/>
      </c>
      <c r="DI143" s="39">
        <f>RANK(DH143,DH$4:DH$503)</f>
        <v/>
      </c>
      <c r="DJ143" s="40" t="inlineStr">
        <is>
          <t>CHOOSE RATING</t>
        </is>
      </c>
      <c r="DK143" s="40" t="inlineStr">
        <is>
          <t>CHOOSE RATING</t>
        </is>
      </c>
      <c r="DL143" s="40" t="inlineStr">
        <is>
          <t>CHOOSE RATING</t>
        </is>
      </c>
      <c r="DM143" s="40" t="inlineStr">
        <is>
          <t>CHOOSE RATING</t>
        </is>
      </c>
      <c r="DN143" s="40" t="inlineStr">
        <is>
          <t>CHOOSE RATING</t>
        </is>
      </c>
      <c r="DO143" s="40" t="inlineStr">
        <is>
          <t>CHOOSE RATING</t>
        </is>
      </c>
      <c r="DP143" s="40" t="inlineStr">
        <is>
          <t>CHOOSE RATING</t>
        </is>
      </c>
      <c r="DQ143" s="40" t="inlineStr">
        <is>
          <t>CHOOSE RATING</t>
        </is>
      </c>
      <c r="DR143" s="43" t="inlineStr">
        <is>
          <t>2024/2025</t>
        </is>
      </c>
      <c r="DS143" s="45" t="inlineStr">
        <is>
          <t>THIRD</t>
        </is>
      </c>
      <c r="DT143" s="40" t="inlineStr">
        <is>
          <t>CHOOSE RATING</t>
        </is>
      </c>
      <c r="DU143" s="40" t="inlineStr">
        <is>
          <t>CHOOSE RATING</t>
        </is>
      </c>
      <c r="DV143" s="40" t="inlineStr">
        <is>
          <t>CHOOSE RATING</t>
        </is>
      </c>
      <c r="DW143" s="40" t="inlineStr">
        <is>
          <t>CHOOSE RATING</t>
        </is>
      </c>
      <c r="DX143" s="40" t="inlineStr">
        <is>
          <t>CHOOSE RATING</t>
        </is>
      </c>
      <c r="DY143" s="40" t="inlineStr">
        <is>
          <t>CHOOSE RATING</t>
        </is>
      </c>
      <c r="DZ143" s="53" t="inlineStr">
        <is>
          <t>CHOOSE RATING</t>
        </is>
      </c>
      <c r="EA143" s="54" t="inlineStr">
        <is>
          <t>Add the Tutor's Comment . . .</t>
        </is>
      </c>
      <c r="EB143" s="55" t="inlineStr">
        <is>
          <t>Choose Principals comment</t>
        </is>
      </c>
      <c r="EC143" s="56" t="n"/>
      <c r="ED143" s="57" t="inlineStr">
        <is>
          <t>Next Term Begins on Monday, 22nd September, 2025</t>
        </is>
      </c>
    </row>
    <row r="144" ht="30.6" customHeight="1" s="6">
      <c r="A144" s="18" t="n">
        <v>141</v>
      </c>
      <c r="B144" s="19" t="n"/>
      <c r="C144" s="20" t="n"/>
      <c r="D144" s="128" t="n"/>
      <c r="E144" s="21" t="n"/>
      <c r="F144" s="22" t="n"/>
      <c r="G144" s="22" t="n"/>
      <c r="H144" s="22" t="n"/>
      <c r="I144" s="26">
        <f>G144-H144</f>
        <v/>
      </c>
      <c r="J144" s="21" t="n"/>
      <c r="K144" s="21" t="n"/>
      <c r="L144" s="27">
        <f>SUM(J144:K144)</f>
        <v/>
      </c>
      <c r="M144" s="28" t="n"/>
      <c r="N144" s="28" t="n"/>
      <c r="O144" s="29">
        <f>IF(AND(L144=0,M144=0,N144=0),0,IF(AND(L144=0,M144=0),N144/1,IF(AND(L144=0,N144=0),M144/1,IF(AND(M144=0,N144=0),L144/1,IF(L144=0,FLOOR((M144+N144)/2,0.1),IF(M144=0,(L144+N144)/2,IF(N144=0,(M144+L144)/2,FLOOR(((L144+M144+N144)/3),0.1))))))))</f>
        <v/>
      </c>
      <c r="P144" s="21" t="n"/>
      <c r="Q144" s="21" t="n"/>
      <c r="R144" s="27">
        <f>SUM(P144:Q144)</f>
        <v/>
      </c>
      <c r="S144" s="28" t="n"/>
      <c r="T144" s="28" t="n"/>
      <c r="U144" s="29">
        <f>IF(AND(R144=0,S144=0,T144=0),0,IF(AND(R144=0,S144=0),T144/1,IF(AND(R144=0,T144=0),S144/1,IF(AND(S144=0,T144=0),R144/1,IF(R144=0,FLOOR((S144+T144)/2,0.1),IF(S144=0,(R144+T144)/2,IF(T144=0,(S144+R144)/2,FLOOR(((R144+S144+T144)/3),0.1))))))))</f>
        <v/>
      </c>
      <c r="V144" s="21" t="n"/>
      <c r="W144" s="21" t="n"/>
      <c r="X144" s="27">
        <f>SUM(V144:W144)</f>
        <v/>
      </c>
      <c r="Y144" s="28" t="n"/>
      <c r="Z144" s="28" t="n"/>
      <c r="AA144" s="29">
        <f>IF(AND(X144=0,Y144=0,Z144=0),0,IF(AND(X144=0,Y144=0),Z144/1,IF(AND(X144=0,Z144=0),Y144/1,IF(AND(Y144=0,Z144=0),X144/1,IF(X144=0,FLOOR((Y144+Z144)/2,0.1),IF(Y144=0,(X144+Z144)/2,IF(Z144=0,(Y144+X144)/2,FLOOR(((X144+Y144+Z144)/3),0.1))))))))</f>
        <v/>
      </c>
      <c r="AB144" s="21" t="n"/>
      <c r="AC144" s="21" t="n"/>
      <c r="AD144" s="27">
        <f>SUM(AB144:AC144)</f>
        <v/>
      </c>
      <c r="AE144" s="28" t="n"/>
      <c r="AF144" s="28" t="n"/>
      <c r="AG144" s="29">
        <f>IF(AND(AD144=0,AE144=0,AF144=0),0,IF(AND(AD144=0,AE144=0),AF144/1,IF(AND(AD144=0,AF144=0),AE144/1,IF(AND(AE144=0,AF144=0),AD144/1,IF(AD144=0,FLOOR((AE144+AF144)/2,0.1),IF(AE144=0,(AD144+AF144)/2,IF(AF144=0,(AE144+AD144)/2,FLOOR(((AD144+AE144+AF144)/3),0.1))))))))</f>
        <v/>
      </c>
      <c r="AH144" s="21" t="n"/>
      <c r="AI144" s="21" t="n"/>
      <c r="AJ144" s="27">
        <f>SUM(AH144:AI144)</f>
        <v/>
      </c>
      <c r="AK144" s="28" t="n"/>
      <c r="AL144" s="28" t="n"/>
      <c r="AM144" s="29">
        <f>IF(AND(AJ144=0,AK144=0,AL144=0),0,IF(AND(AJ144=0,AK144=0),AL144/1,IF(AND(AJ144=0,AL144=0),AK144/1,IF(AND(AK144=0,AL144=0),AJ144/1,IF(AJ144=0,FLOOR((AK144+AL144)/2,0.1),IF(AK144=0,(AJ144+AL144)/2,IF(AL144=0,(AK144+AJ144)/2,FLOOR(((AJ144+AK144+AL144)/3),0.1))))))))</f>
        <v/>
      </c>
      <c r="AN144" s="21" t="n"/>
      <c r="AO144" s="21" t="n"/>
      <c r="AP144" s="27">
        <f>SUM(AN144:AO144)</f>
        <v/>
      </c>
      <c r="AQ144" s="28" t="n"/>
      <c r="AR144" s="30" t="n"/>
      <c r="AS144" s="29">
        <f>IF(AND(AP144=0,AQ144=0,AR144=0),0,IF(AND(AP144=0,AQ144=0),AR144/1,IF(AND(AP144=0,AR144=0),AQ144/1,IF(AND(AQ144=0,AR144=0),AP144/1,IF(AP144=0,FLOOR((AQ144+AR144)/2,0.1),IF(AQ144=0,(AP144+AR144)/2,IF(AR144=0,(AQ144+AP144)/2,FLOOR(((AP144+AQ144+AR144)/3),0.1))))))))</f>
        <v/>
      </c>
      <c r="AT144" s="21" t="n"/>
      <c r="AU144" s="21" t="n"/>
      <c r="AV144" s="27">
        <f>SUM(AT144:AU144)</f>
        <v/>
      </c>
      <c r="AW144" s="28" t="n"/>
      <c r="AX144" s="30" t="n"/>
      <c r="AY144" s="29">
        <f>IF(AND(AV144=0,AW144=0,AX144=0),0,IF(AND(AV144=0,AW144=0),AX144/1,IF(AND(AV144=0,AX144=0),AW144/1,IF(AND(AW144=0,AX144=0),AV144/1,IF(AV144=0,FLOOR((AW144+AX144)/2,0.1),IF(AW144=0,(AV144+AX144)/2,IF(AX144=0,(AW144+AV144)/2,FLOOR(((AV144+AW144+AX144)/3),0.1))))))))</f>
        <v/>
      </c>
      <c r="AZ144" s="21" t="n"/>
      <c r="BA144" s="21" t="n"/>
      <c r="BB144" s="27">
        <f>SUM(AZ144:BA144)</f>
        <v/>
      </c>
      <c r="BC144" s="28" t="n"/>
      <c r="BD144" s="28" t="n"/>
      <c r="BE144" s="29">
        <f>IF(AND(BB144=0,BC144=0,BD144=0),0,IF(AND(BB144=0,BC144=0),BD144/1,IF(AND(BB144=0,BD144=0),BC144/1,IF(AND(BC144=0,BD144=0),BB144/1,IF(BB144=0,FLOOR((BC144+BD144)/2,0.1),IF(BC144=0,(BB144+BD144)/2,IF(BD144=0,(BC144+BB144)/2,FLOOR(((BB144+BC144+BD144)/3),0.1))))))))</f>
        <v/>
      </c>
      <c r="BF144" s="21" t="n"/>
      <c r="BG144" s="21" t="n"/>
      <c r="BH144" s="27">
        <f>SUM(BF144:BG144)</f>
        <v/>
      </c>
      <c r="BI144" s="28" t="n"/>
      <c r="BJ144" s="28" t="n"/>
      <c r="BK144" s="29">
        <f>IF(AND(BH144=0,BI144=0,BJ144=0),0,IF(AND(BH144=0,BI144=0),BJ144/1,IF(AND(BH144=0,BJ144=0),BI144/1,IF(AND(BI144=0,BJ144=0),BH144/1,IF(BH144=0,FLOOR((BI144+BJ144)/2,0.1),IF(BI144=0,(BH144+BJ144)/2,IF(BJ144=0,(BI144+BH144)/2,FLOOR(((BH144+BI144+BJ144)/3),0.1))))))))</f>
        <v/>
      </c>
      <c r="BL144" s="21" t="n"/>
      <c r="BM144" s="21" t="n"/>
      <c r="BN144" s="27">
        <f>SUM(BL144:BM144)</f>
        <v/>
      </c>
      <c r="BO144" s="28" t="n"/>
      <c r="BP144" s="31" t="n"/>
      <c r="BQ144" s="29">
        <f>IF(AND(BN144=0,BO144=0,BP144=0),0,IF(AND(BN144=0,BO144=0),BP144/1,IF(AND(BN144=0,BP144=0),BO144/1,IF(AND(BO144=0,BP144=0),BN144/1,IF(BN144=0,FLOOR((BO144+BP144)/2,0.1),IF(BO144=0,(BN144+BP144)/2,IF(BP144=0,(BO144+BN144)/2,FLOOR(((BN144+BO144+BP144)/3),0.1))))))))</f>
        <v/>
      </c>
      <c r="BR144" s="21" t="n"/>
      <c r="BS144" s="21" t="n"/>
      <c r="BT144" s="27">
        <f>SUM(BR144:BS144)</f>
        <v/>
      </c>
      <c r="BU144" s="28" t="n"/>
      <c r="BV144" s="31" t="n"/>
      <c r="BW144" s="29">
        <f>IF(AND(BT144=0,BU144=0,BV144=0),0,IF(AND(BT144=0,BU144=0),BV144/1,IF(AND(BT144=0,BV144=0),BU144/1,IF(AND(BU144=0,BV144=0),BT144/1,IF(BT144=0,FLOOR((BU144+BV144)/2,0.1),IF(BU144=0,(BT144+BV144)/2,IF(BV144=0,(BU144+BT144)/2,FLOOR(((BT144+BU144+BV144)/3),0.1))))))))</f>
        <v/>
      </c>
      <c r="BX144" s="21" t="n"/>
      <c r="BY144" s="21" t="n"/>
      <c r="BZ144" s="27">
        <f>SUM(BX144:BY144)</f>
        <v/>
      </c>
      <c r="CA144" s="28" t="n"/>
      <c r="CB144" s="31" t="n"/>
      <c r="CC144" s="29">
        <f>IF(AND(BZ144=0,CA144=0,CB144=0),0,IF(AND(BZ144=0,CA144=0),CB144/1,IF(AND(BZ144=0,CB144=0),CA144/1,IF(AND(CA144=0,CB144=0),BZ144/1,IF(BZ144=0,FLOOR((CA144+CB144)/2,0.1),IF(CA144=0,(BZ144+CB144)/2,IF(CB144=0,(CA144+BZ144)/2,FLOOR(((BZ144+CA144+CB144)/3),0.1))))))))</f>
        <v/>
      </c>
      <c r="CD144" s="21" t="n"/>
      <c r="CE144" s="21" t="n"/>
      <c r="CF144" s="27">
        <f>SUM(CD144:CE144)</f>
        <v/>
      </c>
      <c r="CG144" s="28" t="n"/>
      <c r="CH144" s="31" t="n"/>
      <c r="CI144" s="29">
        <f>IF(AND(CF144=0,CG144=0,CH144=0),0,IF(AND(CF144=0,CG144=0),CH144/1,IF(AND(CF144=0,CH144=0),CG144/1,IF(AND(CG144=0,CH144=0),CF144/1,IF(CF144=0,FLOOR((CG144+CH144)/2,0.1),IF(CG144=0,(CF144+CH144)/2,IF(CH144=0,(CG144+CF144)/2,FLOOR(((CF144+CG144+CH144)/3),0.1))))))))</f>
        <v/>
      </c>
      <c r="CJ144" s="21" t="n"/>
      <c r="CK144" s="21" t="n"/>
      <c r="CL144" s="27">
        <f>SUM(CJ144:CK144)</f>
        <v/>
      </c>
      <c r="CM144" s="28" t="n"/>
      <c r="CN144" s="31" t="n"/>
      <c r="CO144" s="29">
        <f>IF(AND(CL144=0,CM144=0,CN144=0),0,IF(AND(CL144=0,CM144=0),CN144/1,IF(AND(CL144=0,CN144=0),CM144/1,IF(AND(CM144=0,CN144=0),CL144/1,IF(CL144=0,FLOOR((CM144+CN144)/2,0.1),IF(CM144=0,(CL144+CN144)/2,IF(CN144=0,(CM144+CL144)/2,FLOOR(((CL144+CM144+CN144)/3),0.1))))))))</f>
        <v/>
      </c>
      <c r="CP144" s="21" t="n"/>
      <c r="CQ144" s="21" t="n"/>
      <c r="CR144" s="27">
        <f>SUM(CP144:CQ144)</f>
        <v/>
      </c>
      <c r="CS144" s="28" t="n"/>
      <c r="CT144" s="31" t="n"/>
      <c r="CU144" s="29">
        <f>IF(AND(CR144=0,CS144=0,CT144=0),0,IF(AND(CR144=0,CS144=0),CT144/1,IF(AND(CR144=0,CT144=0),CS144/1,IF(AND(CS144=0,CT144=0),CR144/1,IF(CR144=0,FLOOR((CS144+CT144)/2,0.1),IF(CS144=0,(CR144+CT144)/2,IF(CT144=0,(CS144+CR144)/2,FLOOR(((CR144+CS144+CT144)/3),0.1))))))))</f>
        <v/>
      </c>
      <c r="CV144" s="21" t="n"/>
      <c r="CW144" s="21" t="n"/>
      <c r="CX144" s="27">
        <f>SUM(CV144:CW144)</f>
        <v/>
      </c>
      <c r="CY144" s="28" t="n"/>
      <c r="CZ144" s="31" t="n"/>
      <c r="DA144" s="29">
        <f>IF(AND(CX144=0,CY144=0,CZ144=0),0,IF(AND(CX144=0,CY144=0),CZ144/1,IF(AND(CX144=0,CZ144=0),CY144/1,IF(AND(CY144=0,CZ144=0),CX144/1,IF(CX144=0,FLOOR((CY144+CZ144)/2,0.1),IF(CY144=0,(CX144+CZ144)/2,IF(CZ144=0,(CY144+CX144)/2,FLOOR(((CX144+CY144+CZ144)/3),0.1))))))))</f>
        <v/>
      </c>
      <c r="DB144" s="21" t="n"/>
      <c r="DC144" s="21" t="n"/>
      <c r="DD144" s="27">
        <f>SUM(DB144:DC144)</f>
        <v/>
      </c>
      <c r="DE144" s="28" t="n"/>
      <c r="DF144" s="31" t="n"/>
      <c r="DG144" s="29">
        <f>IF(AND(DD144=0,DE144=0,DF144=0),0,IF(AND(DD144=0,DE144=0),DF144/1,IF(AND(DD144=0,DF144=0),DE144/1,IF(AND(DE144=0,DF144=0),DD144/1,IF(DD144=0,FLOOR((DE144+DF144)/2,0.1),IF(DE144=0,(DD144+DF144)/2,IF(DF144=0,(DE144+DD144)/2,FLOOR(((DD144+DE144+DF144)/3),0.1))))))))</f>
        <v/>
      </c>
      <c r="DH144" s="34">
        <f>SUM(O144,U144,AA144,AG144,AM144,AS144,AY144,BE144,BK144,BQ144,BW144,CC144,CI144,CO144,CU144,DA144,DG144)</f>
        <v/>
      </c>
      <c r="DI144" s="39">
        <f>RANK(DH144,DH$4:DH$503)</f>
        <v/>
      </c>
      <c r="DJ144" s="40" t="inlineStr">
        <is>
          <t>CHOOSE RATING</t>
        </is>
      </c>
      <c r="DK144" s="40" t="inlineStr">
        <is>
          <t>CHOOSE RATING</t>
        </is>
      </c>
      <c r="DL144" s="40" t="inlineStr">
        <is>
          <t>CHOOSE RATING</t>
        </is>
      </c>
      <c r="DM144" s="40" t="inlineStr">
        <is>
          <t>CHOOSE RATING</t>
        </is>
      </c>
      <c r="DN144" s="40" t="inlineStr">
        <is>
          <t>CHOOSE RATING</t>
        </is>
      </c>
      <c r="DO144" s="40" t="inlineStr">
        <is>
          <t>CHOOSE RATING</t>
        </is>
      </c>
      <c r="DP144" s="40" t="inlineStr">
        <is>
          <t>CHOOSE RATING</t>
        </is>
      </c>
      <c r="DQ144" s="40" t="inlineStr">
        <is>
          <t>CHOOSE RATING</t>
        </is>
      </c>
      <c r="DR144" s="43" t="inlineStr">
        <is>
          <t>2024/2025</t>
        </is>
      </c>
      <c r="DS144" s="45" t="inlineStr">
        <is>
          <t>THIRD</t>
        </is>
      </c>
      <c r="DT144" s="40" t="inlineStr">
        <is>
          <t>CHOOSE RATING</t>
        </is>
      </c>
      <c r="DU144" s="40" t="inlineStr">
        <is>
          <t>CHOOSE RATING</t>
        </is>
      </c>
      <c r="DV144" s="40" t="inlineStr">
        <is>
          <t>CHOOSE RATING</t>
        </is>
      </c>
      <c r="DW144" s="40" t="inlineStr">
        <is>
          <t>CHOOSE RATING</t>
        </is>
      </c>
      <c r="DX144" s="40" t="inlineStr">
        <is>
          <t>CHOOSE RATING</t>
        </is>
      </c>
      <c r="DY144" s="40" t="inlineStr">
        <is>
          <t>CHOOSE RATING</t>
        </is>
      </c>
      <c r="DZ144" s="53" t="inlineStr">
        <is>
          <t>CHOOSE RATING</t>
        </is>
      </c>
      <c r="EA144" s="54" t="inlineStr">
        <is>
          <t>Add the Tutor's Comment . . .</t>
        </is>
      </c>
      <c r="EB144" s="55" t="inlineStr">
        <is>
          <t>Choose Principals comment</t>
        </is>
      </c>
      <c r="EC144" s="56" t="n"/>
      <c r="ED144" s="57" t="inlineStr">
        <is>
          <t>Next Term Begins on Monday, 22nd September, 2025</t>
        </is>
      </c>
    </row>
    <row r="145" ht="30.6" customHeight="1" s="6">
      <c r="A145" s="18" t="n">
        <v>142</v>
      </c>
      <c r="B145" s="19" t="n"/>
      <c r="C145" s="20" t="n"/>
      <c r="D145" s="128" t="n"/>
      <c r="E145" s="21" t="n"/>
      <c r="F145" s="22" t="n"/>
      <c r="G145" s="22" t="n"/>
      <c r="H145" s="22" t="n"/>
      <c r="I145" s="26">
        <f>G145-H145</f>
        <v/>
      </c>
      <c r="J145" s="21" t="n"/>
      <c r="K145" s="21" t="n"/>
      <c r="L145" s="27">
        <f>SUM(J145:K145)</f>
        <v/>
      </c>
      <c r="M145" s="28" t="n"/>
      <c r="N145" s="28" t="n"/>
      <c r="O145" s="29">
        <f>IF(AND(L145=0,M145=0,N145=0),0,IF(AND(L145=0,M145=0),N145/1,IF(AND(L145=0,N145=0),M145/1,IF(AND(M145=0,N145=0),L145/1,IF(L145=0,FLOOR((M145+N145)/2,0.1),IF(M145=0,(L145+N145)/2,IF(N145=0,(M145+L145)/2,FLOOR(((L145+M145+N145)/3),0.1))))))))</f>
        <v/>
      </c>
      <c r="P145" s="21" t="n"/>
      <c r="Q145" s="21" t="n"/>
      <c r="R145" s="27">
        <f>SUM(P145:Q145)</f>
        <v/>
      </c>
      <c r="S145" s="28" t="n"/>
      <c r="T145" s="28" t="n"/>
      <c r="U145" s="29">
        <f>IF(AND(R145=0,S145=0,T145=0),0,IF(AND(R145=0,S145=0),T145/1,IF(AND(R145=0,T145=0),S145/1,IF(AND(S145=0,T145=0),R145/1,IF(R145=0,FLOOR((S145+T145)/2,0.1),IF(S145=0,(R145+T145)/2,IF(T145=0,(S145+R145)/2,FLOOR(((R145+S145+T145)/3),0.1))))))))</f>
        <v/>
      </c>
      <c r="V145" s="21" t="n"/>
      <c r="W145" s="21" t="n"/>
      <c r="X145" s="27">
        <f>SUM(V145:W145)</f>
        <v/>
      </c>
      <c r="Y145" s="28" t="n"/>
      <c r="Z145" s="28" t="n"/>
      <c r="AA145" s="29">
        <f>IF(AND(X145=0,Y145=0,Z145=0),0,IF(AND(X145=0,Y145=0),Z145/1,IF(AND(X145=0,Z145=0),Y145/1,IF(AND(Y145=0,Z145=0),X145/1,IF(X145=0,FLOOR((Y145+Z145)/2,0.1),IF(Y145=0,(X145+Z145)/2,IF(Z145=0,(Y145+X145)/2,FLOOR(((X145+Y145+Z145)/3),0.1))))))))</f>
        <v/>
      </c>
      <c r="AB145" s="21" t="n"/>
      <c r="AC145" s="21" t="n"/>
      <c r="AD145" s="27">
        <f>SUM(AB145:AC145)</f>
        <v/>
      </c>
      <c r="AE145" s="28" t="n"/>
      <c r="AF145" s="28" t="n"/>
      <c r="AG145" s="29">
        <f>IF(AND(AD145=0,AE145=0,AF145=0),0,IF(AND(AD145=0,AE145=0),AF145/1,IF(AND(AD145=0,AF145=0),AE145/1,IF(AND(AE145=0,AF145=0),AD145/1,IF(AD145=0,FLOOR((AE145+AF145)/2,0.1),IF(AE145=0,(AD145+AF145)/2,IF(AF145=0,(AE145+AD145)/2,FLOOR(((AD145+AE145+AF145)/3),0.1))))))))</f>
        <v/>
      </c>
      <c r="AH145" s="21" t="n"/>
      <c r="AI145" s="21" t="n"/>
      <c r="AJ145" s="27">
        <f>SUM(AH145:AI145)</f>
        <v/>
      </c>
      <c r="AK145" s="28" t="n"/>
      <c r="AL145" s="28" t="n"/>
      <c r="AM145" s="29">
        <f>IF(AND(AJ145=0,AK145=0,AL145=0),0,IF(AND(AJ145=0,AK145=0),AL145/1,IF(AND(AJ145=0,AL145=0),AK145/1,IF(AND(AK145=0,AL145=0),AJ145/1,IF(AJ145=0,FLOOR((AK145+AL145)/2,0.1),IF(AK145=0,(AJ145+AL145)/2,IF(AL145=0,(AK145+AJ145)/2,FLOOR(((AJ145+AK145+AL145)/3),0.1))))))))</f>
        <v/>
      </c>
      <c r="AN145" s="21" t="n"/>
      <c r="AO145" s="21" t="n"/>
      <c r="AP145" s="27">
        <f>SUM(AN145:AO145)</f>
        <v/>
      </c>
      <c r="AQ145" s="28" t="n"/>
      <c r="AR145" s="30" t="n"/>
      <c r="AS145" s="29">
        <f>IF(AND(AP145=0,AQ145=0,AR145=0),0,IF(AND(AP145=0,AQ145=0),AR145/1,IF(AND(AP145=0,AR145=0),AQ145/1,IF(AND(AQ145=0,AR145=0),AP145/1,IF(AP145=0,FLOOR((AQ145+AR145)/2,0.1),IF(AQ145=0,(AP145+AR145)/2,IF(AR145=0,(AQ145+AP145)/2,FLOOR(((AP145+AQ145+AR145)/3),0.1))))))))</f>
        <v/>
      </c>
      <c r="AT145" s="21" t="n"/>
      <c r="AU145" s="21" t="n"/>
      <c r="AV145" s="27">
        <f>SUM(AT145:AU145)</f>
        <v/>
      </c>
      <c r="AW145" s="28" t="n"/>
      <c r="AX145" s="30" t="n"/>
      <c r="AY145" s="29">
        <f>IF(AND(AV145=0,AW145=0,AX145=0),0,IF(AND(AV145=0,AW145=0),AX145/1,IF(AND(AV145=0,AX145=0),AW145/1,IF(AND(AW145=0,AX145=0),AV145/1,IF(AV145=0,FLOOR((AW145+AX145)/2,0.1),IF(AW145=0,(AV145+AX145)/2,IF(AX145=0,(AW145+AV145)/2,FLOOR(((AV145+AW145+AX145)/3),0.1))))))))</f>
        <v/>
      </c>
      <c r="AZ145" s="21" t="n"/>
      <c r="BA145" s="21" t="n"/>
      <c r="BB145" s="27">
        <f>SUM(AZ145:BA145)</f>
        <v/>
      </c>
      <c r="BC145" s="28" t="n"/>
      <c r="BD145" s="28" t="n"/>
      <c r="BE145" s="29">
        <f>IF(AND(BB145=0,BC145=0,BD145=0),0,IF(AND(BB145=0,BC145=0),BD145/1,IF(AND(BB145=0,BD145=0),BC145/1,IF(AND(BC145=0,BD145=0),BB145/1,IF(BB145=0,FLOOR((BC145+BD145)/2,0.1),IF(BC145=0,(BB145+BD145)/2,IF(BD145=0,(BC145+BB145)/2,FLOOR(((BB145+BC145+BD145)/3),0.1))))))))</f>
        <v/>
      </c>
      <c r="BF145" s="21" t="n"/>
      <c r="BG145" s="21" t="n"/>
      <c r="BH145" s="27">
        <f>SUM(BF145:BG145)</f>
        <v/>
      </c>
      <c r="BI145" s="28" t="n"/>
      <c r="BJ145" s="28" t="n"/>
      <c r="BK145" s="29">
        <f>IF(AND(BH145=0,BI145=0,BJ145=0),0,IF(AND(BH145=0,BI145=0),BJ145/1,IF(AND(BH145=0,BJ145=0),BI145/1,IF(AND(BI145=0,BJ145=0),BH145/1,IF(BH145=0,FLOOR((BI145+BJ145)/2,0.1),IF(BI145=0,(BH145+BJ145)/2,IF(BJ145=0,(BI145+BH145)/2,FLOOR(((BH145+BI145+BJ145)/3),0.1))))))))</f>
        <v/>
      </c>
      <c r="BL145" s="21" t="n"/>
      <c r="BM145" s="21" t="n"/>
      <c r="BN145" s="27">
        <f>SUM(BL145:BM145)</f>
        <v/>
      </c>
      <c r="BO145" s="28" t="n"/>
      <c r="BP145" s="31" t="n"/>
      <c r="BQ145" s="29">
        <f>IF(AND(BN145=0,BO145=0,BP145=0),0,IF(AND(BN145=0,BO145=0),BP145/1,IF(AND(BN145=0,BP145=0),BO145/1,IF(AND(BO145=0,BP145=0),BN145/1,IF(BN145=0,FLOOR((BO145+BP145)/2,0.1),IF(BO145=0,(BN145+BP145)/2,IF(BP145=0,(BO145+BN145)/2,FLOOR(((BN145+BO145+BP145)/3),0.1))))))))</f>
        <v/>
      </c>
      <c r="BR145" s="21" t="n"/>
      <c r="BS145" s="21" t="n"/>
      <c r="BT145" s="27">
        <f>SUM(BR145:BS145)</f>
        <v/>
      </c>
      <c r="BU145" s="28" t="n"/>
      <c r="BV145" s="31" t="n"/>
      <c r="BW145" s="29">
        <f>IF(AND(BT145=0,BU145=0,BV145=0),0,IF(AND(BT145=0,BU145=0),BV145/1,IF(AND(BT145=0,BV145=0),BU145/1,IF(AND(BU145=0,BV145=0),BT145/1,IF(BT145=0,FLOOR((BU145+BV145)/2,0.1),IF(BU145=0,(BT145+BV145)/2,IF(BV145=0,(BU145+BT145)/2,FLOOR(((BT145+BU145+BV145)/3),0.1))))))))</f>
        <v/>
      </c>
      <c r="BX145" s="21" t="n"/>
      <c r="BY145" s="21" t="n"/>
      <c r="BZ145" s="27">
        <f>SUM(BX145:BY145)</f>
        <v/>
      </c>
      <c r="CA145" s="28" t="n"/>
      <c r="CB145" s="31" t="n"/>
      <c r="CC145" s="29">
        <f>IF(AND(BZ145=0,CA145=0,CB145=0),0,IF(AND(BZ145=0,CA145=0),CB145/1,IF(AND(BZ145=0,CB145=0),CA145/1,IF(AND(CA145=0,CB145=0),BZ145/1,IF(BZ145=0,FLOOR((CA145+CB145)/2,0.1),IF(CA145=0,(BZ145+CB145)/2,IF(CB145=0,(CA145+BZ145)/2,FLOOR(((BZ145+CA145+CB145)/3),0.1))))))))</f>
        <v/>
      </c>
      <c r="CD145" s="21" t="n"/>
      <c r="CE145" s="21" t="n"/>
      <c r="CF145" s="27">
        <f>SUM(CD145:CE145)</f>
        <v/>
      </c>
      <c r="CG145" s="28" t="n"/>
      <c r="CH145" s="31" t="n"/>
      <c r="CI145" s="29">
        <f>IF(AND(CF145=0,CG145=0,CH145=0),0,IF(AND(CF145=0,CG145=0),CH145/1,IF(AND(CF145=0,CH145=0),CG145/1,IF(AND(CG145=0,CH145=0),CF145/1,IF(CF145=0,FLOOR((CG145+CH145)/2,0.1),IF(CG145=0,(CF145+CH145)/2,IF(CH145=0,(CG145+CF145)/2,FLOOR(((CF145+CG145+CH145)/3),0.1))))))))</f>
        <v/>
      </c>
      <c r="CJ145" s="21" t="n"/>
      <c r="CK145" s="21" t="n"/>
      <c r="CL145" s="27">
        <f>SUM(CJ145:CK145)</f>
        <v/>
      </c>
      <c r="CM145" s="28" t="n"/>
      <c r="CN145" s="31" t="n"/>
      <c r="CO145" s="29">
        <f>IF(AND(CL145=0,CM145=0,CN145=0),0,IF(AND(CL145=0,CM145=0),CN145/1,IF(AND(CL145=0,CN145=0),CM145/1,IF(AND(CM145=0,CN145=0),CL145/1,IF(CL145=0,FLOOR((CM145+CN145)/2,0.1),IF(CM145=0,(CL145+CN145)/2,IF(CN145=0,(CM145+CL145)/2,FLOOR(((CL145+CM145+CN145)/3),0.1))))))))</f>
        <v/>
      </c>
      <c r="CP145" s="21" t="n"/>
      <c r="CQ145" s="21" t="n"/>
      <c r="CR145" s="27">
        <f>SUM(CP145:CQ145)</f>
        <v/>
      </c>
      <c r="CS145" s="28" t="n"/>
      <c r="CT145" s="31" t="n"/>
      <c r="CU145" s="29">
        <f>IF(AND(CR145=0,CS145=0,CT145=0),0,IF(AND(CR145=0,CS145=0),CT145/1,IF(AND(CR145=0,CT145=0),CS145/1,IF(AND(CS145=0,CT145=0),CR145/1,IF(CR145=0,FLOOR((CS145+CT145)/2,0.1),IF(CS145=0,(CR145+CT145)/2,IF(CT145=0,(CS145+CR145)/2,FLOOR(((CR145+CS145+CT145)/3),0.1))))))))</f>
        <v/>
      </c>
      <c r="CV145" s="21" t="n"/>
      <c r="CW145" s="21" t="n"/>
      <c r="CX145" s="27">
        <f>SUM(CV145:CW145)</f>
        <v/>
      </c>
      <c r="CY145" s="28" t="n"/>
      <c r="CZ145" s="31" t="n"/>
      <c r="DA145" s="29">
        <f>IF(AND(CX145=0,CY145=0,CZ145=0),0,IF(AND(CX145=0,CY145=0),CZ145/1,IF(AND(CX145=0,CZ145=0),CY145/1,IF(AND(CY145=0,CZ145=0),CX145/1,IF(CX145=0,FLOOR((CY145+CZ145)/2,0.1),IF(CY145=0,(CX145+CZ145)/2,IF(CZ145=0,(CY145+CX145)/2,FLOOR(((CX145+CY145+CZ145)/3),0.1))))))))</f>
        <v/>
      </c>
      <c r="DB145" s="21" t="n"/>
      <c r="DC145" s="21" t="n"/>
      <c r="DD145" s="27">
        <f>SUM(DB145:DC145)</f>
        <v/>
      </c>
      <c r="DE145" s="28" t="n"/>
      <c r="DF145" s="31" t="n"/>
      <c r="DG145" s="29">
        <f>IF(AND(DD145=0,DE145=0,DF145=0),0,IF(AND(DD145=0,DE145=0),DF145/1,IF(AND(DD145=0,DF145=0),DE145/1,IF(AND(DE145=0,DF145=0),DD145/1,IF(DD145=0,FLOOR((DE145+DF145)/2,0.1),IF(DE145=0,(DD145+DF145)/2,IF(DF145=0,(DE145+DD145)/2,FLOOR(((DD145+DE145+DF145)/3),0.1))))))))</f>
        <v/>
      </c>
      <c r="DH145" s="34">
        <f>SUM(O145,U145,AA145,AG145,AM145,AS145,AY145,BE145,BK145,BQ145,BW145,CC145,CI145,CO145,CU145,DA145,DG145)</f>
        <v/>
      </c>
      <c r="DI145" s="39">
        <f>RANK(DH145,DH$4:DH$503)</f>
        <v/>
      </c>
      <c r="DJ145" s="40" t="inlineStr">
        <is>
          <t>CHOOSE RATING</t>
        </is>
      </c>
      <c r="DK145" s="40" t="inlineStr">
        <is>
          <t>CHOOSE RATING</t>
        </is>
      </c>
      <c r="DL145" s="40" t="inlineStr">
        <is>
          <t>CHOOSE RATING</t>
        </is>
      </c>
      <c r="DM145" s="40" t="inlineStr">
        <is>
          <t>CHOOSE RATING</t>
        </is>
      </c>
      <c r="DN145" s="40" t="inlineStr">
        <is>
          <t>CHOOSE RATING</t>
        </is>
      </c>
      <c r="DO145" s="40" t="inlineStr">
        <is>
          <t>CHOOSE RATING</t>
        </is>
      </c>
      <c r="DP145" s="40" t="inlineStr">
        <is>
          <t>CHOOSE RATING</t>
        </is>
      </c>
      <c r="DQ145" s="40" t="inlineStr">
        <is>
          <t>CHOOSE RATING</t>
        </is>
      </c>
      <c r="DR145" s="43" t="inlineStr">
        <is>
          <t>2024/2025</t>
        </is>
      </c>
      <c r="DS145" s="45" t="inlineStr">
        <is>
          <t>THIRD</t>
        </is>
      </c>
      <c r="DT145" s="40" t="inlineStr">
        <is>
          <t>CHOOSE RATING</t>
        </is>
      </c>
      <c r="DU145" s="40" t="inlineStr">
        <is>
          <t>CHOOSE RATING</t>
        </is>
      </c>
      <c r="DV145" s="40" t="inlineStr">
        <is>
          <t>CHOOSE RATING</t>
        </is>
      </c>
      <c r="DW145" s="40" t="inlineStr">
        <is>
          <t>CHOOSE RATING</t>
        </is>
      </c>
      <c r="DX145" s="40" t="inlineStr">
        <is>
          <t>CHOOSE RATING</t>
        </is>
      </c>
      <c r="DY145" s="40" t="inlineStr">
        <is>
          <t>CHOOSE RATING</t>
        </is>
      </c>
      <c r="DZ145" s="53" t="inlineStr">
        <is>
          <t>CHOOSE RATING</t>
        </is>
      </c>
      <c r="EA145" s="54" t="inlineStr">
        <is>
          <t>Add the Tutor's Comment . . .</t>
        </is>
      </c>
      <c r="EB145" s="55" t="inlineStr">
        <is>
          <t>Choose Principals comment</t>
        </is>
      </c>
      <c r="EC145" s="56" t="n"/>
      <c r="ED145" s="57" t="inlineStr">
        <is>
          <t>Next Term Begins on Monday, 22nd September, 2025</t>
        </is>
      </c>
    </row>
    <row r="146" ht="30.6" customHeight="1" s="6">
      <c r="A146" s="18" t="n">
        <v>143</v>
      </c>
      <c r="B146" s="19" t="n"/>
      <c r="C146" s="20" t="n"/>
      <c r="D146" s="128" t="n"/>
      <c r="E146" s="21" t="n"/>
      <c r="F146" s="22" t="n"/>
      <c r="G146" s="22" t="n"/>
      <c r="H146" s="22" t="n"/>
      <c r="I146" s="26">
        <f>G146-H146</f>
        <v/>
      </c>
      <c r="J146" s="21" t="n"/>
      <c r="K146" s="21" t="n"/>
      <c r="L146" s="27">
        <f>SUM(J146:K146)</f>
        <v/>
      </c>
      <c r="M146" s="28" t="n"/>
      <c r="N146" s="28" t="n"/>
      <c r="O146" s="29">
        <f>IF(AND(L146=0,M146=0,N146=0),0,IF(AND(L146=0,M146=0),N146/1,IF(AND(L146=0,N146=0),M146/1,IF(AND(M146=0,N146=0),L146/1,IF(L146=0,FLOOR((M146+N146)/2,0.1),IF(M146=0,(L146+N146)/2,IF(N146=0,(M146+L146)/2,FLOOR(((L146+M146+N146)/3),0.1))))))))</f>
        <v/>
      </c>
      <c r="P146" s="21" t="n"/>
      <c r="Q146" s="21" t="n"/>
      <c r="R146" s="27">
        <f>SUM(P146:Q146)</f>
        <v/>
      </c>
      <c r="S146" s="28" t="n"/>
      <c r="T146" s="28" t="n"/>
      <c r="U146" s="29">
        <f>IF(AND(R146=0,S146=0,T146=0),0,IF(AND(R146=0,S146=0),T146/1,IF(AND(R146=0,T146=0),S146/1,IF(AND(S146=0,T146=0),R146/1,IF(R146=0,FLOOR((S146+T146)/2,0.1),IF(S146=0,(R146+T146)/2,IF(T146=0,(S146+R146)/2,FLOOR(((R146+S146+T146)/3),0.1))))))))</f>
        <v/>
      </c>
      <c r="V146" s="21" t="n"/>
      <c r="W146" s="21" t="n"/>
      <c r="X146" s="27">
        <f>SUM(V146:W146)</f>
        <v/>
      </c>
      <c r="Y146" s="28" t="n"/>
      <c r="Z146" s="28" t="n"/>
      <c r="AA146" s="29">
        <f>IF(AND(X146=0,Y146=0,Z146=0),0,IF(AND(X146=0,Y146=0),Z146/1,IF(AND(X146=0,Z146=0),Y146/1,IF(AND(Y146=0,Z146=0),X146/1,IF(X146=0,FLOOR((Y146+Z146)/2,0.1),IF(Y146=0,(X146+Z146)/2,IF(Z146=0,(Y146+X146)/2,FLOOR(((X146+Y146+Z146)/3),0.1))))))))</f>
        <v/>
      </c>
      <c r="AB146" s="21" t="n"/>
      <c r="AC146" s="21" t="n"/>
      <c r="AD146" s="27">
        <f>SUM(AB146:AC146)</f>
        <v/>
      </c>
      <c r="AE146" s="28" t="n"/>
      <c r="AF146" s="28" t="n"/>
      <c r="AG146" s="29">
        <f>IF(AND(AD146=0,AE146=0,AF146=0),0,IF(AND(AD146=0,AE146=0),AF146/1,IF(AND(AD146=0,AF146=0),AE146/1,IF(AND(AE146=0,AF146=0),AD146/1,IF(AD146=0,FLOOR((AE146+AF146)/2,0.1),IF(AE146=0,(AD146+AF146)/2,IF(AF146=0,(AE146+AD146)/2,FLOOR(((AD146+AE146+AF146)/3),0.1))))))))</f>
        <v/>
      </c>
      <c r="AH146" s="21" t="n"/>
      <c r="AI146" s="21" t="n"/>
      <c r="AJ146" s="27">
        <f>SUM(AH146:AI146)</f>
        <v/>
      </c>
      <c r="AK146" s="28" t="n"/>
      <c r="AL146" s="28" t="n"/>
      <c r="AM146" s="29">
        <f>IF(AND(AJ146=0,AK146=0,AL146=0),0,IF(AND(AJ146=0,AK146=0),AL146/1,IF(AND(AJ146=0,AL146=0),AK146/1,IF(AND(AK146=0,AL146=0),AJ146/1,IF(AJ146=0,FLOOR((AK146+AL146)/2,0.1),IF(AK146=0,(AJ146+AL146)/2,IF(AL146=0,(AK146+AJ146)/2,FLOOR(((AJ146+AK146+AL146)/3),0.1))))))))</f>
        <v/>
      </c>
      <c r="AN146" s="21" t="n"/>
      <c r="AO146" s="21" t="n"/>
      <c r="AP146" s="27">
        <f>SUM(AN146:AO146)</f>
        <v/>
      </c>
      <c r="AQ146" s="28" t="n"/>
      <c r="AR146" s="30" t="n"/>
      <c r="AS146" s="29">
        <f>IF(AND(AP146=0,AQ146=0,AR146=0),0,IF(AND(AP146=0,AQ146=0),AR146/1,IF(AND(AP146=0,AR146=0),AQ146/1,IF(AND(AQ146=0,AR146=0),AP146/1,IF(AP146=0,FLOOR((AQ146+AR146)/2,0.1),IF(AQ146=0,(AP146+AR146)/2,IF(AR146=0,(AQ146+AP146)/2,FLOOR(((AP146+AQ146+AR146)/3),0.1))))))))</f>
        <v/>
      </c>
      <c r="AT146" s="21" t="n"/>
      <c r="AU146" s="21" t="n"/>
      <c r="AV146" s="27">
        <f>SUM(AT146:AU146)</f>
        <v/>
      </c>
      <c r="AW146" s="28" t="n"/>
      <c r="AX146" s="30" t="n"/>
      <c r="AY146" s="29">
        <f>IF(AND(AV146=0,AW146=0,AX146=0),0,IF(AND(AV146=0,AW146=0),AX146/1,IF(AND(AV146=0,AX146=0),AW146/1,IF(AND(AW146=0,AX146=0),AV146/1,IF(AV146=0,FLOOR((AW146+AX146)/2,0.1),IF(AW146=0,(AV146+AX146)/2,IF(AX146=0,(AW146+AV146)/2,FLOOR(((AV146+AW146+AX146)/3),0.1))))))))</f>
        <v/>
      </c>
      <c r="AZ146" s="21" t="n"/>
      <c r="BA146" s="21" t="n"/>
      <c r="BB146" s="27">
        <f>SUM(AZ146:BA146)</f>
        <v/>
      </c>
      <c r="BC146" s="28" t="n"/>
      <c r="BD146" s="28" t="n"/>
      <c r="BE146" s="29">
        <f>IF(AND(BB146=0,BC146=0,BD146=0),0,IF(AND(BB146=0,BC146=0),BD146/1,IF(AND(BB146=0,BD146=0),BC146/1,IF(AND(BC146=0,BD146=0),BB146/1,IF(BB146=0,FLOOR((BC146+BD146)/2,0.1),IF(BC146=0,(BB146+BD146)/2,IF(BD146=0,(BC146+BB146)/2,FLOOR(((BB146+BC146+BD146)/3),0.1))))))))</f>
        <v/>
      </c>
      <c r="BF146" s="21" t="n"/>
      <c r="BG146" s="21" t="n"/>
      <c r="BH146" s="27">
        <f>SUM(BF146:BG146)</f>
        <v/>
      </c>
      <c r="BI146" s="28" t="n"/>
      <c r="BJ146" s="28" t="n"/>
      <c r="BK146" s="29">
        <f>IF(AND(BH146=0,BI146=0,BJ146=0),0,IF(AND(BH146=0,BI146=0),BJ146/1,IF(AND(BH146=0,BJ146=0),BI146/1,IF(AND(BI146=0,BJ146=0),BH146/1,IF(BH146=0,FLOOR((BI146+BJ146)/2,0.1),IF(BI146=0,(BH146+BJ146)/2,IF(BJ146=0,(BI146+BH146)/2,FLOOR(((BH146+BI146+BJ146)/3),0.1))))))))</f>
        <v/>
      </c>
      <c r="BL146" s="21" t="n"/>
      <c r="BM146" s="21" t="n"/>
      <c r="BN146" s="27">
        <f>SUM(BL146:BM146)</f>
        <v/>
      </c>
      <c r="BO146" s="28" t="n"/>
      <c r="BP146" s="31" t="n"/>
      <c r="BQ146" s="29">
        <f>IF(AND(BN146=0,BO146=0,BP146=0),0,IF(AND(BN146=0,BO146=0),BP146/1,IF(AND(BN146=0,BP146=0),BO146/1,IF(AND(BO146=0,BP146=0),BN146/1,IF(BN146=0,FLOOR((BO146+BP146)/2,0.1),IF(BO146=0,(BN146+BP146)/2,IF(BP146=0,(BO146+BN146)/2,FLOOR(((BN146+BO146+BP146)/3),0.1))))))))</f>
        <v/>
      </c>
      <c r="BR146" s="21" t="n"/>
      <c r="BS146" s="21" t="n"/>
      <c r="BT146" s="27">
        <f>SUM(BR146:BS146)</f>
        <v/>
      </c>
      <c r="BU146" s="28" t="n"/>
      <c r="BV146" s="31" t="n"/>
      <c r="BW146" s="29">
        <f>IF(AND(BT146=0,BU146=0,BV146=0),0,IF(AND(BT146=0,BU146=0),BV146/1,IF(AND(BT146=0,BV146=0),BU146/1,IF(AND(BU146=0,BV146=0),BT146/1,IF(BT146=0,FLOOR((BU146+BV146)/2,0.1),IF(BU146=0,(BT146+BV146)/2,IF(BV146=0,(BU146+BT146)/2,FLOOR(((BT146+BU146+BV146)/3),0.1))))))))</f>
        <v/>
      </c>
      <c r="BX146" s="21" t="n"/>
      <c r="BY146" s="21" t="n"/>
      <c r="BZ146" s="27">
        <f>SUM(BX146:BY146)</f>
        <v/>
      </c>
      <c r="CA146" s="28" t="n"/>
      <c r="CB146" s="31" t="n"/>
      <c r="CC146" s="29">
        <f>IF(AND(BZ146=0,CA146=0,CB146=0),0,IF(AND(BZ146=0,CA146=0),CB146/1,IF(AND(BZ146=0,CB146=0),CA146/1,IF(AND(CA146=0,CB146=0),BZ146/1,IF(BZ146=0,FLOOR((CA146+CB146)/2,0.1),IF(CA146=0,(BZ146+CB146)/2,IF(CB146=0,(CA146+BZ146)/2,FLOOR(((BZ146+CA146+CB146)/3),0.1))))))))</f>
        <v/>
      </c>
      <c r="CD146" s="21" t="n"/>
      <c r="CE146" s="21" t="n"/>
      <c r="CF146" s="27">
        <f>SUM(CD146:CE146)</f>
        <v/>
      </c>
      <c r="CG146" s="28" t="n"/>
      <c r="CH146" s="31" t="n"/>
      <c r="CI146" s="29">
        <f>IF(AND(CF146=0,CG146=0,CH146=0),0,IF(AND(CF146=0,CG146=0),CH146/1,IF(AND(CF146=0,CH146=0),CG146/1,IF(AND(CG146=0,CH146=0),CF146/1,IF(CF146=0,FLOOR((CG146+CH146)/2,0.1),IF(CG146=0,(CF146+CH146)/2,IF(CH146=0,(CG146+CF146)/2,FLOOR(((CF146+CG146+CH146)/3),0.1))))))))</f>
        <v/>
      </c>
      <c r="CJ146" s="21" t="n"/>
      <c r="CK146" s="21" t="n"/>
      <c r="CL146" s="27">
        <f>SUM(CJ146:CK146)</f>
        <v/>
      </c>
      <c r="CM146" s="28" t="n"/>
      <c r="CN146" s="31" t="n"/>
      <c r="CO146" s="29">
        <f>IF(AND(CL146=0,CM146=0,CN146=0),0,IF(AND(CL146=0,CM146=0),CN146/1,IF(AND(CL146=0,CN146=0),CM146/1,IF(AND(CM146=0,CN146=0),CL146/1,IF(CL146=0,FLOOR((CM146+CN146)/2,0.1),IF(CM146=0,(CL146+CN146)/2,IF(CN146=0,(CM146+CL146)/2,FLOOR(((CL146+CM146+CN146)/3),0.1))))))))</f>
        <v/>
      </c>
      <c r="CP146" s="21" t="n"/>
      <c r="CQ146" s="21" t="n"/>
      <c r="CR146" s="27">
        <f>SUM(CP146:CQ146)</f>
        <v/>
      </c>
      <c r="CS146" s="28" t="n"/>
      <c r="CT146" s="31" t="n"/>
      <c r="CU146" s="29">
        <f>IF(AND(CR146=0,CS146=0,CT146=0),0,IF(AND(CR146=0,CS146=0),CT146/1,IF(AND(CR146=0,CT146=0),CS146/1,IF(AND(CS146=0,CT146=0),CR146/1,IF(CR146=0,FLOOR((CS146+CT146)/2,0.1),IF(CS146=0,(CR146+CT146)/2,IF(CT146=0,(CS146+CR146)/2,FLOOR(((CR146+CS146+CT146)/3),0.1))))))))</f>
        <v/>
      </c>
      <c r="CV146" s="21" t="n"/>
      <c r="CW146" s="21" t="n"/>
      <c r="CX146" s="27">
        <f>SUM(CV146:CW146)</f>
        <v/>
      </c>
      <c r="CY146" s="28" t="n"/>
      <c r="CZ146" s="31" t="n"/>
      <c r="DA146" s="29">
        <f>IF(AND(CX146=0,CY146=0,CZ146=0),0,IF(AND(CX146=0,CY146=0),CZ146/1,IF(AND(CX146=0,CZ146=0),CY146/1,IF(AND(CY146=0,CZ146=0),CX146/1,IF(CX146=0,FLOOR((CY146+CZ146)/2,0.1),IF(CY146=0,(CX146+CZ146)/2,IF(CZ146=0,(CY146+CX146)/2,FLOOR(((CX146+CY146+CZ146)/3),0.1))))))))</f>
        <v/>
      </c>
      <c r="DB146" s="21" t="n"/>
      <c r="DC146" s="21" t="n"/>
      <c r="DD146" s="27">
        <f>SUM(DB146:DC146)</f>
        <v/>
      </c>
      <c r="DE146" s="28" t="n"/>
      <c r="DF146" s="31" t="n"/>
      <c r="DG146" s="29">
        <f>IF(AND(DD146=0,DE146=0,DF146=0),0,IF(AND(DD146=0,DE146=0),DF146/1,IF(AND(DD146=0,DF146=0),DE146/1,IF(AND(DE146=0,DF146=0),DD146/1,IF(DD146=0,FLOOR((DE146+DF146)/2,0.1),IF(DE146=0,(DD146+DF146)/2,IF(DF146=0,(DE146+DD146)/2,FLOOR(((DD146+DE146+DF146)/3),0.1))))))))</f>
        <v/>
      </c>
      <c r="DH146" s="34">
        <f>SUM(O146,U146,AA146,AG146,AM146,AS146,AY146,BE146,BK146,BQ146,BW146,CC146,CI146,CO146,CU146,DA146,DG146)</f>
        <v/>
      </c>
      <c r="DI146" s="39">
        <f>RANK(DH146,DH$4:DH$503)</f>
        <v/>
      </c>
      <c r="DJ146" s="40" t="inlineStr">
        <is>
          <t>CHOOSE RATING</t>
        </is>
      </c>
      <c r="DK146" s="40" t="inlineStr">
        <is>
          <t>CHOOSE RATING</t>
        </is>
      </c>
      <c r="DL146" s="40" t="inlineStr">
        <is>
          <t>CHOOSE RATING</t>
        </is>
      </c>
      <c r="DM146" s="40" t="inlineStr">
        <is>
          <t>CHOOSE RATING</t>
        </is>
      </c>
      <c r="DN146" s="40" t="inlineStr">
        <is>
          <t>CHOOSE RATING</t>
        </is>
      </c>
      <c r="DO146" s="40" t="inlineStr">
        <is>
          <t>CHOOSE RATING</t>
        </is>
      </c>
      <c r="DP146" s="40" t="inlineStr">
        <is>
          <t>CHOOSE RATING</t>
        </is>
      </c>
      <c r="DQ146" s="40" t="inlineStr">
        <is>
          <t>CHOOSE RATING</t>
        </is>
      </c>
      <c r="DR146" s="43" t="inlineStr">
        <is>
          <t>2024/2025</t>
        </is>
      </c>
      <c r="DS146" s="45" t="inlineStr">
        <is>
          <t>THIRD</t>
        </is>
      </c>
      <c r="DT146" s="40" t="inlineStr">
        <is>
          <t>CHOOSE RATING</t>
        </is>
      </c>
      <c r="DU146" s="40" t="inlineStr">
        <is>
          <t>CHOOSE RATING</t>
        </is>
      </c>
      <c r="DV146" s="40" t="inlineStr">
        <is>
          <t>CHOOSE RATING</t>
        </is>
      </c>
      <c r="DW146" s="40" t="inlineStr">
        <is>
          <t>CHOOSE RATING</t>
        </is>
      </c>
      <c r="DX146" s="40" t="inlineStr">
        <is>
          <t>CHOOSE RATING</t>
        </is>
      </c>
      <c r="DY146" s="40" t="inlineStr">
        <is>
          <t>CHOOSE RATING</t>
        </is>
      </c>
      <c r="DZ146" s="53" t="inlineStr">
        <is>
          <t>CHOOSE RATING</t>
        </is>
      </c>
      <c r="EA146" s="54" t="inlineStr">
        <is>
          <t>Add the Tutor's Comment . . .</t>
        </is>
      </c>
      <c r="EB146" s="55" t="inlineStr">
        <is>
          <t>Choose Principals comment</t>
        </is>
      </c>
      <c r="EC146" s="56" t="n"/>
      <c r="ED146" s="57" t="inlineStr">
        <is>
          <t>Next Term Begins on Monday, 22nd September, 2025</t>
        </is>
      </c>
    </row>
    <row r="147" ht="30.6" customHeight="1" s="6">
      <c r="A147" s="18" t="n">
        <v>144</v>
      </c>
      <c r="B147" s="19" t="n"/>
      <c r="C147" s="20" t="n"/>
      <c r="D147" s="128" t="n"/>
      <c r="E147" s="21" t="n"/>
      <c r="F147" s="22" t="n"/>
      <c r="G147" s="22" t="n"/>
      <c r="H147" s="22" t="n"/>
      <c r="I147" s="26">
        <f>G147-H147</f>
        <v/>
      </c>
      <c r="J147" s="21" t="n"/>
      <c r="K147" s="21" t="n"/>
      <c r="L147" s="27">
        <f>SUM(J147:K147)</f>
        <v/>
      </c>
      <c r="M147" s="28" t="n"/>
      <c r="N147" s="28" t="n"/>
      <c r="O147" s="29">
        <f>IF(AND(L147=0,M147=0,N147=0),0,IF(AND(L147=0,M147=0),N147/1,IF(AND(L147=0,N147=0),M147/1,IF(AND(M147=0,N147=0),L147/1,IF(L147=0,FLOOR((M147+N147)/2,0.1),IF(M147=0,(L147+N147)/2,IF(N147=0,(M147+L147)/2,FLOOR(((L147+M147+N147)/3),0.1))))))))</f>
        <v/>
      </c>
      <c r="P147" s="21" t="n"/>
      <c r="Q147" s="21" t="n"/>
      <c r="R147" s="27">
        <f>SUM(P147:Q147)</f>
        <v/>
      </c>
      <c r="S147" s="28" t="n"/>
      <c r="T147" s="28" t="n"/>
      <c r="U147" s="29">
        <f>IF(AND(R147=0,S147=0,T147=0),0,IF(AND(R147=0,S147=0),T147/1,IF(AND(R147=0,T147=0),S147/1,IF(AND(S147=0,T147=0),R147/1,IF(R147=0,FLOOR((S147+T147)/2,0.1),IF(S147=0,(R147+T147)/2,IF(T147=0,(S147+R147)/2,FLOOR(((R147+S147+T147)/3),0.1))))))))</f>
        <v/>
      </c>
      <c r="V147" s="21" t="n"/>
      <c r="W147" s="21" t="n"/>
      <c r="X147" s="27">
        <f>SUM(V147:W147)</f>
        <v/>
      </c>
      <c r="Y147" s="28" t="n"/>
      <c r="Z147" s="28" t="n"/>
      <c r="AA147" s="29">
        <f>IF(AND(X147=0,Y147=0,Z147=0),0,IF(AND(X147=0,Y147=0),Z147/1,IF(AND(X147=0,Z147=0),Y147/1,IF(AND(Y147=0,Z147=0),X147/1,IF(X147=0,FLOOR((Y147+Z147)/2,0.1),IF(Y147=0,(X147+Z147)/2,IF(Z147=0,(Y147+X147)/2,FLOOR(((X147+Y147+Z147)/3),0.1))))))))</f>
        <v/>
      </c>
      <c r="AB147" s="21" t="n"/>
      <c r="AC147" s="21" t="n"/>
      <c r="AD147" s="27">
        <f>SUM(AB147:AC147)</f>
        <v/>
      </c>
      <c r="AE147" s="28" t="n"/>
      <c r="AF147" s="28" t="n"/>
      <c r="AG147" s="29">
        <f>IF(AND(AD147=0,AE147=0,AF147=0),0,IF(AND(AD147=0,AE147=0),AF147/1,IF(AND(AD147=0,AF147=0),AE147/1,IF(AND(AE147=0,AF147=0),AD147/1,IF(AD147=0,FLOOR((AE147+AF147)/2,0.1),IF(AE147=0,(AD147+AF147)/2,IF(AF147=0,(AE147+AD147)/2,FLOOR(((AD147+AE147+AF147)/3),0.1))))))))</f>
        <v/>
      </c>
      <c r="AH147" s="21" t="n"/>
      <c r="AI147" s="21" t="n"/>
      <c r="AJ147" s="27">
        <f>SUM(AH147:AI147)</f>
        <v/>
      </c>
      <c r="AK147" s="28" t="n"/>
      <c r="AL147" s="28" t="n"/>
      <c r="AM147" s="29">
        <f>IF(AND(AJ147=0,AK147=0,AL147=0),0,IF(AND(AJ147=0,AK147=0),AL147/1,IF(AND(AJ147=0,AL147=0),AK147/1,IF(AND(AK147=0,AL147=0),AJ147/1,IF(AJ147=0,FLOOR((AK147+AL147)/2,0.1),IF(AK147=0,(AJ147+AL147)/2,IF(AL147=0,(AK147+AJ147)/2,FLOOR(((AJ147+AK147+AL147)/3),0.1))))))))</f>
        <v/>
      </c>
      <c r="AN147" s="21" t="n"/>
      <c r="AO147" s="21" t="n"/>
      <c r="AP147" s="27">
        <f>SUM(AN147:AO147)</f>
        <v/>
      </c>
      <c r="AQ147" s="28" t="n"/>
      <c r="AR147" s="30" t="n"/>
      <c r="AS147" s="29">
        <f>IF(AND(AP147=0,AQ147=0,AR147=0),0,IF(AND(AP147=0,AQ147=0),AR147/1,IF(AND(AP147=0,AR147=0),AQ147/1,IF(AND(AQ147=0,AR147=0),AP147/1,IF(AP147=0,FLOOR((AQ147+AR147)/2,0.1),IF(AQ147=0,(AP147+AR147)/2,IF(AR147=0,(AQ147+AP147)/2,FLOOR(((AP147+AQ147+AR147)/3),0.1))))))))</f>
        <v/>
      </c>
      <c r="AT147" s="21" t="n"/>
      <c r="AU147" s="21" t="n"/>
      <c r="AV147" s="27">
        <f>SUM(AT147:AU147)</f>
        <v/>
      </c>
      <c r="AW147" s="28" t="n"/>
      <c r="AX147" s="30" t="n"/>
      <c r="AY147" s="29">
        <f>IF(AND(AV147=0,AW147=0,AX147=0),0,IF(AND(AV147=0,AW147=0),AX147/1,IF(AND(AV147=0,AX147=0),AW147/1,IF(AND(AW147=0,AX147=0),AV147/1,IF(AV147=0,FLOOR((AW147+AX147)/2,0.1),IF(AW147=0,(AV147+AX147)/2,IF(AX147=0,(AW147+AV147)/2,FLOOR(((AV147+AW147+AX147)/3),0.1))))))))</f>
        <v/>
      </c>
      <c r="AZ147" s="21" t="n"/>
      <c r="BA147" s="21" t="n"/>
      <c r="BB147" s="27">
        <f>SUM(AZ147:BA147)</f>
        <v/>
      </c>
      <c r="BC147" s="28" t="n"/>
      <c r="BD147" s="28" t="n"/>
      <c r="BE147" s="29">
        <f>IF(AND(BB147=0,BC147=0,BD147=0),0,IF(AND(BB147=0,BC147=0),BD147/1,IF(AND(BB147=0,BD147=0),BC147/1,IF(AND(BC147=0,BD147=0),BB147/1,IF(BB147=0,FLOOR((BC147+BD147)/2,0.1),IF(BC147=0,(BB147+BD147)/2,IF(BD147=0,(BC147+BB147)/2,FLOOR(((BB147+BC147+BD147)/3),0.1))))))))</f>
        <v/>
      </c>
      <c r="BF147" s="21" t="n"/>
      <c r="BG147" s="21" t="n"/>
      <c r="BH147" s="27">
        <f>SUM(BF147:BG147)</f>
        <v/>
      </c>
      <c r="BI147" s="28" t="n"/>
      <c r="BJ147" s="28" t="n"/>
      <c r="BK147" s="29">
        <f>IF(AND(BH147=0,BI147=0,BJ147=0),0,IF(AND(BH147=0,BI147=0),BJ147/1,IF(AND(BH147=0,BJ147=0),BI147/1,IF(AND(BI147=0,BJ147=0),BH147/1,IF(BH147=0,FLOOR((BI147+BJ147)/2,0.1),IF(BI147=0,(BH147+BJ147)/2,IF(BJ147=0,(BI147+BH147)/2,FLOOR(((BH147+BI147+BJ147)/3),0.1))))))))</f>
        <v/>
      </c>
      <c r="BL147" s="21" t="n"/>
      <c r="BM147" s="21" t="n"/>
      <c r="BN147" s="27">
        <f>SUM(BL147:BM147)</f>
        <v/>
      </c>
      <c r="BO147" s="28" t="n"/>
      <c r="BP147" s="31" t="n"/>
      <c r="BQ147" s="29">
        <f>IF(AND(BN147=0,BO147=0,BP147=0),0,IF(AND(BN147=0,BO147=0),BP147/1,IF(AND(BN147=0,BP147=0),BO147/1,IF(AND(BO147=0,BP147=0),BN147/1,IF(BN147=0,FLOOR((BO147+BP147)/2,0.1),IF(BO147=0,(BN147+BP147)/2,IF(BP147=0,(BO147+BN147)/2,FLOOR(((BN147+BO147+BP147)/3),0.1))))))))</f>
        <v/>
      </c>
      <c r="BR147" s="21" t="n"/>
      <c r="BS147" s="21" t="n"/>
      <c r="BT147" s="27">
        <f>SUM(BR147:BS147)</f>
        <v/>
      </c>
      <c r="BU147" s="28" t="n"/>
      <c r="BV147" s="31" t="n"/>
      <c r="BW147" s="29">
        <f>IF(AND(BT147=0,BU147=0,BV147=0),0,IF(AND(BT147=0,BU147=0),BV147/1,IF(AND(BT147=0,BV147=0),BU147/1,IF(AND(BU147=0,BV147=0),BT147/1,IF(BT147=0,FLOOR((BU147+BV147)/2,0.1),IF(BU147=0,(BT147+BV147)/2,IF(BV147=0,(BU147+BT147)/2,FLOOR(((BT147+BU147+BV147)/3),0.1))))))))</f>
        <v/>
      </c>
      <c r="BX147" s="21" t="n"/>
      <c r="BY147" s="21" t="n"/>
      <c r="BZ147" s="27">
        <f>SUM(BX147:BY147)</f>
        <v/>
      </c>
      <c r="CA147" s="28" t="n"/>
      <c r="CB147" s="31" t="n"/>
      <c r="CC147" s="29">
        <f>IF(AND(BZ147=0,CA147=0,CB147=0),0,IF(AND(BZ147=0,CA147=0),CB147/1,IF(AND(BZ147=0,CB147=0),CA147/1,IF(AND(CA147=0,CB147=0),BZ147/1,IF(BZ147=0,FLOOR((CA147+CB147)/2,0.1),IF(CA147=0,(BZ147+CB147)/2,IF(CB147=0,(CA147+BZ147)/2,FLOOR(((BZ147+CA147+CB147)/3),0.1))))))))</f>
        <v/>
      </c>
      <c r="CD147" s="21" t="n"/>
      <c r="CE147" s="21" t="n"/>
      <c r="CF147" s="27">
        <f>SUM(CD147:CE147)</f>
        <v/>
      </c>
      <c r="CG147" s="28" t="n"/>
      <c r="CH147" s="31" t="n"/>
      <c r="CI147" s="29">
        <f>IF(AND(CF147=0,CG147=0,CH147=0),0,IF(AND(CF147=0,CG147=0),CH147/1,IF(AND(CF147=0,CH147=0),CG147/1,IF(AND(CG147=0,CH147=0),CF147/1,IF(CF147=0,FLOOR((CG147+CH147)/2,0.1),IF(CG147=0,(CF147+CH147)/2,IF(CH147=0,(CG147+CF147)/2,FLOOR(((CF147+CG147+CH147)/3),0.1))))))))</f>
        <v/>
      </c>
      <c r="CJ147" s="21" t="n"/>
      <c r="CK147" s="21" t="n"/>
      <c r="CL147" s="27">
        <f>SUM(CJ147:CK147)</f>
        <v/>
      </c>
      <c r="CM147" s="28" t="n"/>
      <c r="CN147" s="31" t="n"/>
      <c r="CO147" s="29">
        <f>IF(AND(CL147=0,CM147=0,CN147=0),0,IF(AND(CL147=0,CM147=0),CN147/1,IF(AND(CL147=0,CN147=0),CM147/1,IF(AND(CM147=0,CN147=0),CL147/1,IF(CL147=0,FLOOR((CM147+CN147)/2,0.1),IF(CM147=0,(CL147+CN147)/2,IF(CN147=0,(CM147+CL147)/2,FLOOR(((CL147+CM147+CN147)/3),0.1))))))))</f>
        <v/>
      </c>
      <c r="CP147" s="21" t="n"/>
      <c r="CQ147" s="21" t="n"/>
      <c r="CR147" s="27">
        <f>SUM(CP147:CQ147)</f>
        <v/>
      </c>
      <c r="CS147" s="28" t="n"/>
      <c r="CT147" s="31" t="n"/>
      <c r="CU147" s="29">
        <f>IF(AND(CR147=0,CS147=0,CT147=0),0,IF(AND(CR147=0,CS147=0),CT147/1,IF(AND(CR147=0,CT147=0),CS147/1,IF(AND(CS147=0,CT147=0),CR147/1,IF(CR147=0,FLOOR((CS147+CT147)/2,0.1),IF(CS147=0,(CR147+CT147)/2,IF(CT147=0,(CS147+CR147)/2,FLOOR(((CR147+CS147+CT147)/3),0.1))))))))</f>
        <v/>
      </c>
      <c r="CV147" s="21" t="n"/>
      <c r="CW147" s="21" t="n"/>
      <c r="CX147" s="27">
        <f>SUM(CV147:CW147)</f>
        <v/>
      </c>
      <c r="CY147" s="28" t="n"/>
      <c r="CZ147" s="31" t="n"/>
      <c r="DA147" s="29">
        <f>IF(AND(CX147=0,CY147=0,CZ147=0),0,IF(AND(CX147=0,CY147=0),CZ147/1,IF(AND(CX147=0,CZ147=0),CY147/1,IF(AND(CY147=0,CZ147=0),CX147/1,IF(CX147=0,FLOOR((CY147+CZ147)/2,0.1),IF(CY147=0,(CX147+CZ147)/2,IF(CZ147=0,(CY147+CX147)/2,FLOOR(((CX147+CY147+CZ147)/3),0.1))))))))</f>
        <v/>
      </c>
      <c r="DB147" s="21" t="n"/>
      <c r="DC147" s="21" t="n"/>
      <c r="DD147" s="27">
        <f>SUM(DB147:DC147)</f>
        <v/>
      </c>
      <c r="DE147" s="28" t="n"/>
      <c r="DF147" s="31" t="n"/>
      <c r="DG147" s="29">
        <f>IF(AND(DD147=0,DE147=0,DF147=0),0,IF(AND(DD147=0,DE147=0),DF147/1,IF(AND(DD147=0,DF147=0),DE147/1,IF(AND(DE147=0,DF147=0),DD147/1,IF(DD147=0,FLOOR((DE147+DF147)/2,0.1),IF(DE147=0,(DD147+DF147)/2,IF(DF147=0,(DE147+DD147)/2,FLOOR(((DD147+DE147+DF147)/3),0.1))))))))</f>
        <v/>
      </c>
      <c r="DH147" s="34">
        <f>SUM(O147,U147,AA147,AG147,AM147,AS147,AY147,BE147,BK147,BQ147,BW147,CC147,CI147,CO147,CU147,DA147,DG147)</f>
        <v/>
      </c>
      <c r="DI147" s="39">
        <f>RANK(DH147,DH$4:DH$503)</f>
        <v/>
      </c>
      <c r="DJ147" s="40" t="inlineStr">
        <is>
          <t>CHOOSE RATING</t>
        </is>
      </c>
      <c r="DK147" s="40" t="inlineStr">
        <is>
          <t>CHOOSE RATING</t>
        </is>
      </c>
      <c r="DL147" s="40" t="inlineStr">
        <is>
          <t>CHOOSE RATING</t>
        </is>
      </c>
      <c r="DM147" s="40" t="inlineStr">
        <is>
          <t>CHOOSE RATING</t>
        </is>
      </c>
      <c r="DN147" s="40" t="inlineStr">
        <is>
          <t>CHOOSE RATING</t>
        </is>
      </c>
      <c r="DO147" s="40" t="inlineStr">
        <is>
          <t>CHOOSE RATING</t>
        </is>
      </c>
      <c r="DP147" s="40" t="inlineStr">
        <is>
          <t>CHOOSE RATING</t>
        </is>
      </c>
      <c r="DQ147" s="40" t="inlineStr">
        <is>
          <t>CHOOSE RATING</t>
        </is>
      </c>
      <c r="DR147" s="43" t="inlineStr">
        <is>
          <t>2024/2025</t>
        </is>
      </c>
      <c r="DS147" s="45" t="inlineStr">
        <is>
          <t>THIRD</t>
        </is>
      </c>
      <c r="DT147" s="40" t="inlineStr">
        <is>
          <t>CHOOSE RATING</t>
        </is>
      </c>
      <c r="DU147" s="40" t="inlineStr">
        <is>
          <t>CHOOSE RATING</t>
        </is>
      </c>
      <c r="DV147" s="40" t="inlineStr">
        <is>
          <t>CHOOSE RATING</t>
        </is>
      </c>
      <c r="DW147" s="40" t="inlineStr">
        <is>
          <t>CHOOSE RATING</t>
        </is>
      </c>
      <c r="DX147" s="40" t="inlineStr">
        <is>
          <t>CHOOSE RATING</t>
        </is>
      </c>
      <c r="DY147" s="40" t="inlineStr">
        <is>
          <t>CHOOSE RATING</t>
        </is>
      </c>
      <c r="DZ147" s="53" t="inlineStr">
        <is>
          <t>CHOOSE RATING</t>
        </is>
      </c>
      <c r="EA147" s="54" t="inlineStr">
        <is>
          <t>Add the Tutor's Comment . . .</t>
        </is>
      </c>
      <c r="EB147" s="55" t="inlineStr">
        <is>
          <t>Choose Principals comment</t>
        </is>
      </c>
      <c r="EC147" s="56" t="n"/>
      <c r="ED147" s="57" t="inlineStr">
        <is>
          <t>Next Term Begins on Monday, 22nd September, 2025</t>
        </is>
      </c>
    </row>
    <row r="148" ht="30.6" customHeight="1" s="6">
      <c r="A148" s="18" t="n">
        <v>145</v>
      </c>
      <c r="B148" s="19" t="n"/>
      <c r="C148" s="20" t="n"/>
      <c r="D148" s="128" t="n"/>
      <c r="E148" s="21" t="n"/>
      <c r="F148" s="22" t="n"/>
      <c r="G148" s="22" t="n"/>
      <c r="H148" s="22" t="n"/>
      <c r="I148" s="26">
        <f>G148-H148</f>
        <v/>
      </c>
      <c r="J148" s="21" t="n"/>
      <c r="K148" s="21" t="n"/>
      <c r="L148" s="27">
        <f>SUM(J148:K148)</f>
        <v/>
      </c>
      <c r="M148" s="28" t="n"/>
      <c r="N148" s="28" t="n"/>
      <c r="O148" s="29">
        <f>IF(AND(L148=0,M148=0,N148=0),0,IF(AND(L148=0,M148=0),N148/1,IF(AND(L148=0,N148=0),M148/1,IF(AND(M148=0,N148=0),L148/1,IF(L148=0,FLOOR((M148+N148)/2,0.1),IF(M148=0,(L148+N148)/2,IF(N148=0,(M148+L148)/2,FLOOR(((L148+M148+N148)/3),0.1))))))))</f>
        <v/>
      </c>
      <c r="P148" s="21" t="n"/>
      <c r="Q148" s="21" t="n"/>
      <c r="R148" s="27">
        <f>SUM(P148:Q148)</f>
        <v/>
      </c>
      <c r="S148" s="28" t="n"/>
      <c r="T148" s="28" t="n"/>
      <c r="U148" s="29">
        <f>IF(AND(R148=0,S148=0,T148=0),0,IF(AND(R148=0,S148=0),T148/1,IF(AND(R148=0,T148=0),S148/1,IF(AND(S148=0,T148=0),R148/1,IF(R148=0,FLOOR((S148+T148)/2,0.1),IF(S148=0,(R148+T148)/2,IF(T148=0,(S148+R148)/2,FLOOR(((R148+S148+T148)/3),0.1))))))))</f>
        <v/>
      </c>
      <c r="V148" s="21" t="n"/>
      <c r="W148" s="21" t="n"/>
      <c r="X148" s="27">
        <f>SUM(V148:W148)</f>
        <v/>
      </c>
      <c r="Y148" s="28" t="n"/>
      <c r="Z148" s="28" t="n"/>
      <c r="AA148" s="29">
        <f>IF(AND(X148=0,Y148=0,Z148=0),0,IF(AND(X148=0,Y148=0),Z148/1,IF(AND(X148=0,Z148=0),Y148/1,IF(AND(Y148=0,Z148=0),X148/1,IF(X148=0,FLOOR((Y148+Z148)/2,0.1),IF(Y148=0,(X148+Z148)/2,IF(Z148=0,(Y148+X148)/2,FLOOR(((X148+Y148+Z148)/3),0.1))))))))</f>
        <v/>
      </c>
      <c r="AB148" s="21" t="n"/>
      <c r="AC148" s="21" t="n"/>
      <c r="AD148" s="27">
        <f>SUM(AB148:AC148)</f>
        <v/>
      </c>
      <c r="AE148" s="28" t="n"/>
      <c r="AF148" s="28" t="n"/>
      <c r="AG148" s="29">
        <f>IF(AND(AD148=0,AE148=0,AF148=0),0,IF(AND(AD148=0,AE148=0),AF148/1,IF(AND(AD148=0,AF148=0),AE148/1,IF(AND(AE148=0,AF148=0),AD148/1,IF(AD148=0,FLOOR((AE148+AF148)/2,0.1),IF(AE148=0,(AD148+AF148)/2,IF(AF148=0,(AE148+AD148)/2,FLOOR(((AD148+AE148+AF148)/3),0.1))))))))</f>
        <v/>
      </c>
      <c r="AH148" s="21" t="n"/>
      <c r="AI148" s="21" t="n"/>
      <c r="AJ148" s="27">
        <f>SUM(AH148:AI148)</f>
        <v/>
      </c>
      <c r="AK148" s="28" t="n"/>
      <c r="AL148" s="28" t="n"/>
      <c r="AM148" s="29">
        <f>IF(AND(AJ148=0,AK148=0,AL148=0),0,IF(AND(AJ148=0,AK148=0),AL148/1,IF(AND(AJ148=0,AL148=0),AK148/1,IF(AND(AK148=0,AL148=0),AJ148/1,IF(AJ148=0,FLOOR((AK148+AL148)/2,0.1),IF(AK148=0,(AJ148+AL148)/2,IF(AL148=0,(AK148+AJ148)/2,FLOOR(((AJ148+AK148+AL148)/3),0.1))))))))</f>
        <v/>
      </c>
      <c r="AN148" s="21" t="n"/>
      <c r="AO148" s="21" t="n"/>
      <c r="AP148" s="27">
        <f>SUM(AN148:AO148)</f>
        <v/>
      </c>
      <c r="AQ148" s="28" t="n"/>
      <c r="AR148" s="30" t="n"/>
      <c r="AS148" s="29">
        <f>IF(AND(AP148=0,AQ148=0,AR148=0),0,IF(AND(AP148=0,AQ148=0),AR148/1,IF(AND(AP148=0,AR148=0),AQ148/1,IF(AND(AQ148=0,AR148=0),AP148/1,IF(AP148=0,FLOOR((AQ148+AR148)/2,0.1),IF(AQ148=0,(AP148+AR148)/2,IF(AR148=0,(AQ148+AP148)/2,FLOOR(((AP148+AQ148+AR148)/3),0.1))))))))</f>
        <v/>
      </c>
      <c r="AT148" s="21" t="n"/>
      <c r="AU148" s="21" t="n"/>
      <c r="AV148" s="27">
        <f>SUM(AT148:AU148)</f>
        <v/>
      </c>
      <c r="AW148" s="28" t="n"/>
      <c r="AX148" s="30" t="n"/>
      <c r="AY148" s="29">
        <f>IF(AND(AV148=0,AW148=0,AX148=0),0,IF(AND(AV148=0,AW148=0),AX148/1,IF(AND(AV148=0,AX148=0),AW148/1,IF(AND(AW148=0,AX148=0),AV148/1,IF(AV148=0,FLOOR((AW148+AX148)/2,0.1),IF(AW148=0,(AV148+AX148)/2,IF(AX148=0,(AW148+AV148)/2,FLOOR(((AV148+AW148+AX148)/3),0.1))))))))</f>
        <v/>
      </c>
      <c r="AZ148" s="21" t="n"/>
      <c r="BA148" s="21" t="n"/>
      <c r="BB148" s="27">
        <f>SUM(AZ148:BA148)</f>
        <v/>
      </c>
      <c r="BC148" s="28" t="n"/>
      <c r="BD148" s="28" t="n"/>
      <c r="BE148" s="29">
        <f>IF(AND(BB148=0,BC148=0,BD148=0),0,IF(AND(BB148=0,BC148=0),BD148/1,IF(AND(BB148=0,BD148=0),BC148/1,IF(AND(BC148=0,BD148=0),BB148/1,IF(BB148=0,FLOOR((BC148+BD148)/2,0.1),IF(BC148=0,(BB148+BD148)/2,IF(BD148=0,(BC148+BB148)/2,FLOOR(((BB148+BC148+BD148)/3),0.1))))))))</f>
        <v/>
      </c>
      <c r="BF148" s="21" t="n"/>
      <c r="BG148" s="21" t="n"/>
      <c r="BH148" s="27">
        <f>SUM(BF148:BG148)</f>
        <v/>
      </c>
      <c r="BI148" s="28" t="n"/>
      <c r="BJ148" s="28" t="n"/>
      <c r="BK148" s="29">
        <f>IF(AND(BH148=0,BI148=0,BJ148=0),0,IF(AND(BH148=0,BI148=0),BJ148/1,IF(AND(BH148=0,BJ148=0),BI148/1,IF(AND(BI148=0,BJ148=0),BH148/1,IF(BH148=0,FLOOR((BI148+BJ148)/2,0.1),IF(BI148=0,(BH148+BJ148)/2,IF(BJ148=0,(BI148+BH148)/2,FLOOR(((BH148+BI148+BJ148)/3),0.1))))))))</f>
        <v/>
      </c>
      <c r="BL148" s="21" t="n"/>
      <c r="BM148" s="21" t="n"/>
      <c r="BN148" s="27">
        <f>SUM(BL148:BM148)</f>
        <v/>
      </c>
      <c r="BO148" s="28" t="n"/>
      <c r="BP148" s="31" t="n"/>
      <c r="BQ148" s="29">
        <f>IF(AND(BN148=0,BO148=0,BP148=0),0,IF(AND(BN148=0,BO148=0),BP148/1,IF(AND(BN148=0,BP148=0),BO148/1,IF(AND(BO148=0,BP148=0),BN148/1,IF(BN148=0,FLOOR((BO148+BP148)/2,0.1),IF(BO148=0,(BN148+BP148)/2,IF(BP148=0,(BO148+BN148)/2,FLOOR(((BN148+BO148+BP148)/3),0.1))))))))</f>
        <v/>
      </c>
      <c r="BR148" s="21" t="n"/>
      <c r="BS148" s="21" t="n"/>
      <c r="BT148" s="27">
        <f>SUM(BR148:BS148)</f>
        <v/>
      </c>
      <c r="BU148" s="28" t="n"/>
      <c r="BV148" s="31" t="n"/>
      <c r="BW148" s="29">
        <f>IF(AND(BT148=0,BU148=0,BV148=0),0,IF(AND(BT148=0,BU148=0),BV148/1,IF(AND(BT148=0,BV148=0),BU148/1,IF(AND(BU148=0,BV148=0),BT148/1,IF(BT148=0,FLOOR((BU148+BV148)/2,0.1),IF(BU148=0,(BT148+BV148)/2,IF(BV148=0,(BU148+BT148)/2,FLOOR(((BT148+BU148+BV148)/3),0.1))))))))</f>
        <v/>
      </c>
      <c r="BX148" s="21" t="n"/>
      <c r="BY148" s="21" t="n"/>
      <c r="BZ148" s="27">
        <f>SUM(BX148:BY148)</f>
        <v/>
      </c>
      <c r="CA148" s="28" t="n"/>
      <c r="CB148" s="31" t="n"/>
      <c r="CC148" s="29">
        <f>IF(AND(BZ148=0,CA148=0,CB148=0),0,IF(AND(BZ148=0,CA148=0),CB148/1,IF(AND(BZ148=0,CB148=0),CA148/1,IF(AND(CA148=0,CB148=0),BZ148/1,IF(BZ148=0,FLOOR((CA148+CB148)/2,0.1),IF(CA148=0,(BZ148+CB148)/2,IF(CB148=0,(CA148+BZ148)/2,FLOOR(((BZ148+CA148+CB148)/3),0.1))))))))</f>
        <v/>
      </c>
      <c r="CD148" s="21" t="n"/>
      <c r="CE148" s="21" t="n"/>
      <c r="CF148" s="27">
        <f>SUM(CD148:CE148)</f>
        <v/>
      </c>
      <c r="CG148" s="28" t="n"/>
      <c r="CH148" s="31" t="n"/>
      <c r="CI148" s="29">
        <f>IF(AND(CF148=0,CG148=0,CH148=0),0,IF(AND(CF148=0,CG148=0),CH148/1,IF(AND(CF148=0,CH148=0),CG148/1,IF(AND(CG148=0,CH148=0),CF148/1,IF(CF148=0,FLOOR((CG148+CH148)/2,0.1),IF(CG148=0,(CF148+CH148)/2,IF(CH148=0,(CG148+CF148)/2,FLOOR(((CF148+CG148+CH148)/3),0.1))))))))</f>
        <v/>
      </c>
      <c r="CJ148" s="21" t="n"/>
      <c r="CK148" s="21" t="n"/>
      <c r="CL148" s="27">
        <f>SUM(CJ148:CK148)</f>
        <v/>
      </c>
      <c r="CM148" s="28" t="n"/>
      <c r="CN148" s="31" t="n"/>
      <c r="CO148" s="29">
        <f>IF(AND(CL148=0,CM148=0,CN148=0),0,IF(AND(CL148=0,CM148=0),CN148/1,IF(AND(CL148=0,CN148=0),CM148/1,IF(AND(CM148=0,CN148=0),CL148/1,IF(CL148=0,FLOOR((CM148+CN148)/2,0.1),IF(CM148=0,(CL148+CN148)/2,IF(CN148=0,(CM148+CL148)/2,FLOOR(((CL148+CM148+CN148)/3),0.1))))))))</f>
        <v/>
      </c>
      <c r="CP148" s="21" t="n"/>
      <c r="CQ148" s="21" t="n"/>
      <c r="CR148" s="27">
        <f>SUM(CP148:CQ148)</f>
        <v/>
      </c>
      <c r="CS148" s="28" t="n"/>
      <c r="CT148" s="31" t="n"/>
      <c r="CU148" s="29">
        <f>IF(AND(CR148=0,CS148=0,CT148=0),0,IF(AND(CR148=0,CS148=0),CT148/1,IF(AND(CR148=0,CT148=0),CS148/1,IF(AND(CS148=0,CT148=0),CR148/1,IF(CR148=0,FLOOR((CS148+CT148)/2,0.1),IF(CS148=0,(CR148+CT148)/2,IF(CT148=0,(CS148+CR148)/2,FLOOR(((CR148+CS148+CT148)/3),0.1))))))))</f>
        <v/>
      </c>
      <c r="CV148" s="21" t="n"/>
      <c r="CW148" s="21" t="n"/>
      <c r="CX148" s="27">
        <f>SUM(CV148:CW148)</f>
        <v/>
      </c>
      <c r="CY148" s="28" t="n"/>
      <c r="CZ148" s="31" t="n"/>
      <c r="DA148" s="29">
        <f>IF(AND(CX148=0,CY148=0,CZ148=0),0,IF(AND(CX148=0,CY148=0),CZ148/1,IF(AND(CX148=0,CZ148=0),CY148/1,IF(AND(CY148=0,CZ148=0),CX148/1,IF(CX148=0,FLOOR((CY148+CZ148)/2,0.1),IF(CY148=0,(CX148+CZ148)/2,IF(CZ148=0,(CY148+CX148)/2,FLOOR(((CX148+CY148+CZ148)/3),0.1))))))))</f>
        <v/>
      </c>
      <c r="DB148" s="21" t="n"/>
      <c r="DC148" s="21" t="n"/>
      <c r="DD148" s="27">
        <f>SUM(DB148:DC148)</f>
        <v/>
      </c>
      <c r="DE148" s="28" t="n"/>
      <c r="DF148" s="31" t="n"/>
      <c r="DG148" s="29">
        <f>IF(AND(DD148=0,DE148=0,DF148=0),0,IF(AND(DD148=0,DE148=0),DF148/1,IF(AND(DD148=0,DF148=0),DE148/1,IF(AND(DE148=0,DF148=0),DD148/1,IF(DD148=0,FLOOR((DE148+DF148)/2,0.1),IF(DE148=0,(DD148+DF148)/2,IF(DF148=0,(DE148+DD148)/2,FLOOR(((DD148+DE148+DF148)/3),0.1))))))))</f>
        <v/>
      </c>
      <c r="DH148" s="34">
        <f>SUM(O148,U148,AA148,AG148,AM148,AS148,AY148,BE148,BK148,BQ148,BW148,CC148,CI148,CO148,CU148,DA148,DG148)</f>
        <v/>
      </c>
      <c r="DI148" s="39">
        <f>RANK(DH148,DH$4:DH$503)</f>
        <v/>
      </c>
      <c r="DJ148" s="40" t="inlineStr">
        <is>
          <t>CHOOSE RATING</t>
        </is>
      </c>
      <c r="DK148" s="40" t="inlineStr">
        <is>
          <t>CHOOSE RATING</t>
        </is>
      </c>
      <c r="DL148" s="40" t="inlineStr">
        <is>
          <t>CHOOSE RATING</t>
        </is>
      </c>
      <c r="DM148" s="40" t="inlineStr">
        <is>
          <t>CHOOSE RATING</t>
        </is>
      </c>
      <c r="DN148" s="40" t="inlineStr">
        <is>
          <t>CHOOSE RATING</t>
        </is>
      </c>
      <c r="DO148" s="40" t="inlineStr">
        <is>
          <t>CHOOSE RATING</t>
        </is>
      </c>
      <c r="DP148" s="40" t="inlineStr">
        <is>
          <t>CHOOSE RATING</t>
        </is>
      </c>
      <c r="DQ148" s="40" t="inlineStr">
        <is>
          <t>CHOOSE RATING</t>
        </is>
      </c>
      <c r="DR148" s="43" t="inlineStr">
        <is>
          <t>2024/2025</t>
        </is>
      </c>
      <c r="DS148" s="45" t="inlineStr">
        <is>
          <t>THIRD</t>
        </is>
      </c>
      <c r="DT148" s="40" t="inlineStr">
        <is>
          <t>CHOOSE RATING</t>
        </is>
      </c>
      <c r="DU148" s="40" t="inlineStr">
        <is>
          <t>CHOOSE RATING</t>
        </is>
      </c>
      <c r="DV148" s="40" t="inlineStr">
        <is>
          <t>CHOOSE RATING</t>
        </is>
      </c>
      <c r="DW148" s="40" t="inlineStr">
        <is>
          <t>CHOOSE RATING</t>
        </is>
      </c>
      <c r="DX148" s="40" t="inlineStr">
        <is>
          <t>CHOOSE RATING</t>
        </is>
      </c>
      <c r="DY148" s="40" t="inlineStr">
        <is>
          <t>CHOOSE RATING</t>
        </is>
      </c>
      <c r="DZ148" s="53" t="inlineStr">
        <is>
          <t>CHOOSE RATING</t>
        </is>
      </c>
      <c r="EA148" s="54" t="inlineStr">
        <is>
          <t>Add the Tutor's Comment . . .</t>
        </is>
      </c>
      <c r="EB148" s="55" t="inlineStr">
        <is>
          <t>Choose Principals comment</t>
        </is>
      </c>
      <c r="EC148" s="56" t="n"/>
      <c r="ED148" s="57" t="inlineStr">
        <is>
          <t>Next Term Begins on Monday, 22nd September, 2025</t>
        </is>
      </c>
    </row>
    <row r="149" ht="30.6" customHeight="1" s="6">
      <c r="A149" s="18" t="n">
        <v>146</v>
      </c>
      <c r="B149" s="19" t="n"/>
      <c r="C149" s="20" t="n"/>
      <c r="D149" s="128" t="n"/>
      <c r="E149" s="21" t="n"/>
      <c r="F149" s="22" t="n"/>
      <c r="G149" s="22" t="n"/>
      <c r="H149" s="22" t="n"/>
      <c r="I149" s="26">
        <f>G149-H149</f>
        <v/>
      </c>
      <c r="J149" s="21" t="n"/>
      <c r="K149" s="21" t="n"/>
      <c r="L149" s="27">
        <f>SUM(J149:K149)</f>
        <v/>
      </c>
      <c r="M149" s="28" t="n"/>
      <c r="N149" s="28" t="n"/>
      <c r="O149" s="29">
        <f>IF(AND(L149=0,M149=0,N149=0),0,IF(AND(L149=0,M149=0),N149/1,IF(AND(L149=0,N149=0),M149/1,IF(AND(M149=0,N149=0),L149/1,IF(L149=0,FLOOR((M149+N149)/2,0.1),IF(M149=0,(L149+N149)/2,IF(N149=0,(M149+L149)/2,FLOOR(((L149+M149+N149)/3),0.1))))))))</f>
        <v/>
      </c>
      <c r="P149" s="21" t="n"/>
      <c r="Q149" s="21" t="n"/>
      <c r="R149" s="27">
        <f>SUM(P149:Q149)</f>
        <v/>
      </c>
      <c r="S149" s="28" t="n"/>
      <c r="T149" s="28" t="n"/>
      <c r="U149" s="29">
        <f>IF(AND(R149=0,S149=0,T149=0),0,IF(AND(R149=0,S149=0),T149/1,IF(AND(R149=0,T149=0),S149/1,IF(AND(S149=0,T149=0),R149/1,IF(R149=0,FLOOR((S149+T149)/2,0.1),IF(S149=0,(R149+T149)/2,IF(T149=0,(S149+R149)/2,FLOOR(((R149+S149+T149)/3),0.1))))))))</f>
        <v/>
      </c>
      <c r="V149" s="21" t="n"/>
      <c r="W149" s="21" t="n"/>
      <c r="X149" s="27">
        <f>SUM(V149:W149)</f>
        <v/>
      </c>
      <c r="Y149" s="28" t="n"/>
      <c r="Z149" s="28" t="n"/>
      <c r="AA149" s="29">
        <f>IF(AND(X149=0,Y149=0,Z149=0),0,IF(AND(X149=0,Y149=0),Z149/1,IF(AND(X149=0,Z149=0),Y149/1,IF(AND(Y149=0,Z149=0),X149/1,IF(X149=0,FLOOR((Y149+Z149)/2,0.1),IF(Y149=0,(X149+Z149)/2,IF(Z149=0,(Y149+X149)/2,FLOOR(((X149+Y149+Z149)/3),0.1))))))))</f>
        <v/>
      </c>
      <c r="AB149" s="21" t="n"/>
      <c r="AC149" s="21" t="n"/>
      <c r="AD149" s="27">
        <f>SUM(AB149:AC149)</f>
        <v/>
      </c>
      <c r="AE149" s="28" t="n"/>
      <c r="AF149" s="28" t="n"/>
      <c r="AG149" s="29">
        <f>IF(AND(AD149=0,AE149=0,AF149=0),0,IF(AND(AD149=0,AE149=0),AF149/1,IF(AND(AD149=0,AF149=0),AE149/1,IF(AND(AE149=0,AF149=0),AD149/1,IF(AD149=0,FLOOR((AE149+AF149)/2,0.1),IF(AE149=0,(AD149+AF149)/2,IF(AF149=0,(AE149+AD149)/2,FLOOR(((AD149+AE149+AF149)/3),0.1))))))))</f>
        <v/>
      </c>
      <c r="AH149" s="21" t="n"/>
      <c r="AI149" s="21" t="n"/>
      <c r="AJ149" s="27">
        <f>SUM(AH149:AI149)</f>
        <v/>
      </c>
      <c r="AK149" s="28" t="n"/>
      <c r="AL149" s="28" t="n"/>
      <c r="AM149" s="29">
        <f>IF(AND(AJ149=0,AK149=0,AL149=0),0,IF(AND(AJ149=0,AK149=0),AL149/1,IF(AND(AJ149=0,AL149=0),AK149/1,IF(AND(AK149=0,AL149=0),AJ149/1,IF(AJ149=0,FLOOR((AK149+AL149)/2,0.1),IF(AK149=0,(AJ149+AL149)/2,IF(AL149=0,(AK149+AJ149)/2,FLOOR(((AJ149+AK149+AL149)/3),0.1))))))))</f>
        <v/>
      </c>
      <c r="AN149" s="21" t="n"/>
      <c r="AO149" s="21" t="n"/>
      <c r="AP149" s="27">
        <f>SUM(AN149:AO149)</f>
        <v/>
      </c>
      <c r="AQ149" s="28" t="n"/>
      <c r="AR149" s="30" t="n"/>
      <c r="AS149" s="29">
        <f>IF(AND(AP149=0,AQ149=0,AR149=0),0,IF(AND(AP149=0,AQ149=0),AR149/1,IF(AND(AP149=0,AR149=0),AQ149/1,IF(AND(AQ149=0,AR149=0),AP149/1,IF(AP149=0,FLOOR((AQ149+AR149)/2,0.1),IF(AQ149=0,(AP149+AR149)/2,IF(AR149=0,(AQ149+AP149)/2,FLOOR(((AP149+AQ149+AR149)/3),0.1))))))))</f>
        <v/>
      </c>
      <c r="AT149" s="21" t="n"/>
      <c r="AU149" s="21" t="n"/>
      <c r="AV149" s="27">
        <f>SUM(AT149:AU149)</f>
        <v/>
      </c>
      <c r="AW149" s="28" t="n"/>
      <c r="AX149" s="30" t="n"/>
      <c r="AY149" s="29">
        <f>IF(AND(AV149=0,AW149=0,AX149=0),0,IF(AND(AV149=0,AW149=0),AX149/1,IF(AND(AV149=0,AX149=0),AW149/1,IF(AND(AW149=0,AX149=0),AV149/1,IF(AV149=0,FLOOR((AW149+AX149)/2,0.1),IF(AW149=0,(AV149+AX149)/2,IF(AX149=0,(AW149+AV149)/2,FLOOR(((AV149+AW149+AX149)/3),0.1))))))))</f>
        <v/>
      </c>
      <c r="AZ149" s="21" t="n"/>
      <c r="BA149" s="21" t="n"/>
      <c r="BB149" s="27">
        <f>SUM(AZ149:BA149)</f>
        <v/>
      </c>
      <c r="BC149" s="28" t="n"/>
      <c r="BD149" s="28" t="n"/>
      <c r="BE149" s="29">
        <f>IF(AND(BB149=0,BC149=0,BD149=0),0,IF(AND(BB149=0,BC149=0),BD149/1,IF(AND(BB149=0,BD149=0),BC149/1,IF(AND(BC149=0,BD149=0),BB149/1,IF(BB149=0,FLOOR((BC149+BD149)/2,0.1),IF(BC149=0,(BB149+BD149)/2,IF(BD149=0,(BC149+BB149)/2,FLOOR(((BB149+BC149+BD149)/3),0.1))))))))</f>
        <v/>
      </c>
      <c r="BF149" s="21" t="n"/>
      <c r="BG149" s="21" t="n"/>
      <c r="BH149" s="27">
        <f>SUM(BF149:BG149)</f>
        <v/>
      </c>
      <c r="BI149" s="28" t="n"/>
      <c r="BJ149" s="28" t="n"/>
      <c r="BK149" s="29">
        <f>IF(AND(BH149=0,BI149=0,BJ149=0),0,IF(AND(BH149=0,BI149=0),BJ149/1,IF(AND(BH149=0,BJ149=0),BI149/1,IF(AND(BI149=0,BJ149=0),BH149/1,IF(BH149=0,FLOOR((BI149+BJ149)/2,0.1),IF(BI149=0,(BH149+BJ149)/2,IF(BJ149=0,(BI149+BH149)/2,FLOOR(((BH149+BI149+BJ149)/3),0.1))))))))</f>
        <v/>
      </c>
      <c r="BL149" s="21" t="n"/>
      <c r="BM149" s="21" t="n"/>
      <c r="BN149" s="27">
        <f>SUM(BL149:BM149)</f>
        <v/>
      </c>
      <c r="BO149" s="28" t="n"/>
      <c r="BP149" s="31" t="n"/>
      <c r="BQ149" s="29">
        <f>IF(AND(BN149=0,BO149=0,BP149=0),0,IF(AND(BN149=0,BO149=0),BP149/1,IF(AND(BN149=0,BP149=0),BO149/1,IF(AND(BO149=0,BP149=0),BN149/1,IF(BN149=0,FLOOR((BO149+BP149)/2,0.1),IF(BO149=0,(BN149+BP149)/2,IF(BP149=0,(BO149+BN149)/2,FLOOR(((BN149+BO149+BP149)/3),0.1))))))))</f>
        <v/>
      </c>
      <c r="BR149" s="21" t="n"/>
      <c r="BS149" s="21" t="n"/>
      <c r="BT149" s="27">
        <f>SUM(BR149:BS149)</f>
        <v/>
      </c>
      <c r="BU149" s="28" t="n"/>
      <c r="BV149" s="31" t="n"/>
      <c r="BW149" s="29">
        <f>IF(AND(BT149=0,BU149=0,BV149=0),0,IF(AND(BT149=0,BU149=0),BV149/1,IF(AND(BT149=0,BV149=0),BU149/1,IF(AND(BU149=0,BV149=0),BT149/1,IF(BT149=0,FLOOR((BU149+BV149)/2,0.1),IF(BU149=0,(BT149+BV149)/2,IF(BV149=0,(BU149+BT149)/2,FLOOR(((BT149+BU149+BV149)/3),0.1))))))))</f>
        <v/>
      </c>
      <c r="BX149" s="21" t="n"/>
      <c r="BY149" s="21" t="n"/>
      <c r="BZ149" s="27">
        <f>SUM(BX149:BY149)</f>
        <v/>
      </c>
      <c r="CA149" s="28" t="n"/>
      <c r="CB149" s="31" t="n"/>
      <c r="CC149" s="29">
        <f>IF(AND(BZ149=0,CA149=0,CB149=0),0,IF(AND(BZ149=0,CA149=0),CB149/1,IF(AND(BZ149=0,CB149=0),CA149/1,IF(AND(CA149=0,CB149=0),BZ149/1,IF(BZ149=0,FLOOR((CA149+CB149)/2,0.1),IF(CA149=0,(BZ149+CB149)/2,IF(CB149=0,(CA149+BZ149)/2,FLOOR(((BZ149+CA149+CB149)/3),0.1))))))))</f>
        <v/>
      </c>
      <c r="CD149" s="21" t="n"/>
      <c r="CE149" s="21" t="n"/>
      <c r="CF149" s="27">
        <f>SUM(CD149:CE149)</f>
        <v/>
      </c>
      <c r="CG149" s="28" t="n"/>
      <c r="CH149" s="31" t="n"/>
      <c r="CI149" s="29">
        <f>IF(AND(CF149=0,CG149=0,CH149=0),0,IF(AND(CF149=0,CG149=0),CH149/1,IF(AND(CF149=0,CH149=0),CG149/1,IF(AND(CG149=0,CH149=0),CF149/1,IF(CF149=0,FLOOR((CG149+CH149)/2,0.1),IF(CG149=0,(CF149+CH149)/2,IF(CH149=0,(CG149+CF149)/2,FLOOR(((CF149+CG149+CH149)/3),0.1))))))))</f>
        <v/>
      </c>
      <c r="CJ149" s="21" t="n"/>
      <c r="CK149" s="21" t="n"/>
      <c r="CL149" s="27">
        <f>SUM(CJ149:CK149)</f>
        <v/>
      </c>
      <c r="CM149" s="28" t="n"/>
      <c r="CN149" s="31" t="n"/>
      <c r="CO149" s="29">
        <f>IF(AND(CL149=0,CM149=0,CN149=0),0,IF(AND(CL149=0,CM149=0),CN149/1,IF(AND(CL149=0,CN149=0),CM149/1,IF(AND(CM149=0,CN149=0),CL149/1,IF(CL149=0,FLOOR((CM149+CN149)/2,0.1),IF(CM149=0,(CL149+CN149)/2,IF(CN149=0,(CM149+CL149)/2,FLOOR(((CL149+CM149+CN149)/3),0.1))))))))</f>
        <v/>
      </c>
      <c r="CP149" s="21" t="n"/>
      <c r="CQ149" s="21" t="n"/>
      <c r="CR149" s="27">
        <f>SUM(CP149:CQ149)</f>
        <v/>
      </c>
      <c r="CS149" s="28" t="n"/>
      <c r="CT149" s="31" t="n"/>
      <c r="CU149" s="29">
        <f>IF(AND(CR149=0,CS149=0,CT149=0),0,IF(AND(CR149=0,CS149=0),CT149/1,IF(AND(CR149=0,CT149=0),CS149/1,IF(AND(CS149=0,CT149=0),CR149/1,IF(CR149=0,FLOOR((CS149+CT149)/2,0.1),IF(CS149=0,(CR149+CT149)/2,IF(CT149=0,(CS149+CR149)/2,FLOOR(((CR149+CS149+CT149)/3),0.1))))))))</f>
        <v/>
      </c>
      <c r="CV149" s="21" t="n"/>
      <c r="CW149" s="21" t="n"/>
      <c r="CX149" s="27">
        <f>SUM(CV149:CW149)</f>
        <v/>
      </c>
      <c r="CY149" s="28" t="n"/>
      <c r="CZ149" s="31" t="n"/>
      <c r="DA149" s="29">
        <f>IF(AND(CX149=0,CY149=0,CZ149=0),0,IF(AND(CX149=0,CY149=0),CZ149/1,IF(AND(CX149=0,CZ149=0),CY149/1,IF(AND(CY149=0,CZ149=0),CX149/1,IF(CX149=0,FLOOR((CY149+CZ149)/2,0.1),IF(CY149=0,(CX149+CZ149)/2,IF(CZ149=0,(CY149+CX149)/2,FLOOR(((CX149+CY149+CZ149)/3),0.1))))))))</f>
        <v/>
      </c>
      <c r="DB149" s="21" t="n"/>
      <c r="DC149" s="21" t="n"/>
      <c r="DD149" s="27">
        <f>SUM(DB149:DC149)</f>
        <v/>
      </c>
      <c r="DE149" s="28" t="n"/>
      <c r="DF149" s="31" t="n"/>
      <c r="DG149" s="29">
        <f>IF(AND(DD149=0,DE149=0,DF149=0),0,IF(AND(DD149=0,DE149=0),DF149/1,IF(AND(DD149=0,DF149=0),DE149/1,IF(AND(DE149=0,DF149=0),DD149/1,IF(DD149=0,FLOOR((DE149+DF149)/2,0.1),IF(DE149=0,(DD149+DF149)/2,IF(DF149=0,(DE149+DD149)/2,FLOOR(((DD149+DE149+DF149)/3),0.1))))))))</f>
        <v/>
      </c>
      <c r="DH149" s="34">
        <f>SUM(O149,U149,AA149,AG149,AM149,AS149,AY149,BE149,BK149,BQ149,BW149,CC149,CI149,CO149,CU149,DA149,DG149)</f>
        <v/>
      </c>
      <c r="DI149" s="39">
        <f>RANK(DH149,DH$4:DH$503)</f>
        <v/>
      </c>
      <c r="DJ149" s="40" t="inlineStr">
        <is>
          <t>CHOOSE RATING</t>
        </is>
      </c>
      <c r="DK149" s="40" t="inlineStr">
        <is>
          <t>CHOOSE RATING</t>
        </is>
      </c>
      <c r="DL149" s="40" t="inlineStr">
        <is>
          <t>CHOOSE RATING</t>
        </is>
      </c>
      <c r="DM149" s="40" t="inlineStr">
        <is>
          <t>CHOOSE RATING</t>
        </is>
      </c>
      <c r="DN149" s="40" t="inlineStr">
        <is>
          <t>CHOOSE RATING</t>
        </is>
      </c>
      <c r="DO149" s="40" t="inlineStr">
        <is>
          <t>CHOOSE RATING</t>
        </is>
      </c>
      <c r="DP149" s="40" t="inlineStr">
        <is>
          <t>CHOOSE RATING</t>
        </is>
      </c>
      <c r="DQ149" s="40" t="inlineStr">
        <is>
          <t>CHOOSE RATING</t>
        </is>
      </c>
      <c r="DR149" s="43" t="inlineStr">
        <is>
          <t>2024/2025</t>
        </is>
      </c>
      <c r="DS149" s="45" t="inlineStr">
        <is>
          <t>THIRD</t>
        </is>
      </c>
      <c r="DT149" s="40" t="inlineStr">
        <is>
          <t>CHOOSE RATING</t>
        </is>
      </c>
      <c r="DU149" s="40" t="inlineStr">
        <is>
          <t>CHOOSE RATING</t>
        </is>
      </c>
      <c r="DV149" s="40" t="inlineStr">
        <is>
          <t>CHOOSE RATING</t>
        </is>
      </c>
      <c r="DW149" s="40" t="inlineStr">
        <is>
          <t>CHOOSE RATING</t>
        </is>
      </c>
      <c r="DX149" s="40" t="inlineStr">
        <is>
          <t>CHOOSE RATING</t>
        </is>
      </c>
      <c r="DY149" s="40" t="inlineStr">
        <is>
          <t>CHOOSE RATING</t>
        </is>
      </c>
      <c r="DZ149" s="53" t="inlineStr">
        <is>
          <t>CHOOSE RATING</t>
        </is>
      </c>
      <c r="EA149" s="54" t="inlineStr">
        <is>
          <t>Add the Tutor's Comment . . .</t>
        </is>
      </c>
      <c r="EB149" s="55" t="inlineStr">
        <is>
          <t>Choose Principals comment</t>
        </is>
      </c>
      <c r="EC149" s="56" t="n"/>
      <c r="ED149" s="57" t="inlineStr">
        <is>
          <t>Next Term Begins on Monday, 22nd September, 2025</t>
        </is>
      </c>
    </row>
    <row r="150" ht="30.6" customHeight="1" s="6">
      <c r="A150" s="18" t="n">
        <v>147</v>
      </c>
      <c r="B150" s="19" t="n"/>
      <c r="C150" s="20" t="n"/>
      <c r="D150" s="128" t="n"/>
      <c r="E150" s="21" t="n"/>
      <c r="F150" s="22" t="n"/>
      <c r="G150" s="22" t="n"/>
      <c r="H150" s="22" t="n"/>
      <c r="I150" s="26">
        <f>G150-H150</f>
        <v/>
      </c>
      <c r="J150" s="21" t="n"/>
      <c r="K150" s="21" t="n"/>
      <c r="L150" s="27">
        <f>SUM(J150:K150)</f>
        <v/>
      </c>
      <c r="M150" s="28" t="n"/>
      <c r="N150" s="28" t="n"/>
      <c r="O150" s="29">
        <f>IF(AND(L150=0,M150=0,N150=0),0,IF(AND(L150=0,M150=0),N150/1,IF(AND(L150=0,N150=0),M150/1,IF(AND(M150=0,N150=0),L150/1,IF(L150=0,FLOOR((M150+N150)/2,0.1),IF(M150=0,(L150+N150)/2,IF(N150=0,(M150+L150)/2,FLOOR(((L150+M150+N150)/3),0.1))))))))</f>
        <v/>
      </c>
      <c r="P150" s="21" t="n"/>
      <c r="Q150" s="21" t="n"/>
      <c r="R150" s="27">
        <f>SUM(P150:Q150)</f>
        <v/>
      </c>
      <c r="S150" s="28" t="n"/>
      <c r="T150" s="28" t="n"/>
      <c r="U150" s="29">
        <f>IF(AND(R150=0,S150=0,T150=0),0,IF(AND(R150=0,S150=0),T150/1,IF(AND(R150=0,T150=0),S150/1,IF(AND(S150=0,T150=0),R150/1,IF(R150=0,FLOOR((S150+T150)/2,0.1),IF(S150=0,(R150+T150)/2,IF(T150=0,(S150+R150)/2,FLOOR(((R150+S150+T150)/3),0.1))))))))</f>
        <v/>
      </c>
      <c r="V150" s="21" t="n"/>
      <c r="W150" s="21" t="n"/>
      <c r="X150" s="27">
        <f>SUM(V150:W150)</f>
        <v/>
      </c>
      <c r="Y150" s="28" t="n"/>
      <c r="Z150" s="28" t="n"/>
      <c r="AA150" s="29">
        <f>IF(AND(X150=0,Y150=0,Z150=0),0,IF(AND(X150=0,Y150=0),Z150/1,IF(AND(X150=0,Z150=0),Y150/1,IF(AND(Y150=0,Z150=0),X150/1,IF(X150=0,FLOOR((Y150+Z150)/2,0.1),IF(Y150=0,(X150+Z150)/2,IF(Z150=0,(Y150+X150)/2,FLOOR(((X150+Y150+Z150)/3),0.1))))))))</f>
        <v/>
      </c>
      <c r="AB150" s="21" t="n"/>
      <c r="AC150" s="21" t="n"/>
      <c r="AD150" s="27">
        <f>SUM(AB150:AC150)</f>
        <v/>
      </c>
      <c r="AE150" s="28" t="n"/>
      <c r="AF150" s="28" t="n"/>
      <c r="AG150" s="29">
        <f>IF(AND(AD150=0,AE150=0,AF150=0),0,IF(AND(AD150=0,AE150=0),AF150/1,IF(AND(AD150=0,AF150=0),AE150/1,IF(AND(AE150=0,AF150=0),AD150/1,IF(AD150=0,FLOOR((AE150+AF150)/2,0.1),IF(AE150=0,(AD150+AF150)/2,IF(AF150=0,(AE150+AD150)/2,FLOOR(((AD150+AE150+AF150)/3),0.1))))))))</f>
        <v/>
      </c>
      <c r="AH150" s="21" t="n"/>
      <c r="AI150" s="21" t="n"/>
      <c r="AJ150" s="27">
        <f>SUM(AH150:AI150)</f>
        <v/>
      </c>
      <c r="AK150" s="28" t="n"/>
      <c r="AL150" s="28" t="n"/>
      <c r="AM150" s="29">
        <f>IF(AND(AJ150=0,AK150=0,AL150=0),0,IF(AND(AJ150=0,AK150=0),AL150/1,IF(AND(AJ150=0,AL150=0),AK150/1,IF(AND(AK150=0,AL150=0),AJ150/1,IF(AJ150=0,FLOOR((AK150+AL150)/2,0.1),IF(AK150=0,(AJ150+AL150)/2,IF(AL150=0,(AK150+AJ150)/2,FLOOR(((AJ150+AK150+AL150)/3),0.1))))))))</f>
        <v/>
      </c>
      <c r="AN150" s="21" t="n"/>
      <c r="AO150" s="21" t="n"/>
      <c r="AP150" s="27">
        <f>SUM(AN150:AO150)</f>
        <v/>
      </c>
      <c r="AQ150" s="28" t="n"/>
      <c r="AR150" s="30" t="n"/>
      <c r="AS150" s="29">
        <f>IF(AND(AP150=0,AQ150=0,AR150=0),0,IF(AND(AP150=0,AQ150=0),AR150/1,IF(AND(AP150=0,AR150=0),AQ150/1,IF(AND(AQ150=0,AR150=0),AP150/1,IF(AP150=0,FLOOR((AQ150+AR150)/2,0.1),IF(AQ150=0,(AP150+AR150)/2,IF(AR150=0,(AQ150+AP150)/2,FLOOR(((AP150+AQ150+AR150)/3),0.1))))))))</f>
        <v/>
      </c>
      <c r="AT150" s="21" t="n"/>
      <c r="AU150" s="21" t="n"/>
      <c r="AV150" s="27">
        <f>SUM(AT150:AU150)</f>
        <v/>
      </c>
      <c r="AW150" s="28" t="n"/>
      <c r="AX150" s="30" t="n"/>
      <c r="AY150" s="29">
        <f>IF(AND(AV150=0,AW150=0,AX150=0),0,IF(AND(AV150=0,AW150=0),AX150/1,IF(AND(AV150=0,AX150=0),AW150/1,IF(AND(AW150=0,AX150=0),AV150/1,IF(AV150=0,FLOOR((AW150+AX150)/2,0.1),IF(AW150=0,(AV150+AX150)/2,IF(AX150=0,(AW150+AV150)/2,FLOOR(((AV150+AW150+AX150)/3),0.1))))))))</f>
        <v/>
      </c>
      <c r="AZ150" s="21" t="n"/>
      <c r="BA150" s="21" t="n"/>
      <c r="BB150" s="27">
        <f>SUM(AZ150:BA150)</f>
        <v/>
      </c>
      <c r="BC150" s="28" t="n"/>
      <c r="BD150" s="28" t="n"/>
      <c r="BE150" s="29">
        <f>IF(AND(BB150=0,BC150=0,BD150=0),0,IF(AND(BB150=0,BC150=0),BD150/1,IF(AND(BB150=0,BD150=0),BC150/1,IF(AND(BC150=0,BD150=0),BB150/1,IF(BB150=0,FLOOR((BC150+BD150)/2,0.1),IF(BC150=0,(BB150+BD150)/2,IF(BD150=0,(BC150+BB150)/2,FLOOR(((BB150+BC150+BD150)/3),0.1))))))))</f>
        <v/>
      </c>
      <c r="BF150" s="21" t="n"/>
      <c r="BG150" s="21" t="n"/>
      <c r="BH150" s="27">
        <f>SUM(BF150:BG150)</f>
        <v/>
      </c>
      <c r="BI150" s="28" t="n"/>
      <c r="BJ150" s="28" t="n"/>
      <c r="BK150" s="29">
        <f>IF(AND(BH150=0,BI150=0,BJ150=0),0,IF(AND(BH150=0,BI150=0),BJ150/1,IF(AND(BH150=0,BJ150=0),BI150/1,IF(AND(BI150=0,BJ150=0),BH150/1,IF(BH150=0,FLOOR((BI150+BJ150)/2,0.1),IF(BI150=0,(BH150+BJ150)/2,IF(BJ150=0,(BI150+BH150)/2,FLOOR(((BH150+BI150+BJ150)/3),0.1))))))))</f>
        <v/>
      </c>
      <c r="BL150" s="21" t="n"/>
      <c r="BM150" s="21" t="n"/>
      <c r="BN150" s="27">
        <f>SUM(BL150:BM150)</f>
        <v/>
      </c>
      <c r="BO150" s="28" t="n"/>
      <c r="BP150" s="31" t="n"/>
      <c r="BQ150" s="29">
        <f>IF(AND(BN150=0,BO150=0,BP150=0),0,IF(AND(BN150=0,BO150=0),BP150/1,IF(AND(BN150=0,BP150=0),BO150/1,IF(AND(BO150=0,BP150=0),BN150/1,IF(BN150=0,FLOOR((BO150+BP150)/2,0.1),IF(BO150=0,(BN150+BP150)/2,IF(BP150=0,(BO150+BN150)/2,FLOOR(((BN150+BO150+BP150)/3),0.1))))))))</f>
        <v/>
      </c>
      <c r="BR150" s="21" t="n"/>
      <c r="BS150" s="21" t="n"/>
      <c r="BT150" s="27">
        <f>SUM(BR150:BS150)</f>
        <v/>
      </c>
      <c r="BU150" s="28" t="n"/>
      <c r="BV150" s="31" t="n"/>
      <c r="BW150" s="29">
        <f>IF(AND(BT150=0,BU150=0,BV150=0),0,IF(AND(BT150=0,BU150=0),BV150/1,IF(AND(BT150=0,BV150=0),BU150/1,IF(AND(BU150=0,BV150=0),BT150/1,IF(BT150=0,FLOOR((BU150+BV150)/2,0.1),IF(BU150=0,(BT150+BV150)/2,IF(BV150=0,(BU150+BT150)/2,FLOOR(((BT150+BU150+BV150)/3),0.1))))))))</f>
        <v/>
      </c>
      <c r="BX150" s="21" t="n"/>
      <c r="BY150" s="21" t="n"/>
      <c r="BZ150" s="27">
        <f>SUM(BX150:BY150)</f>
        <v/>
      </c>
      <c r="CA150" s="28" t="n"/>
      <c r="CB150" s="31" t="n"/>
      <c r="CC150" s="29">
        <f>IF(AND(BZ150=0,CA150=0,CB150=0),0,IF(AND(BZ150=0,CA150=0),CB150/1,IF(AND(BZ150=0,CB150=0),CA150/1,IF(AND(CA150=0,CB150=0),BZ150/1,IF(BZ150=0,FLOOR((CA150+CB150)/2,0.1),IF(CA150=0,(BZ150+CB150)/2,IF(CB150=0,(CA150+BZ150)/2,FLOOR(((BZ150+CA150+CB150)/3),0.1))))))))</f>
        <v/>
      </c>
      <c r="CD150" s="21" t="n"/>
      <c r="CE150" s="21" t="n"/>
      <c r="CF150" s="27">
        <f>SUM(CD150:CE150)</f>
        <v/>
      </c>
      <c r="CG150" s="28" t="n"/>
      <c r="CH150" s="31" t="n"/>
      <c r="CI150" s="29">
        <f>IF(AND(CF150=0,CG150=0,CH150=0),0,IF(AND(CF150=0,CG150=0),CH150/1,IF(AND(CF150=0,CH150=0),CG150/1,IF(AND(CG150=0,CH150=0),CF150/1,IF(CF150=0,FLOOR((CG150+CH150)/2,0.1),IF(CG150=0,(CF150+CH150)/2,IF(CH150=0,(CG150+CF150)/2,FLOOR(((CF150+CG150+CH150)/3),0.1))))))))</f>
        <v/>
      </c>
      <c r="CJ150" s="21" t="n"/>
      <c r="CK150" s="21" t="n"/>
      <c r="CL150" s="27">
        <f>SUM(CJ150:CK150)</f>
        <v/>
      </c>
      <c r="CM150" s="28" t="n"/>
      <c r="CN150" s="31" t="n"/>
      <c r="CO150" s="29">
        <f>IF(AND(CL150=0,CM150=0,CN150=0),0,IF(AND(CL150=0,CM150=0),CN150/1,IF(AND(CL150=0,CN150=0),CM150/1,IF(AND(CM150=0,CN150=0),CL150/1,IF(CL150=0,FLOOR((CM150+CN150)/2,0.1),IF(CM150=0,(CL150+CN150)/2,IF(CN150=0,(CM150+CL150)/2,FLOOR(((CL150+CM150+CN150)/3),0.1))))))))</f>
        <v/>
      </c>
      <c r="CP150" s="21" t="n"/>
      <c r="CQ150" s="21" t="n"/>
      <c r="CR150" s="27">
        <f>SUM(CP150:CQ150)</f>
        <v/>
      </c>
      <c r="CS150" s="28" t="n"/>
      <c r="CT150" s="31" t="n"/>
      <c r="CU150" s="29">
        <f>IF(AND(CR150=0,CS150=0,CT150=0),0,IF(AND(CR150=0,CS150=0),CT150/1,IF(AND(CR150=0,CT150=0),CS150/1,IF(AND(CS150=0,CT150=0),CR150/1,IF(CR150=0,FLOOR((CS150+CT150)/2,0.1),IF(CS150=0,(CR150+CT150)/2,IF(CT150=0,(CS150+CR150)/2,FLOOR(((CR150+CS150+CT150)/3),0.1))))))))</f>
        <v/>
      </c>
      <c r="CV150" s="21" t="n"/>
      <c r="CW150" s="21" t="n"/>
      <c r="CX150" s="27">
        <f>SUM(CV150:CW150)</f>
        <v/>
      </c>
      <c r="CY150" s="28" t="n"/>
      <c r="CZ150" s="31" t="n"/>
      <c r="DA150" s="29">
        <f>IF(AND(CX150=0,CY150=0,CZ150=0),0,IF(AND(CX150=0,CY150=0),CZ150/1,IF(AND(CX150=0,CZ150=0),CY150/1,IF(AND(CY150=0,CZ150=0),CX150/1,IF(CX150=0,FLOOR((CY150+CZ150)/2,0.1),IF(CY150=0,(CX150+CZ150)/2,IF(CZ150=0,(CY150+CX150)/2,FLOOR(((CX150+CY150+CZ150)/3),0.1))))))))</f>
        <v/>
      </c>
      <c r="DB150" s="21" t="n"/>
      <c r="DC150" s="21" t="n"/>
      <c r="DD150" s="27">
        <f>SUM(DB150:DC150)</f>
        <v/>
      </c>
      <c r="DE150" s="28" t="n"/>
      <c r="DF150" s="31" t="n"/>
      <c r="DG150" s="29">
        <f>IF(AND(DD150=0,DE150=0,DF150=0),0,IF(AND(DD150=0,DE150=0),DF150/1,IF(AND(DD150=0,DF150=0),DE150/1,IF(AND(DE150=0,DF150=0),DD150/1,IF(DD150=0,FLOOR((DE150+DF150)/2,0.1),IF(DE150=0,(DD150+DF150)/2,IF(DF150=0,(DE150+DD150)/2,FLOOR(((DD150+DE150+DF150)/3),0.1))))))))</f>
        <v/>
      </c>
      <c r="DH150" s="34">
        <f>SUM(O150,U150,AA150,AG150,AM150,AS150,AY150,BE150,BK150,BQ150,BW150,CC150,CI150,CO150,CU150,DA150,DG150)</f>
        <v/>
      </c>
      <c r="DI150" s="39">
        <f>RANK(DH150,DH$4:DH$503)</f>
        <v/>
      </c>
      <c r="DJ150" s="40" t="inlineStr">
        <is>
          <t>CHOOSE RATING</t>
        </is>
      </c>
      <c r="DK150" s="40" t="inlineStr">
        <is>
          <t>CHOOSE RATING</t>
        </is>
      </c>
      <c r="DL150" s="40" t="inlineStr">
        <is>
          <t>CHOOSE RATING</t>
        </is>
      </c>
      <c r="DM150" s="40" t="inlineStr">
        <is>
          <t>CHOOSE RATING</t>
        </is>
      </c>
      <c r="DN150" s="40" t="inlineStr">
        <is>
          <t>CHOOSE RATING</t>
        </is>
      </c>
      <c r="DO150" s="40" t="inlineStr">
        <is>
          <t>CHOOSE RATING</t>
        </is>
      </c>
      <c r="DP150" s="40" t="inlineStr">
        <is>
          <t>CHOOSE RATING</t>
        </is>
      </c>
      <c r="DQ150" s="40" t="inlineStr">
        <is>
          <t>CHOOSE RATING</t>
        </is>
      </c>
      <c r="DR150" s="43" t="inlineStr">
        <is>
          <t>2024/2025</t>
        </is>
      </c>
      <c r="DS150" s="45" t="inlineStr">
        <is>
          <t>THIRD</t>
        </is>
      </c>
      <c r="DT150" s="40" t="inlineStr">
        <is>
          <t>CHOOSE RATING</t>
        </is>
      </c>
      <c r="DU150" s="40" t="inlineStr">
        <is>
          <t>CHOOSE RATING</t>
        </is>
      </c>
      <c r="DV150" s="40" t="inlineStr">
        <is>
          <t>CHOOSE RATING</t>
        </is>
      </c>
      <c r="DW150" s="40" t="inlineStr">
        <is>
          <t>CHOOSE RATING</t>
        </is>
      </c>
      <c r="DX150" s="40" t="inlineStr">
        <is>
          <t>CHOOSE RATING</t>
        </is>
      </c>
      <c r="DY150" s="40" t="inlineStr">
        <is>
          <t>CHOOSE RATING</t>
        </is>
      </c>
      <c r="DZ150" s="53" t="inlineStr">
        <is>
          <t>CHOOSE RATING</t>
        </is>
      </c>
      <c r="EA150" s="54" t="inlineStr">
        <is>
          <t>Add the Tutor's Comment . . .</t>
        </is>
      </c>
      <c r="EB150" s="55" t="inlineStr">
        <is>
          <t>Choose Principals comment</t>
        </is>
      </c>
      <c r="EC150" s="56" t="n"/>
      <c r="ED150" s="57" t="inlineStr">
        <is>
          <t>Next Term Begins on Monday, 22nd September, 2025</t>
        </is>
      </c>
    </row>
    <row r="151" ht="30.6" customHeight="1" s="6">
      <c r="A151" s="18" t="n">
        <v>148</v>
      </c>
      <c r="B151" s="19" t="n"/>
      <c r="C151" s="20" t="n"/>
      <c r="D151" s="128" t="n"/>
      <c r="E151" s="21" t="n"/>
      <c r="F151" s="22" t="n"/>
      <c r="G151" s="22" t="n"/>
      <c r="H151" s="22" t="n"/>
      <c r="I151" s="26">
        <f>G151-H151</f>
        <v/>
      </c>
      <c r="J151" s="21" t="n"/>
      <c r="K151" s="21" t="n"/>
      <c r="L151" s="27">
        <f>SUM(J151:K151)</f>
        <v/>
      </c>
      <c r="M151" s="28" t="n"/>
      <c r="N151" s="28" t="n"/>
      <c r="O151" s="29">
        <f>IF(AND(L151=0,M151=0,N151=0),0,IF(AND(L151=0,M151=0),N151/1,IF(AND(L151=0,N151=0),M151/1,IF(AND(M151=0,N151=0),L151/1,IF(L151=0,FLOOR((M151+N151)/2,0.1),IF(M151=0,(L151+N151)/2,IF(N151=0,(M151+L151)/2,FLOOR(((L151+M151+N151)/3),0.1))))))))</f>
        <v/>
      </c>
      <c r="P151" s="21" t="n"/>
      <c r="Q151" s="21" t="n"/>
      <c r="R151" s="27">
        <f>SUM(P151:Q151)</f>
        <v/>
      </c>
      <c r="S151" s="28" t="n"/>
      <c r="T151" s="28" t="n"/>
      <c r="U151" s="29">
        <f>IF(AND(R151=0,S151=0,T151=0),0,IF(AND(R151=0,S151=0),T151/1,IF(AND(R151=0,T151=0),S151/1,IF(AND(S151=0,T151=0),R151/1,IF(R151=0,FLOOR((S151+T151)/2,0.1),IF(S151=0,(R151+T151)/2,IF(T151=0,(S151+R151)/2,FLOOR(((R151+S151+T151)/3),0.1))))))))</f>
        <v/>
      </c>
      <c r="V151" s="21" t="n"/>
      <c r="W151" s="21" t="n"/>
      <c r="X151" s="27">
        <f>SUM(V151:W151)</f>
        <v/>
      </c>
      <c r="Y151" s="28" t="n"/>
      <c r="Z151" s="28" t="n"/>
      <c r="AA151" s="29">
        <f>IF(AND(X151=0,Y151=0,Z151=0),0,IF(AND(X151=0,Y151=0),Z151/1,IF(AND(X151=0,Z151=0),Y151/1,IF(AND(Y151=0,Z151=0),X151/1,IF(X151=0,FLOOR((Y151+Z151)/2,0.1),IF(Y151=0,(X151+Z151)/2,IF(Z151=0,(Y151+X151)/2,FLOOR(((X151+Y151+Z151)/3),0.1))))))))</f>
        <v/>
      </c>
      <c r="AB151" s="21" t="n"/>
      <c r="AC151" s="21" t="n"/>
      <c r="AD151" s="27">
        <f>SUM(AB151:AC151)</f>
        <v/>
      </c>
      <c r="AE151" s="28" t="n"/>
      <c r="AF151" s="28" t="n"/>
      <c r="AG151" s="29">
        <f>IF(AND(AD151=0,AE151=0,AF151=0),0,IF(AND(AD151=0,AE151=0),AF151/1,IF(AND(AD151=0,AF151=0),AE151/1,IF(AND(AE151=0,AF151=0),AD151/1,IF(AD151=0,FLOOR((AE151+AF151)/2,0.1),IF(AE151=0,(AD151+AF151)/2,IF(AF151=0,(AE151+AD151)/2,FLOOR(((AD151+AE151+AF151)/3),0.1))))))))</f>
        <v/>
      </c>
      <c r="AH151" s="21" t="n"/>
      <c r="AI151" s="21" t="n"/>
      <c r="AJ151" s="27">
        <f>SUM(AH151:AI151)</f>
        <v/>
      </c>
      <c r="AK151" s="28" t="n"/>
      <c r="AL151" s="28" t="n"/>
      <c r="AM151" s="29">
        <f>IF(AND(AJ151=0,AK151=0,AL151=0),0,IF(AND(AJ151=0,AK151=0),AL151/1,IF(AND(AJ151=0,AL151=0),AK151/1,IF(AND(AK151=0,AL151=0),AJ151/1,IF(AJ151=0,FLOOR((AK151+AL151)/2,0.1),IF(AK151=0,(AJ151+AL151)/2,IF(AL151=0,(AK151+AJ151)/2,FLOOR(((AJ151+AK151+AL151)/3),0.1))))))))</f>
        <v/>
      </c>
      <c r="AN151" s="21" t="n"/>
      <c r="AO151" s="21" t="n"/>
      <c r="AP151" s="27">
        <f>SUM(AN151:AO151)</f>
        <v/>
      </c>
      <c r="AQ151" s="28" t="n"/>
      <c r="AR151" s="30" t="n"/>
      <c r="AS151" s="29">
        <f>IF(AND(AP151=0,AQ151=0,AR151=0),0,IF(AND(AP151=0,AQ151=0),AR151/1,IF(AND(AP151=0,AR151=0),AQ151/1,IF(AND(AQ151=0,AR151=0),AP151/1,IF(AP151=0,FLOOR((AQ151+AR151)/2,0.1),IF(AQ151=0,(AP151+AR151)/2,IF(AR151=0,(AQ151+AP151)/2,FLOOR(((AP151+AQ151+AR151)/3),0.1))))))))</f>
        <v/>
      </c>
      <c r="AT151" s="21" t="n"/>
      <c r="AU151" s="21" t="n"/>
      <c r="AV151" s="27">
        <f>SUM(AT151:AU151)</f>
        <v/>
      </c>
      <c r="AW151" s="28" t="n"/>
      <c r="AX151" s="30" t="n"/>
      <c r="AY151" s="29">
        <f>IF(AND(AV151=0,AW151=0,AX151=0),0,IF(AND(AV151=0,AW151=0),AX151/1,IF(AND(AV151=0,AX151=0),AW151/1,IF(AND(AW151=0,AX151=0),AV151/1,IF(AV151=0,FLOOR((AW151+AX151)/2,0.1),IF(AW151=0,(AV151+AX151)/2,IF(AX151=0,(AW151+AV151)/2,FLOOR(((AV151+AW151+AX151)/3),0.1))))))))</f>
        <v/>
      </c>
      <c r="AZ151" s="21" t="n"/>
      <c r="BA151" s="21" t="n"/>
      <c r="BB151" s="27">
        <f>SUM(AZ151:BA151)</f>
        <v/>
      </c>
      <c r="BC151" s="28" t="n"/>
      <c r="BD151" s="28" t="n"/>
      <c r="BE151" s="29">
        <f>IF(AND(BB151=0,BC151=0,BD151=0),0,IF(AND(BB151=0,BC151=0),BD151/1,IF(AND(BB151=0,BD151=0),BC151/1,IF(AND(BC151=0,BD151=0),BB151/1,IF(BB151=0,FLOOR((BC151+BD151)/2,0.1),IF(BC151=0,(BB151+BD151)/2,IF(BD151=0,(BC151+BB151)/2,FLOOR(((BB151+BC151+BD151)/3),0.1))))))))</f>
        <v/>
      </c>
      <c r="BF151" s="21" t="n"/>
      <c r="BG151" s="21" t="n"/>
      <c r="BH151" s="27">
        <f>SUM(BF151:BG151)</f>
        <v/>
      </c>
      <c r="BI151" s="28" t="n"/>
      <c r="BJ151" s="28" t="n"/>
      <c r="BK151" s="29">
        <f>IF(AND(BH151=0,BI151=0,BJ151=0),0,IF(AND(BH151=0,BI151=0),BJ151/1,IF(AND(BH151=0,BJ151=0),BI151/1,IF(AND(BI151=0,BJ151=0),BH151/1,IF(BH151=0,FLOOR((BI151+BJ151)/2,0.1),IF(BI151=0,(BH151+BJ151)/2,IF(BJ151=0,(BI151+BH151)/2,FLOOR(((BH151+BI151+BJ151)/3),0.1))))))))</f>
        <v/>
      </c>
      <c r="BL151" s="21" t="n"/>
      <c r="BM151" s="21" t="n"/>
      <c r="BN151" s="27">
        <f>SUM(BL151:BM151)</f>
        <v/>
      </c>
      <c r="BO151" s="28" t="n"/>
      <c r="BP151" s="31" t="n"/>
      <c r="BQ151" s="29">
        <f>IF(AND(BN151=0,BO151=0,BP151=0),0,IF(AND(BN151=0,BO151=0),BP151/1,IF(AND(BN151=0,BP151=0),BO151/1,IF(AND(BO151=0,BP151=0),BN151/1,IF(BN151=0,FLOOR((BO151+BP151)/2,0.1),IF(BO151=0,(BN151+BP151)/2,IF(BP151=0,(BO151+BN151)/2,FLOOR(((BN151+BO151+BP151)/3),0.1))))))))</f>
        <v/>
      </c>
      <c r="BR151" s="21" t="n"/>
      <c r="BS151" s="21" t="n"/>
      <c r="BT151" s="27">
        <f>SUM(BR151:BS151)</f>
        <v/>
      </c>
      <c r="BU151" s="28" t="n"/>
      <c r="BV151" s="31" t="n"/>
      <c r="BW151" s="29">
        <f>IF(AND(BT151=0,BU151=0,BV151=0),0,IF(AND(BT151=0,BU151=0),BV151/1,IF(AND(BT151=0,BV151=0),BU151/1,IF(AND(BU151=0,BV151=0),BT151/1,IF(BT151=0,FLOOR((BU151+BV151)/2,0.1),IF(BU151=0,(BT151+BV151)/2,IF(BV151=0,(BU151+BT151)/2,FLOOR(((BT151+BU151+BV151)/3),0.1))))))))</f>
        <v/>
      </c>
      <c r="BX151" s="21" t="n"/>
      <c r="BY151" s="21" t="n"/>
      <c r="BZ151" s="27">
        <f>SUM(BX151:BY151)</f>
        <v/>
      </c>
      <c r="CA151" s="28" t="n"/>
      <c r="CB151" s="31" t="n"/>
      <c r="CC151" s="29">
        <f>IF(AND(BZ151=0,CA151=0,CB151=0),0,IF(AND(BZ151=0,CA151=0),CB151/1,IF(AND(BZ151=0,CB151=0),CA151/1,IF(AND(CA151=0,CB151=0),BZ151/1,IF(BZ151=0,FLOOR((CA151+CB151)/2,0.1),IF(CA151=0,(BZ151+CB151)/2,IF(CB151=0,(CA151+BZ151)/2,FLOOR(((BZ151+CA151+CB151)/3),0.1))))))))</f>
        <v/>
      </c>
      <c r="CD151" s="21" t="n"/>
      <c r="CE151" s="21" t="n"/>
      <c r="CF151" s="27">
        <f>SUM(CD151:CE151)</f>
        <v/>
      </c>
      <c r="CG151" s="28" t="n"/>
      <c r="CH151" s="31" t="n"/>
      <c r="CI151" s="29">
        <f>IF(AND(CF151=0,CG151=0,CH151=0),0,IF(AND(CF151=0,CG151=0),CH151/1,IF(AND(CF151=0,CH151=0),CG151/1,IF(AND(CG151=0,CH151=0),CF151/1,IF(CF151=0,FLOOR((CG151+CH151)/2,0.1),IF(CG151=0,(CF151+CH151)/2,IF(CH151=0,(CG151+CF151)/2,FLOOR(((CF151+CG151+CH151)/3),0.1))))))))</f>
        <v/>
      </c>
      <c r="CJ151" s="21" t="n"/>
      <c r="CK151" s="21" t="n"/>
      <c r="CL151" s="27">
        <f>SUM(CJ151:CK151)</f>
        <v/>
      </c>
      <c r="CM151" s="28" t="n"/>
      <c r="CN151" s="31" t="n"/>
      <c r="CO151" s="29">
        <f>IF(AND(CL151=0,CM151=0,CN151=0),0,IF(AND(CL151=0,CM151=0),CN151/1,IF(AND(CL151=0,CN151=0),CM151/1,IF(AND(CM151=0,CN151=0),CL151/1,IF(CL151=0,FLOOR((CM151+CN151)/2,0.1),IF(CM151=0,(CL151+CN151)/2,IF(CN151=0,(CM151+CL151)/2,FLOOR(((CL151+CM151+CN151)/3),0.1))))))))</f>
        <v/>
      </c>
      <c r="CP151" s="21" t="n"/>
      <c r="CQ151" s="21" t="n"/>
      <c r="CR151" s="27">
        <f>SUM(CP151:CQ151)</f>
        <v/>
      </c>
      <c r="CS151" s="28" t="n"/>
      <c r="CT151" s="31" t="n"/>
      <c r="CU151" s="29">
        <f>IF(AND(CR151=0,CS151=0,CT151=0),0,IF(AND(CR151=0,CS151=0),CT151/1,IF(AND(CR151=0,CT151=0),CS151/1,IF(AND(CS151=0,CT151=0),CR151/1,IF(CR151=0,FLOOR((CS151+CT151)/2,0.1),IF(CS151=0,(CR151+CT151)/2,IF(CT151=0,(CS151+CR151)/2,FLOOR(((CR151+CS151+CT151)/3),0.1))))))))</f>
        <v/>
      </c>
      <c r="CV151" s="21" t="n"/>
      <c r="CW151" s="21" t="n"/>
      <c r="CX151" s="27">
        <f>SUM(CV151:CW151)</f>
        <v/>
      </c>
      <c r="CY151" s="28" t="n"/>
      <c r="CZ151" s="31" t="n"/>
      <c r="DA151" s="29">
        <f>IF(AND(CX151=0,CY151=0,CZ151=0),0,IF(AND(CX151=0,CY151=0),CZ151/1,IF(AND(CX151=0,CZ151=0),CY151/1,IF(AND(CY151=0,CZ151=0),CX151/1,IF(CX151=0,FLOOR((CY151+CZ151)/2,0.1),IF(CY151=0,(CX151+CZ151)/2,IF(CZ151=0,(CY151+CX151)/2,FLOOR(((CX151+CY151+CZ151)/3),0.1))))))))</f>
        <v/>
      </c>
      <c r="DB151" s="21" t="n"/>
      <c r="DC151" s="21" t="n"/>
      <c r="DD151" s="27">
        <f>SUM(DB151:DC151)</f>
        <v/>
      </c>
      <c r="DE151" s="28" t="n"/>
      <c r="DF151" s="31" t="n"/>
      <c r="DG151" s="29">
        <f>IF(AND(DD151=0,DE151=0,DF151=0),0,IF(AND(DD151=0,DE151=0),DF151/1,IF(AND(DD151=0,DF151=0),DE151/1,IF(AND(DE151=0,DF151=0),DD151/1,IF(DD151=0,FLOOR((DE151+DF151)/2,0.1),IF(DE151=0,(DD151+DF151)/2,IF(DF151=0,(DE151+DD151)/2,FLOOR(((DD151+DE151+DF151)/3),0.1))))))))</f>
        <v/>
      </c>
      <c r="DH151" s="34">
        <f>SUM(O151,U151,AA151,AG151,AM151,AS151,AY151,BE151,BK151,BQ151,BW151,CC151,CI151,CO151,CU151,DA151,DG151)</f>
        <v/>
      </c>
      <c r="DI151" s="39">
        <f>RANK(DH151,DH$4:DH$503)</f>
        <v/>
      </c>
      <c r="DJ151" s="40" t="inlineStr">
        <is>
          <t>CHOOSE RATING</t>
        </is>
      </c>
      <c r="DK151" s="40" t="inlineStr">
        <is>
          <t>CHOOSE RATING</t>
        </is>
      </c>
      <c r="DL151" s="40" t="inlineStr">
        <is>
          <t>CHOOSE RATING</t>
        </is>
      </c>
      <c r="DM151" s="40" t="inlineStr">
        <is>
          <t>CHOOSE RATING</t>
        </is>
      </c>
      <c r="DN151" s="40" t="inlineStr">
        <is>
          <t>CHOOSE RATING</t>
        </is>
      </c>
      <c r="DO151" s="40" t="inlineStr">
        <is>
          <t>CHOOSE RATING</t>
        </is>
      </c>
      <c r="DP151" s="40" t="inlineStr">
        <is>
          <t>CHOOSE RATING</t>
        </is>
      </c>
      <c r="DQ151" s="40" t="inlineStr">
        <is>
          <t>CHOOSE RATING</t>
        </is>
      </c>
      <c r="DR151" s="43" t="inlineStr">
        <is>
          <t>2024/2025</t>
        </is>
      </c>
      <c r="DS151" s="45" t="inlineStr">
        <is>
          <t>THIRD</t>
        </is>
      </c>
      <c r="DT151" s="40" t="inlineStr">
        <is>
          <t>CHOOSE RATING</t>
        </is>
      </c>
      <c r="DU151" s="40" t="inlineStr">
        <is>
          <t>CHOOSE RATING</t>
        </is>
      </c>
      <c r="DV151" s="40" t="inlineStr">
        <is>
          <t>CHOOSE RATING</t>
        </is>
      </c>
      <c r="DW151" s="40" t="inlineStr">
        <is>
          <t>CHOOSE RATING</t>
        </is>
      </c>
      <c r="DX151" s="40" t="inlineStr">
        <is>
          <t>CHOOSE RATING</t>
        </is>
      </c>
      <c r="DY151" s="40" t="inlineStr">
        <is>
          <t>CHOOSE RATING</t>
        </is>
      </c>
      <c r="DZ151" s="53" t="inlineStr">
        <is>
          <t>CHOOSE RATING</t>
        </is>
      </c>
      <c r="EA151" s="54" t="inlineStr">
        <is>
          <t>Add the Tutor's Comment . . .</t>
        </is>
      </c>
      <c r="EB151" s="55" t="inlineStr">
        <is>
          <t>Choose Principals comment</t>
        </is>
      </c>
      <c r="EC151" s="56" t="n"/>
      <c r="ED151" s="57" t="inlineStr">
        <is>
          <t>Next Term Begins on Monday, 22nd September, 2025</t>
        </is>
      </c>
    </row>
    <row r="152" ht="30.6" customHeight="1" s="6">
      <c r="A152" s="18" t="n">
        <v>149</v>
      </c>
      <c r="B152" s="19" t="n"/>
      <c r="C152" s="20" t="n"/>
      <c r="D152" s="128" t="n"/>
      <c r="E152" s="21" t="n"/>
      <c r="F152" s="22" t="n"/>
      <c r="G152" s="22" t="n"/>
      <c r="H152" s="22" t="n"/>
      <c r="I152" s="26">
        <f>G152-H152</f>
        <v/>
      </c>
      <c r="J152" s="21" t="n"/>
      <c r="K152" s="21" t="n"/>
      <c r="L152" s="27">
        <f>SUM(J152:K152)</f>
        <v/>
      </c>
      <c r="M152" s="28" t="n"/>
      <c r="N152" s="28" t="n"/>
      <c r="O152" s="29">
        <f>IF(AND(L152=0,M152=0,N152=0),0,IF(AND(L152=0,M152=0),N152/1,IF(AND(L152=0,N152=0),M152/1,IF(AND(M152=0,N152=0),L152/1,IF(L152=0,FLOOR((M152+N152)/2,0.1),IF(M152=0,(L152+N152)/2,IF(N152=0,(M152+L152)/2,FLOOR(((L152+M152+N152)/3),0.1))))))))</f>
        <v/>
      </c>
      <c r="P152" s="21" t="n"/>
      <c r="Q152" s="21" t="n"/>
      <c r="R152" s="27">
        <f>SUM(P152:Q152)</f>
        <v/>
      </c>
      <c r="S152" s="28" t="n"/>
      <c r="T152" s="28" t="n"/>
      <c r="U152" s="29">
        <f>IF(AND(R152=0,S152=0,T152=0),0,IF(AND(R152=0,S152=0),T152/1,IF(AND(R152=0,T152=0),S152/1,IF(AND(S152=0,T152=0),R152/1,IF(R152=0,FLOOR((S152+T152)/2,0.1),IF(S152=0,(R152+T152)/2,IF(T152=0,(S152+R152)/2,FLOOR(((R152+S152+T152)/3),0.1))))))))</f>
        <v/>
      </c>
      <c r="V152" s="21" t="n"/>
      <c r="W152" s="21" t="n"/>
      <c r="X152" s="27">
        <f>SUM(V152:W152)</f>
        <v/>
      </c>
      <c r="Y152" s="28" t="n"/>
      <c r="Z152" s="28" t="n"/>
      <c r="AA152" s="29">
        <f>IF(AND(X152=0,Y152=0,Z152=0),0,IF(AND(X152=0,Y152=0),Z152/1,IF(AND(X152=0,Z152=0),Y152/1,IF(AND(Y152=0,Z152=0),X152/1,IF(X152=0,FLOOR((Y152+Z152)/2,0.1),IF(Y152=0,(X152+Z152)/2,IF(Z152=0,(Y152+X152)/2,FLOOR(((X152+Y152+Z152)/3),0.1))))))))</f>
        <v/>
      </c>
      <c r="AB152" s="21" t="n"/>
      <c r="AC152" s="21" t="n"/>
      <c r="AD152" s="27">
        <f>SUM(AB152:AC152)</f>
        <v/>
      </c>
      <c r="AE152" s="28" t="n"/>
      <c r="AF152" s="28" t="n"/>
      <c r="AG152" s="29">
        <f>IF(AND(AD152=0,AE152=0,AF152=0),0,IF(AND(AD152=0,AE152=0),AF152/1,IF(AND(AD152=0,AF152=0),AE152/1,IF(AND(AE152=0,AF152=0),AD152/1,IF(AD152=0,FLOOR((AE152+AF152)/2,0.1),IF(AE152=0,(AD152+AF152)/2,IF(AF152=0,(AE152+AD152)/2,FLOOR(((AD152+AE152+AF152)/3),0.1))))))))</f>
        <v/>
      </c>
      <c r="AH152" s="21" t="n"/>
      <c r="AI152" s="21" t="n"/>
      <c r="AJ152" s="27">
        <f>SUM(AH152:AI152)</f>
        <v/>
      </c>
      <c r="AK152" s="28" t="n"/>
      <c r="AL152" s="28" t="n"/>
      <c r="AM152" s="29">
        <f>IF(AND(AJ152=0,AK152=0,AL152=0),0,IF(AND(AJ152=0,AK152=0),AL152/1,IF(AND(AJ152=0,AL152=0),AK152/1,IF(AND(AK152=0,AL152=0),AJ152/1,IF(AJ152=0,FLOOR((AK152+AL152)/2,0.1),IF(AK152=0,(AJ152+AL152)/2,IF(AL152=0,(AK152+AJ152)/2,FLOOR(((AJ152+AK152+AL152)/3),0.1))))))))</f>
        <v/>
      </c>
      <c r="AN152" s="21" t="n"/>
      <c r="AO152" s="21" t="n"/>
      <c r="AP152" s="27">
        <f>SUM(AN152:AO152)</f>
        <v/>
      </c>
      <c r="AQ152" s="28" t="n"/>
      <c r="AR152" s="30" t="n"/>
      <c r="AS152" s="29">
        <f>IF(AND(AP152=0,AQ152=0,AR152=0),0,IF(AND(AP152=0,AQ152=0),AR152/1,IF(AND(AP152=0,AR152=0),AQ152/1,IF(AND(AQ152=0,AR152=0),AP152/1,IF(AP152=0,FLOOR((AQ152+AR152)/2,0.1),IF(AQ152=0,(AP152+AR152)/2,IF(AR152=0,(AQ152+AP152)/2,FLOOR(((AP152+AQ152+AR152)/3),0.1))))))))</f>
        <v/>
      </c>
      <c r="AT152" s="21" t="n"/>
      <c r="AU152" s="21" t="n"/>
      <c r="AV152" s="27">
        <f>SUM(AT152:AU152)</f>
        <v/>
      </c>
      <c r="AW152" s="28" t="n"/>
      <c r="AX152" s="30" t="n"/>
      <c r="AY152" s="29">
        <f>IF(AND(AV152=0,AW152=0,AX152=0),0,IF(AND(AV152=0,AW152=0),AX152/1,IF(AND(AV152=0,AX152=0),AW152/1,IF(AND(AW152=0,AX152=0),AV152/1,IF(AV152=0,FLOOR((AW152+AX152)/2,0.1),IF(AW152=0,(AV152+AX152)/2,IF(AX152=0,(AW152+AV152)/2,FLOOR(((AV152+AW152+AX152)/3),0.1))))))))</f>
        <v/>
      </c>
      <c r="AZ152" s="21" t="n"/>
      <c r="BA152" s="21" t="n"/>
      <c r="BB152" s="27">
        <f>SUM(AZ152:BA152)</f>
        <v/>
      </c>
      <c r="BC152" s="28" t="n"/>
      <c r="BD152" s="28" t="n"/>
      <c r="BE152" s="29">
        <f>IF(AND(BB152=0,BC152=0,BD152=0),0,IF(AND(BB152=0,BC152=0),BD152/1,IF(AND(BB152=0,BD152=0),BC152/1,IF(AND(BC152=0,BD152=0),BB152/1,IF(BB152=0,FLOOR((BC152+BD152)/2,0.1),IF(BC152=0,(BB152+BD152)/2,IF(BD152=0,(BC152+BB152)/2,FLOOR(((BB152+BC152+BD152)/3),0.1))))))))</f>
        <v/>
      </c>
      <c r="BF152" s="21" t="n"/>
      <c r="BG152" s="21" t="n"/>
      <c r="BH152" s="27">
        <f>SUM(BF152:BG152)</f>
        <v/>
      </c>
      <c r="BI152" s="28" t="n"/>
      <c r="BJ152" s="28" t="n"/>
      <c r="BK152" s="29">
        <f>IF(AND(BH152=0,BI152=0,BJ152=0),0,IF(AND(BH152=0,BI152=0),BJ152/1,IF(AND(BH152=0,BJ152=0),BI152/1,IF(AND(BI152=0,BJ152=0),BH152/1,IF(BH152=0,FLOOR((BI152+BJ152)/2,0.1),IF(BI152=0,(BH152+BJ152)/2,IF(BJ152=0,(BI152+BH152)/2,FLOOR(((BH152+BI152+BJ152)/3),0.1))))))))</f>
        <v/>
      </c>
      <c r="BL152" s="21" t="n"/>
      <c r="BM152" s="21" t="n"/>
      <c r="BN152" s="27">
        <f>SUM(BL152:BM152)</f>
        <v/>
      </c>
      <c r="BO152" s="28" t="n"/>
      <c r="BP152" s="31" t="n"/>
      <c r="BQ152" s="29">
        <f>IF(AND(BN152=0,BO152=0,BP152=0),0,IF(AND(BN152=0,BO152=0),BP152/1,IF(AND(BN152=0,BP152=0),BO152/1,IF(AND(BO152=0,BP152=0),BN152/1,IF(BN152=0,FLOOR((BO152+BP152)/2,0.1),IF(BO152=0,(BN152+BP152)/2,IF(BP152=0,(BO152+BN152)/2,FLOOR(((BN152+BO152+BP152)/3),0.1))))))))</f>
        <v/>
      </c>
      <c r="BR152" s="21" t="n"/>
      <c r="BS152" s="21" t="n"/>
      <c r="BT152" s="27">
        <f>SUM(BR152:BS152)</f>
        <v/>
      </c>
      <c r="BU152" s="28" t="n"/>
      <c r="BV152" s="31" t="n"/>
      <c r="BW152" s="29">
        <f>IF(AND(BT152=0,BU152=0,BV152=0),0,IF(AND(BT152=0,BU152=0),BV152/1,IF(AND(BT152=0,BV152=0),BU152/1,IF(AND(BU152=0,BV152=0),BT152/1,IF(BT152=0,FLOOR((BU152+BV152)/2,0.1),IF(BU152=0,(BT152+BV152)/2,IF(BV152=0,(BU152+BT152)/2,FLOOR(((BT152+BU152+BV152)/3),0.1))))))))</f>
        <v/>
      </c>
      <c r="BX152" s="21" t="n"/>
      <c r="BY152" s="21" t="n"/>
      <c r="BZ152" s="27">
        <f>SUM(BX152:BY152)</f>
        <v/>
      </c>
      <c r="CA152" s="28" t="n"/>
      <c r="CB152" s="31" t="n"/>
      <c r="CC152" s="29">
        <f>IF(AND(BZ152=0,CA152=0,CB152=0),0,IF(AND(BZ152=0,CA152=0),CB152/1,IF(AND(BZ152=0,CB152=0),CA152/1,IF(AND(CA152=0,CB152=0),BZ152/1,IF(BZ152=0,FLOOR((CA152+CB152)/2,0.1),IF(CA152=0,(BZ152+CB152)/2,IF(CB152=0,(CA152+BZ152)/2,FLOOR(((BZ152+CA152+CB152)/3),0.1))))))))</f>
        <v/>
      </c>
      <c r="CD152" s="21" t="n"/>
      <c r="CE152" s="21" t="n"/>
      <c r="CF152" s="27">
        <f>SUM(CD152:CE152)</f>
        <v/>
      </c>
      <c r="CG152" s="28" t="n"/>
      <c r="CH152" s="31" t="n"/>
      <c r="CI152" s="29">
        <f>IF(AND(CF152=0,CG152=0,CH152=0),0,IF(AND(CF152=0,CG152=0),CH152/1,IF(AND(CF152=0,CH152=0),CG152/1,IF(AND(CG152=0,CH152=0),CF152/1,IF(CF152=0,FLOOR((CG152+CH152)/2,0.1),IF(CG152=0,(CF152+CH152)/2,IF(CH152=0,(CG152+CF152)/2,FLOOR(((CF152+CG152+CH152)/3),0.1))))))))</f>
        <v/>
      </c>
      <c r="CJ152" s="21" t="n"/>
      <c r="CK152" s="21" t="n"/>
      <c r="CL152" s="27">
        <f>SUM(CJ152:CK152)</f>
        <v/>
      </c>
      <c r="CM152" s="28" t="n"/>
      <c r="CN152" s="31" t="n"/>
      <c r="CO152" s="29">
        <f>IF(AND(CL152=0,CM152=0,CN152=0),0,IF(AND(CL152=0,CM152=0),CN152/1,IF(AND(CL152=0,CN152=0),CM152/1,IF(AND(CM152=0,CN152=0),CL152/1,IF(CL152=0,FLOOR((CM152+CN152)/2,0.1),IF(CM152=0,(CL152+CN152)/2,IF(CN152=0,(CM152+CL152)/2,FLOOR(((CL152+CM152+CN152)/3),0.1))))))))</f>
        <v/>
      </c>
      <c r="CP152" s="21" t="n"/>
      <c r="CQ152" s="21" t="n"/>
      <c r="CR152" s="27">
        <f>SUM(CP152:CQ152)</f>
        <v/>
      </c>
      <c r="CS152" s="28" t="n"/>
      <c r="CT152" s="31" t="n"/>
      <c r="CU152" s="29">
        <f>IF(AND(CR152=0,CS152=0,CT152=0),0,IF(AND(CR152=0,CS152=0),CT152/1,IF(AND(CR152=0,CT152=0),CS152/1,IF(AND(CS152=0,CT152=0),CR152/1,IF(CR152=0,FLOOR((CS152+CT152)/2,0.1),IF(CS152=0,(CR152+CT152)/2,IF(CT152=0,(CS152+CR152)/2,FLOOR(((CR152+CS152+CT152)/3),0.1))))))))</f>
        <v/>
      </c>
      <c r="CV152" s="21" t="n"/>
      <c r="CW152" s="21" t="n"/>
      <c r="CX152" s="27">
        <f>SUM(CV152:CW152)</f>
        <v/>
      </c>
      <c r="CY152" s="28" t="n"/>
      <c r="CZ152" s="31" t="n"/>
      <c r="DA152" s="29">
        <f>IF(AND(CX152=0,CY152=0,CZ152=0),0,IF(AND(CX152=0,CY152=0),CZ152/1,IF(AND(CX152=0,CZ152=0),CY152/1,IF(AND(CY152=0,CZ152=0),CX152/1,IF(CX152=0,FLOOR((CY152+CZ152)/2,0.1),IF(CY152=0,(CX152+CZ152)/2,IF(CZ152=0,(CY152+CX152)/2,FLOOR(((CX152+CY152+CZ152)/3),0.1))))))))</f>
        <v/>
      </c>
      <c r="DB152" s="21" t="n"/>
      <c r="DC152" s="21" t="n"/>
      <c r="DD152" s="27">
        <f>SUM(DB152:DC152)</f>
        <v/>
      </c>
      <c r="DE152" s="28" t="n"/>
      <c r="DF152" s="31" t="n"/>
      <c r="DG152" s="29">
        <f>IF(AND(DD152=0,DE152=0,DF152=0),0,IF(AND(DD152=0,DE152=0),DF152/1,IF(AND(DD152=0,DF152=0),DE152/1,IF(AND(DE152=0,DF152=0),DD152/1,IF(DD152=0,FLOOR((DE152+DF152)/2,0.1),IF(DE152=0,(DD152+DF152)/2,IF(DF152=0,(DE152+DD152)/2,FLOOR(((DD152+DE152+DF152)/3),0.1))))))))</f>
        <v/>
      </c>
      <c r="DH152" s="34">
        <f>SUM(O152,U152,AA152,AG152,AM152,AS152,AY152,BE152,BK152,BQ152,BW152,CC152,CI152,CO152,CU152,DA152,DG152)</f>
        <v/>
      </c>
      <c r="DI152" s="39">
        <f>RANK(DH152,DH$4:DH$503)</f>
        <v/>
      </c>
      <c r="DJ152" s="40" t="inlineStr">
        <is>
          <t>CHOOSE RATING</t>
        </is>
      </c>
      <c r="DK152" s="40" t="inlineStr">
        <is>
          <t>CHOOSE RATING</t>
        </is>
      </c>
      <c r="DL152" s="40" t="inlineStr">
        <is>
          <t>CHOOSE RATING</t>
        </is>
      </c>
      <c r="DM152" s="40" t="inlineStr">
        <is>
          <t>CHOOSE RATING</t>
        </is>
      </c>
      <c r="DN152" s="40" t="inlineStr">
        <is>
          <t>CHOOSE RATING</t>
        </is>
      </c>
      <c r="DO152" s="40" t="inlineStr">
        <is>
          <t>CHOOSE RATING</t>
        </is>
      </c>
      <c r="DP152" s="40" t="inlineStr">
        <is>
          <t>CHOOSE RATING</t>
        </is>
      </c>
      <c r="DQ152" s="40" t="inlineStr">
        <is>
          <t>CHOOSE RATING</t>
        </is>
      </c>
      <c r="DR152" s="43" t="inlineStr">
        <is>
          <t>2024/2025</t>
        </is>
      </c>
      <c r="DS152" s="45" t="inlineStr">
        <is>
          <t>THIRD</t>
        </is>
      </c>
      <c r="DT152" s="40" t="inlineStr">
        <is>
          <t>CHOOSE RATING</t>
        </is>
      </c>
      <c r="DU152" s="40" t="inlineStr">
        <is>
          <t>CHOOSE RATING</t>
        </is>
      </c>
      <c r="DV152" s="40" t="inlineStr">
        <is>
          <t>CHOOSE RATING</t>
        </is>
      </c>
      <c r="DW152" s="40" t="inlineStr">
        <is>
          <t>CHOOSE RATING</t>
        </is>
      </c>
      <c r="DX152" s="40" t="inlineStr">
        <is>
          <t>CHOOSE RATING</t>
        </is>
      </c>
      <c r="DY152" s="40" t="inlineStr">
        <is>
          <t>CHOOSE RATING</t>
        </is>
      </c>
      <c r="DZ152" s="53" t="inlineStr">
        <is>
          <t>CHOOSE RATING</t>
        </is>
      </c>
      <c r="EA152" s="54" t="inlineStr">
        <is>
          <t>Add the Tutor's Comment . . .</t>
        </is>
      </c>
      <c r="EB152" s="55" t="inlineStr">
        <is>
          <t>Choose Principals comment</t>
        </is>
      </c>
      <c r="EC152" s="56" t="n"/>
      <c r="ED152" s="57" t="inlineStr">
        <is>
          <t>Next Term Begins on Monday, 22nd September, 2025</t>
        </is>
      </c>
    </row>
    <row r="153" ht="30.6" customHeight="1" s="6">
      <c r="A153" s="18" t="n">
        <v>150</v>
      </c>
      <c r="B153" s="19" t="n"/>
      <c r="C153" s="20" t="n"/>
      <c r="D153" s="128" t="n"/>
      <c r="E153" s="21" t="n"/>
      <c r="F153" s="22" t="n"/>
      <c r="G153" s="22" t="n"/>
      <c r="H153" s="22" t="n"/>
      <c r="I153" s="26">
        <f>G153-H153</f>
        <v/>
      </c>
      <c r="J153" s="21" t="n"/>
      <c r="K153" s="21" t="n"/>
      <c r="L153" s="27">
        <f>SUM(J153:K153)</f>
        <v/>
      </c>
      <c r="M153" s="28" t="n"/>
      <c r="N153" s="28" t="n"/>
      <c r="O153" s="29">
        <f>IF(AND(L153=0,M153=0,N153=0),0,IF(AND(L153=0,M153=0),N153/1,IF(AND(L153=0,N153=0),M153/1,IF(AND(M153=0,N153=0),L153/1,IF(L153=0,FLOOR((M153+N153)/2,0.1),IF(M153=0,(L153+N153)/2,IF(N153=0,(M153+L153)/2,FLOOR(((L153+M153+N153)/3),0.1))))))))</f>
        <v/>
      </c>
      <c r="P153" s="21" t="n"/>
      <c r="Q153" s="21" t="n"/>
      <c r="R153" s="27">
        <f>SUM(P153:Q153)</f>
        <v/>
      </c>
      <c r="S153" s="28" t="n"/>
      <c r="T153" s="28" t="n"/>
      <c r="U153" s="29">
        <f>IF(AND(R153=0,S153=0,T153=0),0,IF(AND(R153=0,S153=0),T153/1,IF(AND(R153=0,T153=0),S153/1,IF(AND(S153=0,T153=0),R153/1,IF(R153=0,FLOOR((S153+T153)/2,0.1),IF(S153=0,(R153+T153)/2,IF(T153=0,(S153+R153)/2,FLOOR(((R153+S153+T153)/3),0.1))))))))</f>
        <v/>
      </c>
      <c r="V153" s="21" t="n"/>
      <c r="W153" s="21" t="n"/>
      <c r="X153" s="27">
        <f>SUM(V153:W153)</f>
        <v/>
      </c>
      <c r="Y153" s="28" t="n"/>
      <c r="Z153" s="28" t="n"/>
      <c r="AA153" s="29">
        <f>IF(AND(X153=0,Y153=0,Z153=0),0,IF(AND(X153=0,Y153=0),Z153/1,IF(AND(X153=0,Z153=0),Y153/1,IF(AND(Y153=0,Z153=0),X153/1,IF(X153=0,FLOOR((Y153+Z153)/2,0.1),IF(Y153=0,(X153+Z153)/2,IF(Z153=0,(Y153+X153)/2,FLOOR(((X153+Y153+Z153)/3),0.1))))))))</f>
        <v/>
      </c>
      <c r="AB153" s="21" t="n"/>
      <c r="AC153" s="21" t="n"/>
      <c r="AD153" s="27">
        <f>SUM(AB153:AC153)</f>
        <v/>
      </c>
      <c r="AE153" s="28" t="n"/>
      <c r="AF153" s="28" t="n"/>
      <c r="AG153" s="29">
        <f>IF(AND(AD153=0,AE153=0,AF153=0),0,IF(AND(AD153=0,AE153=0),AF153/1,IF(AND(AD153=0,AF153=0),AE153/1,IF(AND(AE153=0,AF153=0),AD153/1,IF(AD153=0,FLOOR((AE153+AF153)/2,0.1),IF(AE153=0,(AD153+AF153)/2,IF(AF153=0,(AE153+AD153)/2,FLOOR(((AD153+AE153+AF153)/3),0.1))))))))</f>
        <v/>
      </c>
      <c r="AH153" s="21" t="n"/>
      <c r="AI153" s="21" t="n"/>
      <c r="AJ153" s="27">
        <f>SUM(AH153:AI153)</f>
        <v/>
      </c>
      <c r="AK153" s="28" t="n"/>
      <c r="AL153" s="28" t="n"/>
      <c r="AM153" s="29">
        <f>IF(AND(AJ153=0,AK153=0,AL153=0),0,IF(AND(AJ153=0,AK153=0),AL153/1,IF(AND(AJ153=0,AL153=0),AK153/1,IF(AND(AK153=0,AL153=0),AJ153/1,IF(AJ153=0,FLOOR((AK153+AL153)/2,0.1),IF(AK153=0,(AJ153+AL153)/2,IF(AL153=0,(AK153+AJ153)/2,FLOOR(((AJ153+AK153+AL153)/3),0.1))))))))</f>
        <v/>
      </c>
      <c r="AN153" s="21" t="n"/>
      <c r="AO153" s="21" t="n"/>
      <c r="AP153" s="27">
        <f>SUM(AN153:AO153)</f>
        <v/>
      </c>
      <c r="AQ153" s="28" t="n"/>
      <c r="AR153" s="30" t="n"/>
      <c r="AS153" s="29">
        <f>IF(AND(AP153=0,AQ153=0,AR153=0),0,IF(AND(AP153=0,AQ153=0),AR153/1,IF(AND(AP153=0,AR153=0),AQ153/1,IF(AND(AQ153=0,AR153=0),AP153/1,IF(AP153=0,FLOOR((AQ153+AR153)/2,0.1),IF(AQ153=0,(AP153+AR153)/2,IF(AR153=0,(AQ153+AP153)/2,FLOOR(((AP153+AQ153+AR153)/3),0.1))))))))</f>
        <v/>
      </c>
      <c r="AT153" s="21" t="n"/>
      <c r="AU153" s="21" t="n"/>
      <c r="AV153" s="27">
        <f>SUM(AT153:AU153)</f>
        <v/>
      </c>
      <c r="AW153" s="28" t="n"/>
      <c r="AX153" s="30" t="n"/>
      <c r="AY153" s="29">
        <f>IF(AND(AV153=0,AW153=0,AX153=0),0,IF(AND(AV153=0,AW153=0),AX153/1,IF(AND(AV153=0,AX153=0),AW153/1,IF(AND(AW153=0,AX153=0),AV153/1,IF(AV153=0,FLOOR((AW153+AX153)/2,0.1),IF(AW153=0,(AV153+AX153)/2,IF(AX153=0,(AW153+AV153)/2,FLOOR(((AV153+AW153+AX153)/3),0.1))))))))</f>
        <v/>
      </c>
      <c r="AZ153" s="21" t="n"/>
      <c r="BA153" s="21" t="n"/>
      <c r="BB153" s="27">
        <f>SUM(AZ153:BA153)</f>
        <v/>
      </c>
      <c r="BC153" s="28" t="n"/>
      <c r="BD153" s="28" t="n"/>
      <c r="BE153" s="29">
        <f>IF(AND(BB153=0,BC153=0,BD153=0),0,IF(AND(BB153=0,BC153=0),BD153/1,IF(AND(BB153=0,BD153=0),BC153/1,IF(AND(BC153=0,BD153=0),BB153/1,IF(BB153=0,FLOOR((BC153+BD153)/2,0.1),IF(BC153=0,(BB153+BD153)/2,IF(BD153=0,(BC153+BB153)/2,FLOOR(((BB153+BC153+BD153)/3),0.1))))))))</f>
        <v/>
      </c>
      <c r="BF153" s="21" t="n"/>
      <c r="BG153" s="21" t="n"/>
      <c r="BH153" s="27">
        <f>SUM(BF153:BG153)</f>
        <v/>
      </c>
      <c r="BI153" s="28" t="n"/>
      <c r="BJ153" s="28" t="n"/>
      <c r="BK153" s="29">
        <f>IF(AND(BH153=0,BI153=0,BJ153=0),0,IF(AND(BH153=0,BI153=0),BJ153/1,IF(AND(BH153=0,BJ153=0),BI153/1,IF(AND(BI153=0,BJ153=0),BH153/1,IF(BH153=0,FLOOR((BI153+BJ153)/2,0.1),IF(BI153=0,(BH153+BJ153)/2,IF(BJ153=0,(BI153+BH153)/2,FLOOR(((BH153+BI153+BJ153)/3),0.1))))))))</f>
        <v/>
      </c>
      <c r="BL153" s="21" t="n"/>
      <c r="BM153" s="21" t="n"/>
      <c r="BN153" s="27">
        <f>SUM(BL153:BM153)</f>
        <v/>
      </c>
      <c r="BO153" s="28" t="n"/>
      <c r="BP153" s="31" t="n"/>
      <c r="BQ153" s="29">
        <f>IF(AND(BN153=0,BO153=0,BP153=0),0,IF(AND(BN153=0,BO153=0),BP153/1,IF(AND(BN153=0,BP153=0),BO153/1,IF(AND(BO153=0,BP153=0),BN153/1,IF(BN153=0,FLOOR((BO153+BP153)/2,0.1),IF(BO153=0,(BN153+BP153)/2,IF(BP153=0,(BO153+BN153)/2,FLOOR(((BN153+BO153+BP153)/3),0.1))))))))</f>
        <v/>
      </c>
      <c r="BR153" s="21" t="n"/>
      <c r="BS153" s="21" t="n"/>
      <c r="BT153" s="27">
        <f>SUM(BR153:BS153)</f>
        <v/>
      </c>
      <c r="BU153" s="28" t="n"/>
      <c r="BV153" s="31" t="n"/>
      <c r="BW153" s="29">
        <f>IF(AND(BT153=0,BU153=0,BV153=0),0,IF(AND(BT153=0,BU153=0),BV153/1,IF(AND(BT153=0,BV153=0),BU153/1,IF(AND(BU153=0,BV153=0),BT153/1,IF(BT153=0,FLOOR((BU153+BV153)/2,0.1),IF(BU153=0,(BT153+BV153)/2,IF(BV153=0,(BU153+BT153)/2,FLOOR(((BT153+BU153+BV153)/3),0.1))))))))</f>
        <v/>
      </c>
      <c r="BX153" s="21" t="n"/>
      <c r="BY153" s="21" t="n"/>
      <c r="BZ153" s="27">
        <f>SUM(BX153:BY153)</f>
        <v/>
      </c>
      <c r="CA153" s="28" t="n"/>
      <c r="CB153" s="31" t="n"/>
      <c r="CC153" s="29">
        <f>IF(AND(BZ153=0,CA153=0,CB153=0),0,IF(AND(BZ153=0,CA153=0),CB153/1,IF(AND(BZ153=0,CB153=0),CA153/1,IF(AND(CA153=0,CB153=0),BZ153/1,IF(BZ153=0,FLOOR((CA153+CB153)/2,0.1),IF(CA153=0,(BZ153+CB153)/2,IF(CB153=0,(CA153+BZ153)/2,FLOOR(((BZ153+CA153+CB153)/3),0.1))))))))</f>
        <v/>
      </c>
      <c r="CD153" s="21" t="n"/>
      <c r="CE153" s="21" t="n"/>
      <c r="CF153" s="27">
        <f>SUM(CD153:CE153)</f>
        <v/>
      </c>
      <c r="CG153" s="28" t="n"/>
      <c r="CH153" s="31" t="n"/>
      <c r="CI153" s="29">
        <f>IF(AND(CF153=0,CG153=0,CH153=0),0,IF(AND(CF153=0,CG153=0),CH153/1,IF(AND(CF153=0,CH153=0),CG153/1,IF(AND(CG153=0,CH153=0),CF153/1,IF(CF153=0,FLOOR((CG153+CH153)/2,0.1),IF(CG153=0,(CF153+CH153)/2,IF(CH153=0,(CG153+CF153)/2,FLOOR(((CF153+CG153+CH153)/3),0.1))))))))</f>
        <v/>
      </c>
      <c r="CJ153" s="21" t="n"/>
      <c r="CK153" s="21" t="n"/>
      <c r="CL153" s="27">
        <f>SUM(CJ153:CK153)</f>
        <v/>
      </c>
      <c r="CM153" s="28" t="n"/>
      <c r="CN153" s="31" t="n"/>
      <c r="CO153" s="29">
        <f>IF(AND(CL153=0,CM153=0,CN153=0),0,IF(AND(CL153=0,CM153=0),CN153/1,IF(AND(CL153=0,CN153=0),CM153/1,IF(AND(CM153=0,CN153=0),CL153/1,IF(CL153=0,FLOOR((CM153+CN153)/2,0.1),IF(CM153=0,(CL153+CN153)/2,IF(CN153=0,(CM153+CL153)/2,FLOOR(((CL153+CM153+CN153)/3),0.1))))))))</f>
        <v/>
      </c>
      <c r="CP153" s="21" t="n"/>
      <c r="CQ153" s="21" t="n"/>
      <c r="CR153" s="27">
        <f>SUM(CP153:CQ153)</f>
        <v/>
      </c>
      <c r="CS153" s="28" t="n"/>
      <c r="CT153" s="31" t="n"/>
      <c r="CU153" s="29">
        <f>IF(AND(CR153=0,CS153=0,CT153=0),0,IF(AND(CR153=0,CS153=0),CT153/1,IF(AND(CR153=0,CT153=0),CS153/1,IF(AND(CS153=0,CT153=0),CR153/1,IF(CR153=0,FLOOR((CS153+CT153)/2,0.1),IF(CS153=0,(CR153+CT153)/2,IF(CT153=0,(CS153+CR153)/2,FLOOR(((CR153+CS153+CT153)/3),0.1))))))))</f>
        <v/>
      </c>
      <c r="CV153" s="21" t="n"/>
      <c r="CW153" s="21" t="n"/>
      <c r="CX153" s="27">
        <f>SUM(CV153:CW153)</f>
        <v/>
      </c>
      <c r="CY153" s="28" t="n"/>
      <c r="CZ153" s="31" t="n"/>
      <c r="DA153" s="29">
        <f>IF(AND(CX153=0,CY153=0,CZ153=0),0,IF(AND(CX153=0,CY153=0),CZ153/1,IF(AND(CX153=0,CZ153=0),CY153/1,IF(AND(CY153=0,CZ153=0),CX153/1,IF(CX153=0,FLOOR((CY153+CZ153)/2,0.1),IF(CY153=0,(CX153+CZ153)/2,IF(CZ153=0,(CY153+CX153)/2,FLOOR(((CX153+CY153+CZ153)/3),0.1))))))))</f>
        <v/>
      </c>
      <c r="DB153" s="21" t="n"/>
      <c r="DC153" s="21" t="n"/>
      <c r="DD153" s="27">
        <f>SUM(DB153:DC153)</f>
        <v/>
      </c>
      <c r="DE153" s="28" t="n"/>
      <c r="DF153" s="31" t="n"/>
      <c r="DG153" s="29">
        <f>IF(AND(DD153=0,DE153=0,DF153=0),0,IF(AND(DD153=0,DE153=0),DF153/1,IF(AND(DD153=0,DF153=0),DE153/1,IF(AND(DE153=0,DF153=0),DD153/1,IF(DD153=0,FLOOR((DE153+DF153)/2,0.1),IF(DE153=0,(DD153+DF153)/2,IF(DF153=0,(DE153+DD153)/2,FLOOR(((DD153+DE153+DF153)/3),0.1))))))))</f>
        <v/>
      </c>
      <c r="DH153" s="34">
        <f>SUM(O153,U153,AA153,AG153,AM153,AS153,AY153,BE153,BK153,BQ153,BW153,CC153,CI153,CO153,CU153,DA153,DG153)</f>
        <v/>
      </c>
      <c r="DI153" s="39">
        <f>RANK(DH153,DH$4:DH$503)</f>
        <v/>
      </c>
      <c r="DJ153" s="40" t="inlineStr">
        <is>
          <t>CHOOSE RATING</t>
        </is>
      </c>
      <c r="DK153" s="40" t="inlineStr">
        <is>
          <t>CHOOSE RATING</t>
        </is>
      </c>
      <c r="DL153" s="40" t="inlineStr">
        <is>
          <t>CHOOSE RATING</t>
        </is>
      </c>
      <c r="DM153" s="40" t="inlineStr">
        <is>
          <t>CHOOSE RATING</t>
        </is>
      </c>
      <c r="DN153" s="40" t="inlineStr">
        <is>
          <t>CHOOSE RATING</t>
        </is>
      </c>
      <c r="DO153" s="40" t="inlineStr">
        <is>
          <t>CHOOSE RATING</t>
        </is>
      </c>
      <c r="DP153" s="40" t="inlineStr">
        <is>
          <t>CHOOSE RATING</t>
        </is>
      </c>
      <c r="DQ153" s="40" t="inlineStr">
        <is>
          <t>CHOOSE RATING</t>
        </is>
      </c>
      <c r="DR153" s="43" t="inlineStr">
        <is>
          <t>2024/2025</t>
        </is>
      </c>
      <c r="DS153" s="45" t="inlineStr">
        <is>
          <t>THIRD</t>
        </is>
      </c>
      <c r="DT153" s="40" t="inlineStr">
        <is>
          <t>CHOOSE RATING</t>
        </is>
      </c>
      <c r="DU153" s="40" t="inlineStr">
        <is>
          <t>CHOOSE RATING</t>
        </is>
      </c>
      <c r="DV153" s="40" t="inlineStr">
        <is>
          <t>CHOOSE RATING</t>
        </is>
      </c>
      <c r="DW153" s="40" t="inlineStr">
        <is>
          <t>CHOOSE RATING</t>
        </is>
      </c>
      <c r="DX153" s="40" t="inlineStr">
        <is>
          <t>CHOOSE RATING</t>
        </is>
      </c>
      <c r="DY153" s="40" t="inlineStr">
        <is>
          <t>CHOOSE RATING</t>
        </is>
      </c>
      <c r="DZ153" s="53" t="inlineStr">
        <is>
          <t>CHOOSE RATING</t>
        </is>
      </c>
      <c r="EA153" s="54" t="inlineStr">
        <is>
          <t>Add the Tutor's Comment . . .</t>
        </is>
      </c>
      <c r="EB153" s="55" t="inlineStr">
        <is>
          <t>Choose Principals comment</t>
        </is>
      </c>
      <c r="EC153" s="56" t="n"/>
      <c r="ED153" s="57" t="inlineStr">
        <is>
          <t>Next Term Begins on Monday, 22nd September, 2025</t>
        </is>
      </c>
    </row>
    <row r="154" ht="30.6" customHeight="1" s="6">
      <c r="A154" s="18" t="n">
        <v>151</v>
      </c>
      <c r="B154" s="19" t="n"/>
      <c r="C154" s="20" t="n"/>
      <c r="D154" s="128" t="n"/>
      <c r="E154" s="21" t="n"/>
      <c r="F154" s="22" t="n"/>
      <c r="G154" s="22" t="n"/>
      <c r="H154" s="22" t="n"/>
      <c r="I154" s="26">
        <f>G154-H154</f>
        <v/>
      </c>
      <c r="J154" s="21" t="n"/>
      <c r="K154" s="21" t="n"/>
      <c r="L154" s="27">
        <f>SUM(J154:K154)</f>
        <v/>
      </c>
      <c r="M154" s="28" t="n"/>
      <c r="N154" s="28" t="n"/>
      <c r="O154" s="29">
        <f>IF(AND(L154=0,M154=0,N154=0),0,IF(AND(L154=0,M154=0),N154/1,IF(AND(L154=0,N154=0),M154/1,IF(AND(M154=0,N154=0),L154/1,IF(L154=0,FLOOR((M154+N154)/2,0.1),IF(M154=0,(L154+N154)/2,IF(N154=0,(M154+L154)/2,FLOOR(((L154+M154+N154)/3),0.1))))))))</f>
        <v/>
      </c>
      <c r="P154" s="21" t="n"/>
      <c r="Q154" s="21" t="n"/>
      <c r="R154" s="27">
        <f>SUM(P154:Q154)</f>
        <v/>
      </c>
      <c r="S154" s="28" t="n"/>
      <c r="T154" s="28" t="n"/>
      <c r="U154" s="29">
        <f>IF(AND(R154=0,S154=0,T154=0),0,IF(AND(R154=0,S154=0),T154/1,IF(AND(R154=0,T154=0),S154/1,IF(AND(S154=0,T154=0),R154/1,IF(R154=0,FLOOR((S154+T154)/2,0.1),IF(S154=0,(R154+T154)/2,IF(T154=0,(S154+R154)/2,FLOOR(((R154+S154+T154)/3),0.1))))))))</f>
        <v/>
      </c>
      <c r="V154" s="21" t="n"/>
      <c r="W154" s="21" t="n"/>
      <c r="X154" s="27">
        <f>SUM(V154:W154)</f>
        <v/>
      </c>
      <c r="Y154" s="28" t="n"/>
      <c r="Z154" s="28" t="n"/>
      <c r="AA154" s="29">
        <f>IF(AND(X154=0,Y154=0,Z154=0),0,IF(AND(X154=0,Y154=0),Z154/1,IF(AND(X154=0,Z154=0),Y154/1,IF(AND(Y154=0,Z154=0),X154/1,IF(X154=0,FLOOR((Y154+Z154)/2,0.1),IF(Y154=0,(X154+Z154)/2,IF(Z154=0,(Y154+X154)/2,FLOOR(((X154+Y154+Z154)/3),0.1))))))))</f>
        <v/>
      </c>
      <c r="AB154" s="21" t="n"/>
      <c r="AC154" s="21" t="n"/>
      <c r="AD154" s="27">
        <f>SUM(AB154:AC154)</f>
        <v/>
      </c>
      <c r="AE154" s="28" t="n"/>
      <c r="AF154" s="28" t="n"/>
      <c r="AG154" s="29">
        <f>IF(AND(AD154=0,AE154=0,AF154=0),0,IF(AND(AD154=0,AE154=0),AF154/1,IF(AND(AD154=0,AF154=0),AE154/1,IF(AND(AE154=0,AF154=0),AD154/1,IF(AD154=0,FLOOR((AE154+AF154)/2,0.1),IF(AE154=0,(AD154+AF154)/2,IF(AF154=0,(AE154+AD154)/2,FLOOR(((AD154+AE154+AF154)/3),0.1))))))))</f>
        <v/>
      </c>
      <c r="AH154" s="21" t="n"/>
      <c r="AI154" s="21" t="n"/>
      <c r="AJ154" s="27">
        <f>SUM(AH154:AI154)</f>
        <v/>
      </c>
      <c r="AK154" s="28" t="n"/>
      <c r="AL154" s="28" t="n"/>
      <c r="AM154" s="29">
        <f>IF(AND(AJ154=0,AK154=0,AL154=0),0,IF(AND(AJ154=0,AK154=0),AL154/1,IF(AND(AJ154=0,AL154=0),AK154/1,IF(AND(AK154=0,AL154=0),AJ154/1,IF(AJ154=0,FLOOR((AK154+AL154)/2,0.1),IF(AK154=0,(AJ154+AL154)/2,IF(AL154=0,(AK154+AJ154)/2,FLOOR(((AJ154+AK154+AL154)/3),0.1))))))))</f>
        <v/>
      </c>
      <c r="AN154" s="21" t="n"/>
      <c r="AO154" s="21" t="n"/>
      <c r="AP154" s="27">
        <f>SUM(AN154:AO154)</f>
        <v/>
      </c>
      <c r="AQ154" s="28" t="n"/>
      <c r="AR154" s="30" t="n"/>
      <c r="AS154" s="29">
        <f>IF(AND(AP154=0,AQ154=0,AR154=0),0,IF(AND(AP154=0,AQ154=0),AR154/1,IF(AND(AP154=0,AR154=0),AQ154/1,IF(AND(AQ154=0,AR154=0),AP154/1,IF(AP154=0,FLOOR((AQ154+AR154)/2,0.1),IF(AQ154=0,(AP154+AR154)/2,IF(AR154=0,(AQ154+AP154)/2,FLOOR(((AP154+AQ154+AR154)/3),0.1))))))))</f>
        <v/>
      </c>
      <c r="AT154" s="21" t="n"/>
      <c r="AU154" s="21" t="n"/>
      <c r="AV154" s="27">
        <f>SUM(AT154:AU154)</f>
        <v/>
      </c>
      <c r="AW154" s="28" t="n"/>
      <c r="AX154" s="30" t="n"/>
      <c r="AY154" s="29">
        <f>IF(AND(AV154=0,AW154=0,AX154=0),0,IF(AND(AV154=0,AW154=0),AX154/1,IF(AND(AV154=0,AX154=0),AW154/1,IF(AND(AW154=0,AX154=0),AV154/1,IF(AV154=0,FLOOR((AW154+AX154)/2,0.1),IF(AW154=0,(AV154+AX154)/2,IF(AX154=0,(AW154+AV154)/2,FLOOR(((AV154+AW154+AX154)/3),0.1))))))))</f>
        <v/>
      </c>
      <c r="AZ154" s="21" t="n"/>
      <c r="BA154" s="21" t="n"/>
      <c r="BB154" s="27">
        <f>SUM(AZ154:BA154)</f>
        <v/>
      </c>
      <c r="BC154" s="28" t="n"/>
      <c r="BD154" s="28" t="n"/>
      <c r="BE154" s="29">
        <f>IF(AND(BB154=0,BC154=0,BD154=0),0,IF(AND(BB154=0,BC154=0),BD154/1,IF(AND(BB154=0,BD154=0),BC154/1,IF(AND(BC154=0,BD154=0),BB154/1,IF(BB154=0,FLOOR((BC154+BD154)/2,0.1),IF(BC154=0,(BB154+BD154)/2,IF(BD154=0,(BC154+BB154)/2,FLOOR(((BB154+BC154+BD154)/3),0.1))))))))</f>
        <v/>
      </c>
      <c r="BF154" s="21" t="n"/>
      <c r="BG154" s="21" t="n"/>
      <c r="BH154" s="27">
        <f>SUM(BF154:BG154)</f>
        <v/>
      </c>
      <c r="BI154" s="28" t="n"/>
      <c r="BJ154" s="28" t="n"/>
      <c r="BK154" s="29">
        <f>IF(AND(BH154=0,BI154=0,BJ154=0),0,IF(AND(BH154=0,BI154=0),BJ154/1,IF(AND(BH154=0,BJ154=0),BI154/1,IF(AND(BI154=0,BJ154=0),BH154/1,IF(BH154=0,FLOOR((BI154+BJ154)/2,0.1),IF(BI154=0,(BH154+BJ154)/2,IF(BJ154=0,(BI154+BH154)/2,FLOOR(((BH154+BI154+BJ154)/3),0.1))))))))</f>
        <v/>
      </c>
      <c r="BL154" s="21" t="n"/>
      <c r="BM154" s="21" t="n"/>
      <c r="BN154" s="27">
        <f>SUM(BL154:BM154)</f>
        <v/>
      </c>
      <c r="BO154" s="28" t="n"/>
      <c r="BP154" s="31" t="n"/>
      <c r="BQ154" s="29">
        <f>IF(AND(BN154=0,BO154=0,BP154=0),0,IF(AND(BN154=0,BO154=0),BP154/1,IF(AND(BN154=0,BP154=0),BO154/1,IF(AND(BO154=0,BP154=0),BN154/1,IF(BN154=0,FLOOR((BO154+BP154)/2,0.1),IF(BO154=0,(BN154+BP154)/2,IF(BP154=0,(BO154+BN154)/2,FLOOR(((BN154+BO154+BP154)/3),0.1))))))))</f>
        <v/>
      </c>
      <c r="BR154" s="21" t="n"/>
      <c r="BS154" s="21" t="n"/>
      <c r="BT154" s="27">
        <f>SUM(BR154:BS154)</f>
        <v/>
      </c>
      <c r="BU154" s="28" t="n"/>
      <c r="BV154" s="31" t="n"/>
      <c r="BW154" s="29">
        <f>IF(AND(BT154=0,BU154=0,BV154=0),0,IF(AND(BT154=0,BU154=0),BV154/1,IF(AND(BT154=0,BV154=0),BU154/1,IF(AND(BU154=0,BV154=0),BT154/1,IF(BT154=0,FLOOR((BU154+BV154)/2,0.1),IF(BU154=0,(BT154+BV154)/2,IF(BV154=0,(BU154+BT154)/2,FLOOR(((BT154+BU154+BV154)/3),0.1))))))))</f>
        <v/>
      </c>
      <c r="BX154" s="21" t="n"/>
      <c r="BY154" s="21" t="n"/>
      <c r="BZ154" s="27">
        <f>SUM(BX154:BY154)</f>
        <v/>
      </c>
      <c r="CA154" s="28" t="n"/>
      <c r="CB154" s="31" t="n"/>
      <c r="CC154" s="29">
        <f>IF(AND(BZ154=0,CA154=0,CB154=0),0,IF(AND(BZ154=0,CA154=0),CB154/1,IF(AND(BZ154=0,CB154=0),CA154/1,IF(AND(CA154=0,CB154=0),BZ154/1,IF(BZ154=0,FLOOR((CA154+CB154)/2,0.1),IF(CA154=0,(BZ154+CB154)/2,IF(CB154=0,(CA154+BZ154)/2,FLOOR(((BZ154+CA154+CB154)/3),0.1))))))))</f>
        <v/>
      </c>
      <c r="CD154" s="21" t="n"/>
      <c r="CE154" s="21" t="n"/>
      <c r="CF154" s="27">
        <f>SUM(CD154:CE154)</f>
        <v/>
      </c>
      <c r="CG154" s="28" t="n"/>
      <c r="CH154" s="31" t="n"/>
      <c r="CI154" s="29">
        <f>IF(AND(CF154=0,CG154=0,CH154=0),0,IF(AND(CF154=0,CG154=0),CH154/1,IF(AND(CF154=0,CH154=0),CG154/1,IF(AND(CG154=0,CH154=0),CF154/1,IF(CF154=0,FLOOR((CG154+CH154)/2,0.1),IF(CG154=0,(CF154+CH154)/2,IF(CH154=0,(CG154+CF154)/2,FLOOR(((CF154+CG154+CH154)/3),0.1))))))))</f>
        <v/>
      </c>
      <c r="CJ154" s="21" t="n"/>
      <c r="CK154" s="21" t="n"/>
      <c r="CL154" s="27">
        <f>SUM(CJ154:CK154)</f>
        <v/>
      </c>
      <c r="CM154" s="28" t="n"/>
      <c r="CN154" s="31" t="n"/>
      <c r="CO154" s="29">
        <f>IF(AND(CL154=0,CM154=0,CN154=0),0,IF(AND(CL154=0,CM154=0),CN154/1,IF(AND(CL154=0,CN154=0),CM154/1,IF(AND(CM154=0,CN154=0),CL154/1,IF(CL154=0,FLOOR((CM154+CN154)/2,0.1),IF(CM154=0,(CL154+CN154)/2,IF(CN154=0,(CM154+CL154)/2,FLOOR(((CL154+CM154+CN154)/3),0.1))))))))</f>
        <v/>
      </c>
      <c r="CP154" s="21" t="n"/>
      <c r="CQ154" s="21" t="n"/>
      <c r="CR154" s="27">
        <f>SUM(CP154:CQ154)</f>
        <v/>
      </c>
      <c r="CS154" s="28" t="n"/>
      <c r="CT154" s="31" t="n"/>
      <c r="CU154" s="29">
        <f>IF(AND(CR154=0,CS154=0,CT154=0),0,IF(AND(CR154=0,CS154=0),CT154/1,IF(AND(CR154=0,CT154=0),CS154/1,IF(AND(CS154=0,CT154=0),CR154/1,IF(CR154=0,FLOOR((CS154+CT154)/2,0.1),IF(CS154=0,(CR154+CT154)/2,IF(CT154=0,(CS154+CR154)/2,FLOOR(((CR154+CS154+CT154)/3),0.1))))))))</f>
        <v/>
      </c>
      <c r="CV154" s="21" t="n"/>
      <c r="CW154" s="21" t="n"/>
      <c r="CX154" s="27">
        <f>SUM(CV154:CW154)</f>
        <v/>
      </c>
      <c r="CY154" s="28" t="n"/>
      <c r="CZ154" s="31" t="n"/>
      <c r="DA154" s="29">
        <f>IF(AND(CX154=0,CY154=0,CZ154=0),0,IF(AND(CX154=0,CY154=0),CZ154/1,IF(AND(CX154=0,CZ154=0),CY154/1,IF(AND(CY154=0,CZ154=0),CX154/1,IF(CX154=0,FLOOR((CY154+CZ154)/2,0.1),IF(CY154=0,(CX154+CZ154)/2,IF(CZ154=0,(CY154+CX154)/2,FLOOR(((CX154+CY154+CZ154)/3),0.1))))))))</f>
        <v/>
      </c>
      <c r="DB154" s="21" t="n"/>
      <c r="DC154" s="21" t="n"/>
      <c r="DD154" s="27">
        <f>SUM(DB154:DC154)</f>
        <v/>
      </c>
      <c r="DE154" s="28" t="n"/>
      <c r="DF154" s="31" t="n"/>
      <c r="DG154" s="29">
        <f>IF(AND(DD154=0,DE154=0,DF154=0),0,IF(AND(DD154=0,DE154=0),DF154/1,IF(AND(DD154=0,DF154=0),DE154/1,IF(AND(DE154=0,DF154=0),DD154/1,IF(DD154=0,FLOOR((DE154+DF154)/2,0.1),IF(DE154=0,(DD154+DF154)/2,IF(DF154=0,(DE154+DD154)/2,FLOOR(((DD154+DE154+DF154)/3),0.1))))))))</f>
        <v/>
      </c>
      <c r="DH154" s="34">
        <f>SUM(O154,U154,AA154,AG154,AM154,AS154,AY154,BE154,BK154,BQ154,BW154,CC154,CI154,CO154,CU154,DA154,DG154)</f>
        <v/>
      </c>
      <c r="DI154" s="39">
        <f>RANK(DH154,DH$4:DH$503)</f>
        <v/>
      </c>
      <c r="DJ154" s="40" t="inlineStr">
        <is>
          <t>CHOOSE RATING</t>
        </is>
      </c>
      <c r="DK154" s="40" t="inlineStr">
        <is>
          <t>CHOOSE RATING</t>
        </is>
      </c>
      <c r="DL154" s="40" t="inlineStr">
        <is>
          <t>CHOOSE RATING</t>
        </is>
      </c>
      <c r="DM154" s="40" t="inlineStr">
        <is>
          <t>CHOOSE RATING</t>
        </is>
      </c>
      <c r="DN154" s="40" t="inlineStr">
        <is>
          <t>CHOOSE RATING</t>
        </is>
      </c>
      <c r="DO154" s="40" t="inlineStr">
        <is>
          <t>CHOOSE RATING</t>
        </is>
      </c>
      <c r="DP154" s="40" t="inlineStr">
        <is>
          <t>CHOOSE RATING</t>
        </is>
      </c>
      <c r="DQ154" s="40" t="inlineStr">
        <is>
          <t>CHOOSE RATING</t>
        </is>
      </c>
      <c r="DR154" s="43" t="inlineStr">
        <is>
          <t>2024/2025</t>
        </is>
      </c>
      <c r="DS154" s="45" t="inlineStr">
        <is>
          <t>THIRD</t>
        </is>
      </c>
      <c r="DT154" s="40" t="inlineStr">
        <is>
          <t>CHOOSE RATING</t>
        </is>
      </c>
      <c r="DU154" s="40" t="inlineStr">
        <is>
          <t>CHOOSE RATING</t>
        </is>
      </c>
      <c r="DV154" s="40" t="inlineStr">
        <is>
          <t>CHOOSE RATING</t>
        </is>
      </c>
      <c r="DW154" s="40" t="inlineStr">
        <is>
          <t>CHOOSE RATING</t>
        </is>
      </c>
      <c r="DX154" s="40" t="inlineStr">
        <is>
          <t>CHOOSE RATING</t>
        </is>
      </c>
      <c r="DY154" s="40" t="inlineStr">
        <is>
          <t>CHOOSE RATING</t>
        </is>
      </c>
      <c r="DZ154" s="53" t="inlineStr">
        <is>
          <t>CHOOSE RATING</t>
        </is>
      </c>
      <c r="EA154" s="54" t="inlineStr">
        <is>
          <t>Add the Tutor's Comment . . .</t>
        </is>
      </c>
      <c r="EB154" s="55" t="inlineStr">
        <is>
          <t>Choose Principals comment</t>
        </is>
      </c>
      <c r="EC154" s="56" t="n"/>
      <c r="ED154" s="57" t="inlineStr">
        <is>
          <t>Next Term Begins on Monday, 22nd September, 2025</t>
        </is>
      </c>
    </row>
    <row r="155" ht="30.6" customHeight="1" s="6">
      <c r="A155" s="18" t="n">
        <v>152</v>
      </c>
      <c r="B155" s="19" t="n"/>
      <c r="C155" s="20" t="n"/>
      <c r="D155" s="128" t="n"/>
      <c r="E155" s="21" t="n"/>
      <c r="F155" s="22" t="n"/>
      <c r="G155" s="22" t="n"/>
      <c r="H155" s="22" t="n"/>
      <c r="I155" s="26">
        <f>G155-H155</f>
        <v/>
      </c>
      <c r="J155" s="21" t="n"/>
      <c r="K155" s="21" t="n"/>
      <c r="L155" s="27">
        <f>SUM(J155:K155)</f>
        <v/>
      </c>
      <c r="M155" s="28" t="n"/>
      <c r="N155" s="28" t="n"/>
      <c r="O155" s="29">
        <f>IF(AND(L155=0,M155=0,N155=0),0,IF(AND(L155=0,M155=0),N155/1,IF(AND(L155=0,N155=0),M155/1,IF(AND(M155=0,N155=0),L155/1,IF(L155=0,FLOOR((M155+N155)/2,0.1),IF(M155=0,(L155+N155)/2,IF(N155=0,(M155+L155)/2,FLOOR(((L155+M155+N155)/3),0.1))))))))</f>
        <v/>
      </c>
      <c r="P155" s="21" t="n"/>
      <c r="Q155" s="21" t="n"/>
      <c r="R155" s="27">
        <f>SUM(P155:Q155)</f>
        <v/>
      </c>
      <c r="S155" s="28" t="n"/>
      <c r="T155" s="28" t="n"/>
      <c r="U155" s="29">
        <f>IF(AND(R155=0,S155=0,T155=0),0,IF(AND(R155=0,S155=0),T155/1,IF(AND(R155=0,T155=0),S155/1,IF(AND(S155=0,T155=0),R155/1,IF(R155=0,FLOOR((S155+T155)/2,0.1),IF(S155=0,(R155+T155)/2,IF(T155=0,(S155+R155)/2,FLOOR(((R155+S155+T155)/3),0.1))))))))</f>
        <v/>
      </c>
      <c r="V155" s="21" t="n"/>
      <c r="W155" s="21" t="n"/>
      <c r="X155" s="27">
        <f>SUM(V155:W155)</f>
        <v/>
      </c>
      <c r="Y155" s="28" t="n"/>
      <c r="Z155" s="28" t="n"/>
      <c r="AA155" s="29">
        <f>IF(AND(X155=0,Y155=0,Z155=0),0,IF(AND(X155=0,Y155=0),Z155/1,IF(AND(X155=0,Z155=0),Y155/1,IF(AND(Y155=0,Z155=0),X155/1,IF(X155=0,FLOOR((Y155+Z155)/2,0.1),IF(Y155=0,(X155+Z155)/2,IF(Z155=0,(Y155+X155)/2,FLOOR(((X155+Y155+Z155)/3),0.1))))))))</f>
        <v/>
      </c>
      <c r="AB155" s="21" t="n"/>
      <c r="AC155" s="21" t="n"/>
      <c r="AD155" s="27">
        <f>SUM(AB155:AC155)</f>
        <v/>
      </c>
      <c r="AE155" s="28" t="n"/>
      <c r="AF155" s="28" t="n"/>
      <c r="AG155" s="29">
        <f>IF(AND(AD155=0,AE155=0,AF155=0),0,IF(AND(AD155=0,AE155=0),AF155/1,IF(AND(AD155=0,AF155=0),AE155/1,IF(AND(AE155=0,AF155=0),AD155/1,IF(AD155=0,FLOOR((AE155+AF155)/2,0.1),IF(AE155=0,(AD155+AF155)/2,IF(AF155=0,(AE155+AD155)/2,FLOOR(((AD155+AE155+AF155)/3),0.1))))))))</f>
        <v/>
      </c>
      <c r="AH155" s="21" t="n"/>
      <c r="AI155" s="21" t="n"/>
      <c r="AJ155" s="27">
        <f>SUM(AH155:AI155)</f>
        <v/>
      </c>
      <c r="AK155" s="28" t="n"/>
      <c r="AL155" s="28" t="n"/>
      <c r="AM155" s="29">
        <f>IF(AND(AJ155=0,AK155=0,AL155=0),0,IF(AND(AJ155=0,AK155=0),AL155/1,IF(AND(AJ155=0,AL155=0),AK155/1,IF(AND(AK155=0,AL155=0),AJ155/1,IF(AJ155=0,FLOOR((AK155+AL155)/2,0.1),IF(AK155=0,(AJ155+AL155)/2,IF(AL155=0,(AK155+AJ155)/2,FLOOR(((AJ155+AK155+AL155)/3),0.1))))))))</f>
        <v/>
      </c>
      <c r="AN155" s="21" t="n"/>
      <c r="AO155" s="21" t="n"/>
      <c r="AP155" s="27">
        <f>SUM(AN155:AO155)</f>
        <v/>
      </c>
      <c r="AQ155" s="28" t="n"/>
      <c r="AR155" s="30" t="n"/>
      <c r="AS155" s="29">
        <f>IF(AND(AP155=0,AQ155=0,AR155=0),0,IF(AND(AP155=0,AQ155=0),AR155/1,IF(AND(AP155=0,AR155=0),AQ155/1,IF(AND(AQ155=0,AR155=0),AP155/1,IF(AP155=0,FLOOR((AQ155+AR155)/2,0.1),IF(AQ155=0,(AP155+AR155)/2,IF(AR155=0,(AQ155+AP155)/2,FLOOR(((AP155+AQ155+AR155)/3),0.1))))))))</f>
        <v/>
      </c>
      <c r="AT155" s="21" t="n"/>
      <c r="AU155" s="21" t="n"/>
      <c r="AV155" s="27">
        <f>SUM(AT155:AU155)</f>
        <v/>
      </c>
      <c r="AW155" s="28" t="n"/>
      <c r="AX155" s="30" t="n"/>
      <c r="AY155" s="29">
        <f>IF(AND(AV155=0,AW155=0,AX155=0),0,IF(AND(AV155=0,AW155=0),AX155/1,IF(AND(AV155=0,AX155=0),AW155/1,IF(AND(AW155=0,AX155=0),AV155/1,IF(AV155=0,FLOOR((AW155+AX155)/2,0.1),IF(AW155=0,(AV155+AX155)/2,IF(AX155=0,(AW155+AV155)/2,FLOOR(((AV155+AW155+AX155)/3),0.1))))))))</f>
        <v/>
      </c>
      <c r="AZ155" s="21" t="n"/>
      <c r="BA155" s="21" t="n"/>
      <c r="BB155" s="27">
        <f>SUM(AZ155:BA155)</f>
        <v/>
      </c>
      <c r="BC155" s="28" t="n"/>
      <c r="BD155" s="28" t="n"/>
      <c r="BE155" s="29">
        <f>IF(AND(BB155=0,BC155=0,BD155=0),0,IF(AND(BB155=0,BC155=0),BD155/1,IF(AND(BB155=0,BD155=0),BC155/1,IF(AND(BC155=0,BD155=0),BB155/1,IF(BB155=0,FLOOR((BC155+BD155)/2,0.1),IF(BC155=0,(BB155+BD155)/2,IF(BD155=0,(BC155+BB155)/2,FLOOR(((BB155+BC155+BD155)/3),0.1))))))))</f>
        <v/>
      </c>
      <c r="BF155" s="21" t="n"/>
      <c r="BG155" s="21" t="n"/>
      <c r="BH155" s="27">
        <f>SUM(BF155:BG155)</f>
        <v/>
      </c>
      <c r="BI155" s="28" t="n"/>
      <c r="BJ155" s="28" t="n"/>
      <c r="BK155" s="29">
        <f>IF(AND(BH155=0,BI155=0,BJ155=0),0,IF(AND(BH155=0,BI155=0),BJ155/1,IF(AND(BH155=0,BJ155=0),BI155/1,IF(AND(BI155=0,BJ155=0),BH155/1,IF(BH155=0,FLOOR((BI155+BJ155)/2,0.1),IF(BI155=0,(BH155+BJ155)/2,IF(BJ155=0,(BI155+BH155)/2,FLOOR(((BH155+BI155+BJ155)/3),0.1))))))))</f>
        <v/>
      </c>
      <c r="BL155" s="21" t="n"/>
      <c r="BM155" s="21" t="n"/>
      <c r="BN155" s="27">
        <f>SUM(BL155:BM155)</f>
        <v/>
      </c>
      <c r="BO155" s="28" t="n"/>
      <c r="BP155" s="31" t="n"/>
      <c r="BQ155" s="29">
        <f>IF(AND(BN155=0,BO155=0,BP155=0),0,IF(AND(BN155=0,BO155=0),BP155/1,IF(AND(BN155=0,BP155=0),BO155/1,IF(AND(BO155=0,BP155=0),BN155/1,IF(BN155=0,FLOOR((BO155+BP155)/2,0.1),IF(BO155=0,(BN155+BP155)/2,IF(BP155=0,(BO155+BN155)/2,FLOOR(((BN155+BO155+BP155)/3),0.1))))))))</f>
        <v/>
      </c>
      <c r="BR155" s="21" t="n"/>
      <c r="BS155" s="21" t="n"/>
      <c r="BT155" s="27">
        <f>SUM(BR155:BS155)</f>
        <v/>
      </c>
      <c r="BU155" s="28" t="n"/>
      <c r="BV155" s="31" t="n"/>
      <c r="BW155" s="29">
        <f>IF(AND(BT155=0,BU155=0,BV155=0),0,IF(AND(BT155=0,BU155=0),BV155/1,IF(AND(BT155=0,BV155=0),BU155/1,IF(AND(BU155=0,BV155=0),BT155/1,IF(BT155=0,FLOOR((BU155+BV155)/2,0.1),IF(BU155=0,(BT155+BV155)/2,IF(BV155=0,(BU155+BT155)/2,FLOOR(((BT155+BU155+BV155)/3),0.1))))))))</f>
        <v/>
      </c>
      <c r="BX155" s="21" t="n"/>
      <c r="BY155" s="21" t="n"/>
      <c r="BZ155" s="27">
        <f>SUM(BX155:BY155)</f>
        <v/>
      </c>
      <c r="CA155" s="28" t="n"/>
      <c r="CB155" s="31" t="n"/>
      <c r="CC155" s="29">
        <f>IF(AND(BZ155=0,CA155=0,CB155=0),0,IF(AND(BZ155=0,CA155=0),CB155/1,IF(AND(BZ155=0,CB155=0),CA155/1,IF(AND(CA155=0,CB155=0),BZ155/1,IF(BZ155=0,FLOOR((CA155+CB155)/2,0.1),IF(CA155=0,(BZ155+CB155)/2,IF(CB155=0,(CA155+BZ155)/2,FLOOR(((BZ155+CA155+CB155)/3),0.1))))))))</f>
        <v/>
      </c>
      <c r="CD155" s="21" t="n"/>
      <c r="CE155" s="21" t="n"/>
      <c r="CF155" s="27">
        <f>SUM(CD155:CE155)</f>
        <v/>
      </c>
      <c r="CG155" s="28" t="n"/>
      <c r="CH155" s="31" t="n"/>
      <c r="CI155" s="29">
        <f>IF(AND(CF155=0,CG155=0,CH155=0),0,IF(AND(CF155=0,CG155=0),CH155/1,IF(AND(CF155=0,CH155=0),CG155/1,IF(AND(CG155=0,CH155=0),CF155/1,IF(CF155=0,FLOOR((CG155+CH155)/2,0.1),IF(CG155=0,(CF155+CH155)/2,IF(CH155=0,(CG155+CF155)/2,FLOOR(((CF155+CG155+CH155)/3),0.1))))))))</f>
        <v/>
      </c>
      <c r="CJ155" s="21" t="n"/>
      <c r="CK155" s="21" t="n"/>
      <c r="CL155" s="27">
        <f>SUM(CJ155:CK155)</f>
        <v/>
      </c>
      <c r="CM155" s="28" t="n"/>
      <c r="CN155" s="31" t="n"/>
      <c r="CO155" s="29">
        <f>IF(AND(CL155=0,CM155=0,CN155=0),0,IF(AND(CL155=0,CM155=0),CN155/1,IF(AND(CL155=0,CN155=0),CM155/1,IF(AND(CM155=0,CN155=0),CL155/1,IF(CL155=0,FLOOR((CM155+CN155)/2,0.1),IF(CM155=0,(CL155+CN155)/2,IF(CN155=0,(CM155+CL155)/2,FLOOR(((CL155+CM155+CN155)/3),0.1))))))))</f>
        <v/>
      </c>
      <c r="CP155" s="21" t="n"/>
      <c r="CQ155" s="21" t="n"/>
      <c r="CR155" s="27">
        <f>SUM(CP155:CQ155)</f>
        <v/>
      </c>
      <c r="CS155" s="28" t="n"/>
      <c r="CT155" s="31" t="n"/>
      <c r="CU155" s="29">
        <f>IF(AND(CR155=0,CS155=0,CT155=0),0,IF(AND(CR155=0,CS155=0),CT155/1,IF(AND(CR155=0,CT155=0),CS155/1,IF(AND(CS155=0,CT155=0),CR155/1,IF(CR155=0,FLOOR((CS155+CT155)/2,0.1),IF(CS155=0,(CR155+CT155)/2,IF(CT155=0,(CS155+CR155)/2,FLOOR(((CR155+CS155+CT155)/3),0.1))))))))</f>
        <v/>
      </c>
      <c r="CV155" s="21" t="n"/>
      <c r="CW155" s="21" t="n"/>
      <c r="CX155" s="27">
        <f>SUM(CV155:CW155)</f>
        <v/>
      </c>
      <c r="CY155" s="28" t="n"/>
      <c r="CZ155" s="31" t="n"/>
      <c r="DA155" s="29">
        <f>IF(AND(CX155=0,CY155=0,CZ155=0),0,IF(AND(CX155=0,CY155=0),CZ155/1,IF(AND(CX155=0,CZ155=0),CY155/1,IF(AND(CY155=0,CZ155=0),CX155/1,IF(CX155=0,FLOOR((CY155+CZ155)/2,0.1),IF(CY155=0,(CX155+CZ155)/2,IF(CZ155=0,(CY155+CX155)/2,FLOOR(((CX155+CY155+CZ155)/3),0.1))))))))</f>
        <v/>
      </c>
      <c r="DB155" s="21" t="n"/>
      <c r="DC155" s="21" t="n"/>
      <c r="DD155" s="27">
        <f>SUM(DB155:DC155)</f>
        <v/>
      </c>
      <c r="DE155" s="28" t="n"/>
      <c r="DF155" s="31" t="n"/>
      <c r="DG155" s="29">
        <f>IF(AND(DD155=0,DE155=0,DF155=0),0,IF(AND(DD155=0,DE155=0),DF155/1,IF(AND(DD155=0,DF155=0),DE155/1,IF(AND(DE155=0,DF155=0),DD155/1,IF(DD155=0,FLOOR((DE155+DF155)/2,0.1),IF(DE155=0,(DD155+DF155)/2,IF(DF155=0,(DE155+DD155)/2,FLOOR(((DD155+DE155+DF155)/3),0.1))))))))</f>
        <v/>
      </c>
      <c r="DH155" s="34">
        <f>SUM(O155,U155,AA155,AG155,AM155,AS155,AY155,BE155,BK155,BQ155,BW155,CC155,CI155,CO155,CU155,DA155,DG155)</f>
        <v/>
      </c>
      <c r="DI155" s="39">
        <f>RANK(DH155,DH$4:DH$503)</f>
        <v/>
      </c>
      <c r="DJ155" s="40" t="inlineStr">
        <is>
          <t>CHOOSE RATING</t>
        </is>
      </c>
      <c r="DK155" s="40" t="inlineStr">
        <is>
          <t>CHOOSE RATING</t>
        </is>
      </c>
      <c r="DL155" s="40" t="inlineStr">
        <is>
          <t>CHOOSE RATING</t>
        </is>
      </c>
      <c r="DM155" s="40" t="inlineStr">
        <is>
          <t>CHOOSE RATING</t>
        </is>
      </c>
      <c r="DN155" s="40" t="inlineStr">
        <is>
          <t>CHOOSE RATING</t>
        </is>
      </c>
      <c r="DO155" s="40" t="inlineStr">
        <is>
          <t>CHOOSE RATING</t>
        </is>
      </c>
      <c r="DP155" s="40" t="inlineStr">
        <is>
          <t>CHOOSE RATING</t>
        </is>
      </c>
      <c r="DQ155" s="40" t="inlineStr">
        <is>
          <t>CHOOSE RATING</t>
        </is>
      </c>
      <c r="DR155" s="43" t="inlineStr">
        <is>
          <t>2024/2025</t>
        </is>
      </c>
      <c r="DS155" s="45" t="inlineStr">
        <is>
          <t>THIRD</t>
        </is>
      </c>
      <c r="DT155" s="40" t="inlineStr">
        <is>
          <t>CHOOSE RATING</t>
        </is>
      </c>
      <c r="DU155" s="40" t="inlineStr">
        <is>
          <t>CHOOSE RATING</t>
        </is>
      </c>
      <c r="DV155" s="40" t="inlineStr">
        <is>
          <t>CHOOSE RATING</t>
        </is>
      </c>
      <c r="DW155" s="40" t="inlineStr">
        <is>
          <t>CHOOSE RATING</t>
        </is>
      </c>
      <c r="DX155" s="40" t="inlineStr">
        <is>
          <t>CHOOSE RATING</t>
        </is>
      </c>
      <c r="DY155" s="40" t="inlineStr">
        <is>
          <t>CHOOSE RATING</t>
        </is>
      </c>
      <c r="DZ155" s="53" t="inlineStr">
        <is>
          <t>CHOOSE RATING</t>
        </is>
      </c>
      <c r="EA155" s="54" t="inlineStr">
        <is>
          <t>Add the Tutor's Comment . . .</t>
        </is>
      </c>
      <c r="EB155" s="55" t="inlineStr">
        <is>
          <t>Choose Principals comment</t>
        </is>
      </c>
      <c r="EC155" s="56" t="n"/>
      <c r="ED155" s="57" t="inlineStr">
        <is>
          <t>Next Term Begins on Monday, 22nd September, 2025</t>
        </is>
      </c>
    </row>
    <row r="156" ht="30.6" customHeight="1" s="6">
      <c r="A156" s="18" t="n">
        <v>153</v>
      </c>
      <c r="B156" s="19" t="n"/>
      <c r="C156" s="20" t="n"/>
      <c r="D156" s="128" t="n"/>
      <c r="E156" s="21" t="n"/>
      <c r="F156" s="22" t="n"/>
      <c r="G156" s="22" t="n"/>
      <c r="H156" s="22" t="n"/>
      <c r="I156" s="26">
        <f>G156-H156</f>
        <v/>
      </c>
      <c r="J156" s="21" t="n"/>
      <c r="K156" s="21" t="n"/>
      <c r="L156" s="27">
        <f>SUM(J156:K156)</f>
        <v/>
      </c>
      <c r="M156" s="28" t="n"/>
      <c r="N156" s="28" t="n"/>
      <c r="O156" s="29">
        <f>IF(AND(L156=0,M156=0,N156=0),0,IF(AND(L156=0,M156=0),N156/1,IF(AND(L156=0,N156=0),M156/1,IF(AND(M156=0,N156=0),L156/1,IF(L156=0,FLOOR((M156+N156)/2,0.1),IF(M156=0,(L156+N156)/2,IF(N156=0,(M156+L156)/2,FLOOR(((L156+M156+N156)/3),0.1))))))))</f>
        <v/>
      </c>
      <c r="P156" s="21" t="n"/>
      <c r="Q156" s="21" t="n"/>
      <c r="R156" s="27">
        <f>SUM(P156:Q156)</f>
        <v/>
      </c>
      <c r="S156" s="28" t="n"/>
      <c r="T156" s="28" t="n"/>
      <c r="U156" s="29">
        <f>IF(AND(R156=0,S156=0,T156=0),0,IF(AND(R156=0,S156=0),T156/1,IF(AND(R156=0,T156=0),S156/1,IF(AND(S156=0,T156=0),R156/1,IF(R156=0,FLOOR((S156+T156)/2,0.1),IF(S156=0,(R156+T156)/2,IF(T156=0,(S156+R156)/2,FLOOR(((R156+S156+T156)/3),0.1))))))))</f>
        <v/>
      </c>
      <c r="V156" s="21" t="n"/>
      <c r="W156" s="21" t="n"/>
      <c r="X156" s="27">
        <f>SUM(V156:W156)</f>
        <v/>
      </c>
      <c r="Y156" s="28" t="n"/>
      <c r="Z156" s="28" t="n"/>
      <c r="AA156" s="29">
        <f>IF(AND(X156=0,Y156=0,Z156=0),0,IF(AND(X156=0,Y156=0),Z156/1,IF(AND(X156=0,Z156=0),Y156/1,IF(AND(Y156=0,Z156=0),X156/1,IF(X156=0,FLOOR((Y156+Z156)/2,0.1),IF(Y156=0,(X156+Z156)/2,IF(Z156=0,(Y156+X156)/2,FLOOR(((X156+Y156+Z156)/3),0.1))))))))</f>
        <v/>
      </c>
      <c r="AB156" s="21" t="n"/>
      <c r="AC156" s="21" t="n"/>
      <c r="AD156" s="27">
        <f>SUM(AB156:AC156)</f>
        <v/>
      </c>
      <c r="AE156" s="28" t="n"/>
      <c r="AF156" s="28" t="n"/>
      <c r="AG156" s="29">
        <f>IF(AND(AD156=0,AE156=0,AF156=0),0,IF(AND(AD156=0,AE156=0),AF156/1,IF(AND(AD156=0,AF156=0),AE156/1,IF(AND(AE156=0,AF156=0),AD156/1,IF(AD156=0,FLOOR((AE156+AF156)/2,0.1),IF(AE156=0,(AD156+AF156)/2,IF(AF156=0,(AE156+AD156)/2,FLOOR(((AD156+AE156+AF156)/3),0.1))))))))</f>
        <v/>
      </c>
      <c r="AH156" s="21" t="n"/>
      <c r="AI156" s="21" t="n"/>
      <c r="AJ156" s="27">
        <f>SUM(AH156:AI156)</f>
        <v/>
      </c>
      <c r="AK156" s="28" t="n"/>
      <c r="AL156" s="28" t="n"/>
      <c r="AM156" s="29">
        <f>IF(AND(AJ156=0,AK156=0,AL156=0),0,IF(AND(AJ156=0,AK156=0),AL156/1,IF(AND(AJ156=0,AL156=0),AK156/1,IF(AND(AK156=0,AL156=0),AJ156/1,IF(AJ156=0,FLOOR((AK156+AL156)/2,0.1),IF(AK156=0,(AJ156+AL156)/2,IF(AL156=0,(AK156+AJ156)/2,FLOOR(((AJ156+AK156+AL156)/3),0.1))))))))</f>
        <v/>
      </c>
      <c r="AN156" s="21" t="n"/>
      <c r="AO156" s="21" t="n"/>
      <c r="AP156" s="27">
        <f>SUM(AN156:AO156)</f>
        <v/>
      </c>
      <c r="AQ156" s="28" t="n"/>
      <c r="AR156" s="30" t="n"/>
      <c r="AS156" s="29">
        <f>IF(AND(AP156=0,AQ156=0,AR156=0),0,IF(AND(AP156=0,AQ156=0),AR156/1,IF(AND(AP156=0,AR156=0),AQ156/1,IF(AND(AQ156=0,AR156=0),AP156/1,IF(AP156=0,FLOOR((AQ156+AR156)/2,0.1),IF(AQ156=0,(AP156+AR156)/2,IF(AR156=0,(AQ156+AP156)/2,FLOOR(((AP156+AQ156+AR156)/3),0.1))))))))</f>
        <v/>
      </c>
      <c r="AT156" s="21" t="n"/>
      <c r="AU156" s="21" t="n"/>
      <c r="AV156" s="27">
        <f>SUM(AT156:AU156)</f>
        <v/>
      </c>
      <c r="AW156" s="28" t="n"/>
      <c r="AX156" s="30" t="n"/>
      <c r="AY156" s="29">
        <f>IF(AND(AV156=0,AW156=0,AX156=0),0,IF(AND(AV156=0,AW156=0),AX156/1,IF(AND(AV156=0,AX156=0),AW156/1,IF(AND(AW156=0,AX156=0),AV156/1,IF(AV156=0,FLOOR((AW156+AX156)/2,0.1),IF(AW156=0,(AV156+AX156)/2,IF(AX156=0,(AW156+AV156)/2,FLOOR(((AV156+AW156+AX156)/3),0.1))))))))</f>
        <v/>
      </c>
      <c r="AZ156" s="21" t="n"/>
      <c r="BA156" s="21" t="n"/>
      <c r="BB156" s="27">
        <f>SUM(AZ156:BA156)</f>
        <v/>
      </c>
      <c r="BC156" s="28" t="n"/>
      <c r="BD156" s="28" t="n"/>
      <c r="BE156" s="29">
        <f>IF(AND(BB156=0,BC156=0,BD156=0),0,IF(AND(BB156=0,BC156=0),BD156/1,IF(AND(BB156=0,BD156=0),BC156/1,IF(AND(BC156=0,BD156=0),BB156/1,IF(BB156=0,FLOOR((BC156+BD156)/2,0.1),IF(BC156=0,(BB156+BD156)/2,IF(BD156=0,(BC156+BB156)/2,FLOOR(((BB156+BC156+BD156)/3),0.1))))))))</f>
        <v/>
      </c>
      <c r="BF156" s="21" t="n"/>
      <c r="BG156" s="21" t="n"/>
      <c r="BH156" s="27">
        <f>SUM(BF156:BG156)</f>
        <v/>
      </c>
      <c r="BI156" s="28" t="n"/>
      <c r="BJ156" s="28" t="n"/>
      <c r="BK156" s="29">
        <f>IF(AND(BH156=0,BI156=0,BJ156=0),0,IF(AND(BH156=0,BI156=0),BJ156/1,IF(AND(BH156=0,BJ156=0),BI156/1,IF(AND(BI156=0,BJ156=0),BH156/1,IF(BH156=0,FLOOR((BI156+BJ156)/2,0.1),IF(BI156=0,(BH156+BJ156)/2,IF(BJ156=0,(BI156+BH156)/2,FLOOR(((BH156+BI156+BJ156)/3),0.1))))))))</f>
        <v/>
      </c>
      <c r="BL156" s="21" t="n"/>
      <c r="BM156" s="21" t="n"/>
      <c r="BN156" s="27">
        <f>SUM(BL156:BM156)</f>
        <v/>
      </c>
      <c r="BO156" s="28" t="n"/>
      <c r="BP156" s="31" t="n"/>
      <c r="BQ156" s="29">
        <f>IF(AND(BN156=0,BO156=0,BP156=0),0,IF(AND(BN156=0,BO156=0),BP156/1,IF(AND(BN156=0,BP156=0),BO156/1,IF(AND(BO156=0,BP156=0),BN156/1,IF(BN156=0,FLOOR((BO156+BP156)/2,0.1),IF(BO156=0,(BN156+BP156)/2,IF(BP156=0,(BO156+BN156)/2,FLOOR(((BN156+BO156+BP156)/3),0.1))))))))</f>
        <v/>
      </c>
      <c r="BR156" s="21" t="n"/>
      <c r="BS156" s="21" t="n"/>
      <c r="BT156" s="27">
        <f>SUM(BR156:BS156)</f>
        <v/>
      </c>
      <c r="BU156" s="28" t="n"/>
      <c r="BV156" s="31" t="n"/>
      <c r="BW156" s="29">
        <f>IF(AND(BT156=0,BU156=0,BV156=0),0,IF(AND(BT156=0,BU156=0),BV156/1,IF(AND(BT156=0,BV156=0),BU156/1,IF(AND(BU156=0,BV156=0),BT156/1,IF(BT156=0,FLOOR((BU156+BV156)/2,0.1),IF(BU156=0,(BT156+BV156)/2,IF(BV156=0,(BU156+BT156)/2,FLOOR(((BT156+BU156+BV156)/3),0.1))))))))</f>
        <v/>
      </c>
      <c r="BX156" s="21" t="n"/>
      <c r="BY156" s="21" t="n"/>
      <c r="BZ156" s="27">
        <f>SUM(BX156:BY156)</f>
        <v/>
      </c>
      <c r="CA156" s="28" t="n"/>
      <c r="CB156" s="31" t="n"/>
      <c r="CC156" s="29">
        <f>IF(AND(BZ156=0,CA156=0,CB156=0),0,IF(AND(BZ156=0,CA156=0),CB156/1,IF(AND(BZ156=0,CB156=0),CA156/1,IF(AND(CA156=0,CB156=0),BZ156/1,IF(BZ156=0,FLOOR((CA156+CB156)/2,0.1),IF(CA156=0,(BZ156+CB156)/2,IF(CB156=0,(CA156+BZ156)/2,FLOOR(((BZ156+CA156+CB156)/3),0.1))))))))</f>
        <v/>
      </c>
      <c r="CD156" s="21" t="n"/>
      <c r="CE156" s="21" t="n"/>
      <c r="CF156" s="27">
        <f>SUM(CD156:CE156)</f>
        <v/>
      </c>
      <c r="CG156" s="28" t="n"/>
      <c r="CH156" s="31" t="n"/>
      <c r="CI156" s="29">
        <f>IF(AND(CF156=0,CG156=0,CH156=0),0,IF(AND(CF156=0,CG156=0),CH156/1,IF(AND(CF156=0,CH156=0),CG156/1,IF(AND(CG156=0,CH156=0),CF156/1,IF(CF156=0,FLOOR((CG156+CH156)/2,0.1),IF(CG156=0,(CF156+CH156)/2,IF(CH156=0,(CG156+CF156)/2,FLOOR(((CF156+CG156+CH156)/3),0.1))))))))</f>
        <v/>
      </c>
      <c r="CJ156" s="21" t="n"/>
      <c r="CK156" s="21" t="n"/>
      <c r="CL156" s="27">
        <f>SUM(CJ156:CK156)</f>
        <v/>
      </c>
      <c r="CM156" s="28" t="n"/>
      <c r="CN156" s="31" t="n"/>
      <c r="CO156" s="29">
        <f>IF(AND(CL156=0,CM156=0,CN156=0),0,IF(AND(CL156=0,CM156=0),CN156/1,IF(AND(CL156=0,CN156=0),CM156/1,IF(AND(CM156=0,CN156=0),CL156/1,IF(CL156=0,FLOOR((CM156+CN156)/2,0.1),IF(CM156=0,(CL156+CN156)/2,IF(CN156=0,(CM156+CL156)/2,FLOOR(((CL156+CM156+CN156)/3),0.1))))))))</f>
        <v/>
      </c>
      <c r="CP156" s="21" t="n"/>
      <c r="CQ156" s="21" t="n"/>
      <c r="CR156" s="27">
        <f>SUM(CP156:CQ156)</f>
        <v/>
      </c>
      <c r="CS156" s="28" t="n"/>
      <c r="CT156" s="31" t="n"/>
      <c r="CU156" s="29">
        <f>IF(AND(CR156=0,CS156=0,CT156=0),0,IF(AND(CR156=0,CS156=0),CT156/1,IF(AND(CR156=0,CT156=0),CS156/1,IF(AND(CS156=0,CT156=0),CR156/1,IF(CR156=0,FLOOR((CS156+CT156)/2,0.1),IF(CS156=0,(CR156+CT156)/2,IF(CT156=0,(CS156+CR156)/2,FLOOR(((CR156+CS156+CT156)/3),0.1))))))))</f>
        <v/>
      </c>
      <c r="CV156" s="21" t="n"/>
      <c r="CW156" s="21" t="n"/>
      <c r="CX156" s="27">
        <f>SUM(CV156:CW156)</f>
        <v/>
      </c>
      <c r="CY156" s="28" t="n"/>
      <c r="CZ156" s="31" t="n"/>
      <c r="DA156" s="29">
        <f>IF(AND(CX156=0,CY156=0,CZ156=0),0,IF(AND(CX156=0,CY156=0),CZ156/1,IF(AND(CX156=0,CZ156=0),CY156/1,IF(AND(CY156=0,CZ156=0),CX156/1,IF(CX156=0,FLOOR((CY156+CZ156)/2,0.1),IF(CY156=0,(CX156+CZ156)/2,IF(CZ156=0,(CY156+CX156)/2,FLOOR(((CX156+CY156+CZ156)/3),0.1))))))))</f>
        <v/>
      </c>
      <c r="DB156" s="21" t="n"/>
      <c r="DC156" s="21" t="n"/>
      <c r="DD156" s="27">
        <f>SUM(DB156:DC156)</f>
        <v/>
      </c>
      <c r="DE156" s="28" t="n"/>
      <c r="DF156" s="31" t="n"/>
      <c r="DG156" s="29">
        <f>IF(AND(DD156=0,DE156=0,DF156=0),0,IF(AND(DD156=0,DE156=0),DF156/1,IF(AND(DD156=0,DF156=0),DE156/1,IF(AND(DE156=0,DF156=0),DD156/1,IF(DD156=0,FLOOR((DE156+DF156)/2,0.1),IF(DE156=0,(DD156+DF156)/2,IF(DF156=0,(DE156+DD156)/2,FLOOR(((DD156+DE156+DF156)/3),0.1))))))))</f>
        <v/>
      </c>
      <c r="DH156" s="34">
        <f>SUM(O156,U156,AA156,AG156,AM156,AS156,AY156,BE156,BK156,BQ156,BW156,CC156,CI156,CO156,CU156,DA156,DG156)</f>
        <v/>
      </c>
      <c r="DI156" s="39">
        <f>RANK(DH156,DH$4:DH$503)</f>
        <v/>
      </c>
      <c r="DJ156" s="40" t="inlineStr">
        <is>
          <t>CHOOSE RATING</t>
        </is>
      </c>
      <c r="DK156" s="40" t="inlineStr">
        <is>
          <t>CHOOSE RATING</t>
        </is>
      </c>
      <c r="DL156" s="40" t="inlineStr">
        <is>
          <t>CHOOSE RATING</t>
        </is>
      </c>
      <c r="DM156" s="40" t="inlineStr">
        <is>
          <t>CHOOSE RATING</t>
        </is>
      </c>
      <c r="DN156" s="40" t="inlineStr">
        <is>
          <t>CHOOSE RATING</t>
        </is>
      </c>
      <c r="DO156" s="40" t="inlineStr">
        <is>
          <t>CHOOSE RATING</t>
        </is>
      </c>
      <c r="DP156" s="40" t="inlineStr">
        <is>
          <t>CHOOSE RATING</t>
        </is>
      </c>
      <c r="DQ156" s="40" t="inlineStr">
        <is>
          <t>CHOOSE RATING</t>
        </is>
      </c>
      <c r="DR156" s="43" t="inlineStr">
        <is>
          <t>2024/2025</t>
        </is>
      </c>
      <c r="DS156" s="45" t="inlineStr">
        <is>
          <t>THIRD</t>
        </is>
      </c>
      <c r="DT156" s="40" t="inlineStr">
        <is>
          <t>CHOOSE RATING</t>
        </is>
      </c>
      <c r="DU156" s="40" t="inlineStr">
        <is>
          <t>CHOOSE RATING</t>
        </is>
      </c>
      <c r="DV156" s="40" t="inlineStr">
        <is>
          <t>CHOOSE RATING</t>
        </is>
      </c>
      <c r="DW156" s="40" t="inlineStr">
        <is>
          <t>CHOOSE RATING</t>
        </is>
      </c>
      <c r="DX156" s="40" t="inlineStr">
        <is>
          <t>CHOOSE RATING</t>
        </is>
      </c>
      <c r="DY156" s="40" t="inlineStr">
        <is>
          <t>CHOOSE RATING</t>
        </is>
      </c>
      <c r="DZ156" s="53" t="inlineStr">
        <is>
          <t>CHOOSE RATING</t>
        </is>
      </c>
      <c r="EA156" s="54" t="inlineStr">
        <is>
          <t>Add the Tutor's Comment . . .</t>
        </is>
      </c>
      <c r="EB156" s="55" t="inlineStr">
        <is>
          <t>Choose Principals comment</t>
        </is>
      </c>
      <c r="EC156" s="56" t="n"/>
      <c r="ED156" s="57" t="inlineStr">
        <is>
          <t>Next Term Begins on Monday, 22nd September, 2025</t>
        </is>
      </c>
    </row>
    <row r="157" ht="30.6" customHeight="1" s="6">
      <c r="A157" s="18" t="n">
        <v>154</v>
      </c>
      <c r="B157" s="19" t="n"/>
      <c r="C157" s="20" t="n"/>
      <c r="D157" s="128" t="n"/>
      <c r="E157" s="21" t="n"/>
      <c r="F157" s="22" t="n"/>
      <c r="G157" s="22" t="n"/>
      <c r="H157" s="22" t="n"/>
      <c r="I157" s="26">
        <f>G157-H157</f>
        <v/>
      </c>
      <c r="J157" s="21" t="n"/>
      <c r="K157" s="21" t="n"/>
      <c r="L157" s="27">
        <f>SUM(J157:K157)</f>
        <v/>
      </c>
      <c r="M157" s="28" t="n"/>
      <c r="N157" s="28" t="n"/>
      <c r="O157" s="29">
        <f>IF(AND(L157=0,M157=0,N157=0),0,IF(AND(L157=0,M157=0),N157/1,IF(AND(L157=0,N157=0),M157/1,IF(AND(M157=0,N157=0),L157/1,IF(L157=0,FLOOR((M157+N157)/2,0.1),IF(M157=0,(L157+N157)/2,IF(N157=0,(M157+L157)/2,FLOOR(((L157+M157+N157)/3),0.1))))))))</f>
        <v/>
      </c>
      <c r="P157" s="21" t="n"/>
      <c r="Q157" s="21" t="n"/>
      <c r="R157" s="27">
        <f>SUM(P157:Q157)</f>
        <v/>
      </c>
      <c r="S157" s="28" t="n"/>
      <c r="T157" s="28" t="n"/>
      <c r="U157" s="29">
        <f>IF(AND(R157=0,S157=0,T157=0),0,IF(AND(R157=0,S157=0),T157/1,IF(AND(R157=0,T157=0),S157/1,IF(AND(S157=0,T157=0),R157/1,IF(R157=0,FLOOR((S157+T157)/2,0.1),IF(S157=0,(R157+T157)/2,IF(T157=0,(S157+R157)/2,FLOOR(((R157+S157+T157)/3),0.1))))))))</f>
        <v/>
      </c>
      <c r="V157" s="21" t="n"/>
      <c r="W157" s="21" t="n"/>
      <c r="X157" s="27">
        <f>SUM(V157:W157)</f>
        <v/>
      </c>
      <c r="Y157" s="28" t="n"/>
      <c r="Z157" s="28" t="n"/>
      <c r="AA157" s="29">
        <f>IF(AND(X157=0,Y157=0,Z157=0),0,IF(AND(X157=0,Y157=0),Z157/1,IF(AND(X157=0,Z157=0),Y157/1,IF(AND(Y157=0,Z157=0),X157/1,IF(X157=0,FLOOR((Y157+Z157)/2,0.1),IF(Y157=0,(X157+Z157)/2,IF(Z157=0,(Y157+X157)/2,FLOOR(((X157+Y157+Z157)/3),0.1))))))))</f>
        <v/>
      </c>
      <c r="AB157" s="21" t="n"/>
      <c r="AC157" s="21" t="n"/>
      <c r="AD157" s="27">
        <f>SUM(AB157:AC157)</f>
        <v/>
      </c>
      <c r="AE157" s="28" t="n"/>
      <c r="AF157" s="28" t="n"/>
      <c r="AG157" s="29">
        <f>IF(AND(AD157=0,AE157=0,AF157=0),0,IF(AND(AD157=0,AE157=0),AF157/1,IF(AND(AD157=0,AF157=0),AE157/1,IF(AND(AE157=0,AF157=0),AD157/1,IF(AD157=0,FLOOR((AE157+AF157)/2,0.1),IF(AE157=0,(AD157+AF157)/2,IF(AF157=0,(AE157+AD157)/2,FLOOR(((AD157+AE157+AF157)/3),0.1))))))))</f>
        <v/>
      </c>
      <c r="AH157" s="21" t="n"/>
      <c r="AI157" s="21" t="n"/>
      <c r="AJ157" s="27">
        <f>SUM(AH157:AI157)</f>
        <v/>
      </c>
      <c r="AK157" s="28" t="n"/>
      <c r="AL157" s="28" t="n"/>
      <c r="AM157" s="29">
        <f>IF(AND(AJ157=0,AK157=0,AL157=0),0,IF(AND(AJ157=0,AK157=0),AL157/1,IF(AND(AJ157=0,AL157=0),AK157/1,IF(AND(AK157=0,AL157=0),AJ157/1,IF(AJ157=0,FLOOR((AK157+AL157)/2,0.1),IF(AK157=0,(AJ157+AL157)/2,IF(AL157=0,(AK157+AJ157)/2,FLOOR(((AJ157+AK157+AL157)/3),0.1))))))))</f>
        <v/>
      </c>
      <c r="AN157" s="21" t="n"/>
      <c r="AO157" s="21" t="n"/>
      <c r="AP157" s="27">
        <f>SUM(AN157:AO157)</f>
        <v/>
      </c>
      <c r="AQ157" s="28" t="n"/>
      <c r="AR157" s="30" t="n"/>
      <c r="AS157" s="29">
        <f>IF(AND(AP157=0,AQ157=0,AR157=0),0,IF(AND(AP157=0,AQ157=0),AR157/1,IF(AND(AP157=0,AR157=0),AQ157/1,IF(AND(AQ157=0,AR157=0),AP157/1,IF(AP157=0,FLOOR((AQ157+AR157)/2,0.1),IF(AQ157=0,(AP157+AR157)/2,IF(AR157=0,(AQ157+AP157)/2,FLOOR(((AP157+AQ157+AR157)/3),0.1))))))))</f>
        <v/>
      </c>
      <c r="AT157" s="21" t="n"/>
      <c r="AU157" s="21" t="n"/>
      <c r="AV157" s="27">
        <f>SUM(AT157:AU157)</f>
        <v/>
      </c>
      <c r="AW157" s="28" t="n"/>
      <c r="AX157" s="30" t="n"/>
      <c r="AY157" s="29">
        <f>IF(AND(AV157=0,AW157=0,AX157=0),0,IF(AND(AV157=0,AW157=0),AX157/1,IF(AND(AV157=0,AX157=0),AW157/1,IF(AND(AW157=0,AX157=0),AV157/1,IF(AV157=0,FLOOR((AW157+AX157)/2,0.1),IF(AW157=0,(AV157+AX157)/2,IF(AX157=0,(AW157+AV157)/2,FLOOR(((AV157+AW157+AX157)/3),0.1))))))))</f>
        <v/>
      </c>
      <c r="AZ157" s="21" t="n"/>
      <c r="BA157" s="21" t="n"/>
      <c r="BB157" s="27">
        <f>SUM(AZ157:BA157)</f>
        <v/>
      </c>
      <c r="BC157" s="28" t="n"/>
      <c r="BD157" s="28" t="n"/>
      <c r="BE157" s="29">
        <f>IF(AND(BB157=0,BC157=0,BD157=0),0,IF(AND(BB157=0,BC157=0),BD157/1,IF(AND(BB157=0,BD157=0),BC157/1,IF(AND(BC157=0,BD157=0),BB157/1,IF(BB157=0,FLOOR((BC157+BD157)/2,0.1),IF(BC157=0,(BB157+BD157)/2,IF(BD157=0,(BC157+BB157)/2,FLOOR(((BB157+BC157+BD157)/3),0.1))))))))</f>
        <v/>
      </c>
      <c r="BF157" s="21" t="n"/>
      <c r="BG157" s="21" t="n"/>
      <c r="BH157" s="27">
        <f>SUM(BF157:BG157)</f>
        <v/>
      </c>
      <c r="BI157" s="28" t="n"/>
      <c r="BJ157" s="28" t="n"/>
      <c r="BK157" s="29">
        <f>IF(AND(BH157=0,BI157=0,BJ157=0),0,IF(AND(BH157=0,BI157=0),BJ157/1,IF(AND(BH157=0,BJ157=0),BI157/1,IF(AND(BI157=0,BJ157=0),BH157/1,IF(BH157=0,FLOOR((BI157+BJ157)/2,0.1),IF(BI157=0,(BH157+BJ157)/2,IF(BJ157=0,(BI157+BH157)/2,FLOOR(((BH157+BI157+BJ157)/3),0.1))))))))</f>
        <v/>
      </c>
      <c r="BL157" s="21" t="n"/>
      <c r="BM157" s="21" t="n"/>
      <c r="BN157" s="27">
        <f>SUM(BL157:BM157)</f>
        <v/>
      </c>
      <c r="BO157" s="28" t="n"/>
      <c r="BP157" s="31" t="n"/>
      <c r="BQ157" s="29">
        <f>IF(AND(BN157=0,BO157=0,BP157=0),0,IF(AND(BN157=0,BO157=0),BP157/1,IF(AND(BN157=0,BP157=0),BO157/1,IF(AND(BO157=0,BP157=0),BN157/1,IF(BN157=0,FLOOR((BO157+BP157)/2,0.1),IF(BO157=0,(BN157+BP157)/2,IF(BP157=0,(BO157+BN157)/2,FLOOR(((BN157+BO157+BP157)/3),0.1))))))))</f>
        <v/>
      </c>
      <c r="BR157" s="21" t="n"/>
      <c r="BS157" s="21" t="n"/>
      <c r="BT157" s="27">
        <f>SUM(BR157:BS157)</f>
        <v/>
      </c>
      <c r="BU157" s="28" t="n"/>
      <c r="BV157" s="31" t="n"/>
      <c r="BW157" s="29">
        <f>IF(AND(BT157=0,BU157=0,BV157=0),0,IF(AND(BT157=0,BU157=0),BV157/1,IF(AND(BT157=0,BV157=0),BU157/1,IF(AND(BU157=0,BV157=0),BT157/1,IF(BT157=0,FLOOR((BU157+BV157)/2,0.1),IF(BU157=0,(BT157+BV157)/2,IF(BV157=0,(BU157+BT157)/2,FLOOR(((BT157+BU157+BV157)/3),0.1))))))))</f>
        <v/>
      </c>
      <c r="BX157" s="21" t="n"/>
      <c r="BY157" s="21" t="n"/>
      <c r="BZ157" s="27">
        <f>SUM(BX157:BY157)</f>
        <v/>
      </c>
      <c r="CA157" s="28" t="n"/>
      <c r="CB157" s="31" t="n"/>
      <c r="CC157" s="29">
        <f>IF(AND(BZ157=0,CA157=0,CB157=0),0,IF(AND(BZ157=0,CA157=0),CB157/1,IF(AND(BZ157=0,CB157=0),CA157/1,IF(AND(CA157=0,CB157=0),BZ157/1,IF(BZ157=0,FLOOR((CA157+CB157)/2,0.1),IF(CA157=0,(BZ157+CB157)/2,IF(CB157=0,(CA157+BZ157)/2,FLOOR(((BZ157+CA157+CB157)/3),0.1))))))))</f>
        <v/>
      </c>
      <c r="CD157" s="21" t="n"/>
      <c r="CE157" s="21" t="n"/>
      <c r="CF157" s="27">
        <f>SUM(CD157:CE157)</f>
        <v/>
      </c>
      <c r="CG157" s="28" t="n"/>
      <c r="CH157" s="31" t="n"/>
      <c r="CI157" s="29">
        <f>IF(AND(CF157=0,CG157=0,CH157=0),0,IF(AND(CF157=0,CG157=0),CH157/1,IF(AND(CF157=0,CH157=0),CG157/1,IF(AND(CG157=0,CH157=0),CF157/1,IF(CF157=0,FLOOR((CG157+CH157)/2,0.1),IF(CG157=0,(CF157+CH157)/2,IF(CH157=0,(CG157+CF157)/2,FLOOR(((CF157+CG157+CH157)/3),0.1))))))))</f>
        <v/>
      </c>
      <c r="CJ157" s="21" t="n"/>
      <c r="CK157" s="21" t="n"/>
      <c r="CL157" s="27">
        <f>SUM(CJ157:CK157)</f>
        <v/>
      </c>
      <c r="CM157" s="28" t="n"/>
      <c r="CN157" s="31" t="n"/>
      <c r="CO157" s="29">
        <f>IF(AND(CL157=0,CM157=0,CN157=0),0,IF(AND(CL157=0,CM157=0),CN157/1,IF(AND(CL157=0,CN157=0),CM157/1,IF(AND(CM157=0,CN157=0),CL157/1,IF(CL157=0,FLOOR((CM157+CN157)/2,0.1),IF(CM157=0,(CL157+CN157)/2,IF(CN157=0,(CM157+CL157)/2,FLOOR(((CL157+CM157+CN157)/3),0.1))))))))</f>
        <v/>
      </c>
      <c r="CP157" s="21" t="n"/>
      <c r="CQ157" s="21" t="n"/>
      <c r="CR157" s="27">
        <f>SUM(CP157:CQ157)</f>
        <v/>
      </c>
      <c r="CS157" s="28" t="n"/>
      <c r="CT157" s="31" t="n"/>
      <c r="CU157" s="29">
        <f>IF(AND(CR157=0,CS157=0,CT157=0),0,IF(AND(CR157=0,CS157=0),CT157/1,IF(AND(CR157=0,CT157=0),CS157/1,IF(AND(CS157=0,CT157=0),CR157/1,IF(CR157=0,FLOOR((CS157+CT157)/2,0.1),IF(CS157=0,(CR157+CT157)/2,IF(CT157=0,(CS157+CR157)/2,FLOOR(((CR157+CS157+CT157)/3),0.1))))))))</f>
        <v/>
      </c>
      <c r="CV157" s="21" t="n"/>
      <c r="CW157" s="21" t="n"/>
      <c r="CX157" s="27">
        <f>SUM(CV157:CW157)</f>
        <v/>
      </c>
      <c r="CY157" s="28" t="n"/>
      <c r="CZ157" s="31" t="n"/>
      <c r="DA157" s="29">
        <f>IF(AND(CX157=0,CY157=0,CZ157=0),0,IF(AND(CX157=0,CY157=0),CZ157/1,IF(AND(CX157=0,CZ157=0),CY157/1,IF(AND(CY157=0,CZ157=0),CX157/1,IF(CX157=0,FLOOR((CY157+CZ157)/2,0.1),IF(CY157=0,(CX157+CZ157)/2,IF(CZ157=0,(CY157+CX157)/2,FLOOR(((CX157+CY157+CZ157)/3),0.1))))))))</f>
        <v/>
      </c>
      <c r="DB157" s="21" t="n"/>
      <c r="DC157" s="21" t="n"/>
      <c r="DD157" s="27">
        <f>SUM(DB157:DC157)</f>
        <v/>
      </c>
      <c r="DE157" s="28" t="n"/>
      <c r="DF157" s="31" t="n"/>
      <c r="DG157" s="29">
        <f>IF(AND(DD157=0,DE157=0,DF157=0),0,IF(AND(DD157=0,DE157=0),DF157/1,IF(AND(DD157=0,DF157=0),DE157/1,IF(AND(DE157=0,DF157=0),DD157/1,IF(DD157=0,FLOOR((DE157+DF157)/2,0.1),IF(DE157=0,(DD157+DF157)/2,IF(DF157=0,(DE157+DD157)/2,FLOOR(((DD157+DE157+DF157)/3),0.1))))))))</f>
        <v/>
      </c>
      <c r="DH157" s="34">
        <f>SUM(O157,U157,AA157,AG157,AM157,AS157,AY157,BE157,BK157,BQ157,BW157,CC157,CI157,CO157,CU157,DA157,DG157)</f>
        <v/>
      </c>
      <c r="DI157" s="39">
        <f>RANK(DH157,DH$4:DH$503)</f>
        <v/>
      </c>
      <c r="DJ157" s="40" t="inlineStr">
        <is>
          <t>CHOOSE RATING</t>
        </is>
      </c>
      <c r="DK157" s="40" t="inlineStr">
        <is>
          <t>CHOOSE RATING</t>
        </is>
      </c>
      <c r="DL157" s="40" t="inlineStr">
        <is>
          <t>CHOOSE RATING</t>
        </is>
      </c>
      <c r="DM157" s="40" t="inlineStr">
        <is>
          <t>CHOOSE RATING</t>
        </is>
      </c>
      <c r="DN157" s="40" t="inlineStr">
        <is>
          <t>CHOOSE RATING</t>
        </is>
      </c>
      <c r="DO157" s="40" t="inlineStr">
        <is>
          <t>CHOOSE RATING</t>
        </is>
      </c>
      <c r="DP157" s="40" t="inlineStr">
        <is>
          <t>CHOOSE RATING</t>
        </is>
      </c>
      <c r="DQ157" s="40" t="inlineStr">
        <is>
          <t>CHOOSE RATING</t>
        </is>
      </c>
      <c r="DR157" s="43" t="inlineStr">
        <is>
          <t>2024/2025</t>
        </is>
      </c>
      <c r="DS157" s="45" t="inlineStr">
        <is>
          <t>THIRD</t>
        </is>
      </c>
      <c r="DT157" s="40" t="inlineStr">
        <is>
          <t>CHOOSE RATING</t>
        </is>
      </c>
      <c r="DU157" s="40" t="inlineStr">
        <is>
          <t>CHOOSE RATING</t>
        </is>
      </c>
      <c r="DV157" s="40" t="inlineStr">
        <is>
          <t>CHOOSE RATING</t>
        </is>
      </c>
      <c r="DW157" s="40" t="inlineStr">
        <is>
          <t>CHOOSE RATING</t>
        </is>
      </c>
      <c r="DX157" s="40" t="inlineStr">
        <is>
          <t>CHOOSE RATING</t>
        </is>
      </c>
      <c r="DY157" s="40" t="inlineStr">
        <is>
          <t>CHOOSE RATING</t>
        </is>
      </c>
      <c r="DZ157" s="53" t="inlineStr">
        <is>
          <t>CHOOSE RATING</t>
        </is>
      </c>
      <c r="EA157" s="54" t="inlineStr">
        <is>
          <t>Add the Tutor's Comment . . .</t>
        </is>
      </c>
      <c r="EB157" s="55" t="inlineStr">
        <is>
          <t>Choose Principals comment</t>
        </is>
      </c>
      <c r="EC157" s="56" t="n"/>
      <c r="ED157" s="57" t="inlineStr">
        <is>
          <t>Next Term Begins on Monday, 22nd September, 2025</t>
        </is>
      </c>
    </row>
    <row r="158" ht="30.6" customHeight="1" s="6">
      <c r="A158" s="18" t="n">
        <v>155</v>
      </c>
      <c r="B158" s="19" t="n"/>
      <c r="C158" s="20" t="n"/>
      <c r="D158" s="128" t="n"/>
      <c r="E158" s="21" t="n"/>
      <c r="F158" s="22" t="n"/>
      <c r="G158" s="22" t="n"/>
      <c r="H158" s="22" t="n"/>
      <c r="I158" s="26">
        <f>G158-H158</f>
        <v/>
      </c>
      <c r="J158" s="21" t="n"/>
      <c r="K158" s="21" t="n"/>
      <c r="L158" s="27">
        <f>SUM(J158:K158)</f>
        <v/>
      </c>
      <c r="M158" s="28" t="n"/>
      <c r="N158" s="28" t="n"/>
      <c r="O158" s="29">
        <f>IF(AND(L158=0,M158=0,N158=0),0,IF(AND(L158=0,M158=0),N158/1,IF(AND(L158=0,N158=0),M158/1,IF(AND(M158=0,N158=0),L158/1,IF(L158=0,FLOOR((M158+N158)/2,0.1),IF(M158=0,(L158+N158)/2,IF(N158=0,(M158+L158)/2,FLOOR(((L158+M158+N158)/3),0.1))))))))</f>
        <v/>
      </c>
      <c r="P158" s="21" t="n"/>
      <c r="Q158" s="21" t="n"/>
      <c r="R158" s="27">
        <f>SUM(P158:Q158)</f>
        <v/>
      </c>
      <c r="S158" s="28" t="n"/>
      <c r="T158" s="28" t="n"/>
      <c r="U158" s="29">
        <f>IF(AND(R158=0,S158=0,T158=0),0,IF(AND(R158=0,S158=0),T158/1,IF(AND(R158=0,T158=0),S158/1,IF(AND(S158=0,T158=0),R158/1,IF(R158=0,FLOOR((S158+T158)/2,0.1),IF(S158=0,(R158+T158)/2,IF(T158=0,(S158+R158)/2,FLOOR(((R158+S158+T158)/3),0.1))))))))</f>
        <v/>
      </c>
      <c r="V158" s="21" t="n"/>
      <c r="W158" s="21" t="n"/>
      <c r="X158" s="27">
        <f>SUM(V158:W158)</f>
        <v/>
      </c>
      <c r="Y158" s="28" t="n"/>
      <c r="Z158" s="28" t="n"/>
      <c r="AA158" s="29">
        <f>IF(AND(X158=0,Y158=0,Z158=0),0,IF(AND(X158=0,Y158=0),Z158/1,IF(AND(X158=0,Z158=0),Y158/1,IF(AND(Y158=0,Z158=0),X158/1,IF(X158=0,FLOOR((Y158+Z158)/2,0.1),IF(Y158=0,(X158+Z158)/2,IF(Z158=0,(Y158+X158)/2,FLOOR(((X158+Y158+Z158)/3),0.1))))))))</f>
        <v/>
      </c>
      <c r="AB158" s="21" t="n"/>
      <c r="AC158" s="21" t="n"/>
      <c r="AD158" s="27">
        <f>SUM(AB158:AC158)</f>
        <v/>
      </c>
      <c r="AE158" s="28" t="n"/>
      <c r="AF158" s="28" t="n"/>
      <c r="AG158" s="29">
        <f>IF(AND(AD158=0,AE158=0,AF158=0),0,IF(AND(AD158=0,AE158=0),AF158/1,IF(AND(AD158=0,AF158=0),AE158/1,IF(AND(AE158=0,AF158=0),AD158/1,IF(AD158=0,FLOOR((AE158+AF158)/2,0.1),IF(AE158=0,(AD158+AF158)/2,IF(AF158=0,(AE158+AD158)/2,FLOOR(((AD158+AE158+AF158)/3),0.1))))))))</f>
        <v/>
      </c>
      <c r="AH158" s="21" t="n"/>
      <c r="AI158" s="21" t="n"/>
      <c r="AJ158" s="27">
        <f>SUM(AH158:AI158)</f>
        <v/>
      </c>
      <c r="AK158" s="28" t="n"/>
      <c r="AL158" s="28" t="n"/>
      <c r="AM158" s="29">
        <f>IF(AND(AJ158=0,AK158=0,AL158=0),0,IF(AND(AJ158=0,AK158=0),AL158/1,IF(AND(AJ158=0,AL158=0),AK158/1,IF(AND(AK158=0,AL158=0),AJ158/1,IF(AJ158=0,FLOOR((AK158+AL158)/2,0.1),IF(AK158=0,(AJ158+AL158)/2,IF(AL158=0,(AK158+AJ158)/2,FLOOR(((AJ158+AK158+AL158)/3),0.1))))))))</f>
        <v/>
      </c>
      <c r="AN158" s="21" t="n"/>
      <c r="AO158" s="21" t="n"/>
      <c r="AP158" s="27">
        <f>SUM(AN158:AO158)</f>
        <v/>
      </c>
      <c r="AQ158" s="28" t="n"/>
      <c r="AR158" s="30" t="n"/>
      <c r="AS158" s="29">
        <f>IF(AND(AP158=0,AQ158=0,AR158=0),0,IF(AND(AP158=0,AQ158=0),AR158/1,IF(AND(AP158=0,AR158=0),AQ158/1,IF(AND(AQ158=0,AR158=0),AP158/1,IF(AP158=0,FLOOR((AQ158+AR158)/2,0.1),IF(AQ158=0,(AP158+AR158)/2,IF(AR158=0,(AQ158+AP158)/2,FLOOR(((AP158+AQ158+AR158)/3),0.1))))))))</f>
        <v/>
      </c>
      <c r="AT158" s="21" t="n"/>
      <c r="AU158" s="21" t="n"/>
      <c r="AV158" s="27">
        <f>SUM(AT158:AU158)</f>
        <v/>
      </c>
      <c r="AW158" s="28" t="n"/>
      <c r="AX158" s="30" t="n"/>
      <c r="AY158" s="29">
        <f>IF(AND(AV158=0,AW158=0,AX158=0),0,IF(AND(AV158=0,AW158=0),AX158/1,IF(AND(AV158=0,AX158=0),AW158/1,IF(AND(AW158=0,AX158=0),AV158/1,IF(AV158=0,FLOOR((AW158+AX158)/2,0.1),IF(AW158=0,(AV158+AX158)/2,IF(AX158=0,(AW158+AV158)/2,FLOOR(((AV158+AW158+AX158)/3),0.1))))))))</f>
        <v/>
      </c>
      <c r="AZ158" s="21" t="n"/>
      <c r="BA158" s="21" t="n"/>
      <c r="BB158" s="27">
        <f>SUM(AZ158:BA158)</f>
        <v/>
      </c>
      <c r="BC158" s="28" t="n"/>
      <c r="BD158" s="28" t="n"/>
      <c r="BE158" s="29">
        <f>IF(AND(BB158=0,BC158=0,BD158=0),0,IF(AND(BB158=0,BC158=0),BD158/1,IF(AND(BB158=0,BD158=0),BC158/1,IF(AND(BC158=0,BD158=0),BB158/1,IF(BB158=0,FLOOR((BC158+BD158)/2,0.1),IF(BC158=0,(BB158+BD158)/2,IF(BD158=0,(BC158+BB158)/2,FLOOR(((BB158+BC158+BD158)/3),0.1))))))))</f>
        <v/>
      </c>
      <c r="BF158" s="21" t="n"/>
      <c r="BG158" s="21" t="n"/>
      <c r="BH158" s="27">
        <f>SUM(BF158:BG158)</f>
        <v/>
      </c>
      <c r="BI158" s="28" t="n"/>
      <c r="BJ158" s="28" t="n"/>
      <c r="BK158" s="29">
        <f>IF(AND(BH158=0,BI158=0,BJ158=0),0,IF(AND(BH158=0,BI158=0),BJ158/1,IF(AND(BH158=0,BJ158=0),BI158/1,IF(AND(BI158=0,BJ158=0),BH158/1,IF(BH158=0,FLOOR((BI158+BJ158)/2,0.1),IF(BI158=0,(BH158+BJ158)/2,IF(BJ158=0,(BI158+BH158)/2,FLOOR(((BH158+BI158+BJ158)/3),0.1))))))))</f>
        <v/>
      </c>
      <c r="BL158" s="21" t="n"/>
      <c r="BM158" s="21" t="n"/>
      <c r="BN158" s="27">
        <f>SUM(BL158:BM158)</f>
        <v/>
      </c>
      <c r="BO158" s="28" t="n"/>
      <c r="BP158" s="31" t="n"/>
      <c r="BQ158" s="29">
        <f>IF(AND(BN158=0,BO158=0,BP158=0),0,IF(AND(BN158=0,BO158=0),BP158/1,IF(AND(BN158=0,BP158=0),BO158/1,IF(AND(BO158=0,BP158=0),BN158/1,IF(BN158=0,FLOOR((BO158+BP158)/2,0.1),IF(BO158=0,(BN158+BP158)/2,IF(BP158=0,(BO158+BN158)/2,FLOOR(((BN158+BO158+BP158)/3),0.1))))))))</f>
        <v/>
      </c>
      <c r="BR158" s="21" t="n"/>
      <c r="BS158" s="21" t="n"/>
      <c r="BT158" s="27">
        <f>SUM(BR158:BS158)</f>
        <v/>
      </c>
      <c r="BU158" s="28" t="n"/>
      <c r="BV158" s="31" t="n"/>
      <c r="BW158" s="29">
        <f>IF(AND(BT158=0,BU158=0,BV158=0),0,IF(AND(BT158=0,BU158=0),BV158/1,IF(AND(BT158=0,BV158=0),BU158/1,IF(AND(BU158=0,BV158=0),BT158/1,IF(BT158=0,FLOOR((BU158+BV158)/2,0.1),IF(BU158=0,(BT158+BV158)/2,IF(BV158=0,(BU158+BT158)/2,FLOOR(((BT158+BU158+BV158)/3),0.1))))))))</f>
        <v/>
      </c>
      <c r="BX158" s="21" t="n"/>
      <c r="BY158" s="21" t="n"/>
      <c r="BZ158" s="27">
        <f>SUM(BX158:BY158)</f>
        <v/>
      </c>
      <c r="CA158" s="28" t="n"/>
      <c r="CB158" s="31" t="n"/>
      <c r="CC158" s="29">
        <f>IF(AND(BZ158=0,CA158=0,CB158=0),0,IF(AND(BZ158=0,CA158=0),CB158/1,IF(AND(BZ158=0,CB158=0),CA158/1,IF(AND(CA158=0,CB158=0),BZ158/1,IF(BZ158=0,FLOOR((CA158+CB158)/2,0.1),IF(CA158=0,(BZ158+CB158)/2,IF(CB158=0,(CA158+BZ158)/2,FLOOR(((BZ158+CA158+CB158)/3),0.1))))))))</f>
        <v/>
      </c>
      <c r="CD158" s="21" t="n"/>
      <c r="CE158" s="21" t="n"/>
      <c r="CF158" s="27">
        <f>SUM(CD158:CE158)</f>
        <v/>
      </c>
      <c r="CG158" s="28" t="n"/>
      <c r="CH158" s="31" t="n"/>
      <c r="CI158" s="29">
        <f>IF(AND(CF158=0,CG158=0,CH158=0),0,IF(AND(CF158=0,CG158=0),CH158/1,IF(AND(CF158=0,CH158=0),CG158/1,IF(AND(CG158=0,CH158=0),CF158/1,IF(CF158=0,FLOOR((CG158+CH158)/2,0.1),IF(CG158=0,(CF158+CH158)/2,IF(CH158=0,(CG158+CF158)/2,FLOOR(((CF158+CG158+CH158)/3),0.1))))))))</f>
        <v/>
      </c>
      <c r="CJ158" s="21" t="n"/>
      <c r="CK158" s="21" t="n"/>
      <c r="CL158" s="27">
        <f>SUM(CJ158:CK158)</f>
        <v/>
      </c>
      <c r="CM158" s="28" t="n"/>
      <c r="CN158" s="31" t="n"/>
      <c r="CO158" s="29">
        <f>IF(AND(CL158=0,CM158=0,CN158=0),0,IF(AND(CL158=0,CM158=0),CN158/1,IF(AND(CL158=0,CN158=0),CM158/1,IF(AND(CM158=0,CN158=0),CL158/1,IF(CL158=0,FLOOR((CM158+CN158)/2,0.1),IF(CM158=0,(CL158+CN158)/2,IF(CN158=0,(CM158+CL158)/2,FLOOR(((CL158+CM158+CN158)/3),0.1))))))))</f>
        <v/>
      </c>
      <c r="CP158" s="21" t="n"/>
      <c r="CQ158" s="21" t="n"/>
      <c r="CR158" s="27">
        <f>SUM(CP158:CQ158)</f>
        <v/>
      </c>
      <c r="CS158" s="28" t="n"/>
      <c r="CT158" s="31" t="n"/>
      <c r="CU158" s="29">
        <f>IF(AND(CR158=0,CS158=0,CT158=0),0,IF(AND(CR158=0,CS158=0),CT158/1,IF(AND(CR158=0,CT158=0),CS158/1,IF(AND(CS158=0,CT158=0),CR158/1,IF(CR158=0,FLOOR((CS158+CT158)/2,0.1),IF(CS158=0,(CR158+CT158)/2,IF(CT158=0,(CS158+CR158)/2,FLOOR(((CR158+CS158+CT158)/3),0.1))))))))</f>
        <v/>
      </c>
      <c r="CV158" s="21" t="n"/>
      <c r="CW158" s="21" t="n"/>
      <c r="CX158" s="27">
        <f>SUM(CV158:CW158)</f>
        <v/>
      </c>
      <c r="CY158" s="28" t="n"/>
      <c r="CZ158" s="31" t="n"/>
      <c r="DA158" s="29">
        <f>IF(AND(CX158=0,CY158=0,CZ158=0),0,IF(AND(CX158=0,CY158=0),CZ158/1,IF(AND(CX158=0,CZ158=0),CY158/1,IF(AND(CY158=0,CZ158=0),CX158/1,IF(CX158=0,FLOOR((CY158+CZ158)/2,0.1),IF(CY158=0,(CX158+CZ158)/2,IF(CZ158=0,(CY158+CX158)/2,FLOOR(((CX158+CY158+CZ158)/3),0.1))))))))</f>
        <v/>
      </c>
      <c r="DB158" s="21" t="n"/>
      <c r="DC158" s="21" t="n"/>
      <c r="DD158" s="27">
        <f>SUM(DB158:DC158)</f>
        <v/>
      </c>
      <c r="DE158" s="28" t="n"/>
      <c r="DF158" s="31" t="n"/>
      <c r="DG158" s="29">
        <f>IF(AND(DD158=0,DE158=0,DF158=0),0,IF(AND(DD158=0,DE158=0),DF158/1,IF(AND(DD158=0,DF158=0),DE158/1,IF(AND(DE158=0,DF158=0),DD158/1,IF(DD158=0,FLOOR((DE158+DF158)/2,0.1),IF(DE158=0,(DD158+DF158)/2,IF(DF158=0,(DE158+DD158)/2,FLOOR(((DD158+DE158+DF158)/3),0.1))))))))</f>
        <v/>
      </c>
      <c r="DH158" s="34">
        <f>SUM(O158,U158,AA158,AG158,AM158,AS158,AY158,BE158,BK158,BQ158,BW158,CC158,CI158,CO158,CU158,DA158,DG158)</f>
        <v/>
      </c>
      <c r="DI158" s="39">
        <f>RANK(DH158,DH$4:DH$503)</f>
        <v/>
      </c>
      <c r="DJ158" s="40" t="inlineStr">
        <is>
          <t>CHOOSE RATING</t>
        </is>
      </c>
      <c r="DK158" s="40" t="inlineStr">
        <is>
          <t>CHOOSE RATING</t>
        </is>
      </c>
      <c r="DL158" s="40" t="inlineStr">
        <is>
          <t>CHOOSE RATING</t>
        </is>
      </c>
      <c r="DM158" s="40" t="inlineStr">
        <is>
          <t>CHOOSE RATING</t>
        </is>
      </c>
      <c r="DN158" s="40" t="inlineStr">
        <is>
          <t>CHOOSE RATING</t>
        </is>
      </c>
      <c r="DO158" s="40" t="inlineStr">
        <is>
          <t>CHOOSE RATING</t>
        </is>
      </c>
      <c r="DP158" s="40" t="inlineStr">
        <is>
          <t>CHOOSE RATING</t>
        </is>
      </c>
      <c r="DQ158" s="40" t="inlineStr">
        <is>
          <t>CHOOSE RATING</t>
        </is>
      </c>
      <c r="DR158" s="43" t="inlineStr">
        <is>
          <t>2024/2025</t>
        </is>
      </c>
      <c r="DS158" s="45" t="inlineStr">
        <is>
          <t>THIRD</t>
        </is>
      </c>
      <c r="DT158" s="40" t="inlineStr">
        <is>
          <t>CHOOSE RATING</t>
        </is>
      </c>
      <c r="DU158" s="40" t="inlineStr">
        <is>
          <t>CHOOSE RATING</t>
        </is>
      </c>
      <c r="DV158" s="40" t="inlineStr">
        <is>
          <t>CHOOSE RATING</t>
        </is>
      </c>
      <c r="DW158" s="40" t="inlineStr">
        <is>
          <t>CHOOSE RATING</t>
        </is>
      </c>
      <c r="DX158" s="40" t="inlineStr">
        <is>
          <t>CHOOSE RATING</t>
        </is>
      </c>
      <c r="DY158" s="40" t="inlineStr">
        <is>
          <t>CHOOSE RATING</t>
        </is>
      </c>
      <c r="DZ158" s="53" t="inlineStr">
        <is>
          <t>CHOOSE RATING</t>
        </is>
      </c>
      <c r="EA158" s="54" t="inlineStr">
        <is>
          <t>Add the Tutor's Comment . . .</t>
        </is>
      </c>
      <c r="EB158" s="55" t="inlineStr">
        <is>
          <t>Choose Principals comment</t>
        </is>
      </c>
      <c r="EC158" s="56" t="n"/>
      <c r="ED158" s="57" t="inlineStr">
        <is>
          <t>Next Term Begins on Monday, 22nd September, 2025</t>
        </is>
      </c>
    </row>
    <row r="159" ht="30.6" customHeight="1" s="6">
      <c r="A159" s="18" t="n">
        <v>156</v>
      </c>
      <c r="B159" s="19" t="n"/>
      <c r="C159" s="20" t="n"/>
      <c r="D159" s="128" t="n"/>
      <c r="E159" s="21" t="n"/>
      <c r="F159" s="22" t="n"/>
      <c r="G159" s="22" t="n"/>
      <c r="H159" s="22" t="n"/>
      <c r="I159" s="26">
        <f>G159-H159</f>
        <v/>
      </c>
      <c r="J159" s="21" t="n"/>
      <c r="K159" s="21" t="n"/>
      <c r="L159" s="27">
        <f>SUM(J159:K159)</f>
        <v/>
      </c>
      <c r="M159" s="28" t="n"/>
      <c r="N159" s="28" t="n"/>
      <c r="O159" s="29">
        <f>IF(AND(L159=0,M159=0,N159=0),0,IF(AND(L159=0,M159=0),N159/1,IF(AND(L159=0,N159=0),M159/1,IF(AND(M159=0,N159=0),L159/1,IF(L159=0,FLOOR((M159+N159)/2,0.1),IF(M159=0,(L159+N159)/2,IF(N159=0,(M159+L159)/2,FLOOR(((L159+M159+N159)/3),0.1))))))))</f>
        <v/>
      </c>
      <c r="P159" s="21" t="n"/>
      <c r="Q159" s="21" t="n"/>
      <c r="R159" s="27">
        <f>SUM(P159:Q159)</f>
        <v/>
      </c>
      <c r="S159" s="28" t="n"/>
      <c r="T159" s="28" t="n"/>
      <c r="U159" s="29">
        <f>IF(AND(R159=0,S159=0,T159=0),0,IF(AND(R159=0,S159=0),T159/1,IF(AND(R159=0,T159=0),S159/1,IF(AND(S159=0,T159=0),R159/1,IF(R159=0,FLOOR((S159+T159)/2,0.1),IF(S159=0,(R159+T159)/2,IF(T159=0,(S159+R159)/2,FLOOR(((R159+S159+T159)/3),0.1))))))))</f>
        <v/>
      </c>
      <c r="V159" s="21" t="n"/>
      <c r="W159" s="21" t="n"/>
      <c r="X159" s="27">
        <f>SUM(V159:W159)</f>
        <v/>
      </c>
      <c r="Y159" s="28" t="n"/>
      <c r="Z159" s="28" t="n"/>
      <c r="AA159" s="29">
        <f>IF(AND(X159=0,Y159=0,Z159=0),0,IF(AND(X159=0,Y159=0),Z159/1,IF(AND(X159=0,Z159=0),Y159/1,IF(AND(Y159=0,Z159=0),X159/1,IF(X159=0,FLOOR((Y159+Z159)/2,0.1),IF(Y159=0,(X159+Z159)/2,IF(Z159=0,(Y159+X159)/2,FLOOR(((X159+Y159+Z159)/3),0.1))))))))</f>
        <v/>
      </c>
      <c r="AB159" s="21" t="n"/>
      <c r="AC159" s="21" t="n"/>
      <c r="AD159" s="27">
        <f>SUM(AB159:AC159)</f>
        <v/>
      </c>
      <c r="AE159" s="28" t="n"/>
      <c r="AF159" s="28" t="n"/>
      <c r="AG159" s="29">
        <f>IF(AND(AD159=0,AE159=0,AF159=0),0,IF(AND(AD159=0,AE159=0),AF159/1,IF(AND(AD159=0,AF159=0),AE159/1,IF(AND(AE159=0,AF159=0),AD159/1,IF(AD159=0,FLOOR((AE159+AF159)/2,0.1),IF(AE159=0,(AD159+AF159)/2,IF(AF159=0,(AE159+AD159)/2,FLOOR(((AD159+AE159+AF159)/3),0.1))))))))</f>
        <v/>
      </c>
      <c r="AH159" s="21" t="n"/>
      <c r="AI159" s="21" t="n"/>
      <c r="AJ159" s="27">
        <f>SUM(AH159:AI159)</f>
        <v/>
      </c>
      <c r="AK159" s="28" t="n"/>
      <c r="AL159" s="28" t="n"/>
      <c r="AM159" s="29">
        <f>IF(AND(AJ159=0,AK159=0,AL159=0),0,IF(AND(AJ159=0,AK159=0),AL159/1,IF(AND(AJ159=0,AL159=0),AK159/1,IF(AND(AK159=0,AL159=0),AJ159/1,IF(AJ159=0,FLOOR((AK159+AL159)/2,0.1),IF(AK159=0,(AJ159+AL159)/2,IF(AL159=0,(AK159+AJ159)/2,FLOOR(((AJ159+AK159+AL159)/3),0.1))))))))</f>
        <v/>
      </c>
      <c r="AN159" s="21" t="n"/>
      <c r="AO159" s="21" t="n"/>
      <c r="AP159" s="27">
        <f>SUM(AN159:AO159)</f>
        <v/>
      </c>
      <c r="AQ159" s="28" t="n"/>
      <c r="AR159" s="30" t="n"/>
      <c r="AS159" s="29">
        <f>IF(AND(AP159=0,AQ159=0,AR159=0),0,IF(AND(AP159=0,AQ159=0),AR159/1,IF(AND(AP159=0,AR159=0),AQ159/1,IF(AND(AQ159=0,AR159=0),AP159/1,IF(AP159=0,FLOOR((AQ159+AR159)/2,0.1),IF(AQ159=0,(AP159+AR159)/2,IF(AR159=0,(AQ159+AP159)/2,FLOOR(((AP159+AQ159+AR159)/3),0.1))))))))</f>
        <v/>
      </c>
      <c r="AT159" s="21" t="n"/>
      <c r="AU159" s="21" t="n"/>
      <c r="AV159" s="27">
        <f>SUM(AT159:AU159)</f>
        <v/>
      </c>
      <c r="AW159" s="28" t="n"/>
      <c r="AX159" s="30" t="n"/>
      <c r="AY159" s="29">
        <f>IF(AND(AV159=0,AW159=0,AX159=0),0,IF(AND(AV159=0,AW159=0),AX159/1,IF(AND(AV159=0,AX159=0),AW159/1,IF(AND(AW159=0,AX159=0),AV159/1,IF(AV159=0,FLOOR((AW159+AX159)/2,0.1),IF(AW159=0,(AV159+AX159)/2,IF(AX159=0,(AW159+AV159)/2,FLOOR(((AV159+AW159+AX159)/3),0.1))))))))</f>
        <v/>
      </c>
      <c r="AZ159" s="21" t="n"/>
      <c r="BA159" s="21" t="n"/>
      <c r="BB159" s="27">
        <f>SUM(AZ159:BA159)</f>
        <v/>
      </c>
      <c r="BC159" s="28" t="n"/>
      <c r="BD159" s="28" t="n"/>
      <c r="BE159" s="29">
        <f>IF(AND(BB159=0,BC159=0,BD159=0),0,IF(AND(BB159=0,BC159=0),BD159/1,IF(AND(BB159=0,BD159=0),BC159/1,IF(AND(BC159=0,BD159=0),BB159/1,IF(BB159=0,FLOOR((BC159+BD159)/2,0.1),IF(BC159=0,(BB159+BD159)/2,IF(BD159=0,(BC159+BB159)/2,FLOOR(((BB159+BC159+BD159)/3),0.1))))))))</f>
        <v/>
      </c>
      <c r="BF159" s="21" t="n"/>
      <c r="BG159" s="21" t="n"/>
      <c r="BH159" s="27">
        <f>SUM(BF159:BG159)</f>
        <v/>
      </c>
      <c r="BI159" s="28" t="n"/>
      <c r="BJ159" s="28" t="n"/>
      <c r="BK159" s="29">
        <f>IF(AND(BH159=0,BI159=0,BJ159=0),0,IF(AND(BH159=0,BI159=0),BJ159/1,IF(AND(BH159=0,BJ159=0),BI159/1,IF(AND(BI159=0,BJ159=0),BH159/1,IF(BH159=0,FLOOR((BI159+BJ159)/2,0.1),IF(BI159=0,(BH159+BJ159)/2,IF(BJ159=0,(BI159+BH159)/2,FLOOR(((BH159+BI159+BJ159)/3),0.1))))))))</f>
        <v/>
      </c>
      <c r="BL159" s="21" t="n"/>
      <c r="BM159" s="21" t="n"/>
      <c r="BN159" s="27">
        <f>SUM(BL159:BM159)</f>
        <v/>
      </c>
      <c r="BO159" s="28" t="n"/>
      <c r="BP159" s="31" t="n"/>
      <c r="BQ159" s="29">
        <f>IF(AND(BN159=0,BO159=0,BP159=0),0,IF(AND(BN159=0,BO159=0),BP159/1,IF(AND(BN159=0,BP159=0),BO159/1,IF(AND(BO159=0,BP159=0),BN159/1,IF(BN159=0,FLOOR((BO159+BP159)/2,0.1),IF(BO159=0,(BN159+BP159)/2,IF(BP159=0,(BO159+BN159)/2,FLOOR(((BN159+BO159+BP159)/3),0.1))))))))</f>
        <v/>
      </c>
      <c r="BR159" s="21" t="n"/>
      <c r="BS159" s="21" t="n"/>
      <c r="BT159" s="27">
        <f>SUM(BR159:BS159)</f>
        <v/>
      </c>
      <c r="BU159" s="28" t="n"/>
      <c r="BV159" s="31" t="n"/>
      <c r="BW159" s="29">
        <f>IF(AND(BT159=0,BU159=0,BV159=0),0,IF(AND(BT159=0,BU159=0),BV159/1,IF(AND(BT159=0,BV159=0),BU159/1,IF(AND(BU159=0,BV159=0),BT159/1,IF(BT159=0,FLOOR((BU159+BV159)/2,0.1),IF(BU159=0,(BT159+BV159)/2,IF(BV159=0,(BU159+BT159)/2,FLOOR(((BT159+BU159+BV159)/3),0.1))))))))</f>
        <v/>
      </c>
      <c r="BX159" s="21" t="n"/>
      <c r="BY159" s="21" t="n"/>
      <c r="BZ159" s="27">
        <f>SUM(BX159:BY159)</f>
        <v/>
      </c>
      <c r="CA159" s="28" t="n"/>
      <c r="CB159" s="31" t="n"/>
      <c r="CC159" s="29">
        <f>IF(AND(BZ159=0,CA159=0,CB159=0),0,IF(AND(BZ159=0,CA159=0),CB159/1,IF(AND(BZ159=0,CB159=0),CA159/1,IF(AND(CA159=0,CB159=0),BZ159/1,IF(BZ159=0,FLOOR((CA159+CB159)/2,0.1),IF(CA159=0,(BZ159+CB159)/2,IF(CB159=0,(CA159+BZ159)/2,FLOOR(((BZ159+CA159+CB159)/3),0.1))))))))</f>
        <v/>
      </c>
      <c r="CD159" s="21" t="n"/>
      <c r="CE159" s="21" t="n"/>
      <c r="CF159" s="27">
        <f>SUM(CD159:CE159)</f>
        <v/>
      </c>
      <c r="CG159" s="28" t="n"/>
      <c r="CH159" s="31" t="n"/>
      <c r="CI159" s="29">
        <f>IF(AND(CF159=0,CG159=0,CH159=0),0,IF(AND(CF159=0,CG159=0),CH159/1,IF(AND(CF159=0,CH159=0),CG159/1,IF(AND(CG159=0,CH159=0),CF159/1,IF(CF159=0,FLOOR((CG159+CH159)/2,0.1),IF(CG159=0,(CF159+CH159)/2,IF(CH159=0,(CG159+CF159)/2,FLOOR(((CF159+CG159+CH159)/3),0.1))))))))</f>
        <v/>
      </c>
      <c r="CJ159" s="21" t="n"/>
      <c r="CK159" s="21" t="n"/>
      <c r="CL159" s="27">
        <f>SUM(CJ159:CK159)</f>
        <v/>
      </c>
      <c r="CM159" s="28" t="n"/>
      <c r="CN159" s="31" t="n"/>
      <c r="CO159" s="29">
        <f>IF(AND(CL159=0,CM159=0,CN159=0),0,IF(AND(CL159=0,CM159=0),CN159/1,IF(AND(CL159=0,CN159=0),CM159/1,IF(AND(CM159=0,CN159=0),CL159/1,IF(CL159=0,FLOOR((CM159+CN159)/2,0.1),IF(CM159=0,(CL159+CN159)/2,IF(CN159=0,(CM159+CL159)/2,FLOOR(((CL159+CM159+CN159)/3),0.1))))))))</f>
        <v/>
      </c>
      <c r="CP159" s="21" t="n"/>
      <c r="CQ159" s="21" t="n"/>
      <c r="CR159" s="27">
        <f>SUM(CP159:CQ159)</f>
        <v/>
      </c>
      <c r="CS159" s="28" t="n"/>
      <c r="CT159" s="31" t="n"/>
      <c r="CU159" s="29">
        <f>IF(AND(CR159=0,CS159=0,CT159=0),0,IF(AND(CR159=0,CS159=0),CT159/1,IF(AND(CR159=0,CT159=0),CS159/1,IF(AND(CS159=0,CT159=0),CR159/1,IF(CR159=0,FLOOR((CS159+CT159)/2,0.1),IF(CS159=0,(CR159+CT159)/2,IF(CT159=0,(CS159+CR159)/2,FLOOR(((CR159+CS159+CT159)/3),0.1))))))))</f>
        <v/>
      </c>
      <c r="CV159" s="21" t="n"/>
      <c r="CW159" s="21" t="n"/>
      <c r="CX159" s="27">
        <f>SUM(CV159:CW159)</f>
        <v/>
      </c>
      <c r="CY159" s="28" t="n"/>
      <c r="CZ159" s="31" t="n"/>
      <c r="DA159" s="29">
        <f>IF(AND(CX159=0,CY159=0,CZ159=0),0,IF(AND(CX159=0,CY159=0),CZ159/1,IF(AND(CX159=0,CZ159=0),CY159/1,IF(AND(CY159=0,CZ159=0),CX159/1,IF(CX159=0,FLOOR((CY159+CZ159)/2,0.1),IF(CY159=0,(CX159+CZ159)/2,IF(CZ159=0,(CY159+CX159)/2,FLOOR(((CX159+CY159+CZ159)/3),0.1))))))))</f>
        <v/>
      </c>
      <c r="DB159" s="21" t="n"/>
      <c r="DC159" s="21" t="n"/>
      <c r="DD159" s="27">
        <f>SUM(DB159:DC159)</f>
        <v/>
      </c>
      <c r="DE159" s="28" t="n"/>
      <c r="DF159" s="31" t="n"/>
      <c r="DG159" s="29">
        <f>IF(AND(DD159=0,DE159=0,DF159=0),0,IF(AND(DD159=0,DE159=0),DF159/1,IF(AND(DD159=0,DF159=0),DE159/1,IF(AND(DE159=0,DF159=0),DD159/1,IF(DD159=0,FLOOR((DE159+DF159)/2,0.1),IF(DE159=0,(DD159+DF159)/2,IF(DF159=0,(DE159+DD159)/2,FLOOR(((DD159+DE159+DF159)/3),0.1))))))))</f>
        <v/>
      </c>
      <c r="DH159" s="34">
        <f>SUM(O159,U159,AA159,AG159,AM159,AS159,AY159,BE159,BK159,BQ159,BW159,CC159,CI159,CO159,CU159,DA159,DG159)</f>
        <v/>
      </c>
      <c r="DI159" s="39">
        <f>RANK(DH159,DH$4:DH$503)</f>
        <v/>
      </c>
      <c r="DJ159" s="40" t="inlineStr">
        <is>
          <t>CHOOSE RATING</t>
        </is>
      </c>
      <c r="DK159" s="40" t="inlineStr">
        <is>
          <t>CHOOSE RATING</t>
        </is>
      </c>
      <c r="DL159" s="40" t="inlineStr">
        <is>
          <t>CHOOSE RATING</t>
        </is>
      </c>
      <c r="DM159" s="40" t="inlineStr">
        <is>
          <t>CHOOSE RATING</t>
        </is>
      </c>
      <c r="DN159" s="40" t="inlineStr">
        <is>
          <t>CHOOSE RATING</t>
        </is>
      </c>
      <c r="DO159" s="40" t="inlineStr">
        <is>
          <t>CHOOSE RATING</t>
        </is>
      </c>
      <c r="DP159" s="40" t="inlineStr">
        <is>
          <t>CHOOSE RATING</t>
        </is>
      </c>
      <c r="DQ159" s="40" t="inlineStr">
        <is>
          <t>CHOOSE RATING</t>
        </is>
      </c>
      <c r="DR159" s="43" t="inlineStr">
        <is>
          <t>2024/2025</t>
        </is>
      </c>
      <c r="DS159" s="45" t="inlineStr">
        <is>
          <t>THIRD</t>
        </is>
      </c>
      <c r="DT159" s="40" t="inlineStr">
        <is>
          <t>CHOOSE RATING</t>
        </is>
      </c>
      <c r="DU159" s="40" t="inlineStr">
        <is>
          <t>CHOOSE RATING</t>
        </is>
      </c>
      <c r="DV159" s="40" t="inlineStr">
        <is>
          <t>CHOOSE RATING</t>
        </is>
      </c>
      <c r="DW159" s="40" t="inlineStr">
        <is>
          <t>CHOOSE RATING</t>
        </is>
      </c>
      <c r="DX159" s="40" t="inlineStr">
        <is>
          <t>CHOOSE RATING</t>
        </is>
      </c>
      <c r="DY159" s="40" t="inlineStr">
        <is>
          <t>CHOOSE RATING</t>
        </is>
      </c>
      <c r="DZ159" s="53" t="inlineStr">
        <is>
          <t>CHOOSE RATING</t>
        </is>
      </c>
      <c r="EA159" s="54" t="inlineStr">
        <is>
          <t>Add the Tutor's Comment . . .</t>
        </is>
      </c>
      <c r="EB159" s="55" t="inlineStr">
        <is>
          <t>Choose Principals comment</t>
        </is>
      </c>
      <c r="EC159" s="56" t="n"/>
      <c r="ED159" s="57" t="inlineStr">
        <is>
          <t>Next Term Begins on Monday, 22nd September, 2025</t>
        </is>
      </c>
    </row>
    <row r="160" ht="30.6" customHeight="1" s="6">
      <c r="A160" s="18" t="n">
        <v>157</v>
      </c>
      <c r="B160" s="19" t="n"/>
      <c r="C160" s="20" t="n"/>
      <c r="D160" s="128" t="n"/>
      <c r="E160" s="21" t="n"/>
      <c r="F160" s="22" t="n"/>
      <c r="G160" s="22" t="n"/>
      <c r="H160" s="22" t="n"/>
      <c r="I160" s="26">
        <f>G160-H160</f>
        <v/>
      </c>
      <c r="J160" s="21" t="n"/>
      <c r="K160" s="21" t="n"/>
      <c r="L160" s="27">
        <f>SUM(J160:K160)</f>
        <v/>
      </c>
      <c r="M160" s="28" t="n"/>
      <c r="N160" s="28" t="n"/>
      <c r="O160" s="29">
        <f>IF(AND(L160=0,M160=0,N160=0),0,IF(AND(L160=0,M160=0),N160/1,IF(AND(L160=0,N160=0),M160/1,IF(AND(M160=0,N160=0),L160/1,IF(L160=0,FLOOR((M160+N160)/2,0.1),IF(M160=0,(L160+N160)/2,IF(N160=0,(M160+L160)/2,FLOOR(((L160+M160+N160)/3),0.1))))))))</f>
        <v/>
      </c>
      <c r="P160" s="21" t="n"/>
      <c r="Q160" s="21" t="n"/>
      <c r="R160" s="27">
        <f>SUM(P160:Q160)</f>
        <v/>
      </c>
      <c r="S160" s="28" t="n"/>
      <c r="T160" s="28" t="n"/>
      <c r="U160" s="29">
        <f>IF(AND(R160=0,S160=0,T160=0),0,IF(AND(R160=0,S160=0),T160/1,IF(AND(R160=0,T160=0),S160/1,IF(AND(S160=0,T160=0),R160/1,IF(R160=0,FLOOR((S160+T160)/2,0.1),IF(S160=0,(R160+T160)/2,IF(T160=0,(S160+R160)/2,FLOOR(((R160+S160+T160)/3),0.1))))))))</f>
        <v/>
      </c>
      <c r="V160" s="21" t="n"/>
      <c r="W160" s="21" t="n"/>
      <c r="X160" s="27">
        <f>SUM(V160:W160)</f>
        <v/>
      </c>
      <c r="Y160" s="28" t="n"/>
      <c r="Z160" s="28" t="n"/>
      <c r="AA160" s="29">
        <f>IF(AND(X160=0,Y160=0,Z160=0),0,IF(AND(X160=0,Y160=0),Z160/1,IF(AND(X160=0,Z160=0),Y160/1,IF(AND(Y160=0,Z160=0),X160/1,IF(X160=0,FLOOR((Y160+Z160)/2,0.1),IF(Y160=0,(X160+Z160)/2,IF(Z160=0,(Y160+X160)/2,FLOOR(((X160+Y160+Z160)/3),0.1))))))))</f>
        <v/>
      </c>
      <c r="AB160" s="21" t="n"/>
      <c r="AC160" s="21" t="n"/>
      <c r="AD160" s="27">
        <f>SUM(AB160:AC160)</f>
        <v/>
      </c>
      <c r="AE160" s="28" t="n"/>
      <c r="AF160" s="28" t="n"/>
      <c r="AG160" s="29">
        <f>IF(AND(AD160=0,AE160=0,AF160=0),0,IF(AND(AD160=0,AE160=0),AF160/1,IF(AND(AD160=0,AF160=0),AE160/1,IF(AND(AE160=0,AF160=0),AD160/1,IF(AD160=0,FLOOR((AE160+AF160)/2,0.1),IF(AE160=0,(AD160+AF160)/2,IF(AF160=0,(AE160+AD160)/2,FLOOR(((AD160+AE160+AF160)/3),0.1))))))))</f>
        <v/>
      </c>
      <c r="AH160" s="21" t="n"/>
      <c r="AI160" s="21" t="n"/>
      <c r="AJ160" s="27">
        <f>SUM(AH160:AI160)</f>
        <v/>
      </c>
      <c r="AK160" s="28" t="n"/>
      <c r="AL160" s="28" t="n"/>
      <c r="AM160" s="29">
        <f>IF(AND(AJ160=0,AK160=0,AL160=0),0,IF(AND(AJ160=0,AK160=0),AL160/1,IF(AND(AJ160=0,AL160=0),AK160/1,IF(AND(AK160=0,AL160=0),AJ160/1,IF(AJ160=0,FLOOR((AK160+AL160)/2,0.1),IF(AK160=0,(AJ160+AL160)/2,IF(AL160=0,(AK160+AJ160)/2,FLOOR(((AJ160+AK160+AL160)/3),0.1))))))))</f>
        <v/>
      </c>
      <c r="AN160" s="21" t="n"/>
      <c r="AO160" s="21" t="n"/>
      <c r="AP160" s="27">
        <f>SUM(AN160:AO160)</f>
        <v/>
      </c>
      <c r="AQ160" s="28" t="n"/>
      <c r="AR160" s="30" t="n"/>
      <c r="AS160" s="29">
        <f>IF(AND(AP160=0,AQ160=0,AR160=0),0,IF(AND(AP160=0,AQ160=0),AR160/1,IF(AND(AP160=0,AR160=0),AQ160/1,IF(AND(AQ160=0,AR160=0),AP160/1,IF(AP160=0,FLOOR((AQ160+AR160)/2,0.1),IF(AQ160=0,(AP160+AR160)/2,IF(AR160=0,(AQ160+AP160)/2,FLOOR(((AP160+AQ160+AR160)/3),0.1))))))))</f>
        <v/>
      </c>
      <c r="AT160" s="21" t="n"/>
      <c r="AU160" s="21" t="n"/>
      <c r="AV160" s="27">
        <f>SUM(AT160:AU160)</f>
        <v/>
      </c>
      <c r="AW160" s="28" t="n"/>
      <c r="AX160" s="30" t="n"/>
      <c r="AY160" s="29">
        <f>IF(AND(AV160=0,AW160=0,AX160=0),0,IF(AND(AV160=0,AW160=0),AX160/1,IF(AND(AV160=0,AX160=0),AW160/1,IF(AND(AW160=0,AX160=0),AV160/1,IF(AV160=0,FLOOR((AW160+AX160)/2,0.1),IF(AW160=0,(AV160+AX160)/2,IF(AX160=0,(AW160+AV160)/2,FLOOR(((AV160+AW160+AX160)/3),0.1))))))))</f>
        <v/>
      </c>
      <c r="AZ160" s="21" t="n"/>
      <c r="BA160" s="21" t="n"/>
      <c r="BB160" s="27">
        <f>SUM(AZ160:BA160)</f>
        <v/>
      </c>
      <c r="BC160" s="28" t="n"/>
      <c r="BD160" s="28" t="n"/>
      <c r="BE160" s="29">
        <f>IF(AND(BB160=0,BC160=0,BD160=0),0,IF(AND(BB160=0,BC160=0),BD160/1,IF(AND(BB160=0,BD160=0),BC160/1,IF(AND(BC160=0,BD160=0),BB160/1,IF(BB160=0,FLOOR((BC160+BD160)/2,0.1),IF(BC160=0,(BB160+BD160)/2,IF(BD160=0,(BC160+BB160)/2,FLOOR(((BB160+BC160+BD160)/3),0.1))))))))</f>
        <v/>
      </c>
      <c r="BF160" s="21" t="n"/>
      <c r="BG160" s="21" t="n"/>
      <c r="BH160" s="27">
        <f>SUM(BF160:BG160)</f>
        <v/>
      </c>
      <c r="BI160" s="28" t="n"/>
      <c r="BJ160" s="28" t="n"/>
      <c r="BK160" s="29">
        <f>IF(AND(BH160=0,BI160=0,BJ160=0),0,IF(AND(BH160=0,BI160=0),BJ160/1,IF(AND(BH160=0,BJ160=0),BI160/1,IF(AND(BI160=0,BJ160=0),BH160/1,IF(BH160=0,FLOOR((BI160+BJ160)/2,0.1),IF(BI160=0,(BH160+BJ160)/2,IF(BJ160=0,(BI160+BH160)/2,FLOOR(((BH160+BI160+BJ160)/3),0.1))))))))</f>
        <v/>
      </c>
      <c r="BL160" s="21" t="n"/>
      <c r="BM160" s="21" t="n"/>
      <c r="BN160" s="27">
        <f>SUM(BL160:BM160)</f>
        <v/>
      </c>
      <c r="BO160" s="28" t="n"/>
      <c r="BP160" s="31" t="n"/>
      <c r="BQ160" s="29">
        <f>IF(AND(BN160=0,BO160=0,BP160=0),0,IF(AND(BN160=0,BO160=0),BP160/1,IF(AND(BN160=0,BP160=0),BO160/1,IF(AND(BO160=0,BP160=0),BN160/1,IF(BN160=0,FLOOR((BO160+BP160)/2,0.1),IF(BO160=0,(BN160+BP160)/2,IF(BP160=0,(BO160+BN160)/2,FLOOR(((BN160+BO160+BP160)/3),0.1))))))))</f>
        <v/>
      </c>
      <c r="BR160" s="21" t="n"/>
      <c r="BS160" s="21" t="n"/>
      <c r="BT160" s="27">
        <f>SUM(BR160:BS160)</f>
        <v/>
      </c>
      <c r="BU160" s="28" t="n"/>
      <c r="BV160" s="31" t="n"/>
      <c r="BW160" s="29">
        <f>IF(AND(BT160=0,BU160=0,BV160=0),0,IF(AND(BT160=0,BU160=0),BV160/1,IF(AND(BT160=0,BV160=0),BU160/1,IF(AND(BU160=0,BV160=0),BT160/1,IF(BT160=0,FLOOR((BU160+BV160)/2,0.1),IF(BU160=0,(BT160+BV160)/2,IF(BV160=0,(BU160+BT160)/2,FLOOR(((BT160+BU160+BV160)/3),0.1))))))))</f>
        <v/>
      </c>
      <c r="BX160" s="21" t="n"/>
      <c r="BY160" s="21" t="n"/>
      <c r="BZ160" s="27">
        <f>SUM(BX160:BY160)</f>
        <v/>
      </c>
      <c r="CA160" s="28" t="n"/>
      <c r="CB160" s="31" t="n"/>
      <c r="CC160" s="29">
        <f>IF(AND(BZ160=0,CA160=0,CB160=0),0,IF(AND(BZ160=0,CA160=0),CB160/1,IF(AND(BZ160=0,CB160=0),CA160/1,IF(AND(CA160=0,CB160=0),BZ160/1,IF(BZ160=0,FLOOR((CA160+CB160)/2,0.1),IF(CA160=0,(BZ160+CB160)/2,IF(CB160=0,(CA160+BZ160)/2,FLOOR(((BZ160+CA160+CB160)/3),0.1))))))))</f>
        <v/>
      </c>
      <c r="CD160" s="21" t="n"/>
      <c r="CE160" s="21" t="n"/>
      <c r="CF160" s="27">
        <f>SUM(CD160:CE160)</f>
        <v/>
      </c>
      <c r="CG160" s="28" t="n"/>
      <c r="CH160" s="31" t="n"/>
      <c r="CI160" s="29">
        <f>IF(AND(CF160=0,CG160=0,CH160=0),0,IF(AND(CF160=0,CG160=0),CH160/1,IF(AND(CF160=0,CH160=0),CG160/1,IF(AND(CG160=0,CH160=0),CF160/1,IF(CF160=0,FLOOR((CG160+CH160)/2,0.1),IF(CG160=0,(CF160+CH160)/2,IF(CH160=0,(CG160+CF160)/2,FLOOR(((CF160+CG160+CH160)/3),0.1))))))))</f>
        <v/>
      </c>
      <c r="CJ160" s="21" t="n"/>
      <c r="CK160" s="21" t="n"/>
      <c r="CL160" s="27">
        <f>SUM(CJ160:CK160)</f>
        <v/>
      </c>
      <c r="CM160" s="28" t="n"/>
      <c r="CN160" s="31" t="n"/>
      <c r="CO160" s="29">
        <f>IF(AND(CL160=0,CM160=0,CN160=0),0,IF(AND(CL160=0,CM160=0),CN160/1,IF(AND(CL160=0,CN160=0),CM160/1,IF(AND(CM160=0,CN160=0),CL160/1,IF(CL160=0,FLOOR((CM160+CN160)/2,0.1),IF(CM160=0,(CL160+CN160)/2,IF(CN160=0,(CM160+CL160)/2,FLOOR(((CL160+CM160+CN160)/3),0.1))))))))</f>
        <v/>
      </c>
      <c r="CP160" s="21" t="n"/>
      <c r="CQ160" s="21" t="n"/>
      <c r="CR160" s="27">
        <f>SUM(CP160:CQ160)</f>
        <v/>
      </c>
      <c r="CS160" s="28" t="n"/>
      <c r="CT160" s="31" t="n"/>
      <c r="CU160" s="29">
        <f>IF(AND(CR160=0,CS160=0,CT160=0),0,IF(AND(CR160=0,CS160=0),CT160/1,IF(AND(CR160=0,CT160=0),CS160/1,IF(AND(CS160=0,CT160=0),CR160/1,IF(CR160=0,FLOOR((CS160+CT160)/2,0.1),IF(CS160=0,(CR160+CT160)/2,IF(CT160=0,(CS160+CR160)/2,FLOOR(((CR160+CS160+CT160)/3),0.1))))))))</f>
        <v/>
      </c>
      <c r="CV160" s="21" t="n"/>
      <c r="CW160" s="21" t="n"/>
      <c r="CX160" s="27">
        <f>SUM(CV160:CW160)</f>
        <v/>
      </c>
      <c r="CY160" s="28" t="n"/>
      <c r="CZ160" s="31" t="n"/>
      <c r="DA160" s="29">
        <f>IF(AND(CX160=0,CY160=0,CZ160=0),0,IF(AND(CX160=0,CY160=0),CZ160/1,IF(AND(CX160=0,CZ160=0),CY160/1,IF(AND(CY160=0,CZ160=0),CX160/1,IF(CX160=0,FLOOR((CY160+CZ160)/2,0.1),IF(CY160=0,(CX160+CZ160)/2,IF(CZ160=0,(CY160+CX160)/2,FLOOR(((CX160+CY160+CZ160)/3),0.1))))))))</f>
        <v/>
      </c>
      <c r="DB160" s="21" t="n"/>
      <c r="DC160" s="21" t="n"/>
      <c r="DD160" s="27">
        <f>SUM(DB160:DC160)</f>
        <v/>
      </c>
      <c r="DE160" s="28" t="n"/>
      <c r="DF160" s="31" t="n"/>
      <c r="DG160" s="29">
        <f>IF(AND(DD160=0,DE160=0,DF160=0),0,IF(AND(DD160=0,DE160=0),DF160/1,IF(AND(DD160=0,DF160=0),DE160/1,IF(AND(DE160=0,DF160=0),DD160/1,IF(DD160=0,FLOOR((DE160+DF160)/2,0.1),IF(DE160=0,(DD160+DF160)/2,IF(DF160=0,(DE160+DD160)/2,FLOOR(((DD160+DE160+DF160)/3),0.1))))))))</f>
        <v/>
      </c>
      <c r="DH160" s="34">
        <f>SUM(O160,U160,AA160,AG160,AM160,AS160,AY160,BE160,BK160,BQ160,BW160,CC160,CI160,CO160,CU160,DA160,DG160)</f>
        <v/>
      </c>
      <c r="DI160" s="39">
        <f>RANK(DH160,DH$4:DH$503)</f>
        <v/>
      </c>
      <c r="DJ160" s="40" t="inlineStr">
        <is>
          <t>CHOOSE RATING</t>
        </is>
      </c>
      <c r="DK160" s="40" t="inlineStr">
        <is>
          <t>CHOOSE RATING</t>
        </is>
      </c>
      <c r="DL160" s="40" t="inlineStr">
        <is>
          <t>CHOOSE RATING</t>
        </is>
      </c>
      <c r="DM160" s="40" t="inlineStr">
        <is>
          <t>CHOOSE RATING</t>
        </is>
      </c>
      <c r="DN160" s="40" t="inlineStr">
        <is>
          <t>CHOOSE RATING</t>
        </is>
      </c>
      <c r="DO160" s="40" t="inlineStr">
        <is>
          <t>CHOOSE RATING</t>
        </is>
      </c>
      <c r="DP160" s="40" t="inlineStr">
        <is>
          <t>CHOOSE RATING</t>
        </is>
      </c>
      <c r="DQ160" s="40" t="inlineStr">
        <is>
          <t>CHOOSE RATING</t>
        </is>
      </c>
      <c r="DR160" s="43" t="inlineStr">
        <is>
          <t>2024/2025</t>
        </is>
      </c>
      <c r="DS160" s="45" t="inlineStr">
        <is>
          <t>THIRD</t>
        </is>
      </c>
      <c r="DT160" s="40" t="inlineStr">
        <is>
          <t>CHOOSE RATING</t>
        </is>
      </c>
      <c r="DU160" s="40" t="inlineStr">
        <is>
          <t>CHOOSE RATING</t>
        </is>
      </c>
      <c r="DV160" s="40" t="inlineStr">
        <is>
          <t>CHOOSE RATING</t>
        </is>
      </c>
      <c r="DW160" s="40" t="inlineStr">
        <is>
          <t>CHOOSE RATING</t>
        </is>
      </c>
      <c r="DX160" s="40" t="inlineStr">
        <is>
          <t>CHOOSE RATING</t>
        </is>
      </c>
      <c r="DY160" s="40" t="inlineStr">
        <is>
          <t>CHOOSE RATING</t>
        </is>
      </c>
      <c r="DZ160" s="53" t="inlineStr">
        <is>
          <t>CHOOSE RATING</t>
        </is>
      </c>
      <c r="EA160" s="54" t="inlineStr">
        <is>
          <t>Add the Tutor's Comment . . .</t>
        </is>
      </c>
      <c r="EB160" s="55" t="inlineStr">
        <is>
          <t>Choose Principals comment</t>
        </is>
      </c>
      <c r="EC160" s="56" t="n"/>
      <c r="ED160" s="57" t="inlineStr">
        <is>
          <t>Next Term Begins on Monday, 22nd September, 2025</t>
        </is>
      </c>
    </row>
    <row r="161" ht="30.6" customHeight="1" s="6">
      <c r="A161" s="18" t="n">
        <v>158</v>
      </c>
      <c r="B161" s="19" t="n"/>
      <c r="C161" s="20" t="n"/>
      <c r="D161" s="128" t="n"/>
      <c r="E161" s="21" t="n"/>
      <c r="F161" s="22" t="n"/>
      <c r="G161" s="22" t="n"/>
      <c r="H161" s="22" t="n"/>
      <c r="I161" s="26">
        <f>G161-H161</f>
        <v/>
      </c>
      <c r="J161" s="21" t="n"/>
      <c r="K161" s="21" t="n"/>
      <c r="L161" s="27">
        <f>SUM(J161:K161)</f>
        <v/>
      </c>
      <c r="M161" s="28" t="n"/>
      <c r="N161" s="28" t="n"/>
      <c r="O161" s="29">
        <f>IF(AND(L161=0,M161=0,N161=0),0,IF(AND(L161=0,M161=0),N161/1,IF(AND(L161=0,N161=0),M161/1,IF(AND(M161=0,N161=0),L161/1,IF(L161=0,FLOOR((M161+N161)/2,0.1),IF(M161=0,(L161+N161)/2,IF(N161=0,(M161+L161)/2,FLOOR(((L161+M161+N161)/3),0.1))))))))</f>
        <v/>
      </c>
      <c r="P161" s="21" t="n"/>
      <c r="Q161" s="21" t="n"/>
      <c r="R161" s="27">
        <f>SUM(P161:Q161)</f>
        <v/>
      </c>
      <c r="S161" s="28" t="n"/>
      <c r="T161" s="28" t="n"/>
      <c r="U161" s="29">
        <f>IF(AND(R161=0,S161=0,T161=0),0,IF(AND(R161=0,S161=0),T161/1,IF(AND(R161=0,T161=0),S161/1,IF(AND(S161=0,T161=0),R161/1,IF(R161=0,FLOOR((S161+T161)/2,0.1),IF(S161=0,(R161+T161)/2,IF(T161=0,(S161+R161)/2,FLOOR(((R161+S161+T161)/3),0.1))))))))</f>
        <v/>
      </c>
      <c r="V161" s="21" t="n"/>
      <c r="W161" s="21" t="n"/>
      <c r="X161" s="27">
        <f>SUM(V161:W161)</f>
        <v/>
      </c>
      <c r="Y161" s="28" t="n"/>
      <c r="Z161" s="28" t="n"/>
      <c r="AA161" s="29">
        <f>IF(AND(X161=0,Y161=0,Z161=0),0,IF(AND(X161=0,Y161=0),Z161/1,IF(AND(X161=0,Z161=0),Y161/1,IF(AND(Y161=0,Z161=0),X161/1,IF(X161=0,FLOOR((Y161+Z161)/2,0.1),IF(Y161=0,(X161+Z161)/2,IF(Z161=0,(Y161+X161)/2,FLOOR(((X161+Y161+Z161)/3),0.1))))))))</f>
        <v/>
      </c>
      <c r="AB161" s="21" t="n"/>
      <c r="AC161" s="21" t="n"/>
      <c r="AD161" s="27">
        <f>SUM(AB161:AC161)</f>
        <v/>
      </c>
      <c r="AE161" s="28" t="n"/>
      <c r="AF161" s="28" t="n"/>
      <c r="AG161" s="29">
        <f>IF(AND(AD161=0,AE161=0,AF161=0),0,IF(AND(AD161=0,AE161=0),AF161/1,IF(AND(AD161=0,AF161=0),AE161/1,IF(AND(AE161=0,AF161=0),AD161/1,IF(AD161=0,FLOOR((AE161+AF161)/2,0.1),IF(AE161=0,(AD161+AF161)/2,IF(AF161=0,(AE161+AD161)/2,FLOOR(((AD161+AE161+AF161)/3),0.1))))))))</f>
        <v/>
      </c>
      <c r="AH161" s="21" t="n"/>
      <c r="AI161" s="21" t="n"/>
      <c r="AJ161" s="27">
        <f>SUM(AH161:AI161)</f>
        <v/>
      </c>
      <c r="AK161" s="28" t="n"/>
      <c r="AL161" s="28" t="n"/>
      <c r="AM161" s="29">
        <f>IF(AND(AJ161=0,AK161=0,AL161=0),0,IF(AND(AJ161=0,AK161=0),AL161/1,IF(AND(AJ161=0,AL161=0),AK161/1,IF(AND(AK161=0,AL161=0),AJ161/1,IF(AJ161=0,FLOOR((AK161+AL161)/2,0.1),IF(AK161=0,(AJ161+AL161)/2,IF(AL161=0,(AK161+AJ161)/2,FLOOR(((AJ161+AK161+AL161)/3),0.1))))))))</f>
        <v/>
      </c>
      <c r="AN161" s="21" t="n"/>
      <c r="AO161" s="21" t="n"/>
      <c r="AP161" s="27">
        <f>SUM(AN161:AO161)</f>
        <v/>
      </c>
      <c r="AQ161" s="28" t="n"/>
      <c r="AR161" s="30" t="n"/>
      <c r="AS161" s="29">
        <f>IF(AND(AP161=0,AQ161=0,AR161=0),0,IF(AND(AP161=0,AQ161=0),AR161/1,IF(AND(AP161=0,AR161=0),AQ161/1,IF(AND(AQ161=0,AR161=0),AP161/1,IF(AP161=0,FLOOR((AQ161+AR161)/2,0.1),IF(AQ161=0,(AP161+AR161)/2,IF(AR161=0,(AQ161+AP161)/2,FLOOR(((AP161+AQ161+AR161)/3),0.1))))))))</f>
        <v/>
      </c>
      <c r="AT161" s="21" t="n"/>
      <c r="AU161" s="21" t="n"/>
      <c r="AV161" s="27">
        <f>SUM(AT161:AU161)</f>
        <v/>
      </c>
      <c r="AW161" s="28" t="n"/>
      <c r="AX161" s="30" t="n"/>
      <c r="AY161" s="29">
        <f>IF(AND(AV161=0,AW161=0,AX161=0),0,IF(AND(AV161=0,AW161=0),AX161/1,IF(AND(AV161=0,AX161=0),AW161/1,IF(AND(AW161=0,AX161=0),AV161/1,IF(AV161=0,FLOOR((AW161+AX161)/2,0.1),IF(AW161=0,(AV161+AX161)/2,IF(AX161=0,(AW161+AV161)/2,FLOOR(((AV161+AW161+AX161)/3),0.1))))))))</f>
        <v/>
      </c>
      <c r="AZ161" s="21" t="n"/>
      <c r="BA161" s="21" t="n"/>
      <c r="BB161" s="27">
        <f>SUM(AZ161:BA161)</f>
        <v/>
      </c>
      <c r="BC161" s="28" t="n"/>
      <c r="BD161" s="28" t="n"/>
      <c r="BE161" s="29">
        <f>IF(AND(BB161=0,BC161=0,BD161=0),0,IF(AND(BB161=0,BC161=0),BD161/1,IF(AND(BB161=0,BD161=0),BC161/1,IF(AND(BC161=0,BD161=0),BB161/1,IF(BB161=0,FLOOR((BC161+BD161)/2,0.1),IF(BC161=0,(BB161+BD161)/2,IF(BD161=0,(BC161+BB161)/2,FLOOR(((BB161+BC161+BD161)/3),0.1))))))))</f>
        <v/>
      </c>
      <c r="BF161" s="21" t="n"/>
      <c r="BG161" s="21" t="n"/>
      <c r="BH161" s="27">
        <f>SUM(BF161:BG161)</f>
        <v/>
      </c>
      <c r="BI161" s="28" t="n"/>
      <c r="BJ161" s="28" t="n"/>
      <c r="BK161" s="29">
        <f>IF(AND(BH161=0,BI161=0,BJ161=0),0,IF(AND(BH161=0,BI161=0),BJ161/1,IF(AND(BH161=0,BJ161=0),BI161/1,IF(AND(BI161=0,BJ161=0),BH161/1,IF(BH161=0,FLOOR((BI161+BJ161)/2,0.1),IF(BI161=0,(BH161+BJ161)/2,IF(BJ161=0,(BI161+BH161)/2,FLOOR(((BH161+BI161+BJ161)/3),0.1))))))))</f>
        <v/>
      </c>
      <c r="BL161" s="21" t="n"/>
      <c r="BM161" s="21" t="n"/>
      <c r="BN161" s="27">
        <f>SUM(BL161:BM161)</f>
        <v/>
      </c>
      <c r="BO161" s="28" t="n"/>
      <c r="BP161" s="31" t="n"/>
      <c r="BQ161" s="29">
        <f>IF(AND(BN161=0,BO161=0,BP161=0),0,IF(AND(BN161=0,BO161=0),BP161/1,IF(AND(BN161=0,BP161=0),BO161/1,IF(AND(BO161=0,BP161=0),BN161/1,IF(BN161=0,FLOOR((BO161+BP161)/2,0.1),IF(BO161=0,(BN161+BP161)/2,IF(BP161=0,(BO161+BN161)/2,FLOOR(((BN161+BO161+BP161)/3),0.1))))))))</f>
        <v/>
      </c>
      <c r="BR161" s="21" t="n"/>
      <c r="BS161" s="21" t="n"/>
      <c r="BT161" s="27">
        <f>SUM(BR161:BS161)</f>
        <v/>
      </c>
      <c r="BU161" s="28" t="n"/>
      <c r="BV161" s="31" t="n"/>
      <c r="BW161" s="29">
        <f>IF(AND(BT161=0,BU161=0,BV161=0),0,IF(AND(BT161=0,BU161=0),BV161/1,IF(AND(BT161=0,BV161=0),BU161/1,IF(AND(BU161=0,BV161=0),BT161/1,IF(BT161=0,FLOOR((BU161+BV161)/2,0.1),IF(BU161=0,(BT161+BV161)/2,IF(BV161=0,(BU161+BT161)/2,FLOOR(((BT161+BU161+BV161)/3),0.1))))))))</f>
        <v/>
      </c>
      <c r="BX161" s="21" t="n"/>
      <c r="BY161" s="21" t="n"/>
      <c r="BZ161" s="27">
        <f>SUM(BX161:BY161)</f>
        <v/>
      </c>
      <c r="CA161" s="28" t="n"/>
      <c r="CB161" s="31" t="n"/>
      <c r="CC161" s="29">
        <f>IF(AND(BZ161=0,CA161=0,CB161=0),0,IF(AND(BZ161=0,CA161=0),CB161/1,IF(AND(BZ161=0,CB161=0),CA161/1,IF(AND(CA161=0,CB161=0),BZ161/1,IF(BZ161=0,FLOOR((CA161+CB161)/2,0.1),IF(CA161=0,(BZ161+CB161)/2,IF(CB161=0,(CA161+BZ161)/2,FLOOR(((BZ161+CA161+CB161)/3),0.1))))))))</f>
        <v/>
      </c>
      <c r="CD161" s="21" t="n"/>
      <c r="CE161" s="21" t="n"/>
      <c r="CF161" s="27">
        <f>SUM(CD161:CE161)</f>
        <v/>
      </c>
      <c r="CG161" s="28" t="n"/>
      <c r="CH161" s="31" t="n"/>
      <c r="CI161" s="29">
        <f>IF(AND(CF161=0,CG161=0,CH161=0),0,IF(AND(CF161=0,CG161=0),CH161/1,IF(AND(CF161=0,CH161=0),CG161/1,IF(AND(CG161=0,CH161=0),CF161/1,IF(CF161=0,FLOOR((CG161+CH161)/2,0.1),IF(CG161=0,(CF161+CH161)/2,IF(CH161=0,(CG161+CF161)/2,FLOOR(((CF161+CG161+CH161)/3),0.1))))))))</f>
        <v/>
      </c>
      <c r="CJ161" s="21" t="n"/>
      <c r="CK161" s="21" t="n"/>
      <c r="CL161" s="27">
        <f>SUM(CJ161:CK161)</f>
        <v/>
      </c>
      <c r="CM161" s="28" t="n"/>
      <c r="CN161" s="31" t="n"/>
      <c r="CO161" s="29">
        <f>IF(AND(CL161=0,CM161=0,CN161=0),0,IF(AND(CL161=0,CM161=0),CN161/1,IF(AND(CL161=0,CN161=0),CM161/1,IF(AND(CM161=0,CN161=0),CL161/1,IF(CL161=0,FLOOR((CM161+CN161)/2,0.1),IF(CM161=0,(CL161+CN161)/2,IF(CN161=0,(CM161+CL161)/2,FLOOR(((CL161+CM161+CN161)/3),0.1))))))))</f>
        <v/>
      </c>
      <c r="CP161" s="21" t="n"/>
      <c r="CQ161" s="21" t="n"/>
      <c r="CR161" s="27">
        <f>SUM(CP161:CQ161)</f>
        <v/>
      </c>
      <c r="CS161" s="28" t="n"/>
      <c r="CT161" s="31" t="n"/>
      <c r="CU161" s="29">
        <f>IF(AND(CR161=0,CS161=0,CT161=0),0,IF(AND(CR161=0,CS161=0),CT161/1,IF(AND(CR161=0,CT161=0),CS161/1,IF(AND(CS161=0,CT161=0),CR161/1,IF(CR161=0,FLOOR((CS161+CT161)/2,0.1),IF(CS161=0,(CR161+CT161)/2,IF(CT161=0,(CS161+CR161)/2,FLOOR(((CR161+CS161+CT161)/3),0.1))))))))</f>
        <v/>
      </c>
      <c r="CV161" s="21" t="n"/>
      <c r="CW161" s="21" t="n"/>
      <c r="CX161" s="27">
        <f>SUM(CV161:CW161)</f>
        <v/>
      </c>
      <c r="CY161" s="28" t="n"/>
      <c r="CZ161" s="31" t="n"/>
      <c r="DA161" s="29">
        <f>IF(AND(CX161=0,CY161=0,CZ161=0),0,IF(AND(CX161=0,CY161=0),CZ161/1,IF(AND(CX161=0,CZ161=0),CY161/1,IF(AND(CY161=0,CZ161=0),CX161/1,IF(CX161=0,FLOOR((CY161+CZ161)/2,0.1),IF(CY161=0,(CX161+CZ161)/2,IF(CZ161=0,(CY161+CX161)/2,FLOOR(((CX161+CY161+CZ161)/3),0.1))))))))</f>
        <v/>
      </c>
      <c r="DB161" s="21" t="n"/>
      <c r="DC161" s="21" t="n"/>
      <c r="DD161" s="27">
        <f>SUM(DB161:DC161)</f>
        <v/>
      </c>
      <c r="DE161" s="28" t="n"/>
      <c r="DF161" s="31" t="n"/>
      <c r="DG161" s="29">
        <f>IF(AND(DD161=0,DE161=0,DF161=0),0,IF(AND(DD161=0,DE161=0),DF161/1,IF(AND(DD161=0,DF161=0),DE161/1,IF(AND(DE161=0,DF161=0),DD161/1,IF(DD161=0,FLOOR((DE161+DF161)/2,0.1),IF(DE161=0,(DD161+DF161)/2,IF(DF161=0,(DE161+DD161)/2,FLOOR(((DD161+DE161+DF161)/3),0.1))))))))</f>
        <v/>
      </c>
      <c r="DH161" s="34">
        <f>SUM(O161,U161,AA161,AG161,AM161,AS161,AY161,BE161,BK161,BQ161,BW161,CC161,CI161,CO161,CU161,DA161,DG161)</f>
        <v/>
      </c>
      <c r="DI161" s="39">
        <f>RANK(DH161,DH$4:DH$503)</f>
        <v/>
      </c>
      <c r="DJ161" s="40" t="inlineStr">
        <is>
          <t>CHOOSE RATING</t>
        </is>
      </c>
      <c r="DK161" s="40" t="inlineStr">
        <is>
          <t>CHOOSE RATING</t>
        </is>
      </c>
      <c r="DL161" s="40" t="inlineStr">
        <is>
          <t>CHOOSE RATING</t>
        </is>
      </c>
      <c r="DM161" s="40" t="inlineStr">
        <is>
          <t>CHOOSE RATING</t>
        </is>
      </c>
      <c r="DN161" s="40" t="inlineStr">
        <is>
          <t>CHOOSE RATING</t>
        </is>
      </c>
      <c r="DO161" s="40" t="inlineStr">
        <is>
          <t>CHOOSE RATING</t>
        </is>
      </c>
      <c r="DP161" s="40" t="inlineStr">
        <is>
          <t>CHOOSE RATING</t>
        </is>
      </c>
      <c r="DQ161" s="40" t="inlineStr">
        <is>
          <t>CHOOSE RATING</t>
        </is>
      </c>
      <c r="DR161" s="43" t="inlineStr">
        <is>
          <t>2024/2025</t>
        </is>
      </c>
      <c r="DS161" s="45" t="inlineStr">
        <is>
          <t>THIRD</t>
        </is>
      </c>
      <c r="DT161" s="40" t="inlineStr">
        <is>
          <t>CHOOSE RATING</t>
        </is>
      </c>
      <c r="DU161" s="40" t="inlineStr">
        <is>
          <t>CHOOSE RATING</t>
        </is>
      </c>
      <c r="DV161" s="40" t="inlineStr">
        <is>
          <t>CHOOSE RATING</t>
        </is>
      </c>
      <c r="DW161" s="40" t="inlineStr">
        <is>
          <t>CHOOSE RATING</t>
        </is>
      </c>
      <c r="DX161" s="40" t="inlineStr">
        <is>
          <t>CHOOSE RATING</t>
        </is>
      </c>
      <c r="DY161" s="40" t="inlineStr">
        <is>
          <t>CHOOSE RATING</t>
        </is>
      </c>
      <c r="DZ161" s="53" t="inlineStr">
        <is>
          <t>CHOOSE RATING</t>
        </is>
      </c>
      <c r="EA161" s="54" t="inlineStr">
        <is>
          <t>Add the Tutor's Comment . . .</t>
        </is>
      </c>
      <c r="EB161" s="55" t="inlineStr">
        <is>
          <t>Choose Principals comment</t>
        </is>
      </c>
      <c r="EC161" s="56" t="n"/>
      <c r="ED161" s="57" t="inlineStr">
        <is>
          <t>Next Term Begins on Monday, 22nd September, 2025</t>
        </is>
      </c>
    </row>
    <row r="162" ht="30.6" customHeight="1" s="6">
      <c r="A162" s="18" t="n">
        <v>159</v>
      </c>
      <c r="B162" s="19" t="n"/>
      <c r="C162" s="20" t="n"/>
      <c r="D162" s="128" t="n"/>
      <c r="E162" s="21" t="n"/>
      <c r="F162" s="22" t="n"/>
      <c r="G162" s="22" t="n"/>
      <c r="H162" s="22" t="n"/>
      <c r="I162" s="26">
        <f>G162-H162</f>
        <v/>
      </c>
      <c r="J162" s="21" t="n"/>
      <c r="K162" s="21" t="n"/>
      <c r="L162" s="27">
        <f>SUM(J162:K162)</f>
        <v/>
      </c>
      <c r="M162" s="28" t="n"/>
      <c r="N162" s="28" t="n"/>
      <c r="O162" s="29">
        <f>IF(AND(L162=0,M162=0,N162=0),0,IF(AND(L162=0,M162=0),N162/1,IF(AND(L162=0,N162=0),M162/1,IF(AND(M162=0,N162=0),L162/1,IF(L162=0,FLOOR((M162+N162)/2,0.1),IF(M162=0,(L162+N162)/2,IF(N162=0,(M162+L162)/2,FLOOR(((L162+M162+N162)/3),0.1))))))))</f>
        <v/>
      </c>
      <c r="P162" s="21" t="n"/>
      <c r="Q162" s="21" t="n"/>
      <c r="R162" s="27">
        <f>SUM(P162:Q162)</f>
        <v/>
      </c>
      <c r="S162" s="28" t="n"/>
      <c r="T162" s="28" t="n"/>
      <c r="U162" s="29">
        <f>IF(AND(R162=0,S162=0,T162=0),0,IF(AND(R162=0,S162=0),T162/1,IF(AND(R162=0,T162=0),S162/1,IF(AND(S162=0,T162=0),R162/1,IF(R162=0,FLOOR((S162+T162)/2,0.1),IF(S162=0,(R162+T162)/2,IF(T162=0,(S162+R162)/2,FLOOR(((R162+S162+T162)/3),0.1))))))))</f>
        <v/>
      </c>
      <c r="V162" s="21" t="n"/>
      <c r="W162" s="21" t="n"/>
      <c r="X162" s="27">
        <f>SUM(V162:W162)</f>
        <v/>
      </c>
      <c r="Y162" s="28" t="n"/>
      <c r="Z162" s="28" t="n"/>
      <c r="AA162" s="29">
        <f>IF(AND(X162=0,Y162=0,Z162=0),0,IF(AND(X162=0,Y162=0),Z162/1,IF(AND(X162=0,Z162=0),Y162/1,IF(AND(Y162=0,Z162=0),X162/1,IF(X162=0,FLOOR((Y162+Z162)/2,0.1),IF(Y162=0,(X162+Z162)/2,IF(Z162=0,(Y162+X162)/2,FLOOR(((X162+Y162+Z162)/3),0.1))))))))</f>
        <v/>
      </c>
      <c r="AB162" s="21" t="n"/>
      <c r="AC162" s="21" t="n"/>
      <c r="AD162" s="27">
        <f>SUM(AB162:AC162)</f>
        <v/>
      </c>
      <c r="AE162" s="28" t="n"/>
      <c r="AF162" s="28" t="n"/>
      <c r="AG162" s="29">
        <f>IF(AND(AD162=0,AE162=0,AF162=0),0,IF(AND(AD162=0,AE162=0),AF162/1,IF(AND(AD162=0,AF162=0),AE162/1,IF(AND(AE162=0,AF162=0),AD162/1,IF(AD162=0,FLOOR((AE162+AF162)/2,0.1),IF(AE162=0,(AD162+AF162)/2,IF(AF162=0,(AE162+AD162)/2,FLOOR(((AD162+AE162+AF162)/3),0.1))))))))</f>
        <v/>
      </c>
      <c r="AH162" s="21" t="n"/>
      <c r="AI162" s="21" t="n"/>
      <c r="AJ162" s="27">
        <f>SUM(AH162:AI162)</f>
        <v/>
      </c>
      <c r="AK162" s="28" t="n"/>
      <c r="AL162" s="28" t="n"/>
      <c r="AM162" s="29">
        <f>IF(AND(AJ162=0,AK162=0,AL162=0),0,IF(AND(AJ162=0,AK162=0),AL162/1,IF(AND(AJ162=0,AL162=0),AK162/1,IF(AND(AK162=0,AL162=0),AJ162/1,IF(AJ162=0,FLOOR((AK162+AL162)/2,0.1),IF(AK162=0,(AJ162+AL162)/2,IF(AL162=0,(AK162+AJ162)/2,FLOOR(((AJ162+AK162+AL162)/3),0.1))))))))</f>
        <v/>
      </c>
      <c r="AN162" s="21" t="n"/>
      <c r="AO162" s="21" t="n"/>
      <c r="AP162" s="27">
        <f>SUM(AN162:AO162)</f>
        <v/>
      </c>
      <c r="AQ162" s="28" t="n"/>
      <c r="AR162" s="30" t="n"/>
      <c r="AS162" s="29">
        <f>IF(AND(AP162=0,AQ162=0,AR162=0),0,IF(AND(AP162=0,AQ162=0),AR162/1,IF(AND(AP162=0,AR162=0),AQ162/1,IF(AND(AQ162=0,AR162=0),AP162/1,IF(AP162=0,FLOOR((AQ162+AR162)/2,0.1),IF(AQ162=0,(AP162+AR162)/2,IF(AR162=0,(AQ162+AP162)/2,FLOOR(((AP162+AQ162+AR162)/3),0.1))))))))</f>
        <v/>
      </c>
      <c r="AT162" s="21" t="n"/>
      <c r="AU162" s="21" t="n"/>
      <c r="AV162" s="27">
        <f>SUM(AT162:AU162)</f>
        <v/>
      </c>
      <c r="AW162" s="28" t="n"/>
      <c r="AX162" s="30" t="n"/>
      <c r="AY162" s="29">
        <f>IF(AND(AV162=0,AW162=0,AX162=0),0,IF(AND(AV162=0,AW162=0),AX162/1,IF(AND(AV162=0,AX162=0),AW162/1,IF(AND(AW162=0,AX162=0),AV162/1,IF(AV162=0,FLOOR((AW162+AX162)/2,0.1),IF(AW162=0,(AV162+AX162)/2,IF(AX162=0,(AW162+AV162)/2,FLOOR(((AV162+AW162+AX162)/3),0.1))))))))</f>
        <v/>
      </c>
      <c r="AZ162" s="21" t="n"/>
      <c r="BA162" s="21" t="n"/>
      <c r="BB162" s="27">
        <f>SUM(AZ162:BA162)</f>
        <v/>
      </c>
      <c r="BC162" s="28" t="n"/>
      <c r="BD162" s="28" t="n"/>
      <c r="BE162" s="29">
        <f>IF(AND(BB162=0,BC162=0,BD162=0),0,IF(AND(BB162=0,BC162=0),BD162/1,IF(AND(BB162=0,BD162=0),BC162/1,IF(AND(BC162=0,BD162=0),BB162/1,IF(BB162=0,FLOOR((BC162+BD162)/2,0.1),IF(BC162=0,(BB162+BD162)/2,IF(BD162=0,(BC162+BB162)/2,FLOOR(((BB162+BC162+BD162)/3),0.1))))))))</f>
        <v/>
      </c>
      <c r="BF162" s="21" t="n"/>
      <c r="BG162" s="21" t="n"/>
      <c r="BH162" s="27">
        <f>SUM(BF162:BG162)</f>
        <v/>
      </c>
      <c r="BI162" s="28" t="n"/>
      <c r="BJ162" s="28" t="n"/>
      <c r="BK162" s="29">
        <f>IF(AND(BH162=0,BI162=0,BJ162=0),0,IF(AND(BH162=0,BI162=0),BJ162/1,IF(AND(BH162=0,BJ162=0),BI162/1,IF(AND(BI162=0,BJ162=0),BH162/1,IF(BH162=0,FLOOR((BI162+BJ162)/2,0.1),IF(BI162=0,(BH162+BJ162)/2,IF(BJ162=0,(BI162+BH162)/2,FLOOR(((BH162+BI162+BJ162)/3),0.1))))))))</f>
        <v/>
      </c>
      <c r="BL162" s="21" t="n"/>
      <c r="BM162" s="21" t="n"/>
      <c r="BN162" s="27">
        <f>SUM(BL162:BM162)</f>
        <v/>
      </c>
      <c r="BO162" s="28" t="n"/>
      <c r="BP162" s="31" t="n"/>
      <c r="BQ162" s="29">
        <f>IF(AND(BN162=0,BO162=0,BP162=0),0,IF(AND(BN162=0,BO162=0),BP162/1,IF(AND(BN162=0,BP162=0),BO162/1,IF(AND(BO162=0,BP162=0),BN162/1,IF(BN162=0,FLOOR((BO162+BP162)/2,0.1),IF(BO162=0,(BN162+BP162)/2,IF(BP162=0,(BO162+BN162)/2,FLOOR(((BN162+BO162+BP162)/3),0.1))))))))</f>
        <v/>
      </c>
      <c r="BR162" s="21" t="n"/>
      <c r="BS162" s="21" t="n"/>
      <c r="BT162" s="27">
        <f>SUM(BR162:BS162)</f>
        <v/>
      </c>
      <c r="BU162" s="28" t="n"/>
      <c r="BV162" s="31" t="n"/>
      <c r="BW162" s="29">
        <f>IF(AND(BT162=0,BU162=0,BV162=0),0,IF(AND(BT162=0,BU162=0),BV162/1,IF(AND(BT162=0,BV162=0),BU162/1,IF(AND(BU162=0,BV162=0),BT162/1,IF(BT162=0,FLOOR((BU162+BV162)/2,0.1),IF(BU162=0,(BT162+BV162)/2,IF(BV162=0,(BU162+BT162)/2,FLOOR(((BT162+BU162+BV162)/3),0.1))))))))</f>
        <v/>
      </c>
      <c r="BX162" s="21" t="n"/>
      <c r="BY162" s="21" t="n"/>
      <c r="BZ162" s="27">
        <f>SUM(BX162:BY162)</f>
        <v/>
      </c>
      <c r="CA162" s="28" t="n"/>
      <c r="CB162" s="31" t="n"/>
      <c r="CC162" s="29">
        <f>IF(AND(BZ162=0,CA162=0,CB162=0),0,IF(AND(BZ162=0,CA162=0),CB162/1,IF(AND(BZ162=0,CB162=0),CA162/1,IF(AND(CA162=0,CB162=0),BZ162/1,IF(BZ162=0,FLOOR((CA162+CB162)/2,0.1),IF(CA162=0,(BZ162+CB162)/2,IF(CB162=0,(CA162+BZ162)/2,FLOOR(((BZ162+CA162+CB162)/3),0.1))))))))</f>
        <v/>
      </c>
      <c r="CD162" s="21" t="n"/>
      <c r="CE162" s="21" t="n"/>
      <c r="CF162" s="27">
        <f>SUM(CD162:CE162)</f>
        <v/>
      </c>
      <c r="CG162" s="28" t="n"/>
      <c r="CH162" s="31" t="n"/>
      <c r="CI162" s="29">
        <f>IF(AND(CF162=0,CG162=0,CH162=0),0,IF(AND(CF162=0,CG162=0),CH162/1,IF(AND(CF162=0,CH162=0),CG162/1,IF(AND(CG162=0,CH162=0),CF162/1,IF(CF162=0,FLOOR((CG162+CH162)/2,0.1),IF(CG162=0,(CF162+CH162)/2,IF(CH162=0,(CG162+CF162)/2,FLOOR(((CF162+CG162+CH162)/3),0.1))))))))</f>
        <v/>
      </c>
      <c r="CJ162" s="21" t="n"/>
      <c r="CK162" s="21" t="n"/>
      <c r="CL162" s="27">
        <f>SUM(CJ162:CK162)</f>
        <v/>
      </c>
      <c r="CM162" s="28" t="n"/>
      <c r="CN162" s="31" t="n"/>
      <c r="CO162" s="29">
        <f>IF(AND(CL162=0,CM162=0,CN162=0),0,IF(AND(CL162=0,CM162=0),CN162/1,IF(AND(CL162=0,CN162=0),CM162/1,IF(AND(CM162=0,CN162=0),CL162/1,IF(CL162=0,FLOOR((CM162+CN162)/2,0.1),IF(CM162=0,(CL162+CN162)/2,IF(CN162=0,(CM162+CL162)/2,FLOOR(((CL162+CM162+CN162)/3),0.1))))))))</f>
        <v/>
      </c>
      <c r="CP162" s="21" t="n"/>
      <c r="CQ162" s="21" t="n"/>
      <c r="CR162" s="27">
        <f>SUM(CP162:CQ162)</f>
        <v/>
      </c>
      <c r="CS162" s="28" t="n"/>
      <c r="CT162" s="31" t="n"/>
      <c r="CU162" s="29">
        <f>IF(AND(CR162=0,CS162=0,CT162=0),0,IF(AND(CR162=0,CS162=0),CT162/1,IF(AND(CR162=0,CT162=0),CS162/1,IF(AND(CS162=0,CT162=0),CR162/1,IF(CR162=0,FLOOR((CS162+CT162)/2,0.1),IF(CS162=0,(CR162+CT162)/2,IF(CT162=0,(CS162+CR162)/2,FLOOR(((CR162+CS162+CT162)/3),0.1))))))))</f>
        <v/>
      </c>
      <c r="CV162" s="21" t="n"/>
      <c r="CW162" s="21" t="n"/>
      <c r="CX162" s="27">
        <f>SUM(CV162:CW162)</f>
        <v/>
      </c>
      <c r="CY162" s="28" t="n"/>
      <c r="CZ162" s="31" t="n"/>
      <c r="DA162" s="29">
        <f>IF(AND(CX162=0,CY162=0,CZ162=0),0,IF(AND(CX162=0,CY162=0),CZ162/1,IF(AND(CX162=0,CZ162=0),CY162/1,IF(AND(CY162=0,CZ162=0),CX162/1,IF(CX162=0,FLOOR((CY162+CZ162)/2,0.1),IF(CY162=0,(CX162+CZ162)/2,IF(CZ162=0,(CY162+CX162)/2,FLOOR(((CX162+CY162+CZ162)/3),0.1))))))))</f>
        <v/>
      </c>
      <c r="DB162" s="21" t="n"/>
      <c r="DC162" s="21" t="n"/>
      <c r="DD162" s="27">
        <f>SUM(DB162:DC162)</f>
        <v/>
      </c>
      <c r="DE162" s="28" t="n"/>
      <c r="DF162" s="31" t="n"/>
      <c r="DG162" s="29">
        <f>IF(AND(DD162=0,DE162=0,DF162=0),0,IF(AND(DD162=0,DE162=0),DF162/1,IF(AND(DD162=0,DF162=0),DE162/1,IF(AND(DE162=0,DF162=0),DD162/1,IF(DD162=0,FLOOR((DE162+DF162)/2,0.1),IF(DE162=0,(DD162+DF162)/2,IF(DF162=0,(DE162+DD162)/2,FLOOR(((DD162+DE162+DF162)/3),0.1))))))))</f>
        <v/>
      </c>
      <c r="DH162" s="34">
        <f>SUM(O162,U162,AA162,AG162,AM162,AS162,AY162,BE162,BK162,BQ162,BW162,CC162,CI162,CO162,CU162,DA162,DG162)</f>
        <v/>
      </c>
      <c r="DI162" s="39">
        <f>RANK(DH162,DH$4:DH$503)</f>
        <v/>
      </c>
      <c r="DJ162" s="40" t="inlineStr">
        <is>
          <t>CHOOSE RATING</t>
        </is>
      </c>
      <c r="DK162" s="40" t="inlineStr">
        <is>
          <t>CHOOSE RATING</t>
        </is>
      </c>
      <c r="DL162" s="40" t="inlineStr">
        <is>
          <t>CHOOSE RATING</t>
        </is>
      </c>
      <c r="DM162" s="40" t="inlineStr">
        <is>
          <t>CHOOSE RATING</t>
        </is>
      </c>
      <c r="DN162" s="40" t="inlineStr">
        <is>
          <t>CHOOSE RATING</t>
        </is>
      </c>
      <c r="DO162" s="40" t="inlineStr">
        <is>
          <t>CHOOSE RATING</t>
        </is>
      </c>
      <c r="DP162" s="40" t="inlineStr">
        <is>
          <t>CHOOSE RATING</t>
        </is>
      </c>
      <c r="DQ162" s="40" t="inlineStr">
        <is>
          <t>CHOOSE RATING</t>
        </is>
      </c>
      <c r="DR162" s="43" t="inlineStr">
        <is>
          <t>2024/2025</t>
        </is>
      </c>
      <c r="DS162" s="45" t="inlineStr">
        <is>
          <t>THIRD</t>
        </is>
      </c>
      <c r="DT162" s="40" t="inlineStr">
        <is>
          <t>CHOOSE RATING</t>
        </is>
      </c>
      <c r="DU162" s="40" t="inlineStr">
        <is>
          <t>CHOOSE RATING</t>
        </is>
      </c>
      <c r="DV162" s="40" t="inlineStr">
        <is>
          <t>CHOOSE RATING</t>
        </is>
      </c>
      <c r="DW162" s="40" t="inlineStr">
        <is>
          <t>CHOOSE RATING</t>
        </is>
      </c>
      <c r="DX162" s="40" t="inlineStr">
        <is>
          <t>CHOOSE RATING</t>
        </is>
      </c>
      <c r="DY162" s="40" t="inlineStr">
        <is>
          <t>CHOOSE RATING</t>
        </is>
      </c>
      <c r="DZ162" s="53" t="inlineStr">
        <is>
          <t>CHOOSE RATING</t>
        </is>
      </c>
      <c r="EA162" s="54" t="inlineStr">
        <is>
          <t>Add the Tutor's Comment . . .</t>
        </is>
      </c>
      <c r="EB162" s="55" t="inlineStr">
        <is>
          <t>Choose Principals comment</t>
        </is>
      </c>
      <c r="EC162" s="56" t="n"/>
      <c r="ED162" s="57" t="inlineStr">
        <is>
          <t>Next Term Begins on Monday, 22nd September, 2025</t>
        </is>
      </c>
    </row>
    <row r="163" ht="30.6" customHeight="1" s="6">
      <c r="A163" s="18" t="n">
        <v>160</v>
      </c>
      <c r="B163" s="19" t="n"/>
      <c r="C163" s="20" t="n"/>
      <c r="D163" s="128" t="n"/>
      <c r="E163" s="21" t="n"/>
      <c r="F163" s="22" t="n"/>
      <c r="G163" s="22" t="n"/>
      <c r="H163" s="22" t="n"/>
      <c r="I163" s="26">
        <f>G163-H163</f>
        <v/>
      </c>
      <c r="J163" s="21" t="n"/>
      <c r="K163" s="21" t="n"/>
      <c r="L163" s="27">
        <f>SUM(J163:K163)</f>
        <v/>
      </c>
      <c r="M163" s="28" t="n"/>
      <c r="N163" s="28" t="n"/>
      <c r="O163" s="29">
        <f>IF(AND(L163=0,M163=0,N163=0),0,IF(AND(L163=0,M163=0),N163/1,IF(AND(L163=0,N163=0),M163/1,IF(AND(M163=0,N163=0),L163/1,IF(L163=0,FLOOR((M163+N163)/2,0.1),IF(M163=0,(L163+N163)/2,IF(N163=0,(M163+L163)/2,FLOOR(((L163+M163+N163)/3),0.1))))))))</f>
        <v/>
      </c>
      <c r="P163" s="21" t="n"/>
      <c r="Q163" s="21" t="n"/>
      <c r="R163" s="27">
        <f>SUM(P163:Q163)</f>
        <v/>
      </c>
      <c r="S163" s="28" t="n"/>
      <c r="T163" s="28" t="n"/>
      <c r="U163" s="29">
        <f>IF(AND(R163=0,S163=0,T163=0),0,IF(AND(R163=0,S163=0),T163/1,IF(AND(R163=0,T163=0),S163/1,IF(AND(S163=0,T163=0),R163/1,IF(R163=0,FLOOR((S163+T163)/2,0.1),IF(S163=0,(R163+T163)/2,IF(T163=0,(S163+R163)/2,FLOOR(((R163+S163+T163)/3),0.1))))))))</f>
        <v/>
      </c>
      <c r="V163" s="21" t="n"/>
      <c r="W163" s="21" t="n"/>
      <c r="X163" s="27">
        <f>SUM(V163:W163)</f>
        <v/>
      </c>
      <c r="Y163" s="28" t="n"/>
      <c r="Z163" s="28" t="n"/>
      <c r="AA163" s="29">
        <f>IF(AND(X163=0,Y163=0,Z163=0),0,IF(AND(X163=0,Y163=0),Z163/1,IF(AND(X163=0,Z163=0),Y163/1,IF(AND(Y163=0,Z163=0),X163/1,IF(X163=0,FLOOR((Y163+Z163)/2,0.1),IF(Y163=0,(X163+Z163)/2,IF(Z163=0,(Y163+X163)/2,FLOOR(((X163+Y163+Z163)/3),0.1))))))))</f>
        <v/>
      </c>
      <c r="AB163" s="21" t="n"/>
      <c r="AC163" s="21" t="n"/>
      <c r="AD163" s="27">
        <f>SUM(AB163:AC163)</f>
        <v/>
      </c>
      <c r="AE163" s="28" t="n"/>
      <c r="AF163" s="28" t="n"/>
      <c r="AG163" s="29">
        <f>IF(AND(AD163=0,AE163=0,AF163=0),0,IF(AND(AD163=0,AE163=0),AF163/1,IF(AND(AD163=0,AF163=0),AE163/1,IF(AND(AE163=0,AF163=0),AD163/1,IF(AD163=0,FLOOR((AE163+AF163)/2,0.1),IF(AE163=0,(AD163+AF163)/2,IF(AF163=0,(AE163+AD163)/2,FLOOR(((AD163+AE163+AF163)/3),0.1))))))))</f>
        <v/>
      </c>
      <c r="AH163" s="21" t="n"/>
      <c r="AI163" s="21" t="n"/>
      <c r="AJ163" s="27">
        <f>SUM(AH163:AI163)</f>
        <v/>
      </c>
      <c r="AK163" s="28" t="n"/>
      <c r="AL163" s="28" t="n"/>
      <c r="AM163" s="29">
        <f>IF(AND(AJ163=0,AK163=0,AL163=0),0,IF(AND(AJ163=0,AK163=0),AL163/1,IF(AND(AJ163=0,AL163=0),AK163/1,IF(AND(AK163=0,AL163=0),AJ163/1,IF(AJ163=0,FLOOR((AK163+AL163)/2,0.1),IF(AK163=0,(AJ163+AL163)/2,IF(AL163=0,(AK163+AJ163)/2,FLOOR(((AJ163+AK163+AL163)/3),0.1))))))))</f>
        <v/>
      </c>
      <c r="AN163" s="21" t="n"/>
      <c r="AO163" s="21" t="n"/>
      <c r="AP163" s="27">
        <f>SUM(AN163:AO163)</f>
        <v/>
      </c>
      <c r="AQ163" s="28" t="n"/>
      <c r="AR163" s="30" t="n"/>
      <c r="AS163" s="29">
        <f>IF(AND(AP163=0,AQ163=0,AR163=0),0,IF(AND(AP163=0,AQ163=0),AR163/1,IF(AND(AP163=0,AR163=0),AQ163/1,IF(AND(AQ163=0,AR163=0),AP163/1,IF(AP163=0,FLOOR((AQ163+AR163)/2,0.1),IF(AQ163=0,(AP163+AR163)/2,IF(AR163=0,(AQ163+AP163)/2,FLOOR(((AP163+AQ163+AR163)/3),0.1))))))))</f>
        <v/>
      </c>
      <c r="AT163" s="21" t="n"/>
      <c r="AU163" s="21" t="n"/>
      <c r="AV163" s="27">
        <f>SUM(AT163:AU163)</f>
        <v/>
      </c>
      <c r="AW163" s="28" t="n"/>
      <c r="AX163" s="30" t="n"/>
      <c r="AY163" s="29">
        <f>IF(AND(AV163=0,AW163=0,AX163=0),0,IF(AND(AV163=0,AW163=0),AX163/1,IF(AND(AV163=0,AX163=0),AW163/1,IF(AND(AW163=0,AX163=0),AV163/1,IF(AV163=0,FLOOR((AW163+AX163)/2,0.1),IF(AW163=0,(AV163+AX163)/2,IF(AX163=0,(AW163+AV163)/2,FLOOR(((AV163+AW163+AX163)/3),0.1))))))))</f>
        <v/>
      </c>
      <c r="AZ163" s="21" t="n"/>
      <c r="BA163" s="21" t="n"/>
      <c r="BB163" s="27">
        <f>SUM(AZ163:BA163)</f>
        <v/>
      </c>
      <c r="BC163" s="28" t="n"/>
      <c r="BD163" s="28" t="n"/>
      <c r="BE163" s="29">
        <f>IF(AND(BB163=0,BC163=0,BD163=0),0,IF(AND(BB163=0,BC163=0),BD163/1,IF(AND(BB163=0,BD163=0),BC163/1,IF(AND(BC163=0,BD163=0),BB163/1,IF(BB163=0,FLOOR((BC163+BD163)/2,0.1),IF(BC163=0,(BB163+BD163)/2,IF(BD163=0,(BC163+BB163)/2,FLOOR(((BB163+BC163+BD163)/3),0.1))))))))</f>
        <v/>
      </c>
      <c r="BF163" s="21" t="n"/>
      <c r="BG163" s="21" t="n"/>
      <c r="BH163" s="27">
        <f>SUM(BF163:BG163)</f>
        <v/>
      </c>
      <c r="BI163" s="28" t="n"/>
      <c r="BJ163" s="28" t="n"/>
      <c r="BK163" s="29">
        <f>IF(AND(BH163=0,BI163=0,BJ163=0),0,IF(AND(BH163=0,BI163=0),BJ163/1,IF(AND(BH163=0,BJ163=0),BI163/1,IF(AND(BI163=0,BJ163=0),BH163/1,IF(BH163=0,FLOOR((BI163+BJ163)/2,0.1),IF(BI163=0,(BH163+BJ163)/2,IF(BJ163=0,(BI163+BH163)/2,FLOOR(((BH163+BI163+BJ163)/3),0.1))))))))</f>
        <v/>
      </c>
      <c r="BL163" s="21" t="n"/>
      <c r="BM163" s="21" t="n"/>
      <c r="BN163" s="27">
        <f>SUM(BL163:BM163)</f>
        <v/>
      </c>
      <c r="BO163" s="28" t="n"/>
      <c r="BP163" s="31" t="n"/>
      <c r="BQ163" s="29">
        <f>IF(AND(BN163=0,BO163=0,BP163=0),0,IF(AND(BN163=0,BO163=0),BP163/1,IF(AND(BN163=0,BP163=0),BO163/1,IF(AND(BO163=0,BP163=0),BN163/1,IF(BN163=0,FLOOR((BO163+BP163)/2,0.1),IF(BO163=0,(BN163+BP163)/2,IF(BP163=0,(BO163+BN163)/2,FLOOR(((BN163+BO163+BP163)/3),0.1))))))))</f>
        <v/>
      </c>
      <c r="BR163" s="21" t="n"/>
      <c r="BS163" s="21" t="n"/>
      <c r="BT163" s="27">
        <f>SUM(BR163:BS163)</f>
        <v/>
      </c>
      <c r="BU163" s="28" t="n"/>
      <c r="BV163" s="31" t="n"/>
      <c r="BW163" s="29">
        <f>IF(AND(BT163=0,BU163=0,BV163=0),0,IF(AND(BT163=0,BU163=0),BV163/1,IF(AND(BT163=0,BV163=0),BU163/1,IF(AND(BU163=0,BV163=0),BT163/1,IF(BT163=0,FLOOR((BU163+BV163)/2,0.1),IF(BU163=0,(BT163+BV163)/2,IF(BV163=0,(BU163+BT163)/2,FLOOR(((BT163+BU163+BV163)/3),0.1))))))))</f>
        <v/>
      </c>
      <c r="BX163" s="21" t="n"/>
      <c r="BY163" s="21" t="n"/>
      <c r="BZ163" s="27">
        <f>SUM(BX163:BY163)</f>
        <v/>
      </c>
      <c r="CA163" s="28" t="n"/>
      <c r="CB163" s="31" t="n"/>
      <c r="CC163" s="29">
        <f>IF(AND(BZ163=0,CA163=0,CB163=0),0,IF(AND(BZ163=0,CA163=0),CB163/1,IF(AND(BZ163=0,CB163=0),CA163/1,IF(AND(CA163=0,CB163=0),BZ163/1,IF(BZ163=0,FLOOR((CA163+CB163)/2,0.1),IF(CA163=0,(BZ163+CB163)/2,IF(CB163=0,(CA163+BZ163)/2,FLOOR(((BZ163+CA163+CB163)/3),0.1))))))))</f>
        <v/>
      </c>
      <c r="CD163" s="21" t="n"/>
      <c r="CE163" s="21" t="n"/>
      <c r="CF163" s="27">
        <f>SUM(CD163:CE163)</f>
        <v/>
      </c>
      <c r="CG163" s="28" t="n"/>
      <c r="CH163" s="31" t="n"/>
      <c r="CI163" s="29">
        <f>IF(AND(CF163=0,CG163=0,CH163=0),0,IF(AND(CF163=0,CG163=0),CH163/1,IF(AND(CF163=0,CH163=0),CG163/1,IF(AND(CG163=0,CH163=0),CF163/1,IF(CF163=0,FLOOR((CG163+CH163)/2,0.1),IF(CG163=0,(CF163+CH163)/2,IF(CH163=0,(CG163+CF163)/2,FLOOR(((CF163+CG163+CH163)/3),0.1))))))))</f>
        <v/>
      </c>
      <c r="CJ163" s="21" t="n"/>
      <c r="CK163" s="21" t="n"/>
      <c r="CL163" s="27">
        <f>SUM(CJ163:CK163)</f>
        <v/>
      </c>
      <c r="CM163" s="28" t="n"/>
      <c r="CN163" s="31" t="n"/>
      <c r="CO163" s="29">
        <f>IF(AND(CL163=0,CM163=0,CN163=0),0,IF(AND(CL163=0,CM163=0),CN163/1,IF(AND(CL163=0,CN163=0),CM163/1,IF(AND(CM163=0,CN163=0),CL163/1,IF(CL163=0,FLOOR((CM163+CN163)/2,0.1),IF(CM163=0,(CL163+CN163)/2,IF(CN163=0,(CM163+CL163)/2,FLOOR(((CL163+CM163+CN163)/3),0.1))))))))</f>
        <v/>
      </c>
      <c r="CP163" s="21" t="n"/>
      <c r="CQ163" s="21" t="n"/>
      <c r="CR163" s="27">
        <f>SUM(CP163:CQ163)</f>
        <v/>
      </c>
      <c r="CS163" s="28" t="n"/>
      <c r="CT163" s="31" t="n"/>
      <c r="CU163" s="29">
        <f>IF(AND(CR163=0,CS163=0,CT163=0),0,IF(AND(CR163=0,CS163=0),CT163/1,IF(AND(CR163=0,CT163=0),CS163/1,IF(AND(CS163=0,CT163=0),CR163/1,IF(CR163=0,FLOOR((CS163+CT163)/2,0.1),IF(CS163=0,(CR163+CT163)/2,IF(CT163=0,(CS163+CR163)/2,FLOOR(((CR163+CS163+CT163)/3),0.1))))))))</f>
        <v/>
      </c>
      <c r="CV163" s="21" t="n"/>
      <c r="CW163" s="21" t="n"/>
      <c r="CX163" s="27">
        <f>SUM(CV163:CW163)</f>
        <v/>
      </c>
      <c r="CY163" s="28" t="n"/>
      <c r="CZ163" s="31" t="n"/>
      <c r="DA163" s="29">
        <f>IF(AND(CX163=0,CY163=0,CZ163=0),0,IF(AND(CX163=0,CY163=0),CZ163/1,IF(AND(CX163=0,CZ163=0),CY163/1,IF(AND(CY163=0,CZ163=0),CX163/1,IF(CX163=0,FLOOR((CY163+CZ163)/2,0.1),IF(CY163=0,(CX163+CZ163)/2,IF(CZ163=0,(CY163+CX163)/2,FLOOR(((CX163+CY163+CZ163)/3),0.1))))))))</f>
        <v/>
      </c>
      <c r="DB163" s="21" t="n"/>
      <c r="DC163" s="21" t="n"/>
      <c r="DD163" s="27">
        <f>SUM(DB163:DC163)</f>
        <v/>
      </c>
      <c r="DE163" s="28" t="n"/>
      <c r="DF163" s="31" t="n"/>
      <c r="DG163" s="29">
        <f>IF(AND(DD163=0,DE163=0,DF163=0),0,IF(AND(DD163=0,DE163=0),DF163/1,IF(AND(DD163=0,DF163=0),DE163/1,IF(AND(DE163=0,DF163=0),DD163/1,IF(DD163=0,FLOOR((DE163+DF163)/2,0.1),IF(DE163=0,(DD163+DF163)/2,IF(DF163=0,(DE163+DD163)/2,FLOOR(((DD163+DE163+DF163)/3),0.1))))))))</f>
        <v/>
      </c>
      <c r="DH163" s="34">
        <f>SUM(O163,U163,AA163,AG163,AM163,AS163,AY163,BE163,BK163,BQ163,BW163,CC163,CI163,CO163,CU163,DA163,DG163)</f>
        <v/>
      </c>
      <c r="DI163" s="39">
        <f>RANK(DH163,DH$4:DH$503)</f>
        <v/>
      </c>
      <c r="DJ163" s="40" t="inlineStr">
        <is>
          <t>CHOOSE RATING</t>
        </is>
      </c>
      <c r="DK163" s="40" t="inlineStr">
        <is>
          <t>CHOOSE RATING</t>
        </is>
      </c>
      <c r="DL163" s="40" t="inlineStr">
        <is>
          <t>CHOOSE RATING</t>
        </is>
      </c>
      <c r="DM163" s="40" t="inlineStr">
        <is>
          <t>CHOOSE RATING</t>
        </is>
      </c>
      <c r="DN163" s="40" t="inlineStr">
        <is>
          <t>CHOOSE RATING</t>
        </is>
      </c>
      <c r="DO163" s="40" t="inlineStr">
        <is>
          <t>CHOOSE RATING</t>
        </is>
      </c>
      <c r="DP163" s="40" t="inlineStr">
        <is>
          <t>CHOOSE RATING</t>
        </is>
      </c>
      <c r="DQ163" s="40" t="inlineStr">
        <is>
          <t>CHOOSE RATING</t>
        </is>
      </c>
      <c r="DR163" s="43" t="inlineStr">
        <is>
          <t>2024/2025</t>
        </is>
      </c>
      <c r="DS163" s="45" t="inlineStr">
        <is>
          <t>THIRD</t>
        </is>
      </c>
      <c r="DT163" s="40" t="inlineStr">
        <is>
          <t>CHOOSE RATING</t>
        </is>
      </c>
      <c r="DU163" s="40" t="inlineStr">
        <is>
          <t>CHOOSE RATING</t>
        </is>
      </c>
      <c r="DV163" s="40" t="inlineStr">
        <is>
          <t>CHOOSE RATING</t>
        </is>
      </c>
      <c r="DW163" s="40" t="inlineStr">
        <is>
          <t>CHOOSE RATING</t>
        </is>
      </c>
      <c r="DX163" s="40" t="inlineStr">
        <is>
          <t>CHOOSE RATING</t>
        </is>
      </c>
      <c r="DY163" s="40" t="inlineStr">
        <is>
          <t>CHOOSE RATING</t>
        </is>
      </c>
      <c r="DZ163" s="53" t="inlineStr">
        <is>
          <t>CHOOSE RATING</t>
        </is>
      </c>
      <c r="EA163" s="54" t="inlineStr">
        <is>
          <t>Add the Tutor's Comment . . .</t>
        </is>
      </c>
      <c r="EB163" s="55" t="inlineStr">
        <is>
          <t>Choose Principals comment</t>
        </is>
      </c>
      <c r="EC163" s="56" t="n"/>
      <c r="ED163" s="57" t="inlineStr">
        <is>
          <t>Next Term Begins on Monday, 22nd September, 2025</t>
        </is>
      </c>
    </row>
    <row r="164" ht="30.6" customHeight="1" s="6">
      <c r="A164" s="18" t="n">
        <v>161</v>
      </c>
      <c r="B164" s="19" t="n"/>
      <c r="C164" s="20" t="n"/>
      <c r="D164" s="128" t="n"/>
      <c r="E164" s="21" t="n"/>
      <c r="F164" s="22" t="n"/>
      <c r="G164" s="22" t="n"/>
      <c r="H164" s="22" t="n"/>
      <c r="I164" s="26">
        <f>G164-H164</f>
        <v/>
      </c>
      <c r="J164" s="21" t="n"/>
      <c r="K164" s="21" t="n"/>
      <c r="L164" s="27">
        <f>SUM(J164:K164)</f>
        <v/>
      </c>
      <c r="M164" s="28" t="n"/>
      <c r="N164" s="28" t="n"/>
      <c r="O164" s="29">
        <f>IF(AND(L164=0,M164=0,N164=0),0,IF(AND(L164=0,M164=0),N164/1,IF(AND(L164=0,N164=0),M164/1,IF(AND(M164=0,N164=0),L164/1,IF(L164=0,FLOOR((M164+N164)/2,0.1),IF(M164=0,(L164+N164)/2,IF(N164=0,(M164+L164)/2,FLOOR(((L164+M164+N164)/3),0.1))))))))</f>
        <v/>
      </c>
      <c r="P164" s="21" t="n"/>
      <c r="Q164" s="21" t="n"/>
      <c r="R164" s="27">
        <f>SUM(P164:Q164)</f>
        <v/>
      </c>
      <c r="S164" s="28" t="n"/>
      <c r="T164" s="28" t="n"/>
      <c r="U164" s="29">
        <f>IF(AND(R164=0,S164=0,T164=0),0,IF(AND(R164=0,S164=0),T164/1,IF(AND(R164=0,T164=0),S164/1,IF(AND(S164=0,T164=0),R164/1,IF(R164=0,FLOOR((S164+T164)/2,0.1),IF(S164=0,(R164+T164)/2,IF(T164=0,(S164+R164)/2,FLOOR(((R164+S164+T164)/3),0.1))))))))</f>
        <v/>
      </c>
      <c r="V164" s="21" t="n"/>
      <c r="W164" s="21" t="n"/>
      <c r="X164" s="27">
        <f>SUM(V164:W164)</f>
        <v/>
      </c>
      <c r="Y164" s="28" t="n"/>
      <c r="Z164" s="28" t="n"/>
      <c r="AA164" s="29">
        <f>IF(AND(X164=0,Y164=0,Z164=0),0,IF(AND(X164=0,Y164=0),Z164/1,IF(AND(X164=0,Z164=0),Y164/1,IF(AND(Y164=0,Z164=0),X164/1,IF(X164=0,FLOOR((Y164+Z164)/2,0.1),IF(Y164=0,(X164+Z164)/2,IF(Z164=0,(Y164+X164)/2,FLOOR(((X164+Y164+Z164)/3),0.1))))))))</f>
        <v/>
      </c>
      <c r="AB164" s="21" t="n"/>
      <c r="AC164" s="21" t="n"/>
      <c r="AD164" s="27">
        <f>SUM(AB164:AC164)</f>
        <v/>
      </c>
      <c r="AE164" s="28" t="n"/>
      <c r="AF164" s="28" t="n"/>
      <c r="AG164" s="29">
        <f>IF(AND(AD164=0,AE164=0,AF164=0),0,IF(AND(AD164=0,AE164=0),AF164/1,IF(AND(AD164=0,AF164=0),AE164/1,IF(AND(AE164=0,AF164=0),AD164/1,IF(AD164=0,FLOOR((AE164+AF164)/2,0.1),IF(AE164=0,(AD164+AF164)/2,IF(AF164=0,(AE164+AD164)/2,FLOOR(((AD164+AE164+AF164)/3),0.1))))))))</f>
        <v/>
      </c>
      <c r="AH164" s="21" t="n"/>
      <c r="AI164" s="21" t="n"/>
      <c r="AJ164" s="27">
        <f>SUM(AH164:AI164)</f>
        <v/>
      </c>
      <c r="AK164" s="28" t="n"/>
      <c r="AL164" s="28" t="n"/>
      <c r="AM164" s="29">
        <f>IF(AND(AJ164=0,AK164=0,AL164=0),0,IF(AND(AJ164=0,AK164=0),AL164/1,IF(AND(AJ164=0,AL164=0),AK164/1,IF(AND(AK164=0,AL164=0),AJ164/1,IF(AJ164=0,FLOOR((AK164+AL164)/2,0.1),IF(AK164=0,(AJ164+AL164)/2,IF(AL164=0,(AK164+AJ164)/2,FLOOR(((AJ164+AK164+AL164)/3),0.1))))))))</f>
        <v/>
      </c>
      <c r="AN164" s="21" t="n"/>
      <c r="AO164" s="21" t="n"/>
      <c r="AP164" s="27">
        <f>SUM(AN164:AO164)</f>
        <v/>
      </c>
      <c r="AQ164" s="28" t="n"/>
      <c r="AR164" s="30" t="n"/>
      <c r="AS164" s="29">
        <f>IF(AND(AP164=0,AQ164=0,AR164=0),0,IF(AND(AP164=0,AQ164=0),AR164/1,IF(AND(AP164=0,AR164=0),AQ164/1,IF(AND(AQ164=0,AR164=0),AP164/1,IF(AP164=0,FLOOR((AQ164+AR164)/2,0.1),IF(AQ164=0,(AP164+AR164)/2,IF(AR164=0,(AQ164+AP164)/2,FLOOR(((AP164+AQ164+AR164)/3),0.1))))))))</f>
        <v/>
      </c>
      <c r="AT164" s="21" t="n"/>
      <c r="AU164" s="21" t="n"/>
      <c r="AV164" s="27">
        <f>SUM(AT164:AU164)</f>
        <v/>
      </c>
      <c r="AW164" s="28" t="n"/>
      <c r="AX164" s="30" t="n"/>
      <c r="AY164" s="29">
        <f>IF(AND(AV164=0,AW164=0,AX164=0),0,IF(AND(AV164=0,AW164=0),AX164/1,IF(AND(AV164=0,AX164=0),AW164/1,IF(AND(AW164=0,AX164=0),AV164/1,IF(AV164=0,FLOOR((AW164+AX164)/2,0.1),IF(AW164=0,(AV164+AX164)/2,IF(AX164=0,(AW164+AV164)/2,FLOOR(((AV164+AW164+AX164)/3),0.1))))))))</f>
        <v/>
      </c>
      <c r="AZ164" s="21" t="n"/>
      <c r="BA164" s="21" t="n"/>
      <c r="BB164" s="27">
        <f>SUM(AZ164:BA164)</f>
        <v/>
      </c>
      <c r="BC164" s="28" t="n"/>
      <c r="BD164" s="28" t="n"/>
      <c r="BE164" s="29">
        <f>IF(AND(BB164=0,BC164=0,BD164=0),0,IF(AND(BB164=0,BC164=0),BD164/1,IF(AND(BB164=0,BD164=0),BC164/1,IF(AND(BC164=0,BD164=0),BB164/1,IF(BB164=0,FLOOR((BC164+BD164)/2,0.1),IF(BC164=0,(BB164+BD164)/2,IF(BD164=0,(BC164+BB164)/2,FLOOR(((BB164+BC164+BD164)/3),0.1))))))))</f>
        <v/>
      </c>
      <c r="BF164" s="21" t="n"/>
      <c r="BG164" s="21" t="n"/>
      <c r="BH164" s="27">
        <f>SUM(BF164:BG164)</f>
        <v/>
      </c>
      <c r="BI164" s="28" t="n"/>
      <c r="BJ164" s="28" t="n"/>
      <c r="BK164" s="29">
        <f>IF(AND(BH164=0,BI164=0,BJ164=0),0,IF(AND(BH164=0,BI164=0),BJ164/1,IF(AND(BH164=0,BJ164=0),BI164/1,IF(AND(BI164=0,BJ164=0),BH164/1,IF(BH164=0,FLOOR((BI164+BJ164)/2,0.1),IF(BI164=0,(BH164+BJ164)/2,IF(BJ164=0,(BI164+BH164)/2,FLOOR(((BH164+BI164+BJ164)/3),0.1))))))))</f>
        <v/>
      </c>
      <c r="BL164" s="21" t="n"/>
      <c r="BM164" s="21" t="n"/>
      <c r="BN164" s="27">
        <f>SUM(BL164:BM164)</f>
        <v/>
      </c>
      <c r="BO164" s="28" t="n"/>
      <c r="BP164" s="31" t="n"/>
      <c r="BQ164" s="29">
        <f>IF(AND(BN164=0,BO164=0,BP164=0),0,IF(AND(BN164=0,BO164=0),BP164/1,IF(AND(BN164=0,BP164=0),BO164/1,IF(AND(BO164=0,BP164=0),BN164/1,IF(BN164=0,FLOOR((BO164+BP164)/2,0.1),IF(BO164=0,(BN164+BP164)/2,IF(BP164=0,(BO164+BN164)/2,FLOOR(((BN164+BO164+BP164)/3),0.1))))))))</f>
        <v/>
      </c>
      <c r="BR164" s="21" t="n"/>
      <c r="BS164" s="21" t="n"/>
      <c r="BT164" s="27">
        <f>SUM(BR164:BS164)</f>
        <v/>
      </c>
      <c r="BU164" s="28" t="n"/>
      <c r="BV164" s="31" t="n"/>
      <c r="BW164" s="29">
        <f>IF(AND(BT164=0,BU164=0,BV164=0),0,IF(AND(BT164=0,BU164=0),BV164/1,IF(AND(BT164=0,BV164=0),BU164/1,IF(AND(BU164=0,BV164=0),BT164/1,IF(BT164=0,FLOOR((BU164+BV164)/2,0.1),IF(BU164=0,(BT164+BV164)/2,IF(BV164=0,(BU164+BT164)/2,FLOOR(((BT164+BU164+BV164)/3),0.1))))))))</f>
        <v/>
      </c>
      <c r="BX164" s="21" t="n"/>
      <c r="BY164" s="21" t="n"/>
      <c r="BZ164" s="27">
        <f>SUM(BX164:BY164)</f>
        <v/>
      </c>
      <c r="CA164" s="28" t="n"/>
      <c r="CB164" s="31" t="n"/>
      <c r="CC164" s="29">
        <f>IF(AND(BZ164=0,CA164=0,CB164=0),0,IF(AND(BZ164=0,CA164=0),CB164/1,IF(AND(BZ164=0,CB164=0),CA164/1,IF(AND(CA164=0,CB164=0),BZ164/1,IF(BZ164=0,FLOOR((CA164+CB164)/2,0.1),IF(CA164=0,(BZ164+CB164)/2,IF(CB164=0,(CA164+BZ164)/2,FLOOR(((BZ164+CA164+CB164)/3),0.1))))))))</f>
        <v/>
      </c>
      <c r="CD164" s="21" t="n"/>
      <c r="CE164" s="21" t="n"/>
      <c r="CF164" s="27">
        <f>SUM(CD164:CE164)</f>
        <v/>
      </c>
      <c r="CG164" s="28" t="n"/>
      <c r="CH164" s="31" t="n"/>
      <c r="CI164" s="29">
        <f>IF(AND(CF164=0,CG164=0,CH164=0),0,IF(AND(CF164=0,CG164=0),CH164/1,IF(AND(CF164=0,CH164=0),CG164/1,IF(AND(CG164=0,CH164=0),CF164/1,IF(CF164=0,FLOOR((CG164+CH164)/2,0.1),IF(CG164=0,(CF164+CH164)/2,IF(CH164=0,(CG164+CF164)/2,FLOOR(((CF164+CG164+CH164)/3),0.1))))))))</f>
        <v/>
      </c>
      <c r="CJ164" s="21" t="n"/>
      <c r="CK164" s="21" t="n"/>
      <c r="CL164" s="27">
        <f>SUM(CJ164:CK164)</f>
        <v/>
      </c>
      <c r="CM164" s="28" t="n"/>
      <c r="CN164" s="31" t="n"/>
      <c r="CO164" s="29">
        <f>IF(AND(CL164=0,CM164=0,CN164=0),0,IF(AND(CL164=0,CM164=0),CN164/1,IF(AND(CL164=0,CN164=0),CM164/1,IF(AND(CM164=0,CN164=0),CL164/1,IF(CL164=0,FLOOR((CM164+CN164)/2,0.1),IF(CM164=0,(CL164+CN164)/2,IF(CN164=0,(CM164+CL164)/2,FLOOR(((CL164+CM164+CN164)/3),0.1))))))))</f>
        <v/>
      </c>
      <c r="CP164" s="21" t="n"/>
      <c r="CQ164" s="21" t="n"/>
      <c r="CR164" s="27">
        <f>SUM(CP164:CQ164)</f>
        <v/>
      </c>
      <c r="CS164" s="28" t="n"/>
      <c r="CT164" s="31" t="n"/>
      <c r="CU164" s="29">
        <f>IF(AND(CR164=0,CS164=0,CT164=0),0,IF(AND(CR164=0,CS164=0),CT164/1,IF(AND(CR164=0,CT164=0),CS164/1,IF(AND(CS164=0,CT164=0),CR164/1,IF(CR164=0,FLOOR((CS164+CT164)/2,0.1),IF(CS164=0,(CR164+CT164)/2,IF(CT164=0,(CS164+CR164)/2,FLOOR(((CR164+CS164+CT164)/3),0.1))))))))</f>
        <v/>
      </c>
      <c r="CV164" s="21" t="n"/>
      <c r="CW164" s="21" t="n"/>
      <c r="CX164" s="27">
        <f>SUM(CV164:CW164)</f>
        <v/>
      </c>
      <c r="CY164" s="28" t="n"/>
      <c r="CZ164" s="31" t="n"/>
      <c r="DA164" s="29">
        <f>IF(AND(CX164=0,CY164=0,CZ164=0),0,IF(AND(CX164=0,CY164=0),CZ164/1,IF(AND(CX164=0,CZ164=0),CY164/1,IF(AND(CY164=0,CZ164=0),CX164/1,IF(CX164=0,FLOOR((CY164+CZ164)/2,0.1),IF(CY164=0,(CX164+CZ164)/2,IF(CZ164=0,(CY164+CX164)/2,FLOOR(((CX164+CY164+CZ164)/3),0.1))))))))</f>
        <v/>
      </c>
      <c r="DB164" s="21" t="n"/>
      <c r="DC164" s="21" t="n"/>
      <c r="DD164" s="27">
        <f>SUM(DB164:DC164)</f>
        <v/>
      </c>
      <c r="DE164" s="28" t="n"/>
      <c r="DF164" s="31" t="n"/>
      <c r="DG164" s="29">
        <f>IF(AND(DD164=0,DE164=0,DF164=0),0,IF(AND(DD164=0,DE164=0),DF164/1,IF(AND(DD164=0,DF164=0),DE164/1,IF(AND(DE164=0,DF164=0),DD164/1,IF(DD164=0,FLOOR((DE164+DF164)/2,0.1),IF(DE164=0,(DD164+DF164)/2,IF(DF164=0,(DE164+DD164)/2,FLOOR(((DD164+DE164+DF164)/3),0.1))))))))</f>
        <v/>
      </c>
      <c r="DH164" s="34">
        <f>SUM(O164,U164,AA164,AG164,AM164,AS164,AY164,BE164,BK164,BQ164,BW164,CC164,CI164,CO164,CU164,DA164,DG164)</f>
        <v/>
      </c>
      <c r="DI164" s="39">
        <f>RANK(DH164,DH$4:DH$503)</f>
        <v/>
      </c>
      <c r="DJ164" s="40" t="inlineStr">
        <is>
          <t>CHOOSE RATING</t>
        </is>
      </c>
      <c r="DK164" s="40" t="inlineStr">
        <is>
          <t>CHOOSE RATING</t>
        </is>
      </c>
      <c r="DL164" s="40" t="inlineStr">
        <is>
          <t>CHOOSE RATING</t>
        </is>
      </c>
      <c r="DM164" s="40" t="inlineStr">
        <is>
          <t>CHOOSE RATING</t>
        </is>
      </c>
      <c r="DN164" s="40" t="inlineStr">
        <is>
          <t>CHOOSE RATING</t>
        </is>
      </c>
      <c r="DO164" s="40" t="inlineStr">
        <is>
          <t>CHOOSE RATING</t>
        </is>
      </c>
      <c r="DP164" s="40" t="inlineStr">
        <is>
          <t>CHOOSE RATING</t>
        </is>
      </c>
      <c r="DQ164" s="40" t="inlineStr">
        <is>
          <t>CHOOSE RATING</t>
        </is>
      </c>
      <c r="DR164" s="43" t="inlineStr">
        <is>
          <t>2024/2025</t>
        </is>
      </c>
      <c r="DS164" s="45" t="inlineStr">
        <is>
          <t>THIRD</t>
        </is>
      </c>
      <c r="DT164" s="40" t="inlineStr">
        <is>
          <t>CHOOSE RATING</t>
        </is>
      </c>
      <c r="DU164" s="40" t="inlineStr">
        <is>
          <t>CHOOSE RATING</t>
        </is>
      </c>
      <c r="DV164" s="40" t="inlineStr">
        <is>
          <t>CHOOSE RATING</t>
        </is>
      </c>
      <c r="DW164" s="40" t="inlineStr">
        <is>
          <t>CHOOSE RATING</t>
        </is>
      </c>
      <c r="DX164" s="40" t="inlineStr">
        <is>
          <t>CHOOSE RATING</t>
        </is>
      </c>
      <c r="DY164" s="40" t="inlineStr">
        <is>
          <t>CHOOSE RATING</t>
        </is>
      </c>
      <c r="DZ164" s="53" t="inlineStr">
        <is>
          <t>CHOOSE RATING</t>
        </is>
      </c>
      <c r="EA164" s="54" t="inlineStr">
        <is>
          <t>Add the Tutor's Comment . . .</t>
        </is>
      </c>
      <c r="EB164" s="55" t="inlineStr">
        <is>
          <t>Choose Principals comment</t>
        </is>
      </c>
      <c r="EC164" s="56" t="n"/>
      <c r="ED164" s="57" t="inlineStr">
        <is>
          <t>Next Term Begins on Monday, 22nd September, 2025</t>
        </is>
      </c>
    </row>
    <row r="165" ht="30.6" customHeight="1" s="6">
      <c r="A165" s="18" t="n">
        <v>162</v>
      </c>
      <c r="B165" s="19" t="n"/>
      <c r="C165" s="20" t="n"/>
      <c r="D165" s="128" t="n"/>
      <c r="E165" s="21" t="n"/>
      <c r="F165" s="22" t="n"/>
      <c r="G165" s="22" t="n"/>
      <c r="H165" s="22" t="n"/>
      <c r="I165" s="26">
        <f>G165-H165</f>
        <v/>
      </c>
      <c r="J165" s="21" t="n"/>
      <c r="K165" s="21" t="n"/>
      <c r="L165" s="27">
        <f>SUM(J165:K165)</f>
        <v/>
      </c>
      <c r="M165" s="28" t="n"/>
      <c r="N165" s="28" t="n"/>
      <c r="O165" s="29">
        <f>IF(AND(L165=0,M165=0,N165=0),0,IF(AND(L165=0,M165=0),N165/1,IF(AND(L165=0,N165=0),M165/1,IF(AND(M165=0,N165=0),L165/1,IF(L165=0,FLOOR((M165+N165)/2,0.1),IF(M165=0,(L165+N165)/2,IF(N165=0,(M165+L165)/2,FLOOR(((L165+M165+N165)/3),0.1))))))))</f>
        <v/>
      </c>
      <c r="P165" s="21" t="n"/>
      <c r="Q165" s="21" t="n"/>
      <c r="R165" s="27">
        <f>SUM(P165:Q165)</f>
        <v/>
      </c>
      <c r="S165" s="28" t="n"/>
      <c r="T165" s="28" t="n"/>
      <c r="U165" s="29">
        <f>IF(AND(R165=0,S165=0,T165=0),0,IF(AND(R165=0,S165=0),T165/1,IF(AND(R165=0,T165=0),S165/1,IF(AND(S165=0,T165=0),R165/1,IF(R165=0,FLOOR((S165+T165)/2,0.1),IF(S165=0,(R165+T165)/2,IF(T165=0,(S165+R165)/2,FLOOR(((R165+S165+T165)/3),0.1))))))))</f>
        <v/>
      </c>
      <c r="V165" s="21" t="n"/>
      <c r="W165" s="21" t="n"/>
      <c r="X165" s="27">
        <f>SUM(V165:W165)</f>
        <v/>
      </c>
      <c r="Y165" s="28" t="n"/>
      <c r="Z165" s="28" t="n"/>
      <c r="AA165" s="29">
        <f>IF(AND(X165=0,Y165=0,Z165=0),0,IF(AND(X165=0,Y165=0),Z165/1,IF(AND(X165=0,Z165=0),Y165/1,IF(AND(Y165=0,Z165=0),X165/1,IF(X165=0,FLOOR((Y165+Z165)/2,0.1),IF(Y165=0,(X165+Z165)/2,IF(Z165=0,(Y165+X165)/2,FLOOR(((X165+Y165+Z165)/3),0.1))))))))</f>
        <v/>
      </c>
      <c r="AB165" s="21" t="n"/>
      <c r="AC165" s="21" t="n"/>
      <c r="AD165" s="27">
        <f>SUM(AB165:AC165)</f>
        <v/>
      </c>
      <c r="AE165" s="28" t="n"/>
      <c r="AF165" s="28" t="n"/>
      <c r="AG165" s="29">
        <f>IF(AND(AD165=0,AE165=0,AF165=0),0,IF(AND(AD165=0,AE165=0),AF165/1,IF(AND(AD165=0,AF165=0),AE165/1,IF(AND(AE165=0,AF165=0),AD165/1,IF(AD165=0,FLOOR((AE165+AF165)/2,0.1),IF(AE165=0,(AD165+AF165)/2,IF(AF165=0,(AE165+AD165)/2,FLOOR(((AD165+AE165+AF165)/3),0.1))))))))</f>
        <v/>
      </c>
      <c r="AH165" s="21" t="n"/>
      <c r="AI165" s="21" t="n"/>
      <c r="AJ165" s="27">
        <f>SUM(AH165:AI165)</f>
        <v/>
      </c>
      <c r="AK165" s="28" t="n"/>
      <c r="AL165" s="28" t="n"/>
      <c r="AM165" s="29">
        <f>IF(AND(AJ165=0,AK165=0,AL165=0),0,IF(AND(AJ165=0,AK165=0),AL165/1,IF(AND(AJ165=0,AL165=0),AK165/1,IF(AND(AK165=0,AL165=0),AJ165/1,IF(AJ165=0,FLOOR((AK165+AL165)/2,0.1),IF(AK165=0,(AJ165+AL165)/2,IF(AL165=0,(AK165+AJ165)/2,FLOOR(((AJ165+AK165+AL165)/3),0.1))))))))</f>
        <v/>
      </c>
      <c r="AN165" s="21" t="n"/>
      <c r="AO165" s="21" t="n"/>
      <c r="AP165" s="27">
        <f>SUM(AN165:AO165)</f>
        <v/>
      </c>
      <c r="AQ165" s="28" t="n"/>
      <c r="AR165" s="30" t="n"/>
      <c r="AS165" s="29">
        <f>IF(AND(AP165=0,AQ165=0,AR165=0),0,IF(AND(AP165=0,AQ165=0),AR165/1,IF(AND(AP165=0,AR165=0),AQ165/1,IF(AND(AQ165=0,AR165=0),AP165/1,IF(AP165=0,FLOOR((AQ165+AR165)/2,0.1),IF(AQ165=0,(AP165+AR165)/2,IF(AR165=0,(AQ165+AP165)/2,FLOOR(((AP165+AQ165+AR165)/3),0.1))))))))</f>
        <v/>
      </c>
      <c r="AT165" s="21" t="n"/>
      <c r="AU165" s="21" t="n"/>
      <c r="AV165" s="27">
        <f>SUM(AT165:AU165)</f>
        <v/>
      </c>
      <c r="AW165" s="28" t="n"/>
      <c r="AX165" s="30" t="n"/>
      <c r="AY165" s="29">
        <f>IF(AND(AV165=0,AW165=0,AX165=0),0,IF(AND(AV165=0,AW165=0),AX165/1,IF(AND(AV165=0,AX165=0),AW165/1,IF(AND(AW165=0,AX165=0),AV165/1,IF(AV165=0,FLOOR((AW165+AX165)/2,0.1),IF(AW165=0,(AV165+AX165)/2,IF(AX165=0,(AW165+AV165)/2,FLOOR(((AV165+AW165+AX165)/3),0.1))))))))</f>
        <v/>
      </c>
      <c r="AZ165" s="21" t="n"/>
      <c r="BA165" s="21" t="n"/>
      <c r="BB165" s="27">
        <f>SUM(AZ165:BA165)</f>
        <v/>
      </c>
      <c r="BC165" s="28" t="n"/>
      <c r="BD165" s="28" t="n"/>
      <c r="BE165" s="29">
        <f>IF(AND(BB165=0,BC165=0,BD165=0),0,IF(AND(BB165=0,BC165=0),BD165/1,IF(AND(BB165=0,BD165=0),BC165/1,IF(AND(BC165=0,BD165=0),BB165/1,IF(BB165=0,FLOOR((BC165+BD165)/2,0.1),IF(BC165=0,(BB165+BD165)/2,IF(BD165=0,(BC165+BB165)/2,FLOOR(((BB165+BC165+BD165)/3),0.1))))))))</f>
        <v/>
      </c>
      <c r="BF165" s="21" t="n"/>
      <c r="BG165" s="21" t="n"/>
      <c r="BH165" s="27">
        <f>SUM(BF165:BG165)</f>
        <v/>
      </c>
      <c r="BI165" s="28" t="n"/>
      <c r="BJ165" s="28" t="n"/>
      <c r="BK165" s="29">
        <f>IF(AND(BH165=0,BI165=0,BJ165=0),0,IF(AND(BH165=0,BI165=0),BJ165/1,IF(AND(BH165=0,BJ165=0),BI165/1,IF(AND(BI165=0,BJ165=0),BH165/1,IF(BH165=0,FLOOR((BI165+BJ165)/2,0.1),IF(BI165=0,(BH165+BJ165)/2,IF(BJ165=0,(BI165+BH165)/2,FLOOR(((BH165+BI165+BJ165)/3),0.1))))))))</f>
        <v/>
      </c>
      <c r="BL165" s="21" t="n"/>
      <c r="BM165" s="21" t="n"/>
      <c r="BN165" s="27">
        <f>SUM(BL165:BM165)</f>
        <v/>
      </c>
      <c r="BO165" s="28" t="n"/>
      <c r="BP165" s="31" t="n"/>
      <c r="BQ165" s="29">
        <f>IF(AND(BN165=0,BO165=0,BP165=0),0,IF(AND(BN165=0,BO165=0),BP165/1,IF(AND(BN165=0,BP165=0),BO165/1,IF(AND(BO165=0,BP165=0),BN165/1,IF(BN165=0,FLOOR((BO165+BP165)/2,0.1),IF(BO165=0,(BN165+BP165)/2,IF(BP165=0,(BO165+BN165)/2,FLOOR(((BN165+BO165+BP165)/3),0.1))))))))</f>
        <v/>
      </c>
      <c r="BR165" s="21" t="n"/>
      <c r="BS165" s="21" t="n"/>
      <c r="BT165" s="27">
        <f>SUM(BR165:BS165)</f>
        <v/>
      </c>
      <c r="BU165" s="28" t="n"/>
      <c r="BV165" s="31" t="n"/>
      <c r="BW165" s="29">
        <f>IF(AND(BT165=0,BU165=0,BV165=0),0,IF(AND(BT165=0,BU165=0),BV165/1,IF(AND(BT165=0,BV165=0),BU165/1,IF(AND(BU165=0,BV165=0),BT165/1,IF(BT165=0,FLOOR((BU165+BV165)/2,0.1),IF(BU165=0,(BT165+BV165)/2,IF(BV165=0,(BU165+BT165)/2,FLOOR(((BT165+BU165+BV165)/3),0.1))))))))</f>
        <v/>
      </c>
      <c r="BX165" s="21" t="n"/>
      <c r="BY165" s="21" t="n"/>
      <c r="BZ165" s="27">
        <f>SUM(BX165:BY165)</f>
        <v/>
      </c>
      <c r="CA165" s="28" t="n"/>
      <c r="CB165" s="31" t="n"/>
      <c r="CC165" s="29">
        <f>IF(AND(BZ165=0,CA165=0,CB165=0),0,IF(AND(BZ165=0,CA165=0),CB165/1,IF(AND(BZ165=0,CB165=0),CA165/1,IF(AND(CA165=0,CB165=0),BZ165/1,IF(BZ165=0,FLOOR((CA165+CB165)/2,0.1),IF(CA165=0,(BZ165+CB165)/2,IF(CB165=0,(CA165+BZ165)/2,FLOOR(((BZ165+CA165+CB165)/3),0.1))))))))</f>
        <v/>
      </c>
      <c r="CD165" s="21" t="n"/>
      <c r="CE165" s="21" t="n"/>
      <c r="CF165" s="27">
        <f>SUM(CD165:CE165)</f>
        <v/>
      </c>
      <c r="CG165" s="28" t="n"/>
      <c r="CH165" s="31" t="n"/>
      <c r="CI165" s="29">
        <f>IF(AND(CF165=0,CG165=0,CH165=0),0,IF(AND(CF165=0,CG165=0),CH165/1,IF(AND(CF165=0,CH165=0),CG165/1,IF(AND(CG165=0,CH165=0),CF165/1,IF(CF165=0,FLOOR((CG165+CH165)/2,0.1),IF(CG165=0,(CF165+CH165)/2,IF(CH165=0,(CG165+CF165)/2,FLOOR(((CF165+CG165+CH165)/3),0.1))))))))</f>
        <v/>
      </c>
      <c r="CJ165" s="21" t="n"/>
      <c r="CK165" s="21" t="n"/>
      <c r="CL165" s="27">
        <f>SUM(CJ165:CK165)</f>
        <v/>
      </c>
      <c r="CM165" s="28" t="n"/>
      <c r="CN165" s="31" t="n"/>
      <c r="CO165" s="29">
        <f>IF(AND(CL165=0,CM165=0,CN165=0),0,IF(AND(CL165=0,CM165=0),CN165/1,IF(AND(CL165=0,CN165=0),CM165/1,IF(AND(CM165=0,CN165=0),CL165/1,IF(CL165=0,FLOOR((CM165+CN165)/2,0.1),IF(CM165=0,(CL165+CN165)/2,IF(CN165=0,(CM165+CL165)/2,FLOOR(((CL165+CM165+CN165)/3),0.1))))))))</f>
        <v/>
      </c>
      <c r="CP165" s="21" t="n"/>
      <c r="CQ165" s="21" t="n"/>
      <c r="CR165" s="27">
        <f>SUM(CP165:CQ165)</f>
        <v/>
      </c>
      <c r="CS165" s="28" t="n"/>
      <c r="CT165" s="31" t="n"/>
      <c r="CU165" s="29">
        <f>IF(AND(CR165=0,CS165=0,CT165=0),0,IF(AND(CR165=0,CS165=0),CT165/1,IF(AND(CR165=0,CT165=0),CS165/1,IF(AND(CS165=0,CT165=0),CR165/1,IF(CR165=0,FLOOR((CS165+CT165)/2,0.1),IF(CS165=0,(CR165+CT165)/2,IF(CT165=0,(CS165+CR165)/2,FLOOR(((CR165+CS165+CT165)/3),0.1))))))))</f>
        <v/>
      </c>
      <c r="CV165" s="21" t="n"/>
      <c r="CW165" s="21" t="n"/>
      <c r="CX165" s="27">
        <f>SUM(CV165:CW165)</f>
        <v/>
      </c>
      <c r="CY165" s="28" t="n"/>
      <c r="CZ165" s="31" t="n"/>
      <c r="DA165" s="29">
        <f>IF(AND(CX165=0,CY165=0,CZ165=0),0,IF(AND(CX165=0,CY165=0),CZ165/1,IF(AND(CX165=0,CZ165=0),CY165/1,IF(AND(CY165=0,CZ165=0),CX165/1,IF(CX165=0,FLOOR((CY165+CZ165)/2,0.1),IF(CY165=0,(CX165+CZ165)/2,IF(CZ165=0,(CY165+CX165)/2,FLOOR(((CX165+CY165+CZ165)/3),0.1))))))))</f>
        <v/>
      </c>
      <c r="DB165" s="21" t="n"/>
      <c r="DC165" s="21" t="n"/>
      <c r="DD165" s="27">
        <f>SUM(DB165:DC165)</f>
        <v/>
      </c>
      <c r="DE165" s="28" t="n"/>
      <c r="DF165" s="31" t="n"/>
      <c r="DG165" s="29">
        <f>IF(AND(DD165=0,DE165=0,DF165=0),0,IF(AND(DD165=0,DE165=0),DF165/1,IF(AND(DD165=0,DF165=0),DE165/1,IF(AND(DE165=0,DF165=0),DD165/1,IF(DD165=0,FLOOR((DE165+DF165)/2,0.1),IF(DE165=0,(DD165+DF165)/2,IF(DF165=0,(DE165+DD165)/2,FLOOR(((DD165+DE165+DF165)/3),0.1))))))))</f>
        <v/>
      </c>
      <c r="DH165" s="34">
        <f>SUM(O165,U165,AA165,AG165,AM165,AS165,AY165,BE165,BK165,BQ165,BW165,CC165,CI165,CO165,CU165,DA165,DG165)</f>
        <v/>
      </c>
      <c r="DI165" s="39">
        <f>RANK(DH165,DH$4:DH$503)</f>
        <v/>
      </c>
      <c r="DJ165" s="40" t="inlineStr">
        <is>
          <t>CHOOSE RATING</t>
        </is>
      </c>
      <c r="DK165" s="40" t="inlineStr">
        <is>
          <t>CHOOSE RATING</t>
        </is>
      </c>
      <c r="DL165" s="40" t="inlineStr">
        <is>
          <t>CHOOSE RATING</t>
        </is>
      </c>
      <c r="DM165" s="40" t="inlineStr">
        <is>
          <t>CHOOSE RATING</t>
        </is>
      </c>
      <c r="DN165" s="40" t="inlineStr">
        <is>
          <t>CHOOSE RATING</t>
        </is>
      </c>
      <c r="DO165" s="40" t="inlineStr">
        <is>
          <t>CHOOSE RATING</t>
        </is>
      </c>
      <c r="DP165" s="40" t="inlineStr">
        <is>
          <t>CHOOSE RATING</t>
        </is>
      </c>
      <c r="DQ165" s="40" t="inlineStr">
        <is>
          <t>CHOOSE RATING</t>
        </is>
      </c>
      <c r="DR165" s="43" t="inlineStr">
        <is>
          <t>2024/2025</t>
        </is>
      </c>
      <c r="DS165" s="45" t="inlineStr">
        <is>
          <t>THIRD</t>
        </is>
      </c>
      <c r="DT165" s="40" t="inlineStr">
        <is>
          <t>CHOOSE RATING</t>
        </is>
      </c>
      <c r="DU165" s="40" t="inlineStr">
        <is>
          <t>CHOOSE RATING</t>
        </is>
      </c>
      <c r="DV165" s="40" t="inlineStr">
        <is>
          <t>CHOOSE RATING</t>
        </is>
      </c>
      <c r="DW165" s="40" t="inlineStr">
        <is>
          <t>CHOOSE RATING</t>
        </is>
      </c>
      <c r="DX165" s="40" t="inlineStr">
        <is>
          <t>CHOOSE RATING</t>
        </is>
      </c>
      <c r="DY165" s="40" t="inlineStr">
        <is>
          <t>CHOOSE RATING</t>
        </is>
      </c>
      <c r="DZ165" s="53" t="inlineStr">
        <is>
          <t>CHOOSE RATING</t>
        </is>
      </c>
      <c r="EA165" s="54" t="inlineStr">
        <is>
          <t>Add the Tutor's Comment . . .</t>
        </is>
      </c>
      <c r="EB165" s="55" t="inlineStr">
        <is>
          <t>Choose Principals comment</t>
        </is>
      </c>
      <c r="EC165" s="56" t="n"/>
      <c r="ED165" s="57" t="inlineStr">
        <is>
          <t>Next Term Begins on Monday, 22nd September, 2025</t>
        </is>
      </c>
    </row>
    <row r="166" ht="30.6" customHeight="1" s="6">
      <c r="A166" s="18" t="n">
        <v>163</v>
      </c>
      <c r="B166" s="19" t="n"/>
      <c r="C166" s="20" t="n"/>
      <c r="D166" s="128" t="n"/>
      <c r="E166" s="21" t="n"/>
      <c r="F166" s="22" t="n"/>
      <c r="G166" s="22" t="n"/>
      <c r="H166" s="22" t="n"/>
      <c r="I166" s="26">
        <f>G166-H166</f>
        <v/>
      </c>
      <c r="J166" s="21" t="n"/>
      <c r="K166" s="21" t="n"/>
      <c r="L166" s="27">
        <f>SUM(J166:K166)</f>
        <v/>
      </c>
      <c r="M166" s="28" t="n"/>
      <c r="N166" s="28" t="n"/>
      <c r="O166" s="29">
        <f>IF(AND(L166=0,M166=0,N166=0),0,IF(AND(L166=0,M166=0),N166/1,IF(AND(L166=0,N166=0),M166/1,IF(AND(M166=0,N166=0),L166/1,IF(L166=0,FLOOR((M166+N166)/2,0.1),IF(M166=0,(L166+N166)/2,IF(N166=0,(M166+L166)/2,FLOOR(((L166+M166+N166)/3),0.1))))))))</f>
        <v/>
      </c>
      <c r="P166" s="21" t="n"/>
      <c r="Q166" s="21" t="n"/>
      <c r="R166" s="27">
        <f>SUM(P166:Q166)</f>
        <v/>
      </c>
      <c r="S166" s="28" t="n"/>
      <c r="T166" s="28" t="n"/>
      <c r="U166" s="29">
        <f>IF(AND(R166=0,S166=0,T166=0),0,IF(AND(R166=0,S166=0),T166/1,IF(AND(R166=0,T166=0),S166/1,IF(AND(S166=0,T166=0),R166/1,IF(R166=0,FLOOR((S166+T166)/2,0.1),IF(S166=0,(R166+T166)/2,IF(T166=0,(S166+R166)/2,FLOOR(((R166+S166+T166)/3),0.1))))))))</f>
        <v/>
      </c>
      <c r="V166" s="21" t="n"/>
      <c r="W166" s="21" t="n"/>
      <c r="X166" s="27">
        <f>SUM(V166:W166)</f>
        <v/>
      </c>
      <c r="Y166" s="28" t="n"/>
      <c r="Z166" s="28" t="n"/>
      <c r="AA166" s="29">
        <f>IF(AND(X166=0,Y166=0,Z166=0),0,IF(AND(X166=0,Y166=0),Z166/1,IF(AND(X166=0,Z166=0),Y166/1,IF(AND(Y166=0,Z166=0),X166/1,IF(X166=0,FLOOR((Y166+Z166)/2,0.1),IF(Y166=0,(X166+Z166)/2,IF(Z166=0,(Y166+X166)/2,FLOOR(((X166+Y166+Z166)/3),0.1))))))))</f>
        <v/>
      </c>
      <c r="AB166" s="21" t="n"/>
      <c r="AC166" s="21" t="n"/>
      <c r="AD166" s="27">
        <f>SUM(AB166:AC166)</f>
        <v/>
      </c>
      <c r="AE166" s="28" t="n"/>
      <c r="AF166" s="28" t="n"/>
      <c r="AG166" s="29">
        <f>IF(AND(AD166=0,AE166=0,AF166=0),0,IF(AND(AD166=0,AE166=0),AF166/1,IF(AND(AD166=0,AF166=0),AE166/1,IF(AND(AE166=0,AF166=0),AD166/1,IF(AD166=0,FLOOR((AE166+AF166)/2,0.1),IF(AE166=0,(AD166+AF166)/2,IF(AF166=0,(AE166+AD166)/2,FLOOR(((AD166+AE166+AF166)/3),0.1))))))))</f>
        <v/>
      </c>
      <c r="AH166" s="21" t="n"/>
      <c r="AI166" s="21" t="n"/>
      <c r="AJ166" s="27">
        <f>SUM(AH166:AI166)</f>
        <v/>
      </c>
      <c r="AK166" s="28" t="n"/>
      <c r="AL166" s="28" t="n"/>
      <c r="AM166" s="29">
        <f>IF(AND(AJ166=0,AK166=0,AL166=0),0,IF(AND(AJ166=0,AK166=0),AL166/1,IF(AND(AJ166=0,AL166=0),AK166/1,IF(AND(AK166=0,AL166=0),AJ166/1,IF(AJ166=0,FLOOR((AK166+AL166)/2,0.1),IF(AK166=0,(AJ166+AL166)/2,IF(AL166=0,(AK166+AJ166)/2,FLOOR(((AJ166+AK166+AL166)/3),0.1))))))))</f>
        <v/>
      </c>
      <c r="AN166" s="21" t="n"/>
      <c r="AO166" s="21" t="n"/>
      <c r="AP166" s="27">
        <f>SUM(AN166:AO166)</f>
        <v/>
      </c>
      <c r="AQ166" s="28" t="n"/>
      <c r="AR166" s="30" t="n"/>
      <c r="AS166" s="29">
        <f>IF(AND(AP166=0,AQ166=0,AR166=0),0,IF(AND(AP166=0,AQ166=0),AR166/1,IF(AND(AP166=0,AR166=0),AQ166/1,IF(AND(AQ166=0,AR166=0),AP166/1,IF(AP166=0,FLOOR((AQ166+AR166)/2,0.1),IF(AQ166=0,(AP166+AR166)/2,IF(AR166=0,(AQ166+AP166)/2,FLOOR(((AP166+AQ166+AR166)/3),0.1))))))))</f>
        <v/>
      </c>
      <c r="AT166" s="21" t="n"/>
      <c r="AU166" s="21" t="n"/>
      <c r="AV166" s="27">
        <f>SUM(AT166:AU166)</f>
        <v/>
      </c>
      <c r="AW166" s="28" t="n"/>
      <c r="AX166" s="30" t="n"/>
      <c r="AY166" s="29">
        <f>IF(AND(AV166=0,AW166=0,AX166=0),0,IF(AND(AV166=0,AW166=0),AX166/1,IF(AND(AV166=0,AX166=0),AW166/1,IF(AND(AW166=0,AX166=0),AV166/1,IF(AV166=0,FLOOR((AW166+AX166)/2,0.1),IF(AW166=0,(AV166+AX166)/2,IF(AX166=0,(AW166+AV166)/2,FLOOR(((AV166+AW166+AX166)/3),0.1))))))))</f>
        <v/>
      </c>
      <c r="AZ166" s="21" t="n"/>
      <c r="BA166" s="21" t="n"/>
      <c r="BB166" s="27">
        <f>SUM(AZ166:BA166)</f>
        <v/>
      </c>
      <c r="BC166" s="28" t="n"/>
      <c r="BD166" s="28" t="n"/>
      <c r="BE166" s="29">
        <f>IF(AND(BB166=0,BC166=0,BD166=0),0,IF(AND(BB166=0,BC166=0),BD166/1,IF(AND(BB166=0,BD166=0),BC166/1,IF(AND(BC166=0,BD166=0),BB166/1,IF(BB166=0,FLOOR((BC166+BD166)/2,0.1),IF(BC166=0,(BB166+BD166)/2,IF(BD166=0,(BC166+BB166)/2,FLOOR(((BB166+BC166+BD166)/3),0.1))))))))</f>
        <v/>
      </c>
      <c r="BF166" s="21" t="n"/>
      <c r="BG166" s="21" t="n"/>
      <c r="BH166" s="27">
        <f>SUM(BF166:BG166)</f>
        <v/>
      </c>
      <c r="BI166" s="28" t="n"/>
      <c r="BJ166" s="28" t="n"/>
      <c r="BK166" s="29">
        <f>IF(AND(BH166=0,BI166=0,BJ166=0),0,IF(AND(BH166=0,BI166=0),BJ166/1,IF(AND(BH166=0,BJ166=0),BI166/1,IF(AND(BI166=0,BJ166=0),BH166/1,IF(BH166=0,FLOOR((BI166+BJ166)/2,0.1),IF(BI166=0,(BH166+BJ166)/2,IF(BJ166=0,(BI166+BH166)/2,FLOOR(((BH166+BI166+BJ166)/3),0.1))))))))</f>
        <v/>
      </c>
      <c r="BL166" s="21" t="n"/>
      <c r="BM166" s="21" t="n"/>
      <c r="BN166" s="27">
        <f>SUM(BL166:BM166)</f>
        <v/>
      </c>
      <c r="BO166" s="28" t="n"/>
      <c r="BP166" s="31" t="n"/>
      <c r="BQ166" s="29">
        <f>IF(AND(BN166=0,BO166=0,BP166=0),0,IF(AND(BN166=0,BO166=0),BP166/1,IF(AND(BN166=0,BP166=0),BO166/1,IF(AND(BO166=0,BP166=0),BN166/1,IF(BN166=0,FLOOR((BO166+BP166)/2,0.1),IF(BO166=0,(BN166+BP166)/2,IF(BP166=0,(BO166+BN166)/2,FLOOR(((BN166+BO166+BP166)/3),0.1))))))))</f>
        <v/>
      </c>
      <c r="BR166" s="21" t="n"/>
      <c r="BS166" s="21" t="n"/>
      <c r="BT166" s="27">
        <f>SUM(BR166:BS166)</f>
        <v/>
      </c>
      <c r="BU166" s="28" t="n"/>
      <c r="BV166" s="31" t="n"/>
      <c r="BW166" s="29">
        <f>IF(AND(BT166=0,BU166=0,BV166=0),0,IF(AND(BT166=0,BU166=0),BV166/1,IF(AND(BT166=0,BV166=0),BU166/1,IF(AND(BU166=0,BV166=0),BT166/1,IF(BT166=0,FLOOR((BU166+BV166)/2,0.1),IF(BU166=0,(BT166+BV166)/2,IF(BV166=0,(BU166+BT166)/2,FLOOR(((BT166+BU166+BV166)/3),0.1))))))))</f>
        <v/>
      </c>
      <c r="BX166" s="21" t="n"/>
      <c r="BY166" s="21" t="n"/>
      <c r="BZ166" s="27">
        <f>SUM(BX166:BY166)</f>
        <v/>
      </c>
      <c r="CA166" s="28" t="n"/>
      <c r="CB166" s="31" t="n"/>
      <c r="CC166" s="29">
        <f>IF(AND(BZ166=0,CA166=0,CB166=0),0,IF(AND(BZ166=0,CA166=0),CB166/1,IF(AND(BZ166=0,CB166=0),CA166/1,IF(AND(CA166=0,CB166=0),BZ166/1,IF(BZ166=0,FLOOR((CA166+CB166)/2,0.1),IF(CA166=0,(BZ166+CB166)/2,IF(CB166=0,(CA166+BZ166)/2,FLOOR(((BZ166+CA166+CB166)/3),0.1))))))))</f>
        <v/>
      </c>
      <c r="CD166" s="21" t="n"/>
      <c r="CE166" s="21" t="n"/>
      <c r="CF166" s="27">
        <f>SUM(CD166:CE166)</f>
        <v/>
      </c>
      <c r="CG166" s="28" t="n"/>
      <c r="CH166" s="31" t="n"/>
      <c r="CI166" s="29">
        <f>IF(AND(CF166=0,CG166=0,CH166=0),0,IF(AND(CF166=0,CG166=0),CH166/1,IF(AND(CF166=0,CH166=0),CG166/1,IF(AND(CG166=0,CH166=0),CF166/1,IF(CF166=0,FLOOR((CG166+CH166)/2,0.1),IF(CG166=0,(CF166+CH166)/2,IF(CH166=0,(CG166+CF166)/2,FLOOR(((CF166+CG166+CH166)/3),0.1))))))))</f>
        <v/>
      </c>
      <c r="CJ166" s="21" t="n"/>
      <c r="CK166" s="21" t="n"/>
      <c r="CL166" s="27">
        <f>SUM(CJ166:CK166)</f>
        <v/>
      </c>
      <c r="CM166" s="28" t="n"/>
      <c r="CN166" s="31" t="n"/>
      <c r="CO166" s="29">
        <f>IF(AND(CL166=0,CM166=0,CN166=0),0,IF(AND(CL166=0,CM166=0),CN166/1,IF(AND(CL166=0,CN166=0),CM166/1,IF(AND(CM166=0,CN166=0),CL166/1,IF(CL166=0,FLOOR((CM166+CN166)/2,0.1),IF(CM166=0,(CL166+CN166)/2,IF(CN166=0,(CM166+CL166)/2,FLOOR(((CL166+CM166+CN166)/3),0.1))))))))</f>
        <v/>
      </c>
      <c r="CP166" s="21" t="n"/>
      <c r="CQ166" s="21" t="n"/>
      <c r="CR166" s="27">
        <f>SUM(CP166:CQ166)</f>
        <v/>
      </c>
      <c r="CS166" s="28" t="n"/>
      <c r="CT166" s="31" t="n"/>
      <c r="CU166" s="29">
        <f>IF(AND(CR166=0,CS166=0,CT166=0),0,IF(AND(CR166=0,CS166=0),CT166/1,IF(AND(CR166=0,CT166=0),CS166/1,IF(AND(CS166=0,CT166=0),CR166/1,IF(CR166=0,FLOOR((CS166+CT166)/2,0.1),IF(CS166=0,(CR166+CT166)/2,IF(CT166=0,(CS166+CR166)/2,FLOOR(((CR166+CS166+CT166)/3),0.1))))))))</f>
        <v/>
      </c>
      <c r="CV166" s="21" t="n"/>
      <c r="CW166" s="21" t="n"/>
      <c r="CX166" s="27">
        <f>SUM(CV166:CW166)</f>
        <v/>
      </c>
      <c r="CY166" s="28" t="n"/>
      <c r="CZ166" s="31" t="n"/>
      <c r="DA166" s="29">
        <f>IF(AND(CX166=0,CY166=0,CZ166=0),0,IF(AND(CX166=0,CY166=0),CZ166/1,IF(AND(CX166=0,CZ166=0),CY166/1,IF(AND(CY166=0,CZ166=0),CX166/1,IF(CX166=0,FLOOR((CY166+CZ166)/2,0.1),IF(CY166=0,(CX166+CZ166)/2,IF(CZ166=0,(CY166+CX166)/2,FLOOR(((CX166+CY166+CZ166)/3),0.1))))))))</f>
        <v/>
      </c>
      <c r="DB166" s="21" t="n"/>
      <c r="DC166" s="21" t="n"/>
      <c r="DD166" s="27">
        <f>SUM(DB166:DC166)</f>
        <v/>
      </c>
      <c r="DE166" s="28" t="n"/>
      <c r="DF166" s="31" t="n"/>
      <c r="DG166" s="29">
        <f>IF(AND(DD166=0,DE166=0,DF166=0),0,IF(AND(DD166=0,DE166=0),DF166/1,IF(AND(DD166=0,DF166=0),DE166/1,IF(AND(DE166=0,DF166=0),DD166/1,IF(DD166=0,FLOOR((DE166+DF166)/2,0.1),IF(DE166=0,(DD166+DF166)/2,IF(DF166=0,(DE166+DD166)/2,FLOOR(((DD166+DE166+DF166)/3),0.1))))))))</f>
        <v/>
      </c>
      <c r="DH166" s="34">
        <f>SUM(O166,U166,AA166,AG166,AM166,AS166,AY166,BE166,BK166,BQ166,BW166,CC166,CI166,CO166,CU166,DA166,DG166)</f>
        <v/>
      </c>
      <c r="DI166" s="39">
        <f>RANK(DH166,DH$4:DH$503)</f>
        <v/>
      </c>
      <c r="DJ166" s="40" t="inlineStr">
        <is>
          <t>CHOOSE RATING</t>
        </is>
      </c>
      <c r="DK166" s="40" t="inlineStr">
        <is>
          <t>CHOOSE RATING</t>
        </is>
      </c>
      <c r="DL166" s="40" t="inlineStr">
        <is>
          <t>CHOOSE RATING</t>
        </is>
      </c>
      <c r="DM166" s="40" t="inlineStr">
        <is>
          <t>CHOOSE RATING</t>
        </is>
      </c>
      <c r="DN166" s="40" t="inlineStr">
        <is>
          <t>CHOOSE RATING</t>
        </is>
      </c>
      <c r="DO166" s="40" t="inlineStr">
        <is>
          <t>CHOOSE RATING</t>
        </is>
      </c>
      <c r="DP166" s="40" t="inlineStr">
        <is>
          <t>CHOOSE RATING</t>
        </is>
      </c>
      <c r="DQ166" s="40" t="inlineStr">
        <is>
          <t>CHOOSE RATING</t>
        </is>
      </c>
      <c r="DR166" s="43" t="inlineStr">
        <is>
          <t>2024/2025</t>
        </is>
      </c>
      <c r="DS166" s="45" t="inlineStr">
        <is>
          <t>THIRD</t>
        </is>
      </c>
      <c r="DT166" s="40" t="inlineStr">
        <is>
          <t>CHOOSE RATING</t>
        </is>
      </c>
      <c r="DU166" s="40" t="inlineStr">
        <is>
          <t>CHOOSE RATING</t>
        </is>
      </c>
      <c r="DV166" s="40" t="inlineStr">
        <is>
          <t>CHOOSE RATING</t>
        </is>
      </c>
      <c r="DW166" s="40" t="inlineStr">
        <is>
          <t>CHOOSE RATING</t>
        </is>
      </c>
      <c r="DX166" s="40" t="inlineStr">
        <is>
          <t>CHOOSE RATING</t>
        </is>
      </c>
      <c r="DY166" s="40" t="inlineStr">
        <is>
          <t>CHOOSE RATING</t>
        </is>
      </c>
      <c r="DZ166" s="53" t="inlineStr">
        <is>
          <t>CHOOSE RATING</t>
        </is>
      </c>
      <c r="EA166" s="54" t="inlineStr">
        <is>
          <t>Add the Tutor's Comment . . .</t>
        </is>
      </c>
      <c r="EB166" s="55" t="inlineStr">
        <is>
          <t>Choose Principals comment</t>
        </is>
      </c>
      <c r="EC166" s="56" t="n"/>
      <c r="ED166" s="57" t="inlineStr">
        <is>
          <t>Next Term Begins on Monday, 22nd September, 2025</t>
        </is>
      </c>
    </row>
    <row r="167" ht="30.6" customHeight="1" s="6">
      <c r="A167" s="18" t="n">
        <v>164</v>
      </c>
      <c r="B167" s="19" t="n"/>
      <c r="C167" s="20" t="n"/>
      <c r="D167" s="128" t="n"/>
      <c r="E167" s="21" t="n"/>
      <c r="F167" s="22" t="n"/>
      <c r="G167" s="22" t="n"/>
      <c r="H167" s="22" t="n"/>
      <c r="I167" s="26">
        <f>G167-H167</f>
        <v/>
      </c>
      <c r="J167" s="21" t="n"/>
      <c r="K167" s="21" t="n"/>
      <c r="L167" s="27">
        <f>SUM(J167:K167)</f>
        <v/>
      </c>
      <c r="M167" s="28" t="n"/>
      <c r="N167" s="28" t="n"/>
      <c r="O167" s="29">
        <f>IF(AND(L167=0,M167=0,N167=0),0,IF(AND(L167=0,M167=0),N167/1,IF(AND(L167=0,N167=0),M167/1,IF(AND(M167=0,N167=0),L167/1,IF(L167=0,FLOOR((M167+N167)/2,0.1),IF(M167=0,(L167+N167)/2,IF(N167=0,(M167+L167)/2,FLOOR(((L167+M167+N167)/3),0.1))))))))</f>
        <v/>
      </c>
      <c r="P167" s="21" t="n"/>
      <c r="Q167" s="21" t="n"/>
      <c r="R167" s="27">
        <f>SUM(P167:Q167)</f>
        <v/>
      </c>
      <c r="S167" s="28" t="n"/>
      <c r="T167" s="28" t="n"/>
      <c r="U167" s="29">
        <f>IF(AND(R167=0,S167=0,T167=0),0,IF(AND(R167=0,S167=0),T167/1,IF(AND(R167=0,T167=0),S167/1,IF(AND(S167=0,T167=0),R167/1,IF(R167=0,FLOOR((S167+T167)/2,0.1),IF(S167=0,(R167+T167)/2,IF(T167=0,(S167+R167)/2,FLOOR(((R167+S167+T167)/3),0.1))))))))</f>
        <v/>
      </c>
      <c r="V167" s="21" t="n"/>
      <c r="W167" s="21" t="n"/>
      <c r="X167" s="27">
        <f>SUM(V167:W167)</f>
        <v/>
      </c>
      <c r="Y167" s="28" t="n"/>
      <c r="Z167" s="28" t="n"/>
      <c r="AA167" s="29">
        <f>IF(AND(X167=0,Y167=0,Z167=0),0,IF(AND(X167=0,Y167=0),Z167/1,IF(AND(X167=0,Z167=0),Y167/1,IF(AND(Y167=0,Z167=0),X167/1,IF(X167=0,FLOOR((Y167+Z167)/2,0.1),IF(Y167=0,(X167+Z167)/2,IF(Z167=0,(Y167+X167)/2,FLOOR(((X167+Y167+Z167)/3),0.1))))))))</f>
        <v/>
      </c>
      <c r="AB167" s="21" t="n"/>
      <c r="AC167" s="21" t="n"/>
      <c r="AD167" s="27">
        <f>SUM(AB167:AC167)</f>
        <v/>
      </c>
      <c r="AE167" s="28" t="n"/>
      <c r="AF167" s="28" t="n"/>
      <c r="AG167" s="29">
        <f>IF(AND(AD167=0,AE167=0,AF167=0),0,IF(AND(AD167=0,AE167=0),AF167/1,IF(AND(AD167=0,AF167=0),AE167/1,IF(AND(AE167=0,AF167=0),AD167/1,IF(AD167=0,FLOOR((AE167+AF167)/2,0.1),IF(AE167=0,(AD167+AF167)/2,IF(AF167=0,(AE167+AD167)/2,FLOOR(((AD167+AE167+AF167)/3),0.1))))))))</f>
        <v/>
      </c>
      <c r="AH167" s="21" t="n"/>
      <c r="AI167" s="21" t="n"/>
      <c r="AJ167" s="27">
        <f>SUM(AH167:AI167)</f>
        <v/>
      </c>
      <c r="AK167" s="28" t="n"/>
      <c r="AL167" s="28" t="n"/>
      <c r="AM167" s="29">
        <f>IF(AND(AJ167=0,AK167=0,AL167=0),0,IF(AND(AJ167=0,AK167=0),AL167/1,IF(AND(AJ167=0,AL167=0),AK167/1,IF(AND(AK167=0,AL167=0),AJ167/1,IF(AJ167=0,FLOOR((AK167+AL167)/2,0.1),IF(AK167=0,(AJ167+AL167)/2,IF(AL167=0,(AK167+AJ167)/2,FLOOR(((AJ167+AK167+AL167)/3),0.1))))))))</f>
        <v/>
      </c>
      <c r="AN167" s="21" t="n"/>
      <c r="AO167" s="21" t="n"/>
      <c r="AP167" s="27">
        <f>SUM(AN167:AO167)</f>
        <v/>
      </c>
      <c r="AQ167" s="28" t="n"/>
      <c r="AR167" s="30" t="n"/>
      <c r="AS167" s="29">
        <f>IF(AND(AP167=0,AQ167=0,AR167=0),0,IF(AND(AP167=0,AQ167=0),AR167/1,IF(AND(AP167=0,AR167=0),AQ167/1,IF(AND(AQ167=0,AR167=0),AP167/1,IF(AP167=0,FLOOR((AQ167+AR167)/2,0.1),IF(AQ167=0,(AP167+AR167)/2,IF(AR167=0,(AQ167+AP167)/2,FLOOR(((AP167+AQ167+AR167)/3),0.1))))))))</f>
        <v/>
      </c>
      <c r="AT167" s="21" t="n"/>
      <c r="AU167" s="21" t="n"/>
      <c r="AV167" s="27">
        <f>SUM(AT167:AU167)</f>
        <v/>
      </c>
      <c r="AW167" s="28" t="n"/>
      <c r="AX167" s="30" t="n"/>
      <c r="AY167" s="29">
        <f>IF(AND(AV167=0,AW167=0,AX167=0),0,IF(AND(AV167=0,AW167=0),AX167/1,IF(AND(AV167=0,AX167=0),AW167/1,IF(AND(AW167=0,AX167=0),AV167/1,IF(AV167=0,FLOOR((AW167+AX167)/2,0.1),IF(AW167=0,(AV167+AX167)/2,IF(AX167=0,(AW167+AV167)/2,FLOOR(((AV167+AW167+AX167)/3),0.1))))))))</f>
        <v/>
      </c>
      <c r="AZ167" s="21" t="n"/>
      <c r="BA167" s="21" t="n"/>
      <c r="BB167" s="27">
        <f>SUM(AZ167:BA167)</f>
        <v/>
      </c>
      <c r="BC167" s="28" t="n"/>
      <c r="BD167" s="28" t="n"/>
      <c r="BE167" s="29">
        <f>IF(AND(BB167=0,BC167=0,BD167=0),0,IF(AND(BB167=0,BC167=0),BD167/1,IF(AND(BB167=0,BD167=0),BC167/1,IF(AND(BC167=0,BD167=0),BB167/1,IF(BB167=0,FLOOR((BC167+BD167)/2,0.1),IF(BC167=0,(BB167+BD167)/2,IF(BD167=0,(BC167+BB167)/2,FLOOR(((BB167+BC167+BD167)/3),0.1))))))))</f>
        <v/>
      </c>
      <c r="BF167" s="21" t="n"/>
      <c r="BG167" s="21" t="n"/>
      <c r="BH167" s="27">
        <f>SUM(BF167:BG167)</f>
        <v/>
      </c>
      <c r="BI167" s="28" t="n"/>
      <c r="BJ167" s="28" t="n"/>
      <c r="BK167" s="29">
        <f>IF(AND(BH167=0,BI167=0,BJ167=0),0,IF(AND(BH167=0,BI167=0),BJ167/1,IF(AND(BH167=0,BJ167=0),BI167/1,IF(AND(BI167=0,BJ167=0),BH167/1,IF(BH167=0,FLOOR((BI167+BJ167)/2,0.1),IF(BI167=0,(BH167+BJ167)/2,IF(BJ167=0,(BI167+BH167)/2,FLOOR(((BH167+BI167+BJ167)/3),0.1))))))))</f>
        <v/>
      </c>
      <c r="BL167" s="21" t="n"/>
      <c r="BM167" s="21" t="n"/>
      <c r="BN167" s="27">
        <f>SUM(BL167:BM167)</f>
        <v/>
      </c>
      <c r="BO167" s="28" t="n"/>
      <c r="BP167" s="31" t="n"/>
      <c r="BQ167" s="29">
        <f>IF(AND(BN167=0,BO167=0,BP167=0),0,IF(AND(BN167=0,BO167=0),BP167/1,IF(AND(BN167=0,BP167=0),BO167/1,IF(AND(BO167=0,BP167=0),BN167/1,IF(BN167=0,FLOOR((BO167+BP167)/2,0.1),IF(BO167=0,(BN167+BP167)/2,IF(BP167=0,(BO167+BN167)/2,FLOOR(((BN167+BO167+BP167)/3),0.1))))))))</f>
        <v/>
      </c>
      <c r="BR167" s="21" t="n"/>
      <c r="BS167" s="21" t="n"/>
      <c r="BT167" s="27">
        <f>SUM(BR167:BS167)</f>
        <v/>
      </c>
      <c r="BU167" s="28" t="n"/>
      <c r="BV167" s="31" t="n"/>
      <c r="BW167" s="29">
        <f>IF(AND(BT167=0,BU167=0,BV167=0),0,IF(AND(BT167=0,BU167=0),BV167/1,IF(AND(BT167=0,BV167=0),BU167/1,IF(AND(BU167=0,BV167=0),BT167/1,IF(BT167=0,FLOOR((BU167+BV167)/2,0.1),IF(BU167=0,(BT167+BV167)/2,IF(BV167=0,(BU167+BT167)/2,FLOOR(((BT167+BU167+BV167)/3),0.1))))))))</f>
        <v/>
      </c>
      <c r="BX167" s="21" t="n"/>
      <c r="BY167" s="21" t="n"/>
      <c r="BZ167" s="27">
        <f>SUM(BX167:BY167)</f>
        <v/>
      </c>
      <c r="CA167" s="28" t="n"/>
      <c r="CB167" s="31" t="n"/>
      <c r="CC167" s="29">
        <f>IF(AND(BZ167=0,CA167=0,CB167=0),0,IF(AND(BZ167=0,CA167=0),CB167/1,IF(AND(BZ167=0,CB167=0),CA167/1,IF(AND(CA167=0,CB167=0),BZ167/1,IF(BZ167=0,FLOOR((CA167+CB167)/2,0.1),IF(CA167=0,(BZ167+CB167)/2,IF(CB167=0,(CA167+BZ167)/2,FLOOR(((BZ167+CA167+CB167)/3),0.1))))))))</f>
        <v/>
      </c>
      <c r="CD167" s="21" t="n"/>
      <c r="CE167" s="21" t="n"/>
      <c r="CF167" s="27">
        <f>SUM(CD167:CE167)</f>
        <v/>
      </c>
      <c r="CG167" s="28" t="n"/>
      <c r="CH167" s="31" t="n"/>
      <c r="CI167" s="29">
        <f>IF(AND(CF167=0,CG167=0,CH167=0),0,IF(AND(CF167=0,CG167=0),CH167/1,IF(AND(CF167=0,CH167=0),CG167/1,IF(AND(CG167=0,CH167=0),CF167/1,IF(CF167=0,FLOOR((CG167+CH167)/2,0.1),IF(CG167=0,(CF167+CH167)/2,IF(CH167=0,(CG167+CF167)/2,FLOOR(((CF167+CG167+CH167)/3),0.1))))))))</f>
        <v/>
      </c>
      <c r="CJ167" s="21" t="n"/>
      <c r="CK167" s="21" t="n"/>
      <c r="CL167" s="27">
        <f>SUM(CJ167:CK167)</f>
        <v/>
      </c>
      <c r="CM167" s="28" t="n"/>
      <c r="CN167" s="31" t="n"/>
      <c r="CO167" s="29">
        <f>IF(AND(CL167=0,CM167=0,CN167=0),0,IF(AND(CL167=0,CM167=0),CN167/1,IF(AND(CL167=0,CN167=0),CM167/1,IF(AND(CM167=0,CN167=0),CL167/1,IF(CL167=0,FLOOR((CM167+CN167)/2,0.1),IF(CM167=0,(CL167+CN167)/2,IF(CN167=0,(CM167+CL167)/2,FLOOR(((CL167+CM167+CN167)/3),0.1))))))))</f>
        <v/>
      </c>
      <c r="CP167" s="21" t="n"/>
      <c r="CQ167" s="21" t="n"/>
      <c r="CR167" s="27">
        <f>SUM(CP167:CQ167)</f>
        <v/>
      </c>
      <c r="CS167" s="28" t="n"/>
      <c r="CT167" s="31" t="n"/>
      <c r="CU167" s="29">
        <f>IF(AND(CR167=0,CS167=0,CT167=0),0,IF(AND(CR167=0,CS167=0),CT167/1,IF(AND(CR167=0,CT167=0),CS167/1,IF(AND(CS167=0,CT167=0),CR167/1,IF(CR167=0,FLOOR((CS167+CT167)/2,0.1),IF(CS167=0,(CR167+CT167)/2,IF(CT167=0,(CS167+CR167)/2,FLOOR(((CR167+CS167+CT167)/3),0.1))))))))</f>
        <v/>
      </c>
      <c r="CV167" s="21" t="n"/>
      <c r="CW167" s="21" t="n"/>
      <c r="CX167" s="27">
        <f>SUM(CV167:CW167)</f>
        <v/>
      </c>
      <c r="CY167" s="28" t="n"/>
      <c r="CZ167" s="31" t="n"/>
      <c r="DA167" s="29">
        <f>IF(AND(CX167=0,CY167=0,CZ167=0),0,IF(AND(CX167=0,CY167=0),CZ167/1,IF(AND(CX167=0,CZ167=0),CY167/1,IF(AND(CY167=0,CZ167=0),CX167/1,IF(CX167=0,FLOOR((CY167+CZ167)/2,0.1),IF(CY167=0,(CX167+CZ167)/2,IF(CZ167=0,(CY167+CX167)/2,FLOOR(((CX167+CY167+CZ167)/3),0.1))))))))</f>
        <v/>
      </c>
      <c r="DB167" s="21" t="n"/>
      <c r="DC167" s="21" t="n"/>
      <c r="DD167" s="27">
        <f>SUM(DB167:DC167)</f>
        <v/>
      </c>
      <c r="DE167" s="28" t="n"/>
      <c r="DF167" s="31" t="n"/>
      <c r="DG167" s="29">
        <f>IF(AND(DD167=0,DE167=0,DF167=0),0,IF(AND(DD167=0,DE167=0),DF167/1,IF(AND(DD167=0,DF167=0),DE167/1,IF(AND(DE167=0,DF167=0),DD167/1,IF(DD167=0,FLOOR((DE167+DF167)/2,0.1),IF(DE167=0,(DD167+DF167)/2,IF(DF167=0,(DE167+DD167)/2,FLOOR(((DD167+DE167+DF167)/3),0.1))))))))</f>
        <v/>
      </c>
      <c r="DH167" s="34">
        <f>SUM(O167,U167,AA167,AG167,AM167,AS167,AY167,BE167,BK167,BQ167,BW167,CC167,CI167,CO167,CU167,DA167,DG167)</f>
        <v/>
      </c>
      <c r="DI167" s="39">
        <f>RANK(DH167,DH$4:DH$503)</f>
        <v/>
      </c>
      <c r="DJ167" s="40" t="inlineStr">
        <is>
          <t>CHOOSE RATING</t>
        </is>
      </c>
      <c r="DK167" s="40" t="inlineStr">
        <is>
          <t>CHOOSE RATING</t>
        </is>
      </c>
      <c r="DL167" s="40" t="inlineStr">
        <is>
          <t>CHOOSE RATING</t>
        </is>
      </c>
      <c r="DM167" s="40" t="inlineStr">
        <is>
          <t>CHOOSE RATING</t>
        </is>
      </c>
      <c r="DN167" s="40" t="inlineStr">
        <is>
          <t>CHOOSE RATING</t>
        </is>
      </c>
      <c r="DO167" s="40" t="inlineStr">
        <is>
          <t>CHOOSE RATING</t>
        </is>
      </c>
      <c r="DP167" s="40" t="inlineStr">
        <is>
          <t>CHOOSE RATING</t>
        </is>
      </c>
      <c r="DQ167" s="40" t="inlineStr">
        <is>
          <t>CHOOSE RATING</t>
        </is>
      </c>
      <c r="DR167" s="43" t="inlineStr">
        <is>
          <t>2024/2025</t>
        </is>
      </c>
      <c r="DS167" s="45" t="inlineStr">
        <is>
          <t>THIRD</t>
        </is>
      </c>
      <c r="DT167" s="40" t="inlineStr">
        <is>
          <t>CHOOSE RATING</t>
        </is>
      </c>
      <c r="DU167" s="40" t="inlineStr">
        <is>
          <t>CHOOSE RATING</t>
        </is>
      </c>
      <c r="DV167" s="40" t="inlineStr">
        <is>
          <t>CHOOSE RATING</t>
        </is>
      </c>
      <c r="DW167" s="40" t="inlineStr">
        <is>
          <t>CHOOSE RATING</t>
        </is>
      </c>
      <c r="DX167" s="40" t="inlineStr">
        <is>
          <t>CHOOSE RATING</t>
        </is>
      </c>
      <c r="DY167" s="40" t="inlineStr">
        <is>
          <t>CHOOSE RATING</t>
        </is>
      </c>
      <c r="DZ167" s="53" t="inlineStr">
        <is>
          <t>CHOOSE RATING</t>
        </is>
      </c>
      <c r="EA167" s="54" t="inlineStr">
        <is>
          <t>Add the Tutor's Comment . . .</t>
        </is>
      </c>
      <c r="EB167" s="55" t="inlineStr">
        <is>
          <t>Choose Principals comment</t>
        </is>
      </c>
      <c r="EC167" s="56" t="n"/>
      <c r="ED167" s="57" t="inlineStr">
        <is>
          <t>Next Term Begins on Monday, 22nd September, 2025</t>
        </is>
      </c>
    </row>
    <row r="168" ht="30.6" customHeight="1" s="6">
      <c r="A168" s="18" t="n">
        <v>165</v>
      </c>
      <c r="B168" s="19" t="n"/>
      <c r="C168" s="20" t="n"/>
      <c r="D168" s="128" t="n"/>
      <c r="E168" s="21" t="n"/>
      <c r="F168" s="22" t="n"/>
      <c r="G168" s="22" t="n"/>
      <c r="H168" s="22" t="n"/>
      <c r="I168" s="26">
        <f>G168-H168</f>
        <v/>
      </c>
      <c r="J168" s="21" t="n"/>
      <c r="K168" s="21" t="n"/>
      <c r="L168" s="27">
        <f>SUM(J168:K168)</f>
        <v/>
      </c>
      <c r="M168" s="28" t="n"/>
      <c r="N168" s="28" t="n"/>
      <c r="O168" s="29">
        <f>IF(AND(L168=0,M168=0,N168=0),0,IF(AND(L168=0,M168=0),N168/1,IF(AND(L168=0,N168=0),M168/1,IF(AND(M168=0,N168=0),L168/1,IF(L168=0,FLOOR((M168+N168)/2,0.1),IF(M168=0,(L168+N168)/2,IF(N168=0,(M168+L168)/2,FLOOR(((L168+M168+N168)/3),0.1))))))))</f>
        <v/>
      </c>
      <c r="P168" s="21" t="n"/>
      <c r="Q168" s="21" t="n"/>
      <c r="R168" s="27">
        <f>SUM(P168:Q168)</f>
        <v/>
      </c>
      <c r="S168" s="28" t="n"/>
      <c r="T168" s="28" t="n"/>
      <c r="U168" s="29">
        <f>IF(AND(R168=0,S168=0,T168=0),0,IF(AND(R168=0,S168=0),T168/1,IF(AND(R168=0,T168=0),S168/1,IF(AND(S168=0,T168=0),R168/1,IF(R168=0,FLOOR((S168+T168)/2,0.1),IF(S168=0,(R168+T168)/2,IF(T168=0,(S168+R168)/2,FLOOR(((R168+S168+T168)/3),0.1))))))))</f>
        <v/>
      </c>
      <c r="V168" s="21" t="n"/>
      <c r="W168" s="21" t="n"/>
      <c r="X168" s="27">
        <f>SUM(V168:W168)</f>
        <v/>
      </c>
      <c r="Y168" s="28" t="n"/>
      <c r="Z168" s="28" t="n"/>
      <c r="AA168" s="29">
        <f>IF(AND(X168=0,Y168=0,Z168=0),0,IF(AND(X168=0,Y168=0),Z168/1,IF(AND(X168=0,Z168=0),Y168/1,IF(AND(Y168=0,Z168=0),X168/1,IF(X168=0,FLOOR((Y168+Z168)/2,0.1),IF(Y168=0,(X168+Z168)/2,IF(Z168=0,(Y168+X168)/2,FLOOR(((X168+Y168+Z168)/3),0.1))))))))</f>
        <v/>
      </c>
      <c r="AB168" s="21" t="n"/>
      <c r="AC168" s="21" t="n"/>
      <c r="AD168" s="27">
        <f>SUM(AB168:AC168)</f>
        <v/>
      </c>
      <c r="AE168" s="28" t="n"/>
      <c r="AF168" s="28" t="n"/>
      <c r="AG168" s="29">
        <f>IF(AND(AD168=0,AE168=0,AF168=0),0,IF(AND(AD168=0,AE168=0),AF168/1,IF(AND(AD168=0,AF168=0),AE168/1,IF(AND(AE168=0,AF168=0),AD168/1,IF(AD168=0,FLOOR((AE168+AF168)/2,0.1),IF(AE168=0,(AD168+AF168)/2,IF(AF168=0,(AE168+AD168)/2,FLOOR(((AD168+AE168+AF168)/3),0.1))))))))</f>
        <v/>
      </c>
      <c r="AH168" s="21" t="n"/>
      <c r="AI168" s="21" t="n"/>
      <c r="AJ168" s="27">
        <f>SUM(AH168:AI168)</f>
        <v/>
      </c>
      <c r="AK168" s="28" t="n"/>
      <c r="AL168" s="28" t="n"/>
      <c r="AM168" s="29">
        <f>IF(AND(AJ168=0,AK168=0,AL168=0),0,IF(AND(AJ168=0,AK168=0),AL168/1,IF(AND(AJ168=0,AL168=0),AK168/1,IF(AND(AK168=0,AL168=0),AJ168/1,IF(AJ168=0,FLOOR((AK168+AL168)/2,0.1),IF(AK168=0,(AJ168+AL168)/2,IF(AL168=0,(AK168+AJ168)/2,FLOOR(((AJ168+AK168+AL168)/3),0.1))))))))</f>
        <v/>
      </c>
      <c r="AN168" s="21" t="n"/>
      <c r="AO168" s="21" t="n"/>
      <c r="AP168" s="27">
        <f>SUM(AN168:AO168)</f>
        <v/>
      </c>
      <c r="AQ168" s="28" t="n"/>
      <c r="AR168" s="30" t="n"/>
      <c r="AS168" s="29">
        <f>IF(AND(AP168=0,AQ168=0,AR168=0),0,IF(AND(AP168=0,AQ168=0),AR168/1,IF(AND(AP168=0,AR168=0),AQ168/1,IF(AND(AQ168=0,AR168=0),AP168/1,IF(AP168=0,FLOOR((AQ168+AR168)/2,0.1),IF(AQ168=0,(AP168+AR168)/2,IF(AR168=0,(AQ168+AP168)/2,FLOOR(((AP168+AQ168+AR168)/3),0.1))))))))</f>
        <v/>
      </c>
      <c r="AT168" s="21" t="n"/>
      <c r="AU168" s="21" t="n"/>
      <c r="AV168" s="27">
        <f>SUM(AT168:AU168)</f>
        <v/>
      </c>
      <c r="AW168" s="28" t="n"/>
      <c r="AX168" s="30" t="n"/>
      <c r="AY168" s="29">
        <f>IF(AND(AV168=0,AW168=0,AX168=0),0,IF(AND(AV168=0,AW168=0),AX168/1,IF(AND(AV168=0,AX168=0),AW168/1,IF(AND(AW168=0,AX168=0),AV168/1,IF(AV168=0,FLOOR((AW168+AX168)/2,0.1),IF(AW168=0,(AV168+AX168)/2,IF(AX168=0,(AW168+AV168)/2,FLOOR(((AV168+AW168+AX168)/3),0.1))))))))</f>
        <v/>
      </c>
      <c r="AZ168" s="21" t="n"/>
      <c r="BA168" s="21" t="n"/>
      <c r="BB168" s="27">
        <f>SUM(AZ168:BA168)</f>
        <v/>
      </c>
      <c r="BC168" s="28" t="n"/>
      <c r="BD168" s="28" t="n"/>
      <c r="BE168" s="29">
        <f>IF(AND(BB168=0,BC168=0,BD168=0),0,IF(AND(BB168=0,BC168=0),BD168/1,IF(AND(BB168=0,BD168=0),BC168/1,IF(AND(BC168=0,BD168=0),BB168/1,IF(BB168=0,FLOOR((BC168+BD168)/2,0.1),IF(BC168=0,(BB168+BD168)/2,IF(BD168=0,(BC168+BB168)/2,FLOOR(((BB168+BC168+BD168)/3),0.1))))))))</f>
        <v/>
      </c>
      <c r="BF168" s="21" t="n"/>
      <c r="BG168" s="21" t="n"/>
      <c r="BH168" s="27">
        <f>SUM(BF168:BG168)</f>
        <v/>
      </c>
      <c r="BI168" s="28" t="n"/>
      <c r="BJ168" s="28" t="n"/>
      <c r="BK168" s="29">
        <f>IF(AND(BH168=0,BI168=0,BJ168=0),0,IF(AND(BH168=0,BI168=0),BJ168/1,IF(AND(BH168=0,BJ168=0),BI168/1,IF(AND(BI168=0,BJ168=0),BH168/1,IF(BH168=0,FLOOR((BI168+BJ168)/2,0.1),IF(BI168=0,(BH168+BJ168)/2,IF(BJ168=0,(BI168+BH168)/2,FLOOR(((BH168+BI168+BJ168)/3),0.1))))))))</f>
        <v/>
      </c>
      <c r="BL168" s="21" t="n"/>
      <c r="BM168" s="21" t="n"/>
      <c r="BN168" s="27">
        <f>SUM(BL168:BM168)</f>
        <v/>
      </c>
      <c r="BO168" s="28" t="n"/>
      <c r="BP168" s="31" t="n"/>
      <c r="BQ168" s="29">
        <f>IF(AND(BN168=0,BO168=0,BP168=0),0,IF(AND(BN168=0,BO168=0),BP168/1,IF(AND(BN168=0,BP168=0),BO168/1,IF(AND(BO168=0,BP168=0),BN168/1,IF(BN168=0,FLOOR((BO168+BP168)/2,0.1),IF(BO168=0,(BN168+BP168)/2,IF(BP168=0,(BO168+BN168)/2,FLOOR(((BN168+BO168+BP168)/3),0.1))))))))</f>
        <v/>
      </c>
      <c r="BR168" s="21" t="n"/>
      <c r="BS168" s="21" t="n"/>
      <c r="BT168" s="27">
        <f>SUM(BR168:BS168)</f>
        <v/>
      </c>
      <c r="BU168" s="28" t="n"/>
      <c r="BV168" s="31" t="n"/>
      <c r="BW168" s="29">
        <f>IF(AND(BT168=0,BU168=0,BV168=0),0,IF(AND(BT168=0,BU168=0),BV168/1,IF(AND(BT168=0,BV168=0),BU168/1,IF(AND(BU168=0,BV168=0),BT168/1,IF(BT168=0,FLOOR((BU168+BV168)/2,0.1),IF(BU168=0,(BT168+BV168)/2,IF(BV168=0,(BU168+BT168)/2,FLOOR(((BT168+BU168+BV168)/3),0.1))))))))</f>
        <v/>
      </c>
      <c r="BX168" s="21" t="n"/>
      <c r="BY168" s="21" t="n"/>
      <c r="BZ168" s="27">
        <f>SUM(BX168:BY168)</f>
        <v/>
      </c>
      <c r="CA168" s="28" t="n"/>
      <c r="CB168" s="31" t="n"/>
      <c r="CC168" s="29">
        <f>IF(AND(BZ168=0,CA168=0,CB168=0),0,IF(AND(BZ168=0,CA168=0),CB168/1,IF(AND(BZ168=0,CB168=0),CA168/1,IF(AND(CA168=0,CB168=0),BZ168/1,IF(BZ168=0,FLOOR((CA168+CB168)/2,0.1),IF(CA168=0,(BZ168+CB168)/2,IF(CB168=0,(CA168+BZ168)/2,FLOOR(((BZ168+CA168+CB168)/3),0.1))))))))</f>
        <v/>
      </c>
      <c r="CD168" s="21" t="n"/>
      <c r="CE168" s="21" t="n"/>
      <c r="CF168" s="27">
        <f>SUM(CD168:CE168)</f>
        <v/>
      </c>
      <c r="CG168" s="28" t="n"/>
      <c r="CH168" s="31" t="n"/>
      <c r="CI168" s="29">
        <f>IF(AND(CF168=0,CG168=0,CH168=0),0,IF(AND(CF168=0,CG168=0),CH168/1,IF(AND(CF168=0,CH168=0),CG168/1,IF(AND(CG168=0,CH168=0),CF168/1,IF(CF168=0,FLOOR((CG168+CH168)/2,0.1),IF(CG168=0,(CF168+CH168)/2,IF(CH168=0,(CG168+CF168)/2,FLOOR(((CF168+CG168+CH168)/3),0.1))))))))</f>
        <v/>
      </c>
      <c r="CJ168" s="21" t="n"/>
      <c r="CK168" s="21" t="n"/>
      <c r="CL168" s="27">
        <f>SUM(CJ168:CK168)</f>
        <v/>
      </c>
      <c r="CM168" s="28" t="n"/>
      <c r="CN168" s="31" t="n"/>
      <c r="CO168" s="29">
        <f>IF(AND(CL168=0,CM168=0,CN168=0),0,IF(AND(CL168=0,CM168=0),CN168/1,IF(AND(CL168=0,CN168=0),CM168/1,IF(AND(CM168=0,CN168=0),CL168/1,IF(CL168=0,FLOOR((CM168+CN168)/2,0.1),IF(CM168=0,(CL168+CN168)/2,IF(CN168=0,(CM168+CL168)/2,FLOOR(((CL168+CM168+CN168)/3),0.1))))))))</f>
        <v/>
      </c>
      <c r="CP168" s="21" t="n"/>
      <c r="CQ168" s="21" t="n"/>
      <c r="CR168" s="27">
        <f>SUM(CP168:CQ168)</f>
        <v/>
      </c>
      <c r="CS168" s="28" t="n"/>
      <c r="CT168" s="31" t="n"/>
      <c r="CU168" s="29">
        <f>IF(AND(CR168=0,CS168=0,CT168=0),0,IF(AND(CR168=0,CS168=0),CT168/1,IF(AND(CR168=0,CT168=0),CS168/1,IF(AND(CS168=0,CT168=0),CR168/1,IF(CR168=0,FLOOR((CS168+CT168)/2,0.1),IF(CS168=0,(CR168+CT168)/2,IF(CT168=0,(CS168+CR168)/2,FLOOR(((CR168+CS168+CT168)/3),0.1))))))))</f>
        <v/>
      </c>
      <c r="CV168" s="21" t="n"/>
      <c r="CW168" s="21" t="n"/>
      <c r="CX168" s="27">
        <f>SUM(CV168:CW168)</f>
        <v/>
      </c>
      <c r="CY168" s="28" t="n"/>
      <c r="CZ168" s="31" t="n"/>
      <c r="DA168" s="29">
        <f>IF(AND(CX168=0,CY168=0,CZ168=0),0,IF(AND(CX168=0,CY168=0),CZ168/1,IF(AND(CX168=0,CZ168=0),CY168/1,IF(AND(CY168=0,CZ168=0),CX168/1,IF(CX168=0,FLOOR((CY168+CZ168)/2,0.1),IF(CY168=0,(CX168+CZ168)/2,IF(CZ168=0,(CY168+CX168)/2,FLOOR(((CX168+CY168+CZ168)/3),0.1))))))))</f>
        <v/>
      </c>
      <c r="DB168" s="21" t="n"/>
      <c r="DC168" s="21" t="n"/>
      <c r="DD168" s="27">
        <f>SUM(DB168:DC168)</f>
        <v/>
      </c>
      <c r="DE168" s="28" t="n"/>
      <c r="DF168" s="31" t="n"/>
      <c r="DG168" s="29">
        <f>IF(AND(DD168=0,DE168=0,DF168=0),0,IF(AND(DD168=0,DE168=0),DF168/1,IF(AND(DD168=0,DF168=0),DE168/1,IF(AND(DE168=0,DF168=0),DD168/1,IF(DD168=0,FLOOR((DE168+DF168)/2,0.1),IF(DE168=0,(DD168+DF168)/2,IF(DF168=0,(DE168+DD168)/2,FLOOR(((DD168+DE168+DF168)/3),0.1))))))))</f>
        <v/>
      </c>
      <c r="DH168" s="34">
        <f>SUM(O168,U168,AA168,AG168,AM168,AS168,AY168,BE168,BK168,BQ168,BW168,CC168,CI168,CO168,CU168,DA168,DG168)</f>
        <v/>
      </c>
      <c r="DI168" s="39">
        <f>RANK(DH168,DH$4:DH$503)</f>
        <v/>
      </c>
      <c r="DJ168" s="40" t="inlineStr">
        <is>
          <t>CHOOSE RATING</t>
        </is>
      </c>
      <c r="DK168" s="40" t="inlineStr">
        <is>
          <t>CHOOSE RATING</t>
        </is>
      </c>
      <c r="DL168" s="40" t="inlineStr">
        <is>
          <t>CHOOSE RATING</t>
        </is>
      </c>
      <c r="DM168" s="40" t="inlineStr">
        <is>
          <t>CHOOSE RATING</t>
        </is>
      </c>
      <c r="DN168" s="40" t="inlineStr">
        <is>
          <t>CHOOSE RATING</t>
        </is>
      </c>
      <c r="DO168" s="40" t="inlineStr">
        <is>
          <t>CHOOSE RATING</t>
        </is>
      </c>
      <c r="DP168" s="40" t="inlineStr">
        <is>
          <t>CHOOSE RATING</t>
        </is>
      </c>
      <c r="DQ168" s="40" t="inlineStr">
        <is>
          <t>CHOOSE RATING</t>
        </is>
      </c>
      <c r="DR168" s="43" t="inlineStr">
        <is>
          <t>2024/2025</t>
        </is>
      </c>
      <c r="DS168" s="45" t="inlineStr">
        <is>
          <t>THIRD</t>
        </is>
      </c>
      <c r="DT168" s="40" t="inlineStr">
        <is>
          <t>CHOOSE RATING</t>
        </is>
      </c>
      <c r="DU168" s="40" t="inlineStr">
        <is>
          <t>CHOOSE RATING</t>
        </is>
      </c>
      <c r="DV168" s="40" t="inlineStr">
        <is>
          <t>CHOOSE RATING</t>
        </is>
      </c>
      <c r="DW168" s="40" t="inlineStr">
        <is>
          <t>CHOOSE RATING</t>
        </is>
      </c>
      <c r="DX168" s="40" t="inlineStr">
        <is>
          <t>CHOOSE RATING</t>
        </is>
      </c>
      <c r="DY168" s="40" t="inlineStr">
        <is>
          <t>CHOOSE RATING</t>
        </is>
      </c>
      <c r="DZ168" s="53" t="inlineStr">
        <is>
          <t>CHOOSE RATING</t>
        </is>
      </c>
      <c r="EA168" s="54" t="inlineStr">
        <is>
          <t>Add the Tutor's Comment . . .</t>
        </is>
      </c>
      <c r="EB168" s="55" t="inlineStr">
        <is>
          <t>Choose Principals comment</t>
        </is>
      </c>
      <c r="EC168" s="56" t="n"/>
      <c r="ED168" s="57" t="inlineStr">
        <is>
          <t>Next Term Begins on Monday, 22nd September, 2025</t>
        </is>
      </c>
    </row>
    <row r="169" ht="30.6" customHeight="1" s="6">
      <c r="A169" s="18" t="n">
        <v>166</v>
      </c>
      <c r="B169" s="19" t="n"/>
      <c r="C169" s="20" t="n"/>
      <c r="D169" s="128" t="n"/>
      <c r="E169" s="21" t="n"/>
      <c r="F169" s="22" t="n"/>
      <c r="G169" s="22" t="n"/>
      <c r="H169" s="22" t="n"/>
      <c r="I169" s="26">
        <f>G169-H169</f>
        <v/>
      </c>
      <c r="J169" s="21" t="n"/>
      <c r="K169" s="21" t="n"/>
      <c r="L169" s="27">
        <f>SUM(J169:K169)</f>
        <v/>
      </c>
      <c r="M169" s="28" t="n"/>
      <c r="N169" s="28" t="n"/>
      <c r="O169" s="29">
        <f>IF(AND(L169=0,M169=0,N169=0),0,IF(AND(L169=0,M169=0),N169/1,IF(AND(L169=0,N169=0),M169/1,IF(AND(M169=0,N169=0),L169/1,IF(L169=0,FLOOR((M169+N169)/2,0.1),IF(M169=0,(L169+N169)/2,IF(N169=0,(M169+L169)/2,FLOOR(((L169+M169+N169)/3),0.1))))))))</f>
        <v/>
      </c>
      <c r="P169" s="21" t="n"/>
      <c r="Q169" s="21" t="n"/>
      <c r="R169" s="27">
        <f>SUM(P169:Q169)</f>
        <v/>
      </c>
      <c r="S169" s="28" t="n"/>
      <c r="T169" s="28" t="n"/>
      <c r="U169" s="29">
        <f>IF(AND(R169=0,S169=0,T169=0),0,IF(AND(R169=0,S169=0),T169/1,IF(AND(R169=0,T169=0),S169/1,IF(AND(S169=0,T169=0),R169/1,IF(R169=0,FLOOR((S169+T169)/2,0.1),IF(S169=0,(R169+T169)/2,IF(T169=0,(S169+R169)/2,FLOOR(((R169+S169+T169)/3),0.1))))))))</f>
        <v/>
      </c>
      <c r="V169" s="21" t="n"/>
      <c r="W169" s="21" t="n"/>
      <c r="X169" s="27">
        <f>SUM(V169:W169)</f>
        <v/>
      </c>
      <c r="Y169" s="28" t="n"/>
      <c r="Z169" s="28" t="n"/>
      <c r="AA169" s="29">
        <f>IF(AND(X169=0,Y169=0,Z169=0),0,IF(AND(X169=0,Y169=0),Z169/1,IF(AND(X169=0,Z169=0),Y169/1,IF(AND(Y169=0,Z169=0),X169/1,IF(X169=0,FLOOR((Y169+Z169)/2,0.1),IF(Y169=0,(X169+Z169)/2,IF(Z169=0,(Y169+X169)/2,FLOOR(((X169+Y169+Z169)/3),0.1))))))))</f>
        <v/>
      </c>
      <c r="AB169" s="21" t="n"/>
      <c r="AC169" s="21" t="n"/>
      <c r="AD169" s="27">
        <f>SUM(AB169:AC169)</f>
        <v/>
      </c>
      <c r="AE169" s="28" t="n"/>
      <c r="AF169" s="28" t="n"/>
      <c r="AG169" s="29">
        <f>IF(AND(AD169=0,AE169=0,AF169=0),0,IF(AND(AD169=0,AE169=0),AF169/1,IF(AND(AD169=0,AF169=0),AE169/1,IF(AND(AE169=0,AF169=0),AD169/1,IF(AD169=0,FLOOR((AE169+AF169)/2,0.1),IF(AE169=0,(AD169+AF169)/2,IF(AF169=0,(AE169+AD169)/2,FLOOR(((AD169+AE169+AF169)/3),0.1))))))))</f>
        <v/>
      </c>
      <c r="AH169" s="21" t="n"/>
      <c r="AI169" s="21" t="n"/>
      <c r="AJ169" s="27">
        <f>SUM(AH169:AI169)</f>
        <v/>
      </c>
      <c r="AK169" s="28" t="n"/>
      <c r="AL169" s="28" t="n"/>
      <c r="AM169" s="29">
        <f>IF(AND(AJ169=0,AK169=0,AL169=0),0,IF(AND(AJ169=0,AK169=0),AL169/1,IF(AND(AJ169=0,AL169=0),AK169/1,IF(AND(AK169=0,AL169=0),AJ169/1,IF(AJ169=0,FLOOR((AK169+AL169)/2,0.1),IF(AK169=0,(AJ169+AL169)/2,IF(AL169=0,(AK169+AJ169)/2,FLOOR(((AJ169+AK169+AL169)/3),0.1))))))))</f>
        <v/>
      </c>
      <c r="AN169" s="21" t="n"/>
      <c r="AO169" s="21" t="n"/>
      <c r="AP169" s="27">
        <f>SUM(AN169:AO169)</f>
        <v/>
      </c>
      <c r="AQ169" s="28" t="n"/>
      <c r="AR169" s="30" t="n"/>
      <c r="AS169" s="29">
        <f>IF(AND(AP169=0,AQ169=0,AR169=0),0,IF(AND(AP169=0,AQ169=0),AR169/1,IF(AND(AP169=0,AR169=0),AQ169/1,IF(AND(AQ169=0,AR169=0),AP169/1,IF(AP169=0,FLOOR((AQ169+AR169)/2,0.1),IF(AQ169=0,(AP169+AR169)/2,IF(AR169=0,(AQ169+AP169)/2,FLOOR(((AP169+AQ169+AR169)/3),0.1))))))))</f>
        <v/>
      </c>
      <c r="AT169" s="21" t="n"/>
      <c r="AU169" s="21" t="n"/>
      <c r="AV169" s="27">
        <f>SUM(AT169:AU169)</f>
        <v/>
      </c>
      <c r="AW169" s="28" t="n"/>
      <c r="AX169" s="30" t="n"/>
      <c r="AY169" s="29">
        <f>IF(AND(AV169=0,AW169=0,AX169=0),0,IF(AND(AV169=0,AW169=0),AX169/1,IF(AND(AV169=0,AX169=0),AW169/1,IF(AND(AW169=0,AX169=0),AV169/1,IF(AV169=0,FLOOR((AW169+AX169)/2,0.1),IF(AW169=0,(AV169+AX169)/2,IF(AX169=0,(AW169+AV169)/2,FLOOR(((AV169+AW169+AX169)/3),0.1))))))))</f>
        <v/>
      </c>
      <c r="AZ169" s="21" t="n"/>
      <c r="BA169" s="21" t="n"/>
      <c r="BB169" s="27">
        <f>SUM(AZ169:BA169)</f>
        <v/>
      </c>
      <c r="BC169" s="28" t="n"/>
      <c r="BD169" s="28" t="n"/>
      <c r="BE169" s="29">
        <f>IF(AND(BB169=0,BC169=0,BD169=0),0,IF(AND(BB169=0,BC169=0),BD169/1,IF(AND(BB169=0,BD169=0),BC169/1,IF(AND(BC169=0,BD169=0),BB169/1,IF(BB169=0,FLOOR((BC169+BD169)/2,0.1),IF(BC169=0,(BB169+BD169)/2,IF(BD169=0,(BC169+BB169)/2,FLOOR(((BB169+BC169+BD169)/3),0.1))))))))</f>
        <v/>
      </c>
      <c r="BF169" s="21" t="n"/>
      <c r="BG169" s="21" t="n"/>
      <c r="BH169" s="27">
        <f>SUM(BF169:BG169)</f>
        <v/>
      </c>
      <c r="BI169" s="28" t="n"/>
      <c r="BJ169" s="28" t="n"/>
      <c r="BK169" s="29">
        <f>IF(AND(BH169=0,BI169=0,BJ169=0),0,IF(AND(BH169=0,BI169=0),BJ169/1,IF(AND(BH169=0,BJ169=0),BI169/1,IF(AND(BI169=0,BJ169=0),BH169/1,IF(BH169=0,FLOOR((BI169+BJ169)/2,0.1),IF(BI169=0,(BH169+BJ169)/2,IF(BJ169=0,(BI169+BH169)/2,FLOOR(((BH169+BI169+BJ169)/3),0.1))))))))</f>
        <v/>
      </c>
      <c r="BL169" s="21" t="n"/>
      <c r="BM169" s="21" t="n"/>
      <c r="BN169" s="27">
        <f>SUM(BL169:BM169)</f>
        <v/>
      </c>
      <c r="BO169" s="28" t="n"/>
      <c r="BP169" s="31" t="n"/>
      <c r="BQ169" s="29">
        <f>IF(AND(BN169=0,BO169=0,BP169=0),0,IF(AND(BN169=0,BO169=0),BP169/1,IF(AND(BN169=0,BP169=0),BO169/1,IF(AND(BO169=0,BP169=0),BN169/1,IF(BN169=0,FLOOR((BO169+BP169)/2,0.1),IF(BO169=0,(BN169+BP169)/2,IF(BP169=0,(BO169+BN169)/2,FLOOR(((BN169+BO169+BP169)/3),0.1))))))))</f>
        <v/>
      </c>
      <c r="BR169" s="21" t="n"/>
      <c r="BS169" s="21" t="n"/>
      <c r="BT169" s="27">
        <f>SUM(BR169:BS169)</f>
        <v/>
      </c>
      <c r="BU169" s="28" t="n"/>
      <c r="BV169" s="31" t="n"/>
      <c r="BW169" s="29">
        <f>IF(AND(BT169=0,BU169=0,BV169=0),0,IF(AND(BT169=0,BU169=0),BV169/1,IF(AND(BT169=0,BV169=0),BU169/1,IF(AND(BU169=0,BV169=0),BT169/1,IF(BT169=0,FLOOR((BU169+BV169)/2,0.1),IF(BU169=0,(BT169+BV169)/2,IF(BV169=0,(BU169+BT169)/2,FLOOR(((BT169+BU169+BV169)/3),0.1))))))))</f>
        <v/>
      </c>
      <c r="BX169" s="21" t="n"/>
      <c r="BY169" s="21" t="n"/>
      <c r="BZ169" s="27">
        <f>SUM(BX169:BY169)</f>
        <v/>
      </c>
      <c r="CA169" s="28" t="n"/>
      <c r="CB169" s="31" t="n"/>
      <c r="CC169" s="29">
        <f>IF(AND(BZ169=0,CA169=0,CB169=0),0,IF(AND(BZ169=0,CA169=0),CB169/1,IF(AND(BZ169=0,CB169=0),CA169/1,IF(AND(CA169=0,CB169=0),BZ169/1,IF(BZ169=0,FLOOR((CA169+CB169)/2,0.1),IF(CA169=0,(BZ169+CB169)/2,IF(CB169=0,(CA169+BZ169)/2,FLOOR(((BZ169+CA169+CB169)/3),0.1))))))))</f>
        <v/>
      </c>
      <c r="CD169" s="21" t="n"/>
      <c r="CE169" s="21" t="n"/>
      <c r="CF169" s="27">
        <f>SUM(CD169:CE169)</f>
        <v/>
      </c>
      <c r="CG169" s="28" t="n"/>
      <c r="CH169" s="31" t="n"/>
      <c r="CI169" s="29">
        <f>IF(AND(CF169=0,CG169=0,CH169=0),0,IF(AND(CF169=0,CG169=0),CH169/1,IF(AND(CF169=0,CH169=0),CG169/1,IF(AND(CG169=0,CH169=0),CF169/1,IF(CF169=0,FLOOR((CG169+CH169)/2,0.1),IF(CG169=0,(CF169+CH169)/2,IF(CH169=0,(CG169+CF169)/2,FLOOR(((CF169+CG169+CH169)/3),0.1))))))))</f>
        <v/>
      </c>
      <c r="CJ169" s="21" t="n"/>
      <c r="CK169" s="21" t="n"/>
      <c r="CL169" s="27">
        <f>SUM(CJ169:CK169)</f>
        <v/>
      </c>
      <c r="CM169" s="28" t="n"/>
      <c r="CN169" s="31" t="n"/>
      <c r="CO169" s="29">
        <f>IF(AND(CL169=0,CM169=0,CN169=0),0,IF(AND(CL169=0,CM169=0),CN169/1,IF(AND(CL169=0,CN169=0),CM169/1,IF(AND(CM169=0,CN169=0),CL169/1,IF(CL169=0,FLOOR((CM169+CN169)/2,0.1),IF(CM169=0,(CL169+CN169)/2,IF(CN169=0,(CM169+CL169)/2,FLOOR(((CL169+CM169+CN169)/3),0.1))))))))</f>
        <v/>
      </c>
      <c r="CP169" s="21" t="n"/>
      <c r="CQ169" s="21" t="n"/>
      <c r="CR169" s="27">
        <f>SUM(CP169:CQ169)</f>
        <v/>
      </c>
      <c r="CS169" s="28" t="n"/>
      <c r="CT169" s="31" t="n"/>
      <c r="CU169" s="29">
        <f>IF(AND(CR169=0,CS169=0,CT169=0),0,IF(AND(CR169=0,CS169=0),CT169/1,IF(AND(CR169=0,CT169=0),CS169/1,IF(AND(CS169=0,CT169=0),CR169/1,IF(CR169=0,FLOOR((CS169+CT169)/2,0.1),IF(CS169=0,(CR169+CT169)/2,IF(CT169=0,(CS169+CR169)/2,FLOOR(((CR169+CS169+CT169)/3),0.1))))))))</f>
        <v/>
      </c>
      <c r="CV169" s="21" t="n"/>
      <c r="CW169" s="21" t="n"/>
      <c r="CX169" s="27">
        <f>SUM(CV169:CW169)</f>
        <v/>
      </c>
      <c r="CY169" s="28" t="n"/>
      <c r="CZ169" s="31" t="n"/>
      <c r="DA169" s="29">
        <f>IF(AND(CX169=0,CY169=0,CZ169=0),0,IF(AND(CX169=0,CY169=0),CZ169/1,IF(AND(CX169=0,CZ169=0),CY169/1,IF(AND(CY169=0,CZ169=0),CX169/1,IF(CX169=0,FLOOR((CY169+CZ169)/2,0.1),IF(CY169=0,(CX169+CZ169)/2,IF(CZ169=0,(CY169+CX169)/2,FLOOR(((CX169+CY169+CZ169)/3),0.1))))))))</f>
        <v/>
      </c>
      <c r="DB169" s="21" t="n"/>
      <c r="DC169" s="21" t="n"/>
      <c r="DD169" s="27">
        <f>SUM(DB169:DC169)</f>
        <v/>
      </c>
      <c r="DE169" s="28" t="n"/>
      <c r="DF169" s="31" t="n"/>
      <c r="DG169" s="29">
        <f>IF(AND(DD169=0,DE169=0,DF169=0),0,IF(AND(DD169=0,DE169=0),DF169/1,IF(AND(DD169=0,DF169=0),DE169/1,IF(AND(DE169=0,DF169=0),DD169/1,IF(DD169=0,FLOOR((DE169+DF169)/2,0.1),IF(DE169=0,(DD169+DF169)/2,IF(DF169=0,(DE169+DD169)/2,FLOOR(((DD169+DE169+DF169)/3),0.1))))))))</f>
        <v/>
      </c>
      <c r="DH169" s="34">
        <f>SUM(O169,U169,AA169,AG169,AM169,AS169,AY169,BE169,BK169,BQ169,BW169,CC169,CI169,CO169,CU169,DA169,DG169)</f>
        <v/>
      </c>
      <c r="DI169" s="39">
        <f>RANK(DH169,DH$4:DH$503)</f>
        <v/>
      </c>
      <c r="DJ169" s="40" t="inlineStr">
        <is>
          <t>CHOOSE RATING</t>
        </is>
      </c>
      <c r="DK169" s="40" t="inlineStr">
        <is>
          <t>CHOOSE RATING</t>
        </is>
      </c>
      <c r="DL169" s="40" t="inlineStr">
        <is>
          <t>CHOOSE RATING</t>
        </is>
      </c>
      <c r="DM169" s="40" t="inlineStr">
        <is>
          <t>CHOOSE RATING</t>
        </is>
      </c>
      <c r="DN169" s="40" t="inlineStr">
        <is>
          <t>CHOOSE RATING</t>
        </is>
      </c>
      <c r="DO169" s="40" t="inlineStr">
        <is>
          <t>CHOOSE RATING</t>
        </is>
      </c>
      <c r="DP169" s="40" t="inlineStr">
        <is>
          <t>CHOOSE RATING</t>
        </is>
      </c>
      <c r="DQ169" s="40" t="inlineStr">
        <is>
          <t>CHOOSE RATING</t>
        </is>
      </c>
      <c r="DR169" s="43" t="inlineStr">
        <is>
          <t>2024/2025</t>
        </is>
      </c>
      <c r="DS169" s="45" t="inlineStr">
        <is>
          <t>THIRD</t>
        </is>
      </c>
      <c r="DT169" s="40" t="inlineStr">
        <is>
          <t>CHOOSE RATING</t>
        </is>
      </c>
      <c r="DU169" s="40" t="inlineStr">
        <is>
          <t>CHOOSE RATING</t>
        </is>
      </c>
      <c r="DV169" s="40" t="inlineStr">
        <is>
          <t>CHOOSE RATING</t>
        </is>
      </c>
      <c r="DW169" s="40" t="inlineStr">
        <is>
          <t>CHOOSE RATING</t>
        </is>
      </c>
      <c r="DX169" s="40" t="inlineStr">
        <is>
          <t>CHOOSE RATING</t>
        </is>
      </c>
      <c r="DY169" s="40" t="inlineStr">
        <is>
          <t>CHOOSE RATING</t>
        </is>
      </c>
      <c r="DZ169" s="53" t="inlineStr">
        <is>
          <t>CHOOSE RATING</t>
        </is>
      </c>
      <c r="EA169" s="54" t="inlineStr">
        <is>
          <t>Add the Tutor's Comment . . .</t>
        </is>
      </c>
      <c r="EB169" s="55" t="inlineStr">
        <is>
          <t>Choose Principals comment</t>
        </is>
      </c>
      <c r="EC169" s="56" t="n"/>
      <c r="ED169" s="57" t="inlineStr">
        <is>
          <t>Next Term Begins on Monday, 22nd September, 2025</t>
        </is>
      </c>
    </row>
    <row r="170" ht="30.6" customHeight="1" s="6">
      <c r="A170" s="18" t="n">
        <v>167</v>
      </c>
      <c r="B170" s="19" t="n"/>
      <c r="C170" s="20" t="n"/>
      <c r="D170" s="128" t="n"/>
      <c r="E170" s="21" t="n"/>
      <c r="F170" s="22" t="n"/>
      <c r="G170" s="22" t="n"/>
      <c r="H170" s="22" t="n"/>
      <c r="I170" s="26">
        <f>G170-H170</f>
        <v/>
      </c>
      <c r="J170" s="21" t="n"/>
      <c r="K170" s="21" t="n"/>
      <c r="L170" s="27">
        <f>SUM(J170:K170)</f>
        <v/>
      </c>
      <c r="M170" s="28" t="n"/>
      <c r="N170" s="28" t="n"/>
      <c r="O170" s="29">
        <f>IF(AND(L170=0,M170=0,N170=0),0,IF(AND(L170=0,M170=0),N170/1,IF(AND(L170=0,N170=0),M170/1,IF(AND(M170=0,N170=0),L170/1,IF(L170=0,FLOOR((M170+N170)/2,0.1),IF(M170=0,(L170+N170)/2,IF(N170=0,(M170+L170)/2,FLOOR(((L170+M170+N170)/3),0.1))))))))</f>
        <v/>
      </c>
      <c r="P170" s="21" t="n"/>
      <c r="Q170" s="21" t="n"/>
      <c r="R170" s="27">
        <f>SUM(P170:Q170)</f>
        <v/>
      </c>
      <c r="S170" s="28" t="n"/>
      <c r="T170" s="28" t="n"/>
      <c r="U170" s="29">
        <f>IF(AND(R170=0,S170=0,T170=0),0,IF(AND(R170=0,S170=0),T170/1,IF(AND(R170=0,T170=0),S170/1,IF(AND(S170=0,T170=0),R170/1,IF(R170=0,FLOOR((S170+T170)/2,0.1),IF(S170=0,(R170+T170)/2,IF(T170=0,(S170+R170)/2,FLOOR(((R170+S170+T170)/3),0.1))))))))</f>
        <v/>
      </c>
      <c r="V170" s="21" t="n"/>
      <c r="W170" s="21" t="n"/>
      <c r="X170" s="27">
        <f>SUM(V170:W170)</f>
        <v/>
      </c>
      <c r="Y170" s="28" t="n"/>
      <c r="Z170" s="28" t="n"/>
      <c r="AA170" s="29">
        <f>IF(AND(X170=0,Y170=0,Z170=0),0,IF(AND(X170=0,Y170=0),Z170/1,IF(AND(X170=0,Z170=0),Y170/1,IF(AND(Y170=0,Z170=0),X170/1,IF(X170=0,FLOOR((Y170+Z170)/2,0.1),IF(Y170=0,(X170+Z170)/2,IF(Z170=0,(Y170+X170)/2,FLOOR(((X170+Y170+Z170)/3),0.1))))))))</f>
        <v/>
      </c>
      <c r="AB170" s="21" t="n"/>
      <c r="AC170" s="21" t="n"/>
      <c r="AD170" s="27">
        <f>SUM(AB170:AC170)</f>
        <v/>
      </c>
      <c r="AE170" s="28" t="n"/>
      <c r="AF170" s="28" t="n"/>
      <c r="AG170" s="29">
        <f>IF(AND(AD170=0,AE170=0,AF170=0),0,IF(AND(AD170=0,AE170=0),AF170/1,IF(AND(AD170=0,AF170=0),AE170/1,IF(AND(AE170=0,AF170=0),AD170/1,IF(AD170=0,FLOOR((AE170+AF170)/2,0.1),IF(AE170=0,(AD170+AF170)/2,IF(AF170=0,(AE170+AD170)/2,FLOOR(((AD170+AE170+AF170)/3),0.1))))))))</f>
        <v/>
      </c>
      <c r="AH170" s="21" t="n"/>
      <c r="AI170" s="21" t="n"/>
      <c r="AJ170" s="27">
        <f>SUM(AH170:AI170)</f>
        <v/>
      </c>
      <c r="AK170" s="28" t="n"/>
      <c r="AL170" s="28" t="n"/>
      <c r="AM170" s="29">
        <f>IF(AND(AJ170=0,AK170=0,AL170=0),0,IF(AND(AJ170=0,AK170=0),AL170/1,IF(AND(AJ170=0,AL170=0),AK170/1,IF(AND(AK170=0,AL170=0),AJ170/1,IF(AJ170=0,FLOOR((AK170+AL170)/2,0.1),IF(AK170=0,(AJ170+AL170)/2,IF(AL170=0,(AK170+AJ170)/2,FLOOR(((AJ170+AK170+AL170)/3),0.1))))))))</f>
        <v/>
      </c>
      <c r="AN170" s="21" t="n"/>
      <c r="AO170" s="21" t="n"/>
      <c r="AP170" s="27">
        <f>SUM(AN170:AO170)</f>
        <v/>
      </c>
      <c r="AQ170" s="28" t="n"/>
      <c r="AR170" s="30" t="n"/>
      <c r="AS170" s="29">
        <f>IF(AND(AP170=0,AQ170=0,AR170=0),0,IF(AND(AP170=0,AQ170=0),AR170/1,IF(AND(AP170=0,AR170=0),AQ170/1,IF(AND(AQ170=0,AR170=0),AP170/1,IF(AP170=0,FLOOR((AQ170+AR170)/2,0.1),IF(AQ170=0,(AP170+AR170)/2,IF(AR170=0,(AQ170+AP170)/2,FLOOR(((AP170+AQ170+AR170)/3),0.1))))))))</f>
        <v/>
      </c>
      <c r="AT170" s="21" t="n"/>
      <c r="AU170" s="21" t="n"/>
      <c r="AV170" s="27">
        <f>SUM(AT170:AU170)</f>
        <v/>
      </c>
      <c r="AW170" s="28" t="n"/>
      <c r="AX170" s="30" t="n"/>
      <c r="AY170" s="29">
        <f>IF(AND(AV170=0,AW170=0,AX170=0),0,IF(AND(AV170=0,AW170=0),AX170/1,IF(AND(AV170=0,AX170=0),AW170/1,IF(AND(AW170=0,AX170=0),AV170/1,IF(AV170=0,FLOOR((AW170+AX170)/2,0.1),IF(AW170=0,(AV170+AX170)/2,IF(AX170=0,(AW170+AV170)/2,FLOOR(((AV170+AW170+AX170)/3),0.1))))))))</f>
        <v/>
      </c>
      <c r="AZ170" s="21" t="n"/>
      <c r="BA170" s="21" t="n"/>
      <c r="BB170" s="27">
        <f>SUM(AZ170:BA170)</f>
        <v/>
      </c>
      <c r="BC170" s="28" t="n"/>
      <c r="BD170" s="28" t="n"/>
      <c r="BE170" s="29">
        <f>IF(AND(BB170=0,BC170=0,BD170=0),0,IF(AND(BB170=0,BC170=0),BD170/1,IF(AND(BB170=0,BD170=0),BC170/1,IF(AND(BC170=0,BD170=0),BB170/1,IF(BB170=0,FLOOR((BC170+BD170)/2,0.1),IF(BC170=0,(BB170+BD170)/2,IF(BD170=0,(BC170+BB170)/2,FLOOR(((BB170+BC170+BD170)/3),0.1))))))))</f>
        <v/>
      </c>
      <c r="BF170" s="21" t="n"/>
      <c r="BG170" s="21" t="n"/>
      <c r="BH170" s="27">
        <f>SUM(BF170:BG170)</f>
        <v/>
      </c>
      <c r="BI170" s="28" t="n"/>
      <c r="BJ170" s="28" t="n"/>
      <c r="BK170" s="29">
        <f>IF(AND(BH170=0,BI170=0,BJ170=0),0,IF(AND(BH170=0,BI170=0),BJ170/1,IF(AND(BH170=0,BJ170=0),BI170/1,IF(AND(BI170=0,BJ170=0),BH170/1,IF(BH170=0,FLOOR((BI170+BJ170)/2,0.1),IF(BI170=0,(BH170+BJ170)/2,IF(BJ170=0,(BI170+BH170)/2,FLOOR(((BH170+BI170+BJ170)/3),0.1))))))))</f>
        <v/>
      </c>
      <c r="BL170" s="21" t="n"/>
      <c r="BM170" s="21" t="n"/>
      <c r="BN170" s="27">
        <f>SUM(BL170:BM170)</f>
        <v/>
      </c>
      <c r="BO170" s="28" t="n"/>
      <c r="BP170" s="31" t="n"/>
      <c r="BQ170" s="29">
        <f>IF(AND(BN170=0,BO170=0,BP170=0),0,IF(AND(BN170=0,BO170=0),BP170/1,IF(AND(BN170=0,BP170=0),BO170/1,IF(AND(BO170=0,BP170=0),BN170/1,IF(BN170=0,FLOOR((BO170+BP170)/2,0.1),IF(BO170=0,(BN170+BP170)/2,IF(BP170=0,(BO170+BN170)/2,FLOOR(((BN170+BO170+BP170)/3),0.1))))))))</f>
        <v/>
      </c>
      <c r="BR170" s="21" t="n"/>
      <c r="BS170" s="21" t="n"/>
      <c r="BT170" s="27">
        <f>SUM(BR170:BS170)</f>
        <v/>
      </c>
      <c r="BU170" s="28" t="n"/>
      <c r="BV170" s="31" t="n"/>
      <c r="BW170" s="29">
        <f>IF(AND(BT170=0,BU170=0,BV170=0),0,IF(AND(BT170=0,BU170=0),BV170/1,IF(AND(BT170=0,BV170=0),BU170/1,IF(AND(BU170=0,BV170=0),BT170/1,IF(BT170=0,FLOOR((BU170+BV170)/2,0.1),IF(BU170=0,(BT170+BV170)/2,IF(BV170=0,(BU170+BT170)/2,FLOOR(((BT170+BU170+BV170)/3),0.1))))))))</f>
        <v/>
      </c>
      <c r="BX170" s="21" t="n"/>
      <c r="BY170" s="21" t="n"/>
      <c r="BZ170" s="27">
        <f>SUM(BX170:BY170)</f>
        <v/>
      </c>
      <c r="CA170" s="28" t="n"/>
      <c r="CB170" s="31" t="n"/>
      <c r="CC170" s="29">
        <f>IF(AND(BZ170=0,CA170=0,CB170=0),0,IF(AND(BZ170=0,CA170=0),CB170/1,IF(AND(BZ170=0,CB170=0),CA170/1,IF(AND(CA170=0,CB170=0),BZ170/1,IF(BZ170=0,FLOOR((CA170+CB170)/2,0.1),IF(CA170=0,(BZ170+CB170)/2,IF(CB170=0,(CA170+BZ170)/2,FLOOR(((BZ170+CA170+CB170)/3),0.1))))))))</f>
        <v/>
      </c>
      <c r="CD170" s="21" t="n"/>
      <c r="CE170" s="21" t="n"/>
      <c r="CF170" s="27">
        <f>SUM(CD170:CE170)</f>
        <v/>
      </c>
      <c r="CG170" s="28" t="n"/>
      <c r="CH170" s="31" t="n"/>
      <c r="CI170" s="29">
        <f>IF(AND(CF170=0,CG170=0,CH170=0),0,IF(AND(CF170=0,CG170=0),CH170/1,IF(AND(CF170=0,CH170=0),CG170/1,IF(AND(CG170=0,CH170=0),CF170/1,IF(CF170=0,FLOOR((CG170+CH170)/2,0.1),IF(CG170=0,(CF170+CH170)/2,IF(CH170=0,(CG170+CF170)/2,FLOOR(((CF170+CG170+CH170)/3),0.1))))))))</f>
        <v/>
      </c>
      <c r="CJ170" s="21" t="n"/>
      <c r="CK170" s="21" t="n"/>
      <c r="CL170" s="27">
        <f>SUM(CJ170:CK170)</f>
        <v/>
      </c>
      <c r="CM170" s="28" t="n"/>
      <c r="CN170" s="31" t="n"/>
      <c r="CO170" s="29">
        <f>IF(AND(CL170=0,CM170=0,CN170=0),0,IF(AND(CL170=0,CM170=0),CN170/1,IF(AND(CL170=0,CN170=0),CM170/1,IF(AND(CM170=0,CN170=0),CL170/1,IF(CL170=0,FLOOR((CM170+CN170)/2,0.1),IF(CM170=0,(CL170+CN170)/2,IF(CN170=0,(CM170+CL170)/2,FLOOR(((CL170+CM170+CN170)/3),0.1))))))))</f>
        <v/>
      </c>
      <c r="CP170" s="21" t="n"/>
      <c r="CQ170" s="21" t="n"/>
      <c r="CR170" s="27">
        <f>SUM(CP170:CQ170)</f>
        <v/>
      </c>
      <c r="CS170" s="28" t="n"/>
      <c r="CT170" s="31" t="n"/>
      <c r="CU170" s="29">
        <f>IF(AND(CR170=0,CS170=0,CT170=0),0,IF(AND(CR170=0,CS170=0),CT170/1,IF(AND(CR170=0,CT170=0),CS170/1,IF(AND(CS170=0,CT170=0),CR170/1,IF(CR170=0,FLOOR((CS170+CT170)/2,0.1),IF(CS170=0,(CR170+CT170)/2,IF(CT170=0,(CS170+CR170)/2,FLOOR(((CR170+CS170+CT170)/3),0.1))))))))</f>
        <v/>
      </c>
      <c r="CV170" s="21" t="n"/>
      <c r="CW170" s="21" t="n"/>
      <c r="CX170" s="27">
        <f>SUM(CV170:CW170)</f>
        <v/>
      </c>
      <c r="CY170" s="28" t="n"/>
      <c r="CZ170" s="31" t="n"/>
      <c r="DA170" s="29">
        <f>IF(AND(CX170=0,CY170=0,CZ170=0),0,IF(AND(CX170=0,CY170=0),CZ170/1,IF(AND(CX170=0,CZ170=0),CY170/1,IF(AND(CY170=0,CZ170=0),CX170/1,IF(CX170=0,FLOOR((CY170+CZ170)/2,0.1),IF(CY170=0,(CX170+CZ170)/2,IF(CZ170=0,(CY170+CX170)/2,FLOOR(((CX170+CY170+CZ170)/3),0.1))))))))</f>
        <v/>
      </c>
      <c r="DB170" s="21" t="n"/>
      <c r="DC170" s="21" t="n"/>
      <c r="DD170" s="27">
        <f>SUM(DB170:DC170)</f>
        <v/>
      </c>
      <c r="DE170" s="28" t="n"/>
      <c r="DF170" s="31" t="n"/>
      <c r="DG170" s="29">
        <f>IF(AND(DD170=0,DE170=0,DF170=0),0,IF(AND(DD170=0,DE170=0),DF170/1,IF(AND(DD170=0,DF170=0),DE170/1,IF(AND(DE170=0,DF170=0),DD170/1,IF(DD170=0,FLOOR((DE170+DF170)/2,0.1),IF(DE170=0,(DD170+DF170)/2,IF(DF170=0,(DE170+DD170)/2,FLOOR(((DD170+DE170+DF170)/3),0.1))))))))</f>
        <v/>
      </c>
      <c r="DH170" s="34">
        <f>SUM(O170,U170,AA170,AG170,AM170,AS170,AY170,BE170,BK170,BQ170,BW170,CC170,CI170,CO170,CU170,DA170,DG170)</f>
        <v/>
      </c>
      <c r="DI170" s="39">
        <f>RANK(DH170,DH$4:DH$503)</f>
        <v/>
      </c>
      <c r="DJ170" s="40" t="inlineStr">
        <is>
          <t>CHOOSE RATING</t>
        </is>
      </c>
      <c r="DK170" s="40" t="inlineStr">
        <is>
          <t>CHOOSE RATING</t>
        </is>
      </c>
      <c r="DL170" s="40" t="inlineStr">
        <is>
          <t>CHOOSE RATING</t>
        </is>
      </c>
      <c r="DM170" s="40" t="inlineStr">
        <is>
          <t>CHOOSE RATING</t>
        </is>
      </c>
      <c r="DN170" s="40" t="inlineStr">
        <is>
          <t>CHOOSE RATING</t>
        </is>
      </c>
      <c r="DO170" s="40" t="inlineStr">
        <is>
          <t>CHOOSE RATING</t>
        </is>
      </c>
      <c r="DP170" s="40" t="inlineStr">
        <is>
          <t>CHOOSE RATING</t>
        </is>
      </c>
      <c r="DQ170" s="40" t="inlineStr">
        <is>
          <t>CHOOSE RATING</t>
        </is>
      </c>
      <c r="DR170" s="43" t="inlineStr">
        <is>
          <t>2024/2025</t>
        </is>
      </c>
      <c r="DS170" s="45" t="inlineStr">
        <is>
          <t>THIRD</t>
        </is>
      </c>
      <c r="DT170" s="40" t="inlineStr">
        <is>
          <t>CHOOSE RATING</t>
        </is>
      </c>
      <c r="DU170" s="40" t="inlineStr">
        <is>
          <t>CHOOSE RATING</t>
        </is>
      </c>
      <c r="DV170" s="40" t="inlineStr">
        <is>
          <t>CHOOSE RATING</t>
        </is>
      </c>
      <c r="DW170" s="40" t="inlineStr">
        <is>
          <t>CHOOSE RATING</t>
        </is>
      </c>
      <c r="DX170" s="40" t="inlineStr">
        <is>
          <t>CHOOSE RATING</t>
        </is>
      </c>
      <c r="DY170" s="40" t="inlineStr">
        <is>
          <t>CHOOSE RATING</t>
        </is>
      </c>
      <c r="DZ170" s="53" t="inlineStr">
        <is>
          <t>CHOOSE RATING</t>
        </is>
      </c>
      <c r="EA170" s="54" t="inlineStr">
        <is>
          <t>Add the Tutor's Comment . . .</t>
        </is>
      </c>
      <c r="EB170" s="55" t="inlineStr">
        <is>
          <t>Choose Principals comment</t>
        </is>
      </c>
      <c r="EC170" s="56" t="n"/>
      <c r="ED170" s="57" t="inlineStr">
        <is>
          <t>Next Term Begins on Monday, 22nd September, 2025</t>
        </is>
      </c>
    </row>
    <row r="171" ht="30.6" customHeight="1" s="6">
      <c r="A171" s="18" t="n">
        <v>168</v>
      </c>
      <c r="B171" s="19" t="n"/>
      <c r="C171" s="20" t="n"/>
      <c r="D171" s="128" t="n"/>
      <c r="E171" s="21" t="n"/>
      <c r="F171" s="22" t="n"/>
      <c r="G171" s="22" t="n"/>
      <c r="H171" s="22" t="n"/>
      <c r="I171" s="26">
        <f>G171-H171</f>
        <v/>
      </c>
      <c r="J171" s="21" t="n"/>
      <c r="K171" s="21" t="n"/>
      <c r="L171" s="27">
        <f>SUM(J171:K171)</f>
        <v/>
      </c>
      <c r="M171" s="28" t="n"/>
      <c r="N171" s="28" t="n"/>
      <c r="O171" s="29">
        <f>IF(AND(L171=0,M171=0,N171=0),0,IF(AND(L171=0,M171=0),N171/1,IF(AND(L171=0,N171=0),M171/1,IF(AND(M171=0,N171=0),L171/1,IF(L171=0,FLOOR((M171+N171)/2,0.1),IF(M171=0,(L171+N171)/2,IF(N171=0,(M171+L171)/2,FLOOR(((L171+M171+N171)/3),0.1))))))))</f>
        <v/>
      </c>
      <c r="P171" s="21" t="n"/>
      <c r="Q171" s="21" t="n"/>
      <c r="R171" s="27">
        <f>SUM(P171:Q171)</f>
        <v/>
      </c>
      <c r="S171" s="28" t="n"/>
      <c r="T171" s="28" t="n"/>
      <c r="U171" s="29">
        <f>IF(AND(R171=0,S171=0,T171=0),0,IF(AND(R171=0,S171=0),T171/1,IF(AND(R171=0,T171=0),S171/1,IF(AND(S171=0,T171=0),R171/1,IF(R171=0,FLOOR((S171+T171)/2,0.1),IF(S171=0,(R171+T171)/2,IF(T171=0,(S171+R171)/2,FLOOR(((R171+S171+T171)/3),0.1))))))))</f>
        <v/>
      </c>
      <c r="V171" s="21" t="n"/>
      <c r="W171" s="21" t="n"/>
      <c r="X171" s="27">
        <f>SUM(V171:W171)</f>
        <v/>
      </c>
      <c r="Y171" s="28" t="n"/>
      <c r="Z171" s="28" t="n"/>
      <c r="AA171" s="29">
        <f>IF(AND(X171=0,Y171=0,Z171=0),0,IF(AND(X171=0,Y171=0),Z171/1,IF(AND(X171=0,Z171=0),Y171/1,IF(AND(Y171=0,Z171=0),X171/1,IF(X171=0,FLOOR((Y171+Z171)/2,0.1),IF(Y171=0,(X171+Z171)/2,IF(Z171=0,(Y171+X171)/2,FLOOR(((X171+Y171+Z171)/3),0.1))))))))</f>
        <v/>
      </c>
      <c r="AB171" s="21" t="n"/>
      <c r="AC171" s="21" t="n"/>
      <c r="AD171" s="27">
        <f>SUM(AB171:AC171)</f>
        <v/>
      </c>
      <c r="AE171" s="28" t="n"/>
      <c r="AF171" s="28" t="n"/>
      <c r="AG171" s="29">
        <f>IF(AND(AD171=0,AE171=0,AF171=0),0,IF(AND(AD171=0,AE171=0),AF171/1,IF(AND(AD171=0,AF171=0),AE171/1,IF(AND(AE171=0,AF171=0),AD171/1,IF(AD171=0,FLOOR((AE171+AF171)/2,0.1),IF(AE171=0,(AD171+AF171)/2,IF(AF171=0,(AE171+AD171)/2,FLOOR(((AD171+AE171+AF171)/3),0.1))))))))</f>
        <v/>
      </c>
      <c r="AH171" s="21" t="n"/>
      <c r="AI171" s="21" t="n"/>
      <c r="AJ171" s="27">
        <f>SUM(AH171:AI171)</f>
        <v/>
      </c>
      <c r="AK171" s="28" t="n"/>
      <c r="AL171" s="28" t="n"/>
      <c r="AM171" s="29">
        <f>IF(AND(AJ171=0,AK171=0,AL171=0),0,IF(AND(AJ171=0,AK171=0),AL171/1,IF(AND(AJ171=0,AL171=0),AK171/1,IF(AND(AK171=0,AL171=0),AJ171/1,IF(AJ171=0,FLOOR((AK171+AL171)/2,0.1),IF(AK171=0,(AJ171+AL171)/2,IF(AL171=0,(AK171+AJ171)/2,FLOOR(((AJ171+AK171+AL171)/3),0.1))))))))</f>
        <v/>
      </c>
      <c r="AN171" s="21" t="n"/>
      <c r="AO171" s="21" t="n"/>
      <c r="AP171" s="27">
        <f>SUM(AN171:AO171)</f>
        <v/>
      </c>
      <c r="AQ171" s="28" t="n"/>
      <c r="AR171" s="30" t="n"/>
      <c r="AS171" s="29">
        <f>IF(AND(AP171=0,AQ171=0,AR171=0),0,IF(AND(AP171=0,AQ171=0),AR171/1,IF(AND(AP171=0,AR171=0),AQ171/1,IF(AND(AQ171=0,AR171=0),AP171/1,IF(AP171=0,FLOOR((AQ171+AR171)/2,0.1),IF(AQ171=0,(AP171+AR171)/2,IF(AR171=0,(AQ171+AP171)/2,FLOOR(((AP171+AQ171+AR171)/3),0.1))))))))</f>
        <v/>
      </c>
      <c r="AT171" s="21" t="n"/>
      <c r="AU171" s="21" t="n"/>
      <c r="AV171" s="27">
        <f>SUM(AT171:AU171)</f>
        <v/>
      </c>
      <c r="AW171" s="28" t="n"/>
      <c r="AX171" s="30" t="n"/>
      <c r="AY171" s="29">
        <f>IF(AND(AV171=0,AW171=0,AX171=0),0,IF(AND(AV171=0,AW171=0),AX171/1,IF(AND(AV171=0,AX171=0),AW171/1,IF(AND(AW171=0,AX171=0),AV171/1,IF(AV171=0,FLOOR((AW171+AX171)/2,0.1),IF(AW171=0,(AV171+AX171)/2,IF(AX171=0,(AW171+AV171)/2,FLOOR(((AV171+AW171+AX171)/3),0.1))))))))</f>
        <v/>
      </c>
      <c r="AZ171" s="21" t="n"/>
      <c r="BA171" s="21" t="n"/>
      <c r="BB171" s="27">
        <f>SUM(AZ171:BA171)</f>
        <v/>
      </c>
      <c r="BC171" s="28" t="n"/>
      <c r="BD171" s="28" t="n"/>
      <c r="BE171" s="29">
        <f>IF(AND(BB171=0,BC171=0,BD171=0),0,IF(AND(BB171=0,BC171=0),BD171/1,IF(AND(BB171=0,BD171=0),BC171/1,IF(AND(BC171=0,BD171=0),BB171/1,IF(BB171=0,FLOOR((BC171+BD171)/2,0.1),IF(BC171=0,(BB171+BD171)/2,IF(BD171=0,(BC171+BB171)/2,FLOOR(((BB171+BC171+BD171)/3),0.1))))))))</f>
        <v/>
      </c>
      <c r="BF171" s="21" t="n"/>
      <c r="BG171" s="21" t="n"/>
      <c r="BH171" s="27">
        <f>SUM(BF171:BG171)</f>
        <v/>
      </c>
      <c r="BI171" s="28" t="n"/>
      <c r="BJ171" s="28" t="n"/>
      <c r="BK171" s="29">
        <f>IF(AND(BH171=0,BI171=0,BJ171=0),0,IF(AND(BH171=0,BI171=0),BJ171/1,IF(AND(BH171=0,BJ171=0),BI171/1,IF(AND(BI171=0,BJ171=0),BH171/1,IF(BH171=0,FLOOR((BI171+BJ171)/2,0.1),IF(BI171=0,(BH171+BJ171)/2,IF(BJ171=0,(BI171+BH171)/2,FLOOR(((BH171+BI171+BJ171)/3),0.1))))))))</f>
        <v/>
      </c>
      <c r="BL171" s="21" t="n"/>
      <c r="BM171" s="21" t="n"/>
      <c r="BN171" s="27">
        <f>SUM(BL171:BM171)</f>
        <v/>
      </c>
      <c r="BO171" s="28" t="n"/>
      <c r="BP171" s="31" t="n"/>
      <c r="BQ171" s="29">
        <f>IF(AND(BN171=0,BO171=0,BP171=0),0,IF(AND(BN171=0,BO171=0),BP171/1,IF(AND(BN171=0,BP171=0),BO171/1,IF(AND(BO171=0,BP171=0),BN171/1,IF(BN171=0,FLOOR((BO171+BP171)/2,0.1),IF(BO171=0,(BN171+BP171)/2,IF(BP171=0,(BO171+BN171)/2,FLOOR(((BN171+BO171+BP171)/3),0.1))))))))</f>
        <v/>
      </c>
      <c r="BR171" s="21" t="n"/>
      <c r="BS171" s="21" t="n"/>
      <c r="BT171" s="27">
        <f>SUM(BR171:BS171)</f>
        <v/>
      </c>
      <c r="BU171" s="28" t="n"/>
      <c r="BV171" s="31" t="n"/>
      <c r="BW171" s="29">
        <f>IF(AND(BT171=0,BU171=0,BV171=0),0,IF(AND(BT171=0,BU171=0),BV171/1,IF(AND(BT171=0,BV171=0),BU171/1,IF(AND(BU171=0,BV171=0),BT171/1,IF(BT171=0,FLOOR((BU171+BV171)/2,0.1),IF(BU171=0,(BT171+BV171)/2,IF(BV171=0,(BU171+BT171)/2,FLOOR(((BT171+BU171+BV171)/3),0.1))))))))</f>
        <v/>
      </c>
      <c r="BX171" s="21" t="n"/>
      <c r="BY171" s="21" t="n"/>
      <c r="BZ171" s="27">
        <f>SUM(BX171:BY171)</f>
        <v/>
      </c>
      <c r="CA171" s="28" t="n"/>
      <c r="CB171" s="31" t="n"/>
      <c r="CC171" s="29">
        <f>IF(AND(BZ171=0,CA171=0,CB171=0),0,IF(AND(BZ171=0,CA171=0),CB171/1,IF(AND(BZ171=0,CB171=0),CA171/1,IF(AND(CA171=0,CB171=0),BZ171/1,IF(BZ171=0,FLOOR((CA171+CB171)/2,0.1),IF(CA171=0,(BZ171+CB171)/2,IF(CB171=0,(CA171+BZ171)/2,FLOOR(((BZ171+CA171+CB171)/3),0.1))))))))</f>
        <v/>
      </c>
      <c r="CD171" s="21" t="n"/>
      <c r="CE171" s="21" t="n"/>
      <c r="CF171" s="27">
        <f>SUM(CD171:CE171)</f>
        <v/>
      </c>
      <c r="CG171" s="28" t="n"/>
      <c r="CH171" s="31" t="n"/>
      <c r="CI171" s="29">
        <f>IF(AND(CF171=0,CG171=0,CH171=0),0,IF(AND(CF171=0,CG171=0),CH171/1,IF(AND(CF171=0,CH171=0),CG171/1,IF(AND(CG171=0,CH171=0),CF171/1,IF(CF171=0,FLOOR((CG171+CH171)/2,0.1),IF(CG171=0,(CF171+CH171)/2,IF(CH171=0,(CG171+CF171)/2,FLOOR(((CF171+CG171+CH171)/3),0.1))))))))</f>
        <v/>
      </c>
      <c r="CJ171" s="21" t="n"/>
      <c r="CK171" s="21" t="n"/>
      <c r="CL171" s="27">
        <f>SUM(CJ171:CK171)</f>
        <v/>
      </c>
      <c r="CM171" s="28" t="n"/>
      <c r="CN171" s="31" t="n"/>
      <c r="CO171" s="29">
        <f>IF(AND(CL171=0,CM171=0,CN171=0),0,IF(AND(CL171=0,CM171=0),CN171/1,IF(AND(CL171=0,CN171=0),CM171/1,IF(AND(CM171=0,CN171=0),CL171/1,IF(CL171=0,FLOOR((CM171+CN171)/2,0.1),IF(CM171=0,(CL171+CN171)/2,IF(CN171=0,(CM171+CL171)/2,FLOOR(((CL171+CM171+CN171)/3),0.1))))))))</f>
        <v/>
      </c>
      <c r="CP171" s="21" t="n"/>
      <c r="CQ171" s="21" t="n"/>
      <c r="CR171" s="27">
        <f>SUM(CP171:CQ171)</f>
        <v/>
      </c>
      <c r="CS171" s="28" t="n"/>
      <c r="CT171" s="31" t="n"/>
      <c r="CU171" s="29">
        <f>IF(AND(CR171=0,CS171=0,CT171=0),0,IF(AND(CR171=0,CS171=0),CT171/1,IF(AND(CR171=0,CT171=0),CS171/1,IF(AND(CS171=0,CT171=0),CR171/1,IF(CR171=0,FLOOR((CS171+CT171)/2,0.1),IF(CS171=0,(CR171+CT171)/2,IF(CT171=0,(CS171+CR171)/2,FLOOR(((CR171+CS171+CT171)/3),0.1))))))))</f>
        <v/>
      </c>
      <c r="CV171" s="21" t="n"/>
      <c r="CW171" s="21" t="n"/>
      <c r="CX171" s="27">
        <f>SUM(CV171:CW171)</f>
        <v/>
      </c>
      <c r="CY171" s="28" t="n"/>
      <c r="CZ171" s="31" t="n"/>
      <c r="DA171" s="29">
        <f>IF(AND(CX171=0,CY171=0,CZ171=0),0,IF(AND(CX171=0,CY171=0),CZ171/1,IF(AND(CX171=0,CZ171=0),CY171/1,IF(AND(CY171=0,CZ171=0),CX171/1,IF(CX171=0,FLOOR((CY171+CZ171)/2,0.1),IF(CY171=0,(CX171+CZ171)/2,IF(CZ171=0,(CY171+CX171)/2,FLOOR(((CX171+CY171+CZ171)/3),0.1))))))))</f>
        <v/>
      </c>
      <c r="DB171" s="21" t="n"/>
      <c r="DC171" s="21" t="n"/>
      <c r="DD171" s="27">
        <f>SUM(DB171:DC171)</f>
        <v/>
      </c>
      <c r="DE171" s="28" t="n"/>
      <c r="DF171" s="31" t="n"/>
      <c r="DG171" s="29">
        <f>IF(AND(DD171=0,DE171=0,DF171=0),0,IF(AND(DD171=0,DE171=0),DF171/1,IF(AND(DD171=0,DF171=0),DE171/1,IF(AND(DE171=0,DF171=0),DD171/1,IF(DD171=0,FLOOR((DE171+DF171)/2,0.1),IF(DE171=0,(DD171+DF171)/2,IF(DF171=0,(DE171+DD171)/2,FLOOR(((DD171+DE171+DF171)/3),0.1))))))))</f>
        <v/>
      </c>
      <c r="DH171" s="34">
        <f>SUM(O171,U171,AA171,AG171,AM171,AS171,AY171,BE171,BK171,BQ171,BW171,CC171,CI171,CO171,CU171,DA171,DG171)</f>
        <v/>
      </c>
      <c r="DI171" s="39">
        <f>RANK(DH171,DH$4:DH$503)</f>
        <v/>
      </c>
      <c r="DJ171" s="40" t="inlineStr">
        <is>
          <t>CHOOSE RATING</t>
        </is>
      </c>
      <c r="DK171" s="40" t="inlineStr">
        <is>
          <t>CHOOSE RATING</t>
        </is>
      </c>
      <c r="DL171" s="40" t="inlineStr">
        <is>
          <t>CHOOSE RATING</t>
        </is>
      </c>
      <c r="DM171" s="40" t="inlineStr">
        <is>
          <t>CHOOSE RATING</t>
        </is>
      </c>
      <c r="DN171" s="40" t="inlineStr">
        <is>
          <t>CHOOSE RATING</t>
        </is>
      </c>
      <c r="DO171" s="40" t="inlineStr">
        <is>
          <t>CHOOSE RATING</t>
        </is>
      </c>
      <c r="DP171" s="40" t="inlineStr">
        <is>
          <t>CHOOSE RATING</t>
        </is>
      </c>
      <c r="DQ171" s="40" t="inlineStr">
        <is>
          <t>CHOOSE RATING</t>
        </is>
      </c>
      <c r="DR171" s="43" t="inlineStr">
        <is>
          <t>2024/2025</t>
        </is>
      </c>
      <c r="DS171" s="45" t="inlineStr">
        <is>
          <t>THIRD</t>
        </is>
      </c>
      <c r="DT171" s="40" t="inlineStr">
        <is>
          <t>CHOOSE RATING</t>
        </is>
      </c>
      <c r="DU171" s="40" t="inlineStr">
        <is>
          <t>CHOOSE RATING</t>
        </is>
      </c>
      <c r="DV171" s="40" t="inlineStr">
        <is>
          <t>CHOOSE RATING</t>
        </is>
      </c>
      <c r="DW171" s="40" t="inlineStr">
        <is>
          <t>CHOOSE RATING</t>
        </is>
      </c>
      <c r="DX171" s="40" t="inlineStr">
        <is>
          <t>CHOOSE RATING</t>
        </is>
      </c>
      <c r="DY171" s="40" t="inlineStr">
        <is>
          <t>CHOOSE RATING</t>
        </is>
      </c>
      <c r="DZ171" s="53" t="inlineStr">
        <is>
          <t>CHOOSE RATING</t>
        </is>
      </c>
      <c r="EA171" s="54" t="inlineStr">
        <is>
          <t>Add the Tutor's Comment . . .</t>
        </is>
      </c>
      <c r="EB171" s="55" t="inlineStr">
        <is>
          <t>Choose Principals comment</t>
        </is>
      </c>
      <c r="EC171" s="56" t="n"/>
      <c r="ED171" s="57" t="inlineStr">
        <is>
          <t>Next Term Begins on Monday, 22nd September, 2025</t>
        </is>
      </c>
    </row>
    <row r="172" ht="30.6" customHeight="1" s="6">
      <c r="A172" s="18" t="n">
        <v>169</v>
      </c>
      <c r="B172" s="19" t="n"/>
      <c r="C172" s="20" t="n"/>
      <c r="D172" s="128" t="n"/>
      <c r="E172" s="21" t="n"/>
      <c r="F172" s="22" t="n"/>
      <c r="G172" s="22" t="n"/>
      <c r="H172" s="22" t="n"/>
      <c r="I172" s="26">
        <f>G172-H172</f>
        <v/>
      </c>
      <c r="J172" s="21" t="n"/>
      <c r="K172" s="21" t="n"/>
      <c r="L172" s="27">
        <f>SUM(J172:K172)</f>
        <v/>
      </c>
      <c r="M172" s="28" t="n"/>
      <c r="N172" s="28" t="n"/>
      <c r="O172" s="29">
        <f>IF(AND(L172=0,M172=0,N172=0),0,IF(AND(L172=0,M172=0),N172/1,IF(AND(L172=0,N172=0),M172/1,IF(AND(M172=0,N172=0),L172/1,IF(L172=0,FLOOR((M172+N172)/2,0.1),IF(M172=0,(L172+N172)/2,IF(N172=0,(M172+L172)/2,FLOOR(((L172+M172+N172)/3),0.1))))))))</f>
        <v/>
      </c>
      <c r="P172" s="21" t="n"/>
      <c r="Q172" s="21" t="n"/>
      <c r="R172" s="27">
        <f>SUM(P172:Q172)</f>
        <v/>
      </c>
      <c r="S172" s="28" t="n"/>
      <c r="T172" s="28" t="n"/>
      <c r="U172" s="29">
        <f>IF(AND(R172=0,S172=0,T172=0),0,IF(AND(R172=0,S172=0),T172/1,IF(AND(R172=0,T172=0),S172/1,IF(AND(S172=0,T172=0),R172/1,IF(R172=0,FLOOR((S172+T172)/2,0.1),IF(S172=0,(R172+T172)/2,IF(T172=0,(S172+R172)/2,FLOOR(((R172+S172+T172)/3),0.1))))))))</f>
        <v/>
      </c>
      <c r="V172" s="21" t="n"/>
      <c r="W172" s="21" t="n"/>
      <c r="X172" s="27">
        <f>SUM(V172:W172)</f>
        <v/>
      </c>
      <c r="Y172" s="28" t="n"/>
      <c r="Z172" s="28" t="n"/>
      <c r="AA172" s="29">
        <f>IF(AND(X172=0,Y172=0,Z172=0),0,IF(AND(X172=0,Y172=0),Z172/1,IF(AND(X172=0,Z172=0),Y172/1,IF(AND(Y172=0,Z172=0),X172/1,IF(X172=0,FLOOR((Y172+Z172)/2,0.1),IF(Y172=0,(X172+Z172)/2,IF(Z172=0,(Y172+X172)/2,FLOOR(((X172+Y172+Z172)/3),0.1))))))))</f>
        <v/>
      </c>
      <c r="AB172" s="21" t="n"/>
      <c r="AC172" s="21" t="n"/>
      <c r="AD172" s="27">
        <f>SUM(AB172:AC172)</f>
        <v/>
      </c>
      <c r="AE172" s="28" t="n"/>
      <c r="AF172" s="28" t="n"/>
      <c r="AG172" s="29">
        <f>IF(AND(AD172=0,AE172=0,AF172=0),0,IF(AND(AD172=0,AE172=0),AF172/1,IF(AND(AD172=0,AF172=0),AE172/1,IF(AND(AE172=0,AF172=0),AD172/1,IF(AD172=0,FLOOR((AE172+AF172)/2,0.1),IF(AE172=0,(AD172+AF172)/2,IF(AF172=0,(AE172+AD172)/2,FLOOR(((AD172+AE172+AF172)/3),0.1))))))))</f>
        <v/>
      </c>
      <c r="AH172" s="21" t="n"/>
      <c r="AI172" s="21" t="n"/>
      <c r="AJ172" s="27">
        <f>SUM(AH172:AI172)</f>
        <v/>
      </c>
      <c r="AK172" s="28" t="n"/>
      <c r="AL172" s="28" t="n"/>
      <c r="AM172" s="29">
        <f>IF(AND(AJ172=0,AK172=0,AL172=0),0,IF(AND(AJ172=0,AK172=0),AL172/1,IF(AND(AJ172=0,AL172=0),AK172/1,IF(AND(AK172=0,AL172=0),AJ172/1,IF(AJ172=0,FLOOR((AK172+AL172)/2,0.1),IF(AK172=0,(AJ172+AL172)/2,IF(AL172=0,(AK172+AJ172)/2,FLOOR(((AJ172+AK172+AL172)/3),0.1))))))))</f>
        <v/>
      </c>
      <c r="AN172" s="21" t="n"/>
      <c r="AO172" s="21" t="n"/>
      <c r="AP172" s="27">
        <f>SUM(AN172:AO172)</f>
        <v/>
      </c>
      <c r="AQ172" s="28" t="n"/>
      <c r="AR172" s="30" t="n"/>
      <c r="AS172" s="29">
        <f>IF(AND(AP172=0,AQ172=0,AR172=0),0,IF(AND(AP172=0,AQ172=0),AR172/1,IF(AND(AP172=0,AR172=0),AQ172/1,IF(AND(AQ172=0,AR172=0),AP172/1,IF(AP172=0,FLOOR((AQ172+AR172)/2,0.1),IF(AQ172=0,(AP172+AR172)/2,IF(AR172=0,(AQ172+AP172)/2,FLOOR(((AP172+AQ172+AR172)/3),0.1))))))))</f>
        <v/>
      </c>
      <c r="AT172" s="21" t="n"/>
      <c r="AU172" s="21" t="n"/>
      <c r="AV172" s="27">
        <f>SUM(AT172:AU172)</f>
        <v/>
      </c>
      <c r="AW172" s="28" t="n"/>
      <c r="AX172" s="30" t="n"/>
      <c r="AY172" s="29">
        <f>IF(AND(AV172=0,AW172=0,AX172=0),0,IF(AND(AV172=0,AW172=0),AX172/1,IF(AND(AV172=0,AX172=0),AW172/1,IF(AND(AW172=0,AX172=0),AV172/1,IF(AV172=0,FLOOR((AW172+AX172)/2,0.1),IF(AW172=0,(AV172+AX172)/2,IF(AX172=0,(AW172+AV172)/2,FLOOR(((AV172+AW172+AX172)/3),0.1))))))))</f>
        <v/>
      </c>
      <c r="AZ172" s="21" t="n"/>
      <c r="BA172" s="21" t="n"/>
      <c r="BB172" s="27">
        <f>SUM(AZ172:BA172)</f>
        <v/>
      </c>
      <c r="BC172" s="28" t="n"/>
      <c r="BD172" s="28" t="n"/>
      <c r="BE172" s="29">
        <f>IF(AND(BB172=0,BC172=0,BD172=0),0,IF(AND(BB172=0,BC172=0),BD172/1,IF(AND(BB172=0,BD172=0),BC172/1,IF(AND(BC172=0,BD172=0),BB172/1,IF(BB172=0,FLOOR((BC172+BD172)/2,0.1),IF(BC172=0,(BB172+BD172)/2,IF(BD172=0,(BC172+BB172)/2,FLOOR(((BB172+BC172+BD172)/3),0.1))))))))</f>
        <v/>
      </c>
      <c r="BF172" s="21" t="n"/>
      <c r="BG172" s="21" t="n"/>
      <c r="BH172" s="27">
        <f>SUM(BF172:BG172)</f>
        <v/>
      </c>
      <c r="BI172" s="28" t="n"/>
      <c r="BJ172" s="28" t="n"/>
      <c r="BK172" s="29">
        <f>IF(AND(BH172=0,BI172=0,BJ172=0),0,IF(AND(BH172=0,BI172=0),BJ172/1,IF(AND(BH172=0,BJ172=0),BI172/1,IF(AND(BI172=0,BJ172=0),BH172/1,IF(BH172=0,FLOOR((BI172+BJ172)/2,0.1),IF(BI172=0,(BH172+BJ172)/2,IF(BJ172=0,(BI172+BH172)/2,FLOOR(((BH172+BI172+BJ172)/3),0.1))))))))</f>
        <v/>
      </c>
      <c r="BL172" s="21" t="n"/>
      <c r="BM172" s="21" t="n"/>
      <c r="BN172" s="27">
        <f>SUM(BL172:BM172)</f>
        <v/>
      </c>
      <c r="BO172" s="28" t="n"/>
      <c r="BP172" s="31" t="n"/>
      <c r="BQ172" s="29">
        <f>IF(AND(BN172=0,BO172=0,BP172=0),0,IF(AND(BN172=0,BO172=0),BP172/1,IF(AND(BN172=0,BP172=0),BO172/1,IF(AND(BO172=0,BP172=0),BN172/1,IF(BN172=0,FLOOR((BO172+BP172)/2,0.1),IF(BO172=0,(BN172+BP172)/2,IF(BP172=0,(BO172+BN172)/2,FLOOR(((BN172+BO172+BP172)/3),0.1))))))))</f>
        <v/>
      </c>
      <c r="BR172" s="21" t="n"/>
      <c r="BS172" s="21" t="n"/>
      <c r="BT172" s="27">
        <f>SUM(BR172:BS172)</f>
        <v/>
      </c>
      <c r="BU172" s="28" t="n"/>
      <c r="BV172" s="31" t="n"/>
      <c r="BW172" s="29">
        <f>IF(AND(BT172=0,BU172=0,BV172=0),0,IF(AND(BT172=0,BU172=0),BV172/1,IF(AND(BT172=0,BV172=0),BU172/1,IF(AND(BU172=0,BV172=0),BT172/1,IF(BT172=0,FLOOR((BU172+BV172)/2,0.1),IF(BU172=0,(BT172+BV172)/2,IF(BV172=0,(BU172+BT172)/2,FLOOR(((BT172+BU172+BV172)/3),0.1))))))))</f>
        <v/>
      </c>
      <c r="BX172" s="21" t="n"/>
      <c r="BY172" s="21" t="n"/>
      <c r="BZ172" s="27">
        <f>SUM(BX172:BY172)</f>
        <v/>
      </c>
      <c r="CA172" s="28" t="n"/>
      <c r="CB172" s="31" t="n"/>
      <c r="CC172" s="29">
        <f>IF(AND(BZ172=0,CA172=0,CB172=0),0,IF(AND(BZ172=0,CA172=0),CB172/1,IF(AND(BZ172=0,CB172=0),CA172/1,IF(AND(CA172=0,CB172=0),BZ172/1,IF(BZ172=0,FLOOR((CA172+CB172)/2,0.1),IF(CA172=0,(BZ172+CB172)/2,IF(CB172=0,(CA172+BZ172)/2,FLOOR(((BZ172+CA172+CB172)/3),0.1))))))))</f>
        <v/>
      </c>
      <c r="CD172" s="21" t="n"/>
      <c r="CE172" s="21" t="n"/>
      <c r="CF172" s="27">
        <f>SUM(CD172:CE172)</f>
        <v/>
      </c>
      <c r="CG172" s="28" t="n"/>
      <c r="CH172" s="31" t="n"/>
      <c r="CI172" s="29">
        <f>IF(AND(CF172=0,CG172=0,CH172=0),0,IF(AND(CF172=0,CG172=0),CH172/1,IF(AND(CF172=0,CH172=0),CG172/1,IF(AND(CG172=0,CH172=0),CF172/1,IF(CF172=0,FLOOR((CG172+CH172)/2,0.1),IF(CG172=0,(CF172+CH172)/2,IF(CH172=0,(CG172+CF172)/2,FLOOR(((CF172+CG172+CH172)/3),0.1))))))))</f>
        <v/>
      </c>
      <c r="CJ172" s="21" t="n"/>
      <c r="CK172" s="21" t="n"/>
      <c r="CL172" s="27">
        <f>SUM(CJ172:CK172)</f>
        <v/>
      </c>
      <c r="CM172" s="28" t="n"/>
      <c r="CN172" s="31" t="n"/>
      <c r="CO172" s="29">
        <f>IF(AND(CL172=0,CM172=0,CN172=0),0,IF(AND(CL172=0,CM172=0),CN172/1,IF(AND(CL172=0,CN172=0),CM172/1,IF(AND(CM172=0,CN172=0),CL172/1,IF(CL172=0,FLOOR((CM172+CN172)/2,0.1),IF(CM172=0,(CL172+CN172)/2,IF(CN172=0,(CM172+CL172)/2,FLOOR(((CL172+CM172+CN172)/3),0.1))))))))</f>
        <v/>
      </c>
      <c r="CP172" s="21" t="n"/>
      <c r="CQ172" s="21" t="n"/>
      <c r="CR172" s="27">
        <f>SUM(CP172:CQ172)</f>
        <v/>
      </c>
      <c r="CS172" s="28" t="n"/>
      <c r="CT172" s="31" t="n"/>
      <c r="CU172" s="29">
        <f>IF(AND(CR172=0,CS172=0,CT172=0),0,IF(AND(CR172=0,CS172=0),CT172/1,IF(AND(CR172=0,CT172=0),CS172/1,IF(AND(CS172=0,CT172=0),CR172/1,IF(CR172=0,FLOOR((CS172+CT172)/2,0.1),IF(CS172=0,(CR172+CT172)/2,IF(CT172=0,(CS172+CR172)/2,FLOOR(((CR172+CS172+CT172)/3),0.1))))))))</f>
        <v/>
      </c>
      <c r="CV172" s="21" t="n"/>
      <c r="CW172" s="21" t="n"/>
      <c r="CX172" s="27">
        <f>SUM(CV172:CW172)</f>
        <v/>
      </c>
      <c r="CY172" s="28" t="n"/>
      <c r="CZ172" s="31" t="n"/>
      <c r="DA172" s="29">
        <f>IF(AND(CX172=0,CY172=0,CZ172=0),0,IF(AND(CX172=0,CY172=0),CZ172/1,IF(AND(CX172=0,CZ172=0),CY172/1,IF(AND(CY172=0,CZ172=0),CX172/1,IF(CX172=0,FLOOR((CY172+CZ172)/2,0.1),IF(CY172=0,(CX172+CZ172)/2,IF(CZ172=0,(CY172+CX172)/2,FLOOR(((CX172+CY172+CZ172)/3),0.1))))))))</f>
        <v/>
      </c>
      <c r="DB172" s="21" t="n"/>
      <c r="DC172" s="21" t="n"/>
      <c r="DD172" s="27">
        <f>SUM(DB172:DC172)</f>
        <v/>
      </c>
      <c r="DE172" s="28" t="n"/>
      <c r="DF172" s="31" t="n"/>
      <c r="DG172" s="29">
        <f>IF(AND(DD172=0,DE172=0,DF172=0),0,IF(AND(DD172=0,DE172=0),DF172/1,IF(AND(DD172=0,DF172=0),DE172/1,IF(AND(DE172=0,DF172=0),DD172/1,IF(DD172=0,FLOOR((DE172+DF172)/2,0.1),IF(DE172=0,(DD172+DF172)/2,IF(DF172=0,(DE172+DD172)/2,FLOOR(((DD172+DE172+DF172)/3),0.1))))))))</f>
        <v/>
      </c>
      <c r="DH172" s="34">
        <f>SUM(O172,U172,AA172,AG172,AM172,AS172,AY172,BE172,BK172,BQ172,BW172,CC172,CI172,CO172,CU172,DA172,DG172)</f>
        <v/>
      </c>
      <c r="DI172" s="39">
        <f>RANK(DH172,DH$4:DH$503)</f>
        <v/>
      </c>
      <c r="DJ172" s="40" t="inlineStr">
        <is>
          <t>CHOOSE RATING</t>
        </is>
      </c>
      <c r="DK172" s="40" t="inlineStr">
        <is>
          <t>CHOOSE RATING</t>
        </is>
      </c>
      <c r="DL172" s="40" t="inlineStr">
        <is>
          <t>CHOOSE RATING</t>
        </is>
      </c>
      <c r="DM172" s="40" t="inlineStr">
        <is>
          <t>CHOOSE RATING</t>
        </is>
      </c>
      <c r="DN172" s="40" t="inlineStr">
        <is>
          <t>CHOOSE RATING</t>
        </is>
      </c>
      <c r="DO172" s="40" t="inlineStr">
        <is>
          <t>CHOOSE RATING</t>
        </is>
      </c>
      <c r="DP172" s="40" t="inlineStr">
        <is>
          <t>CHOOSE RATING</t>
        </is>
      </c>
      <c r="DQ172" s="40" t="inlineStr">
        <is>
          <t>CHOOSE RATING</t>
        </is>
      </c>
      <c r="DR172" s="43" t="inlineStr">
        <is>
          <t>2024/2025</t>
        </is>
      </c>
      <c r="DS172" s="45" t="inlineStr">
        <is>
          <t>THIRD</t>
        </is>
      </c>
      <c r="DT172" s="40" t="inlineStr">
        <is>
          <t>CHOOSE RATING</t>
        </is>
      </c>
      <c r="DU172" s="40" t="inlineStr">
        <is>
          <t>CHOOSE RATING</t>
        </is>
      </c>
      <c r="DV172" s="40" t="inlineStr">
        <is>
          <t>CHOOSE RATING</t>
        </is>
      </c>
      <c r="DW172" s="40" t="inlineStr">
        <is>
          <t>CHOOSE RATING</t>
        </is>
      </c>
      <c r="DX172" s="40" t="inlineStr">
        <is>
          <t>CHOOSE RATING</t>
        </is>
      </c>
      <c r="DY172" s="40" t="inlineStr">
        <is>
          <t>CHOOSE RATING</t>
        </is>
      </c>
      <c r="DZ172" s="53" t="inlineStr">
        <is>
          <t>CHOOSE RATING</t>
        </is>
      </c>
      <c r="EA172" s="54" t="inlineStr">
        <is>
          <t>Add the Tutor's Comment . . .</t>
        </is>
      </c>
      <c r="EB172" s="55" t="inlineStr">
        <is>
          <t>Choose Principals comment</t>
        </is>
      </c>
      <c r="EC172" s="56" t="n"/>
      <c r="ED172" s="57" t="inlineStr">
        <is>
          <t>Next Term Begins on Monday, 22nd September, 2025</t>
        </is>
      </c>
    </row>
    <row r="173" ht="30.6" customHeight="1" s="6">
      <c r="A173" s="18" t="n">
        <v>170</v>
      </c>
      <c r="B173" s="19" t="n"/>
      <c r="C173" s="20" t="n"/>
      <c r="D173" s="128" t="n"/>
      <c r="E173" s="21" t="n"/>
      <c r="F173" s="22" t="n"/>
      <c r="G173" s="22" t="n"/>
      <c r="H173" s="22" t="n"/>
      <c r="I173" s="26">
        <f>G173-H173</f>
        <v/>
      </c>
      <c r="J173" s="21" t="n"/>
      <c r="K173" s="21" t="n"/>
      <c r="L173" s="27">
        <f>SUM(J173:K173)</f>
        <v/>
      </c>
      <c r="M173" s="28" t="n"/>
      <c r="N173" s="28" t="n"/>
      <c r="O173" s="29">
        <f>IF(AND(L173=0,M173=0,N173=0),0,IF(AND(L173=0,M173=0),N173/1,IF(AND(L173=0,N173=0),M173/1,IF(AND(M173=0,N173=0),L173/1,IF(L173=0,FLOOR((M173+N173)/2,0.1),IF(M173=0,(L173+N173)/2,IF(N173=0,(M173+L173)/2,FLOOR(((L173+M173+N173)/3),0.1))))))))</f>
        <v/>
      </c>
      <c r="P173" s="21" t="n"/>
      <c r="Q173" s="21" t="n"/>
      <c r="R173" s="27">
        <f>SUM(P173:Q173)</f>
        <v/>
      </c>
      <c r="S173" s="28" t="n"/>
      <c r="T173" s="28" t="n"/>
      <c r="U173" s="29">
        <f>IF(AND(R173=0,S173=0,T173=0),0,IF(AND(R173=0,S173=0),T173/1,IF(AND(R173=0,T173=0),S173/1,IF(AND(S173=0,T173=0),R173/1,IF(R173=0,FLOOR((S173+T173)/2,0.1),IF(S173=0,(R173+T173)/2,IF(T173=0,(S173+R173)/2,FLOOR(((R173+S173+T173)/3),0.1))))))))</f>
        <v/>
      </c>
      <c r="V173" s="21" t="n"/>
      <c r="W173" s="21" t="n"/>
      <c r="X173" s="27">
        <f>SUM(V173:W173)</f>
        <v/>
      </c>
      <c r="Y173" s="28" t="n"/>
      <c r="Z173" s="28" t="n"/>
      <c r="AA173" s="29">
        <f>IF(AND(X173=0,Y173=0,Z173=0),0,IF(AND(X173=0,Y173=0),Z173/1,IF(AND(X173=0,Z173=0),Y173/1,IF(AND(Y173=0,Z173=0),X173/1,IF(X173=0,FLOOR((Y173+Z173)/2,0.1),IF(Y173=0,(X173+Z173)/2,IF(Z173=0,(Y173+X173)/2,FLOOR(((X173+Y173+Z173)/3),0.1))))))))</f>
        <v/>
      </c>
      <c r="AB173" s="21" t="n"/>
      <c r="AC173" s="21" t="n"/>
      <c r="AD173" s="27">
        <f>SUM(AB173:AC173)</f>
        <v/>
      </c>
      <c r="AE173" s="28" t="n"/>
      <c r="AF173" s="28" t="n"/>
      <c r="AG173" s="29">
        <f>IF(AND(AD173=0,AE173=0,AF173=0),0,IF(AND(AD173=0,AE173=0),AF173/1,IF(AND(AD173=0,AF173=0),AE173/1,IF(AND(AE173=0,AF173=0),AD173/1,IF(AD173=0,FLOOR((AE173+AF173)/2,0.1),IF(AE173=0,(AD173+AF173)/2,IF(AF173=0,(AE173+AD173)/2,FLOOR(((AD173+AE173+AF173)/3),0.1))))))))</f>
        <v/>
      </c>
      <c r="AH173" s="21" t="n"/>
      <c r="AI173" s="21" t="n"/>
      <c r="AJ173" s="27">
        <f>SUM(AH173:AI173)</f>
        <v/>
      </c>
      <c r="AK173" s="28" t="n"/>
      <c r="AL173" s="28" t="n"/>
      <c r="AM173" s="29">
        <f>IF(AND(AJ173=0,AK173=0,AL173=0),0,IF(AND(AJ173=0,AK173=0),AL173/1,IF(AND(AJ173=0,AL173=0),AK173/1,IF(AND(AK173=0,AL173=0),AJ173/1,IF(AJ173=0,FLOOR((AK173+AL173)/2,0.1),IF(AK173=0,(AJ173+AL173)/2,IF(AL173=0,(AK173+AJ173)/2,FLOOR(((AJ173+AK173+AL173)/3),0.1))))))))</f>
        <v/>
      </c>
      <c r="AN173" s="21" t="n"/>
      <c r="AO173" s="21" t="n"/>
      <c r="AP173" s="27">
        <f>SUM(AN173:AO173)</f>
        <v/>
      </c>
      <c r="AQ173" s="28" t="n"/>
      <c r="AR173" s="30" t="n"/>
      <c r="AS173" s="29">
        <f>IF(AND(AP173=0,AQ173=0,AR173=0),0,IF(AND(AP173=0,AQ173=0),AR173/1,IF(AND(AP173=0,AR173=0),AQ173/1,IF(AND(AQ173=0,AR173=0),AP173/1,IF(AP173=0,FLOOR((AQ173+AR173)/2,0.1),IF(AQ173=0,(AP173+AR173)/2,IF(AR173=0,(AQ173+AP173)/2,FLOOR(((AP173+AQ173+AR173)/3),0.1))))))))</f>
        <v/>
      </c>
      <c r="AT173" s="21" t="n"/>
      <c r="AU173" s="21" t="n"/>
      <c r="AV173" s="27">
        <f>SUM(AT173:AU173)</f>
        <v/>
      </c>
      <c r="AW173" s="28" t="n"/>
      <c r="AX173" s="30" t="n"/>
      <c r="AY173" s="29">
        <f>IF(AND(AV173=0,AW173=0,AX173=0),0,IF(AND(AV173=0,AW173=0),AX173/1,IF(AND(AV173=0,AX173=0),AW173/1,IF(AND(AW173=0,AX173=0),AV173/1,IF(AV173=0,FLOOR((AW173+AX173)/2,0.1),IF(AW173=0,(AV173+AX173)/2,IF(AX173=0,(AW173+AV173)/2,FLOOR(((AV173+AW173+AX173)/3),0.1))))))))</f>
        <v/>
      </c>
      <c r="AZ173" s="21" t="n"/>
      <c r="BA173" s="21" t="n"/>
      <c r="BB173" s="27">
        <f>SUM(AZ173:BA173)</f>
        <v/>
      </c>
      <c r="BC173" s="28" t="n"/>
      <c r="BD173" s="28" t="n"/>
      <c r="BE173" s="29">
        <f>IF(AND(BB173=0,BC173=0,BD173=0),0,IF(AND(BB173=0,BC173=0),BD173/1,IF(AND(BB173=0,BD173=0),BC173/1,IF(AND(BC173=0,BD173=0),BB173/1,IF(BB173=0,FLOOR((BC173+BD173)/2,0.1),IF(BC173=0,(BB173+BD173)/2,IF(BD173=0,(BC173+BB173)/2,FLOOR(((BB173+BC173+BD173)/3),0.1))))))))</f>
        <v/>
      </c>
      <c r="BF173" s="21" t="n"/>
      <c r="BG173" s="21" t="n"/>
      <c r="BH173" s="27">
        <f>SUM(BF173:BG173)</f>
        <v/>
      </c>
      <c r="BI173" s="28" t="n"/>
      <c r="BJ173" s="28" t="n"/>
      <c r="BK173" s="29">
        <f>IF(AND(BH173=0,BI173=0,BJ173=0),0,IF(AND(BH173=0,BI173=0),BJ173/1,IF(AND(BH173=0,BJ173=0),BI173/1,IF(AND(BI173=0,BJ173=0),BH173/1,IF(BH173=0,FLOOR((BI173+BJ173)/2,0.1),IF(BI173=0,(BH173+BJ173)/2,IF(BJ173=0,(BI173+BH173)/2,FLOOR(((BH173+BI173+BJ173)/3),0.1))))))))</f>
        <v/>
      </c>
      <c r="BL173" s="21" t="n"/>
      <c r="BM173" s="21" t="n"/>
      <c r="BN173" s="27">
        <f>SUM(BL173:BM173)</f>
        <v/>
      </c>
      <c r="BO173" s="28" t="n"/>
      <c r="BP173" s="31" t="n"/>
      <c r="BQ173" s="29">
        <f>IF(AND(BN173=0,BO173=0,BP173=0),0,IF(AND(BN173=0,BO173=0),BP173/1,IF(AND(BN173=0,BP173=0),BO173/1,IF(AND(BO173=0,BP173=0),BN173/1,IF(BN173=0,FLOOR((BO173+BP173)/2,0.1),IF(BO173=0,(BN173+BP173)/2,IF(BP173=0,(BO173+BN173)/2,FLOOR(((BN173+BO173+BP173)/3),0.1))))))))</f>
        <v/>
      </c>
      <c r="BR173" s="21" t="n"/>
      <c r="BS173" s="21" t="n"/>
      <c r="BT173" s="27">
        <f>SUM(BR173:BS173)</f>
        <v/>
      </c>
      <c r="BU173" s="28" t="n"/>
      <c r="BV173" s="31" t="n"/>
      <c r="BW173" s="29">
        <f>IF(AND(BT173=0,BU173=0,BV173=0),0,IF(AND(BT173=0,BU173=0),BV173/1,IF(AND(BT173=0,BV173=0),BU173/1,IF(AND(BU173=0,BV173=0),BT173/1,IF(BT173=0,FLOOR((BU173+BV173)/2,0.1),IF(BU173=0,(BT173+BV173)/2,IF(BV173=0,(BU173+BT173)/2,FLOOR(((BT173+BU173+BV173)/3),0.1))))))))</f>
        <v/>
      </c>
      <c r="BX173" s="21" t="n"/>
      <c r="BY173" s="21" t="n"/>
      <c r="BZ173" s="27">
        <f>SUM(BX173:BY173)</f>
        <v/>
      </c>
      <c r="CA173" s="28" t="n"/>
      <c r="CB173" s="31" t="n"/>
      <c r="CC173" s="29">
        <f>IF(AND(BZ173=0,CA173=0,CB173=0),0,IF(AND(BZ173=0,CA173=0),CB173/1,IF(AND(BZ173=0,CB173=0),CA173/1,IF(AND(CA173=0,CB173=0),BZ173/1,IF(BZ173=0,FLOOR((CA173+CB173)/2,0.1),IF(CA173=0,(BZ173+CB173)/2,IF(CB173=0,(CA173+BZ173)/2,FLOOR(((BZ173+CA173+CB173)/3),0.1))))))))</f>
        <v/>
      </c>
      <c r="CD173" s="21" t="n"/>
      <c r="CE173" s="21" t="n"/>
      <c r="CF173" s="27">
        <f>SUM(CD173:CE173)</f>
        <v/>
      </c>
      <c r="CG173" s="28" t="n"/>
      <c r="CH173" s="31" t="n"/>
      <c r="CI173" s="29">
        <f>IF(AND(CF173=0,CG173=0,CH173=0),0,IF(AND(CF173=0,CG173=0),CH173/1,IF(AND(CF173=0,CH173=0),CG173/1,IF(AND(CG173=0,CH173=0),CF173/1,IF(CF173=0,FLOOR((CG173+CH173)/2,0.1),IF(CG173=0,(CF173+CH173)/2,IF(CH173=0,(CG173+CF173)/2,FLOOR(((CF173+CG173+CH173)/3),0.1))))))))</f>
        <v/>
      </c>
      <c r="CJ173" s="21" t="n"/>
      <c r="CK173" s="21" t="n"/>
      <c r="CL173" s="27">
        <f>SUM(CJ173:CK173)</f>
        <v/>
      </c>
      <c r="CM173" s="28" t="n"/>
      <c r="CN173" s="31" t="n"/>
      <c r="CO173" s="29">
        <f>IF(AND(CL173=0,CM173=0,CN173=0),0,IF(AND(CL173=0,CM173=0),CN173/1,IF(AND(CL173=0,CN173=0),CM173/1,IF(AND(CM173=0,CN173=0),CL173/1,IF(CL173=0,FLOOR((CM173+CN173)/2,0.1),IF(CM173=0,(CL173+CN173)/2,IF(CN173=0,(CM173+CL173)/2,FLOOR(((CL173+CM173+CN173)/3),0.1))))))))</f>
        <v/>
      </c>
      <c r="CP173" s="21" t="n"/>
      <c r="CQ173" s="21" t="n"/>
      <c r="CR173" s="27">
        <f>SUM(CP173:CQ173)</f>
        <v/>
      </c>
      <c r="CS173" s="28" t="n"/>
      <c r="CT173" s="31" t="n"/>
      <c r="CU173" s="29">
        <f>IF(AND(CR173=0,CS173=0,CT173=0),0,IF(AND(CR173=0,CS173=0),CT173/1,IF(AND(CR173=0,CT173=0),CS173/1,IF(AND(CS173=0,CT173=0),CR173/1,IF(CR173=0,FLOOR((CS173+CT173)/2,0.1),IF(CS173=0,(CR173+CT173)/2,IF(CT173=0,(CS173+CR173)/2,FLOOR(((CR173+CS173+CT173)/3),0.1))))))))</f>
        <v/>
      </c>
      <c r="CV173" s="21" t="n"/>
      <c r="CW173" s="21" t="n"/>
      <c r="CX173" s="27">
        <f>SUM(CV173:CW173)</f>
        <v/>
      </c>
      <c r="CY173" s="28" t="n"/>
      <c r="CZ173" s="31" t="n"/>
      <c r="DA173" s="29">
        <f>IF(AND(CX173=0,CY173=0,CZ173=0),0,IF(AND(CX173=0,CY173=0),CZ173/1,IF(AND(CX173=0,CZ173=0),CY173/1,IF(AND(CY173=0,CZ173=0),CX173/1,IF(CX173=0,FLOOR((CY173+CZ173)/2,0.1),IF(CY173=0,(CX173+CZ173)/2,IF(CZ173=0,(CY173+CX173)/2,FLOOR(((CX173+CY173+CZ173)/3),0.1))))))))</f>
        <v/>
      </c>
      <c r="DB173" s="21" t="n"/>
      <c r="DC173" s="21" t="n"/>
      <c r="DD173" s="27">
        <f>SUM(DB173:DC173)</f>
        <v/>
      </c>
      <c r="DE173" s="28" t="n"/>
      <c r="DF173" s="31" t="n"/>
      <c r="DG173" s="29">
        <f>IF(AND(DD173=0,DE173=0,DF173=0),0,IF(AND(DD173=0,DE173=0),DF173/1,IF(AND(DD173=0,DF173=0),DE173/1,IF(AND(DE173=0,DF173=0),DD173/1,IF(DD173=0,FLOOR((DE173+DF173)/2,0.1),IF(DE173=0,(DD173+DF173)/2,IF(DF173=0,(DE173+DD173)/2,FLOOR(((DD173+DE173+DF173)/3),0.1))))))))</f>
        <v/>
      </c>
      <c r="DH173" s="34">
        <f>SUM(O173,U173,AA173,AG173,AM173,AS173,AY173,BE173,BK173,BQ173,BW173,CC173,CI173,CO173,CU173,DA173,DG173)</f>
        <v/>
      </c>
      <c r="DI173" s="39">
        <f>RANK(DH173,DH$4:DH$503)</f>
        <v/>
      </c>
      <c r="DJ173" s="40" t="inlineStr">
        <is>
          <t>CHOOSE RATING</t>
        </is>
      </c>
      <c r="DK173" s="40" t="inlineStr">
        <is>
          <t>CHOOSE RATING</t>
        </is>
      </c>
      <c r="DL173" s="40" t="inlineStr">
        <is>
          <t>CHOOSE RATING</t>
        </is>
      </c>
      <c r="DM173" s="40" t="inlineStr">
        <is>
          <t>CHOOSE RATING</t>
        </is>
      </c>
      <c r="DN173" s="40" t="inlineStr">
        <is>
          <t>CHOOSE RATING</t>
        </is>
      </c>
      <c r="DO173" s="40" t="inlineStr">
        <is>
          <t>CHOOSE RATING</t>
        </is>
      </c>
      <c r="DP173" s="40" t="inlineStr">
        <is>
          <t>CHOOSE RATING</t>
        </is>
      </c>
      <c r="DQ173" s="40" t="inlineStr">
        <is>
          <t>CHOOSE RATING</t>
        </is>
      </c>
      <c r="DR173" s="43" t="inlineStr">
        <is>
          <t>2024/2025</t>
        </is>
      </c>
      <c r="DS173" s="45" t="inlineStr">
        <is>
          <t>THIRD</t>
        </is>
      </c>
      <c r="DT173" s="40" t="inlineStr">
        <is>
          <t>CHOOSE RATING</t>
        </is>
      </c>
      <c r="DU173" s="40" t="inlineStr">
        <is>
          <t>CHOOSE RATING</t>
        </is>
      </c>
      <c r="DV173" s="40" t="inlineStr">
        <is>
          <t>CHOOSE RATING</t>
        </is>
      </c>
      <c r="DW173" s="40" t="inlineStr">
        <is>
          <t>CHOOSE RATING</t>
        </is>
      </c>
      <c r="DX173" s="40" t="inlineStr">
        <is>
          <t>CHOOSE RATING</t>
        </is>
      </c>
      <c r="DY173" s="40" t="inlineStr">
        <is>
          <t>CHOOSE RATING</t>
        </is>
      </c>
      <c r="DZ173" s="53" t="inlineStr">
        <is>
          <t>CHOOSE RATING</t>
        </is>
      </c>
      <c r="EA173" s="54" t="inlineStr">
        <is>
          <t>Add the Tutor's Comment . . .</t>
        </is>
      </c>
      <c r="EB173" s="55" t="inlineStr">
        <is>
          <t>Choose Principals comment</t>
        </is>
      </c>
      <c r="EC173" s="56" t="n"/>
      <c r="ED173" s="57" t="inlineStr">
        <is>
          <t>Next Term Begins on Monday, 22nd September, 2025</t>
        </is>
      </c>
    </row>
    <row r="174" ht="30.6" customHeight="1" s="6">
      <c r="A174" s="18" t="n">
        <v>171</v>
      </c>
      <c r="B174" s="19" t="n"/>
      <c r="C174" s="20" t="n"/>
      <c r="D174" s="128" t="n"/>
      <c r="E174" s="21" t="n"/>
      <c r="F174" s="22" t="n"/>
      <c r="G174" s="22" t="n"/>
      <c r="H174" s="22" t="n"/>
      <c r="I174" s="26">
        <f>G174-H174</f>
        <v/>
      </c>
      <c r="J174" s="21" t="n"/>
      <c r="K174" s="21" t="n"/>
      <c r="L174" s="27">
        <f>SUM(J174:K174)</f>
        <v/>
      </c>
      <c r="M174" s="28" t="n"/>
      <c r="N174" s="28" t="n"/>
      <c r="O174" s="29">
        <f>IF(AND(L174=0,M174=0,N174=0),0,IF(AND(L174=0,M174=0),N174/1,IF(AND(L174=0,N174=0),M174/1,IF(AND(M174=0,N174=0),L174/1,IF(L174=0,FLOOR((M174+N174)/2,0.1),IF(M174=0,(L174+N174)/2,IF(N174=0,(M174+L174)/2,FLOOR(((L174+M174+N174)/3),0.1))))))))</f>
        <v/>
      </c>
      <c r="P174" s="21" t="n"/>
      <c r="Q174" s="21" t="n"/>
      <c r="R174" s="27">
        <f>SUM(P174:Q174)</f>
        <v/>
      </c>
      <c r="S174" s="28" t="n"/>
      <c r="T174" s="28" t="n"/>
      <c r="U174" s="29">
        <f>IF(AND(R174=0,S174=0,T174=0),0,IF(AND(R174=0,S174=0),T174/1,IF(AND(R174=0,T174=0),S174/1,IF(AND(S174=0,T174=0),R174/1,IF(R174=0,FLOOR((S174+T174)/2,0.1),IF(S174=0,(R174+T174)/2,IF(T174=0,(S174+R174)/2,FLOOR(((R174+S174+T174)/3),0.1))))))))</f>
        <v/>
      </c>
      <c r="V174" s="21" t="n"/>
      <c r="W174" s="21" t="n"/>
      <c r="X174" s="27">
        <f>SUM(V174:W174)</f>
        <v/>
      </c>
      <c r="Y174" s="28" t="n"/>
      <c r="Z174" s="28" t="n"/>
      <c r="AA174" s="29">
        <f>IF(AND(X174=0,Y174=0,Z174=0),0,IF(AND(X174=0,Y174=0),Z174/1,IF(AND(X174=0,Z174=0),Y174/1,IF(AND(Y174=0,Z174=0),X174/1,IF(X174=0,FLOOR((Y174+Z174)/2,0.1),IF(Y174=0,(X174+Z174)/2,IF(Z174=0,(Y174+X174)/2,FLOOR(((X174+Y174+Z174)/3),0.1))))))))</f>
        <v/>
      </c>
      <c r="AB174" s="21" t="n"/>
      <c r="AC174" s="21" t="n"/>
      <c r="AD174" s="27">
        <f>SUM(AB174:AC174)</f>
        <v/>
      </c>
      <c r="AE174" s="28" t="n"/>
      <c r="AF174" s="28" t="n"/>
      <c r="AG174" s="29">
        <f>IF(AND(AD174=0,AE174=0,AF174=0),0,IF(AND(AD174=0,AE174=0),AF174/1,IF(AND(AD174=0,AF174=0),AE174/1,IF(AND(AE174=0,AF174=0),AD174/1,IF(AD174=0,FLOOR((AE174+AF174)/2,0.1),IF(AE174=0,(AD174+AF174)/2,IF(AF174=0,(AE174+AD174)/2,FLOOR(((AD174+AE174+AF174)/3),0.1))))))))</f>
        <v/>
      </c>
      <c r="AH174" s="21" t="n"/>
      <c r="AI174" s="21" t="n"/>
      <c r="AJ174" s="27">
        <f>SUM(AH174:AI174)</f>
        <v/>
      </c>
      <c r="AK174" s="28" t="n"/>
      <c r="AL174" s="28" t="n"/>
      <c r="AM174" s="29">
        <f>IF(AND(AJ174=0,AK174=0,AL174=0),0,IF(AND(AJ174=0,AK174=0),AL174/1,IF(AND(AJ174=0,AL174=0),AK174/1,IF(AND(AK174=0,AL174=0),AJ174/1,IF(AJ174=0,FLOOR((AK174+AL174)/2,0.1),IF(AK174=0,(AJ174+AL174)/2,IF(AL174=0,(AK174+AJ174)/2,FLOOR(((AJ174+AK174+AL174)/3),0.1))))))))</f>
        <v/>
      </c>
      <c r="AN174" s="21" t="n"/>
      <c r="AO174" s="21" t="n"/>
      <c r="AP174" s="27">
        <f>SUM(AN174:AO174)</f>
        <v/>
      </c>
      <c r="AQ174" s="28" t="n"/>
      <c r="AR174" s="30" t="n"/>
      <c r="AS174" s="29">
        <f>IF(AND(AP174=0,AQ174=0,AR174=0),0,IF(AND(AP174=0,AQ174=0),AR174/1,IF(AND(AP174=0,AR174=0),AQ174/1,IF(AND(AQ174=0,AR174=0),AP174/1,IF(AP174=0,FLOOR((AQ174+AR174)/2,0.1),IF(AQ174=0,(AP174+AR174)/2,IF(AR174=0,(AQ174+AP174)/2,FLOOR(((AP174+AQ174+AR174)/3),0.1))))))))</f>
        <v/>
      </c>
      <c r="AT174" s="21" t="n"/>
      <c r="AU174" s="21" t="n"/>
      <c r="AV174" s="27">
        <f>SUM(AT174:AU174)</f>
        <v/>
      </c>
      <c r="AW174" s="28" t="n"/>
      <c r="AX174" s="30" t="n"/>
      <c r="AY174" s="29">
        <f>IF(AND(AV174=0,AW174=0,AX174=0),0,IF(AND(AV174=0,AW174=0),AX174/1,IF(AND(AV174=0,AX174=0),AW174/1,IF(AND(AW174=0,AX174=0),AV174/1,IF(AV174=0,FLOOR((AW174+AX174)/2,0.1),IF(AW174=0,(AV174+AX174)/2,IF(AX174=0,(AW174+AV174)/2,FLOOR(((AV174+AW174+AX174)/3),0.1))))))))</f>
        <v/>
      </c>
      <c r="AZ174" s="21" t="n"/>
      <c r="BA174" s="21" t="n"/>
      <c r="BB174" s="27">
        <f>SUM(AZ174:BA174)</f>
        <v/>
      </c>
      <c r="BC174" s="28" t="n"/>
      <c r="BD174" s="28" t="n"/>
      <c r="BE174" s="29">
        <f>IF(AND(BB174=0,BC174=0,BD174=0),0,IF(AND(BB174=0,BC174=0),BD174/1,IF(AND(BB174=0,BD174=0),BC174/1,IF(AND(BC174=0,BD174=0),BB174/1,IF(BB174=0,FLOOR((BC174+BD174)/2,0.1),IF(BC174=0,(BB174+BD174)/2,IF(BD174=0,(BC174+BB174)/2,FLOOR(((BB174+BC174+BD174)/3),0.1))))))))</f>
        <v/>
      </c>
      <c r="BF174" s="21" t="n"/>
      <c r="BG174" s="21" t="n"/>
      <c r="BH174" s="27">
        <f>SUM(BF174:BG174)</f>
        <v/>
      </c>
      <c r="BI174" s="28" t="n"/>
      <c r="BJ174" s="28" t="n"/>
      <c r="BK174" s="29">
        <f>IF(AND(BH174=0,BI174=0,BJ174=0),0,IF(AND(BH174=0,BI174=0),BJ174/1,IF(AND(BH174=0,BJ174=0),BI174/1,IF(AND(BI174=0,BJ174=0),BH174/1,IF(BH174=0,FLOOR((BI174+BJ174)/2,0.1),IF(BI174=0,(BH174+BJ174)/2,IF(BJ174=0,(BI174+BH174)/2,FLOOR(((BH174+BI174+BJ174)/3),0.1))))))))</f>
        <v/>
      </c>
      <c r="BL174" s="21" t="n"/>
      <c r="BM174" s="21" t="n"/>
      <c r="BN174" s="27">
        <f>SUM(BL174:BM174)</f>
        <v/>
      </c>
      <c r="BO174" s="28" t="n"/>
      <c r="BP174" s="31" t="n"/>
      <c r="BQ174" s="29">
        <f>IF(AND(BN174=0,BO174=0,BP174=0),0,IF(AND(BN174=0,BO174=0),BP174/1,IF(AND(BN174=0,BP174=0),BO174/1,IF(AND(BO174=0,BP174=0),BN174/1,IF(BN174=0,FLOOR((BO174+BP174)/2,0.1),IF(BO174=0,(BN174+BP174)/2,IF(BP174=0,(BO174+BN174)/2,FLOOR(((BN174+BO174+BP174)/3),0.1))))))))</f>
        <v/>
      </c>
      <c r="BR174" s="21" t="n"/>
      <c r="BS174" s="21" t="n"/>
      <c r="BT174" s="27">
        <f>SUM(BR174:BS174)</f>
        <v/>
      </c>
      <c r="BU174" s="28" t="n"/>
      <c r="BV174" s="31" t="n"/>
      <c r="BW174" s="29">
        <f>IF(AND(BT174=0,BU174=0,BV174=0),0,IF(AND(BT174=0,BU174=0),BV174/1,IF(AND(BT174=0,BV174=0),BU174/1,IF(AND(BU174=0,BV174=0),BT174/1,IF(BT174=0,FLOOR((BU174+BV174)/2,0.1),IF(BU174=0,(BT174+BV174)/2,IF(BV174=0,(BU174+BT174)/2,FLOOR(((BT174+BU174+BV174)/3),0.1))))))))</f>
        <v/>
      </c>
      <c r="BX174" s="21" t="n"/>
      <c r="BY174" s="21" t="n"/>
      <c r="BZ174" s="27">
        <f>SUM(BX174:BY174)</f>
        <v/>
      </c>
      <c r="CA174" s="28" t="n"/>
      <c r="CB174" s="31" t="n"/>
      <c r="CC174" s="29">
        <f>IF(AND(BZ174=0,CA174=0,CB174=0),0,IF(AND(BZ174=0,CA174=0),CB174/1,IF(AND(BZ174=0,CB174=0),CA174/1,IF(AND(CA174=0,CB174=0),BZ174/1,IF(BZ174=0,FLOOR((CA174+CB174)/2,0.1),IF(CA174=0,(BZ174+CB174)/2,IF(CB174=0,(CA174+BZ174)/2,FLOOR(((BZ174+CA174+CB174)/3),0.1))))))))</f>
        <v/>
      </c>
      <c r="CD174" s="21" t="n"/>
      <c r="CE174" s="21" t="n"/>
      <c r="CF174" s="27">
        <f>SUM(CD174:CE174)</f>
        <v/>
      </c>
      <c r="CG174" s="28" t="n"/>
      <c r="CH174" s="31" t="n"/>
      <c r="CI174" s="29">
        <f>IF(AND(CF174=0,CG174=0,CH174=0),0,IF(AND(CF174=0,CG174=0),CH174/1,IF(AND(CF174=0,CH174=0),CG174/1,IF(AND(CG174=0,CH174=0),CF174/1,IF(CF174=0,FLOOR((CG174+CH174)/2,0.1),IF(CG174=0,(CF174+CH174)/2,IF(CH174=0,(CG174+CF174)/2,FLOOR(((CF174+CG174+CH174)/3),0.1))))))))</f>
        <v/>
      </c>
      <c r="CJ174" s="21" t="n"/>
      <c r="CK174" s="21" t="n"/>
      <c r="CL174" s="27">
        <f>SUM(CJ174:CK174)</f>
        <v/>
      </c>
      <c r="CM174" s="28" t="n"/>
      <c r="CN174" s="31" t="n"/>
      <c r="CO174" s="29">
        <f>IF(AND(CL174=0,CM174=0,CN174=0),0,IF(AND(CL174=0,CM174=0),CN174/1,IF(AND(CL174=0,CN174=0),CM174/1,IF(AND(CM174=0,CN174=0),CL174/1,IF(CL174=0,FLOOR((CM174+CN174)/2,0.1),IF(CM174=0,(CL174+CN174)/2,IF(CN174=0,(CM174+CL174)/2,FLOOR(((CL174+CM174+CN174)/3),0.1))))))))</f>
        <v/>
      </c>
      <c r="CP174" s="21" t="n"/>
      <c r="CQ174" s="21" t="n"/>
      <c r="CR174" s="27">
        <f>SUM(CP174:CQ174)</f>
        <v/>
      </c>
      <c r="CS174" s="28" t="n"/>
      <c r="CT174" s="31" t="n"/>
      <c r="CU174" s="29">
        <f>IF(AND(CR174=0,CS174=0,CT174=0),0,IF(AND(CR174=0,CS174=0),CT174/1,IF(AND(CR174=0,CT174=0),CS174/1,IF(AND(CS174=0,CT174=0),CR174/1,IF(CR174=0,FLOOR((CS174+CT174)/2,0.1),IF(CS174=0,(CR174+CT174)/2,IF(CT174=0,(CS174+CR174)/2,FLOOR(((CR174+CS174+CT174)/3),0.1))))))))</f>
        <v/>
      </c>
      <c r="CV174" s="21" t="n"/>
      <c r="CW174" s="21" t="n"/>
      <c r="CX174" s="27">
        <f>SUM(CV174:CW174)</f>
        <v/>
      </c>
      <c r="CY174" s="28" t="n"/>
      <c r="CZ174" s="31" t="n"/>
      <c r="DA174" s="29">
        <f>IF(AND(CX174=0,CY174=0,CZ174=0),0,IF(AND(CX174=0,CY174=0),CZ174/1,IF(AND(CX174=0,CZ174=0),CY174/1,IF(AND(CY174=0,CZ174=0),CX174/1,IF(CX174=0,FLOOR((CY174+CZ174)/2,0.1),IF(CY174=0,(CX174+CZ174)/2,IF(CZ174=0,(CY174+CX174)/2,FLOOR(((CX174+CY174+CZ174)/3),0.1))))))))</f>
        <v/>
      </c>
      <c r="DB174" s="21" t="n"/>
      <c r="DC174" s="21" t="n"/>
      <c r="DD174" s="27">
        <f>SUM(DB174:DC174)</f>
        <v/>
      </c>
      <c r="DE174" s="28" t="n"/>
      <c r="DF174" s="31" t="n"/>
      <c r="DG174" s="29">
        <f>IF(AND(DD174=0,DE174=0,DF174=0),0,IF(AND(DD174=0,DE174=0),DF174/1,IF(AND(DD174=0,DF174=0),DE174/1,IF(AND(DE174=0,DF174=0),DD174/1,IF(DD174=0,FLOOR((DE174+DF174)/2,0.1),IF(DE174=0,(DD174+DF174)/2,IF(DF174=0,(DE174+DD174)/2,FLOOR(((DD174+DE174+DF174)/3),0.1))))))))</f>
        <v/>
      </c>
      <c r="DH174" s="34">
        <f>SUM(O174,U174,AA174,AG174,AM174,AS174,AY174,BE174,BK174,BQ174,BW174,CC174,CI174,CO174,CU174,DA174,DG174)</f>
        <v/>
      </c>
      <c r="DI174" s="39">
        <f>RANK(DH174,DH$4:DH$503)</f>
        <v/>
      </c>
      <c r="DJ174" s="40" t="inlineStr">
        <is>
          <t>CHOOSE RATING</t>
        </is>
      </c>
      <c r="DK174" s="40" t="inlineStr">
        <is>
          <t>CHOOSE RATING</t>
        </is>
      </c>
      <c r="DL174" s="40" t="inlineStr">
        <is>
          <t>CHOOSE RATING</t>
        </is>
      </c>
      <c r="DM174" s="40" t="inlineStr">
        <is>
          <t>CHOOSE RATING</t>
        </is>
      </c>
      <c r="DN174" s="40" t="inlineStr">
        <is>
          <t>CHOOSE RATING</t>
        </is>
      </c>
      <c r="DO174" s="40" t="inlineStr">
        <is>
          <t>CHOOSE RATING</t>
        </is>
      </c>
      <c r="DP174" s="40" t="inlineStr">
        <is>
          <t>CHOOSE RATING</t>
        </is>
      </c>
      <c r="DQ174" s="40" t="inlineStr">
        <is>
          <t>CHOOSE RATING</t>
        </is>
      </c>
      <c r="DR174" s="43" t="inlineStr">
        <is>
          <t>2024/2025</t>
        </is>
      </c>
      <c r="DS174" s="45" t="inlineStr">
        <is>
          <t>THIRD</t>
        </is>
      </c>
      <c r="DT174" s="40" t="inlineStr">
        <is>
          <t>CHOOSE RATING</t>
        </is>
      </c>
      <c r="DU174" s="40" t="inlineStr">
        <is>
          <t>CHOOSE RATING</t>
        </is>
      </c>
      <c r="DV174" s="40" t="inlineStr">
        <is>
          <t>CHOOSE RATING</t>
        </is>
      </c>
      <c r="DW174" s="40" t="inlineStr">
        <is>
          <t>CHOOSE RATING</t>
        </is>
      </c>
      <c r="DX174" s="40" t="inlineStr">
        <is>
          <t>CHOOSE RATING</t>
        </is>
      </c>
      <c r="DY174" s="40" t="inlineStr">
        <is>
          <t>CHOOSE RATING</t>
        </is>
      </c>
      <c r="DZ174" s="53" t="inlineStr">
        <is>
          <t>CHOOSE RATING</t>
        </is>
      </c>
      <c r="EA174" s="54" t="inlineStr">
        <is>
          <t>Add the Tutor's Comment . . .</t>
        </is>
      </c>
      <c r="EB174" s="55" t="inlineStr">
        <is>
          <t>Choose Principals comment</t>
        </is>
      </c>
      <c r="EC174" s="56" t="n"/>
      <c r="ED174" s="57" t="inlineStr">
        <is>
          <t>Next Term Begins on Monday, 22nd September, 2025</t>
        </is>
      </c>
    </row>
    <row r="175" ht="30.6" customHeight="1" s="6">
      <c r="A175" s="18" t="n">
        <v>172</v>
      </c>
      <c r="B175" s="19" t="n"/>
      <c r="C175" s="20" t="n"/>
      <c r="D175" s="128" t="n"/>
      <c r="E175" s="21" t="n"/>
      <c r="F175" s="22" t="n"/>
      <c r="G175" s="22" t="n"/>
      <c r="H175" s="22" t="n"/>
      <c r="I175" s="26">
        <f>G175-H175</f>
        <v/>
      </c>
      <c r="J175" s="21" t="n"/>
      <c r="K175" s="21" t="n"/>
      <c r="L175" s="27">
        <f>SUM(J175:K175)</f>
        <v/>
      </c>
      <c r="M175" s="28" t="n"/>
      <c r="N175" s="28" t="n"/>
      <c r="O175" s="29">
        <f>IF(AND(L175=0,M175=0,N175=0),0,IF(AND(L175=0,M175=0),N175/1,IF(AND(L175=0,N175=0),M175/1,IF(AND(M175=0,N175=0),L175/1,IF(L175=0,FLOOR((M175+N175)/2,0.1),IF(M175=0,(L175+N175)/2,IF(N175=0,(M175+L175)/2,FLOOR(((L175+M175+N175)/3),0.1))))))))</f>
        <v/>
      </c>
      <c r="P175" s="21" t="n"/>
      <c r="Q175" s="21" t="n"/>
      <c r="R175" s="27">
        <f>SUM(P175:Q175)</f>
        <v/>
      </c>
      <c r="S175" s="28" t="n"/>
      <c r="T175" s="28" t="n"/>
      <c r="U175" s="29">
        <f>IF(AND(R175=0,S175=0,T175=0),0,IF(AND(R175=0,S175=0),T175/1,IF(AND(R175=0,T175=0),S175/1,IF(AND(S175=0,T175=0),R175/1,IF(R175=0,FLOOR((S175+T175)/2,0.1),IF(S175=0,(R175+T175)/2,IF(T175=0,(S175+R175)/2,FLOOR(((R175+S175+T175)/3),0.1))))))))</f>
        <v/>
      </c>
      <c r="V175" s="21" t="n"/>
      <c r="W175" s="21" t="n"/>
      <c r="X175" s="27">
        <f>SUM(V175:W175)</f>
        <v/>
      </c>
      <c r="Y175" s="28" t="n"/>
      <c r="Z175" s="28" t="n"/>
      <c r="AA175" s="29">
        <f>IF(AND(X175=0,Y175=0,Z175=0),0,IF(AND(X175=0,Y175=0),Z175/1,IF(AND(X175=0,Z175=0),Y175/1,IF(AND(Y175=0,Z175=0),X175/1,IF(X175=0,FLOOR((Y175+Z175)/2,0.1),IF(Y175=0,(X175+Z175)/2,IF(Z175=0,(Y175+X175)/2,FLOOR(((X175+Y175+Z175)/3),0.1))))))))</f>
        <v/>
      </c>
      <c r="AB175" s="21" t="n"/>
      <c r="AC175" s="21" t="n"/>
      <c r="AD175" s="27">
        <f>SUM(AB175:AC175)</f>
        <v/>
      </c>
      <c r="AE175" s="28" t="n"/>
      <c r="AF175" s="28" t="n"/>
      <c r="AG175" s="29">
        <f>IF(AND(AD175=0,AE175=0,AF175=0),0,IF(AND(AD175=0,AE175=0),AF175/1,IF(AND(AD175=0,AF175=0),AE175/1,IF(AND(AE175=0,AF175=0),AD175/1,IF(AD175=0,FLOOR((AE175+AF175)/2,0.1),IF(AE175=0,(AD175+AF175)/2,IF(AF175=0,(AE175+AD175)/2,FLOOR(((AD175+AE175+AF175)/3),0.1))))))))</f>
        <v/>
      </c>
      <c r="AH175" s="21" t="n"/>
      <c r="AI175" s="21" t="n"/>
      <c r="AJ175" s="27">
        <f>SUM(AH175:AI175)</f>
        <v/>
      </c>
      <c r="AK175" s="28" t="n"/>
      <c r="AL175" s="28" t="n"/>
      <c r="AM175" s="29">
        <f>IF(AND(AJ175=0,AK175=0,AL175=0),0,IF(AND(AJ175=0,AK175=0),AL175/1,IF(AND(AJ175=0,AL175=0),AK175/1,IF(AND(AK175=0,AL175=0),AJ175/1,IF(AJ175=0,FLOOR((AK175+AL175)/2,0.1),IF(AK175=0,(AJ175+AL175)/2,IF(AL175=0,(AK175+AJ175)/2,FLOOR(((AJ175+AK175+AL175)/3),0.1))))))))</f>
        <v/>
      </c>
      <c r="AN175" s="21" t="n"/>
      <c r="AO175" s="21" t="n"/>
      <c r="AP175" s="27">
        <f>SUM(AN175:AO175)</f>
        <v/>
      </c>
      <c r="AQ175" s="28" t="n"/>
      <c r="AR175" s="30" t="n"/>
      <c r="AS175" s="29">
        <f>IF(AND(AP175=0,AQ175=0,AR175=0),0,IF(AND(AP175=0,AQ175=0),AR175/1,IF(AND(AP175=0,AR175=0),AQ175/1,IF(AND(AQ175=0,AR175=0),AP175/1,IF(AP175=0,FLOOR((AQ175+AR175)/2,0.1),IF(AQ175=0,(AP175+AR175)/2,IF(AR175=0,(AQ175+AP175)/2,FLOOR(((AP175+AQ175+AR175)/3),0.1))))))))</f>
        <v/>
      </c>
      <c r="AT175" s="21" t="n"/>
      <c r="AU175" s="21" t="n"/>
      <c r="AV175" s="27">
        <f>SUM(AT175:AU175)</f>
        <v/>
      </c>
      <c r="AW175" s="28" t="n"/>
      <c r="AX175" s="30" t="n"/>
      <c r="AY175" s="29">
        <f>IF(AND(AV175=0,AW175=0,AX175=0),0,IF(AND(AV175=0,AW175=0),AX175/1,IF(AND(AV175=0,AX175=0),AW175/1,IF(AND(AW175=0,AX175=0),AV175/1,IF(AV175=0,FLOOR((AW175+AX175)/2,0.1),IF(AW175=0,(AV175+AX175)/2,IF(AX175=0,(AW175+AV175)/2,FLOOR(((AV175+AW175+AX175)/3),0.1))))))))</f>
        <v/>
      </c>
      <c r="AZ175" s="21" t="n"/>
      <c r="BA175" s="21" t="n"/>
      <c r="BB175" s="27">
        <f>SUM(AZ175:BA175)</f>
        <v/>
      </c>
      <c r="BC175" s="28" t="n"/>
      <c r="BD175" s="28" t="n"/>
      <c r="BE175" s="29">
        <f>IF(AND(BB175=0,BC175=0,BD175=0),0,IF(AND(BB175=0,BC175=0),BD175/1,IF(AND(BB175=0,BD175=0),BC175/1,IF(AND(BC175=0,BD175=0),BB175/1,IF(BB175=0,FLOOR((BC175+BD175)/2,0.1),IF(BC175=0,(BB175+BD175)/2,IF(BD175=0,(BC175+BB175)/2,FLOOR(((BB175+BC175+BD175)/3),0.1))))))))</f>
        <v/>
      </c>
      <c r="BF175" s="21" t="n"/>
      <c r="BG175" s="21" t="n"/>
      <c r="BH175" s="27">
        <f>SUM(BF175:BG175)</f>
        <v/>
      </c>
      <c r="BI175" s="28" t="n"/>
      <c r="BJ175" s="28" t="n"/>
      <c r="BK175" s="29">
        <f>IF(AND(BH175=0,BI175=0,BJ175=0),0,IF(AND(BH175=0,BI175=0),BJ175/1,IF(AND(BH175=0,BJ175=0),BI175/1,IF(AND(BI175=0,BJ175=0),BH175/1,IF(BH175=0,FLOOR((BI175+BJ175)/2,0.1),IF(BI175=0,(BH175+BJ175)/2,IF(BJ175=0,(BI175+BH175)/2,FLOOR(((BH175+BI175+BJ175)/3),0.1))))))))</f>
        <v/>
      </c>
      <c r="BL175" s="21" t="n"/>
      <c r="BM175" s="21" t="n"/>
      <c r="BN175" s="27">
        <f>SUM(BL175:BM175)</f>
        <v/>
      </c>
      <c r="BO175" s="28" t="n"/>
      <c r="BP175" s="31" t="n"/>
      <c r="BQ175" s="29">
        <f>IF(AND(BN175=0,BO175=0,BP175=0),0,IF(AND(BN175=0,BO175=0),BP175/1,IF(AND(BN175=0,BP175=0),BO175/1,IF(AND(BO175=0,BP175=0),BN175/1,IF(BN175=0,FLOOR((BO175+BP175)/2,0.1),IF(BO175=0,(BN175+BP175)/2,IF(BP175=0,(BO175+BN175)/2,FLOOR(((BN175+BO175+BP175)/3),0.1))))))))</f>
        <v/>
      </c>
      <c r="BR175" s="21" t="n"/>
      <c r="BS175" s="21" t="n"/>
      <c r="BT175" s="27">
        <f>SUM(BR175:BS175)</f>
        <v/>
      </c>
      <c r="BU175" s="28" t="n"/>
      <c r="BV175" s="31" t="n"/>
      <c r="BW175" s="29">
        <f>IF(AND(BT175=0,BU175=0,BV175=0),0,IF(AND(BT175=0,BU175=0),BV175/1,IF(AND(BT175=0,BV175=0),BU175/1,IF(AND(BU175=0,BV175=0),BT175/1,IF(BT175=0,FLOOR((BU175+BV175)/2,0.1),IF(BU175=0,(BT175+BV175)/2,IF(BV175=0,(BU175+BT175)/2,FLOOR(((BT175+BU175+BV175)/3),0.1))))))))</f>
        <v/>
      </c>
      <c r="BX175" s="21" t="n"/>
      <c r="BY175" s="21" t="n"/>
      <c r="BZ175" s="27">
        <f>SUM(BX175:BY175)</f>
        <v/>
      </c>
      <c r="CA175" s="28" t="n"/>
      <c r="CB175" s="31" t="n"/>
      <c r="CC175" s="29">
        <f>IF(AND(BZ175=0,CA175=0,CB175=0),0,IF(AND(BZ175=0,CA175=0),CB175/1,IF(AND(BZ175=0,CB175=0),CA175/1,IF(AND(CA175=0,CB175=0),BZ175/1,IF(BZ175=0,FLOOR((CA175+CB175)/2,0.1),IF(CA175=0,(BZ175+CB175)/2,IF(CB175=0,(CA175+BZ175)/2,FLOOR(((BZ175+CA175+CB175)/3),0.1))))))))</f>
        <v/>
      </c>
      <c r="CD175" s="21" t="n"/>
      <c r="CE175" s="21" t="n"/>
      <c r="CF175" s="27">
        <f>SUM(CD175:CE175)</f>
        <v/>
      </c>
      <c r="CG175" s="28" t="n"/>
      <c r="CH175" s="31" t="n"/>
      <c r="CI175" s="29">
        <f>IF(AND(CF175=0,CG175=0,CH175=0),0,IF(AND(CF175=0,CG175=0),CH175/1,IF(AND(CF175=0,CH175=0),CG175/1,IF(AND(CG175=0,CH175=0),CF175/1,IF(CF175=0,FLOOR((CG175+CH175)/2,0.1),IF(CG175=0,(CF175+CH175)/2,IF(CH175=0,(CG175+CF175)/2,FLOOR(((CF175+CG175+CH175)/3),0.1))))))))</f>
        <v/>
      </c>
      <c r="CJ175" s="21" t="n"/>
      <c r="CK175" s="21" t="n"/>
      <c r="CL175" s="27">
        <f>SUM(CJ175:CK175)</f>
        <v/>
      </c>
      <c r="CM175" s="28" t="n"/>
      <c r="CN175" s="31" t="n"/>
      <c r="CO175" s="29">
        <f>IF(AND(CL175=0,CM175=0,CN175=0),0,IF(AND(CL175=0,CM175=0),CN175/1,IF(AND(CL175=0,CN175=0),CM175/1,IF(AND(CM175=0,CN175=0),CL175/1,IF(CL175=0,FLOOR((CM175+CN175)/2,0.1),IF(CM175=0,(CL175+CN175)/2,IF(CN175=0,(CM175+CL175)/2,FLOOR(((CL175+CM175+CN175)/3),0.1))))))))</f>
        <v/>
      </c>
      <c r="CP175" s="21" t="n"/>
      <c r="CQ175" s="21" t="n"/>
      <c r="CR175" s="27">
        <f>SUM(CP175:CQ175)</f>
        <v/>
      </c>
      <c r="CS175" s="28" t="n"/>
      <c r="CT175" s="31" t="n"/>
      <c r="CU175" s="29">
        <f>IF(AND(CR175=0,CS175=0,CT175=0),0,IF(AND(CR175=0,CS175=0),CT175/1,IF(AND(CR175=0,CT175=0),CS175/1,IF(AND(CS175=0,CT175=0),CR175/1,IF(CR175=0,FLOOR((CS175+CT175)/2,0.1),IF(CS175=0,(CR175+CT175)/2,IF(CT175=0,(CS175+CR175)/2,FLOOR(((CR175+CS175+CT175)/3),0.1))))))))</f>
        <v/>
      </c>
      <c r="CV175" s="21" t="n"/>
      <c r="CW175" s="21" t="n"/>
      <c r="CX175" s="27">
        <f>SUM(CV175:CW175)</f>
        <v/>
      </c>
      <c r="CY175" s="28" t="n"/>
      <c r="CZ175" s="31" t="n"/>
      <c r="DA175" s="29">
        <f>IF(AND(CX175=0,CY175=0,CZ175=0),0,IF(AND(CX175=0,CY175=0),CZ175/1,IF(AND(CX175=0,CZ175=0),CY175/1,IF(AND(CY175=0,CZ175=0),CX175/1,IF(CX175=0,FLOOR((CY175+CZ175)/2,0.1),IF(CY175=0,(CX175+CZ175)/2,IF(CZ175=0,(CY175+CX175)/2,FLOOR(((CX175+CY175+CZ175)/3),0.1))))))))</f>
        <v/>
      </c>
      <c r="DB175" s="21" t="n"/>
      <c r="DC175" s="21" t="n"/>
      <c r="DD175" s="27">
        <f>SUM(DB175:DC175)</f>
        <v/>
      </c>
      <c r="DE175" s="28" t="n"/>
      <c r="DF175" s="31" t="n"/>
      <c r="DG175" s="29">
        <f>IF(AND(DD175=0,DE175=0,DF175=0),0,IF(AND(DD175=0,DE175=0),DF175/1,IF(AND(DD175=0,DF175=0),DE175/1,IF(AND(DE175=0,DF175=0),DD175/1,IF(DD175=0,FLOOR((DE175+DF175)/2,0.1),IF(DE175=0,(DD175+DF175)/2,IF(DF175=0,(DE175+DD175)/2,FLOOR(((DD175+DE175+DF175)/3),0.1))))))))</f>
        <v/>
      </c>
      <c r="DH175" s="34">
        <f>SUM(O175,U175,AA175,AG175,AM175,AS175,AY175,BE175,BK175,BQ175,BW175,CC175,CI175,CO175,CU175,DA175,DG175)</f>
        <v/>
      </c>
      <c r="DI175" s="39">
        <f>RANK(DH175,DH$4:DH$503)</f>
        <v/>
      </c>
      <c r="DJ175" s="40" t="inlineStr">
        <is>
          <t>CHOOSE RATING</t>
        </is>
      </c>
      <c r="DK175" s="40" t="inlineStr">
        <is>
          <t>CHOOSE RATING</t>
        </is>
      </c>
      <c r="DL175" s="40" t="inlineStr">
        <is>
          <t>CHOOSE RATING</t>
        </is>
      </c>
      <c r="DM175" s="40" t="inlineStr">
        <is>
          <t>CHOOSE RATING</t>
        </is>
      </c>
      <c r="DN175" s="40" t="inlineStr">
        <is>
          <t>CHOOSE RATING</t>
        </is>
      </c>
      <c r="DO175" s="40" t="inlineStr">
        <is>
          <t>CHOOSE RATING</t>
        </is>
      </c>
      <c r="DP175" s="40" t="inlineStr">
        <is>
          <t>CHOOSE RATING</t>
        </is>
      </c>
      <c r="DQ175" s="40" t="inlineStr">
        <is>
          <t>CHOOSE RATING</t>
        </is>
      </c>
      <c r="DR175" s="43" t="inlineStr">
        <is>
          <t>2024/2025</t>
        </is>
      </c>
      <c r="DS175" s="45" t="inlineStr">
        <is>
          <t>THIRD</t>
        </is>
      </c>
      <c r="DT175" s="40" t="inlineStr">
        <is>
          <t>CHOOSE RATING</t>
        </is>
      </c>
      <c r="DU175" s="40" t="inlineStr">
        <is>
          <t>CHOOSE RATING</t>
        </is>
      </c>
      <c r="DV175" s="40" t="inlineStr">
        <is>
          <t>CHOOSE RATING</t>
        </is>
      </c>
      <c r="DW175" s="40" t="inlineStr">
        <is>
          <t>CHOOSE RATING</t>
        </is>
      </c>
      <c r="DX175" s="40" t="inlineStr">
        <is>
          <t>CHOOSE RATING</t>
        </is>
      </c>
      <c r="DY175" s="40" t="inlineStr">
        <is>
          <t>CHOOSE RATING</t>
        </is>
      </c>
      <c r="DZ175" s="53" t="inlineStr">
        <is>
          <t>CHOOSE RATING</t>
        </is>
      </c>
      <c r="EA175" s="54" t="inlineStr">
        <is>
          <t>Add the Tutor's Comment . . .</t>
        </is>
      </c>
      <c r="EB175" s="55" t="inlineStr">
        <is>
          <t>Choose Principals comment</t>
        </is>
      </c>
      <c r="EC175" s="56" t="n"/>
      <c r="ED175" s="57" t="inlineStr">
        <is>
          <t>Next Term Begins on Monday, 22nd September, 2025</t>
        </is>
      </c>
    </row>
    <row r="176" ht="30.6" customHeight="1" s="6">
      <c r="A176" s="18" t="n">
        <v>173</v>
      </c>
      <c r="B176" s="19" t="n"/>
      <c r="C176" s="20" t="n"/>
      <c r="D176" s="128" t="n"/>
      <c r="E176" s="21" t="n"/>
      <c r="F176" s="22" t="n"/>
      <c r="G176" s="22" t="n"/>
      <c r="H176" s="22" t="n"/>
      <c r="I176" s="26">
        <f>G176-H176</f>
        <v/>
      </c>
      <c r="J176" s="21" t="n"/>
      <c r="K176" s="21" t="n"/>
      <c r="L176" s="27">
        <f>SUM(J176:K176)</f>
        <v/>
      </c>
      <c r="M176" s="28" t="n"/>
      <c r="N176" s="28" t="n"/>
      <c r="O176" s="29">
        <f>IF(AND(L176=0,M176=0,N176=0),0,IF(AND(L176=0,M176=0),N176/1,IF(AND(L176=0,N176=0),M176/1,IF(AND(M176=0,N176=0),L176/1,IF(L176=0,FLOOR((M176+N176)/2,0.1),IF(M176=0,(L176+N176)/2,IF(N176=0,(M176+L176)/2,FLOOR(((L176+M176+N176)/3),0.1))))))))</f>
        <v/>
      </c>
      <c r="P176" s="21" t="n"/>
      <c r="Q176" s="21" t="n"/>
      <c r="R176" s="27">
        <f>SUM(P176:Q176)</f>
        <v/>
      </c>
      <c r="S176" s="28" t="n"/>
      <c r="T176" s="28" t="n"/>
      <c r="U176" s="29">
        <f>IF(AND(R176=0,S176=0,T176=0),0,IF(AND(R176=0,S176=0),T176/1,IF(AND(R176=0,T176=0),S176/1,IF(AND(S176=0,T176=0),R176/1,IF(R176=0,FLOOR((S176+T176)/2,0.1),IF(S176=0,(R176+T176)/2,IF(T176=0,(S176+R176)/2,FLOOR(((R176+S176+T176)/3),0.1))))))))</f>
        <v/>
      </c>
      <c r="V176" s="21" t="n"/>
      <c r="W176" s="21" t="n"/>
      <c r="X176" s="27">
        <f>SUM(V176:W176)</f>
        <v/>
      </c>
      <c r="Y176" s="28" t="n"/>
      <c r="Z176" s="28" t="n"/>
      <c r="AA176" s="29">
        <f>IF(AND(X176=0,Y176=0,Z176=0),0,IF(AND(X176=0,Y176=0),Z176/1,IF(AND(X176=0,Z176=0),Y176/1,IF(AND(Y176=0,Z176=0),X176/1,IF(X176=0,FLOOR((Y176+Z176)/2,0.1),IF(Y176=0,(X176+Z176)/2,IF(Z176=0,(Y176+X176)/2,FLOOR(((X176+Y176+Z176)/3),0.1))))))))</f>
        <v/>
      </c>
      <c r="AB176" s="21" t="n"/>
      <c r="AC176" s="21" t="n"/>
      <c r="AD176" s="27">
        <f>SUM(AB176:AC176)</f>
        <v/>
      </c>
      <c r="AE176" s="28" t="n"/>
      <c r="AF176" s="28" t="n"/>
      <c r="AG176" s="29">
        <f>IF(AND(AD176=0,AE176=0,AF176=0),0,IF(AND(AD176=0,AE176=0),AF176/1,IF(AND(AD176=0,AF176=0),AE176/1,IF(AND(AE176=0,AF176=0),AD176/1,IF(AD176=0,FLOOR((AE176+AF176)/2,0.1),IF(AE176=0,(AD176+AF176)/2,IF(AF176=0,(AE176+AD176)/2,FLOOR(((AD176+AE176+AF176)/3),0.1))))))))</f>
        <v/>
      </c>
      <c r="AH176" s="21" t="n"/>
      <c r="AI176" s="21" t="n"/>
      <c r="AJ176" s="27">
        <f>SUM(AH176:AI176)</f>
        <v/>
      </c>
      <c r="AK176" s="28" t="n"/>
      <c r="AL176" s="28" t="n"/>
      <c r="AM176" s="29">
        <f>IF(AND(AJ176=0,AK176=0,AL176=0),0,IF(AND(AJ176=0,AK176=0),AL176/1,IF(AND(AJ176=0,AL176=0),AK176/1,IF(AND(AK176=0,AL176=0),AJ176/1,IF(AJ176=0,FLOOR((AK176+AL176)/2,0.1),IF(AK176=0,(AJ176+AL176)/2,IF(AL176=0,(AK176+AJ176)/2,FLOOR(((AJ176+AK176+AL176)/3),0.1))))))))</f>
        <v/>
      </c>
      <c r="AN176" s="21" t="n"/>
      <c r="AO176" s="21" t="n"/>
      <c r="AP176" s="27">
        <f>SUM(AN176:AO176)</f>
        <v/>
      </c>
      <c r="AQ176" s="28" t="n"/>
      <c r="AR176" s="30" t="n"/>
      <c r="AS176" s="29">
        <f>IF(AND(AP176=0,AQ176=0,AR176=0),0,IF(AND(AP176=0,AQ176=0),AR176/1,IF(AND(AP176=0,AR176=0),AQ176/1,IF(AND(AQ176=0,AR176=0),AP176/1,IF(AP176=0,FLOOR((AQ176+AR176)/2,0.1),IF(AQ176=0,(AP176+AR176)/2,IF(AR176=0,(AQ176+AP176)/2,FLOOR(((AP176+AQ176+AR176)/3),0.1))))))))</f>
        <v/>
      </c>
      <c r="AT176" s="21" t="n"/>
      <c r="AU176" s="21" t="n"/>
      <c r="AV176" s="27">
        <f>SUM(AT176:AU176)</f>
        <v/>
      </c>
      <c r="AW176" s="28" t="n"/>
      <c r="AX176" s="30" t="n"/>
      <c r="AY176" s="29">
        <f>IF(AND(AV176=0,AW176=0,AX176=0),0,IF(AND(AV176=0,AW176=0),AX176/1,IF(AND(AV176=0,AX176=0),AW176/1,IF(AND(AW176=0,AX176=0),AV176/1,IF(AV176=0,FLOOR((AW176+AX176)/2,0.1),IF(AW176=0,(AV176+AX176)/2,IF(AX176=0,(AW176+AV176)/2,FLOOR(((AV176+AW176+AX176)/3),0.1))))))))</f>
        <v/>
      </c>
      <c r="AZ176" s="21" t="n"/>
      <c r="BA176" s="21" t="n"/>
      <c r="BB176" s="27">
        <f>SUM(AZ176:BA176)</f>
        <v/>
      </c>
      <c r="BC176" s="28" t="n"/>
      <c r="BD176" s="28" t="n"/>
      <c r="BE176" s="29">
        <f>IF(AND(BB176=0,BC176=0,BD176=0),0,IF(AND(BB176=0,BC176=0),BD176/1,IF(AND(BB176=0,BD176=0),BC176/1,IF(AND(BC176=0,BD176=0),BB176/1,IF(BB176=0,FLOOR((BC176+BD176)/2,0.1),IF(BC176=0,(BB176+BD176)/2,IF(BD176=0,(BC176+BB176)/2,FLOOR(((BB176+BC176+BD176)/3),0.1))))))))</f>
        <v/>
      </c>
      <c r="BF176" s="21" t="n"/>
      <c r="BG176" s="21" t="n"/>
      <c r="BH176" s="27">
        <f>SUM(BF176:BG176)</f>
        <v/>
      </c>
      <c r="BI176" s="28" t="n"/>
      <c r="BJ176" s="28" t="n"/>
      <c r="BK176" s="29">
        <f>IF(AND(BH176=0,BI176=0,BJ176=0),0,IF(AND(BH176=0,BI176=0),BJ176/1,IF(AND(BH176=0,BJ176=0),BI176/1,IF(AND(BI176=0,BJ176=0),BH176/1,IF(BH176=0,FLOOR((BI176+BJ176)/2,0.1),IF(BI176=0,(BH176+BJ176)/2,IF(BJ176=0,(BI176+BH176)/2,FLOOR(((BH176+BI176+BJ176)/3),0.1))))))))</f>
        <v/>
      </c>
      <c r="BL176" s="21" t="n"/>
      <c r="BM176" s="21" t="n"/>
      <c r="BN176" s="27">
        <f>SUM(BL176:BM176)</f>
        <v/>
      </c>
      <c r="BO176" s="28" t="n"/>
      <c r="BP176" s="31" t="n"/>
      <c r="BQ176" s="29">
        <f>IF(AND(BN176=0,BO176=0,BP176=0),0,IF(AND(BN176=0,BO176=0),BP176/1,IF(AND(BN176=0,BP176=0),BO176/1,IF(AND(BO176=0,BP176=0),BN176/1,IF(BN176=0,FLOOR((BO176+BP176)/2,0.1),IF(BO176=0,(BN176+BP176)/2,IF(BP176=0,(BO176+BN176)/2,FLOOR(((BN176+BO176+BP176)/3),0.1))))))))</f>
        <v/>
      </c>
      <c r="BR176" s="21" t="n"/>
      <c r="BS176" s="21" t="n"/>
      <c r="BT176" s="27">
        <f>SUM(BR176:BS176)</f>
        <v/>
      </c>
      <c r="BU176" s="28" t="n"/>
      <c r="BV176" s="31" t="n"/>
      <c r="BW176" s="29">
        <f>IF(AND(BT176=0,BU176=0,BV176=0),0,IF(AND(BT176=0,BU176=0),BV176/1,IF(AND(BT176=0,BV176=0),BU176/1,IF(AND(BU176=0,BV176=0),BT176/1,IF(BT176=0,FLOOR((BU176+BV176)/2,0.1),IF(BU176=0,(BT176+BV176)/2,IF(BV176=0,(BU176+BT176)/2,FLOOR(((BT176+BU176+BV176)/3),0.1))))))))</f>
        <v/>
      </c>
      <c r="BX176" s="21" t="n"/>
      <c r="BY176" s="21" t="n"/>
      <c r="BZ176" s="27">
        <f>SUM(BX176:BY176)</f>
        <v/>
      </c>
      <c r="CA176" s="28" t="n"/>
      <c r="CB176" s="31" t="n"/>
      <c r="CC176" s="29">
        <f>IF(AND(BZ176=0,CA176=0,CB176=0),0,IF(AND(BZ176=0,CA176=0),CB176/1,IF(AND(BZ176=0,CB176=0),CA176/1,IF(AND(CA176=0,CB176=0),BZ176/1,IF(BZ176=0,FLOOR((CA176+CB176)/2,0.1),IF(CA176=0,(BZ176+CB176)/2,IF(CB176=0,(CA176+BZ176)/2,FLOOR(((BZ176+CA176+CB176)/3),0.1))))))))</f>
        <v/>
      </c>
      <c r="CD176" s="21" t="n"/>
      <c r="CE176" s="21" t="n"/>
      <c r="CF176" s="27">
        <f>SUM(CD176:CE176)</f>
        <v/>
      </c>
      <c r="CG176" s="28" t="n"/>
      <c r="CH176" s="31" t="n"/>
      <c r="CI176" s="29">
        <f>IF(AND(CF176=0,CG176=0,CH176=0),0,IF(AND(CF176=0,CG176=0),CH176/1,IF(AND(CF176=0,CH176=0),CG176/1,IF(AND(CG176=0,CH176=0),CF176/1,IF(CF176=0,FLOOR((CG176+CH176)/2,0.1),IF(CG176=0,(CF176+CH176)/2,IF(CH176=0,(CG176+CF176)/2,FLOOR(((CF176+CG176+CH176)/3),0.1))))))))</f>
        <v/>
      </c>
      <c r="CJ176" s="21" t="n"/>
      <c r="CK176" s="21" t="n"/>
      <c r="CL176" s="27">
        <f>SUM(CJ176:CK176)</f>
        <v/>
      </c>
      <c r="CM176" s="28" t="n"/>
      <c r="CN176" s="31" t="n"/>
      <c r="CO176" s="29">
        <f>IF(AND(CL176=0,CM176=0,CN176=0),0,IF(AND(CL176=0,CM176=0),CN176/1,IF(AND(CL176=0,CN176=0),CM176/1,IF(AND(CM176=0,CN176=0),CL176/1,IF(CL176=0,FLOOR((CM176+CN176)/2,0.1),IF(CM176=0,(CL176+CN176)/2,IF(CN176=0,(CM176+CL176)/2,FLOOR(((CL176+CM176+CN176)/3),0.1))))))))</f>
        <v/>
      </c>
      <c r="CP176" s="21" t="n"/>
      <c r="CQ176" s="21" t="n"/>
      <c r="CR176" s="27">
        <f>SUM(CP176:CQ176)</f>
        <v/>
      </c>
      <c r="CS176" s="28" t="n"/>
      <c r="CT176" s="31" t="n"/>
      <c r="CU176" s="29">
        <f>IF(AND(CR176=0,CS176=0,CT176=0),0,IF(AND(CR176=0,CS176=0),CT176/1,IF(AND(CR176=0,CT176=0),CS176/1,IF(AND(CS176=0,CT176=0),CR176/1,IF(CR176=0,FLOOR((CS176+CT176)/2,0.1),IF(CS176=0,(CR176+CT176)/2,IF(CT176=0,(CS176+CR176)/2,FLOOR(((CR176+CS176+CT176)/3),0.1))))))))</f>
        <v/>
      </c>
      <c r="CV176" s="21" t="n"/>
      <c r="CW176" s="21" t="n"/>
      <c r="CX176" s="27">
        <f>SUM(CV176:CW176)</f>
        <v/>
      </c>
      <c r="CY176" s="28" t="n"/>
      <c r="CZ176" s="31" t="n"/>
      <c r="DA176" s="29">
        <f>IF(AND(CX176=0,CY176=0,CZ176=0),0,IF(AND(CX176=0,CY176=0),CZ176/1,IF(AND(CX176=0,CZ176=0),CY176/1,IF(AND(CY176=0,CZ176=0),CX176/1,IF(CX176=0,FLOOR((CY176+CZ176)/2,0.1),IF(CY176=0,(CX176+CZ176)/2,IF(CZ176=0,(CY176+CX176)/2,FLOOR(((CX176+CY176+CZ176)/3),0.1))))))))</f>
        <v/>
      </c>
      <c r="DB176" s="21" t="n"/>
      <c r="DC176" s="21" t="n"/>
      <c r="DD176" s="27">
        <f>SUM(DB176:DC176)</f>
        <v/>
      </c>
      <c r="DE176" s="28" t="n"/>
      <c r="DF176" s="31" t="n"/>
      <c r="DG176" s="29">
        <f>IF(AND(DD176=0,DE176=0,DF176=0),0,IF(AND(DD176=0,DE176=0),DF176/1,IF(AND(DD176=0,DF176=0),DE176/1,IF(AND(DE176=0,DF176=0),DD176/1,IF(DD176=0,FLOOR((DE176+DF176)/2,0.1),IF(DE176=0,(DD176+DF176)/2,IF(DF176=0,(DE176+DD176)/2,FLOOR(((DD176+DE176+DF176)/3),0.1))))))))</f>
        <v/>
      </c>
      <c r="DH176" s="34">
        <f>SUM(O176,U176,AA176,AG176,AM176,AS176,AY176,BE176,BK176,BQ176,BW176,CC176,CI176,CO176,CU176,DA176,DG176)</f>
        <v/>
      </c>
      <c r="DI176" s="39">
        <f>RANK(DH176,DH$4:DH$503)</f>
        <v/>
      </c>
      <c r="DJ176" s="40" t="inlineStr">
        <is>
          <t>CHOOSE RATING</t>
        </is>
      </c>
      <c r="DK176" s="40" t="inlineStr">
        <is>
          <t>CHOOSE RATING</t>
        </is>
      </c>
      <c r="DL176" s="40" t="inlineStr">
        <is>
          <t>CHOOSE RATING</t>
        </is>
      </c>
      <c r="DM176" s="40" t="inlineStr">
        <is>
          <t>CHOOSE RATING</t>
        </is>
      </c>
      <c r="DN176" s="40" t="inlineStr">
        <is>
          <t>CHOOSE RATING</t>
        </is>
      </c>
      <c r="DO176" s="40" t="inlineStr">
        <is>
          <t>CHOOSE RATING</t>
        </is>
      </c>
      <c r="DP176" s="40" t="inlineStr">
        <is>
          <t>CHOOSE RATING</t>
        </is>
      </c>
      <c r="DQ176" s="40" t="inlineStr">
        <is>
          <t>CHOOSE RATING</t>
        </is>
      </c>
      <c r="DR176" s="43" t="inlineStr">
        <is>
          <t>2024/2025</t>
        </is>
      </c>
      <c r="DS176" s="45" t="inlineStr">
        <is>
          <t>THIRD</t>
        </is>
      </c>
      <c r="DT176" s="40" t="inlineStr">
        <is>
          <t>CHOOSE RATING</t>
        </is>
      </c>
      <c r="DU176" s="40" t="inlineStr">
        <is>
          <t>CHOOSE RATING</t>
        </is>
      </c>
      <c r="DV176" s="40" t="inlineStr">
        <is>
          <t>CHOOSE RATING</t>
        </is>
      </c>
      <c r="DW176" s="40" t="inlineStr">
        <is>
          <t>CHOOSE RATING</t>
        </is>
      </c>
      <c r="DX176" s="40" t="inlineStr">
        <is>
          <t>CHOOSE RATING</t>
        </is>
      </c>
      <c r="DY176" s="40" t="inlineStr">
        <is>
          <t>CHOOSE RATING</t>
        </is>
      </c>
      <c r="DZ176" s="53" t="inlineStr">
        <is>
          <t>CHOOSE RATING</t>
        </is>
      </c>
      <c r="EA176" s="54" t="inlineStr">
        <is>
          <t>Add the Tutor's Comment . . .</t>
        </is>
      </c>
      <c r="EB176" s="55" t="inlineStr">
        <is>
          <t>Choose Principals comment</t>
        </is>
      </c>
      <c r="EC176" s="56" t="n"/>
      <c r="ED176" s="57" t="inlineStr">
        <is>
          <t>Next Term Begins on Monday, 22nd September, 2025</t>
        </is>
      </c>
    </row>
    <row r="177" ht="30.6" customHeight="1" s="6">
      <c r="A177" s="18" t="n">
        <v>174</v>
      </c>
      <c r="B177" s="19" t="n"/>
      <c r="C177" s="20" t="n"/>
      <c r="D177" s="128" t="n"/>
      <c r="E177" s="21" t="n"/>
      <c r="F177" s="22" t="n"/>
      <c r="G177" s="22" t="n"/>
      <c r="H177" s="22" t="n"/>
      <c r="I177" s="26">
        <f>G177-H177</f>
        <v/>
      </c>
      <c r="J177" s="21" t="n"/>
      <c r="K177" s="21" t="n"/>
      <c r="L177" s="27">
        <f>SUM(J177:K177)</f>
        <v/>
      </c>
      <c r="M177" s="28" t="n"/>
      <c r="N177" s="28" t="n"/>
      <c r="O177" s="29">
        <f>IF(AND(L177=0,M177=0,N177=0),0,IF(AND(L177=0,M177=0),N177/1,IF(AND(L177=0,N177=0),M177/1,IF(AND(M177=0,N177=0),L177/1,IF(L177=0,FLOOR((M177+N177)/2,0.1),IF(M177=0,(L177+N177)/2,IF(N177=0,(M177+L177)/2,FLOOR(((L177+M177+N177)/3),0.1))))))))</f>
        <v/>
      </c>
      <c r="P177" s="21" t="n"/>
      <c r="Q177" s="21" t="n"/>
      <c r="R177" s="27">
        <f>SUM(P177:Q177)</f>
        <v/>
      </c>
      <c r="S177" s="28" t="n"/>
      <c r="T177" s="28" t="n"/>
      <c r="U177" s="29">
        <f>IF(AND(R177=0,S177=0,T177=0),0,IF(AND(R177=0,S177=0),T177/1,IF(AND(R177=0,T177=0),S177/1,IF(AND(S177=0,T177=0),R177/1,IF(R177=0,FLOOR((S177+T177)/2,0.1),IF(S177=0,(R177+T177)/2,IF(T177=0,(S177+R177)/2,FLOOR(((R177+S177+T177)/3),0.1))))))))</f>
        <v/>
      </c>
      <c r="V177" s="21" t="n"/>
      <c r="W177" s="21" t="n"/>
      <c r="X177" s="27">
        <f>SUM(V177:W177)</f>
        <v/>
      </c>
      <c r="Y177" s="28" t="n"/>
      <c r="Z177" s="28" t="n"/>
      <c r="AA177" s="29">
        <f>IF(AND(X177=0,Y177=0,Z177=0),0,IF(AND(X177=0,Y177=0),Z177/1,IF(AND(X177=0,Z177=0),Y177/1,IF(AND(Y177=0,Z177=0),X177/1,IF(X177=0,FLOOR((Y177+Z177)/2,0.1),IF(Y177=0,(X177+Z177)/2,IF(Z177=0,(Y177+X177)/2,FLOOR(((X177+Y177+Z177)/3),0.1))))))))</f>
        <v/>
      </c>
      <c r="AB177" s="21" t="n"/>
      <c r="AC177" s="21" t="n"/>
      <c r="AD177" s="27">
        <f>SUM(AB177:AC177)</f>
        <v/>
      </c>
      <c r="AE177" s="28" t="n"/>
      <c r="AF177" s="28" t="n"/>
      <c r="AG177" s="29">
        <f>IF(AND(AD177=0,AE177=0,AF177=0),0,IF(AND(AD177=0,AE177=0),AF177/1,IF(AND(AD177=0,AF177=0),AE177/1,IF(AND(AE177=0,AF177=0),AD177/1,IF(AD177=0,FLOOR((AE177+AF177)/2,0.1),IF(AE177=0,(AD177+AF177)/2,IF(AF177=0,(AE177+AD177)/2,FLOOR(((AD177+AE177+AF177)/3),0.1))))))))</f>
        <v/>
      </c>
      <c r="AH177" s="21" t="n"/>
      <c r="AI177" s="21" t="n"/>
      <c r="AJ177" s="27">
        <f>SUM(AH177:AI177)</f>
        <v/>
      </c>
      <c r="AK177" s="28" t="n"/>
      <c r="AL177" s="28" t="n"/>
      <c r="AM177" s="29">
        <f>IF(AND(AJ177=0,AK177=0,AL177=0),0,IF(AND(AJ177=0,AK177=0),AL177/1,IF(AND(AJ177=0,AL177=0),AK177/1,IF(AND(AK177=0,AL177=0),AJ177/1,IF(AJ177=0,FLOOR((AK177+AL177)/2,0.1),IF(AK177=0,(AJ177+AL177)/2,IF(AL177=0,(AK177+AJ177)/2,FLOOR(((AJ177+AK177+AL177)/3),0.1))))))))</f>
        <v/>
      </c>
      <c r="AN177" s="21" t="n"/>
      <c r="AO177" s="21" t="n"/>
      <c r="AP177" s="27">
        <f>SUM(AN177:AO177)</f>
        <v/>
      </c>
      <c r="AQ177" s="28" t="n"/>
      <c r="AR177" s="30" t="n"/>
      <c r="AS177" s="29">
        <f>IF(AND(AP177=0,AQ177=0,AR177=0),0,IF(AND(AP177=0,AQ177=0),AR177/1,IF(AND(AP177=0,AR177=0),AQ177/1,IF(AND(AQ177=0,AR177=0),AP177/1,IF(AP177=0,FLOOR((AQ177+AR177)/2,0.1),IF(AQ177=0,(AP177+AR177)/2,IF(AR177=0,(AQ177+AP177)/2,FLOOR(((AP177+AQ177+AR177)/3),0.1))))))))</f>
        <v/>
      </c>
      <c r="AT177" s="21" t="n"/>
      <c r="AU177" s="21" t="n"/>
      <c r="AV177" s="27">
        <f>SUM(AT177:AU177)</f>
        <v/>
      </c>
      <c r="AW177" s="28" t="n"/>
      <c r="AX177" s="30" t="n"/>
      <c r="AY177" s="29">
        <f>IF(AND(AV177=0,AW177=0,AX177=0),0,IF(AND(AV177=0,AW177=0),AX177/1,IF(AND(AV177=0,AX177=0),AW177/1,IF(AND(AW177=0,AX177=0),AV177/1,IF(AV177=0,FLOOR((AW177+AX177)/2,0.1),IF(AW177=0,(AV177+AX177)/2,IF(AX177=0,(AW177+AV177)/2,FLOOR(((AV177+AW177+AX177)/3),0.1))))))))</f>
        <v/>
      </c>
      <c r="AZ177" s="21" t="n"/>
      <c r="BA177" s="21" t="n"/>
      <c r="BB177" s="27">
        <f>SUM(AZ177:BA177)</f>
        <v/>
      </c>
      <c r="BC177" s="28" t="n"/>
      <c r="BD177" s="28" t="n"/>
      <c r="BE177" s="29">
        <f>IF(AND(BB177=0,BC177=0,BD177=0),0,IF(AND(BB177=0,BC177=0),BD177/1,IF(AND(BB177=0,BD177=0),BC177/1,IF(AND(BC177=0,BD177=0),BB177/1,IF(BB177=0,FLOOR((BC177+BD177)/2,0.1),IF(BC177=0,(BB177+BD177)/2,IF(BD177=0,(BC177+BB177)/2,FLOOR(((BB177+BC177+BD177)/3),0.1))))))))</f>
        <v/>
      </c>
      <c r="BF177" s="21" t="n"/>
      <c r="BG177" s="21" t="n"/>
      <c r="BH177" s="27">
        <f>SUM(BF177:BG177)</f>
        <v/>
      </c>
      <c r="BI177" s="28" t="n"/>
      <c r="BJ177" s="28" t="n"/>
      <c r="BK177" s="29">
        <f>IF(AND(BH177=0,BI177=0,BJ177=0),0,IF(AND(BH177=0,BI177=0),BJ177/1,IF(AND(BH177=0,BJ177=0),BI177/1,IF(AND(BI177=0,BJ177=0),BH177/1,IF(BH177=0,FLOOR((BI177+BJ177)/2,0.1),IF(BI177=0,(BH177+BJ177)/2,IF(BJ177=0,(BI177+BH177)/2,FLOOR(((BH177+BI177+BJ177)/3),0.1))))))))</f>
        <v/>
      </c>
      <c r="BL177" s="21" t="n"/>
      <c r="BM177" s="21" t="n"/>
      <c r="BN177" s="27">
        <f>SUM(BL177:BM177)</f>
        <v/>
      </c>
      <c r="BO177" s="28" t="n"/>
      <c r="BP177" s="31" t="n"/>
      <c r="BQ177" s="29">
        <f>IF(AND(BN177=0,BO177=0,BP177=0),0,IF(AND(BN177=0,BO177=0),BP177/1,IF(AND(BN177=0,BP177=0),BO177/1,IF(AND(BO177=0,BP177=0),BN177/1,IF(BN177=0,FLOOR((BO177+BP177)/2,0.1),IF(BO177=0,(BN177+BP177)/2,IF(BP177=0,(BO177+BN177)/2,FLOOR(((BN177+BO177+BP177)/3),0.1))))))))</f>
        <v/>
      </c>
      <c r="BR177" s="21" t="n"/>
      <c r="BS177" s="21" t="n"/>
      <c r="BT177" s="27">
        <f>SUM(BR177:BS177)</f>
        <v/>
      </c>
      <c r="BU177" s="28" t="n"/>
      <c r="BV177" s="31" t="n"/>
      <c r="BW177" s="29">
        <f>IF(AND(BT177=0,BU177=0,BV177=0),0,IF(AND(BT177=0,BU177=0),BV177/1,IF(AND(BT177=0,BV177=0),BU177/1,IF(AND(BU177=0,BV177=0),BT177/1,IF(BT177=0,FLOOR((BU177+BV177)/2,0.1),IF(BU177=0,(BT177+BV177)/2,IF(BV177=0,(BU177+BT177)/2,FLOOR(((BT177+BU177+BV177)/3),0.1))))))))</f>
        <v/>
      </c>
      <c r="BX177" s="21" t="n"/>
      <c r="BY177" s="21" t="n"/>
      <c r="BZ177" s="27">
        <f>SUM(BX177:BY177)</f>
        <v/>
      </c>
      <c r="CA177" s="28" t="n"/>
      <c r="CB177" s="31" t="n"/>
      <c r="CC177" s="29">
        <f>IF(AND(BZ177=0,CA177=0,CB177=0),0,IF(AND(BZ177=0,CA177=0),CB177/1,IF(AND(BZ177=0,CB177=0),CA177/1,IF(AND(CA177=0,CB177=0),BZ177/1,IF(BZ177=0,FLOOR((CA177+CB177)/2,0.1),IF(CA177=0,(BZ177+CB177)/2,IF(CB177=0,(CA177+BZ177)/2,FLOOR(((BZ177+CA177+CB177)/3),0.1))))))))</f>
        <v/>
      </c>
      <c r="CD177" s="21" t="n"/>
      <c r="CE177" s="21" t="n"/>
      <c r="CF177" s="27">
        <f>SUM(CD177:CE177)</f>
        <v/>
      </c>
      <c r="CG177" s="28" t="n"/>
      <c r="CH177" s="31" t="n"/>
      <c r="CI177" s="29">
        <f>IF(AND(CF177=0,CG177=0,CH177=0),0,IF(AND(CF177=0,CG177=0),CH177/1,IF(AND(CF177=0,CH177=0),CG177/1,IF(AND(CG177=0,CH177=0),CF177/1,IF(CF177=0,FLOOR((CG177+CH177)/2,0.1),IF(CG177=0,(CF177+CH177)/2,IF(CH177=0,(CG177+CF177)/2,FLOOR(((CF177+CG177+CH177)/3),0.1))))))))</f>
        <v/>
      </c>
      <c r="CJ177" s="21" t="n"/>
      <c r="CK177" s="21" t="n"/>
      <c r="CL177" s="27">
        <f>SUM(CJ177:CK177)</f>
        <v/>
      </c>
      <c r="CM177" s="28" t="n"/>
      <c r="CN177" s="31" t="n"/>
      <c r="CO177" s="29">
        <f>IF(AND(CL177=0,CM177=0,CN177=0),0,IF(AND(CL177=0,CM177=0),CN177/1,IF(AND(CL177=0,CN177=0),CM177/1,IF(AND(CM177=0,CN177=0),CL177/1,IF(CL177=0,FLOOR((CM177+CN177)/2,0.1),IF(CM177=0,(CL177+CN177)/2,IF(CN177=0,(CM177+CL177)/2,FLOOR(((CL177+CM177+CN177)/3),0.1))))))))</f>
        <v/>
      </c>
      <c r="CP177" s="21" t="n"/>
      <c r="CQ177" s="21" t="n"/>
      <c r="CR177" s="27">
        <f>SUM(CP177:CQ177)</f>
        <v/>
      </c>
      <c r="CS177" s="28" t="n"/>
      <c r="CT177" s="31" t="n"/>
      <c r="CU177" s="29">
        <f>IF(AND(CR177=0,CS177=0,CT177=0),0,IF(AND(CR177=0,CS177=0),CT177/1,IF(AND(CR177=0,CT177=0),CS177/1,IF(AND(CS177=0,CT177=0),CR177/1,IF(CR177=0,FLOOR((CS177+CT177)/2,0.1),IF(CS177=0,(CR177+CT177)/2,IF(CT177=0,(CS177+CR177)/2,FLOOR(((CR177+CS177+CT177)/3),0.1))))))))</f>
        <v/>
      </c>
      <c r="CV177" s="21" t="n"/>
      <c r="CW177" s="21" t="n"/>
      <c r="CX177" s="27">
        <f>SUM(CV177:CW177)</f>
        <v/>
      </c>
      <c r="CY177" s="28" t="n"/>
      <c r="CZ177" s="31" t="n"/>
      <c r="DA177" s="29">
        <f>IF(AND(CX177=0,CY177=0,CZ177=0),0,IF(AND(CX177=0,CY177=0),CZ177/1,IF(AND(CX177=0,CZ177=0),CY177/1,IF(AND(CY177=0,CZ177=0),CX177/1,IF(CX177=0,FLOOR((CY177+CZ177)/2,0.1),IF(CY177=0,(CX177+CZ177)/2,IF(CZ177=0,(CY177+CX177)/2,FLOOR(((CX177+CY177+CZ177)/3),0.1))))))))</f>
        <v/>
      </c>
      <c r="DB177" s="21" t="n"/>
      <c r="DC177" s="21" t="n"/>
      <c r="DD177" s="27">
        <f>SUM(DB177:DC177)</f>
        <v/>
      </c>
      <c r="DE177" s="28" t="n"/>
      <c r="DF177" s="31" t="n"/>
      <c r="DG177" s="29">
        <f>IF(AND(DD177=0,DE177=0,DF177=0),0,IF(AND(DD177=0,DE177=0),DF177/1,IF(AND(DD177=0,DF177=0),DE177/1,IF(AND(DE177=0,DF177=0),DD177/1,IF(DD177=0,FLOOR((DE177+DF177)/2,0.1),IF(DE177=0,(DD177+DF177)/2,IF(DF177=0,(DE177+DD177)/2,FLOOR(((DD177+DE177+DF177)/3),0.1))))))))</f>
        <v/>
      </c>
      <c r="DH177" s="34">
        <f>SUM(O177,U177,AA177,AG177,AM177,AS177,AY177,BE177,BK177,BQ177,BW177,CC177,CI177,CO177,CU177,DA177,DG177)</f>
        <v/>
      </c>
      <c r="DI177" s="39">
        <f>RANK(DH177,DH$4:DH$503)</f>
        <v/>
      </c>
      <c r="DJ177" s="40" t="inlineStr">
        <is>
          <t>CHOOSE RATING</t>
        </is>
      </c>
      <c r="DK177" s="40" t="inlineStr">
        <is>
          <t>CHOOSE RATING</t>
        </is>
      </c>
      <c r="DL177" s="40" t="inlineStr">
        <is>
          <t>CHOOSE RATING</t>
        </is>
      </c>
      <c r="DM177" s="40" t="inlineStr">
        <is>
          <t>CHOOSE RATING</t>
        </is>
      </c>
      <c r="DN177" s="40" t="inlineStr">
        <is>
          <t>CHOOSE RATING</t>
        </is>
      </c>
      <c r="DO177" s="40" t="inlineStr">
        <is>
          <t>CHOOSE RATING</t>
        </is>
      </c>
      <c r="DP177" s="40" t="inlineStr">
        <is>
          <t>CHOOSE RATING</t>
        </is>
      </c>
      <c r="DQ177" s="40" t="inlineStr">
        <is>
          <t>CHOOSE RATING</t>
        </is>
      </c>
      <c r="DR177" s="43" t="inlineStr">
        <is>
          <t>2024/2025</t>
        </is>
      </c>
      <c r="DS177" s="45" t="inlineStr">
        <is>
          <t>THIRD</t>
        </is>
      </c>
      <c r="DT177" s="40" t="inlineStr">
        <is>
          <t>CHOOSE RATING</t>
        </is>
      </c>
      <c r="DU177" s="40" t="inlineStr">
        <is>
          <t>CHOOSE RATING</t>
        </is>
      </c>
      <c r="DV177" s="40" t="inlineStr">
        <is>
          <t>CHOOSE RATING</t>
        </is>
      </c>
      <c r="DW177" s="40" t="inlineStr">
        <is>
          <t>CHOOSE RATING</t>
        </is>
      </c>
      <c r="DX177" s="40" t="inlineStr">
        <is>
          <t>CHOOSE RATING</t>
        </is>
      </c>
      <c r="DY177" s="40" t="inlineStr">
        <is>
          <t>CHOOSE RATING</t>
        </is>
      </c>
      <c r="DZ177" s="53" t="inlineStr">
        <is>
          <t>CHOOSE RATING</t>
        </is>
      </c>
      <c r="EA177" s="54" t="inlineStr">
        <is>
          <t>Add the Tutor's Comment . . .</t>
        </is>
      </c>
      <c r="EB177" s="55" t="inlineStr">
        <is>
          <t>Choose Principals comment</t>
        </is>
      </c>
      <c r="EC177" s="56" t="n"/>
      <c r="ED177" s="57" t="inlineStr">
        <is>
          <t>Next Term Begins on Monday, 22nd September, 2025</t>
        </is>
      </c>
    </row>
    <row r="178" ht="30.6" customHeight="1" s="6">
      <c r="A178" s="18" t="n">
        <v>175</v>
      </c>
      <c r="B178" s="19" t="n"/>
      <c r="C178" s="20" t="n"/>
      <c r="D178" s="128" t="n"/>
      <c r="E178" s="21" t="n"/>
      <c r="F178" s="22" t="n"/>
      <c r="G178" s="22" t="n"/>
      <c r="H178" s="22" t="n"/>
      <c r="I178" s="26">
        <f>G178-H178</f>
        <v/>
      </c>
      <c r="J178" s="21" t="n"/>
      <c r="K178" s="21" t="n"/>
      <c r="L178" s="27">
        <f>SUM(J178:K178)</f>
        <v/>
      </c>
      <c r="M178" s="28" t="n"/>
      <c r="N178" s="28" t="n"/>
      <c r="O178" s="29">
        <f>IF(AND(L178=0,M178=0,N178=0),0,IF(AND(L178=0,M178=0),N178/1,IF(AND(L178=0,N178=0),M178/1,IF(AND(M178=0,N178=0),L178/1,IF(L178=0,FLOOR((M178+N178)/2,0.1),IF(M178=0,(L178+N178)/2,IF(N178=0,(M178+L178)/2,FLOOR(((L178+M178+N178)/3),0.1))))))))</f>
        <v/>
      </c>
      <c r="P178" s="21" t="n"/>
      <c r="Q178" s="21" t="n"/>
      <c r="R178" s="27">
        <f>SUM(P178:Q178)</f>
        <v/>
      </c>
      <c r="S178" s="28" t="n"/>
      <c r="T178" s="28" t="n"/>
      <c r="U178" s="29">
        <f>IF(AND(R178=0,S178=0,T178=0),0,IF(AND(R178=0,S178=0),T178/1,IF(AND(R178=0,T178=0),S178/1,IF(AND(S178=0,T178=0),R178/1,IF(R178=0,FLOOR((S178+T178)/2,0.1),IF(S178=0,(R178+T178)/2,IF(T178=0,(S178+R178)/2,FLOOR(((R178+S178+T178)/3),0.1))))))))</f>
        <v/>
      </c>
      <c r="V178" s="21" t="n"/>
      <c r="W178" s="21" t="n"/>
      <c r="X178" s="27">
        <f>SUM(V178:W178)</f>
        <v/>
      </c>
      <c r="Y178" s="28" t="n"/>
      <c r="Z178" s="28" t="n"/>
      <c r="AA178" s="29">
        <f>IF(AND(X178=0,Y178=0,Z178=0),0,IF(AND(X178=0,Y178=0),Z178/1,IF(AND(X178=0,Z178=0),Y178/1,IF(AND(Y178=0,Z178=0),X178/1,IF(X178=0,FLOOR((Y178+Z178)/2,0.1),IF(Y178=0,(X178+Z178)/2,IF(Z178=0,(Y178+X178)/2,FLOOR(((X178+Y178+Z178)/3),0.1))))))))</f>
        <v/>
      </c>
      <c r="AB178" s="21" t="n"/>
      <c r="AC178" s="21" t="n"/>
      <c r="AD178" s="27">
        <f>SUM(AB178:AC178)</f>
        <v/>
      </c>
      <c r="AE178" s="28" t="n"/>
      <c r="AF178" s="28" t="n"/>
      <c r="AG178" s="29">
        <f>IF(AND(AD178=0,AE178=0,AF178=0),0,IF(AND(AD178=0,AE178=0),AF178/1,IF(AND(AD178=0,AF178=0),AE178/1,IF(AND(AE178=0,AF178=0),AD178/1,IF(AD178=0,FLOOR((AE178+AF178)/2,0.1),IF(AE178=0,(AD178+AF178)/2,IF(AF178=0,(AE178+AD178)/2,FLOOR(((AD178+AE178+AF178)/3),0.1))))))))</f>
        <v/>
      </c>
      <c r="AH178" s="21" t="n"/>
      <c r="AI178" s="21" t="n"/>
      <c r="AJ178" s="27">
        <f>SUM(AH178:AI178)</f>
        <v/>
      </c>
      <c r="AK178" s="28" t="n"/>
      <c r="AL178" s="28" t="n"/>
      <c r="AM178" s="29">
        <f>IF(AND(AJ178=0,AK178=0,AL178=0),0,IF(AND(AJ178=0,AK178=0),AL178/1,IF(AND(AJ178=0,AL178=0),AK178/1,IF(AND(AK178=0,AL178=0),AJ178/1,IF(AJ178=0,FLOOR((AK178+AL178)/2,0.1),IF(AK178=0,(AJ178+AL178)/2,IF(AL178=0,(AK178+AJ178)/2,FLOOR(((AJ178+AK178+AL178)/3),0.1))))))))</f>
        <v/>
      </c>
      <c r="AN178" s="21" t="n"/>
      <c r="AO178" s="21" t="n"/>
      <c r="AP178" s="27">
        <f>SUM(AN178:AO178)</f>
        <v/>
      </c>
      <c r="AQ178" s="28" t="n"/>
      <c r="AR178" s="30" t="n"/>
      <c r="AS178" s="29">
        <f>IF(AND(AP178=0,AQ178=0,AR178=0),0,IF(AND(AP178=0,AQ178=0),AR178/1,IF(AND(AP178=0,AR178=0),AQ178/1,IF(AND(AQ178=0,AR178=0),AP178/1,IF(AP178=0,FLOOR((AQ178+AR178)/2,0.1),IF(AQ178=0,(AP178+AR178)/2,IF(AR178=0,(AQ178+AP178)/2,FLOOR(((AP178+AQ178+AR178)/3),0.1))))))))</f>
        <v/>
      </c>
      <c r="AT178" s="21" t="n"/>
      <c r="AU178" s="21" t="n"/>
      <c r="AV178" s="27">
        <f>SUM(AT178:AU178)</f>
        <v/>
      </c>
      <c r="AW178" s="28" t="n"/>
      <c r="AX178" s="30" t="n"/>
      <c r="AY178" s="29">
        <f>IF(AND(AV178=0,AW178=0,AX178=0),0,IF(AND(AV178=0,AW178=0),AX178/1,IF(AND(AV178=0,AX178=0),AW178/1,IF(AND(AW178=0,AX178=0),AV178/1,IF(AV178=0,FLOOR((AW178+AX178)/2,0.1),IF(AW178=0,(AV178+AX178)/2,IF(AX178=0,(AW178+AV178)/2,FLOOR(((AV178+AW178+AX178)/3),0.1))))))))</f>
        <v/>
      </c>
      <c r="AZ178" s="21" t="n"/>
      <c r="BA178" s="21" t="n"/>
      <c r="BB178" s="27">
        <f>SUM(AZ178:BA178)</f>
        <v/>
      </c>
      <c r="BC178" s="28" t="n"/>
      <c r="BD178" s="28" t="n"/>
      <c r="BE178" s="29">
        <f>IF(AND(BB178=0,BC178=0,BD178=0),0,IF(AND(BB178=0,BC178=0),BD178/1,IF(AND(BB178=0,BD178=0),BC178/1,IF(AND(BC178=0,BD178=0),BB178/1,IF(BB178=0,FLOOR((BC178+BD178)/2,0.1),IF(BC178=0,(BB178+BD178)/2,IF(BD178=0,(BC178+BB178)/2,FLOOR(((BB178+BC178+BD178)/3),0.1))))))))</f>
        <v/>
      </c>
      <c r="BF178" s="21" t="n"/>
      <c r="BG178" s="21" t="n"/>
      <c r="BH178" s="27">
        <f>SUM(BF178:BG178)</f>
        <v/>
      </c>
      <c r="BI178" s="28" t="n"/>
      <c r="BJ178" s="28" t="n"/>
      <c r="BK178" s="29">
        <f>IF(AND(BH178=0,BI178=0,BJ178=0),0,IF(AND(BH178=0,BI178=0),BJ178/1,IF(AND(BH178=0,BJ178=0),BI178/1,IF(AND(BI178=0,BJ178=0),BH178/1,IF(BH178=0,FLOOR((BI178+BJ178)/2,0.1),IF(BI178=0,(BH178+BJ178)/2,IF(BJ178=0,(BI178+BH178)/2,FLOOR(((BH178+BI178+BJ178)/3),0.1))))))))</f>
        <v/>
      </c>
      <c r="BL178" s="21" t="n"/>
      <c r="BM178" s="21" t="n"/>
      <c r="BN178" s="27">
        <f>SUM(BL178:BM178)</f>
        <v/>
      </c>
      <c r="BO178" s="28" t="n"/>
      <c r="BP178" s="31" t="n"/>
      <c r="BQ178" s="29">
        <f>IF(AND(BN178=0,BO178=0,BP178=0),0,IF(AND(BN178=0,BO178=0),BP178/1,IF(AND(BN178=0,BP178=0),BO178/1,IF(AND(BO178=0,BP178=0),BN178/1,IF(BN178=0,FLOOR((BO178+BP178)/2,0.1),IF(BO178=0,(BN178+BP178)/2,IF(BP178=0,(BO178+BN178)/2,FLOOR(((BN178+BO178+BP178)/3),0.1))))))))</f>
        <v/>
      </c>
      <c r="BR178" s="21" t="n"/>
      <c r="BS178" s="21" t="n"/>
      <c r="BT178" s="27">
        <f>SUM(BR178:BS178)</f>
        <v/>
      </c>
      <c r="BU178" s="28" t="n"/>
      <c r="BV178" s="31" t="n"/>
      <c r="BW178" s="29">
        <f>IF(AND(BT178=0,BU178=0,BV178=0),0,IF(AND(BT178=0,BU178=0),BV178/1,IF(AND(BT178=0,BV178=0),BU178/1,IF(AND(BU178=0,BV178=0),BT178/1,IF(BT178=0,FLOOR((BU178+BV178)/2,0.1),IF(BU178=0,(BT178+BV178)/2,IF(BV178=0,(BU178+BT178)/2,FLOOR(((BT178+BU178+BV178)/3),0.1))))))))</f>
        <v/>
      </c>
      <c r="BX178" s="21" t="n"/>
      <c r="BY178" s="21" t="n"/>
      <c r="BZ178" s="27">
        <f>SUM(BX178:BY178)</f>
        <v/>
      </c>
      <c r="CA178" s="28" t="n"/>
      <c r="CB178" s="31" t="n"/>
      <c r="CC178" s="29">
        <f>IF(AND(BZ178=0,CA178=0,CB178=0),0,IF(AND(BZ178=0,CA178=0),CB178/1,IF(AND(BZ178=0,CB178=0),CA178/1,IF(AND(CA178=0,CB178=0),BZ178/1,IF(BZ178=0,FLOOR((CA178+CB178)/2,0.1),IF(CA178=0,(BZ178+CB178)/2,IF(CB178=0,(CA178+BZ178)/2,FLOOR(((BZ178+CA178+CB178)/3),0.1))))))))</f>
        <v/>
      </c>
      <c r="CD178" s="21" t="n"/>
      <c r="CE178" s="21" t="n"/>
      <c r="CF178" s="27">
        <f>SUM(CD178:CE178)</f>
        <v/>
      </c>
      <c r="CG178" s="28" t="n"/>
      <c r="CH178" s="31" t="n"/>
      <c r="CI178" s="29">
        <f>IF(AND(CF178=0,CG178=0,CH178=0),0,IF(AND(CF178=0,CG178=0),CH178/1,IF(AND(CF178=0,CH178=0),CG178/1,IF(AND(CG178=0,CH178=0),CF178/1,IF(CF178=0,FLOOR((CG178+CH178)/2,0.1),IF(CG178=0,(CF178+CH178)/2,IF(CH178=0,(CG178+CF178)/2,FLOOR(((CF178+CG178+CH178)/3),0.1))))))))</f>
        <v/>
      </c>
      <c r="CJ178" s="21" t="n"/>
      <c r="CK178" s="21" t="n"/>
      <c r="CL178" s="27">
        <f>SUM(CJ178:CK178)</f>
        <v/>
      </c>
      <c r="CM178" s="28" t="n"/>
      <c r="CN178" s="31" t="n"/>
      <c r="CO178" s="29">
        <f>IF(AND(CL178=0,CM178=0,CN178=0),0,IF(AND(CL178=0,CM178=0),CN178/1,IF(AND(CL178=0,CN178=0),CM178/1,IF(AND(CM178=0,CN178=0),CL178/1,IF(CL178=0,FLOOR((CM178+CN178)/2,0.1),IF(CM178=0,(CL178+CN178)/2,IF(CN178=0,(CM178+CL178)/2,FLOOR(((CL178+CM178+CN178)/3),0.1))))))))</f>
        <v/>
      </c>
      <c r="CP178" s="21" t="n"/>
      <c r="CQ178" s="21" t="n"/>
      <c r="CR178" s="27">
        <f>SUM(CP178:CQ178)</f>
        <v/>
      </c>
      <c r="CS178" s="28" t="n"/>
      <c r="CT178" s="31" t="n"/>
      <c r="CU178" s="29">
        <f>IF(AND(CR178=0,CS178=0,CT178=0),0,IF(AND(CR178=0,CS178=0),CT178/1,IF(AND(CR178=0,CT178=0),CS178/1,IF(AND(CS178=0,CT178=0),CR178/1,IF(CR178=0,FLOOR((CS178+CT178)/2,0.1),IF(CS178=0,(CR178+CT178)/2,IF(CT178=0,(CS178+CR178)/2,FLOOR(((CR178+CS178+CT178)/3),0.1))))))))</f>
        <v/>
      </c>
      <c r="CV178" s="21" t="n"/>
      <c r="CW178" s="21" t="n"/>
      <c r="CX178" s="27">
        <f>SUM(CV178:CW178)</f>
        <v/>
      </c>
      <c r="CY178" s="28" t="n"/>
      <c r="CZ178" s="31" t="n"/>
      <c r="DA178" s="29">
        <f>IF(AND(CX178=0,CY178=0,CZ178=0),0,IF(AND(CX178=0,CY178=0),CZ178/1,IF(AND(CX178=0,CZ178=0),CY178/1,IF(AND(CY178=0,CZ178=0),CX178/1,IF(CX178=0,FLOOR((CY178+CZ178)/2,0.1),IF(CY178=0,(CX178+CZ178)/2,IF(CZ178=0,(CY178+CX178)/2,FLOOR(((CX178+CY178+CZ178)/3),0.1))))))))</f>
        <v/>
      </c>
      <c r="DB178" s="21" t="n"/>
      <c r="DC178" s="21" t="n"/>
      <c r="DD178" s="27">
        <f>SUM(DB178:DC178)</f>
        <v/>
      </c>
      <c r="DE178" s="28" t="n"/>
      <c r="DF178" s="31" t="n"/>
      <c r="DG178" s="29">
        <f>IF(AND(DD178=0,DE178=0,DF178=0),0,IF(AND(DD178=0,DE178=0),DF178/1,IF(AND(DD178=0,DF178=0),DE178/1,IF(AND(DE178=0,DF178=0),DD178/1,IF(DD178=0,FLOOR((DE178+DF178)/2,0.1),IF(DE178=0,(DD178+DF178)/2,IF(DF178=0,(DE178+DD178)/2,FLOOR(((DD178+DE178+DF178)/3),0.1))))))))</f>
        <v/>
      </c>
      <c r="DH178" s="34">
        <f>SUM(O178,U178,AA178,AG178,AM178,AS178,AY178,BE178,BK178,BQ178,BW178,CC178,CI178,CO178,CU178,DA178,DG178)</f>
        <v/>
      </c>
      <c r="DI178" s="39">
        <f>RANK(DH178,DH$4:DH$503)</f>
        <v/>
      </c>
      <c r="DJ178" s="40" t="inlineStr">
        <is>
          <t>CHOOSE RATING</t>
        </is>
      </c>
      <c r="DK178" s="40" t="inlineStr">
        <is>
          <t>CHOOSE RATING</t>
        </is>
      </c>
      <c r="DL178" s="40" t="inlineStr">
        <is>
          <t>CHOOSE RATING</t>
        </is>
      </c>
      <c r="DM178" s="40" t="inlineStr">
        <is>
          <t>CHOOSE RATING</t>
        </is>
      </c>
      <c r="DN178" s="40" t="inlineStr">
        <is>
          <t>CHOOSE RATING</t>
        </is>
      </c>
      <c r="DO178" s="40" t="inlineStr">
        <is>
          <t>CHOOSE RATING</t>
        </is>
      </c>
      <c r="DP178" s="40" t="inlineStr">
        <is>
          <t>CHOOSE RATING</t>
        </is>
      </c>
      <c r="DQ178" s="40" t="inlineStr">
        <is>
          <t>CHOOSE RATING</t>
        </is>
      </c>
      <c r="DR178" s="43" t="inlineStr">
        <is>
          <t>2024/2025</t>
        </is>
      </c>
      <c r="DS178" s="45" t="inlineStr">
        <is>
          <t>THIRD</t>
        </is>
      </c>
      <c r="DT178" s="40" t="inlineStr">
        <is>
          <t>CHOOSE RATING</t>
        </is>
      </c>
      <c r="DU178" s="40" t="inlineStr">
        <is>
          <t>CHOOSE RATING</t>
        </is>
      </c>
      <c r="DV178" s="40" t="inlineStr">
        <is>
          <t>CHOOSE RATING</t>
        </is>
      </c>
      <c r="DW178" s="40" t="inlineStr">
        <is>
          <t>CHOOSE RATING</t>
        </is>
      </c>
      <c r="DX178" s="40" t="inlineStr">
        <is>
          <t>CHOOSE RATING</t>
        </is>
      </c>
      <c r="DY178" s="40" t="inlineStr">
        <is>
          <t>CHOOSE RATING</t>
        </is>
      </c>
      <c r="DZ178" s="53" t="inlineStr">
        <is>
          <t>CHOOSE RATING</t>
        </is>
      </c>
      <c r="EA178" s="54" t="inlineStr">
        <is>
          <t>Add the Tutor's Comment . . .</t>
        </is>
      </c>
      <c r="EB178" s="55" t="inlineStr">
        <is>
          <t>Choose Principals comment</t>
        </is>
      </c>
      <c r="EC178" s="56" t="n"/>
      <c r="ED178" s="57" t="inlineStr">
        <is>
          <t>Next Term Begins on Monday, 22nd September, 2025</t>
        </is>
      </c>
    </row>
    <row r="179" ht="30.6" customHeight="1" s="6">
      <c r="A179" s="18" t="n">
        <v>176</v>
      </c>
      <c r="B179" s="19" t="n"/>
      <c r="C179" s="20" t="n"/>
      <c r="D179" s="128" t="n"/>
      <c r="E179" s="21" t="n"/>
      <c r="F179" s="22" t="n"/>
      <c r="G179" s="22" t="n"/>
      <c r="H179" s="22" t="n"/>
      <c r="I179" s="26">
        <f>G179-H179</f>
        <v/>
      </c>
      <c r="J179" s="21" t="n"/>
      <c r="K179" s="21" t="n"/>
      <c r="L179" s="27">
        <f>SUM(J179:K179)</f>
        <v/>
      </c>
      <c r="M179" s="28" t="n"/>
      <c r="N179" s="28" t="n"/>
      <c r="O179" s="29">
        <f>IF(AND(L179=0,M179=0,N179=0),0,IF(AND(L179=0,M179=0),N179/1,IF(AND(L179=0,N179=0),M179/1,IF(AND(M179=0,N179=0),L179/1,IF(L179=0,FLOOR((M179+N179)/2,0.1),IF(M179=0,(L179+N179)/2,IF(N179=0,(M179+L179)/2,FLOOR(((L179+M179+N179)/3),0.1))))))))</f>
        <v/>
      </c>
      <c r="P179" s="21" t="n"/>
      <c r="Q179" s="21" t="n"/>
      <c r="R179" s="27">
        <f>SUM(P179:Q179)</f>
        <v/>
      </c>
      <c r="S179" s="28" t="n"/>
      <c r="T179" s="28" t="n"/>
      <c r="U179" s="29">
        <f>IF(AND(R179=0,S179=0,T179=0),0,IF(AND(R179=0,S179=0),T179/1,IF(AND(R179=0,T179=0),S179/1,IF(AND(S179=0,T179=0),R179/1,IF(R179=0,FLOOR((S179+T179)/2,0.1),IF(S179=0,(R179+T179)/2,IF(T179=0,(S179+R179)/2,FLOOR(((R179+S179+T179)/3),0.1))))))))</f>
        <v/>
      </c>
      <c r="V179" s="21" t="n"/>
      <c r="W179" s="21" t="n"/>
      <c r="X179" s="27">
        <f>SUM(V179:W179)</f>
        <v/>
      </c>
      <c r="Y179" s="28" t="n"/>
      <c r="Z179" s="28" t="n"/>
      <c r="AA179" s="29">
        <f>IF(AND(X179=0,Y179=0,Z179=0),0,IF(AND(X179=0,Y179=0),Z179/1,IF(AND(X179=0,Z179=0),Y179/1,IF(AND(Y179=0,Z179=0),X179/1,IF(X179=0,FLOOR((Y179+Z179)/2,0.1),IF(Y179=0,(X179+Z179)/2,IF(Z179=0,(Y179+X179)/2,FLOOR(((X179+Y179+Z179)/3),0.1))))))))</f>
        <v/>
      </c>
      <c r="AB179" s="21" t="n"/>
      <c r="AC179" s="21" t="n"/>
      <c r="AD179" s="27">
        <f>SUM(AB179:AC179)</f>
        <v/>
      </c>
      <c r="AE179" s="28" t="n"/>
      <c r="AF179" s="28" t="n"/>
      <c r="AG179" s="29">
        <f>IF(AND(AD179=0,AE179=0,AF179=0),0,IF(AND(AD179=0,AE179=0),AF179/1,IF(AND(AD179=0,AF179=0),AE179/1,IF(AND(AE179=0,AF179=0),AD179/1,IF(AD179=0,FLOOR((AE179+AF179)/2,0.1),IF(AE179=0,(AD179+AF179)/2,IF(AF179=0,(AE179+AD179)/2,FLOOR(((AD179+AE179+AF179)/3),0.1))))))))</f>
        <v/>
      </c>
      <c r="AH179" s="21" t="n"/>
      <c r="AI179" s="21" t="n"/>
      <c r="AJ179" s="27">
        <f>SUM(AH179:AI179)</f>
        <v/>
      </c>
      <c r="AK179" s="28" t="n"/>
      <c r="AL179" s="28" t="n"/>
      <c r="AM179" s="29">
        <f>IF(AND(AJ179=0,AK179=0,AL179=0),0,IF(AND(AJ179=0,AK179=0),AL179/1,IF(AND(AJ179=0,AL179=0),AK179/1,IF(AND(AK179=0,AL179=0),AJ179/1,IF(AJ179=0,FLOOR((AK179+AL179)/2,0.1),IF(AK179=0,(AJ179+AL179)/2,IF(AL179=0,(AK179+AJ179)/2,FLOOR(((AJ179+AK179+AL179)/3),0.1))))))))</f>
        <v/>
      </c>
      <c r="AN179" s="21" t="n"/>
      <c r="AO179" s="21" t="n"/>
      <c r="AP179" s="27">
        <f>SUM(AN179:AO179)</f>
        <v/>
      </c>
      <c r="AQ179" s="28" t="n"/>
      <c r="AR179" s="30" t="n"/>
      <c r="AS179" s="29">
        <f>IF(AND(AP179=0,AQ179=0,AR179=0),0,IF(AND(AP179=0,AQ179=0),AR179/1,IF(AND(AP179=0,AR179=0),AQ179/1,IF(AND(AQ179=0,AR179=0),AP179/1,IF(AP179=0,FLOOR((AQ179+AR179)/2,0.1),IF(AQ179=0,(AP179+AR179)/2,IF(AR179=0,(AQ179+AP179)/2,FLOOR(((AP179+AQ179+AR179)/3),0.1))))))))</f>
        <v/>
      </c>
      <c r="AT179" s="21" t="n"/>
      <c r="AU179" s="21" t="n"/>
      <c r="AV179" s="27">
        <f>SUM(AT179:AU179)</f>
        <v/>
      </c>
      <c r="AW179" s="28" t="n"/>
      <c r="AX179" s="30" t="n"/>
      <c r="AY179" s="29">
        <f>IF(AND(AV179=0,AW179=0,AX179=0),0,IF(AND(AV179=0,AW179=0),AX179/1,IF(AND(AV179=0,AX179=0),AW179/1,IF(AND(AW179=0,AX179=0),AV179/1,IF(AV179=0,FLOOR((AW179+AX179)/2,0.1),IF(AW179=0,(AV179+AX179)/2,IF(AX179=0,(AW179+AV179)/2,FLOOR(((AV179+AW179+AX179)/3),0.1))))))))</f>
        <v/>
      </c>
      <c r="AZ179" s="21" t="n"/>
      <c r="BA179" s="21" t="n"/>
      <c r="BB179" s="27">
        <f>SUM(AZ179:BA179)</f>
        <v/>
      </c>
      <c r="BC179" s="28" t="n"/>
      <c r="BD179" s="28" t="n"/>
      <c r="BE179" s="29">
        <f>IF(AND(BB179=0,BC179=0,BD179=0),0,IF(AND(BB179=0,BC179=0),BD179/1,IF(AND(BB179=0,BD179=0),BC179/1,IF(AND(BC179=0,BD179=0),BB179/1,IF(BB179=0,FLOOR((BC179+BD179)/2,0.1),IF(BC179=0,(BB179+BD179)/2,IF(BD179=0,(BC179+BB179)/2,FLOOR(((BB179+BC179+BD179)/3),0.1))))))))</f>
        <v/>
      </c>
      <c r="BF179" s="21" t="n"/>
      <c r="BG179" s="21" t="n"/>
      <c r="BH179" s="27">
        <f>SUM(BF179:BG179)</f>
        <v/>
      </c>
      <c r="BI179" s="28" t="n"/>
      <c r="BJ179" s="28" t="n"/>
      <c r="BK179" s="29">
        <f>IF(AND(BH179=0,BI179=0,BJ179=0),0,IF(AND(BH179=0,BI179=0),BJ179/1,IF(AND(BH179=0,BJ179=0),BI179/1,IF(AND(BI179=0,BJ179=0),BH179/1,IF(BH179=0,FLOOR((BI179+BJ179)/2,0.1),IF(BI179=0,(BH179+BJ179)/2,IF(BJ179=0,(BI179+BH179)/2,FLOOR(((BH179+BI179+BJ179)/3),0.1))))))))</f>
        <v/>
      </c>
      <c r="BL179" s="21" t="n"/>
      <c r="BM179" s="21" t="n"/>
      <c r="BN179" s="27">
        <f>SUM(BL179:BM179)</f>
        <v/>
      </c>
      <c r="BO179" s="28" t="n"/>
      <c r="BP179" s="31" t="n"/>
      <c r="BQ179" s="29">
        <f>IF(AND(BN179=0,BO179=0,BP179=0),0,IF(AND(BN179=0,BO179=0),BP179/1,IF(AND(BN179=0,BP179=0),BO179/1,IF(AND(BO179=0,BP179=0),BN179/1,IF(BN179=0,FLOOR((BO179+BP179)/2,0.1),IF(BO179=0,(BN179+BP179)/2,IF(BP179=0,(BO179+BN179)/2,FLOOR(((BN179+BO179+BP179)/3),0.1))))))))</f>
        <v/>
      </c>
      <c r="BR179" s="21" t="n"/>
      <c r="BS179" s="21" t="n"/>
      <c r="BT179" s="27">
        <f>SUM(BR179:BS179)</f>
        <v/>
      </c>
      <c r="BU179" s="28" t="n"/>
      <c r="BV179" s="31" t="n"/>
      <c r="BW179" s="29">
        <f>IF(AND(BT179=0,BU179=0,BV179=0),0,IF(AND(BT179=0,BU179=0),BV179/1,IF(AND(BT179=0,BV179=0),BU179/1,IF(AND(BU179=0,BV179=0),BT179/1,IF(BT179=0,FLOOR((BU179+BV179)/2,0.1),IF(BU179=0,(BT179+BV179)/2,IF(BV179=0,(BU179+BT179)/2,FLOOR(((BT179+BU179+BV179)/3),0.1))))))))</f>
        <v/>
      </c>
      <c r="BX179" s="21" t="n"/>
      <c r="BY179" s="21" t="n"/>
      <c r="BZ179" s="27">
        <f>SUM(BX179:BY179)</f>
        <v/>
      </c>
      <c r="CA179" s="28" t="n"/>
      <c r="CB179" s="31" t="n"/>
      <c r="CC179" s="29">
        <f>IF(AND(BZ179=0,CA179=0,CB179=0),0,IF(AND(BZ179=0,CA179=0),CB179/1,IF(AND(BZ179=0,CB179=0),CA179/1,IF(AND(CA179=0,CB179=0),BZ179/1,IF(BZ179=0,FLOOR((CA179+CB179)/2,0.1),IF(CA179=0,(BZ179+CB179)/2,IF(CB179=0,(CA179+BZ179)/2,FLOOR(((BZ179+CA179+CB179)/3),0.1))))))))</f>
        <v/>
      </c>
      <c r="CD179" s="21" t="n"/>
      <c r="CE179" s="21" t="n"/>
      <c r="CF179" s="27">
        <f>SUM(CD179:CE179)</f>
        <v/>
      </c>
      <c r="CG179" s="28" t="n"/>
      <c r="CH179" s="31" t="n"/>
      <c r="CI179" s="29">
        <f>IF(AND(CF179=0,CG179=0,CH179=0),0,IF(AND(CF179=0,CG179=0),CH179/1,IF(AND(CF179=0,CH179=0),CG179/1,IF(AND(CG179=0,CH179=0),CF179/1,IF(CF179=0,FLOOR((CG179+CH179)/2,0.1),IF(CG179=0,(CF179+CH179)/2,IF(CH179=0,(CG179+CF179)/2,FLOOR(((CF179+CG179+CH179)/3),0.1))))))))</f>
        <v/>
      </c>
      <c r="CJ179" s="21" t="n"/>
      <c r="CK179" s="21" t="n"/>
      <c r="CL179" s="27">
        <f>SUM(CJ179:CK179)</f>
        <v/>
      </c>
      <c r="CM179" s="28" t="n"/>
      <c r="CN179" s="31" t="n"/>
      <c r="CO179" s="29">
        <f>IF(AND(CL179=0,CM179=0,CN179=0),0,IF(AND(CL179=0,CM179=0),CN179/1,IF(AND(CL179=0,CN179=0),CM179/1,IF(AND(CM179=0,CN179=0),CL179/1,IF(CL179=0,FLOOR((CM179+CN179)/2,0.1),IF(CM179=0,(CL179+CN179)/2,IF(CN179=0,(CM179+CL179)/2,FLOOR(((CL179+CM179+CN179)/3),0.1))))))))</f>
        <v/>
      </c>
      <c r="CP179" s="21" t="n"/>
      <c r="CQ179" s="21" t="n"/>
      <c r="CR179" s="27">
        <f>SUM(CP179:CQ179)</f>
        <v/>
      </c>
      <c r="CS179" s="28" t="n"/>
      <c r="CT179" s="31" t="n"/>
      <c r="CU179" s="29">
        <f>IF(AND(CR179=0,CS179=0,CT179=0),0,IF(AND(CR179=0,CS179=0),CT179/1,IF(AND(CR179=0,CT179=0),CS179/1,IF(AND(CS179=0,CT179=0),CR179/1,IF(CR179=0,FLOOR((CS179+CT179)/2,0.1),IF(CS179=0,(CR179+CT179)/2,IF(CT179=0,(CS179+CR179)/2,FLOOR(((CR179+CS179+CT179)/3),0.1))))))))</f>
        <v/>
      </c>
      <c r="CV179" s="21" t="n"/>
      <c r="CW179" s="21" t="n"/>
      <c r="CX179" s="27">
        <f>SUM(CV179:CW179)</f>
        <v/>
      </c>
      <c r="CY179" s="28" t="n"/>
      <c r="CZ179" s="31" t="n"/>
      <c r="DA179" s="29">
        <f>IF(AND(CX179=0,CY179=0,CZ179=0),0,IF(AND(CX179=0,CY179=0),CZ179/1,IF(AND(CX179=0,CZ179=0),CY179/1,IF(AND(CY179=0,CZ179=0),CX179/1,IF(CX179=0,FLOOR((CY179+CZ179)/2,0.1),IF(CY179=0,(CX179+CZ179)/2,IF(CZ179=0,(CY179+CX179)/2,FLOOR(((CX179+CY179+CZ179)/3),0.1))))))))</f>
        <v/>
      </c>
      <c r="DB179" s="21" t="n"/>
      <c r="DC179" s="21" t="n"/>
      <c r="DD179" s="27">
        <f>SUM(DB179:DC179)</f>
        <v/>
      </c>
      <c r="DE179" s="28" t="n"/>
      <c r="DF179" s="31" t="n"/>
      <c r="DG179" s="29">
        <f>IF(AND(DD179=0,DE179=0,DF179=0),0,IF(AND(DD179=0,DE179=0),DF179/1,IF(AND(DD179=0,DF179=0),DE179/1,IF(AND(DE179=0,DF179=0),DD179/1,IF(DD179=0,FLOOR((DE179+DF179)/2,0.1),IF(DE179=0,(DD179+DF179)/2,IF(DF179=0,(DE179+DD179)/2,FLOOR(((DD179+DE179+DF179)/3),0.1))))))))</f>
        <v/>
      </c>
      <c r="DH179" s="34">
        <f>SUM(O179,U179,AA179,AG179,AM179,AS179,AY179,BE179,BK179,BQ179,BW179,CC179,CI179,CO179,CU179,DA179,DG179)</f>
        <v/>
      </c>
      <c r="DI179" s="39">
        <f>RANK(DH179,DH$4:DH$503)</f>
        <v/>
      </c>
      <c r="DJ179" s="40" t="inlineStr">
        <is>
          <t>CHOOSE RATING</t>
        </is>
      </c>
      <c r="DK179" s="40" t="inlineStr">
        <is>
          <t>CHOOSE RATING</t>
        </is>
      </c>
      <c r="DL179" s="40" t="inlineStr">
        <is>
          <t>CHOOSE RATING</t>
        </is>
      </c>
      <c r="DM179" s="40" t="inlineStr">
        <is>
          <t>CHOOSE RATING</t>
        </is>
      </c>
      <c r="DN179" s="40" t="inlineStr">
        <is>
          <t>CHOOSE RATING</t>
        </is>
      </c>
      <c r="DO179" s="40" t="inlineStr">
        <is>
          <t>CHOOSE RATING</t>
        </is>
      </c>
      <c r="DP179" s="40" t="inlineStr">
        <is>
          <t>CHOOSE RATING</t>
        </is>
      </c>
      <c r="DQ179" s="40" t="inlineStr">
        <is>
          <t>CHOOSE RATING</t>
        </is>
      </c>
      <c r="DR179" s="43" t="inlineStr">
        <is>
          <t>2024/2025</t>
        </is>
      </c>
      <c r="DS179" s="45" t="inlineStr">
        <is>
          <t>THIRD</t>
        </is>
      </c>
      <c r="DT179" s="40" t="inlineStr">
        <is>
          <t>CHOOSE RATING</t>
        </is>
      </c>
      <c r="DU179" s="40" t="inlineStr">
        <is>
          <t>CHOOSE RATING</t>
        </is>
      </c>
      <c r="DV179" s="40" t="inlineStr">
        <is>
          <t>CHOOSE RATING</t>
        </is>
      </c>
      <c r="DW179" s="40" t="inlineStr">
        <is>
          <t>CHOOSE RATING</t>
        </is>
      </c>
      <c r="DX179" s="40" t="inlineStr">
        <is>
          <t>CHOOSE RATING</t>
        </is>
      </c>
      <c r="DY179" s="40" t="inlineStr">
        <is>
          <t>CHOOSE RATING</t>
        </is>
      </c>
      <c r="DZ179" s="53" t="inlineStr">
        <is>
          <t>CHOOSE RATING</t>
        </is>
      </c>
      <c r="EA179" s="54" t="inlineStr">
        <is>
          <t>Add the Tutor's Comment . . .</t>
        </is>
      </c>
      <c r="EB179" s="55" t="inlineStr">
        <is>
          <t>Choose Principals comment</t>
        </is>
      </c>
      <c r="EC179" s="56" t="n"/>
      <c r="ED179" s="57" t="inlineStr">
        <is>
          <t>Next Term Begins on Monday, 22nd September, 2025</t>
        </is>
      </c>
    </row>
    <row r="180" ht="30.6" customHeight="1" s="6">
      <c r="A180" s="18" t="n">
        <v>177</v>
      </c>
      <c r="B180" s="19" t="n"/>
      <c r="C180" s="20" t="n"/>
      <c r="D180" s="128" t="n"/>
      <c r="E180" s="21" t="n"/>
      <c r="F180" s="22" t="n"/>
      <c r="G180" s="22" t="n"/>
      <c r="H180" s="22" t="n"/>
      <c r="I180" s="26">
        <f>G180-H180</f>
        <v/>
      </c>
      <c r="J180" s="21" t="n"/>
      <c r="K180" s="21" t="n"/>
      <c r="L180" s="27">
        <f>SUM(J180:K180)</f>
        <v/>
      </c>
      <c r="M180" s="28" t="n"/>
      <c r="N180" s="28" t="n"/>
      <c r="O180" s="29">
        <f>IF(AND(L180=0,M180=0,N180=0),0,IF(AND(L180=0,M180=0),N180/1,IF(AND(L180=0,N180=0),M180/1,IF(AND(M180=0,N180=0),L180/1,IF(L180=0,FLOOR((M180+N180)/2,0.1),IF(M180=0,(L180+N180)/2,IF(N180=0,(M180+L180)/2,FLOOR(((L180+M180+N180)/3),0.1))))))))</f>
        <v/>
      </c>
      <c r="P180" s="21" t="n"/>
      <c r="Q180" s="21" t="n"/>
      <c r="R180" s="27">
        <f>SUM(P180:Q180)</f>
        <v/>
      </c>
      <c r="S180" s="28" t="n"/>
      <c r="T180" s="28" t="n"/>
      <c r="U180" s="29">
        <f>IF(AND(R180=0,S180=0,T180=0),0,IF(AND(R180=0,S180=0),T180/1,IF(AND(R180=0,T180=0),S180/1,IF(AND(S180=0,T180=0),R180/1,IF(R180=0,FLOOR((S180+T180)/2,0.1),IF(S180=0,(R180+T180)/2,IF(T180=0,(S180+R180)/2,FLOOR(((R180+S180+T180)/3),0.1))))))))</f>
        <v/>
      </c>
      <c r="V180" s="21" t="n"/>
      <c r="W180" s="21" t="n"/>
      <c r="X180" s="27">
        <f>SUM(V180:W180)</f>
        <v/>
      </c>
      <c r="Y180" s="28" t="n"/>
      <c r="Z180" s="28" t="n"/>
      <c r="AA180" s="29">
        <f>IF(AND(X180=0,Y180=0,Z180=0),0,IF(AND(X180=0,Y180=0),Z180/1,IF(AND(X180=0,Z180=0),Y180/1,IF(AND(Y180=0,Z180=0),X180/1,IF(X180=0,FLOOR((Y180+Z180)/2,0.1),IF(Y180=0,(X180+Z180)/2,IF(Z180=0,(Y180+X180)/2,FLOOR(((X180+Y180+Z180)/3),0.1))))))))</f>
        <v/>
      </c>
      <c r="AB180" s="21" t="n"/>
      <c r="AC180" s="21" t="n"/>
      <c r="AD180" s="27">
        <f>SUM(AB180:AC180)</f>
        <v/>
      </c>
      <c r="AE180" s="28" t="n"/>
      <c r="AF180" s="28" t="n"/>
      <c r="AG180" s="29">
        <f>IF(AND(AD180=0,AE180=0,AF180=0),0,IF(AND(AD180=0,AE180=0),AF180/1,IF(AND(AD180=0,AF180=0),AE180/1,IF(AND(AE180=0,AF180=0),AD180/1,IF(AD180=0,FLOOR((AE180+AF180)/2,0.1),IF(AE180=0,(AD180+AF180)/2,IF(AF180=0,(AE180+AD180)/2,FLOOR(((AD180+AE180+AF180)/3),0.1))))))))</f>
        <v/>
      </c>
      <c r="AH180" s="21" t="n"/>
      <c r="AI180" s="21" t="n"/>
      <c r="AJ180" s="27">
        <f>SUM(AH180:AI180)</f>
        <v/>
      </c>
      <c r="AK180" s="28" t="n"/>
      <c r="AL180" s="28" t="n"/>
      <c r="AM180" s="29">
        <f>IF(AND(AJ180=0,AK180=0,AL180=0),0,IF(AND(AJ180=0,AK180=0),AL180/1,IF(AND(AJ180=0,AL180=0),AK180/1,IF(AND(AK180=0,AL180=0),AJ180/1,IF(AJ180=0,FLOOR((AK180+AL180)/2,0.1),IF(AK180=0,(AJ180+AL180)/2,IF(AL180=0,(AK180+AJ180)/2,FLOOR(((AJ180+AK180+AL180)/3),0.1))))))))</f>
        <v/>
      </c>
      <c r="AN180" s="21" t="n"/>
      <c r="AO180" s="21" t="n"/>
      <c r="AP180" s="27">
        <f>SUM(AN180:AO180)</f>
        <v/>
      </c>
      <c r="AQ180" s="28" t="n"/>
      <c r="AR180" s="30" t="n"/>
      <c r="AS180" s="29">
        <f>IF(AND(AP180=0,AQ180=0,AR180=0),0,IF(AND(AP180=0,AQ180=0),AR180/1,IF(AND(AP180=0,AR180=0),AQ180/1,IF(AND(AQ180=0,AR180=0),AP180/1,IF(AP180=0,FLOOR((AQ180+AR180)/2,0.1),IF(AQ180=0,(AP180+AR180)/2,IF(AR180=0,(AQ180+AP180)/2,FLOOR(((AP180+AQ180+AR180)/3),0.1))))))))</f>
        <v/>
      </c>
      <c r="AT180" s="21" t="n"/>
      <c r="AU180" s="21" t="n"/>
      <c r="AV180" s="27">
        <f>SUM(AT180:AU180)</f>
        <v/>
      </c>
      <c r="AW180" s="28" t="n"/>
      <c r="AX180" s="30" t="n"/>
      <c r="AY180" s="29">
        <f>IF(AND(AV180=0,AW180=0,AX180=0),0,IF(AND(AV180=0,AW180=0),AX180/1,IF(AND(AV180=0,AX180=0),AW180/1,IF(AND(AW180=0,AX180=0),AV180/1,IF(AV180=0,FLOOR((AW180+AX180)/2,0.1),IF(AW180=0,(AV180+AX180)/2,IF(AX180=0,(AW180+AV180)/2,FLOOR(((AV180+AW180+AX180)/3),0.1))))))))</f>
        <v/>
      </c>
      <c r="AZ180" s="21" t="n"/>
      <c r="BA180" s="21" t="n"/>
      <c r="BB180" s="27">
        <f>SUM(AZ180:BA180)</f>
        <v/>
      </c>
      <c r="BC180" s="28" t="n"/>
      <c r="BD180" s="28" t="n"/>
      <c r="BE180" s="29">
        <f>IF(AND(BB180=0,BC180=0,BD180=0),0,IF(AND(BB180=0,BC180=0),BD180/1,IF(AND(BB180=0,BD180=0),BC180/1,IF(AND(BC180=0,BD180=0),BB180/1,IF(BB180=0,FLOOR((BC180+BD180)/2,0.1),IF(BC180=0,(BB180+BD180)/2,IF(BD180=0,(BC180+BB180)/2,FLOOR(((BB180+BC180+BD180)/3),0.1))))))))</f>
        <v/>
      </c>
      <c r="BF180" s="21" t="n"/>
      <c r="BG180" s="21" t="n"/>
      <c r="BH180" s="27">
        <f>SUM(BF180:BG180)</f>
        <v/>
      </c>
      <c r="BI180" s="28" t="n"/>
      <c r="BJ180" s="28" t="n"/>
      <c r="BK180" s="29">
        <f>IF(AND(BH180=0,BI180=0,BJ180=0),0,IF(AND(BH180=0,BI180=0),BJ180/1,IF(AND(BH180=0,BJ180=0),BI180/1,IF(AND(BI180=0,BJ180=0),BH180/1,IF(BH180=0,FLOOR((BI180+BJ180)/2,0.1),IF(BI180=0,(BH180+BJ180)/2,IF(BJ180=0,(BI180+BH180)/2,FLOOR(((BH180+BI180+BJ180)/3),0.1))))))))</f>
        <v/>
      </c>
      <c r="BL180" s="21" t="n"/>
      <c r="BM180" s="21" t="n"/>
      <c r="BN180" s="27">
        <f>SUM(BL180:BM180)</f>
        <v/>
      </c>
      <c r="BO180" s="28" t="n"/>
      <c r="BP180" s="31" t="n"/>
      <c r="BQ180" s="29">
        <f>IF(AND(BN180=0,BO180=0,BP180=0),0,IF(AND(BN180=0,BO180=0),BP180/1,IF(AND(BN180=0,BP180=0),BO180/1,IF(AND(BO180=0,BP180=0),BN180/1,IF(BN180=0,FLOOR((BO180+BP180)/2,0.1),IF(BO180=0,(BN180+BP180)/2,IF(BP180=0,(BO180+BN180)/2,FLOOR(((BN180+BO180+BP180)/3),0.1))))))))</f>
        <v/>
      </c>
      <c r="BR180" s="21" t="n"/>
      <c r="BS180" s="21" t="n"/>
      <c r="BT180" s="27">
        <f>SUM(BR180:BS180)</f>
        <v/>
      </c>
      <c r="BU180" s="28" t="n"/>
      <c r="BV180" s="31" t="n"/>
      <c r="BW180" s="29">
        <f>IF(AND(BT180=0,BU180=0,BV180=0),0,IF(AND(BT180=0,BU180=0),BV180/1,IF(AND(BT180=0,BV180=0),BU180/1,IF(AND(BU180=0,BV180=0),BT180/1,IF(BT180=0,FLOOR((BU180+BV180)/2,0.1),IF(BU180=0,(BT180+BV180)/2,IF(BV180=0,(BU180+BT180)/2,FLOOR(((BT180+BU180+BV180)/3),0.1))))))))</f>
        <v/>
      </c>
      <c r="BX180" s="21" t="n"/>
      <c r="BY180" s="21" t="n"/>
      <c r="BZ180" s="27">
        <f>SUM(BX180:BY180)</f>
        <v/>
      </c>
      <c r="CA180" s="28" t="n"/>
      <c r="CB180" s="31" t="n"/>
      <c r="CC180" s="29">
        <f>IF(AND(BZ180=0,CA180=0,CB180=0),0,IF(AND(BZ180=0,CA180=0),CB180/1,IF(AND(BZ180=0,CB180=0),CA180/1,IF(AND(CA180=0,CB180=0),BZ180/1,IF(BZ180=0,FLOOR((CA180+CB180)/2,0.1),IF(CA180=0,(BZ180+CB180)/2,IF(CB180=0,(CA180+BZ180)/2,FLOOR(((BZ180+CA180+CB180)/3),0.1))))))))</f>
        <v/>
      </c>
      <c r="CD180" s="21" t="n"/>
      <c r="CE180" s="21" t="n"/>
      <c r="CF180" s="27">
        <f>SUM(CD180:CE180)</f>
        <v/>
      </c>
      <c r="CG180" s="28" t="n"/>
      <c r="CH180" s="31" t="n"/>
      <c r="CI180" s="29">
        <f>IF(AND(CF180=0,CG180=0,CH180=0),0,IF(AND(CF180=0,CG180=0),CH180/1,IF(AND(CF180=0,CH180=0),CG180/1,IF(AND(CG180=0,CH180=0),CF180/1,IF(CF180=0,FLOOR((CG180+CH180)/2,0.1),IF(CG180=0,(CF180+CH180)/2,IF(CH180=0,(CG180+CF180)/2,FLOOR(((CF180+CG180+CH180)/3),0.1))))))))</f>
        <v/>
      </c>
      <c r="CJ180" s="21" t="n"/>
      <c r="CK180" s="21" t="n"/>
      <c r="CL180" s="27">
        <f>SUM(CJ180:CK180)</f>
        <v/>
      </c>
      <c r="CM180" s="28" t="n"/>
      <c r="CN180" s="31" t="n"/>
      <c r="CO180" s="29">
        <f>IF(AND(CL180=0,CM180=0,CN180=0),0,IF(AND(CL180=0,CM180=0),CN180/1,IF(AND(CL180=0,CN180=0),CM180/1,IF(AND(CM180=0,CN180=0),CL180/1,IF(CL180=0,FLOOR((CM180+CN180)/2,0.1),IF(CM180=0,(CL180+CN180)/2,IF(CN180=0,(CM180+CL180)/2,FLOOR(((CL180+CM180+CN180)/3),0.1))))))))</f>
        <v/>
      </c>
      <c r="CP180" s="21" t="n"/>
      <c r="CQ180" s="21" t="n"/>
      <c r="CR180" s="27">
        <f>SUM(CP180:CQ180)</f>
        <v/>
      </c>
      <c r="CS180" s="28" t="n"/>
      <c r="CT180" s="31" t="n"/>
      <c r="CU180" s="29">
        <f>IF(AND(CR180=0,CS180=0,CT180=0),0,IF(AND(CR180=0,CS180=0),CT180/1,IF(AND(CR180=0,CT180=0),CS180/1,IF(AND(CS180=0,CT180=0),CR180/1,IF(CR180=0,FLOOR((CS180+CT180)/2,0.1),IF(CS180=0,(CR180+CT180)/2,IF(CT180=0,(CS180+CR180)/2,FLOOR(((CR180+CS180+CT180)/3),0.1))))))))</f>
        <v/>
      </c>
      <c r="CV180" s="21" t="n"/>
      <c r="CW180" s="21" t="n"/>
      <c r="CX180" s="27">
        <f>SUM(CV180:CW180)</f>
        <v/>
      </c>
      <c r="CY180" s="28" t="n"/>
      <c r="CZ180" s="31" t="n"/>
      <c r="DA180" s="29">
        <f>IF(AND(CX180=0,CY180=0,CZ180=0),0,IF(AND(CX180=0,CY180=0),CZ180/1,IF(AND(CX180=0,CZ180=0),CY180/1,IF(AND(CY180=0,CZ180=0),CX180/1,IF(CX180=0,FLOOR((CY180+CZ180)/2,0.1),IF(CY180=0,(CX180+CZ180)/2,IF(CZ180=0,(CY180+CX180)/2,FLOOR(((CX180+CY180+CZ180)/3),0.1))))))))</f>
        <v/>
      </c>
      <c r="DB180" s="21" t="n"/>
      <c r="DC180" s="21" t="n"/>
      <c r="DD180" s="27">
        <f>SUM(DB180:DC180)</f>
        <v/>
      </c>
      <c r="DE180" s="28" t="n"/>
      <c r="DF180" s="31" t="n"/>
      <c r="DG180" s="29">
        <f>IF(AND(DD180=0,DE180=0,DF180=0),0,IF(AND(DD180=0,DE180=0),DF180/1,IF(AND(DD180=0,DF180=0),DE180/1,IF(AND(DE180=0,DF180=0),DD180/1,IF(DD180=0,FLOOR((DE180+DF180)/2,0.1),IF(DE180=0,(DD180+DF180)/2,IF(DF180=0,(DE180+DD180)/2,FLOOR(((DD180+DE180+DF180)/3),0.1))))))))</f>
        <v/>
      </c>
      <c r="DH180" s="34">
        <f>SUM(O180,U180,AA180,AG180,AM180,AS180,AY180,BE180,BK180,BQ180,BW180,CC180,CI180,CO180,CU180,DA180,DG180)</f>
        <v/>
      </c>
      <c r="DI180" s="39">
        <f>RANK(DH180,DH$4:DH$503)</f>
        <v/>
      </c>
      <c r="DJ180" s="40" t="inlineStr">
        <is>
          <t>CHOOSE RATING</t>
        </is>
      </c>
      <c r="DK180" s="40" t="inlineStr">
        <is>
          <t>CHOOSE RATING</t>
        </is>
      </c>
      <c r="DL180" s="40" t="inlineStr">
        <is>
          <t>CHOOSE RATING</t>
        </is>
      </c>
      <c r="DM180" s="40" t="inlineStr">
        <is>
          <t>CHOOSE RATING</t>
        </is>
      </c>
      <c r="DN180" s="40" t="inlineStr">
        <is>
          <t>CHOOSE RATING</t>
        </is>
      </c>
      <c r="DO180" s="40" t="inlineStr">
        <is>
          <t>CHOOSE RATING</t>
        </is>
      </c>
      <c r="DP180" s="40" t="inlineStr">
        <is>
          <t>CHOOSE RATING</t>
        </is>
      </c>
      <c r="DQ180" s="40" t="inlineStr">
        <is>
          <t>CHOOSE RATING</t>
        </is>
      </c>
      <c r="DR180" s="43" t="inlineStr">
        <is>
          <t>2024/2025</t>
        </is>
      </c>
      <c r="DS180" s="45" t="inlineStr">
        <is>
          <t>THIRD</t>
        </is>
      </c>
      <c r="DT180" s="40" t="inlineStr">
        <is>
          <t>CHOOSE RATING</t>
        </is>
      </c>
      <c r="DU180" s="40" t="inlineStr">
        <is>
          <t>CHOOSE RATING</t>
        </is>
      </c>
      <c r="DV180" s="40" t="inlineStr">
        <is>
          <t>CHOOSE RATING</t>
        </is>
      </c>
      <c r="DW180" s="40" t="inlineStr">
        <is>
          <t>CHOOSE RATING</t>
        </is>
      </c>
      <c r="DX180" s="40" t="inlineStr">
        <is>
          <t>CHOOSE RATING</t>
        </is>
      </c>
      <c r="DY180" s="40" t="inlineStr">
        <is>
          <t>CHOOSE RATING</t>
        </is>
      </c>
      <c r="DZ180" s="53" t="inlineStr">
        <is>
          <t>CHOOSE RATING</t>
        </is>
      </c>
      <c r="EA180" s="54" t="inlineStr">
        <is>
          <t>Add the Tutor's Comment . . .</t>
        </is>
      </c>
      <c r="EB180" s="55" t="inlineStr">
        <is>
          <t>Choose Principals comment</t>
        </is>
      </c>
      <c r="EC180" s="56" t="n"/>
      <c r="ED180" s="57" t="inlineStr">
        <is>
          <t>Next Term Begins on Monday, 22nd September, 2025</t>
        </is>
      </c>
    </row>
    <row r="181" ht="30.6" customHeight="1" s="6">
      <c r="A181" s="18" t="n">
        <v>178</v>
      </c>
      <c r="B181" s="19" t="n"/>
      <c r="C181" s="20" t="n"/>
      <c r="D181" s="128" t="n"/>
      <c r="E181" s="21" t="n"/>
      <c r="F181" s="22" t="n"/>
      <c r="G181" s="22" t="n"/>
      <c r="H181" s="22" t="n"/>
      <c r="I181" s="26">
        <f>G181-H181</f>
        <v/>
      </c>
      <c r="J181" s="21" t="n"/>
      <c r="K181" s="21" t="n"/>
      <c r="L181" s="27">
        <f>SUM(J181:K181)</f>
        <v/>
      </c>
      <c r="M181" s="28" t="n"/>
      <c r="N181" s="28" t="n"/>
      <c r="O181" s="29">
        <f>IF(AND(L181=0,M181=0,N181=0),0,IF(AND(L181=0,M181=0),N181/1,IF(AND(L181=0,N181=0),M181/1,IF(AND(M181=0,N181=0),L181/1,IF(L181=0,FLOOR((M181+N181)/2,0.1),IF(M181=0,(L181+N181)/2,IF(N181=0,(M181+L181)/2,FLOOR(((L181+M181+N181)/3),0.1))))))))</f>
        <v/>
      </c>
      <c r="P181" s="21" t="n"/>
      <c r="Q181" s="21" t="n"/>
      <c r="R181" s="27">
        <f>SUM(P181:Q181)</f>
        <v/>
      </c>
      <c r="S181" s="28" t="n"/>
      <c r="T181" s="28" t="n"/>
      <c r="U181" s="29">
        <f>IF(AND(R181=0,S181=0,T181=0),0,IF(AND(R181=0,S181=0),T181/1,IF(AND(R181=0,T181=0),S181/1,IF(AND(S181=0,T181=0),R181/1,IF(R181=0,FLOOR((S181+T181)/2,0.1),IF(S181=0,(R181+T181)/2,IF(T181=0,(S181+R181)/2,FLOOR(((R181+S181+T181)/3),0.1))))))))</f>
        <v/>
      </c>
      <c r="V181" s="21" t="n"/>
      <c r="W181" s="21" t="n"/>
      <c r="X181" s="27">
        <f>SUM(V181:W181)</f>
        <v/>
      </c>
      <c r="Y181" s="28" t="n"/>
      <c r="Z181" s="28" t="n"/>
      <c r="AA181" s="29">
        <f>IF(AND(X181=0,Y181=0,Z181=0),0,IF(AND(X181=0,Y181=0),Z181/1,IF(AND(X181=0,Z181=0),Y181/1,IF(AND(Y181=0,Z181=0),X181/1,IF(X181=0,FLOOR((Y181+Z181)/2,0.1),IF(Y181=0,(X181+Z181)/2,IF(Z181=0,(Y181+X181)/2,FLOOR(((X181+Y181+Z181)/3),0.1))))))))</f>
        <v/>
      </c>
      <c r="AB181" s="21" t="n"/>
      <c r="AC181" s="21" t="n"/>
      <c r="AD181" s="27">
        <f>SUM(AB181:AC181)</f>
        <v/>
      </c>
      <c r="AE181" s="28" t="n"/>
      <c r="AF181" s="28" t="n"/>
      <c r="AG181" s="29">
        <f>IF(AND(AD181=0,AE181=0,AF181=0),0,IF(AND(AD181=0,AE181=0),AF181/1,IF(AND(AD181=0,AF181=0),AE181/1,IF(AND(AE181=0,AF181=0),AD181/1,IF(AD181=0,FLOOR((AE181+AF181)/2,0.1),IF(AE181=0,(AD181+AF181)/2,IF(AF181=0,(AE181+AD181)/2,FLOOR(((AD181+AE181+AF181)/3),0.1))))))))</f>
        <v/>
      </c>
      <c r="AH181" s="21" t="n"/>
      <c r="AI181" s="21" t="n"/>
      <c r="AJ181" s="27">
        <f>SUM(AH181:AI181)</f>
        <v/>
      </c>
      <c r="AK181" s="28" t="n"/>
      <c r="AL181" s="28" t="n"/>
      <c r="AM181" s="29">
        <f>IF(AND(AJ181=0,AK181=0,AL181=0),0,IF(AND(AJ181=0,AK181=0),AL181/1,IF(AND(AJ181=0,AL181=0),AK181/1,IF(AND(AK181=0,AL181=0),AJ181/1,IF(AJ181=0,FLOOR((AK181+AL181)/2,0.1),IF(AK181=0,(AJ181+AL181)/2,IF(AL181=0,(AK181+AJ181)/2,FLOOR(((AJ181+AK181+AL181)/3),0.1))))))))</f>
        <v/>
      </c>
      <c r="AN181" s="21" t="n"/>
      <c r="AO181" s="21" t="n"/>
      <c r="AP181" s="27">
        <f>SUM(AN181:AO181)</f>
        <v/>
      </c>
      <c r="AQ181" s="28" t="n"/>
      <c r="AR181" s="30" t="n"/>
      <c r="AS181" s="29">
        <f>IF(AND(AP181=0,AQ181=0,AR181=0),0,IF(AND(AP181=0,AQ181=0),AR181/1,IF(AND(AP181=0,AR181=0),AQ181/1,IF(AND(AQ181=0,AR181=0),AP181/1,IF(AP181=0,FLOOR((AQ181+AR181)/2,0.1),IF(AQ181=0,(AP181+AR181)/2,IF(AR181=0,(AQ181+AP181)/2,FLOOR(((AP181+AQ181+AR181)/3),0.1))))))))</f>
        <v/>
      </c>
      <c r="AT181" s="21" t="n"/>
      <c r="AU181" s="21" t="n"/>
      <c r="AV181" s="27">
        <f>SUM(AT181:AU181)</f>
        <v/>
      </c>
      <c r="AW181" s="28" t="n"/>
      <c r="AX181" s="30" t="n"/>
      <c r="AY181" s="29">
        <f>IF(AND(AV181=0,AW181=0,AX181=0),0,IF(AND(AV181=0,AW181=0),AX181/1,IF(AND(AV181=0,AX181=0),AW181/1,IF(AND(AW181=0,AX181=0),AV181/1,IF(AV181=0,FLOOR((AW181+AX181)/2,0.1),IF(AW181=0,(AV181+AX181)/2,IF(AX181=0,(AW181+AV181)/2,FLOOR(((AV181+AW181+AX181)/3),0.1))))))))</f>
        <v/>
      </c>
      <c r="AZ181" s="21" t="n"/>
      <c r="BA181" s="21" t="n"/>
      <c r="BB181" s="27">
        <f>SUM(AZ181:BA181)</f>
        <v/>
      </c>
      <c r="BC181" s="28" t="n"/>
      <c r="BD181" s="28" t="n"/>
      <c r="BE181" s="29">
        <f>IF(AND(BB181=0,BC181=0,BD181=0),0,IF(AND(BB181=0,BC181=0),BD181/1,IF(AND(BB181=0,BD181=0),BC181/1,IF(AND(BC181=0,BD181=0),BB181/1,IF(BB181=0,FLOOR((BC181+BD181)/2,0.1),IF(BC181=0,(BB181+BD181)/2,IF(BD181=0,(BC181+BB181)/2,FLOOR(((BB181+BC181+BD181)/3),0.1))))))))</f>
        <v/>
      </c>
      <c r="BF181" s="21" t="n"/>
      <c r="BG181" s="21" t="n"/>
      <c r="BH181" s="27">
        <f>SUM(BF181:BG181)</f>
        <v/>
      </c>
      <c r="BI181" s="28" t="n"/>
      <c r="BJ181" s="28" t="n"/>
      <c r="BK181" s="29">
        <f>IF(AND(BH181=0,BI181=0,BJ181=0),0,IF(AND(BH181=0,BI181=0),BJ181/1,IF(AND(BH181=0,BJ181=0),BI181/1,IF(AND(BI181=0,BJ181=0),BH181/1,IF(BH181=0,FLOOR((BI181+BJ181)/2,0.1),IF(BI181=0,(BH181+BJ181)/2,IF(BJ181=0,(BI181+BH181)/2,FLOOR(((BH181+BI181+BJ181)/3),0.1))))))))</f>
        <v/>
      </c>
      <c r="BL181" s="21" t="n"/>
      <c r="BM181" s="21" t="n"/>
      <c r="BN181" s="27">
        <f>SUM(BL181:BM181)</f>
        <v/>
      </c>
      <c r="BO181" s="28" t="n"/>
      <c r="BP181" s="31" t="n"/>
      <c r="BQ181" s="29">
        <f>IF(AND(BN181=0,BO181=0,BP181=0),0,IF(AND(BN181=0,BO181=0),BP181/1,IF(AND(BN181=0,BP181=0),BO181/1,IF(AND(BO181=0,BP181=0),BN181/1,IF(BN181=0,FLOOR((BO181+BP181)/2,0.1),IF(BO181=0,(BN181+BP181)/2,IF(BP181=0,(BO181+BN181)/2,FLOOR(((BN181+BO181+BP181)/3),0.1))))))))</f>
        <v/>
      </c>
      <c r="BR181" s="21" t="n"/>
      <c r="BS181" s="21" t="n"/>
      <c r="BT181" s="27">
        <f>SUM(BR181:BS181)</f>
        <v/>
      </c>
      <c r="BU181" s="28" t="n"/>
      <c r="BV181" s="31" t="n"/>
      <c r="BW181" s="29">
        <f>IF(AND(BT181=0,BU181=0,BV181=0),0,IF(AND(BT181=0,BU181=0),BV181/1,IF(AND(BT181=0,BV181=0),BU181/1,IF(AND(BU181=0,BV181=0),BT181/1,IF(BT181=0,FLOOR((BU181+BV181)/2,0.1),IF(BU181=0,(BT181+BV181)/2,IF(BV181=0,(BU181+BT181)/2,FLOOR(((BT181+BU181+BV181)/3),0.1))))))))</f>
        <v/>
      </c>
      <c r="BX181" s="21" t="n"/>
      <c r="BY181" s="21" t="n"/>
      <c r="BZ181" s="27">
        <f>SUM(BX181:BY181)</f>
        <v/>
      </c>
      <c r="CA181" s="28" t="n"/>
      <c r="CB181" s="31" t="n"/>
      <c r="CC181" s="29">
        <f>IF(AND(BZ181=0,CA181=0,CB181=0),0,IF(AND(BZ181=0,CA181=0),CB181/1,IF(AND(BZ181=0,CB181=0),CA181/1,IF(AND(CA181=0,CB181=0),BZ181/1,IF(BZ181=0,FLOOR((CA181+CB181)/2,0.1),IF(CA181=0,(BZ181+CB181)/2,IF(CB181=0,(CA181+BZ181)/2,FLOOR(((BZ181+CA181+CB181)/3),0.1))))))))</f>
        <v/>
      </c>
      <c r="CD181" s="21" t="n"/>
      <c r="CE181" s="21" t="n"/>
      <c r="CF181" s="27">
        <f>SUM(CD181:CE181)</f>
        <v/>
      </c>
      <c r="CG181" s="28" t="n"/>
      <c r="CH181" s="31" t="n"/>
      <c r="CI181" s="29">
        <f>IF(AND(CF181=0,CG181=0,CH181=0),0,IF(AND(CF181=0,CG181=0),CH181/1,IF(AND(CF181=0,CH181=0),CG181/1,IF(AND(CG181=0,CH181=0),CF181/1,IF(CF181=0,FLOOR((CG181+CH181)/2,0.1),IF(CG181=0,(CF181+CH181)/2,IF(CH181=0,(CG181+CF181)/2,FLOOR(((CF181+CG181+CH181)/3),0.1))))))))</f>
        <v/>
      </c>
      <c r="CJ181" s="21" t="n"/>
      <c r="CK181" s="21" t="n"/>
      <c r="CL181" s="27">
        <f>SUM(CJ181:CK181)</f>
        <v/>
      </c>
      <c r="CM181" s="28" t="n"/>
      <c r="CN181" s="31" t="n"/>
      <c r="CO181" s="29">
        <f>IF(AND(CL181=0,CM181=0,CN181=0),0,IF(AND(CL181=0,CM181=0),CN181/1,IF(AND(CL181=0,CN181=0),CM181/1,IF(AND(CM181=0,CN181=0),CL181/1,IF(CL181=0,FLOOR((CM181+CN181)/2,0.1),IF(CM181=0,(CL181+CN181)/2,IF(CN181=0,(CM181+CL181)/2,FLOOR(((CL181+CM181+CN181)/3),0.1))))))))</f>
        <v/>
      </c>
      <c r="CP181" s="21" t="n"/>
      <c r="CQ181" s="21" t="n"/>
      <c r="CR181" s="27">
        <f>SUM(CP181:CQ181)</f>
        <v/>
      </c>
      <c r="CS181" s="28" t="n"/>
      <c r="CT181" s="31" t="n"/>
      <c r="CU181" s="29">
        <f>IF(AND(CR181=0,CS181=0,CT181=0),0,IF(AND(CR181=0,CS181=0),CT181/1,IF(AND(CR181=0,CT181=0),CS181/1,IF(AND(CS181=0,CT181=0),CR181/1,IF(CR181=0,FLOOR((CS181+CT181)/2,0.1),IF(CS181=0,(CR181+CT181)/2,IF(CT181=0,(CS181+CR181)/2,FLOOR(((CR181+CS181+CT181)/3),0.1))))))))</f>
        <v/>
      </c>
      <c r="CV181" s="21" t="n"/>
      <c r="CW181" s="21" t="n"/>
      <c r="CX181" s="27">
        <f>SUM(CV181:CW181)</f>
        <v/>
      </c>
      <c r="CY181" s="28" t="n"/>
      <c r="CZ181" s="31" t="n"/>
      <c r="DA181" s="29">
        <f>IF(AND(CX181=0,CY181=0,CZ181=0),0,IF(AND(CX181=0,CY181=0),CZ181/1,IF(AND(CX181=0,CZ181=0),CY181/1,IF(AND(CY181=0,CZ181=0),CX181/1,IF(CX181=0,FLOOR((CY181+CZ181)/2,0.1),IF(CY181=0,(CX181+CZ181)/2,IF(CZ181=0,(CY181+CX181)/2,FLOOR(((CX181+CY181+CZ181)/3),0.1))))))))</f>
        <v/>
      </c>
      <c r="DB181" s="21" t="n"/>
      <c r="DC181" s="21" t="n"/>
      <c r="DD181" s="27">
        <f>SUM(DB181:DC181)</f>
        <v/>
      </c>
      <c r="DE181" s="28" t="n"/>
      <c r="DF181" s="31" t="n"/>
      <c r="DG181" s="29">
        <f>IF(AND(DD181=0,DE181=0,DF181=0),0,IF(AND(DD181=0,DE181=0),DF181/1,IF(AND(DD181=0,DF181=0),DE181/1,IF(AND(DE181=0,DF181=0),DD181/1,IF(DD181=0,FLOOR((DE181+DF181)/2,0.1),IF(DE181=0,(DD181+DF181)/2,IF(DF181=0,(DE181+DD181)/2,FLOOR(((DD181+DE181+DF181)/3),0.1))))))))</f>
        <v/>
      </c>
      <c r="DH181" s="34">
        <f>SUM(O181,U181,AA181,AG181,AM181,AS181,AY181,BE181,BK181,BQ181,BW181,CC181,CI181,CO181,CU181,DA181,DG181)</f>
        <v/>
      </c>
      <c r="DI181" s="39">
        <f>RANK(DH181,DH$4:DH$503)</f>
        <v/>
      </c>
      <c r="DJ181" s="40" t="inlineStr">
        <is>
          <t>CHOOSE RATING</t>
        </is>
      </c>
      <c r="DK181" s="40" t="inlineStr">
        <is>
          <t>CHOOSE RATING</t>
        </is>
      </c>
      <c r="DL181" s="40" t="inlineStr">
        <is>
          <t>CHOOSE RATING</t>
        </is>
      </c>
      <c r="DM181" s="40" t="inlineStr">
        <is>
          <t>CHOOSE RATING</t>
        </is>
      </c>
      <c r="DN181" s="40" t="inlineStr">
        <is>
          <t>CHOOSE RATING</t>
        </is>
      </c>
      <c r="DO181" s="40" t="inlineStr">
        <is>
          <t>CHOOSE RATING</t>
        </is>
      </c>
      <c r="DP181" s="40" t="inlineStr">
        <is>
          <t>CHOOSE RATING</t>
        </is>
      </c>
      <c r="DQ181" s="40" t="inlineStr">
        <is>
          <t>CHOOSE RATING</t>
        </is>
      </c>
      <c r="DR181" s="43" t="inlineStr">
        <is>
          <t>2024/2025</t>
        </is>
      </c>
      <c r="DS181" s="45" t="inlineStr">
        <is>
          <t>THIRD</t>
        </is>
      </c>
      <c r="DT181" s="40" t="inlineStr">
        <is>
          <t>CHOOSE RATING</t>
        </is>
      </c>
      <c r="DU181" s="40" t="inlineStr">
        <is>
          <t>CHOOSE RATING</t>
        </is>
      </c>
      <c r="DV181" s="40" t="inlineStr">
        <is>
          <t>CHOOSE RATING</t>
        </is>
      </c>
      <c r="DW181" s="40" t="inlineStr">
        <is>
          <t>CHOOSE RATING</t>
        </is>
      </c>
      <c r="DX181" s="40" t="inlineStr">
        <is>
          <t>CHOOSE RATING</t>
        </is>
      </c>
      <c r="DY181" s="40" t="inlineStr">
        <is>
          <t>CHOOSE RATING</t>
        </is>
      </c>
      <c r="DZ181" s="53" t="inlineStr">
        <is>
          <t>CHOOSE RATING</t>
        </is>
      </c>
      <c r="EA181" s="54" t="inlineStr">
        <is>
          <t>Add the Tutor's Comment . . .</t>
        </is>
      </c>
      <c r="EB181" s="55" t="inlineStr">
        <is>
          <t>Choose Principals comment</t>
        </is>
      </c>
      <c r="EC181" s="56" t="n"/>
      <c r="ED181" s="57" t="inlineStr">
        <is>
          <t>Next Term Begins on Monday, 22nd September, 2025</t>
        </is>
      </c>
    </row>
    <row r="182" ht="30.6" customHeight="1" s="6">
      <c r="A182" s="18" t="n">
        <v>179</v>
      </c>
      <c r="B182" s="19" t="n"/>
      <c r="C182" s="20" t="n"/>
      <c r="D182" s="128" t="n"/>
      <c r="E182" s="21" t="n"/>
      <c r="F182" s="22" t="n"/>
      <c r="G182" s="22" t="n"/>
      <c r="H182" s="22" t="n"/>
      <c r="I182" s="26">
        <f>G182-H182</f>
        <v/>
      </c>
      <c r="J182" s="21" t="n"/>
      <c r="K182" s="21" t="n"/>
      <c r="L182" s="27">
        <f>SUM(J182:K182)</f>
        <v/>
      </c>
      <c r="M182" s="28" t="n"/>
      <c r="N182" s="28" t="n"/>
      <c r="O182" s="29">
        <f>IF(AND(L182=0,M182=0,N182=0),0,IF(AND(L182=0,M182=0),N182/1,IF(AND(L182=0,N182=0),M182/1,IF(AND(M182=0,N182=0),L182/1,IF(L182=0,FLOOR((M182+N182)/2,0.1),IF(M182=0,(L182+N182)/2,IF(N182=0,(M182+L182)/2,FLOOR(((L182+M182+N182)/3),0.1))))))))</f>
        <v/>
      </c>
      <c r="P182" s="21" t="n"/>
      <c r="Q182" s="21" t="n"/>
      <c r="R182" s="27">
        <f>SUM(P182:Q182)</f>
        <v/>
      </c>
      <c r="S182" s="28" t="n"/>
      <c r="T182" s="28" t="n"/>
      <c r="U182" s="29">
        <f>IF(AND(R182=0,S182=0,T182=0),0,IF(AND(R182=0,S182=0),T182/1,IF(AND(R182=0,T182=0),S182/1,IF(AND(S182=0,T182=0),R182/1,IF(R182=0,FLOOR((S182+T182)/2,0.1),IF(S182=0,(R182+T182)/2,IF(T182=0,(S182+R182)/2,FLOOR(((R182+S182+T182)/3),0.1))))))))</f>
        <v/>
      </c>
      <c r="V182" s="21" t="n"/>
      <c r="W182" s="21" t="n"/>
      <c r="X182" s="27">
        <f>SUM(V182:W182)</f>
        <v/>
      </c>
      <c r="Y182" s="28" t="n"/>
      <c r="Z182" s="28" t="n"/>
      <c r="AA182" s="29">
        <f>IF(AND(X182=0,Y182=0,Z182=0),0,IF(AND(X182=0,Y182=0),Z182/1,IF(AND(X182=0,Z182=0),Y182/1,IF(AND(Y182=0,Z182=0),X182/1,IF(X182=0,FLOOR((Y182+Z182)/2,0.1),IF(Y182=0,(X182+Z182)/2,IF(Z182=0,(Y182+X182)/2,FLOOR(((X182+Y182+Z182)/3),0.1))))))))</f>
        <v/>
      </c>
      <c r="AB182" s="21" t="n"/>
      <c r="AC182" s="21" t="n"/>
      <c r="AD182" s="27">
        <f>SUM(AB182:AC182)</f>
        <v/>
      </c>
      <c r="AE182" s="28" t="n"/>
      <c r="AF182" s="28" t="n"/>
      <c r="AG182" s="29">
        <f>IF(AND(AD182=0,AE182=0,AF182=0),0,IF(AND(AD182=0,AE182=0),AF182/1,IF(AND(AD182=0,AF182=0),AE182/1,IF(AND(AE182=0,AF182=0),AD182/1,IF(AD182=0,FLOOR((AE182+AF182)/2,0.1),IF(AE182=0,(AD182+AF182)/2,IF(AF182=0,(AE182+AD182)/2,FLOOR(((AD182+AE182+AF182)/3),0.1))))))))</f>
        <v/>
      </c>
      <c r="AH182" s="21" t="n"/>
      <c r="AI182" s="21" t="n"/>
      <c r="AJ182" s="27">
        <f>SUM(AH182:AI182)</f>
        <v/>
      </c>
      <c r="AK182" s="28" t="n"/>
      <c r="AL182" s="28" t="n"/>
      <c r="AM182" s="29">
        <f>IF(AND(AJ182=0,AK182=0,AL182=0),0,IF(AND(AJ182=0,AK182=0),AL182/1,IF(AND(AJ182=0,AL182=0),AK182/1,IF(AND(AK182=0,AL182=0),AJ182/1,IF(AJ182=0,FLOOR((AK182+AL182)/2,0.1),IF(AK182=0,(AJ182+AL182)/2,IF(AL182=0,(AK182+AJ182)/2,FLOOR(((AJ182+AK182+AL182)/3),0.1))))))))</f>
        <v/>
      </c>
      <c r="AN182" s="21" t="n"/>
      <c r="AO182" s="21" t="n"/>
      <c r="AP182" s="27">
        <f>SUM(AN182:AO182)</f>
        <v/>
      </c>
      <c r="AQ182" s="28" t="n"/>
      <c r="AR182" s="30" t="n"/>
      <c r="AS182" s="29">
        <f>IF(AND(AP182=0,AQ182=0,AR182=0),0,IF(AND(AP182=0,AQ182=0),AR182/1,IF(AND(AP182=0,AR182=0),AQ182/1,IF(AND(AQ182=0,AR182=0),AP182/1,IF(AP182=0,FLOOR((AQ182+AR182)/2,0.1),IF(AQ182=0,(AP182+AR182)/2,IF(AR182=0,(AQ182+AP182)/2,FLOOR(((AP182+AQ182+AR182)/3),0.1))))))))</f>
        <v/>
      </c>
      <c r="AT182" s="21" t="n"/>
      <c r="AU182" s="21" t="n"/>
      <c r="AV182" s="27">
        <f>SUM(AT182:AU182)</f>
        <v/>
      </c>
      <c r="AW182" s="28" t="n"/>
      <c r="AX182" s="30" t="n"/>
      <c r="AY182" s="29">
        <f>IF(AND(AV182=0,AW182=0,AX182=0),0,IF(AND(AV182=0,AW182=0),AX182/1,IF(AND(AV182=0,AX182=0),AW182/1,IF(AND(AW182=0,AX182=0),AV182/1,IF(AV182=0,FLOOR((AW182+AX182)/2,0.1),IF(AW182=0,(AV182+AX182)/2,IF(AX182=0,(AW182+AV182)/2,FLOOR(((AV182+AW182+AX182)/3),0.1))))))))</f>
        <v/>
      </c>
      <c r="AZ182" s="21" t="n"/>
      <c r="BA182" s="21" t="n"/>
      <c r="BB182" s="27">
        <f>SUM(AZ182:BA182)</f>
        <v/>
      </c>
      <c r="BC182" s="28" t="n"/>
      <c r="BD182" s="28" t="n"/>
      <c r="BE182" s="29">
        <f>IF(AND(BB182=0,BC182=0,BD182=0),0,IF(AND(BB182=0,BC182=0),BD182/1,IF(AND(BB182=0,BD182=0),BC182/1,IF(AND(BC182=0,BD182=0),BB182/1,IF(BB182=0,FLOOR((BC182+BD182)/2,0.1),IF(BC182=0,(BB182+BD182)/2,IF(BD182=0,(BC182+BB182)/2,FLOOR(((BB182+BC182+BD182)/3),0.1))))))))</f>
        <v/>
      </c>
      <c r="BF182" s="21" t="n"/>
      <c r="BG182" s="21" t="n"/>
      <c r="BH182" s="27">
        <f>SUM(BF182:BG182)</f>
        <v/>
      </c>
      <c r="BI182" s="28" t="n"/>
      <c r="BJ182" s="28" t="n"/>
      <c r="BK182" s="29">
        <f>IF(AND(BH182=0,BI182=0,BJ182=0),0,IF(AND(BH182=0,BI182=0),BJ182/1,IF(AND(BH182=0,BJ182=0),BI182/1,IF(AND(BI182=0,BJ182=0),BH182/1,IF(BH182=0,FLOOR((BI182+BJ182)/2,0.1),IF(BI182=0,(BH182+BJ182)/2,IF(BJ182=0,(BI182+BH182)/2,FLOOR(((BH182+BI182+BJ182)/3),0.1))))))))</f>
        <v/>
      </c>
      <c r="BL182" s="21" t="n"/>
      <c r="BM182" s="21" t="n"/>
      <c r="BN182" s="27">
        <f>SUM(BL182:BM182)</f>
        <v/>
      </c>
      <c r="BO182" s="28" t="n"/>
      <c r="BP182" s="31" t="n"/>
      <c r="BQ182" s="29">
        <f>IF(AND(BN182=0,BO182=0,BP182=0),0,IF(AND(BN182=0,BO182=0),BP182/1,IF(AND(BN182=0,BP182=0),BO182/1,IF(AND(BO182=0,BP182=0),BN182/1,IF(BN182=0,FLOOR((BO182+BP182)/2,0.1),IF(BO182=0,(BN182+BP182)/2,IF(BP182=0,(BO182+BN182)/2,FLOOR(((BN182+BO182+BP182)/3),0.1))))))))</f>
        <v/>
      </c>
      <c r="BR182" s="21" t="n"/>
      <c r="BS182" s="21" t="n"/>
      <c r="BT182" s="27">
        <f>SUM(BR182:BS182)</f>
        <v/>
      </c>
      <c r="BU182" s="28" t="n"/>
      <c r="BV182" s="31" t="n"/>
      <c r="BW182" s="29">
        <f>IF(AND(BT182=0,BU182=0,BV182=0),0,IF(AND(BT182=0,BU182=0),BV182/1,IF(AND(BT182=0,BV182=0),BU182/1,IF(AND(BU182=0,BV182=0),BT182/1,IF(BT182=0,FLOOR((BU182+BV182)/2,0.1),IF(BU182=0,(BT182+BV182)/2,IF(BV182=0,(BU182+BT182)/2,FLOOR(((BT182+BU182+BV182)/3),0.1))))))))</f>
        <v/>
      </c>
      <c r="BX182" s="21" t="n"/>
      <c r="BY182" s="21" t="n"/>
      <c r="BZ182" s="27">
        <f>SUM(BX182:BY182)</f>
        <v/>
      </c>
      <c r="CA182" s="28" t="n"/>
      <c r="CB182" s="31" t="n"/>
      <c r="CC182" s="29">
        <f>IF(AND(BZ182=0,CA182=0,CB182=0),0,IF(AND(BZ182=0,CA182=0),CB182/1,IF(AND(BZ182=0,CB182=0),CA182/1,IF(AND(CA182=0,CB182=0),BZ182/1,IF(BZ182=0,FLOOR((CA182+CB182)/2,0.1),IF(CA182=0,(BZ182+CB182)/2,IF(CB182=0,(CA182+BZ182)/2,FLOOR(((BZ182+CA182+CB182)/3),0.1))))))))</f>
        <v/>
      </c>
      <c r="CD182" s="21" t="n"/>
      <c r="CE182" s="21" t="n"/>
      <c r="CF182" s="27">
        <f>SUM(CD182:CE182)</f>
        <v/>
      </c>
      <c r="CG182" s="28" t="n"/>
      <c r="CH182" s="31" t="n"/>
      <c r="CI182" s="29">
        <f>IF(AND(CF182=0,CG182=0,CH182=0),0,IF(AND(CF182=0,CG182=0),CH182/1,IF(AND(CF182=0,CH182=0),CG182/1,IF(AND(CG182=0,CH182=0),CF182/1,IF(CF182=0,FLOOR((CG182+CH182)/2,0.1),IF(CG182=0,(CF182+CH182)/2,IF(CH182=0,(CG182+CF182)/2,FLOOR(((CF182+CG182+CH182)/3),0.1))))))))</f>
        <v/>
      </c>
      <c r="CJ182" s="21" t="n"/>
      <c r="CK182" s="21" t="n"/>
      <c r="CL182" s="27">
        <f>SUM(CJ182:CK182)</f>
        <v/>
      </c>
      <c r="CM182" s="28" t="n"/>
      <c r="CN182" s="31" t="n"/>
      <c r="CO182" s="29">
        <f>IF(AND(CL182=0,CM182=0,CN182=0),0,IF(AND(CL182=0,CM182=0),CN182/1,IF(AND(CL182=0,CN182=0),CM182/1,IF(AND(CM182=0,CN182=0),CL182/1,IF(CL182=0,FLOOR((CM182+CN182)/2,0.1),IF(CM182=0,(CL182+CN182)/2,IF(CN182=0,(CM182+CL182)/2,FLOOR(((CL182+CM182+CN182)/3),0.1))))))))</f>
        <v/>
      </c>
      <c r="CP182" s="21" t="n"/>
      <c r="CQ182" s="21" t="n"/>
      <c r="CR182" s="27">
        <f>SUM(CP182:CQ182)</f>
        <v/>
      </c>
      <c r="CS182" s="28" t="n"/>
      <c r="CT182" s="31" t="n"/>
      <c r="CU182" s="29">
        <f>IF(AND(CR182=0,CS182=0,CT182=0),0,IF(AND(CR182=0,CS182=0),CT182/1,IF(AND(CR182=0,CT182=0),CS182/1,IF(AND(CS182=0,CT182=0),CR182/1,IF(CR182=0,FLOOR((CS182+CT182)/2,0.1),IF(CS182=0,(CR182+CT182)/2,IF(CT182=0,(CS182+CR182)/2,FLOOR(((CR182+CS182+CT182)/3),0.1))))))))</f>
        <v/>
      </c>
      <c r="CV182" s="21" t="n"/>
      <c r="CW182" s="21" t="n"/>
      <c r="CX182" s="27">
        <f>SUM(CV182:CW182)</f>
        <v/>
      </c>
      <c r="CY182" s="28" t="n"/>
      <c r="CZ182" s="31" t="n"/>
      <c r="DA182" s="29">
        <f>IF(AND(CX182=0,CY182=0,CZ182=0),0,IF(AND(CX182=0,CY182=0),CZ182/1,IF(AND(CX182=0,CZ182=0),CY182/1,IF(AND(CY182=0,CZ182=0),CX182/1,IF(CX182=0,FLOOR((CY182+CZ182)/2,0.1),IF(CY182=0,(CX182+CZ182)/2,IF(CZ182=0,(CY182+CX182)/2,FLOOR(((CX182+CY182+CZ182)/3),0.1))))))))</f>
        <v/>
      </c>
      <c r="DB182" s="21" t="n"/>
      <c r="DC182" s="21" t="n"/>
      <c r="DD182" s="27">
        <f>SUM(DB182:DC182)</f>
        <v/>
      </c>
      <c r="DE182" s="28" t="n"/>
      <c r="DF182" s="31" t="n"/>
      <c r="DG182" s="29">
        <f>IF(AND(DD182=0,DE182=0,DF182=0),0,IF(AND(DD182=0,DE182=0),DF182/1,IF(AND(DD182=0,DF182=0),DE182/1,IF(AND(DE182=0,DF182=0),DD182/1,IF(DD182=0,FLOOR((DE182+DF182)/2,0.1),IF(DE182=0,(DD182+DF182)/2,IF(DF182=0,(DE182+DD182)/2,FLOOR(((DD182+DE182+DF182)/3),0.1))))))))</f>
        <v/>
      </c>
      <c r="DH182" s="34">
        <f>SUM(O182,U182,AA182,AG182,AM182,AS182,AY182,BE182,BK182,BQ182,BW182,CC182,CI182,CO182,CU182,DA182,DG182)</f>
        <v/>
      </c>
      <c r="DI182" s="39">
        <f>RANK(DH182,DH$4:DH$503)</f>
        <v/>
      </c>
      <c r="DJ182" s="40" t="inlineStr">
        <is>
          <t>CHOOSE RATING</t>
        </is>
      </c>
      <c r="DK182" s="40" t="inlineStr">
        <is>
          <t>CHOOSE RATING</t>
        </is>
      </c>
      <c r="DL182" s="40" t="inlineStr">
        <is>
          <t>CHOOSE RATING</t>
        </is>
      </c>
      <c r="DM182" s="40" t="inlineStr">
        <is>
          <t>CHOOSE RATING</t>
        </is>
      </c>
      <c r="DN182" s="40" t="inlineStr">
        <is>
          <t>CHOOSE RATING</t>
        </is>
      </c>
      <c r="DO182" s="40" t="inlineStr">
        <is>
          <t>CHOOSE RATING</t>
        </is>
      </c>
      <c r="DP182" s="40" t="inlineStr">
        <is>
          <t>CHOOSE RATING</t>
        </is>
      </c>
      <c r="DQ182" s="40" t="inlineStr">
        <is>
          <t>CHOOSE RATING</t>
        </is>
      </c>
      <c r="DR182" s="43" t="inlineStr">
        <is>
          <t>2024/2025</t>
        </is>
      </c>
      <c r="DS182" s="45" t="inlineStr">
        <is>
          <t>THIRD</t>
        </is>
      </c>
      <c r="DT182" s="40" t="inlineStr">
        <is>
          <t>CHOOSE RATING</t>
        </is>
      </c>
      <c r="DU182" s="40" t="inlineStr">
        <is>
          <t>CHOOSE RATING</t>
        </is>
      </c>
      <c r="DV182" s="40" t="inlineStr">
        <is>
          <t>CHOOSE RATING</t>
        </is>
      </c>
      <c r="DW182" s="40" t="inlineStr">
        <is>
          <t>CHOOSE RATING</t>
        </is>
      </c>
      <c r="DX182" s="40" t="inlineStr">
        <is>
          <t>CHOOSE RATING</t>
        </is>
      </c>
      <c r="DY182" s="40" t="inlineStr">
        <is>
          <t>CHOOSE RATING</t>
        </is>
      </c>
      <c r="DZ182" s="53" t="inlineStr">
        <is>
          <t>CHOOSE RATING</t>
        </is>
      </c>
      <c r="EA182" s="54" t="inlineStr">
        <is>
          <t>Add the Tutor's Comment . . .</t>
        </is>
      </c>
      <c r="EB182" s="55" t="inlineStr">
        <is>
          <t>Choose Principals comment</t>
        </is>
      </c>
      <c r="EC182" s="56" t="n"/>
      <c r="ED182" s="57" t="inlineStr">
        <is>
          <t>Next Term Begins on Monday, 22nd September, 2025</t>
        </is>
      </c>
    </row>
    <row r="183" ht="30.6" customHeight="1" s="6">
      <c r="A183" s="18" t="n">
        <v>180</v>
      </c>
      <c r="B183" s="19" t="n"/>
      <c r="C183" s="20" t="n"/>
      <c r="D183" s="128" t="n"/>
      <c r="E183" s="21" t="n"/>
      <c r="F183" s="22" t="n"/>
      <c r="G183" s="22" t="n"/>
      <c r="H183" s="22" t="n"/>
      <c r="I183" s="26">
        <f>G183-H183</f>
        <v/>
      </c>
      <c r="J183" s="21" t="n"/>
      <c r="K183" s="21" t="n"/>
      <c r="L183" s="27">
        <f>SUM(J183:K183)</f>
        <v/>
      </c>
      <c r="M183" s="28" t="n"/>
      <c r="N183" s="28" t="n"/>
      <c r="O183" s="29">
        <f>IF(AND(L183=0,M183=0,N183=0),0,IF(AND(L183=0,M183=0),N183/1,IF(AND(L183=0,N183=0),M183/1,IF(AND(M183=0,N183=0),L183/1,IF(L183=0,FLOOR((M183+N183)/2,0.1),IF(M183=0,(L183+N183)/2,IF(N183=0,(M183+L183)/2,FLOOR(((L183+M183+N183)/3),0.1))))))))</f>
        <v/>
      </c>
      <c r="P183" s="21" t="n"/>
      <c r="Q183" s="21" t="n"/>
      <c r="R183" s="27">
        <f>SUM(P183:Q183)</f>
        <v/>
      </c>
      <c r="S183" s="28" t="n"/>
      <c r="T183" s="28" t="n"/>
      <c r="U183" s="29">
        <f>IF(AND(R183=0,S183=0,T183=0),0,IF(AND(R183=0,S183=0),T183/1,IF(AND(R183=0,T183=0),S183/1,IF(AND(S183=0,T183=0),R183/1,IF(R183=0,FLOOR((S183+T183)/2,0.1),IF(S183=0,(R183+T183)/2,IF(T183=0,(S183+R183)/2,FLOOR(((R183+S183+T183)/3),0.1))))))))</f>
        <v/>
      </c>
      <c r="V183" s="21" t="n"/>
      <c r="W183" s="21" t="n"/>
      <c r="X183" s="27">
        <f>SUM(V183:W183)</f>
        <v/>
      </c>
      <c r="Y183" s="28" t="n"/>
      <c r="Z183" s="28" t="n"/>
      <c r="AA183" s="29">
        <f>IF(AND(X183=0,Y183=0,Z183=0),0,IF(AND(X183=0,Y183=0),Z183/1,IF(AND(X183=0,Z183=0),Y183/1,IF(AND(Y183=0,Z183=0),X183/1,IF(X183=0,FLOOR((Y183+Z183)/2,0.1),IF(Y183=0,(X183+Z183)/2,IF(Z183=0,(Y183+X183)/2,FLOOR(((X183+Y183+Z183)/3),0.1))))))))</f>
        <v/>
      </c>
      <c r="AB183" s="21" t="n"/>
      <c r="AC183" s="21" t="n"/>
      <c r="AD183" s="27">
        <f>SUM(AB183:AC183)</f>
        <v/>
      </c>
      <c r="AE183" s="28" t="n"/>
      <c r="AF183" s="28" t="n"/>
      <c r="AG183" s="29">
        <f>IF(AND(AD183=0,AE183=0,AF183=0),0,IF(AND(AD183=0,AE183=0),AF183/1,IF(AND(AD183=0,AF183=0),AE183/1,IF(AND(AE183=0,AF183=0),AD183/1,IF(AD183=0,FLOOR((AE183+AF183)/2,0.1),IF(AE183=0,(AD183+AF183)/2,IF(AF183=0,(AE183+AD183)/2,FLOOR(((AD183+AE183+AF183)/3),0.1))))))))</f>
        <v/>
      </c>
      <c r="AH183" s="21" t="n"/>
      <c r="AI183" s="21" t="n"/>
      <c r="AJ183" s="27">
        <f>SUM(AH183:AI183)</f>
        <v/>
      </c>
      <c r="AK183" s="28" t="n"/>
      <c r="AL183" s="28" t="n"/>
      <c r="AM183" s="29">
        <f>IF(AND(AJ183=0,AK183=0,AL183=0),0,IF(AND(AJ183=0,AK183=0),AL183/1,IF(AND(AJ183=0,AL183=0),AK183/1,IF(AND(AK183=0,AL183=0),AJ183/1,IF(AJ183=0,FLOOR((AK183+AL183)/2,0.1),IF(AK183=0,(AJ183+AL183)/2,IF(AL183=0,(AK183+AJ183)/2,FLOOR(((AJ183+AK183+AL183)/3),0.1))))))))</f>
        <v/>
      </c>
      <c r="AN183" s="21" t="n"/>
      <c r="AO183" s="21" t="n"/>
      <c r="AP183" s="27">
        <f>SUM(AN183:AO183)</f>
        <v/>
      </c>
      <c r="AQ183" s="28" t="n"/>
      <c r="AR183" s="30" t="n"/>
      <c r="AS183" s="29">
        <f>IF(AND(AP183=0,AQ183=0,AR183=0),0,IF(AND(AP183=0,AQ183=0),AR183/1,IF(AND(AP183=0,AR183=0),AQ183/1,IF(AND(AQ183=0,AR183=0),AP183/1,IF(AP183=0,FLOOR((AQ183+AR183)/2,0.1),IF(AQ183=0,(AP183+AR183)/2,IF(AR183=0,(AQ183+AP183)/2,FLOOR(((AP183+AQ183+AR183)/3),0.1))))))))</f>
        <v/>
      </c>
      <c r="AT183" s="21" t="n"/>
      <c r="AU183" s="21" t="n"/>
      <c r="AV183" s="27">
        <f>SUM(AT183:AU183)</f>
        <v/>
      </c>
      <c r="AW183" s="28" t="n"/>
      <c r="AX183" s="30" t="n"/>
      <c r="AY183" s="29">
        <f>IF(AND(AV183=0,AW183=0,AX183=0),0,IF(AND(AV183=0,AW183=0),AX183/1,IF(AND(AV183=0,AX183=0),AW183/1,IF(AND(AW183=0,AX183=0),AV183/1,IF(AV183=0,FLOOR((AW183+AX183)/2,0.1),IF(AW183=0,(AV183+AX183)/2,IF(AX183=0,(AW183+AV183)/2,FLOOR(((AV183+AW183+AX183)/3),0.1))))))))</f>
        <v/>
      </c>
      <c r="AZ183" s="21" t="n"/>
      <c r="BA183" s="21" t="n"/>
      <c r="BB183" s="27">
        <f>SUM(AZ183:BA183)</f>
        <v/>
      </c>
      <c r="BC183" s="28" t="n"/>
      <c r="BD183" s="28" t="n"/>
      <c r="BE183" s="29">
        <f>IF(AND(BB183=0,BC183=0,BD183=0),0,IF(AND(BB183=0,BC183=0),BD183/1,IF(AND(BB183=0,BD183=0),BC183/1,IF(AND(BC183=0,BD183=0),BB183/1,IF(BB183=0,FLOOR((BC183+BD183)/2,0.1),IF(BC183=0,(BB183+BD183)/2,IF(BD183=0,(BC183+BB183)/2,FLOOR(((BB183+BC183+BD183)/3),0.1))))))))</f>
        <v/>
      </c>
      <c r="BF183" s="21" t="n"/>
      <c r="BG183" s="21" t="n"/>
      <c r="BH183" s="27">
        <f>SUM(BF183:BG183)</f>
        <v/>
      </c>
      <c r="BI183" s="28" t="n"/>
      <c r="BJ183" s="28" t="n"/>
      <c r="BK183" s="29">
        <f>IF(AND(BH183=0,BI183=0,BJ183=0),0,IF(AND(BH183=0,BI183=0),BJ183/1,IF(AND(BH183=0,BJ183=0),BI183/1,IF(AND(BI183=0,BJ183=0),BH183/1,IF(BH183=0,FLOOR((BI183+BJ183)/2,0.1),IF(BI183=0,(BH183+BJ183)/2,IF(BJ183=0,(BI183+BH183)/2,FLOOR(((BH183+BI183+BJ183)/3),0.1))))))))</f>
        <v/>
      </c>
      <c r="BL183" s="21" t="n"/>
      <c r="BM183" s="21" t="n"/>
      <c r="BN183" s="27">
        <f>SUM(BL183:BM183)</f>
        <v/>
      </c>
      <c r="BO183" s="28" t="n"/>
      <c r="BP183" s="31" t="n"/>
      <c r="BQ183" s="29">
        <f>IF(AND(BN183=0,BO183=0,BP183=0),0,IF(AND(BN183=0,BO183=0),BP183/1,IF(AND(BN183=0,BP183=0),BO183/1,IF(AND(BO183=0,BP183=0),BN183/1,IF(BN183=0,FLOOR((BO183+BP183)/2,0.1),IF(BO183=0,(BN183+BP183)/2,IF(BP183=0,(BO183+BN183)/2,FLOOR(((BN183+BO183+BP183)/3),0.1))))))))</f>
        <v/>
      </c>
      <c r="BR183" s="21" t="n"/>
      <c r="BS183" s="21" t="n"/>
      <c r="BT183" s="27">
        <f>SUM(BR183:BS183)</f>
        <v/>
      </c>
      <c r="BU183" s="28" t="n"/>
      <c r="BV183" s="31" t="n"/>
      <c r="BW183" s="29">
        <f>IF(AND(BT183=0,BU183=0,BV183=0),0,IF(AND(BT183=0,BU183=0),BV183/1,IF(AND(BT183=0,BV183=0),BU183/1,IF(AND(BU183=0,BV183=0),BT183/1,IF(BT183=0,FLOOR((BU183+BV183)/2,0.1),IF(BU183=0,(BT183+BV183)/2,IF(BV183=0,(BU183+BT183)/2,FLOOR(((BT183+BU183+BV183)/3),0.1))))))))</f>
        <v/>
      </c>
      <c r="BX183" s="21" t="n"/>
      <c r="BY183" s="21" t="n"/>
      <c r="BZ183" s="27">
        <f>SUM(BX183:BY183)</f>
        <v/>
      </c>
      <c r="CA183" s="28" t="n"/>
      <c r="CB183" s="31" t="n"/>
      <c r="CC183" s="29">
        <f>IF(AND(BZ183=0,CA183=0,CB183=0),0,IF(AND(BZ183=0,CA183=0),CB183/1,IF(AND(BZ183=0,CB183=0),CA183/1,IF(AND(CA183=0,CB183=0),BZ183/1,IF(BZ183=0,FLOOR((CA183+CB183)/2,0.1),IF(CA183=0,(BZ183+CB183)/2,IF(CB183=0,(CA183+BZ183)/2,FLOOR(((BZ183+CA183+CB183)/3),0.1))))))))</f>
        <v/>
      </c>
      <c r="CD183" s="21" t="n"/>
      <c r="CE183" s="21" t="n"/>
      <c r="CF183" s="27">
        <f>SUM(CD183:CE183)</f>
        <v/>
      </c>
      <c r="CG183" s="28" t="n"/>
      <c r="CH183" s="31" t="n"/>
      <c r="CI183" s="29">
        <f>IF(AND(CF183=0,CG183=0,CH183=0),0,IF(AND(CF183=0,CG183=0),CH183/1,IF(AND(CF183=0,CH183=0),CG183/1,IF(AND(CG183=0,CH183=0),CF183/1,IF(CF183=0,FLOOR((CG183+CH183)/2,0.1),IF(CG183=0,(CF183+CH183)/2,IF(CH183=0,(CG183+CF183)/2,FLOOR(((CF183+CG183+CH183)/3),0.1))))))))</f>
        <v/>
      </c>
      <c r="CJ183" s="21" t="n"/>
      <c r="CK183" s="21" t="n"/>
      <c r="CL183" s="27">
        <f>SUM(CJ183:CK183)</f>
        <v/>
      </c>
      <c r="CM183" s="28" t="n"/>
      <c r="CN183" s="31" t="n"/>
      <c r="CO183" s="29">
        <f>IF(AND(CL183=0,CM183=0,CN183=0),0,IF(AND(CL183=0,CM183=0),CN183/1,IF(AND(CL183=0,CN183=0),CM183/1,IF(AND(CM183=0,CN183=0),CL183/1,IF(CL183=0,FLOOR((CM183+CN183)/2,0.1),IF(CM183=0,(CL183+CN183)/2,IF(CN183=0,(CM183+CL183)/2,FLOOR(((CL183+CM183+CN183)/3),0.1))))))))</f>
        <v/>
      </c>
      <c r="CP183" s="21" t="n"/>
      <c r="CQ183" s="21" t="n"/>
      <c r="CR183" s="27">
        <f>SUM(CP183:CQ183)</f>
        <v/>
      </c>
      <c r="CS183" s="28" t="n"/>
      <c r="CT183" s="31" t="n"/>
      <c r="CU183" s="29">
        <f>IF(AND(CR183=0,CS183=0,CT183=0),0,IF(AND(CR183=0,CS183=0),CT183/1,IF(AND(CR183=0,CT183=0),CS183/1,IF(AND(CS183=0,CT183=0),CR183/1,IF(CR183=0,FLOOR((CS183+CT183)/2,0.1),IF(CS183=0,(CR183+CT183)/2,IF(CT183=0,(CS183+CR183)/2,FLOOR(((CR183+CS183+CT183)/3),0.1))))))))</f>
        <v/>
      </c>
      <c r="CV183" s="21" t="n"/>
      <c r="CW183" s="21" t="n"/>
      <c r="CX183" s="27">
        <f>SUM(CV183:CW183)</f>
        <v/>
      </c>
      <c r="CY183" s="28" t="n"/>
      <c r="CZ183" s="31" t="n"/>
      <c r="DA183" s="29">
        <f>IF(AND(CX183=0,CY183=0,CZ183=0),0,IF(AND(CX183=0,CY183=0),CZ183/1,IF(AND(CX183=0,CZ183=0),CY183/1,IF(AND(CY183=0,CZ183=0),CX183/1,IF(CX183=0,FLOOR((CY183+CZ183)/2,0.1),IF(CY183=0,(CX183+CZ183)/2,IF(CZ183=0,(CY183+CX183)/2,FLOOR(((CX183+CY183+CZ183)/3),0.1))))))))</f>
        <v/>
      </c>
      <c r="DB183" s="21" t="n"/>
      <c r="DC183" s="21" t="n"/>
      <c r="DD183" s="27">
        <f>SUM(DB183:DC183)</f>
        <v/>
      </c>
      <c r="DE183" s="28" t="n"/>
      <c r="DF183" s="31" t="n"/>
      <c r="DG183" s="29">
        <f>IF(AND(DD183=0,DE183=0,DF183=0),0,IF(AND(DD183=0,DE183=0),DF183/1,IF(AND(DD183=0,DF183=0),DE183/1,IF(AND(DE183=0,DF183=0),DD183/1,IF(DD183=0,FLOOR((DE183+DF183)/2,0.1),IF(DE183=0,(DD183+DF183)/2,IF(DF183=0,(DE183+DD183)/2,FLOOR(((DD183+DE183+DF183)/3),0.1))))))))</f>
        <v/>
      </c>
      <c r="DH183" s="34">
        <f>SUM(O183,U183,AA183,AG183,AM183,AS183,AY183,BE183,BK183,BQ183,BW183,CC183,CI183,CO183,CU183,DA183,DG183)</f>
        <v/>
      </c>
      <c r="DI183" s="39">
        <f>RANK(DH183,DH$4:DH$503)</f>
        <v/>
      </c>
      <c r="DJ183" s="40" t="inlineStr">
        <is>
          <t>CHOOSE RATING</t>
        </is>
      </c>
      <c r="DK183" s="40" t="inlineStr">
        <is>
          <t>CHOOSE RATING</t>
        </is>
      </c>
      <c r="DL183" s="40" t="inlineStr">
        <is>
          <t>CHOOSE RATING</t>
        </is>
      </c>
      <c r="DM183" s="40" t="inlineStr">
        <is>
          <t>CHOOSE RATING</t>
        </is>
      </c>
      <c r="DN183" s="40" t="inlineStr">
        <is>
          <t>CHOOSE RATING</t>
        </is>
      </c>
      <c r="DO183" s="40" t="inlineStr">
        <is>
          <t>CHOOSE RATING</t>
        </is>
      </c>
      <c r="DP183" s="40" t="inlineStr">
        <is>
          <t>CHOOSE RATING</t>
        </is>
      </c>
      <c r="DQ183" s="40" t="inlineStr">
        <is>
          <t>CHOOSE RATING</t>
        </is>
      </c>
      <c r="DR183" s="43" t="inlineStr">
        <is>
          <t>2024/2025</t>
        </is>
      </c>
      <c r="DS183" s="45" t="inlineStr">
        <is>
          <t>THIRD</t>
        </is>
      </c>
      <c r="DT183" s="40" t="inlineStr">
        <is>
          <t>CHOOSE RATING</t>
        </is>
      </c>
      <c r="DU183" s="40" t="inlineStr">
        <is>
          <t>CHOOSE RATING</t>
        </is>
      </c>
      <c r="DV183" s="40" t="inlineStr">
        <is>
          <t>CHOOSE RATING</t>
        </is>
      </c>
      <c r="DW183" s="40" t="inlineStr">
        <is>
          <t>CHOOSE RATING</t>
        </is>
      </c>
      <c r="DX183" s="40" t="inlineStr">
        <is>
          <t>CHOOSE RATING</t>
        </is>
      </c>
      <c r="DY183" s="40" t="inlineStr">
        <is>
          <t>CHOOSE RATING</t>
        </is>
      </c>
      <c r="DZ183" s="53" t="inlineStr">
        <is>
          <t>CHOOSE RATING</t>
        </is>
      </c>
      <c r="EA183" s="54" t="inlineStr">
        <is>
          <t>Add the Tutor's Comment . . .</t>
        </is>
      </c>
      <c r="EB183" s="55" t="inlineStr">
        <is>
          <t>Choose Principals comment</t>
        </is>
      </c>
      <c r="EC183" s="56" t="n"/>
      <c r="ED183" s="57" t="inlineStr">
        <is>
          <t>Next Term Begins on Monday, 22nd September, 2025</t>
        </is>
      </c>
    </row>
    <row r="184" ht="30.6" customHeight="1" s="6">
      <c r="A184" s="18" t="n">
        <v>181</v>
      </c>
      <c r="B184" s="19" t="n"/>
      <c r="C184" s="20" t="n"/>
      <c r="D184" s="128" t="n"/>
      <c r="E184" s="21" t="n"/>
      <c r="F184" s="22" t="n"/>
      <c r="G184" s="22" t="n"/>
      <c r="H184" s="22" t="n"/>
      <c r="I184" s="26">
        <f>G184-H184</f>
        <v/>
      </c>
      <c r="J184" s="21" t="n"/>
      <c r="K184" s="21" t="n"/>
      <c r="L184" s="27">
        <f>SUM(J184:K184)</f>
        <v/>
      </c>
      <c r="M184" s="28" t="n"/>
      <c r="N184" s="28" t="n"/>
      <c r="O184" s="29">
        <f>IF(AND(L184=0,M184=0,N184=0),0,IF(AND(L184=0,M184=0),N184/1,IF(AND(L184=0,N184=0),M184/1,IF(AND(M184=0,N184=0),L184/1,IF(L184=0,FLOOR((M184+N184)/2,0.1),IF(M184=0,(L184+N184)/2,IF(N184=0,(M184+L184)/2,FLOOR(((L184+M184+N184)/3),0.1))))))))</f>
        <v/>
      </c>
      <c r="P184" s="21" t="n"/>
      <c r="Q184" s="21" t="n"/>
      <c r="R184" s="27">
        <f>SUM(P184:Q184)</f>
        <v/>
      </c>
      <c r="S184" s="28" t="n"/>
      <c r="T184" s="28" t="n"/>
      <c r="U184" s="29">
        <f>IF(AND(R184=0,S184=0,T184=0),0,IF(AND(R184=0,S184=0),T184/1,IF(AND(R184=0,T184=0),S184/1,IF(AND(S184=0,T184=0),R184/1,IF(R184=0,FLOOR((S184+T184)/2,0.1),IF(S184=0,(R184+T184)/2,IF(T184=0,(S184+R184)/2,FLOOR(((R184+S184+T184)/3),0.1))))))))</f>
        <v/>
      </c>
      <c r="V184" s="21" t="n"/>
      <c r="W184" s="21" t="n"/>
      <c r="X184" s="27">
        <f>SUM(V184:W184)</f>
        <v/>
      </c>
      <c r="Y184" s="28" t="n"/>
      <c r="Z184" s="28" t="n"/>
      <c r="AA184" s="29">
        <f>IF(AND(X184=0,Y184=0,Z184=0),0,IF(AND(X184=0,Y184=0),Z184/1,IF(AND(X184=0,Z184=0),Y184/1,IF(AND(Y184=0,Z184=0),X184/1,IF(X184=0,FLOOR((Y184+Z184)/2,0.1),IF(Y184=0,(X184+Z184)/2,IF(Z184=0,(Y184+X184)/2,FLOOR(((X184+Y184+Z184)/3),0.1))))))))</f>
        <v/>
      </c>
      <c r="AB184" s="21" t="n"/>
      <c r="AC184" s="21" t="n"/>
      <c r="AD184" s="27">
        <f>SUM(AB184:AC184)</f>
        <v/>
      </c>
      <c r="AE184" s="28" t="n"/>
      <c r="AF184" s="28" t="n"/>
      <c r="AG184" s="29">
        <f>IF(AND(AD184=0,AE184=0,AF184=0),0,IF(AND(AD184=0,AE184=0),AF184/1,IF(AND(AD184=0,AF184=0),AE184/1,IF(AND(AE184=0,AF184=0),AD184/1,IF(AD184=0,FLOOR((AE184+AF184)/2,0.1),IF(AE184=0,(AD184+AF184)/2,IF(AF184=0,(AE184+AD184)/2,FLOOR(((AD184+AE184+AF184)/3),0.1))))))))</f>
        <v/>
      </c>
      <c r="AH184" s="21" t="n"/>
      <c r="AI184" s="21" t="n"/>
      <c r="AJ184" s="27">
        <f>SUM(AH184:AI184)</f>
        <v/>
      </c>
      <c r="AK184" s="28" t="n"/>
      <c r="AL184" s="28" t="n"/>
      <c r="AM184" s="29">
        <f>IF(AND(AJ184=0,AK184=0,AL184=0),0,IF(AND(AJ184=0,AK184=0),AL184/1,IF(AND(AJ184=0,AL184=0),AK184/1,IF(AND(AK184=0,AL184=0),AJ184/1,IF(AJ184=0,FLOOR((AK184+AL184)/2,0.1),IF(AK184=0,(AJ184+AL184)/2,IF(AL184=0,(AK184+AJ184)/2,FLOOR(((AJ184+AK184+AL184)/3),0.1))))))))</f>
        <v/>
      </c>
      <c r="AN184" s="21" t="n"/>
      <c r="AO184" s="21" t="n"/>
      <c r="AP184" s="27">
        <f>SUM(AN184:AO184)</f>
        <v/>
      </c>
      <c r="AQ184" s="28" t="n"/>
      <c r="AR184" s="30" t="n"/>
      <c r="AS184" s="29">
        <f>IF(AND(AP184=0,AQ184=0,AR184=0),0,IF(AND(AP184=0,AQ184=0),AR184/1,IF(AND(AP184=0,AR184=0),AQ184/1,IF(AND(AQ184=0,AR184=0),AP184/1,IF(AP184=0,FLOOR((AQ184+AR184)/2,0.1),IF(AQ184=0,(AP184+AR184)/2,IF(AR184=0,(AQ184+AP184)/2,FLOOR(((AP184+AQ184+AR184)/3),0.1))))))))</f>
        <v/>
      </c>
      <c r="AT184" s="21" t="n"/>
      <c r="AU184" s="21" t="n"/>
      <c r="AV184" s="27">
        <f>SUM(AT184:AU184)</f>
        <v/>
      </c>
      <c r="AW184" s="28" t="n"/>
      <c r="AX184" s="30" t="n"/>
      <c r="AY184" s="29">
        <f>IF(AND(AV184=0,AW184=0,AX184=0),0,IF(AND(AV184=0,AW184=0),AX184/1,IF(AND(AV184=0,AX184=0),AW184/1,IF(AND(AW184=0,AX184=0),AV184/1,IF(AV184=0,FLOOR((AW184+AX184)/2,0.1),IF(AW184=0,(AV184+AX184)/2,IF(AX184=0,(AW184+AV184)/2,FLOOR(((AV184+AW184+AX184)/3),0.1))))))))</f>
        <v/>
      </c>
      <c r="AZ184" s="21" t="n"/>
      <c r="BA184" s="21" t="n"/>
      <c r="BB184" s="27">
        <f>SUM(AZ184:BA184)</f>
        <v/>
      </c>
      <c r="BC184" s="28" t="n"/>
      <c r="BD184" s="28" t="n"/>
      <c r="BE184" s="29">
        <f>IF(AND(BB184=0,BC184=0,BD184=0),0,IF(AND(BB184=0,BC184=0),BD184/1,IF(AND(BB184=0,BD184=0),BC184/1,IF(AND(BC184=0,BD184=0),BB184/1,IF(BB184=0,FLOOR((BC184+BD184)/2,0.1),IF(BC184=0,(BB184+BD184)/2,IF(BD184=0,(BC184+BB184)/2,FLOOR(((BB184+BC184+BD184)/3),0.1))))))))</f>
        <v/>
      </c>
      <c r="BF184" s="21" t="n"/>
      <c r="BG184" s="21" t="n"/>
      <c r="BH184" s="27">
        <f>SUM(BF184:BG184)</f>
        <v/>
      </c>
      <c r="BI184" s="28" t="n"/>
      <c r="BJ184" s="28" t="n"/>
      <c r="BK184" s="29">
        <f>IF(AND(BH184=0,BI184=0,BJ184=0),0,IF(AND(BH184=0,BI184=0),BJ184/1,IF(AND(BH184=0,BJ184=0),BI184/1,IF(AND(BI184=0,BJ184=0),BH184/1,IF(BH184=0,FLOOR((BI184+BJ184)/2,0.1),IF(BI184=0,(BH184+BJ184)/2,IF(BJ184=0,(BI184+BH184)/2,FLOOR(((BH184+BI184+BJ184)/3),0.1))))))))</f>
        <v/>
      </c>
      <c r="BL184" s="21" t="n"/>
      <c r="BM184" s="21" t="n"/>
      <c r="BN184" s="27">
        <f>SUM(BL184:BM184)</f>
        <v/>
      </c>
      <c r="BO184" s="28" t="n"/>
      <c r="BP184" s="31" t="n"/>
      <c r="BQ184" s="29">
        <f>IF(AND(BN184=0,BO184=0,BP184=0),0,IF(AND(BN184=0,BO184=0),BP184/1,IF(AND(BN184=0,BP184=0),BO184/1,IF(AND(BO184=0,BP184=0),BN184/1,IF(BN184=0,FLOOR((BO184+BP184)/2,0.1),IF(BO184=0,(BN184+BP184)/2,IF(BP184=0,(BO184+BN184)/2,FLOOR(((BN184+BO184+BP184)/3),0.1))))))))</f>
        <v/>
      </c>
      <c r="BR184" s="21" t="n"/>
      <c r="BS184" s="21" t="n"/>
      <c r="BT184" s="27">
        <f>SUM(BR184:BS184)</f>
        <v/>
      </c>
      <c r="BU184" s="28" t="n"/>
      <c r="BV184" s="31" t="n"/>
      <c r="BW184" s="29">
        <f>IF(AND(BT184=0,BU184=0,BV184=0),0,IF(AND(BT184=0,BU184=0),BV184/1,IF(AND(BT184=0,BV184=0),BU184/1,IF(AND(BU184=0,BV184=0),BT184/1,IF(BT184=0,FLOOR((BU184+BV184)/2,0.1),IF(BU184=0,(BT184+BV184)/2,IF(BV184=0,(BU184+BT184)/2,FLOOR(((BT184+BU184+BV184)/3),0.1))))))))</f>
        <v/>
      </c>
      <c r="BX184" s="21" t="n"/>
      <c r="BY184" s="21" t="n"/>
      <c r="BZ184" s="27">
        <f>SUM(BX184:BY184)</f>
        <v/>
      </c>
      <c r="CA184" s="28" t="n"/>
      <c r="CB184" s="31" t="n"/>
      <c r="CC184" s="29">
        <f>IF(AND(BZ184=0,CA184=0,CB184=0),0,IF(AND(BZ184=0,CA184=0),CB184/1,IF(AND(BZ184=0,CB184=0),CA184/1,IF(AND(CA184=0,CB184=0),BZ184/1,IF(BZ184=0,FLOOR((CA184+CB184)/2,0.1),IF(CA184=0,(BZ184+CB184)/2,IF(CB184=0,(CA184+BZ184)/2,FLOOR(((BZ184+CA184+CB184)/3),0.1))))))))</f>
        <v/>
      </c>
      <c r="CD184" s="21" t="n"/>
      <c r="CE184" s="21" t="n"/>
      <c r="CF184" s="27">
        <f>SUM(CD184:CE184)</f>
        <v/>
      </c>
      <c r="CG184" s="28" t="n"/>
      <c r="CH184" s="31" t="n"/>
      <c r="CI184" s="29">
        <f>IF(AND(CF184=0,CG184=0,CH184=0),0,IF(AND(CF184=0,CG184=0),CH184/1,IF(AND(CF184=0,CH184=0),CG184/1,IF(AND(CG184=0,CH184=0),CF184/1,IF(CF184=0,FLOOR((CG184+CH184)/2,0.1),IF(CG184=0,(CF184+CH184)/2,IF(CH184=0,(CG184+CF184)/2,FLOOR(((CF184+CG184+CH184)/3),0.1))))))))</f>
        <v/>
      </c>
      <c r="CJ184" s="21" t="n"/>
      <c r="CK184" s="21" t="n"/>
      <c r="CL184" s="27">
        <f>SUM(CJ184:CK184)</f>
        <v/>
      </c>
      <c r="CM184" s="28" t="n"/>
      <c r="CN184" s="31" t="n"/>
      <c r="CO184" s="29">
        <f>IF(AND(CL184=0,CM184=0,CN184=0),0,IF(AND(CL184=0,CM184=0),CN184/1,IF(AND(CL184=0,CN184=0),CM184/1,IF(AND(CM184=0,CN184=0),CL184/1,IF(CL184=0,FLOOR((CM184+CN184)/2,0.1),IF(CM184=0,(CL184+CN184)/2,IF(CN184=0,(CM184+CL184)/2,FLOOR(((CL184+CM184+CN184)/3),0.1))))))))</f>
        <v/>
      </c>
      <c r="CP184" s="21" t="n"/>
      <c r="CQ184" s="21" t="n"/>
      <c r="CR184" s="27">
        <f>SUM(CP184:CQ184)</f>
        <v/>
      </c>
      <c r="CS184" s="28" t="n"/>
      <c r="CT184" s="31" t="n"/>
      <c r="CU184" s="29">
        <f>IF(AND(CR184=0,CS184=0,CT184=0),0,IF(AND(CR184=0,CS184=0),CT184/1,IF(AND(CR184=0,CT184=0),CS184/1,IF(AND(CS184=0,CT184=0),CR184/1,IF(CR184=0,FLOOR((CS184+CT184)/2,0.1),IF(CS184=0,(CR184+CT184)/2,IF(CT184=0,(CS184+CR184)/2,FLOOR(((CR184+CS184+CT184)/3),0.1))))))))</f>
        <v/>
      </c>
      <c r="CV184" s="21" t="n"/>
      <c r="CW184" s="21" t="n"/>
      <c r="CX184" s="27">
        <f>SUM(CV184:CW184)</f>
        <v/>
      </c>
      <c r="CY184" s="28" t="n"/>
      <c r="CZ184" s="31" t="n"/>
      <c r="DA184" s="29">
        <f>IF(AND(CX184=0,CY184=0,CZ184=0),0,IF(AND(CX184=0,CY184=0),CZ184/1,IF(AND(CX184=0,CZ184=0),CY184/1,IF(AND(CY184=0,CZ184=0),CX184/1,IF(CX184=0,FLOOR((CY184+CZ184)/2,0.1),IF(CY184=0,(CX184+CZ184)/2,IF(CZ184=0,(CY184+CX184)/2,FLOOR(((CX184+CY184+CZ184)/3),0.1))))))))</f>
        <v/>
      </c>
      <c r="DB184" s="21" t="n"/>
      <c r="DC184" s="21" t="n"/>
      <c r="DD184" s="27">
        <f>SUM(DB184:DC184)</f>
        <v/>
      </c>
      <c r="DE184" s="28" t="n"/>
      <c r="DF184" s="31" t="n"/>
      <c r="DG184" s="29">
        <f>IF(AND(DD184=0,DE184=0,DF184=0),0,IF(AND(DD184=0,DE184=0),DF184/1,IF(AND(DD184=0,DF184=0),DE184/1,IF(AND(DE184=0,DF184=0),DD184/1,IF(DD184=0,FLOOR((DE184+DF184)/2,0.1),IF(DE184=0,(DD184+DF184)/2,IF(DF184=0,(DE184+DD184)/2,FLOOR(((DD184+DE184+DF184)/3),0.1))))))))</f>
        <v/>
      </c>
      <c r="DH184" s="34">
        <f>SUM(O184,U184,AA184,AG184,AM184,AS184,AY184,BE184,BK184,BQ184,BW184,CC184,CI184,CO184,CU184,DA184,DG184)</f>
        <v/>
      </c>
      <c r="DI184" s="39">
        <f>RANK(DH184,DH$4:DH$503)</f>
        <v/>
      </c>
      <c r="DJ184" s="40" t="inlineStr">
        <is>
          <t>CHOOSE RATING</t>
        </is>
      </c>
      <c r="DK184" s="40" t="inlineStr">
        <is>
          <t>CHOOSE RATING</t>
        </is>
      </c>
      <c r="DL184" s="40" t="inlineStr">
        <is>
          <t>CHOOSE RATING</t>
        </is>
      </c>
      <c r="DM184" s="40" t="inlineStr">
        <is>
          <t>CHOOSE RATING</t>
        </is>
      </c>
      <c r="DN184" s="40" t="inlineStr">
        <is>
          <t>CHOOSE RATING</t>
        </is>
      </c>
      <c r="DO184" s="40" t="inlineStr">
        <is>
          <t>CHOOSE RATING</t>
        </is>
      </c>
      <c r="DP184" s="40" t="inlineStr">
        <is>
          <t>CHOOSE RATING</t>
        </is>
      </c>
      <c r="DQ184" s="40" t="inlineStr">
        <is>
          <t>CHOOSE RATING</t>
        </is>
      </c>
      <c r="DR184" s="43" t="inlineStr">
        <is>
          <t>2024/2025</t>
        </is>
      </c>
      <c r="DS184" s="45" t="inlineStr">
        <is>
          <t>THIRD</t>
        </is>
      </c>
      <c r="DT184" s="40" t="inlineStr">
        <is>
          <t>CHOOSE RATING</t>
        </is>
      </c>
      <c r="DU184" s="40" t="inlineStr">
        <is>
          <t>CHOOSE RATING</t>
        </is>
      </c>
      <c r="DV184" s="40" t="inlineStr">
        <is>
          <t>CHOOSE RATING</t>
        </is>
      </c>
      <c r="DW184" s="40" t="inlineStr">
        <is>
          <t>CHOOSE RATING</t>
        </is>
      </c>
      <c r="DX184" s="40" t="inlineStr">
        <is>
          <t>CHOOSE RATING</t>
        </is>
      </c>
      <c r="DY184" s="40" t="inlineStr">
        <is>
          <t>CHOOSE RATING</t>
        </is>
      </c>
      <c r="DZ184" s="53" t="inlineStr">
        <is>
          <t>CHOOSE RATING</t>
        </is>
      </c>
      <c r="EA184" s="54" t="inlineStr">
        <is>
          <t>Add the Tutor's Comment . . .</t>
        </is>
      </c>
      <c r="EB184" s="55" t="inlineStr">
        <is>
          <t>Choose Principals comment</t>
        </is>
      </c>
      <c r="EC184" s="56" t="n"/>
      <c r="ED184" s="57" t="inlineStr">
        <is>
          <t>Next Term Begins on Monday, 22nd September, 2025</t>
        </is>
      </c>
    </row>
    <row r="185" ht="30.6" customHeight="1" s="6">
      <c r="A185" s="18" t="n">
        <v>182</v>
      </c>
      <c r="B185" s="19" t="n"/>
      <c r="C185" s="20" t="n"/>
      <c r="D185" s="128" t="n"/>
      <c r="E185" s="21" t="n"/>
      <c r="F185" s="22" t="n"/>
      <c r="G185" s="22" t="n"/>
      <c r="H185" s="22" t="n"/>
      <c r="I185" s="26">
        <f>G185-H185</f>
        <v/>
      </c>
      <c r="J185" s="21" t="n"/>
      <c r="K185" s="21" t="n"/>
      <c r="L185" s="27">
        <f>SUM(J185:K185)</f>
        <v/>
      </c>
      <c r="M185" s="28" t="n"/>
      <c r="N185" s="28" t="n"/>
      <c r="O185" s="29">
        <f>IF(AND(L185=0,M185=0,N185=0),0,IF(AND(L185=0,M185=0),N185/1,IF(AND(L185=0,N185=0),M185/1,IF(AND(M185=0,N185=0),L185/1,IF(L185=0,FLOOR((M185+N185)/2,0.1),IF(M185=0,(L185+N185)/2,IF(N185=0,(M185+L185)/2,FLOOR(((L185+M185+N185)/3),0.1))))))))</f>
        <v/>
      </c>
      <c r="P185" s="21" t="n"/>
      <c r="Q185" s="21" t="n"/>
      <c r="R185" s="27">
        <f>SUM(P185:Q185)</f>
        <v/>
      </c>
      <c r="S185" s="28" t="n"/>
      <c r="T185" s="28" t="n"/>
      <c r="U185" s="29">
        <f>IF(AND(R185=0,S185=0,T185=0),0,IF(AND(R185=0,S185=0),T185/1,IF(AND(R185=0,T185=0),S185/1,IF(AND(S185=0,T185=0),R185/1,IF(R185=0,FLOOR((S185+T185)/2,0.1),IF(S185=0,(R185+T185)/2,IF(T185=0,(S185+R185)/2,FLOOR(((R185+S185+T185)/3),0.1))))))))</f>
        <v/>
      </c>
      <c r="V185" s="21" t="n"/>
      <c r="W185" s="21" t="n"/>
      <c r="X185" s="27">
        <f>SUM(V185:W185)</f>
        <v/>
      </c>
      <c r="Y185" s="28" t="n"/>
      <c r="Z185" s="28" t="n"/>
      <c r="AA185" s="29">
        <f>IF(AND(X185=0,Y185=0,Z185=0),0,IF(AND(X185=0,Y185=0),Z185/1,IF(AND(X185=0,Z185=0),Y185/1,IF(AND(Y185=0,Z185=0),X185/1,IF(X185=0,FLOOR((Y185+Z185)/2,0.1),IF(Y185=0,(X185+Z185)/2,IF(Z185=0,(Y185+X185)/2,FLOOR(((X185+Y185+Z185)/3),0.1))))))))</f>
        <v/>
      </c>
      <c r="AB185" s="21" t="n"/>
      <c r="AC185" s="21" t="n"/>
      <c r="AD185" s="27">
        <f>SUM(AB185:AC185)</f>
        <v/>
      </c>
      <c r="AE185" s="28" t="n"/>
      <c r="AF185" s="28" t="n"/>
      <c r="AG185" s="29">
        <f>IF(AND(AD185=0,AE185=0,AF185=0),0,IF(AND(AD185=0,AE185=0),AF185/1,IF(AND(AD185=0,AF185=0),AE185/1,IF(AND(AE185=0,AF185=0),AD185/1,IF(AD185=0,FLOOR((AE185+AF185)/2,0.1),IF(AE185=0,(AD185+AF185)/2,IF(AF185=0,(AE185+AD185)/2,FLOOR(((AD185+AE185+AF185)/3),0.1))))))))</f>
        <v/>
      </c>
      <c r="AH185" s="21" t="n"/>
      <c r="AI185" s="21" t="n"/>
      <c r="AJ185" s="27">
        <f>SUM(AH185:AI185)</f>
        <v/>
      </c>
      <c r="AK185" s="28" t="n"/>
      <c r="AL185" s="28" t="n"/>
      <c r="AM185" s="29">
        <f>IF(AND(AJ185=0,AK185=0,AL185=0),0,IF(AND(AJ185=0,AK185=0),AL185/1,IF(AND(AJ185=0,AL185=0),AK185/1,IF(AND(AK185=0,AL185=0),AJ185/1,IF(AJ185=0,FLOOR((AK185+AL185)/2,0.1),IF(AK185=0,(AJ185+AL185)/2,IF(AL185=0,(AK185+AJ185)/2,FLOOR(((AJ185+AK185+AL185)/3),0.1))))))))</f>
        <v/>
      </c>
      <c r="AN185" s="21" t="n"/>
      <c r="AO185" s="21" t="n"/>
      <c r="AP185" s="27">
        <f>SUM(AN185:AO185)</f>
        <v/>
      </c>
      <c r="AQ185" s="28" t="n"/>
      <c r="AR185" s="30" t="n"/>
      <c r="AS185" s="29">
        <f>IF(AND(AP185=0,AQ185=0,AR185=0),0,IF(AND(AP185=0,AQ185=0),AR185/1,IF(AND(AP185=0,AR185=0),AQ185/1,IF(AND(AQ185=0,AR185=0),AP185/1,IF(AP185=0,FLOOR((AQ185+AR185)/2,0.1),IF(AQ185=0,(AP185+AR185)/2,IF(AR185=0,(AQ185+AP185)/2,FLOOR(((AP185+AQ185+AR185)/3),0.1))))))))</f>
        <v/>
      </c>
      <c r="AT185" s="21" t="n"/>
      <c r="AU185" s="21" t="n"/>
      <c r="AV185" s="27">
        <f>SUM(AT185:AU185)</f>
        <v/>
      </c>
      <c r="AW185" s="28" t="n"/>
      <c r="AX185" s="30" t="n"/>
      <c r="AY185" s="29">
        <f>IF(AND(AV185=0,AW185=0,AX185=0),0,IF(AND(AV185=0,AW185=0),AX185/1,IF(AND(AV185=0,AX185=0),AW185/1,IF(AND(AW185=0,AX185=0),AV185/1,IF(AV185=0,FLOOR((AW185+AX185)/2,0.1),IF(AW185=0,(AV185+AX185)/2,IF(AX185=0,(AW185+AV185)/2,FLOOR(((AV185+AW185+AX185)/3),0.1))))))))</f>
        <v/>
      </c>
      <c r="AZ185" s="21" t="n"/>
      <c r="BA185" s="21" t="n"/>
      <c r="BB185" s="27">
        <f>SUM(AZ185:BA185)</f>
        <v/>
      </c>
      <c r="BC185" s="28" t="n"/>
      <c r="BD185" s="28" t="n"/>
      <c r="BE185" s="29">
        <f>IF(AND(BB185=0,BC185=0,BD185=0),0,IF(AND(BB185=0,BC185=0),BD185/1,IF(AND(BB185=0,BD185=0),BC185/1,IF(AND(BC185=0,BD185=0),BB185/1,IF(BB185=0,FLOOR((BC185+BD185)/2,0.1),IF(BC185=0,(BB185+BD185)/2,IF(BD185=0,(BC185+BB185)/2,FLOOR(((BB185+BC185+BD185)/3),0.1))))))))</f>
        <v/>
      </c>
      <c r="BF185" s="21" t="n"/>
      <c r="BG185" s="21" t="n"/>
      <c r="BH185" s="27">
        <f>SUM(BF185:BG185)</f>
        <v/>
      </c>
      <c r="BI185" s="28" t="n"/>
      <c r="BJ185" s="28" t="n"/>
      <c r="BK185" s="29">
        <f>IF(AND(BH185=0,BI185=0,BJ185=0),0,IF(AND(BH185=0,BI185=0),BJ185/1,IF(AND(BH185=0,BJ185=0),BI185/1,IF(AND(BI185=0,BJ185=0),BH185/1,IF(BH185=0,FLOOR((BI185+BJ185)/2,0.1),IF(BI185=0,(BH185+BJ185)/2,IF(BJ185=0,(BI185+BH185)/2,FLOOR(((BH185+BI185+BJ185)/3),0.1))))))))</f>
        <v/>
      </c>
      <c r="BL185" s="21" t="n"/>
      <c r="BM185" s="21" t="n"/>
      <c r="BN185" s="27">
        <f>SUM(BL185:BM185)</f>
        <v/>
      </c>
      <c r="BO185" s="28" t="n"/>
      <c r="BP185" s="31" t="n"/>
      <c r="BQ185" s="29">
        <f>IF(AND(BN185=0,BO185=0,BP185=0),0,IF(AND(BN185=0,BO185=0),BP185/1,IF(AND(BN185=0,BP185=0),BO185/1,IF(AND(BO185=0,BP185=0),BN185/1,IF(BN185=0,FLOOR((BO185+BP185)/2,0.1),IF(BO185=0,(BN185+BP185)/2,IF(BP185=0,(BO185+BN185)/2,FLOOR(((BN185+BO185+BP185)/3),0.1))))))))</f>
        <v/>
      </c>
      <c r="BR185" s="21" t="n"/>
      <c r="BS185" s="21" t="n"/>
      <c r="BT185" s="27">
        <f>SUM(BR185:BS185)</f>
        <v/>
      </c>
      <c r="BU185" s="28" t="n"/>
      <c r="BV185" s="31" t="n"/>
      <c r="BW185" s="29">
        <f>IF(AND(BT185=0,BU185=0,BV185=0),0,IF(AND(BT185=0,BU185=0),BV185/1,IF(AND(BT185=0,BV185=0),BU185/1,IF(AND(BU185=0,BV185=0),BT185/1,IF(BT185=0,FLOOR((BU185+BV185)/2,0.1),IF(BU185=0,(BT185+BV185)/2,IF(BV185=0,(BU185+BT185)/2,FLOOR(((BT185+BU185+BV185)/3),0.1))))))))</f>
        <v/>
      </c>
      <c r="BX185" s="21" t="n"/>
      <c r="BY185" s="21" t="n"/>
      <c r="BZ185" s="27">
        <f>SUM(BX185:BY185)</f>
        <v/>
      </c>
      <c r="CA185" s="28" t="n"/>
      <c r="CB185" s="31" t="n"/>
      <c r="CC185" s="29">
        <f>IF(AND(BZ185=0,CA185=0,CB185=0),0,IF(AND(BZ185=0,CA185=0),CB185/1,IF(AND(BZ185=0,CB185=0),CA185/1,IF(AND(CA185=0,CB185=0),BZ185/1,IF(BZ185=0,FLOOR((CA185+CB185)/2,0.1),IF(CA185=0,(BZ185+CB185)/2,IF(CB185=0,(CA185+BZ185)/2,FLOOR(((BZ185+CA185+CB185)/3),0.1))))))))</f>
        <v/>
      </c>
      <c r="CD185" s="21" t="n"/>
      <c r="CE185" s="21" t="n"/>
      <c r="CF185" s="27">
        <f>SUM(CD185:CE185)</f>
        <v/>
      </c>
      <c r="CG185" s="28" t="n"/>
      <c r="CH185" s="31" t="n"/>
      <c r="CI185" s="29">
        <f>IF(AND(CF185=0,CG185=0,CH185=0),0,IF(AND(CF185=0,CG185=0),CH185/1,IF(AND(CF185=0,CH185=0),CG185/1,IF(AND(CG185=0,CH185=0),CF185/1,IF(CF185=0,FLOOR((CG185+CH185)/2,0.1),IF(CG185=0,(CF185+CH185)/2,IF(CH185=0,(CG185+CF185)/2,FLOOR(((CF185+CG185+CH185)/3),0.1))))))))</f>
        <v/>
      </c>
      <c r="CJ185" s="21" t="n"/>
      <c r="CK185" s="21" t="n"/>
      <c r="CL185" s="27">
        <f>SUM(CJ185:CK185)</f>
        <v/>
      </c>
      <c r="CM185" s="28" t="n"/>
      <c r="CN185" s="31" t="n"/>
      <c r="CO185" s="29">
        <f>IF(AND(CL185=0,CM185=0,CN185=0),0,IF(AND(CL185=0,CM185=0),CN185/1,IF(AND(CL185=0,CN185=0),CM185/1,IF(AND(CM185=0,CN185=0),CL185/1,IF(CL185=0,FLOOR((CM185+CN185)/2,0.1),IF(CM185=0,(CL185+CN185)/2,IF(CN185=0,(CM185+CL185)/2,FLOOR(((CL185+CM185+CN185)/3),0.1))))))))</f>
        <v/>
      </c>
      <c r="CP185" s="21" t="n"/>
      <c r="CQ185" s="21" t="n"/>
      <c r="CR185" s="27">
        <f>SUM(CP185:CQ185)</f>
        <v/>
      </c>
      <c r="CS185" s="28" t="n"/>
      <c r="CT185" s="31" t="n"/>
      <c r="CU185" s="29">
        <f>IF(AND(CR185=0,CS185=0,CT185=0),0,IF(AND(CR185=0,CS185=0),CT185/1,IF(AND(CR185=0,CT185=0),CS185/1,IF(AND(CS185=0,CT185=0),CR185/1,IF(CR185=0,FLOOR((CS185+CT185)/2,0.1),IF(CS185=0,(CR185+CT185)/2,IF(CT185=0,(CS185+CR185)/2,FLOOR(((CR185+CS185+CT185)/3),0.1))))))))</f>
        <v/>
      </c>
      <c r="CV185" s="21" t="n"/>
      <c r="CW185" s="21" t="n"/>
      <c r="CX185" s="27">
        <f>SUM(CV185:CW185)</f>
        <v/>
      </c>
      <c r="CY185" s="28" t="n"/>
      <c r="CZ185" s="31" t="n"/>
      <c r="DA185" s="29">
        <f>IF(AND(CX185=0,CY185=0,CZ185=0),0,IF(AND(CX185=0,CY185=0),CZ185/1,IF(AND(CX185=0,CZ185=0),CY185/1,IF(AND(CY185=0,CZ185=0),CX185/1,IF(CX185=0,FLOOR((CY185+CZ185)/2,0.1),IF(CY185=0,(CX185+CZ185)/2,IF(CZ185=0,(CY185+CX185)/2,FLOOR(((CX185+CY185+CZ185)/3),0.1))))))))</f>
        <v/>
      </c>
      <c r="DB185" s="21" t="n"/>
      <c r="DC185" s="21" t="n"/>
      <c r="DD185" s="27">
        <f>SUM(DB185:DC185)</f>
        <v/>
      </c>
      <c r="DE185" s="28" t="n"/>
      <c r="DF185" s="31" t="n"/>
      <c r="DG185" s="29">
        <f>IF(AND(DD185=0,DE185=0,DF185=0),0,IF(AND(DD185=0,DE185=0),DF185/1,IF(AND(DD185=0,DF185=0),DE185/1,IF(AND(DE185=0,DF185=0),DD185/1,IF(DD185=0,FLOOR((DE185+DF185)/2,0.1),IF(DE185=0,(DD185+DF185)/2,IF(DF185=0,(DE185+DD185)/2,FLOOR(((DD185+DE185+DF185)/3),0.1))))))))</f>
        <v/>
      </c>
      <c r="DH185" s="34">
        <f>SUM(O185,U185,AA185,AG185,AM185,AS185,AY185,BE185,BK185,BQ185,BW185,CC185,CI185,CO185,CU185,DA185,DG185)</f>
        <v/>
      </c>
      <c r="DI185" s="39">
        <f>RANK(DH185,DH$4:DH$503)</f>
        <v/>
      </c>
      <c r="DJ185" s="40" t="inlineStr">
        <is>
          <t>CHOOSE RATING</t>
        </is>
      </c>
      <c r="DK185" s="40" t="inlineStr">
        <is>
          <t>CHOOSE RATING</t>
        </is>
      </c>
      <c r="DL185" s="40" t="inlineStr">
        <is>
          <t>CHOOSE RATING</t>
        </is>
      </c>
      <c r="DM185" s="40" t="inlineStr">
        <is>
          <t>CHOOSE RATING</t>
        </is>
      </c>
      <c r="DN185" s="40" t="inlineStr">
        <is>
          <t>CHOOSE RATING</t>
        </is>
      </c>
      <c r="DO185" s="40" t="inlineStr">
        <is>
          <t>CHOOSE RATING</t>
        </is>
      </c>
      <c r="DP185" s="40" t="inlineStr">
        <is>
          <t>CHOOSE RATING</t>
        </is>
      </c>
      <c r="DQ185" s="40" t="inlineStr">
        <is>
          <t>CHOOSE RATING</t>
        </is>
      </c>
      <c r="DR185" s="43" t="inlineStr">
        <is>
          <t>2024/2025</t>
        </is>
      </c>
      <c r="DS185" s="45" t="inlineStr">
        <is>
          <t>THIRD</t>
        </is>
      </c>
      <c r="DT185" s="40" t="inlineStr">
        <is>
          <t>CHOOSE RATING</t>
        </is>
      </c>
      <c r="DU185" s="40" t="inlineStr">
        <is>
          <t>CHOOSE RATING</t>
        </is>
      </c>
      <c r="DV185" s="40" t="inlineStr">
        <is>
          <t>CHOOSE RATING</t>
        </is>
      </c>
      <c r="DW185" s="40" t="inlineStr">
        <is>
          <t>CHOOSE RATING</t>
        </is>
      </c>
      <c r="DX185" s="40" t="inlineStr">
        <is>
          <t>CHOOSE RATING</t>
        </is>
      </c>
      <c r="DY185" s="40" t="inlineStr">
        <is>
          <t>CHOOSE RATING</t>
        </is>
      </c>
      <c r="DZ185" s="53" t="inlineStr">
        <is>
          <t>CHOOSE RATING</t>
        </is>
      </c>
      <c r="EA185" s="54" t="inlineStr">
        <is>
          <t>Add the Tutor's Comment . . .</t>
        </is>
      </c>
      <c r="EB185" s="55" t="inlineStr">
        <is>
          <t>Choose Principals comment</t>
        </is>
      </c>
      <c r="EC185" s="56" t="n"/>
      <c r="ED185" s="57" t="inlineStr">
        <is>
          <t>Next Term Begins on Monday, 22nd September, 2025</t>
        </is>
      </c>
    </row>
    <row r="186" ht="30.6" customHeight="1" s="6">
      <c r="A186" s="18" t="n">
        <v>183</v>
      </c>
      <c r="B186" s="19" t="n"/>
      <c r="C186" s="20" t="n"/>
      <c r="D186" s="128" t="n"/>
      <c r="E186" s="21" t="n"/>
      <c r="F186" s="22" t="n"/>
      <c r="G186" s="22" t="n"/>
      <c r="H186" s="22" t="n"/>
      <c r="I186" s="26">
        <f>G186-H186</f>
        <v/>
      </c>
      <c r="J186" s="21" t="n"/>
      <c r="K186" s="21" t="n"/>
      <c r="L186" s="27">
        <f>SUM(J186:K186)</f>
        <v/>
      </c>
      <c r="M186" s="28" t="n"/>
      <c r="N186" s="28" t="n"/>
      <c r="O186" s="29">
        <f>IF(AND(L186=0,M186=0,N186=0),0,IF(AND(L186=0,M186=0),N186/1,IF(AND(L186=0,N186=0),M186/1,IF(AND(M186=0,N186=0),L186/1,IF(L186=0,FLOOR((M186+N186)/2,0.1),IF(M186=0,(L186+N186)/2,IF(N186=0,(M186+L186)/2,FLOOR(((L186+M186+N186)/3),0.1))))))))</f>
        <v/>
      </c>
      <c r="P186" s="21" t="n"/>
      <c r="Q186" s="21" t="n"/>
      <c r="R186" s="27">
        <f>SUM(P186:Q186)</f>
        <v/>
      </c>
      <c r="S186" s="28" t="n"/>
      <c r="T186" s="28" t="n"/>
      <c r="U186" s="29">
        <f>IF(AND(R186=0,S186=0,T186=0),0,IF(AND(R186=0,S186=0),T186/1,IF(AND(R186=0,T186=0),S186/1,IF(AND(S186=0,T186=0),R186/1,IF(R186=0,FLOOR((S186+T186)/2,0.1),IF(S186=0,(R186+T186)/2,IF(T186=0,(S186+R186)/2,FLOOR(((R186+S186+T186)/3),0.1))))))))</f>
        <v/>
      </c>
      <c r="V186" s="21" t="n"/>
      <c r="W186" s="21" t="n"/>
      <c r="X186" s="27">
        <f>SUM(V186:W186)</f>
        <v/>
      </c>
      <c r="Y186" s="28" t="n"/>
      <c r="Z186" s="28" t="n"/>
      <c r="AA186" s="29">
        <f>IF(AND(X186=0,Y186=0,Z186=0),0,IF(AND(X186=0,Y186=0),Z186/1,IF(AND(X186=0,Z186=0),Y186/1,IF(AND(Y186=0,Z186=0),X186/1,IF(X186=0,FLOOR((Y186+Z186)/2,0.1),IF(Y186=0,(X186+Z186)/2,IF(Z186=0,(Y186+X186)/2,FLOOR(((X186+Y186+Z186)/3),0.1))))))))</f>
        <v/>
      </c>
      <c r="AB186" s="21" t="n"/>
      <c r="AC186" s="21" t="n"/>
      <c r="AD186" s="27">
        <f>SUM(AB186:AC186)</f>
        <v/>
      </c>
      <c r="AE186" s="28" t="n"/>
      <c r="AF186" s="28" t="n"/>
      <c r="AG186" s="29">
        <f>IF(AND(AD186=0,AE186=0,AF186=0),0,IF(AND(AD186=0,AE186=0),AF186/1,IF(AND(AD186=0,AF186=0),AE186/1,IF(AND(AE186=0,AF186=0),AD186/1,IF(AD186=0,FLOOR((AE186+AF186)/2,0.1),IF(AE186=0,(AD186+AF186)/2,IF(AF186=0,(AE186+AD186)/2,FLOOR(((AD186+AE186+AF186)/3),0.1))))))))</f>
        <v/>
      </c>
      <c r="AH186" s="21" t="n"/>
      <c r="AI186" s="21" t="n"/>
      <c r="AJ186" s="27">
        <f>SUM(AH186:AI186)</f>
        <v/>
      </c>
      <c r="AK186" s="28" t="n"/>
      <c r="AL186" s="28" t="n"/>
      <c r="AM186" s="29">
        <f>IF(AND(AJ186=0,AK186=0,AL186=0),0,IF(AND(AJ186=0,AK186=0),AL186/1,IF(AND(AJ186=0,AL186=0),AK186/1,IF(AND(AK186=0,AL186=0),AJ186/1,IF(AJ186=0,FLOOR((AK186+AL186)/2,0.1),IF(AK186=0,(AJ186+AL186)/2,IF(AL186=0,(AK186+AJ186)/2,FLOOR(((AJ186+AK186+AL186)/3),0.1))))))))</f>
        <v/>
      </c>
      <c r="AN186" s="21" t="n"/>
      <c r="AO186" s="21" t="n"/>
      <c r="AP186" s="27">
        <f>SUM(AN186:AO186)</f>
        <v/>
      </c>
      <c r="AQ186" s="28" t="n"/>
      <c r="AR186" s="30" t="n"/>
      <c r="AS186" s="29">
        <f>IF(AND(AP186=0,AQ186=0,AR186=0),0,IF(AND(AP186=0,AQ186=0),AR186/1,IF(AND(AP186=0,AR186=0),AQ186/1,IF(AND(AQ186=0,AR186=0),AP186/1,IF(AP186=0,FLOOR((AQ186+AR186)/2,0.1),IF(AQ186=0,(AP186+AR186)/2,IF(AR186=0,(AQ186+AP186)/2,FLOOR(((AP186+AQ186+AR186)/3),0.1))))))))</f>
        <v/>
      </c>
      <c r="AT186" s="21" t="n"/>
      <c r="AU186" s="21" t="n"/>
      <c r="AV186" s="27">
        <f>SUM(AT186:AU186)</f>
        <v/>
      </c>
      <c r="AW186" s="28" t="n"/>
      <c r="AX186" s="30" t="n"/>
      <c r="AY186" s="29">
        <f>IF(AND(AV186=0,AW186=0,AX186=0),0,IF(AND(AV186=0,AW186=0),AX186/1,IF(AND(AV186=0,AX186=0),AW186/1,IF(AND(AW186=0,AX186=0),AV186/1,IF(AV186=0,FLOOR((AW186+AX186)/2,0.1),IF(AW186=0,(AV186+AX186)/2,IF(AX186=0,(AW186+AV186)/2,FLOOR(((AV186+AW186+AX186)/3),0.1))))))))</f>
        <v/>
      </c>
      <c r="AZ186" s="21" t="n"/>
      <c r="BA186" s="21" t="n"/>
      <c r="BB186" s="27">
        <f>SUM(AZ186:BA186)</f>
        <v/>
      </c>
      <c r="BC186" s="28" t="n"/>
      <c r="BD186" s="28" t="n"/>
      <c r="BE186" s="29">
        <f>IF(AND(BB186=0,BC186=0,BD186=0),0,IF(AND(BB186=0,BC186=0),BD186/1,IF(AND(BB186=0,BD186=0),BC186/1,IF(AND(BC186=0,BD186=0),BB186/1,IF(BB186=0,FLOOR((BC186+BD186)/2,0.1),IF(BC186=0,(BB186+BD186)/2,IF(BD186=0,(BC186+BB186)/2,FLOOR(((BB186+BC186+BD186)/3),0.1))))))))</f>
        <v/>
      </c>
      <c r="BF186" s="21" t="n"/>
      <c r="BG186" s="21" t="n"/>
      <c r="BH186" s="27">
        <f>SUM(BF186:BG186)</f>
        <v/>
      </c>
      <c r="BI186" s="28" t="n"/>
      <c r="BJ186" s="28" t="n"/>
      <c r="BK186" s="29">
        <f>IF(AND(BH186=0,BI186=0,BJ186=0),0,IF(AND(BH186=0,BI186=0),BJ186/1,IF(AND(BH186=0,BJ186=0),BI186/1,IF(AND(BI186=0,BJ186=0),BH186/1,IF(BH186=0,FLOOR((BI186+BJ186)/2,0.1),IF(BI186=0,(BH186+BJ186)/2,IF(BJ186=0,(BI186+BH186)/2,FLOOR(((BH186+BI186+BJ186)/3),0.1))))))))</f>
        <v/>
      </c>
      <c r="BL186" s="21" t="n"/>
      <c r="BM186" s="21" t="n"/>
      <c r="BN186" s="27">
        <f>SUM(BL186:BM186)</f>
        <v/>
      </c>
      <c r="BO186" s="28" t="n"/>
      <c r="BP186" s="31" t="n"/>
      <c r="BQ186" s="29">
        <f>IF(AND(BN186=0,BO186=0,BP186=0),0,IF(AND(BN186=0,BO186=0),BP186/1,IF(AND(BN186=0,BP186=0),BO186/1,IF(AND(BO186=0,BP186=0),BN186/1,IF(BN186=0,FLOOR((BO186+BP186)/2,0.1),IF(BO186=0,(BN186+BP186)/2,IF(BP186=0,(BO186+BN186)/2,FLOOR(((BN186+BO186+BP186)/3),0.1))))))))</f>
        <v/>
      </c>
      <c r="BR186" s="21" t="n"/>
      <c r="BS186" s="21" t="n"/>
      <c r="BT186" s="27">
        <f>SUM(BR186:BS186)</f>
        <v/>
      </c>
      <c r="BU186" s="28" t="n"/>
      <c r="BV186" s="31" t="n"/>
      <c r="BW186" s="29">
        <f>IF(AND(BT186=0,BU186=0,BV186=0),0,IF(AND(BT186=0,BU186=0),BV186/1,IF(AND(BT186=0,BV186=0),BU186/1,IF(AND(BU186=0,BV186=0),BT186/1,IF(BT186=0,FLOOR((BU186+BV186)/2,0.1),IF(BU186=0,(BT186+BV186)/2,IF(BV186=0,(BU186+BT186)/2,FLOOR(((BT186+BU186+BV186)/3),0.1))))))))</f>
        <v/>
      </c>
      <c r="BX186" s="21" t="n"/>
      <c r="BY186" s="21" t="n"/>
      <c r="BZ186" s="27">
        <f>SUM(BX186:BY186)</f>
        <v/>
      </c>
      <c r="CA186" s="28" t="n"/>
      <c r="CB186" s="31" t="n"/>
      <c r="CC186" s="29">
        <f>IF(AND(BZ186=0,CA186=0,CB186=0),0,IF(AND(BZ186=0,CA186=0),CB186/1,IF(AND(BZ186=0,CB186=0),CA186/1,IF(AND(CA186=0,CB186=0),BZ186/1,IF(BZ186=0,FLOOR((CA186+CB186)/2,0.1),IF(CA186=0,(BZ186+CB186)/2,IF(CB186=0,(CA186+BZ186)/2,FLOOR(((BZ186+CA186+CB186)/3),0.1))))))))</f>
        <v/>
      </c>
      <c r="CD186" s="21" t="n"/>
      <c r="CE186" s="21" t="n"/>
      <c r="CF186" s="27">
        <f>SUM(CD186:CE186)</f>
        <v/>
      </c>
      <c r="CG186" s="28" t="n"/>
      <c r="CH186" s="31" t="n"/>
      <c r="CI186" s="29">
        <f>IF(AND(CF186=0,CG186=0,CH186=0),0,IF(AND(CF186=0,CG186=0),CH186/1,IF(AND(CF186=0,CH186=0),CG186/1,IF(AND(CG186=0,CH186=0),CF186/1,IF(CF186=0,FLOOR((CG186+CH186)/2,0.1),IF(CG186=0,(CF186+CH186)/2,IF(CH186=0,(CG186+CF186)/2,FLOOR(((CF186+CG186+CH186)/3),0.1))))))))</f>
        <v/>
      </c>
      <c r="CJ186" s="21" t="n"/>
      <c r="CK186" s="21" t="n"/>
      <c r="CL186" s="27">
        <f>SUM(CJ186:CK186)</f>
        <v/>
      </c>
      <c r="CM186" s="28" t="n"/>
      <c r="CN186" s="31" t="n"/>
      <c r="CO186" s="29">
        <f>IF(AND(CL186=0,CM186=0,CN186=0),0,IF(AND(CL186=0,CM186=0),CN186/1,IF(AND(CL186=0,CN186=0),CM186/1,IF(AND(CM186=0,CN186=0),CL186/1,IF(CL186=0,FLOOR((CM186+CN186)/2,0.1),IF(CM186=0,(CL186+CN186)/2,IF(CN186=0,(CM186+CL186)/2,FLOOR(((CL186+CM186+CN186)/3),0.1))))))))</f>
        <v/>
      </c>
      <c r="CP186" s="21" t="n"/>
      <c r="CQ186" s="21" t="n"/>
      <c r="CR186" s="27">
        <f>SUM(CP186:CQ186)</f>
        <v/>
      </c>
      <c r="CS186" s="28" t="n"/>
      <c r="CT186" s="31" t="n"/>
      <c r="CU186" s="29">
        <f>IF(AND(CR186=0,CS186=0,CT186=0),0,IF(AND(CR186=0,CS186=0),CT186/1,IF(AND(CR186=0,CT186=0),CS186/1,IF(AND(CS186=0,CT186=0),CR186/1,IF(CR186=0,FLOOR((CS186+CT186)/2,0.1),IF(CS186=0,(CR186+CT186)/2,IF(CT186=0,(CS186+CR186)/2,FLOOR(((CR186+CS186+CT186)/3),0.1))))))))</f>
        <v/>
      </c>
      <c r="CV186" s="21" t="n"/>
      <c r="CW186" s="21" t="n"/>
      <c r="CX186" s="27">
        <f>SUM(CV186:CW186)</f>
        <v/>
      </c>
      <c r="CY186" s="28" t="n"/>
      <c r="CZ186" s="31" t="n"/>
      <c r="DA186" s="29">
        <f>IF(AND(CX186=0,CY186=0,CZ186=0),0,IF(AND(CX186=0,CY186=0),CZ186/1,IF(AND(CX186=0,CZ186=0),CY186/1,IF(AND(CY186=0,CZ186=0),CX186/1,IF(CX186=0,FLOOR((CY186+CZ186)/2,0.1),IF(CY186=0,(CX186+CZ186)/2,IF(CZ186=0,(CY186+CX186)/2,FLOOR(((CX186+CY186+CZ186)/3),0.1))))))))</f>
        <v/>
      </c>
      <c r="DB186" s="21" t="n"/>
      <c r="DC186" s="21" t="n"/>
      <c r="DD186" s="27">
        <f>SUM(DB186:DC186)</f>
        <v/>
      </c>
      <c r="DE186" s="28" t="n"/>
      <c r="DF186" s="31" t="n"/>
      <c r="DG186" s="29">
        <f>IF(AND(DD186=0,DE186=0,DF186=0),0,IF(AND(DD186=0,DE186=0),DF186/1,IF(AND(DD186=0,DF186=0),DE186/1,IF(AND(DE186=0,DF186=0),DD186/1,IF(DD186=0,FLOOR((DE186+DF186)/2,0.1),IF(DE186=0,(DD186+DF186)/2,IF(DF186=0,(DE186+DD186)/2,FLOOR(((DD186+DE186+DF186)/3),0.1))))))))</f>
        <v/>
      </c>
      <c r="DH186" s="34">
        <f>SUM(O186,U186,AA186,AG186,AM186,AS186,AY186,BE186,BK186,BQ186,BW186,CC186,CI186,CO186,CU186,DA186,DG186)</f>
        <v/>
      </c>
      <c r="DI186" s="39">
        <f>RANK(DH186,DH$4:DH$503)</f>
        <v/>
      </c>
      <c r="DJ186" s="40" t="inlineStr">
        <is>
          <t>CHOOSE RATING</t>
        </is>
      </c>
      <c r="DK186" s="40" t="inlineStr">
        <is>
          <t>CHOOSE RATING</t>
        </is>
      </c>
      <c r="DL186" s="40" t="inlineStr">
        <is>
          <t>CHOOSE RATING</t>
        </is>
      </c>
      <c r="DM186" s="40" t="inlineStr">
        <is>
          <t>CHOOSE RATING</t>
        </is>
      </c>
      <c r="DN186" s="40" t="inlineStr">
        <is>
          <t>CHOOSE RATING</t>
        </is>
      </c>
      <c r="DO186" s="40" t="inlineStr">
        <is>
          <t>CHOOSE RATING</t>
        </is>
      </c>
      <c r="DP186" s="40" t="inlineStr">
        <is>
          <t>CHOOSE RATING</t>
        </is>
      </c>
      <c r="DQ186" s="40" t="inlineStr">
        <is>
          <t>CHOOSE RATING</t>
        </is>
      </c>
      <c r="DR186" s="43" t="inlineStr">
        <is>
          <t>2024/2025</t>
        </is>
      </c>
      <c r="DS186" s="45" t="inlineStr">
        <is>
          <t>THIRD</t>
        </is>
      </c>
      <c r="DT186" s="40" t="inlineStr">
        <is>
          <t>CHOOSE RATING</t>
        </is>
      </c>
      <c r="DU186" s="40" t="inlineStr">
        <is>
          <t>CHOOSE RATING</t>
        </is>
      </c>
      <c r="DV186" s="40" t="inlineStr">
        <is>
          <t>CHOOSE RATING</t>
        </is>
      </c>
      <c r="DW186" s="40" t="inlineStr">
        <is>
          <t>CHOOSE RATING</t>
        </is>
      </c>
      <c r="DX186" s="40" t="inlineStr">
        <is>
          <t>CHOOSE RATING</t>
        </is>
      </c>
      <c r="DY186" s="40" t="inlineStr">
        <is>
          <t>CHOOSE RATING</t>
        </is>
      </c>
      <c r="DZ186" s="53" t="inlineStr">
        <is>
          <t>CHOOSE RATING</t>
        </is>
      </c>
      <c r="EA186" s="54" t="inlineStr">
        <is>
          <t>Add the Tutor's Comment . . .</t>
        </is>
      </c>
      <c r="EB186" s="55" t="inlineStr">
        <is>
          <t>Choose Principals comment</t>
        </is>
      </c>
      <c r="EC186" s="56" t="n"/>
      <c r="ED186" s="57" t="inlineStr">
        <is>
          <t>Next Term Begins on Monday, 22nd September, 2025</t>
        </is>
      </c>
    </row>
    <row r="187" ht="30.6" customHeight="1" s="6">
      <c r="A187" s="18" t="n">
        <v>184</v>
      </c>
      <c r="B187" s="19" t="n"/>
      <c r="C187" s="20" t="n"/>
      <c r="D187" s="128" t="n"/>
      <c r="E187" s="21" t="n"/>
      <c r="F187" s="22" t="n"/>
      <c r="G187" s="22" t="n"/>
      <c r="H187" s="22" t="n"/>
      <c r="I187" s="26">
        <f>G187-H187</f>
        <v/>
      </c>
      <c r="J187" s="21" t="n"/>
      <c r="K187" s="21" t="n"/>
      <c r="L187" s="27">
        <f>SUM(J187:K187)</f>
        <v/>
      </c>
      <c r="M187" s="28" t="n"/>
      <c r="N187" s="28" t="n"/>
      <c r="O187" s="29">
        <f>IF(AND(L187=0,M187=0,N187=0),0,IF(AND(L187=0,M187=0),N187/1,IF(AND(L187=0,N187=0),M187/1,IF(AND(M187=0,N187=0),L187/1,IF(L187=0,FLOOR((M187+N187)/2,0.1),IF(M187=0,(L187+N187)/2,IF(N187=0,(M187+L187)/2,FLOOR(((L187+M187+N187)/3),0.1))))))))</f>
        <v/>
      </c>
      <c r="P187" s="21" t="n"/>
      <c r="Q187" s="21" t="n"/>
      <c r="R187" s="27">
        <f>SUM(P187:Q187)</f>
        <v/>
      </c>
      <c r="S187" s="28" t="n"/>
      <c r="T187" s="28" t="n"/>
      <c r="U187" s="29">
        <f>IF(AND(R187=0,S187=0,T187=0),0,IF(AND(R187=0,S187=0),T187/1,IF(AND(R187=0,T187=0),S187/1,IF(AND(S187=0,T187=0),R187/1,IF(R187=0,FLOOR((S187+T187)/2,0.1),IF(S187=0,(R187+T187)/2,IF(T187=0,(S187+R187)/2,FLOOR(((R187+S187+T187)/3),0.1))))))))</f>
        <v/>
      </c>
      <c r="V187" s="21" t="n"/>
      <c r="W187" s="21" t="n"/>
      <c r="X187" s="27">
        <f>SUM(V187:W187)</f>
        <v/>
      </c>
      <c r="Y187" s="28" t="n"/>
      <c r="Z187" s="28" t="n"/>
      <c r="AA187" s="29">
        <f>IF(AND(X187=0,Y187=0,Z187=0),0,IF(AND(X187=0,Y187=0),Z187/1,IF(AND(X187=0,Z187=0),Y187/1,IF(AND(Y187=0,Z187=0),X187/1,IF(X187=0,FLOOR((Y187+Z187)/2,0.1),IF(Y187=0,(X187+Z187)/2,IF(Z187=0,(Y187+X187)/2,FLOOR(((X187+Y187+Z187)/3),0.1))))))))</f>
        <v/>
      </c>
      <c r="AB187" s="21" t="n"/>
      <c r="AC187" s="21" t="n"/>
      <c r="AD187" s="27">
        <f>SUM(AB187:AC187)</f>
        <v/>
      </c>
      <c r="AE187" s="28" t="n"/>
      <c r="AF187" s="28" t="n"/>
      <c r="AG187" s="29">
        <f>IF(AND(AD187=0,AE187=0,AF187=0),0,IF(AND(AD187=0,AE187=0),AF187/1,IF(AND(AD187=0,AF187=0),AE187/1,IF(AND(AE187=0,AF187=0),AD187/1,IF(AD187=0,FLOOR((AE187+AF187)/2,0.1),IF(AE187=0,(AD187+AF187)/2,IF(AF187=0,(AE187+AD187)/2,FLOOR(((AD187+AE187+AF187)/3),0.1))))))))</f>
        <v/>
      </c>
      <c r="AH187" s="21" t="n"/>
      <c r="AI187" s="21" t="n"/>
      <c r="AJ187" s="27">
        <f>SUM(AH187:AI187)</f>
        <v/>
      </c>
      <c r="AK187" s="28" t="n"/>
      <c r="AL187" s="28" t="n"/>
      <c r="AM187" s="29">
        <f>IF(AND(AJ187=0,AK187=0,AL187=0),0,IF(AND(AJ187=0,AK187=0),AL187/1,IF(AND(AJ187=0,AL187=0),AK187/1,IF(AND(AK187=0,AL187=0),AJ187/1,IF(AJ187=0,FLOOR((AK187+AL187)/2,0.1),IF(AK187=0,(AJ187+AL187)/2,IF(AL187=0,(AK187+AJ187)/2,FLOOR(((AJ187+AK187+AL187)/3),0.1))))))))</f>
        <v/>
      </c>
      <c r="AN187" s="21" t="n"/>
      <c r="AO187" s="21" t="n"/>
      <c r="AP187" s="27">
        <f>SUM(AN187:AO187)</f>
        <v/>
      </c>
      <c r="AQ187" s="28" t="n"/>
      <c r="AR187" s="30" t="n"/>
      <c r="AS187" s="29">
        <f>IF(AND(AP187=0,AQ187=0,AR187=0),0,IF(AND(AP187=0,AQ187=0),AR187/1,IF(AND(AP187=0,AR187=0),AQ187/1,IF(AND(AQ187=0,AR187=0),AP187/1,IF(AP187=0,FLOOR((AQ187+AR187)/2,0.1),IF(AQ187=0,(AP187+AR187)/2,IF(AR187=0,(AQ187+AP187)/2,FLOOR(((AP187+AQ187+AR187)/3),0.1))))))))</f>
        <v/>
      </c>
      <c r="AT187" s="21" t="n"/>
      <c r="AU187" s="21" t="n"/>
      <c r="AV187" s="27">
        <f>SUM(AT187:AU187)</f>
        <v/>
      </c>
      <c r="AW187" s="28" t="n"/>
      <c r="AX187" s="30" t="n"/>
      <c r="AY187" s="29">
        <f>IF(AND(AV187=0,AW187=0,AX187=0),0,IF(AND(AV187=0,AW187=0),AX187/1,IF(AND(AV187=0,AX187=0),AW187/1,IF(AND(AW187=0,AX187=0),AV187/1,IF(AV187=0,FLOOR((AW187+AX187)/2,0.1),IF(AW187=0,(AV187+AX187)/2,IF(AX187=0,(AW187+AV187)/2,FLOOR(((AV187+AW187+AX187)/3),0.1))))))))</f>
        <v/>
      </c>
      <c r="AZ187" s="21" t="n"/>
      <c r="BA187" s="21" t="n"/>
      <c r="BB187" s="27">
        <f>SUM(AZ187:BA187)</f>
        <v/>
      </c>
      <c r="BC187" s="28" t="n"/>
      <c r="BD187" s="28" t="n"/>
      <c r="BE187" s="29">
        <f>IF(AND(BB187=0,BC187=0,BD187=0),0,IF(AND(BB187=0,BC187=0),BD187/1,IF(AND(BB187=0,BD187=0),BC187/1,IF(AND(BC187=0,BD187=0),BB187/1,IF(BB187=0,FLOOR((BC187+BD187)/2,0.1),IF(BC187=0,(BB187+BD187)/2,IF(BD187=0,(BC187+BB187)/2,FLOOR(((BB187+BC187+BD187)/3),0.1))))))))</f>
        <v/>
      </c>
      <c r="BF187" s="21" t="n"/>
      <c r="BG187" s="21" t="n"/>
      <c r="BH187" s="27">
        <f>SUM(BF187:BG187)</f>
        <v/>
      </c>
      <c r="BI187" s="28" t="n"/>
      <c r="BJ187" s="28" t="n"/>
      <c r="BK187" s="29">
        <f>IF(AND(BH187=0,BI187=0,BJ187=0),0,IF(AND(BH187=0,BI187=0),BJ187/1,IF(AND(BH187=0,BJ187=0),BI187/1,IF(AND(BI187=0,BJ187=0),BH187/1,IF(BH187=0,FLOOR((BI187+BJ187)/2,0.1),IF(BI187=0,(BH187+BJ187)/2,IF(BJ187=0,(BI187+BH187)/2,FLOOR(((BH187+BI187+BJ187)/3),0.1))))))))</f>
        <v/>
      </c>
      <c r="BL187" s="21" t="n"/>
      <c r="BM187" s="21" t="n"/>
      <c r="BN187" s="27">
        <f>SUM(BL187:BM187)</f>
        <v/>
      </c>
      <c r="BO187" s="28" t="n"/>
      <c r="BP187" s="31" t="n"/>
      <c r="BQ187" s="29">
        <f>IF(AND(BN187=0,BO187=0,BP187=0),0,IF(AND(BN187=0,BO187=0),BP187/1,IF(AND(BN187=0,BP187=0),BO187/1,IF(AND(BO187=0,BP187=0),BN187/1,IF(BN187=0,FLOOR((BO187+BP187)/2,0.1),IF(BO187=0,(BN187+BP187)/2,IF(BP187=0,(BO187+BN187)/2,FLOOR(((BN187+BO187+BP187)/3),0.1))))))))</f>
        <v/>
      </c>
      <c r="BR187" s="21" t="n"/>
      <c r="BS187" s="21" t="n"/>
      <c r="BT187" s="27">
        <f>SUM(BR187:BS187)</f>
        <v/>
      </c>
      <c r="BU187" s="28" t="n"/>
      <c r="BV187" s="31" t="n"/>
      <c r="BW187" s="29">
        <f>IF(AND(BT187=0,BU187=0,BV187=0),0,IF(AND(BT187=0,BU187=0),BV187/1,IF(AND(BT187=0,BV187=0),BU187/1,IF(AND(BU187=0,BV187=0),BT187/1,IF(BT187=0,FLOOR((BU187+BV187)/2,0.1),IF(BU187=0,(BT187+BV187)/2,IF(BV187=0,(BU187+BT187)/2,FLOOR(((BT187+BU187+BV187)/3),0.1))))))))</f>
        <v/>
      </c>
      <c r="BX187" s="21" t="n"/>
      <c r="BY187" s="21" t="n"/>
      <c r="BZ187" s="27">
        <f>SUM(BX187:BY187)</f>
        <v/>
      </c>
      <c r="CA187" s="28" t="n"/>
      <c r="CB187" s="31" t="n"/>
      <c r="CC187" s="29">
        <f>IF(AND(BZ187=0,CA187=0,CB187=0),0,IF(AND(BZ187=0,CA187=0),CB187/1,IF(AND(BZ187=0,CB187=0),CA187/1,IF(AND(CA187=0,CB187=0),BZ187/1,IF(BZ187=0,FLOOR((CA187+CB187)/2,0.1),IF(CA187=0,(BZ187+CB187)/2,IF(CB187=0,(CA187+BZ187)/2,FLOOR(((BZ187+CA187+CB187)/3),0.1))))))))</f>
        <v/>
      </c>
      <c r="CD187" s="21" t="n"/>
      <c r="CE187" s="21" t="n"/>
      <c r="CF187" s="27">
        <f>SUM(CD187:CE187)</f>
        <v/>
      </c>
      <c r="CG187" s="28" t="n"/>
      <c r="CH187" s="31" t="n"/>
      <c r="CI187" s="29">
        <f>IF(AND(CF187=0,CG187=0,CH187=0),0,IF(AND(CF187=0,CG187=0),CH187/1,IF(AND(CF187=0,CH187=0),CG187/1,IF(AND(CG187=0,CH187=0),CF187/1,IF(CF187=0,FLOOR((CG187+CH187)/2,0.1),IF(CG187=0,(CF187+CH187)/2,IF(CH187=0,(CG187+CF187)/2,FLOOR(((CF187+CG187+CH187)/3),0.1))))))))</f>
        <v/>
      </c>
      <c r="CJ187" s="21" t="n"/>
      <c r="CK187" s="21" t="n"/>
      <c r="CL187" s="27">
        <f>SUM(CJ187:CK187)</f>
        <v/>
      </c>
      <c r="CM187" s="28" t="n"/>
      <c r="CN187" s="31" t="n"/>
      <c r="CO187" s="29">
        <f>IF(AND(CL187=0,CM187=0,CN187=0),0,IF(AND(CL187=0,CM187=0),CN187/1,IF(AND(CL187=0,CN187=0),CM187/1,IF(AND(CM187=0,CN187=0),CL187/1,IF(CL187=0,FLOOR((CM187+CN187)/2,0.1),IF(CM187=0,(CL187+CN187)/2,IF(CN187=0,(CM187+CL187)/2,FLOOR(((CL187+CM187+CN187)/3),0.1))))))))</f>
        <v/>
      </c>
      <c r="CP187" s="21" t="n"/>
      <c r="CQ187" s="21" t="n"/>
      <c r="CR187" s="27">
        <f>SUM(CP187:CQ187)</f>
        <v/>
      </c>
      <c r="CS187" s="28" t="n"/>
      <c r="CT187" s="31" t="n"/>
      <c r="CU187" s="29">
        <f>IF(AND(CR187=0,CS187=0,CT187=0),0,IF(AND(CR187=0,CS187=0),CT187/1,IF(AND(CR187=0,CT187=0),CS187/1,IF(AND(CS187=0,CT187=0),CR187/1,IF(CR187=0,FLOOR((CS187+CT187)/2,0.1),IF(CS187=0,(CR187+CT187)/2,IF(CT187=0,(CS187+CR187)/2,FLOOR(((CR187+CS187+CT187)/3),0.1))))))))</f>
        <v/>
      </c>
      <c r="CV187" s="21" t="n"/>
      <c r="CW187" s="21" t="n"/>
      <c r="CX187" s="27">
        <f>SUM(CV187:CW187)</f>
        <v/>
      </c>
      <c r="CY187" s="28" t="n"/>
      <c r="CZ187" s="31" t="n"/>
      <c r="DA187" s="29">
        <f>IF(AND(CX187=0,CY187=0,CZ187=0),0,IF(AND(CX187=0,CY187=0),CZ187/1,IF(AND(CX187=0,CZ187=0),CY187/1,IF(AND(CY187=0,CZ187=0),CX187/1,IF(CX187=0,FLOOR((CY187+CZ187)/2,0.1),IF(CY187=0,(CX187+CZ187)/2,IF(CZ187=0,(CY187+CX187)/2,FLOOR(((CX187+CY187+CZ187)/3),0.1))))))))</f>
        <v/>
      </c>
      <c r="DB187" s="21" t="n"/>
      <c r="DC187" s="21" t="n"/>
      <c r="DD187" s="27">
        <f>SUM(DB187:DC187)</f>
        <v/>
      </c>
      <c r="DE187" s="28" t="n"/>
      <c r="DF187" s="31" t="n"/>
      <c r="DG187" s="29">
        <f>IF(AND(DD187=0,DE187=0,DF187=0),0,IF(AND(DD187=0,DE187=0),DF187/1,IF(AND(DD187=0,DF187=0),DE187/1,IF(AND(DE187=0,DF187=0),DD187/1,IF(DD187=0,FLOOR((DE187+DF187)/2,0.1),IF(DE187=0,(DD187+DF187)/2,IF(DF187=0,(DE187+DD187)/2,FLOOR(((DD187+DE187+DF187)/3),0.1))))))))</f>
        <v/>
      </c>
      <c r="DH187" s="34">
        <f>SUM(O187,U187,AA187,AG187,AM187,AS187,AY187,BE187,BK187,BQ187,BW187,CC187,CI187,CO187,CU187,DA187,DG187)</f>
        <v/>
      </c>
      <c r="DI187" s="39">
        <f>RANK(DH187,DH$4:DH$503)</f>
        <v/>
      </c>
      <c r="DJ187" s="40" t="inlineStr">
        <is>
          <t>CHOOSE RATING</t>
        </is>
      </c>
      <c r="DK187" s="40" t="inlineStr">
        <is>
          <t>CHOOSE RATING</t>
        </is>
      </c>
      <c r="DL187" s="40" t="inlineStr">
        <is>
          <t>CHOOSE RATING</t>
        </is>
      </c>
      <c r="DM187" s="40" t="inlineStr">
        <is>
          <t>CHOOSE RATING</t>
        </is>
      </c>
      <c r="DN187" s="40" t="inlineStr">
        <is>
          <t>CHOOSE RATING</t>
        </is>
      </c>
      <c r="DO187" s="40" t="inlineStr">
        <is>
          <t>CHOOSE RATING</t>
        </is>
      </c>
      <c r="DP187" s="40" t="inlineStr">
        <is>
          <t>CHOOSE RATING</t>
        </is>
      </c>
      <c r="DQ187" s="40" t="inlineStr">
        <is>
          <t>CHOOSE RATING</t>
        </is>
      </c>
      <c r="DR187" s="43" t="inlineStr">
        <is>
          <t>2024/2025</t>
        </is>
      </c>
      <c r="DS187" s="45" t="inlineStr">
        <is>
          <t>THIRD</t>
        </is>
      </c>
      <c r="DT187" s="40" t="inlineStr">
        <is>
          <t>CHOOSE RATING</t>
        </is>
      </c>
      <c r="DU187" s="40" t="inlineStr">
        <is>
          <t>CHOOSE RATING</t>
        </is>
      </c>
      <c r="DV187" s="40" t="inlineStr">
        <is>
          <t>CHOOSE RATING</t>
        </is>
      </c>
      <c r="DW187" s="40" t="inlineStr">
        <is>
          <t>CHOOSE RATING</t>
        </is>
      </c>
      <c r="DX187" s="40" t="inlineStr">
        <is>
          <t>CHOOSE RATING</t>
        </is>
      </c>
      <c r="DY187" s="40" t="inlineStr">
        <is>
          <t>CHOOSE RATING</t>
        </is>
      </c>
      <c r="DZ187" s="53" t="inlineStr">
        <is>
          <t>CHOOSE RATING</t>
        </is>
      </c>
      <c r="EA187" s="54" t="inlineStr">
        <is>
          <t>Add the Tutor's Comment . . .</t>
        </is>
      </c>
      <c r="EB187" s="55" t="inlineStr">
        <is>
          <t>Choose Principals comment</t>
        </is>
      </c>
      <c r="EC187" s="56" t="n"/>
      <c r="ED187" s="57" t="inlineStr">
        <is>
          <t>Next Term Begins on Monday, 22nd September, 2025</t>
        </is>
      </c>
    </row>
    <row r="188" ht="30.6" customHeight="1" s="6">
      <c r="A188" s="18" t="n">
        <v>185</v>
      </c>
      <c r="B188" s="19" t="n"/>
      <c r="C188" s="20" t="n"/>
      <c r="D188" s="128" t="n"/>
      <c r="E188" s="21" t="n"/>
      <c r="F188" s="22" t="n"/>
      <c r="G188" s="22" t="n"/>
      <c r="H188" s="22" t="n"/>
      <c r="I188" s="26">
        <f>G188-H188</f>
        <v/>
      </c>
      <c r="J188" s="21" t="n"/>
      <c r="K188" s="21" t="n"/>
      <c r="L188" s="27">
        <f>SUM(J188:K188)</f>
        <v/>
      </c>
      <c r="M188" s="28" t="n"/>
      <c r="N188" s="28" t="n"/>
      <c r="O188" s="29">
        <f>IF(AND(L188=0,M188=0,N188=0),0,IF(AND(L188=0,M188=0),N188/1,IF(AND(L188=0,N188=0),M188/1,IF(AND(M188=0,N188=0),L188/1,IF(L188=0,FLOOR((M188+N188)/2,0.1),IF(M188=0,(L188+N188)/2,IF(N188=0,(M188+L188)/2,FLOOR(((L188+M188+N188)/3),0.1))))))))</f>
        <v/>
      </c>
      <c r="P188" s="21" t="n"/>
      <c r="Q188" s="21" t="n"/>
      <c r="R188" s="27">
        <f>SUM(P188:Q188)</f>
        <v/>
      </c>
      <c r="S188" s="28" t="n"/>
      <c r="T188" s="28" t="n"/>
      <c r="U188" s="29">
        <f>IF(AND(R188=0,S188=0,T188=0),0,IF(AND(R188=0,S188=0),T188/1,IF(AND(R188=0,T188=0),S188/1,IF(AND(S188=0,T188=0),R188/1,IF(R188=0,FLOOR((S188+T188)/2,0.1),IF(S188=0,(R188+T188)/2,IF(T188=0,(S188+R188)/2,FLOOR(((R188+S188+T188)/3),0.1))))))))</f>
        <v/>
      </c>
      <c r="V188" s="21" t="n"/>
      <c r="W188" s="21" t="n"/>
      <c r="X188" s="27">
        <f>SUM(V188:W188)</f>
        <v/>
      </c>
      <c r="Y188" s="28" t="n"/>
      <c r="Z188" s="28" t="n"/>
      <c r="AA188" s="29">
        <f>IF(AND(X188=0,Y188=0,Z188=0),0,IF(AND(X188=0,Y188=0),Z188/1,IF(AND(X188=0,Z188=0),Y188/1,IF(AND(Y188=0,Z188=0),X188/1,IF(X188=0,FLOOR((Y188+Z188)/2,0.1),IF(Y188=0,(X188+Z188)/2,IF(Z188=0,(Y188+X188)/2,FLOOR(((X188+Y188+Z188)/3),0.1))))))))</f>
        <v/>
      </c>
      <c r="AB188" s="21" t="n"/>
      <c r="AC188" s="21" t="n"/>
      <c r="AD188" s="27">
        <f>SUM(AB188:AC188)</f>
        <v/>
      </c>
      <c r="AE188" s="28" t="n"/>
      <c r="AF188" s="28" t="n"/>
      <c r="AG188" s="29">
        <f>IF(AND(AD188=0,AE188=0,AF188=0),0,IF(AND(AD188=0,AE188=0),AF188/1,IF(AND(AD188=0,AF188=0),AE188/1,IF(AND(AE188=0,AF188=0),AD188/1,IF(AD188=0,FLOOR((AE188+AF188)/2,0.1),IF(AE188=0,(AD188+AF188)/2,IF(AF188=0,(AE188+AD188)/2,FLOOR(((AD188+AE188+AF188)/3),0.1))))))))</f>
        <v/>
      </c>
      <c r="AH188" s="21" t="n"/>
      <c r="AI188" s="21" t="n"/>
      <c r="AJ188" s="27">
        <f>SUM(AH188:AI188)</f>
        <v/>
      </c>
      <c r="AK188" s="28" t="n"/>
      <c r="AL188" s="28" t="n"/>
      <c r="AM188" s="29">
        <f>IF(AND(AJ188=0,AK188=0,AL188=0),0,IF(AND(AJ188=0,AK188=0),AL188/1,IF(AND(AJ188=0,AL188=0),AK188/1,IF(AND(AK188=0,AL188=0),AJ188/1,IF(AJ188=0,FLOOR((AK188+AL188)/2,0.1),IF(AK188=0,(AJ188+AL188)/2,IF(AL188=0,(AK188+AJ188)/2,FLOOR(((AJ188+AK188+AL188)/3),0.1))))))))</f>
        <v/>
      </c>
      <c r="AN188" s="21" t="n"/>
      <c r="AO188" s="21" t="n"/>
      <c r="AP188" s="27">
        <f>SUM(AN188:AO188)</f>
        <v/>
      </c>
      <c r="AQ188" s="28" t="n"/>
      <c r="AR188" s="30" t="n"/>
      <c r="AS188" s="29">
        <f>IF(AND(AP188=0,AQ188=0,AR188=0),0,IF(AND(AP188=0,AQ188=0),AR188/1,IF(AND(AP188=0,AR188=0),AQ188/1,IF(AND(AQ188=0,AR188=0),AP188/1,IF(AP188=0,FLOOR((AQ188+AR188)/2,0.1),IF(AQ188=0,(AP188+AR188)/2,IF(AR188=0,(AQ188+AP188)/2,FLOOR(((AP188+AQ188+AR188)/3),0.1))))))))</f>
        <v/>
      </c>
      <c r="AT188" s="21" t="n"/>
      <c r="AU188" s="21" t="n"/>
      <c r="AV188" s="27">
        <f>SUM(AT188:AU188)</f>
        <v/>
      </c>
      <c r="AW188" s="28" t="n"/>
      <c r="AX188" s="30" t="n"/>
      <c r="AY188" s="29">
        <f>IF(AND(AV188=0,AW188=0,AX188=0),0,IF(AND(AV188=0,AW188=0),AX188/1,IF(AND(AV188=0,AX188=0),AW188/1,IF(AND(AW188=0,AX188=0),AV188/1,IF(AV188=0,FLOOR((AW188+AX188)/2,0.1),IF(AW188=0,(AV188+AX188)/2,IF(AX188=0,(AW188+AV188)/2,FLOOR(((AV188+AW188+AX188)/3),0.1))))))))</f>
        <v/>
      </c>
      <c r="AZ188" s="21" t="n"/>
      <c r="BA188" s="21" t="n"/>
      <c r="BB188" s="27">
        <f>SUM(AZ188:BA188)</f>
        <v/>
      </c>
      <c r="BC188" s="28" t="n"/>
      <c r="BD188" s="28" t="n"/>
      <c r="BE188" s="29">
        <f>IF(AND(BB188=0,BC188=0,BD188=0),0,IF(AND(BB188=0,BC188=0),BD188/1,IF(AND(BB188=0,BD188=0),BC188/1,IF(AND(BC188=0,BD188=0),BB188/1,IF(BB188=0,FLOOR((BC188+BD188)/2,0.1),IF(BC188=0,(BB188+BD188)/2,IF(BD188=0,(BC188+BB188)/2,FLOOR(((BB188+BC188+BD188)/3),0.1))))))))</f>
        <v/>
      </c>
      <c r="BF188" s="21" t="n"/>
      <c r="BG188" s="21" t="n"/>
      <c r="BH188" s="27">
        <f>SUM(BF188:BG188)</f>
        <v/>
      </c>
      <c r="BI188" s="28" t="n"/>
      <c r="BJ188" s="28" t="n"/>
      <c r="BK188" s="29">
        <f>IF(AND(BH188=0,BI188=0,BJ188=0),0,IF(AND(BH188=0,BI188=0),BJ188/1,IF(AND(BH188=0,BJ188=0),BI188/1,IF(AND(BI188=0,BJ188=0),BH188/1,IF(BH188=0,FLOOR((BI188+BJ188)/2,0.1),IF(BI188=0,(BH188+BJ188)/2,IF(BJ188=0,(BI188+BH188)/2,FLOOR(((BH188+BI188+BJ188)/3),0.1))))))))</f>
        <v/>
      </c>
      <c r="BL188" s="21" t="n"/>
      <c r="BM188" s="21" t="n"/>
      <c r="BN188" s="27">
        <f>SUM(BL188:BM188)</f>
        <v/>
      </c>
      <c r="BO188" s="28" t="n"/>
      <c r="BP188" s="31" t="n"/>
      <c r="BQ188" s="29">
        <f>IF(AND(BN188=0,BO188=0,BP188=0),0,IF(AND(BN188=0,BO188=0),BP188/1,IF(AND(BN188=0,BP188=0),BO188/1,IF(AND(BO188=0,BP188=0),BN188/1,IF(BN188=0,FLOOR((BO188+BP188)/2,0.1),IF(BO188=0,(BN188+BP188)/2,IF(BP188=0,(BO188+BN188)/2,FLOOR(((BN188+BO188+BP188)/3),0.1))))))))</f>
        <v/>
      </c>
      <c r="BR188" s="21" t="n"/>
      <c r="BS188" s="21" t="n"/>
      <c r="BT188" s="27">
        <f>SUM(BR188:BS188)</f>
        <v/>
      </c>
      <c r="BU188" s="28" t="n"/>
      <c r="BV188" s="31" t="n"/>
      <c r="BW188" s="29">
        <f>IF(AND(BT188=0,BU188=0,BV188=0),0,IF(AND(BT188=0,BU188=0),BV188/1,IF(AND(BT188=0,BV188=0),BU188/1,IF(AND(BU188=0,BV188=0),BT188/1,IF(BT188=0,FLOOR((BU188+BV188)/2,0.1),IF(BU188=0,(BT188+BV188)/2,IF(BV188=0,(BU188+BT188)/2,FLOOR(((BT188+BU188+BV188)/3),0.1))))))))</f>
        <v/>
      </c>
      <c r="BX188" s="21" t="n"/>
      <c r="BY188" s="21" t="n"/>
      <c r="BZ188" s="27">
        <f>SUM(BX188:BY188)</f>
        <v/>
      </c>
      <c r="CA188" s="28" t="n"/>
      <c r="CB188" s="31" t="n"/>
      <c r="CC188" s="29">
        <f>IF(AND(BZ188=0,CA188=0,CB188=0),0,IF(AND(BZ188=0,CA188=0),CB188/1,IF(AND(BZ188=0,CB188=0),CA188/1,IF(AND(CA188=0,CB188=0),BZ188/1,IF(BZ188=0,FLOOR((CA188+CB188)/2,0.1),IF(CA188=0,(BZ188+CB188)/2,IF(CB188=0,(CA188+BZ188)/2,FLOOR(((BZ188+CA188+CB188)/3),0.1))))))))</f>
        <v/>
      </c>
      <c r="CD188" s="21" t="n"/>
      <c r="CE188" s="21" t="n"/>
      <c r="CF188" s="27">
        <f>SUM(CD188:CE188)</f>
        <v/>
      </c>
      <c r="CG188" s="28" t="n"/>
      <c r="CH188" s="31" t="n"/>
      <c r="CI188" s="29">
        <f>IF(AND(CF188=0,CG188=0,CH188=0),0,IF(AND(CF188=0,CG188=0),CH188/1,IF(AND(CF188=0,CH188=0),CG188/1,IF(AND(CG188=0,CH188=0),CF188/1,IF(CF188=0,FLOOR((CG188+CH188)/2,0.1),IF(CG188=0,(CF188+CH188)/2,IF(CH188=0,(CG188+CF188)/2,FLOOR(((CF188+CG188+CH188)/3),0.1))))))))</f>
        <v/>
      </c>
      <c r="CJ188" s="21" t="n"/>
      <c r="CK188" s="21" t="n"/>
      <c r="CL188" s="27">
        <f>SUM(CJ188:CK188)</f>
        <v/>
      </c>
      <c r="CM188" s="28" t="n"/>
      <c r="CN188" s="31" t="n"/>
      <c r="CO188" s="29">
        <f>IF(AND(CL188=0,CM188=0,CN188=0),0,IF(AND(CL188=0,CM188=0),CN188/1,IF(AND(CL188=0,CN188=0),CM188/1,IF(AND(CM188=0,CN188=0),CL188/1,IF(CL188=0,FLOOR((CM188+CN188)/2,0.1),IF(CM188=0,(CL188+CN188)/2,IF(CN188=0,(CM188+CL188)/2,FLOOR(((CL188+CM188+CN188)/3),0.1))))))))</f>
        <v/>
      </c>
      <c r="CP188" s="21" t="n"/>
      <c r="CQ188" s="21" t="n"/>
      <c r="CR188" s="27">
        <f>SUM(CP188:CQ188)</f>
        <v/>
      </c>
      <c r="CS188" s="28" t="n"/>
      <c r="CT188" s="31" t="n"/>
      <c r="CU188" s="29">
        <f>IF(AND(CR188=0,CS188=0,CT188=0),0,IF(AND(CR188=0,CS188=0),CT188/1,IF(AND(CR188=0,CT188=0),CS188/1,IF(AND(CS188=0,CT188=0),CR188/1,IF(CR188=0,FLOOR((CS188+CT188)/2,0.1),IF(CS188=0,(CR188+CT188)/2,IF(CT188=0,(CS188+CR188)/2,FLOOR(((CR188+CS188+CT188)/3),0.1))))))))</f>
        <v/>
      </c>
      <c r="CV188" s="21" t="n"/>
      <c r="CW188" s="21" t="n"/>
      <c r="CX188" s="27">
        <f>SUM(CV188:CW188)</f>
        <v/>
      </c>
      <c r="CY188" s="28" t="n"/>
      <c r="CZ188" s="31" t="n"/>
      <c r="DA188" s="29">
        <f>IF(AND(CX188=0,CY188=0,CZ188=0),0,IF(AND(CX188=0,CY188=0),CZ188/1,IF(AND(CX188=0,CZ188=0),CY188/1,IF(AND(CY188=0,CZ188=0),CX188/1,IF(CX188=0,FLOOR((CY188+CZ188)/2,0.1),IF(CY188=0,(CX188+CZ188)/2,IF(CZ188=0,(CY188+CX188)/2,FLOOR(((CX188+CY188+CZ188)/3),0.1))))))))</f>
        <v/>
      </c>
      <c r="DB188" s="21" t="n"/>
      <c r="DC188" s="21" t="n"/>
      <c r="DD188" s="27">
        <f>SUM(DB188:DC188)</f>
        <v/>
      </c>
      <c r="DE188" s="28" t="n"/>
      <c r="DF188" s="31" t="n"/>
      <c r="DG188" s="29">
        <f>IF(AND(DD188=0,DE188=0,DF188=0),0,IF(AND(DD188=0,DE188=0),DF188/1,IF(AND(DD188=0,DF188=0),DE188/1,IF(AND(DE188=0,DF188=0),DD188/1,IF(DD188=0,FLOOR((DE188+DF188)/2,0.1),IF(DE188=0,(DD188+DF188)/2,IF(DF188=0,(DE188+DD188)/2,FLOOR(((DD188+DE188+DF188)/3),0.1))))))))</f>
        <v/>
      </c>
      <c r="DH188" s="34">
        <f>SUM(O188,U188,AA188,AG188,AM188,AS188,AY188,BE188,BK188,BQ188,BW188,CC188,CI188,CO188,CU188,DA188,DG188)</f>
        <v/>
      </c>
      <c r="DI188" s="39">
        <f>RANK(DH188,DH$4:DH$503)</f>
        <v/>
      </c>
      <c r="DJ188" s="40" t="inlineStr">
        <is>
          <t>CHOOSE RATING</t>
        </is>
      </c>
      <c r="DK188" s="40" t="inlineStr">
        <is>
          <t>CHOOSE RATING</t>
        </is>
      </c>
      <c r="DL188" s="40" t="inlineStr">
        <is>
          <t>CHOOSE RATING</t>
        </is>
      </c>
      <c r="DM188" s="40" t="inlineStr">
        <is>
          <t>CHOOSE RATING</t>
        </is>
      </c>
      <c r="DN188" s="40" t="inlineStr">
        <is>
          <t>CHOOSE RATING</t>
        </is>
      </c>
      <c r="DO188" s="40" t="inlineStr">
        <is>
          <t>CHOOSE RATING</t>
        </is>
      </c>
      <c r="DP188" s="40" t="inlineStr">
        <is>
          <t>CHOOSE RATING</t>
        </is>
      </c>
      <c r="DQ188" s="40" t="inlineStr">
        <is>
          <t>CHOOSE RATING</t>
        </is>
      </c>
      <c r="DR188" s="43" t="inlineStr">
        <is>
          <t>2024/2025</t>
        </is>
      </c>
      <c r="DS188" s="45" t="inlineStr">
        <is>
          <t>THIRD</t>
        </is>
      </c>
      <c r="DT188" s="40" t="inlineStr">
        <is>
          <t>CHOOSE RATING</t>
        </is>
      </c>
      <c r="DU188" s="40" t="inlineStr">
        <is>
          <t>CHOOSE RATING</t>
        </is>
      </c>
      <c r="DV188" s="40" t="inlineStr">
        <is>
          <t>CHOOSE RATING</t>
        </is>
      </c>
      <c r="DW188" s="40" t="inlineStr">
        <is>
          <t>CHOOSE RATING</t>
        </is>
      </c>
      <c r="DX188" s="40" t="inlineStr">
        <is>
          <t>CHOOSE RATING</t>
        </is>
      </c>
      <c r="DY188" s="40" t="inlineStr">
        <is>
          <t>CHOOSE RATING</t>
        </is>
      </c>
      <c r="DZ188" s="53" t="inlineStr">
        <is>
          <t>CHOOSE RATING</t>
        </is>
      </c>
      <c r="EA188" s="54" t="inlineStr">
        <is>
          <t>Add the Tutor's Comment . . .</t>
        </is>
      </c>
      <c r="EB188" s="55" t="inlineStr">
        <is>
          <t>Choose Principals comment</t>
        </is>
      </c>
      <c r="EC188" s="56" t="n"/>
      <c r="ED188" s="57" t="inlineStr">
        <is>
          <t>Next Term Begins on Monday, 22nd September, 2025</t>
        </is>
      </c>
    </row>
    <row r="189" ht="30.6" customHeight="1" s="6">
      <c r="A189" s="18" t="n">
        <v>186</v>
      </c>
      <c r="B189" s="19" t="n"/>
      <c r="C189" s="20" t="n"/>
      <c r="D189" s="128" t="n"/>
      <c r="E189" s="21" t="n"/>
      <c r="F189" s="22" t="n"/>
      <c r="G189" s="22" t="n"/>
      <c r="H189" s="22" t="n"/>
      <c r="I189" s="26">
        <f>G189-H189</f>
        <v/>
      </c>
      <c r="J189" s="21" t="n"/>
      <c r="K189" s="21" t="n"/>
      <c r="L189" s="27">
        <f>SUM(J189:K189)</f>
        <v/>
      </c>
      <c r="M189" s="28" t="n"/>
      <c r="N189" s="28" t="n"/>
      <c r="O189" s="29">
        <f>IF(AND(L189=0,M189=0,N189=0),0,IF(AND(L189=0,M189=0),N189/1,IF(AND(L189=0,N189=0),M189/1,IF(AND(M189=0,N189=0),L189/1,IF(L189=0,FLOOR((M189+N189)/2,0.1),IF(M189=0,(L189+N189)/2,IF(N189=0,(M189+L189)/2,FLOOR(((L189+M189+N189)/3),0.1))))))))</f>
        <v/>
      </c>
      <c r="P189" s="21" t="n"/>
      <c r="Q189" s="21" t="n"/>
      <c r="R189" s="27">
        <f>SUM(P189:Q189)</f>
        <v/>
      </c>
      <c r="S189" s="28" t="n"/>
      <c r="T189" s="28" t="n"/>
      <c r="U189" s="29">
        <f>IF(AND(R189=0,S189=0,T189=0),0,IF(AND(R189=0,S189=0),T189/1,IF(AND(R189=0,T189=0),S189/1,IF(AND(S189=0,T189=0),R189/1,IF(R189=0,FLOOR((S189+T189)/2,0.1),IF(S189=0,(R189+T189)/2,IF(T189=0,(S189+R189)/2,FLOOR(((R189+S189+T189)/3),0.1))))))))</f>
        <v/>
      </c>
      <c r="V189" s="21" t="n"/>
      <c r="W189" s="21" t="n"/>
      <c r="X189" s="27">
        <f>SUM(V189:W189)</f>
        <v/>
      </c>
      <c r="Y189" s="28" t="n"/>
      <c r="Z189" s="28" t="n"/>
      <c r="AA189" s="29">
        <f>IF(AND(X189=0,Y189=0,Z189=0),0,IF(AND(X189=0,Y189=0),Z189/1,IF(AND(X189=0,Z189=0),Y189/1,IF(AND(Y189=0,Z189=0),X189/1,IF(X189=0,FLOOR((Y189+Z189)/2,0.1),IF(Y189=0,(X189+Z189)/2,IF(Z189=0,(Y189+X189)/2,FLOOR(((X189+Y189+Z189)/3),0.1))))))))</f>
        <v/>
      </c>
      <c r="AB189" s="21" t="n"/>
      <c r="AC189" s="21" t="n"/>
      <c r="AD189" s="27">
        <f>SUM(AB189:AC189)</f>
        <v/>
      </c>
      <c r="AE189" s="28" t="n"/>
      <c r="AF189" s="28" t="n"/>
      <c r="AG189" s="29">
        <f>IF(AND(AD189=0,AE189=0,AF189=0),0,IF(AND(AD189=0,AE189=0),AF189/1,IF(AND(AD189=0,AF189=0),AE189/1,IF(AND(AE189=0,AF189=0),AD189/1,IF(AD189=0,FLOOR((AE189+AF189)/2,0.1),IF(AE189=0,(AD189+AF189)/2,IF(AF189=0,(AE189+AD189)/2,FLOOR(((AD189+AE189+AF189)/3),0.1))))))))</f>
        <v/>
      </c>
      <c r="AH189" s="21" t="n"/>
      <c r="AI189" s="21" t="n"/>
      <c r="AJ189" s="27">
        <f>SUM(AH189:AI189)</f>
        <v/>
      </c>
      <c r="AK189" s="28" t="n"/>
      <c r="AL189" s="28" t="n"/>
      <c r="AM189" s="29">
        <f>IF(AND(AJ189=0,AK189=0,AL189=0),0,IF(AND(AJ189=0,AK189=0),AL189/1,IF(AND(AJ189=0,AL189=0),AK189/1,IF(AND(AK189=0,AL189=0),AJ189/1,IF(AJ189=0,FLOOR((AK189+AL189)/2,0.1),IF(AK189=0,(AJ189+AL189)/2,IF(AL189=0,(AK189+AJ189)/2,FLOOR(((AJ189+AK189+AL189)/3),0.1))))))))</f>
        <v/>
      </c>
      <c r="AN189" s="21" t="n"/>
      <c r="AO189" s="21" t="n"/>
      <c r="AP189" s="27">
        <f>SUM(AN189:AO189)</f>
        <v/>
      </c>
      <c r="AQ189" s="28" t="n"/>
      <c r="AR189" s="30" t="n"/>
      <c r="AS189" s="29">
        <f>IF(AND(AP189=0,AQ189=0,AR189=0),0,IF(AND(AP189=0,AQ189=0),AR189/1,IF(AND(AP189=0,AR189=0),AQ189/1,IF(AND(AQ189=0,AR189=0),AP189/1,IF(AP189=0,FLOOR((AQ189+AR189)/2,0.1),IF(AQ189=0,(AP189+AR189)/2,IF(AR189=0,(AQ189+AP189)/2,FLOOR(((AP189+AQ189+AR189)/3),0.1))))))))</f>
        <v/>
      </c>
      <c r="AT189" s="21" t="n"/>
      <c r="AU189" s="21" t="n"/>
      <c r="AV189" s="27">
        <f>SUM(AT189:AU189)</f>
        <v/>
      </c>
      <c r="AW189" s="28" t="n"/>
      <c r="AX189" s="30" t="n"/>
      <c r="AY189" s="29">
        <f>IF(AND(AV189=0,AW189=0,AX189=0),0,IF(AND(AV189=0,AW189=0),AX189/1,IF(AND(AV189=0,AX189=0),AW189/1,IF(AND(AW189=0,AX189=0),AV189/1,IF(AV189=0,FLOOR((AW189+AX189)/2,0.1),IF(AW189=0,(AV189+AX189)/2,IF(AX189=0,(AW189+AV189)/2,FLOOR(((AV189+AW189+AX189)/3),0.1))))))))</f>
        <v/>
      </c>
      <c r="AZ189" s="21" t="n"/>
      <c r="BA189" s="21" t="n"/>
      <c r="BB189" s="27">
        <f>SUM(AZ189:BA189)</f>
        <v/>
      </c>
      <c r="BC189" s="28" t="n"/>
      <c r="BD189" s="28" t="n"/>
      <c r="BE189" s="29">
        <f>IF(AND(BB189=0,BC189=0,BD189=0),0,IF(AND(BB189=0,BC189=0),BD189/1,IF(AND(BB189=0,BD189=0),BC189/1,IF(AND(BC189=0,BD189=0),BB189/1,IF(BB189=0,FLOOR((BC189+BD189)/2,0.1),IF(BC189=0,(BB189+BD189)/2,IF(BD189=0,(BC189+BB189)/2,FLOOR(((BB189+BC189+BD189)/3),0.1))))))))</f>
        <v/>
      </c>
      <c r="BF189" s="21" t="n"/>
      <c r="BG189" s="21" t="n"/>
      <c r="BH189" s="27">
        <f>SUM(BF189:BG189)</f>
        <v/>
      </c>
      <c r="BI189" s="28" t="n"/>
      <c r="BJ189" s="28" t="n"/>
      <c r="BK189" s="29">
        <f>IF(AND(BH189=0,BI189=0,BJ189=0),0,IF(AND(BH189=0,BI189=0),BJ189/1,IF(AND(BH189=0,BJ189=0),BI189/1,IF(AND(BI189=0,BJ189=0),BH189/1,IF(BH189=0,FLOOR((BI189+BJ189)/2,0.1),IF(BI189=0,(BH189+BJ189)/2,IF(BJ189=0,(BI189+BH189)/2,FLOOR(((BH189+BI189+BJ189)/3),0.1))))))))</f>
        <v/>
      </c>
      <c r="BL189" s="21" t="n"/>
      <c r="BM189" s="21" t="n"/>
      <c r="BN189" s="27">
        <f>SUM(BL189:BM189)</f>
        <v/>
      </c>
      <c r="BO189" s="28" t="n"/>
      <c r="BP189" s="31" t="n"/>
      <c r="BQ189" s="29">
        <f>IF(AND(BN189=0,BO189=0,BP189=0),0,IF(AND(BN189=0,BO189=0),BP189/1,IF(AND(BN189=0,BP189=0),BO189/1,IF(AND(BO189=0,BP189=0),BN189/1,IF(BN189=0,FLOOR((BO189+BP189)/2,0.1),IF(BO189=0,(BN189+BP189)/2,IF(BP189=0,(BO189+BN189)/2,FLOOR(((BN189+BO189+BP189)/3),0.1))))))))</f>
        <v/>
      </c>
      <c r="BR189" s="21" t="n"/>
      <c r="BS189" s="21" t="n"/>
      <c r="BT189" s="27">
        <f>SUM(BR189:BS189)</f>
        <v/>
      </c>
      <c r="BU189" s="28" t="n"/>
      <c r="BV189" s="31" t="n"/>
      <c r="BW189" s="29">
        <f>IF(AND(BT189=0,BU189=0,BV189=0),0,IF(AND(BT189=0,BU189=0),BV189/1,IF(AND(BT189=0,BV189=0),BU189/1,IF(AND(BU189=0,BV189=0),BT189/1,IF(BT189=0,FLOOR((BU189+BV189)/2,0.1),IF(BU189=0,(BT189+BV189)/2,IF(BV189=0,(BU189+BT189)/2,FLOOR(((BT189+BU189+BV189)/3),0.1))))))))</f>
        <v/>
      </c>
      <c r="BX189" s="21" t="n"/>
      <c r="BY189" s="21" t="n"/>
      <c r="BZ189" s="27">
        <f>SUM(BX189:BY189)</f>
        <v/>
      </c>
      <c r="CA189" s="28" t="n"/>
      <c r="CB189" s="31" t="n"/>
      <c r="CC189" s="29">
        <f>IF(AND(BZ189=0,CA189=0,CB189=0),0,IF(AND(BZ189=0,CA189=0),CB189/1,IF(AND(BZ189=0,CB189=0),CA189/1,IF(AND(CA189=0,CB189=0),BZ189/1,IF(BZ189=0,FLOOR((CA189+CB189)/2,0.1),IF(CA189=0,(BZ189+CB189)/2,IF(CB189=0,(CA189+BZ189)/2,FLOOR(((BZ189+CA189+CB189)/3),0.1))))))))</f>
        <v/>
      </c>
      <c r="CD189" s="21" t="n"/>
      <c r="CE189" s="21" t="n"/>
      <c r="CF189" s="27">
        <f>SUM(CD189:CE189)</f>
        <v/>
      </c>
      <c r="CG189" s="28" t="n"/>
      <c r="CH189" s="31" t="n"/>
      <c r="CI189" s="29">
        <f>IF(AND(CF189=0,CG189=0,CH189=0),0,IF(AND(CF189=0,CG189=0),CH189/1,IF(AND(CF189=0,CH189=0),CG189/1,IF(AND(CG189=0,CH189=0),CF189/1,IF(CF189=0,FLOOR((CG189+CH189)/2,0.1),IF(CG189=0,(CF189+CH189)/2,IF(CH189=0,(CG189+CF189)/2,FLOOR(((CF189+CG189+CH189)/3),0.1))))))))</f>
        <v/>
      </c>
      <c r="CJ189" s="21" t="n"/>
      <c r="CK189" s="21" t="n"/>
      <c r="CL189" s="27">
        <f>SUM(CJ189:CK189)</f>
        <v/>
      </c>
      <c r="CM189" s="28" t="n"/>
      <c r="CN189" s="31" t="n"/>
      <c r="CO189" s="29">
        <f>IF(AND(CL189=0,CM189=0,CN189=0),0,IF(AND(CL189=0,CM189=0),CN189/1,IF(AND(CL189=0,CN189=0),CM189/1,IF(AND(CM189=0,CN189=0),CL189/1,IF(CL189=0,FLOOR((CM189+CN189)/2,0.1),IF(CM189=0,(CL189+CN189)/2,IF(CN189=0,(CM189+CL189)/2,FLOOR(((CL189+CM189+CN189)/3),0.1))))))))</f>
        <v/>
      </c>
      <c r="CP189" s="21" t="n"/>
      <c r="CQ189" s="21" t="n"/>
      <c r="CR189" s="27">
        <f>SUM(CP189:CQ189)</f>
        <v/>
      </c>
      <c r="CS189" s="28" t="n"/>
      <c r="CT189" s="31" t="n"/>
      <c r="CU189" s="29">
        <f>IF(AND(CR189=0,CS189=0,CT189=0),0,IF(AND(CR189=0,CS189=0),CT189/1,IF(AND(CR189=0,CT189=0),CS189/1,IF(AND(CS189=0,CT189=0),CR189/1,IF(CR189=0,FLOOR((CS189+CT189)/2,0.1),IF(CS189=0,(CR189+CT189)/2,IF(CT189=0,(CS189+CR189)/2,FLOOR(((CR189+CS189+CT189)/3),0.1))))))))</f>
        <v/>
      </c>
      <c r="CV189" s="21" t="n"/>
      <c r="CW189" s="21" t="n"/>
      <c r="CX189" s="27">
        <f>SUM(CV189:CW189)</f>
        <v/>
      </c>
      <c r="CY189" s="28" t="n"/>
      <c r="CZ189" s="31" t="n"/>
      <c r="DA189" s="29">
        <f>IF(AND(CX189=0,CY189=0,CZ189=0),0,IF(AND(CX189=0,CY189=0),CZ189/1,IF(AND(CX189=0,CZ189=0),CY189/1,IF(AND(CY189=0,CZ189=0),CX189/1,IF(CX189=0,FLOOR((CY189+CZ189)/2,0.1),IF(CY189=0,(CX189+CZ189)/2,IF(CZ189=0,(CY189+CX189)/2,FLOOR(((CX189+CY189+CZ189)/3),0.1))))))))</f>
        <v/>
      </c>
      <c r="DB189" s="21" t="n"/>
      <c r="DC189" s="21" t="n"/>
      <c r="DD189" s="27">
        <f>SUM(DB189:DC189)</f>
        <v/>
      </c>
      <c r="DE189" s="28" t="n"/>
      <c r="DF189" s="31" t="n"/>
      <c r="DG189" s="29">
        <f>IF(AND(DD189=0,DE189=0,DF189=0),0,IF(AND(DD189=0,DE189=0),DF189/1,IF(AND(DD189=0,DF189=0),DE189/1,IF(AND(DE189=0,DF189=0),DD189/1,IF(DD189=0,FLOOR((DE189+DF189)/2,0.1),IF(DE189=0,(DD189+DF189)/2,IF(DF189=0,(DE189+DD189)/2,FLOOR(((DD189+DE189+DF189)/3),0.1))))))))</f>
        <v/>
      </c>
      <c r="DH189" s="34">
        <f>SUM(O189,U189,AA189,AG189,AM189,AS189,AY189,BE189,BK189,BQ189,BW189,CC189,CI189,CO189,CU189,DA189,DG189)</f>
        <v/>
      </c>
      <c r="DI189" s="39">
        <f>RANK(DH189,DH$4:DH$503)</f>
        <v/>
      </c>
      <c r="DJ189" s="40" t="inlineStr">
        <is>
          <t>CHOOSE RATING</t>
        </is>
      </c>
      <c r="DK189" s="40" t="inlineStr">
        <is>
          <t>CHOOSE RATING</t>
        </is>
      </c>
      <c r="DL189" s="40" t="inlineStr">
        <is>
          <t>CHOOSE RATING</t>
        </is>
      </c>
      <c r="DM189" s="40" t="inlineStr">
        <is>
          <t>CHOOSE RATING</t>
        </is>
      </c>
      <c r="DN189" s="40" t="inlineStr">
        <is>
          <t>CHOOSE RATING</t>
        </is>
      </c>
      <c r="DO189" s="40" t="inlineStr">
        <is>
          <t>CHOOSE RATING</t>
        </is>
      </c>
      <c r="DP189" s="40" t="inlineStr">
        <is>
          <t>CHOOSE RATING</t>
        </is>
      </c>
      <c r="DQ189" s="40" t="inlineStr">
        <is>
          <t>CHOOSE RATING</t>
        </is>
      </c>
      <c r="DR189" s="43" t="inlineStr">
        <is>
          <t>2024/2025</t>
        </is>
      </c>
      <c r="DS189" s="45" t="inlineStr">
        <is>
          <t>THIRD</t>
        </is>
      </c>
      <c r="DT189" s="40" t="inlineStr">
        <is>
          <t>CHOOSE RATING</t>
        </is>
      </c>
      <c r="DU189" s="40" t="inlineStr">
        <is>
          <t>CHOOSE RATING</t>
        </is>
      </c>
      <c r="DV189" s="40" t="inlineStr">
        <is>
          <t>CHOOSE RATING</t>
        </is>
      </c>
      <c r="DW189" s="40" t="inlineStr">
        <is>
          <t>CHOOSE RATING</t>
        </is>
      </c>
      <c r="DX189" s="40" t="inlineStr">
        <is>
          <t>CHOOSE RATING</t>
        </is>
      </c>
      <c r="DY189" s="40" t="inlineStr">
        <is>
          <t>CHOOSE RATING</t>
        </is>
      </c>
      <c r="DZ189" s="53" t="inlineStr">
        <is>
          <t>CHOOSE RATING</t>
        </is>
      </c>
      <c r="EA189" s="54" t="inlineStr">
        <is>
          <t>Add the Tutor's Comment . . .</t>
        </is>
      </c>
      <c r="EB189" s="55" t="inlineStr">
        <is>
          <t>Choose Principals comment</t>
        </is>
      </c>
      <c r="EC189" s="56" t="n"/>
      <c r="ED189" s="57" t="inlineStr">
        <is>
          <t>Next Term Begins on Monday, 22nd September, 2025</t>
        </is>
      </c>
    </row>
    <row r="190" ht="30.6" customHeight="1" s="6">
      <c r="A190" s="18" t="n">
        <v>187</v>
      </c>
      <c r="B190" s="19" t="n"/>
      <c r="C190" s="20" t="n"/>
      <c r="D190" s="128" t="n"/>
      <c r="E190" s="21" t="n"/>
      <c r="F190" s="22" t="n"/>
      <c r="G190" s="22" t="n"/>
      <c r="H190" s="22" t="n"/>
      <c r="I190" s="26">
        <f>G190-H190</f>
        <v/>
      </c>
      <c r="J190" s="21" t="n"/>
      <c r="K190" s="21" t="n"/>
      <c r="L190" s="27">
        <f>SUM(J190:K190)</f>
        <v/>
      </c>
      <c r="M190" s="28" t="n"/>
      <c r="N190" s="28" t="n"/>
      <c r="O190" s="29">
        <f>IF(AND(L190=0,M190=0,N190=0),0,IF(AND(L190=0,M190=0),N190/1,IF(AND(L190=0,N190=0),M190/1,IF(AND(M190=0,N190=0),L190/1,IF(L190=0,FLOOR((M190+N190)/2,0.1),IF(M190=0,(L190+N190)/2,IF(N190=0,(M190+L190)/2,FLOOR(((L190+M190+N190)/3),0.1))))))))</f>
        <v/>
      </c>
      <c r="P190" s="21" t="n"/>
      <c r="Q190" s="21" t="n"/>
      <c r="R190" s="27">
        <f>SUM(P190:Q190)</f>
        <v/>
      </c>
      <c r="S190" s="28" t="n"/>
      <c r="T190" s="28" t="n"/>
      <c r="U190" s="29">
        <f>IF(AND(R190=0,S190=0,T190=0),0,IF(AND(R190=0,S190=0),T190/1,IF(AND(R190=0,T190=0),S190/1,IF(AND(S190=0,T190=0),R190/1,IF(R190=0,FLOOR((S190+T190)/2,0.1),IF(S190=0,(R190+T190)/2,IF(T190=0,(S190+R190)/2,FLOOR(((R190+S190+T190)/3),0.1))))))))</f>
        <v/>
      </c>
      <c r="V190" s="21" t="n"/>
      <c r="W190" s="21" t="n"/>
      <c r="X190" s="27">
        <f>SUM(V190:W190)</f>
        <v/>
      </c>
      <c r="Y190" s="28" t="n"/>
      <c r="Z190" s="28" t="n"/>
      <c r="AA190" s="29">
        <f>IF(AND(X190=0,Y190=0,Z190=0),0,IF(AND(X190=0,Y190=0),Z190/1,IF(AND(X190=0,Z190=0),Y190/1,IF(AND(Y190=0,Z190=0),X190/1,IF(X190=0,FLOOR((Y190+Z190)/2,0.1),IF(Y190=0,(X190+Z190)/2,IF(Z190=0,(Y190+X190)/2,FLOOR(((X190+Y190+Z190)/3),0.1))))))))</f>
        <v/>
      </c>
      <c r="AB190" s="21" t="n"/>
      <c r="AC190" s="21" t="n"/>
      <c r="AD190" s="27">
        <f>SUM(AB190:AC190)</f>
        <v/>
      </c>
      <c r="AE190" s="28" t="n"/>
      <c r="AF190" s="28" t="n"/>
      <c r="AG190" s="29">
        <f>IF(AND(AD190=0,AE190=0,AF190=0),0,IF(AND(AD190=0,AE190=0),AF190/1,IF(AND(AD190=0,AF190=0),AE190/1,IF(AND(AE190=0,AF190=0),AD190/1,IF(AD190=0,FLOOR((AE190+AF190)/2,0.1),IF(AE190=0,(AD190+AF190)/2,IF(AF190=0,(AE190+AD190)/2,FLOOR(((AD190+AE190+AF190)/3),0.1))))))))</f>
        <v/>
      </c>
      <c r="AH190" s="21" t="n"/>
      <c r="AI190" s="21" t="n"/>
      <c r="AJ190" s="27">
        <f>SUM(AH190:AI190)</f>
        <v/>
      </c>
      <c r="AK190" s="28" t="n"/>
      <c r="AL190" s="28" t="n"/>
      <c r="AM190" s="29">
        <f>IF(AND(AJ190=0,AK190=0,AL190=0),0,IF(AND(AJ190=0,AK190=0),AL190/1,IF(AND(AJ190=0,AL190=0),AK190/1,IF(AND(AK190=0,AL190=0),AJ190/1,IF(AJ190=0,FLOOR((AK190+AL190)/2,0.1),IF(AK190=0,(AJ190+AL190)/2,IF(AL190=0,(AK190+AJ190)/2,FLOOR(((AJ190+AK190+AL190)/3),0.1))))))))</f>
        <v/>
      </c>
      <c r="AN190" s="21" t="n"/>
      <c r="AO190" s="21" t="n"/>
      <c r="AP190" s="27">
        <f>SUM(AN190:AO190)</f>
        <v/>
      </c>
      <c r="AQ190" s="28" t="n"/>
      <c r="AR190" s="30" t="n"/>
      <c r="AS190" s="29">
        <f>IF(AND(AP190=0,AQ190=0,AR190=0),0,IF(AND(AP190=0,AQ190=0),AR190/1,IF(AND(AP190=0,AR190=0),AQ190/1,IF(AND(AQ190=0,AR190=0),AP190/1,IF(AP190=0,FLOOR((AQ190+AR190)/2,0.1),IF(AQ190=0,(AP190+AR190)/2,IF(AR190=0,(AQ190+AP190)/2,FLOOR(((AP190+AQ190+AR190)/3),0.1))))))))</f>
        <v/>
      </c>
      <c r="AT190" s="21" t="n"/>
      <c r="AU190" s="21" t="n"/>
      <c r="AV190" s="27">
        <f>SUM(AT190:AU190)</f>
        <v/>
      </c>
      <c r="AW190" s="28" t="n"/>
      <c r="AX190" s="30" t="n"/>
      <c r="AY190" s="29">
        <f>IF(AND(AV190=0,AW190=0,AX190=0),0,IF(AND(AV190=0,AW190=0),AX190/1,IF(AND(AV190=0,AX190=0),AW190/1,IF(AND(AW190=0,AX190=0),AV190/1,IF(AV190=0,FLOOR((AW190+AX190)/2,0.1),IF(AW190=0,(AV190+AX190)/2,IF(AX190=0,(AW190+AV190)/2,FLOOR(((AV190+AW190+AX190)/3),0.1))))))))</f>
        <v/>
      </c>
      <c r="AZ190" s="21" t="n"/>
      <c r="BA190" s="21" t="n"/>
      <c r="BB190" s="27">
        <f>SUM(AZ190:BA190)</f>
        <v/>
      </c>
      <c r="BC190" s="28" t="n"/>
      <c r="BD190" s="28" t="n"/>
      <c r="BE190" s="29">
        <f>IF(AND(BB190=0,BC190=0,BD190=0),0,IF(AND(BB190=0,BC190=0),BD190/1,IF(AND(BB190=0,BD190=0),BC190/1,IF(AND(BC190=0,BD190=0),BB190/1,IF(BB190=0,FLOOR((BC190+BD190)/2,0.1),IF(BC190=0,(BB190+BD190)/2,IF(BD190=0,(BC190+BB190)/2,FLOOR(((BB190+BC190+BD190)/3),0.1))))))))</f>
        <v/>
      </c>
      <c r="BF190" s="21" t="n"/>
      <c r="BG190" s="21" t="n"/>
      <c r="BH190" s="27">
        <f>SUM(BF190:BG190)</f>
        <v/>
      </c>
      <c r="BI190" s="28" t="n"/>
      <c r="BJ190" s="28" t="n"/>
      <c r="BK190" s="29">
        <f>IF(AND(BH190=0,BI190=0,BJ190=0),0,IF(AND(BH190=0,BI190=0),BJ190/1,IF(AND(BH190=0,BJ190=0),BI190/1,IF(AND(BI190=0,BJ190=0),BH190/1,IF(BH190=0,FLOOR((BI190+BJ190)/2,0.1),IF(BI190=0,(BH190+BJ190)/2,IF(BJ190=0,(BI190+BH190)/2,FLOOR(((BH190+BI190+BJ190)/3),0.1))))))))</f>
        <v/>
      </c>
      <c r="BL190" s="21" t="n"/>
      <c r="BM190" s="21" t="n"/>
      <c r="BN190" s="27">
        <f>SUM(BL190:BM190)</f>
        <v/>
      </c>
      <c r="BO190" s="28" t="n"/>
      <c r="BP190" s="31" t="n"/>
      <c r="BQ190" s="29">
        <f>IF(AND(BN190=0,BO190=0,BP190=0),0,IF(AND(BN190=0,BO190=0),BP190/1,IF(AND(BN190=0,BP190=0),BO190/1,IF(AND(BO190=0,BP190=0),BN190/1,IF(BN190=0,FLOOR((BO190+BP190)/2,0.1),IF(BO190=0,(BN190+BP190)/2,IF(BP190=0,(BO190+BN190)/2,FLOOR(((BN190+BO190+BP190)/3),0.1))))))))</f>
        <v/>
      </c>
      <c r="BR190" s="21" t="n"/>
      <c r="BS190" s="21" t="n"/>
      <c r="BT190" s="27">
        <f>SUM(BR190:BS190)</f>
        <v/>
      </c>
      <c r="BU190" s="28" t="n"/>
      <c r="BV190" s="31" t="n"/>
      <c r="BW190" s="29">
        <f>IF(AND(BT190=0,BU190=0,BV190=0),0,IF(AND(BT190=0,BU190=0),BV190/1,IF(AND(BT190=0,BV190=0),BU190/1,IF(AND(BU190=0,BV190=0),BT190/1,IF(BT190=0,FLOOR((BU190+BV190)/2,0.1),IF(BU190=0,(BT190+BV190)/2,IF(BV190=0,(BU190+BT190)/2,FLOOR(((BT190+BU190+BV190)/3),0.1))))))))</f>
        <v/>
      </c>
      <c r="BX190" s="21" t="n"/>
      <c r="BY190" s="21" t="n"/>
      <c r="BZ190" s="27">
        <f>SUM(BX190:BY190)</f>
        <v/>
      </c>
      <c r="CA190" s="28" t="n"/>
      <c r="CB190" s="31" t="n"/>
      <c r="CC190" s="29">
        <f>IF(AND(BZ190=0,CA190=0,CB190=0),0,IF(AND(BZ190=0,CA190=0),CB190/1,IF(AND(BZ190=0,CB190=0),CA190/1,IF(AND(CA190=0,CB190=0),BZ190/1,IF(BZ190=0,FLOOR((CA190+CB190)/2,0.1),IF(CA190=0,(BZ190+CB190)/2,IF(CB190=0,(CA190+BZ190)/2,FLOOR(((BZ190+CA190+CB190)/3),0.1))))))))</f>
        <v/>
      </c>
      <c r="CD190" s="21" t="n"/>
      <c r="CE190" s="21" t="n"/>
      <c r="CF190" s="27">
        <f>SUM(CD190:CE190)</f>
        <v/>
      </c>
      <c r="CG190" s="28" t="n"/>
      <c r="CH190" s="31" t="n"/>
      <c r="CI190" s="29">
        <f>IF(AND(CF190=0,CG190=0,CH190=0),0,IF(AND(CF190=0,CG190=0),CH190/1,IF(AND(CF190=0,CH190=0),CG190/1,IF(AND(CG190=0,CH190=0),CF190/1,IF(CF190=0,FLOOR((CG190+CH190)/2,0.1),IF(CG190=0,(CF190+CH190)/2,IF(CH190=0,(CG190+CF190)/2,FLOOR(((CF190+CG190+CH190)/3),0.1))))))))</f>
        <v/>
      </c>
      <c r="CJ190" s="21" t="n"/>
      <c r="CK190" s="21" t="n"/>
      <c r="CL190" s="27">
        <f>SUM(CJ190:CK190)</f>
        <v/>
      </c>
      <c r="CM190" s="28" t="n"/>
      <c r="CN190" s="31" t="n"/>
      <c r="CO190" s="29">
        <f>IF(AND(CL190=0,CM190=0,CN190=0),0,IF(AND(CL190=0,CM190=0),CN190/1,IF(AND(CL190=0,CN190=0),CM190/1,IF(AND(CM190=0,CN190=0),CL190/1,IF(CL190=0,FLOOR((CM190+CN190)/2,0.1),IF(CM190=0,(CL190+CN190)/2,IF(CN190=0,(CM190+CL190)/2,FLOOR(((CL190+CM190+CN190)/3),0.1))))))))</f>
        <v/>
      </c>
      <c r="CP190" s="21" t="n"/>
      <c r="CQ190" s="21" t="n"/>
      <c r="CR190" s="27">
        <f>SUM(CP190:CQ190)</f>
        <v/>
      </c>
      <c r="CS190" s="28" t="n"/>
      <c r="CT190" s="31" t="n"/>
      <c r="CU190" s="29">
        <f>IF(AND(CR190=0,CS190=0,CT190=0),0,IF(AND(CR190=0,CS190=0),CT190/1,IF(AND(CR190=0,CT190=0),CS190/1,IF(AND(CS190=0,CT190=0),CR190/1,IF(CR190=0,FLOOR((CS190+CT190)/2,0.1),IF(CS190=0,(CR190+CT190)/2,IF(CT190=0,(CS190+CR190)/2,FLOOR(((CR190+CS190+CT190)/3),0.1))))))))</f>
        <v/>
      </c>
      <c r="CV190" s="21" t="n"/>
      <c r="CW190" s="21" t="n"/>
      <c r="CX190" s="27">
        <f>SUM(CV190:CW190)</f>
        <v/>
      </c>
      <c r="CY190" s="28" t="n"/>
      <c r="CZ190" s="31" t="n"/>
      <c r="DA190" s="29">
        <f>IF(AND(CX190=0,CY190=0,CZ190=0),0,IF(AND(CX190=0,CY190=0),CZ190/1,IF(AND(CX190=0,CZ190=0),CY190/1,IF(AND(CY190=0,CZ190=0),CX190/1,IF(CX190=0,FLOOR((CY190+CZ190)/2,0.1),IF(CY190=0,(CX190+CZ190)/2,IF(CZ190=0,(CY190+CX190)/2,FLOOR(((CX190+CY190+CZ190)/3),0.1))))))))</f>
        <v/>
      </c>
      <c r="DB190" s="21" t="n"/>
      <c r="DC190" s="21" t="n"/>
      <c r="DD190" s="27">
        <f>SUM(DB190:DC190)</f>
        <v/>
      </c>
      <c r="DE190" s="28" t="n"/>
      <c r="DF190" s="31" t="n"/>
      <c r="DG190" s="29">
        <f>IF(AND(DD190=0,DE190=0,DF190=0),0,IF(AND(DD190=0,DE190=0),DF190/1,IF(AND(DD190=0,DF190=0),DE190/1,IF(AND(DE190=0,DF190=0),DD190/1,IF(DD190=0,FLOOR((DE190+DF190)/2,0.1),IF(DE190=0,(DD190+DF190)/2,IF(DF190=0,(DE190+DD190)/2,FLOOR(((DD190+DE190+DF190)/3),0.1))))))))</f>
        <v/>
      </c>
      <c r="DH190" s="34">
        <f>SUM(O190,U190,AA190,AG190,AM190,AS190,AY190,BE190,BK190,BQ190,BW190,CC190,CI190,CO190,CU190,DA190,DG190)</f>
        <v/>
      </c>
      <c r="DI190" s="39">
        <f>RANK(DH190,DH$4:DH$503)</f>
        <v/>
      </c>
      <c r="DJ190" s="40" t="inlineStr">
        <is>
          <t>CHOOSE RATING</t>
        </is>
      </c>
      <c r="DK190" s="40" t="inlineStr">
        <is>
          <t>CHOOSE RATING</t>
        </is>
      </c>
      <c r="DL190" s="40" t="inlineStr">
        <is>
          <t>CHOOSE RATING</t>
        </is>
      </c>
      <c r="DM190" s="40" t="inlineStr">
        <is>
          <t>CHOOSE RATING</t>
        </is>
      </c>
      <c r="DN190" s="40" t="inlineStr">
        <is>
          <t>CHOOSE RATING</t>
        </is>
      </c>
      <c r="DO190" s="40" t="inlineStr">
        <is>
          <t>CHOOSE RATING</t>
        </is>
      </c>
      <c r="DP190" s="40" t="inlineStr">
        <is>
          <t>CHOOSE RATING</t>
        </is>
      </c>
      <c r="DQ190" s="40" t="inlineStr">
        <is>
          <t>CHOOSE RATING</t>
        </is>
      </c>
      <c r="DR190" s="43" t="inlineStr">
        <is>
          <t>2024/2025</t>
        </is>
      </c>
      <c r="DS190" s="45" t="inlineStr">
        <is>
          <t>THIRD</t>
        </is>
      </c>
      <c r="DT190" s="40" t="inlineStr">
        <is>
          <t>CHOOSE RATING</t>
        </is>
      </c>
      <c r="DU190" s="40" t="inlineStr">
        <is>
          <t>CHOOSE RATING</t>
        </is>
      </c>
      <c r="DV190" s="40" t="inlineStr">
        <is>
          <t>CHOOSE RATING</t>
        </is>
      </c>
      <c r="DW190" s="40" t="inlineStr">
        <is>
          <t>CHOOSE RATING</t>
        </is>
      </c>
      <c r="DX190" s="40" t="inlineStr">
        <is>
          <t>CHOOSE RATING</t>
        </is>
      </c>
      <c r="DY190" s="40" t="inlineStr">
        <is>
          <t>CHOOSE RATING</t>
        </is>
      </c>
      <c r="DZ190" s="53" t="inlineStr">
        <is>
          <t>CHOOSE RATING</t>
        </is>
      </c>
      <c r="EA190" s="54" t="inlineStr">
        <is>
          <t>Add the Tutor's Comment . . .</t>
        </is>
      </c>
      <c r="EB190" s="55" t="inlineStr">
        <is>
          <t>Choose Principals comment</t>
        </is>
      </c>
      <c r="EC190" s="56" t="n"/>
      <c r="ED190" s="57" t="inlineStr">
        <is>
          <t>Next Term Begins on Monday, 22nd September, 2025</t>
        </is>
      </c>
    </row>
    <row r="191" ht="30.6" customHeight="1" s="6">
      <c r="A191" s="18" t="n">
        <v>188</v>
      </c>
      <c r="B191" s="19" t="n"/>
      <c r="C191" s="20" t="n"/>
      <c r="D191" s="128" t="n"/>
      <c r="E191" s="21" t="n"/>
      <c r="F191" s="22" t="n"/>
      <c r="G191" s="22" t="n"/>
      <c r="H191" s="22" t="n"/>
      <c r="I191" s="26">
        <f>G191-H191</f>
        <v/>
      </c>
      <c r="J191" s="21" t="n"/>
      <c r="K191" s="21" t="n"/>
      <c r="L191" s="27">
        <f>SUM(J191:K191)</f>
        <v/>
      </c>
      <c r="M191" s="28" t="n"/>
      <c r="N191" s="28" t="n"/>
      <c r="O191" s="29">
        <f>IF(AND(L191=0,M191=0,N191=0),0,IF(AND(L191=0,M191=0),N191/1,IF(AND(L191=0,N191=0),M191/1,IF(AND(M191=0,N191=0),L191/1,IF(L191=0,FLOOR((M191+N191)/2,0.1),IF(M191=0,(L191+N191)/2,IF(N191=0,(M191+L191)/2,FLOOR(((L191+M191+N191)/3),0.1))))))))</f>
        <v/>
      </c>
      <c r="P191" s="21" t="n"/>
      <c r="Q191" s="21" t="n"/>
      <c r="R191" s="27">
        <f>SUM(P191:Q191)</f>
        <v/>
      </c>
      <c r="S191" s="28" t="n"/>
      <c r="T191" s="28" t="n"/>
      <c r="U191" s="29">
        <f>IF(AND(R191=0,S191=0,T191=0),0,IF(AND(R191=0,S191=0),T191/1,IF(AND(R191=0,T191=0),S191/1,IF(AND(S191=0,T191=0),R191/1,IF(R191=0,FLOOR((S191+T191)/2,0.1),IF(S191=0,(R191+T191)/2,IF(T191=0,(S191+R191)/2,FLOOR(((R191+S191+T191)/3),0.1))))))))</f>
        <v/>
      </c>
      <c r="V191" s="21" t="n"/>
      <c r="W191" s="21" t="n"/>
      <c r="X191" s="27">
        <f>SUM(V191:W191)</f>
        <v/>
      </c>
      <c r="Y191" s="28" t="n"/>
      <c r="Z191" s="28" t="n"/>
      <c r="AA191" s="29">
        <f>IF(AND(X191=0,Y191=0,Z191=0),0,IF(AND(X191=0,Y191=0),Z191/1,IF(AND(X191=0,Z191=0),Y191/1,IF(AND(Y191=0,Z191=0),X191/1,IF(X191=0,FLOOR((Y191+Z191)/2,0.1),IF(Y191=0,(X191+Z191)/2,IF(Z191=0,(Y191+X191)/2,FLOOR(((X191+Y191+Z191)/3),0.1))))))))</f>
        <v/>
      </c>
      <c r="AB191" s="21" t="n"/>
      <c r="AC191" s="21" t="n"/>
      <c r="AD191" s="27">
        <f>SUM(AB191:AC191)</f>
        <v/>
      </c>
      <c r="AE191" s="28" t="n"/>
      <c r="AF191" s="28" t="n"/>
      <c r="AG191" s="29">
        <f>IF(AND(AD191=0,AE191=0,AF191=0),0,IF(AND(AD191=0,AE191=0),AF191/1,IF(AND(AD191=0,AF191=0),AE191/1,IF(AND(AE191=0,AF191=0),AD191/1,IF(AD191=0,FLOOR((AE191+AF191)/2,0.1),IF(AE191=0,(AD191+AF191)/2,IF(AF191=0,(AE191+AD191)/2,FLOOR(((AD191+AE191+AF191)/3),0.1))))))))</f>
        <v/>
      </c>
      <c r="AH191" s="21" t="n"/>
      <c r="AI191" s="21" t="n"/>
      <c r="AJ191" s="27">
        <f>SUM(AH191:AI191)</f>
        <v/>
      </c>
      <c r="AK191" s="28" t="n"/>
      <c r="AL191" s="28" t="n"/>
      <c r="AM191" s="29">
        <f>IF(AND(AJ191=0,AK191=0,AL191=0),0,IF(AND(AJ191=0,AK191=0),AL191/1,IF(AND(AJ191=0,AL191=0),AK191/1,IF(AND(AK191=0,AL191=0),AJ191/1,IF(AJ191=0,FLOOR((AK191+AL191)/2,0.1),IF(AK191=0,(AJ191+AL191)/2,IF(AL191=0,(AK191+AJ191)/2,FLOOR(((AJ191+AK191+AL191)/3),0.1))))))))</f>
        <v/>
      </c>
      <c r="AN191" s="21" t="n"/>
      <c r="AO191" s="21" t="n"/>
      <c r="AP191" s="27">
        <f>SUM(AN191:AO191)</f>
        <v/>
      </c>
      <c r="AQ191" s="28" t="n"/>
      <c r="AR191" s="30" t="n"/>
      <c r="AS191" s="29">
        <f>IF(AND(AP191=0,AQ191=0,AR191=0),0,IF(AND(AP191=0,AQ191=0),AR191/1,IF(AND(AP191=0,AR191=0),AQ191/1,IF(AND(AQ191=0,AR191=0),AP191/1,IF(AP191=0,FLOOR((AQ191+AR191)/2,0.1),IF(AQ191=0,(AP191+AR191)/2,IF(AR191=0,(AQ191+AP191)/2,FLOOR(((AP191+AQ191+AR191)/3),0.1))))))))</f>
        <v/>
      </c>
      <c r="AT191" s="21" t="n"/>
      <c r="AU191" s="21" t="n"/>
      <c r="AV191" s="27">
        <f>SUM(AT191:AU191)</f>
        <v/>
      </c>
      <c r="AW191" s="28" t="n"/>
      <c r="AX191" s="30" t="n"/>
      <c r="AY191" s="29">
        <f>IF(AND(AV191=0,AW191=0,AX191=0),0,IF(AND(AV191=0,AW191=0),AX191/1,IF(AND(AV191=0,AX191=0),AW191/1,IF(AND(AW191=0,AX191=0),AV191/1,IF(AV191=0,FLOOR((AW191+AX191)/2,0.1),IF(AW191=0,(AV191+AX191)/2,IF(AX191=0,(AW191+AV191)/2,FLOOR(((AV191+AW191+AX191)/3),0.1))))))))</f>
        <v/>
      </c>
      <c r="AZ191" s="21" t="n"/>
      <c r="BA191" s="21" t="n"/>
      <c r="BB191" s="27">
        <f>SUM(AZ191:BA191)</f>
        <v/>
      </c>
      <c r="BC191" s="28" t="n"/>
      <c r="BD191" s="28" t="n"/>
      <c r="BE191" s="29">
        <f>IF(AND(BB191=0,BC191=0,BD191=0),0,IF(AND(BB191=0,BC191=0),BD191/1,IF(AND(BB191=0,BD191=0),BC191/1,IF(AND(BC191=0,BD191=0),BB191/1,IF(BB191=0,FLOOR((BC191+BD191)/2,0.1),IF(BC191=0,(BB191+BD191)/2,IF(BD191=0,(BC191+BB191)/2,FLOOR(((BB191+BC191+BD191)/3),0.1))))))))</f>
        <v/>
      </c>
      <c r="BF191" s="21" t="n"/>
      <c r="BG191" s="21" t="n"/>
      <c r="BH191" s="27">
        <f>SUM(BF191:BG191)</f>
        <v/>
      </c>
      <c r="BI191" s="28" t="n"/>
      <c r="BJ191" s="28" t="n"/>
      <c r="BK191" s="29">
        <f>IF(AND(BH191=0,BI191=0,BJ191=0),0,IF(AND(BH191=0,BI191=0),BJ191/1,IF(AND(BH191=0,BJ191=0),BI191/1,IF(AND(BI191=0,BJ191=0),BH191/1,IF(BH191=0,FLOOR((BI191+BJ191)/2,0.1),IF(BI191=0,(BH191+BJ191)/2,IF(BJ191=0,(BI191+BH191)/2,FLOOR(((BH191+BI191+BJ191)/3),0.1))))))))</f>
        <v/>
      </c>
      <c r="BL191" s="21" t="n"/>
      <c r="BM191" s="21" t="n"/>
      <c r="BN191" s="27">
        <f>SUM(BL191:BM191)</f>
        <v/>
      </c>
      <c r="BO191" s="28" t="n"/>
      <c r="BP191" s="31" t="n"/>
      <c r="BQ191" s="29">
        <f>IF(AND(BN191=0,BO191=0,BP191=0),0,IF(AND(BN191=0,BO191=0),BP191/1,IF(AND(BN191=0,BP191=0),BO191/1,IF(AND(BO191=0,BP191=0),BN191/1,IF(BN191=0,FLOOR((BO191+BP191)/2,0.1),IF(BO191=0,(BN191+BP191)/2,IF(BP191=0,(BO191+BN191)/2,FLOOR(((BN191+BO191+BP191)/3),0.1))))))))</f>
        <v/>
      </c>
      <c r="BR191" s="21" t="n"/>
      <c r="BS191" s="21" t="n"/>
      <c r="BT191" s="27">
        <f>SUM(BR191:BS191)</f>
        <v/>
      </c>
      <c r="BU191" s="28" t="n"/>
      <c r="BV191" s="31" t="n"/>
      <c r="BW191" s="29">
        <f>IF(AND(BT191=0,BU191=0,BV191=0),0,IF(AND(BT191=0,BU191=0),BV191/1,IF(AND(BT191=0,BV191=0),BU191/1,IF(AND(BU191=0,BV191=0),BT191/1,IF(BT191=0,FLOOR((BU191+BV191)/2,0.1),IF(BU191=0,(BT191+BV191)/2,IF(BV191=0,(BU191+BT191)/2,FLOOR(((BT191+BU191+BV191)/3),0.1))))))))</f>
        <v/>
      </c>
      <c r="BX191" s="21" t="n"/>
      <c r="BY191" s="21" t="n"/>
      <c r="BZ191" s="27">
        <f>SUM(BX191:BY191)</f>
        <v/>
      </c>
      <c r="CA191" s="28" t="n"/>
      <c r="CB191" s="31" t="n"/>
      <c r="CC191" s="29">
        <f>IF(AND(BZ191=0,CA191=0,CB191=0),0,IF(AND(BZ191=0,CA191=0),CB191/1,IF(AND(BZ191=0,CB191=0),CA191/1,IF(AND(CA191=0,CB191=0),BZ191/1,IF(BZ191=0,FLOOR((CA191+CB191)/2,0.1),IF(CA191=0,(BZ191+CB191)/2,IF(CB191=0,(CA191+BZ191)/2,FLOOR(((BZ191+CA191+CB191)/3),0.1))))))))</f>
        <v/>
      </c>
      <c r="CD191" s="21" t="n"/>
      <c r="CE191" s="21" t="n"/>
      <c r="CF191" s="27">
        <f>SUM(CD191:CE191)</f>
        <v/>
      </c>
      <c r="CG191" s="28" t="n"/>
      <c r="CH191" s="31" t="n"/>
      <c r="CI191" s="29">
        <f>IF(AND(CF191=0,CG191=0,CH191=0),0,IF(AND(CF191=0,CG191=0),CH191/1,IF(AND(CF191=0,CH191=0),CG191/1,IF(AND(CG191=0,CH191=0),CF191/1,IF(CF191=0,FLOOR((CG191+CH191)/2,0.1),IF(CG191=0,(CF191+CH191)/2,IF(CH191=0,(CG191+CF191)/2,FLOOR(((CF191+CG191+CH191)/3),0.1))))))))</f>
        <v/>
      </c>
      <c r="CJ191" s="21" t="n"/>
      <c r="CK191" s="21" t="n"/>
      <c r="CL191" s="27">
        <f>SUM(CJ191:CK191)</f>
        <v/>
      </c>
      <c r="CM191" s="28" t="n"/>
      <c r="CN191" s="31" t="n"/>
      <c r="CO191" s="29">
        <f>IF(AND(CL191=0,CM191=0,CN191=0),0,IF(AND(CL191=0,CM191=0),CN191/1,IF(AND(CL191=0,CN191=0),CM191/1,IF(AND(CM191=0,CN191=0),CL191/1,IF(CL191=0,FLOOR((CM191+CN191)/2,0.1),IF(CM191=0,(CL191+CN191)/2,IF(CN191=0,(CM191+CL191)/2,FLOOR(((CL191+CM191+CN191)/3),0.1))))))))</f>
        <v/>
      </c>
      <c r="CP191" s="21" t="n"/>
      <c r="CQ191" s="21" t="n"/>
      <c r="CR191" s="27">
        <f>SUM(CP191:CQ191)</f>
        <v/>
      </c>
      <c r="CS191" s="28" t="n"/>
      <c r="CT191" s="31" t="n"/>
      <c r="CU191" s="29">
        <f>IF(AND(CR191=0,CS191=0,CT191=0),0,IF(AND(CR191=0,CS191=0),CT191/1,IF(AND(CR191=0,CT191=0),CS191/1,IF(AND(CS191=0,CT191=0),CR191/1,IF(CR191=0,FLOOR((CS191+CT191)/2,0.1),IF(CS191=0,(CR191+CT191)/2,IF(CT191=0,(CS191+CR191)/2,FLOOR(((CR191+CS191+CT191)/3),0.1))))))))</f>
        <v/>
      </c>
      <c r="CV191" s="21" t="n"/>
      <c r="CW191" s="21" t="n"/>
      <c r="CX191" s="27">
        <f>SUM(CV191:CW191)</f>
        <v/>
      </c>
      <c r="CY191" s="28" t="n"/>
      <c r="CZ191" s="31" t="n"/>
      <c r="DA191" s="29">
        <f>IF(AND(CX191=0,CY191=0,CZ191=0),0,IF(AND(CX191=0,CY191=0),CZ191/1,IF(AND(CX191=0,CZ191=0),CY191/1,IF(AND(CY191=0,CZ191=0),CX191/1,IF(CX191=0,FLOOR((CY191+CZ191)/2,0.1),IF(CY191=0,(CX191+CZ191)/2,IF(CZ191=0,(CY191+CX191)/2,FLOOR(((CX191+CY191+CZ191)/3),0.1))))))))</f>
        <v/>
      </c>
      <c r="DB191" s="21" t="n"/>
      <c r="DC191" s="21" t="n"/>
      <c r="DD191" s="27">
        <f>SUM(DB191:DC191)</f>
        <v/>
      </c>
      <c r="DE191" s="28" t="n"/>
      <c r="DF191" s="31" t="n"/>
      <c r="DG191" s="29">
        <f>IF(AND(DD191=0,DE191=0,DF191=0),0,IF(AND(DD191=0,DE191=0),DF191/1,IF(AND(DD191=0,DF191=0),DE191/1,IF(AND(DE191=0,DF191=0),DD191/1,IF(DD191=0,FLOOR((DE191+DF191)/2,0.1),IF(DE191=0,(DD191+DF191)/2,IF(DF191=0,(DE191+DD191)/2,FLOOR(((DD191+DE191+DF191)/3),0.1))))))))</f>
        <v/>
      </c>
      <c r="DH191" s="34">
        <f>SUM(O191,U191,AA191,AG191,AM191,AS191,AY191,BE191,BK191,BQ191,BW191,CC191,CI191,CO191,CU191,DA191,DG191)</f>
        <v/>
      </c>
      <c r="DI191" s="39">
        <f>RANK(DH191,DH$4:DH$503)</f>
        <v/>
      </c>
      <c r="DJ191" s="40" t="inlineStr">
        <is>
          <t>CHOOSE RATING</t>
        </is>
      </c>
      <c r="DK191" s="40" t="inlineStr">
        <is>
          <t>CHOOSE RATING</t>
        </is>
      </c>
      <c r="DL191" s="40" t="inlineStr">
        <is>
          <t>CHOOSE RATING</t>
        </is>
      </c>
      <c r="DM191" s="40" t="inlineStr">
        <is>
          <t>CHOOSE RATING</t>
        </is>
      </c>
      <c r="DN191" s="40" t="inlineStr">
        <is>
          <t>CHOOSE RATING</t>
        </is>
      </c>
      <c r="DO191" s="40" t="inlineStr">
        <is>
          <t>CHOOSE RATING</t>
        </is>
      </c>
      <c r="DP191" s="40" t="inlineStr">
        <is>
          <t>CHOOSE RATING</t>
        </is>
      </c>
      <c r="DQ191" s="40" t="inlineStr">
        <is>
          <t>CHOOSE RATING</t>
        </is>
      </c>
      <c r="DR191" s="43" t="inlineStr">
        <is>
          <t>2024/2025</t>
        </is>
      </c>
      <c r="DS191" s="45" t="inlineStr">
        <is>
          <t>THIRD</t>
        </is>
      </c>
      <c r="DT191" s="40" t="inlineStr">
        <is>
          <t>CHOOSE RATING</t>
        </is>
      </c>
      <c r="DU191" s="40" t="inlineStr">
        <is>
          <t>CHOOSE RATING</t>
        </is>
      </c>
      <c r="DV191" s="40" t="inlineStr">
        <is>
          <t>CHOOSE RATING</t>
        </is>
      </c>
      <c r="DW191" s="40" t="inlineStr">
        <is>
          <t>CHOOSE RATING</t>
        </is>
      </c>
      <c r="DX191" s="40" t="inlineStr">
        <is>
          <t>CHOOSE RATING</t>
        </is>
      </c>
      <c r="DY191" s="40" t="inlineStr">
        <is>
          <t>CHOOSE RATING</t>
        </is>
      </c>
      <c r="DZ191" s="53" t="inlineStr">
        <is>
          <t>CHOOSE RATING</t>
        </is>
      </c>
      <c r="EA191" s="54" t="inlineStr">
        <is>
          <t>Add the Tutor's Comment . . .</t>
        </is>
      </c>
      <c r="EB191" s="55" t="inlineStr">
        <is>
          <t>Choose Principals comment</t>
        </is>
      </c>
      <c r="EC191" s="56" t="n"/>
      <c r="ED191" s="57" t="inlineStr">
        <is>
          <t>Next Term Begins on Monday, 22nd September, 2025</t>
        </is>
      </c>
    </row>
    <row r="192" ht="30.6" customHeight="1" s="6">
      <c r="A192" s="18" t="n">
        <v>189</v>
      </c>
      <c r="B192" s="19" t="n"/>
      <c r="C192" s="20" t="n"/>
      <c r="D192" s="128" t="n"/>
      <c r="E192" s="21" t="n"/>
      <c r="F192" s="22" t="n"/>
      <c r="G192" s="22" t="n"/>
      <c r="H192" s="22" t="n"/>
      <c r="I192" s="26">
        <f>G192-H192</f>
        <v/>
      </c>
      <c r="J192" s="21" t="n"/>
      <c r="K192" s="21" t="n"/>
      <c r="L192" s="27">
        <f>SUM(J192:K192)</f>
        <v/>
      </c>
      <c r="M192" s="28" t="n"/>
      <c r="N192" s="28" t="n"/>
      <c r="O192" s="29">
        <f>IF(AND(L192=0,M192=0,N192=0),0,IF(AND(L192=0,M192=0),N192/1,IF(AND(L192=0,N192=0),M192/1,IF(AND(M192=0,N192=0),L192/1,IF(L192=0,FLOOR((M192+N192)/2,0.1),IF(M192=0,(L192+N192)/2,IF(N192=0,(M192+L192)/2,FLOOR(((L192+M192+N192)/3),0.1))))))))</f>
        <v/>
      </c>
      <c r="P192" s="21" t="n"/>
      <c r="Q192" s="21" t="n"/>
      <c r="R192" s="27">
        <f>SUM(P192:Q192)</f>
        <v/>
      </c>
      <c r="S192" s="28" t="n"/>
      <c r="T192" s="28" t="n"/>
      <c r="U192" s="29">
        <f>IF(AND(R192=0,S192=0,T192=0),0,IF(AND(R192=0,S192=0),T192/1,IF(AND(R192=0,T192=0),S192/1,IF(AND(S192=0,T192=0),R192/1,IF(R192=0,FLOOR((S192+T192)/2,0.1),IF(S192=0,(R192+T192)/2,IF(T192=0,(S192+R192)/2,FLOOR(((R192+S192+T192)/3),0.1))))))))</f>
        <v/>
      </c>
      <c r="V192" s="21" t="n"/>
      <c r="W192" s="21" t="n"/>
      <c r="X192" s="27">
        <f>SUM(V192:W192)</f>
        <v/>
      </c>
      <c r="Y192" s="28" t="n"/>
      <c r="Z192" s="28" t="n"/>
      <c r="AA192" s="29">
        <f>IF(AND(X192=0,Y192=0,Z192=0),0,IF(AND(X192=0,Y192=0),Z192/1,IF(AND(X192=0,Z192=0),Y192/1,IF(AND(Y192=0,Z192=0),X192/1,IF(X192=0,FLOOR((Y192+Z192)/2,0.1),IF(Y192=0,(X192+Z192)/2,IF(Z192=0,(Y192+X192)/2,FLOOR(((X192+Y192+Z192)/3),0.1))))))))</f>
        <v/>
      </c>
      <c r="AB192" s="21" t="n"/>
      <c r="AC192" s="21" t="n"/>
      <c r="AD192" s="27">
        <f>SUM(AB192:AC192)</f>
        <v/>
      </c>
      <c r="AE192" s="28" t="n"/>
      <c r="AF192" s="28" t="n"/>
      <c r="AG192" s="29">
        <f>IF(AND(AD192=0,AE192=0,AF192=0),0,IF(AND(AD192=0,AE192=0),AF192/1,IF(AND(AD192=0,AF192=0),AE192/1,IF(AND(AE192=0,AF192=0),AD192/1,IF(AD192=0,FLOOR((AE192+AF192)/2,0.1),IF(AE192=0,(AD192+AF192)/2,IF(AF192=0,(AE192+AD192)/2,FLOOR(((AD192+AE192+AF192)/3),0.1))))))))</f>
        <v/>
      </c>
      <c r="AH192" s="21" t="n"/>
      <c r="AI192" s="21" t="n"/>
      <c r="AJ192" s="27">
        <f>SUM(AH192:AI192)</f>
        <v/>
      </c>
      <c r="AK192" s="28" t="n"/>
      <c r="AL192" s="28" t="n"/>
      <c r="AM192" s="29">
        <f>IF(AND(AJ192=0,AK192=0,AL192=0),0,IF(AND(AJ192=0,AK192=0),AL192/1,IF(AND(AJ192=0,AL192=0),AK192/1,IF(AND(AK192=0,AL192=0),AJ192/1,IF(AJ192=0,FLOOR((AK192+AL192)/2,0.1),IF(AK192=0,(AJ192+AL192)/2,IF(AL192=0,(AK192+AJ192)/2,FLOOR(((AJ192+AK192+AL192)/3),0.1))))))))</f>
        <v/>
      </c>
      <c r="AN192" s="21" t="n"/>
      <c r="AO192" s="21" t="n"/>
      <c r="AP192" s="27">
        <f>SUM(AN192:AO192)</f>
        <v/>
      </c>
      <c r="AQ192" s="28" t="n"/>
      <c r="AR192" s="30" t="n"/>
      <c r="AS192" s="29">
        <f>IF(AND(AP192=0,AQ192=0,AR192=0),0,IF(AND(AP192=0,AQ192=0),AR192/1,IF(AND(AP192=0,AR192=0),AQ192/1,IF(AND(AQ192=0,AR192=0),AP192/1,IF(AP192=0,FLOOR((AQ192+AR192)/2,0.1),IF(AQ192=0,(AP192+AR192)/2,IF(AR192=0,(AQ192+AP192)/2,FLOOR(((AP192+AQ192+AR192)/3),0.1))))))))</f>
        <v/>
      </c>
      <c r="AT192" s="21" t="n"/>
      <c r="AU192" s="21" t="n"/>
      <c r="AV192" s="27">
        <f>SUM(AT192:AU192)</f>
        <v/>
      </c>
      <c r="AW192" s="28" t="n"/>
      <c r="AX192" s="30" t="n"/>
      <c r="AY192" s="29">
        <f>IF(AND(AV192=0,AW192=0,AX192=0),0,IF(AND(AV192=0,AW192=0),AX192/1,IF(AND(AV192=0,AX192=0),AW192/1,IF(AND(AW192=0,AX192=0),AV192/1,IF(AV192=0,FLOOR((AW192+AX192)/2,0.1),IF(AW192=0,(AV192+AX192)/2,IF(AX192=0,(AW192+AV192)/2,FLOOR(((AV192+AW192+AX192)/3),0.1))))))))</f>
        <v/>
      </c>
      <c r="AZ192" s="21" t="n"/>
      <c r="BA192" s="21" t="n"/>
      <c r="BB192" s="27">
        <f>SUM(AZ192:BA192)</f>
        <v/>
      </c>
      <c r="BC192" s="28" t="n"/>
      <c r="BD192" s="28" t="n"/>
      <c r="BE192" s="29">
        <f>IF(AND(BB192=0,BC192=0,BD192=0),0,IF(AND(BB192=0,BC192=0),BD192/1,IF(AND(BB192=0,BD192=0),BC192/1,IF(AND(BC192=0,BD192=0),BB192/1,IF(BB192=0,FLOOR((BC192+BD192)/2,0.1),IF(BC192=0,(BB192+BD192)/2,IF(BD192=0,(BC192+BB192)/2,FLOOR(((BB192+BC192+BD192)/3),0.1))))))))</f>
        <v/>
      </c>
      <c r="BF192" s="21" t="n"/>
      <c r="BG192" s="21" t="n"/>
      <c r="BH192" s="27">
        <f>SUM(BF192:BG192)</f>
        <v/>
      </c>
      <c r="BI192" s="28" t="n"/>
      <c r="BJ192" s="28" t="n"/>
      <c r="BK192" s="29">
        <f>IF(AND(BH192=0,BI192=0,BJ192=0),0,IF(AND(BH192=0,BI192=0),BJ192/1,IF(AND(BH192=0,BJ192=0),BI192/1,IF(AND(BI192=0,BJ192=0),BH192/1,IF(BH192=0,FLOOR((BI192+BJ192)/2,0.1),IF(BI192=0,(BH192+BJ192)/2,IF(BJ192=0,(BI192+BH192)/2,FLOOR(((BH192+BI192+BJ192)/3),0.1))))))))</f>
        <v/>
      </c>
      <c r="BL192" s="21" t="n"/>
      <c r="BM192" s="21" t="n"/>
      <c r="BN192" s="27">
        <f>SUM(BL192:BM192)</f>
        <v/>
      </c>
      <c r="BO192" s="28" t="n"/>
      <c r="BP192" s="31" t="n"/>
      <c r="BQ192" s="29">
        <f>IF(AND(BN192=0,BO192=0,BP192=0),0,IF(AND(BN192=0,BO192=0),BP192/1,IF(AND(BN192=0,BP192=0),BO192/1,IF(AND(BO192=0,BP192=0),BN192/1,IF(BN192=0,FLOOR((BO192+BP192)/2,0.1),IF(BO192=0,(BN192+BP192)/2,IF(BP192=0,(BO192+BN192)/2,FLOOR(((BN192+BO192+BP192)/3),0.1))))))))</f>
        <v/>
      </c>
      <c r="BR192" s="21" t="n"/>
      <c r="BS192" s="21" t="n"/>
      <c r="BT192" s="27">
        <f>SUM(BR192:BS192)</f>
        <v/>
      </c>
      <c r="BU192" s="28" t="n"/>
      <c r="BV192" s="31" t="n"/>
      <c r="BW192" s="29">
        <f>IF(AND(BT192=0,BU192=0,BV192=0),0,IF(AND(BT192=0,BU192=0),BV192/1,IF(AND(BT192=0,BV192=0),BU192/1,IF(AND(BU192=0,BV192=0),BT192/1,IF(BT192=0,FLOOR((BU192+BV192)/2,0.1),IF(BU192=0,(BT192+BV192)/2,IF(BV192=0,(BU192+BT192)/2,FLOOR(((BT192+BU192+BV192)/3),0.1))))))))</f>
        <v/>
      </c>
      <c r="BX192" s="21" t="n"/>
      <c r="BY192" s="21" t="n"/>
      <c r="BZ192" s="27">
        <f>SUM(BX192:BY192)</f>
        <v/>
      </c>
      <c r="CA192" s="28" t="n"/>
      <c r="CB192" s="31" t="n"/>
      <c r="CC192" s="29">
        <f>IF(AND(BZ192=0,CA192=0,CB192=0),0,IF(AND(BZ192=0,CA192=0),CB192/1,IF(AND(BZ192=0,CB192=0),CA192/1,IF(AND(CA192=0,CB192=0),BZ192/1,IF(BZ192=0,FLOOR((CA192+CB192)/2,0.1),IF(CA192=0,(BZ192+CB192)/2,IF(CB192=0,(CA192+BZ192)/2,FLOOR(((BZ192+CA192+CB192)/3),0.1))))))))</f>
        <v/>
      </c>
      <c r="CD192" s="21" t="n"/>
      <c r="CE192" s="21" t="n"/>
      <c r="CF192" s="27">
        <f>SUM(CD192:CE192)</f>
        <v/>
      </c>
      <c r="CG192" s="28" t="n"/>
      <c r="CH192" s="31" t="n"/>
      <c r="CI192" s="29">
        <f>IF(AND(CF192=0,CG192=0,CH192=0),0,IF(AND(CF192=0,CG192=0),CH192/1,IF(AND(CF192=0,CH192=0),CG192/1,IF(AND(CG192=0,CH192=0),CF192/1,IF(CF192=0,FLOOR((CG192+CH192)/2,0.1),IF(CG192=0,(CF192+CH192)/2,IF(CH192=0,(CG192+CF192)/2,FLOOR(((CF192+CG192+CH192)/3),0.1))))))))</f>
        <v/>
      </c>
      <c r="CJ192" s="21" t="n"/>
      <c r="CK192" s="21" t="n"/>
      <c r="CL192" s="27">
        <f>SUM(CJ192:CK192)</f>
        <v/>
      </c>
      <c r="CM192" s="28" t="n"/>
      <c r="CN192" s="31" t="n"/>
      <c r="CO192" s="29">
        <f>IF(AND(CL192=0,CM192=0,CN192=0),0,IF(AND(CL192=0,CM192=0),CN192/1,IF(AND(CL192=0,CN192=0),CM192/1,IF(AND(CM192=0,CN192=0),CL192/1,IF(CL192=0,FLOOR((CM192+CN192)/2,0.1),IF(CM192=0,(CL192+CN192)/2,IF(CN192=0,(CM192+CL192)/2,FLOOR(((CL192+CM192+CN192)/3),0.1))))))))</f>
        <v/>
      </c>
      <c r="CP192" s="21" t="n"/>
      <c r="CQ192" s="21" t="n"/>
      <c r="CR192" s="27">
        <f>SUM(CP192:CQ192)</f>
        <v/>
      </c>
      <c r="CS192" s="28" t="n"/>
      <c r="CT192" s="31" t="n"/>
      <c r="CU192" s="29">
        <f>IF(AND(CR192=0,CS192=0,CT192=0),0,IF(AND(CR192=0,CS192=0),CT192/1,IF(AND(CR192=0,CT192=0),CS192/1,IF(AND(CS192=0,CT192=0),CR192/1,IF(CR192=0,FLOOR((CS192+CT192)/2,0.1),IF(CS192=0,(CR192+CT192)/2,IF(CT192=0,(CS192+CR192)/2,FLOOR(((CR192+CS192+CT192)/3),0.1))))))))</f>
        <v/>
      </c>
      <c r="CV192" s="21" t="n"/>
      <c r="CW192" s="21" t="n"/>
      <c r="CX192" s="27">
        <f>SUM(CV192:CW192)</f>
        <v/>
      </c>
      <c r="CY192" s="28" t="n"/>
      <c r="CZ192" s="31" t="n"/>
      <c r="DA192" s="29">
        <f>IF(AND(CX192=0,CY192=0,CZ192=0),0,IF(AND(CX192=0,CY192=0),CZ192/1,IF(AND(CX192=0,CZ192=0),CY192/1,IF(AND(CY192=0,CZ192=0),CX192/1,IF(CX192=0,FLOOR((CY192+CZ192)/2,0.1),IF(CY192=0,(CX192+CZ192)/2,IF(CZ192=0,(CY192+CX192)/2,FLOOR(((CX192+CY192+CZ192)/3),0.1))))))))</f>
        <v/>
      </c>
      <c r="DB192" s="21" t="n"/>
      <c r="DC192" s="21" t="n"/>
      <c r="DD192" s="27">
        <f>SUM(DB192:DC192)</f>
        <v/>
      </c>
      <c r="DE192" s="28" t="n"/>
      <c r="DF192" s="31" t="n"/>
      <c r="DG192" s="29">
        <f>IF(AND(DD192=0,DE192=0,DF192=0),0,IF(AND(DD192=0,DE192=0),DF192/1,IF(AND(DD192=0,DF192=0),DE192/1,IF(AND(DE192=0,DF192=0),DD192/1,IF(DD192=0,FLOOR((DE192+DF192)/2,0.1),IF(DE192=0,(DD192+DF192)/2,IF(DF192=0,(DE192+DD192)/2,FLOOR(((DD192+DE192+DF192)/3),0.1))))))))</f>
        <v/>
      </c>
      <c r="DH192" s="34">
        <f>SUM(O192,U192,AA192,AG192,AM192,AS192,AY192,BE192,BK192,BQ192,BW192,CC192,CI192,CO192,CU192,DA192,DG192)</f>
        <v/>
      </c>
      <c r="DI192" s="39">
        <f>RANK(DH192,DH$4:DH$503)</f>
        <v/>
      </c>
      <c r="DJ192" s="40" t="inlineStr">
        <is>
          <t>CHOOSE RATING</t>
        </is>
      </c>
      <c r="DK192" s="40" t="inlineStr">
        <is>
          <t>CHOOSE RATING</t>
        </is>
      </c>
      <c r="DL192" s="40" t="inlineStr">
        <is>
          <t>CHOOSE RATING</t>
        </is>
      </c>
      <c r="DM192" s="40" t="inlineStr">
        <is>
          <t>CHOOSE RATING</t>
        </is>
      </c>
      <c r="DN192" s="40" t="inlineStr">
        <is>
          <t>CHOOSE RATING</t>
        </is>
      </c>
      <c r="DO192" s="40" t="inlineStr">
        <is>
          <t>CHOOSE RATING</t>
        </is>
      </c>
      <c r="DP192" s="40" t="inlineStr">
        <is>
          <t>CHOOSE RATING</t>
        </is>
      </c>
      <c r="DQ192" s="40" t="inlineStr">
        <is>
          <t>CHOOSE RATING</t>
        </is>
      </c>
      <c r="DR192" s="43" t="inlineStr">
        <is>
          <t>2024/2025</t>
        </is>
      </c>
      <c r="DS192" s="45" t="inlineStr">
        <is>
          <t>THIRD</t>
        </is>
      </c>
      <c r="DT192" s="40" t="inlineStr">
        <is>
          <t>CHOOSE RATING</t>
        </is>
      </c>
      <c r="DU192" s="40" t="inlineStr">
        <is>
          <t>CHOOSE RATING</t>
        </is>
      </c>
      <c r="DV192" s="40" t="inlineStr">
        <is>
          <t>CHOOSE RATING</t>
        </is>
      </c>
      <c r="DW192" s="40" t="inlineStr">
        <is>
          <t>CHOOSE RATING</t>
        </is>
      </c>
      <c r="DX192" s="40" t="inlineStr">
        <is>
          <t>CHOOSE RATING</t>
        </is>
      </c>
      <c r="DY192" s="40" t="inlineStr">
        <is>
          <t>CHOOSE RATING</t>
        </is>
      </c>
      <c r="DZ192" s="53" t="inlineStr">
        <is>
          <t>CHOOSE RATING</t>
        </is>
      </c>
      <c r="EA192" s="54" t="inlineStr">
        <is>
          <t>Add the Tutor's Comment . . .</t>
        </is>
      </c>
      <c r="EB192" s="55" t="inlineStr">
        <is>
          <t>Choose Principals comment</t>
        </is>
      </c>
      <c r="EC192" s="56" t="n"/>
      <c r="ED192" s="57" t="inlineStr">
        <is>
          <t>Next Term Begins on Monday, 22nd September, 2025</t>
        </is>
      </c>
    </row>
    <row r="193" ht="30.6" customHeight="1" s="6">
      <c r="A193" s="18" t="n">
        <v>190</v>
      </c>
      <c r="B193" s="19" t="n"/>
      <c r="C193" s="20" t="n"/>
      <c r="D193" s="128" t="n"/>
      <c r="E193" s="21" t="n"/>
      <c r="F193" s="22" t="n"/>
      <c r="G193" s="22" t="n"/>
      <c r="H193" s="22" t="n"/>
      <c r="I193" s="26">
        <f>G193-H193</f>
        <v/>
      </c>
      <c r="J193" s="21" t="n"/>
      <c r="K193" s="21" t="n"/>
      <c r="L193" s="27">
        <f>SUM(J193:K193)</f>
        <v/>
      </c>
      <c r="M193" s="28" t="n"/>
      <c r="N193" s="28" t="n"/>
      <c r="O193" s="29">
        <f>IF(AND(L193=0,M193=0,N193=0),0,IF(AND(L193=0,M193=0),N193/1,IF(AND(L193=0,N193=0),M193/1,IF(AND(M193=0,N193=0),L193/1,IF(L193=0,FLOOR((M193+N193)/2,0.1),IF(M193=0,(L193+N193)/2,IF(N193=0,(M193+L193)/2,FLOOR(((L193+M193+N193)/3),0.1))))))))</f>
        <v/>
      </c>
      <c r="P193" s="21" t="n"/>
      <c r="Q193" s="21" t="n"/>
      <c r="R193" s="27">
        <f>SUM(P193:Q193)</f>
        <v/>
      </c>
      <c r="S193" s="28" t="n"/>
      <c r="T193" s="28" t="n"/>
      <c r="U193" s="29">
        <f>IF(AND(R193=0,S193=0,T193=0),0,IF(AND(R193=0,S193=0),T193/1,IF(AND(R193=0,T193=0),S193/1,IF(AND(S193=0,T193=0),R193/1,IF(R193=0,FLOOR((S193+T193)/2,0.1),IF(S193=0,(R193+T193)/2,IF(T193=0,(S193+R193)/2,FLOOR(((R193+S193+T193)/3),0.1))))))))</f>
        <v/>
      </c>
      <c r="V193" s="21" t="n"/>
      <c r="W193" s="21" t="n"/>
      <c r="X193" s="27">
        <f>SUM(V193:W193)</f>
        <v/>
      </c>
      <c r="Y193" s="28" t="n"/>
      <c r="Z193" s="28" t="n"/>
      <c r="AA193" s="29">
        <f>IF(AND(X193=0,Y193=0,Z193=0),0,IF(AND(X193=0,Y193=0),Z193/1,IF(AND(X193=0,Z193=0),Y193/1,IF(AND(Y193=0,Z193=0),X193/1,IF(X193=0,FLOOR((Y193+Z193)/2,0.1),IF(Y193=0,(X193+Z193)/2,IF(Z193=0,(Y193+X193)/2,FLOOR(((X193+Y193+Z193)/3),0.1))))))))</f>
        <v/>
      </c>
      <c r="AB193" s="21" t="n"/>
      <c r="AC193" s="21" t="n"/>
      <c r="AD193" s="27">
        <f>SUM(AB193:AC193)</f>
        <v/>
      </c>
      <c r="AE193" s="28" t="n"/>
      <c r="AF193" s="28" t="n"/>
      <c r="AG193" s="29">
        <f>IF(AND(AD193=0,AE193=0,AF193=0),0,IF(AND(AD193=0,AE193=0),AF193/1,IF(AND(AD193=0,AF193=0),AE193/1,IF(AND(AE193=0,AF193=0),AD193/1,IF(AD193=0,FLOOR((AE193+AF193)/2,0.1),IF(AE193=0,(AD193+AF193)/2,IF(AF193=0,(AE193+AD193)/2,FLOOR(((AD193+AE193+AF193)/3),0.1))))))))</f>
        <v/>
      </c>
      <c r="AH193" s="21" t="n"/>
      <c r="AI193" s="21" t="n"/>
      <c r="AJ193" s="27">
        <f>SUM(AH193:AI193)</f>
        <v/>
      </c>
      <c r="AK193" s="28" t="n"/>
      <c r="AL193" s="28" t="n"/>
      <c r="AM193" s="29">
        <f>IF(AND(AJ193=0,AK193=0,AL193=0),0,IF(AND(AJ193=0,AK193=0),AL193/1,IF(AND(AJ193=0,AL193=0),AK193/1,IF(AND(AK193=0,AL193=0),AJ193/1,IF(AJ193=0,FLOOR((AK193+AL193)/2,0.1),IF(AK193=0,(AJ193+AL193)/2,IF(AL193=0,(AK193+AJ193)/2,FLOOR(((AJ193+AK193+AL193)/3),0.1))))))))</f>
        <v/>
      </c>
      <c r="AN193" s="21" t="n"/>
      <c r="AO193" s="21" t="n"/>
      <c r="AP193" s="27">
        <f>SUM(AN193:AO193)</f>
        <v/>
      </c>
      <c r="AQ193" s="28" t="n"/>
      <c r="AR193" s="30" t="n"/>
      <c r="AS193" s="29">
        <f>IF(AND(AP193=0,AQ193=0,AR193=0),0,IF(AND(AP193=0,AQ193=0),AR193/1,IF(AND(AP193=0,AR193=0),AQ193/1,IF(AND(AQ193=0,AR193=0),AP193/1,IF(AP193=0,FLOOR((AQ193+AR193)/2,0.1),IF(AQ193=0,(AP193+AR193)/2,IF(AR193=0,(AQ193+AP193)/2,FLOOR(((AP193+AQ193+AR193)/3),0.1))))))))</f>
        <v/>
      </c>
      <c r="AT193" s="21" t="n"/>
      <c r="AU193" s="21" t="n"/>
      <c r="AV193" s="27">
        <f>SUM(AT193:AU193)</f>
        <v/>
      </c>
      <c r="AW193" s="28" t="n"/>
      <c r="AX193" s="30" t="n"/>
      <c r="AY193" s="29">
        <f>IF(AND(AV193=0,AW193=0,AX193=0),0,IF(AND(AV193=0,AW193=0),AX193/1,IF(AND(AV193=0,AX193=0),AW193/1,IF(AND(AW193=0,AX193=0),AV193/1,IF(AV193=0,FLOOR((AW193+AX193)/2,0.1),IF(AW193=0,(AV193+AX193)/2,IF(AX193=0,(AW193+AV193)/2,FLOOR(((AV193+AW193+AX193)/3),0.1))))))))</f>
        <v/>
      </c>
      <c r="AZ193" s="21" t="n"/>
      <c r="BA193" s="21" t="n"/>
      <c r="BB193" s="27">
        <f>SUM(AZ193:BA193)</f>
        <v/>
      </c>
      <c r="BC193" s="28" t="n"/>
      <c r="BD193" s="28" t="n"/>
      <c r="BE193" s="29">
        <f>IF(AND(BB193=0,BC193=0,BD193=0),0,IF(AND(BB193=0,BC193=0),BD193/1,IF(AND(BB193=0,BD193=0),BC193/1,IF(AND(BC193=0,BD193=0),BB193/1,IF(BB193=0,FLOOR((BC193+BD193)/2,0.1),IF(BC193=0,(BB193+BD193)/2,IF(BD193=0,(BC193+BB193)/2,FLOOR(((BB193+BC193+BD193)/3),0.1))))))))</f>
        <v/>
      </c>
      <c r="BF193" s="21" t="n"/>
      <c r="BG193" s="21" t="n"/>
      <c r="BH193" s="27">
        <f>SUM(BF193:BG193)</f>
        <v/>
      </c>
      <c r="BI193" s="28" t="n"/>
      <c r="BJ193" s="28" t="n"/>
      <c r="BK193" s="29">
        <f>IF(AND(BH193=0,BI193=0,BJ193=0),0,IF(AND(BH193=0,BI193=0),BJ193/1,IF(AND(BH193=0,BJ193=0),BI193/1,IF(AND(BI193=0,BJ193=0),BH193/1,IF(BH193=0,FLOOR((BI193+BJ193)/2,0.1),IF(BI193=0,(BH193+BJ193)/2,IF(BJ193=0,(BI193+BH193)/2,FLOOR(((BH193+BI193+BJ193)/3),0.1))))))))</f>
        <v/>
      </c>
      <c r="BL193" s="21" t="n"/>
      <c r="BM193" s="21" t="n"/>
      <c r="BN193" s="27">
        <f>SUM(BL193:BM193)</f>
        <v/>
      </c>
      <c r="BO193" s="28" t="n"/>
      <c r="BP193" s="31" t="n"/>
      <c r="BQ193" s="29">
        <f>IF(AND(BN193=0,BO193=0,BP193=0),0,IF(AND(BN193=0,BO193=0),BP193/1,IF(AND(BN193=0,BP193=0),BO193/1,IF(AND(BO193=0,BP193=0),BN193/1,IF(BN193=0,FLOOR((BO193+BP193)/2,0.1),IF(BO193=0,(BN193+BP193)/2,IF(BP193=0,(BO193+BN193)/2,FLOOR(((BN193+BO193+BP193)/3),0.1))))))))</f>
        <v/>
      </c>
      <c r="BR193" s="21" t="n"/>
      <c r="BS193" s="21" t="n"/>
      <c r="BT193" s="27">
        <f>SUM(BR193:BS193)</f>
        <v/>
      </c>
      <c r="BU193" s="28" t="n"/>
      <c r="BV193" s="31" t="n"/>
      <c r="BW193" s="29">
        <f>IF(AND(BT193=0,BU193=0,BV193=0),0,IF(AND(BT193=0,BU193=0),BV193/1,IF(AND(BT193=0,BV193=0),BU193/1,IF(AND(BU193=0,BV193=0),BT193/1,IF(BT193=0,FLOOR((BU193+BV193)/2,0.1),IF(BU193=0,(BT193+BV193)/2,IF(BV193=0,(BU193+BT193)/2,FLOOR(((BT193+BU193+BV193)/3),0.1))))))))</f>
        <v/>
      </c>
      <c r="BX193" s="21" t="n"/>
      <c r="BY193" s="21" t="n"/>
      <c r="BZ193" s="27">
        <f>SUM(BX193:BY193)</f>
        <v/>
      </c>
      <c r="CA193" s="28" t="n"/>
      <c r="CB193" s="31" t="n"/>
      <c r="CC193" s="29">
        <f>IF(AND(BZ193=0,CA193=0,CB193=0),0,IF(AND(BZ193=0,CA193=0),CB193/1,IF(AND(BZ193=0,CB193=0),CA193/1,IF(AND(CA193=0,CB193=0),BZ193/1,IF(BZ193=0,FLOOR((CA193+CB193)/2,0.1),IF(CA193=0,(BZ193+CB193)/2,IF(CB193=0,(CA193+BZ193)/2,FLOOR(((BZ193+CA193+CB193)/3),0.1))))))))</f>
        <v/>
      </c>
      <c r="CD193" s="21" t="n"/>
      <c r="CE193" s="21" t="n"/>
      <c r="CF193" s="27">
        <f>SUM(CD193:CE193)</f>
        <v/>
      </c>
      <c r="CG193" s="28" t="n"/>
      <c r="CH193" s="31" t="n"/>
      <c r="CI193" s="29">
        <f>IF(AND(CF193=0,CG193=0,CH193=0),0,IF(AND(CF193=0,CG193=0),CH193/1,IF(AND(CF193=0,CH193=0),CG193/1,IF(AND(CG193=0,CH193=0),CF193/1,IF(CF193=0,FLOOR((CG193+CH193)/2,0.1),IF(CG193=0,(CF193+CH193)/2,IF(CH193=0,(CG193+CF193)/2,FLOOR(((CF193+CG193+CH193)/3),0.1))))))))</f>
        <v/>
      </c>
      <c r="CJ193" s="21" t="n"/>
      <c r="CK193" s="21" t="n"/>
      <c r="CL193" s="27">
        <f>SUM(CJ193:CK193)</f>
        <v/>
      </c>
      <c r="CM193" s="28" t="n"/>
      <c r="CN193" s="31" t="n"/>
      <c r="CO193" s="29">
        <f>IF(AND(CL193=0,CM193=0,CN193=0),0,IF(AND(CL193=0,CM193=0),CN193/1,IF(AND(CL193=0,CN193=0),CM193/1,IF(AND(CM193=0,CN193=0),CL193/1,IF(CL193=0,FLOOR((CM193+CN193)/2,0.1),IF(CM193=0,(CL193+CN193)/2,IF(CN193=0,(CM193+CL193)/2,FLOOR(((CL193+CM193+CN193)/3),0.1))))))))</f>
        <v/>
      </c>
      <c r="CP193" s="21" t="n"/>
      <c r="CQ193" s="21" t="n"/>
      <c r="CR193" s="27">
        <f>SUM(CP193:CQ193)</f>
        <v/>
      </c>
      <c r="CS193" s="28" t="n"/>
      <c r="CT193" s="31" t="n"/>
      <c r="CU193" s="29">
        <f>IF(AND(CR193=0,CS193=0,CT193=0),0,IF(AND(CR193=0,CS193=0),CT193/1,IF(AND(CR193=0,CT193=0),CS193/1,IF(AND(CS193=0,CT193=0),CR193/1,IF(CR193=0,FLOOR((CS193+CT193)/2,0.1),IF(CS193=0,(CR193+CT193)/2,IF(CT193=0,(CS193+CR193)/2,FLOOR(((CR193+CS193+CT193)/3),0.1))))))))</f>
        <v/>
      </c>
      <c r="CV193" s="21" t="n"/>
      <c r="CW193" s="21" t="n"/>
      <c r="CX193" s="27">
        <f>SUM(CV193:CW193)</f>
        <v/>
      </c>
      <c r="CY193" s="28" t="n"/>
      <c r="CZ193" s="31" t="n"/>
      <c r="DA193" s="29">
        <f>IF(AND(CX193=0,CY193=0,CZ193=0),0,IF(AND(CX193=0,CY193=0),CZ193/1,IF(AND(CX193=0,CZ193=0),CY193/1,IF(AND(CY193=0,CZ193=0),CX193/1,IF(CX193=0,FLOOR((CY193+CZ193)/2,0.1),IF(CY193=0,(CX193+CZ193)/2,IF(CZ193=0,(CY193+CX193)/2,FLOOR(((CX193+CY193+CZ193)/3),0.1))))))))</f>
        <v/>
      </c>
      <c r="DB193" s="21" t="n"/>
      <c r="DC193" s="21" t="n"/>
      <c r="DD193" s="27">
        <f>SUM(DB193:DC193)</f>
        <v/>
      </c>
      <c r="DE193" s="28" t="n"/>
      <c r="DF193" s="31" t="n"/>
      <c r="DG193" s="29">
        <f>IF(AND(DD193=0,DE193=0,DF193=0),0,IF(AND(DD193=0,DE193=0),DF193/1,IF(AND(DD193=0,DF193=0),DE193/1,IF(AND(DE193=0,DF193=0),DD193/1,IF(DD193=0,FLOOR((DE193+DF193)/2,0.1),IF(DE193=0,(DD193+DF193)/2,IF(DF193=0,(DE193+DD193)/2,FLOOR(((DD193+DE193+DF193)/3),0.1))))))))</f>
        <v/>
      </c>
      <c r="DH193" s="34">
        <f>SUM(O193,U193,AA193,AG193,AM193,AS193,AY193,BE193,BK193,BQ193,BW193,CC193,CI193,CO193,CU193,DA193,DG193)</f>
        <v/>
      </c>
      <c r="DI193" s="39">
        <f>RANK(DH193,DH$4:DH$503)</f>
        <v/>
      </c>
      <c r="DJ193" s="40" t="inlineStr">
        <is>
          <t>CHOOSE RATING</t>
        </is>
      </c>
      <c r="DK193" s="40" t="inlineStr">
        <is>
          <t>CHOOSE RATING</t>
        </is>
      </c>
      <c r="DL193" s="40" t="inlineStr">
        <is>
          <t>CHOOSE RATING</t>
        </is>
      </c>
      <c r="DM193" s="40" t="inlineStr">
        <is>
          <t>CHOOSE RATING</t>
        </is>
      </c>
      <c r="DN193" s="40" t="inlineStr">
        <is>
          <t>CHOOSE RATING</t>
        </is>
      </c>
      <c r="DO193" s="40" t="inlineStr">
        <is>
          <t>CHOOSE RATING</t>
        </is>
      </c>
      <c r="DP193" s="40" t="inlineStr">
        <is>
          <t>CHOOSE RATING</t>
        </is>
      </c>
      <c r="DQ193" s="40" t="inlineStr">
        <is>
          <t>CHOOSE RATING</t>
        </is>
      </c>
      <c r="DR193" s="43" t="inlineStr">
        <is>
          <t>2024/2025</t>
        </is>
      </c>
      <c r="DS193" s="45" t="inlineStr">
        <is>
          <t>THIRD</t>
        </is>
      </c>
      <c r="DT193" s="40" t="inlineStr">
        <is>
          <t>CHOOSE RATING</t>
        </is>
      </c>
      <c r="DU193" s="40" t="inlineStr">
        <is>
          <t>CHOOSE RATING</t>
        </is>
      </c>
      <c r="DV193" s="40" t="inlineStr">
        <is>
          <t>CHOOSE RATING</t>
        </is>
      </c>
      <c r="DW193" s="40" t="inlineStr">
        <is>
          <t>CHOOSE RATING</t>
        </is>
      </c>
      <c r="DX193" s="40" t="inlineStr">
        <is>
          <t>CHOOSE RATING</t>
        </is>
      </c>
      <c r="DY193" s="40" t="inlineStr">
        <is>
          <t>CHOOSE RATING</t>
        </is>
      </c>
      <c r="DZ193" s="53" t="inlineStr">
        <is>
          <t>CHOOSE RATING</t>
        </is>
      </c>
      <c r="EA193" s="54" t="inlineStr">
        <is>
          <t>Add the Tutor's Comment . . .</t>
        </is>
      </c>
      <c r="EB193" s="55" t="inlineStr">
        <is>
          <t>Choose Principals comment</t>
        </is>
      </c>
      <c r="EC193" s="56" t="n"/>
      <c r="ED193" s="57" t="inlineStr">
        <is>
          <t>Next Term Begins on Monday, 22nd September, 2025</t>
        </is>
      </c>
    </row>
    <row r="194" ht="30.6" customHeight="1" s="6">
      <c r="A194" s="18" t="n">
        <v>191</v>
      </c>
      <c r="B194" s="19" t="n"/>
      <c r="C194" s="20" t="n"/>
      <c r="D194" s="128" t="n"/>
      <c r="E194" s="21" t="n"/>
      <c r="F194" s="22" t="n"/>
      <c r="G194" s="22" t="n"/>
      <c r="H194" s="22" t="n"/>
      <c r="I194" s="26">
        <f>G194-H194</f>
        <v/>
      </c>
      <c r="J194" s="21" t="n"/>
      <c r="K194" s="21" t="n"/>
      <c r="L194" s="27">
        <f>SUM(J194:K194)</f>
        <v/>
      </c>
      <c r="M194" s="28" t="n"/>
      <c r="N194" s="28" t="n"/>
      <c r="O194" s="29">
        <f>IF(AND(L194=0,M194=0,N194=0),0,IF(AND(L194=0,M194=0),N194/1,IF(AND(L194=0,N194=0),M194/1,IF(AND(M194=0,N194=0),L194/1,IF(L194=0,FLOOR((M194+N194)/2,0.1),IF(M194=0,(L194+N194)/2,IF(N194=0,(M194+L194)/2,FLOOR(((L194+M194+N194)/3),0.1))))))))</f>
        <v/>
      </c>
      <c r="P194" s="21" t="n"/>
      <c r="Q194" s="21" t="n"/>
      <c r="R194" s="27">
        <f>SUM(P194:Q194)</f>
        <v/>
      </c>
      <c r="S194" s="28" t="n"/>
      <c r="T194" s="28" t="n"/>
      <c r="U194" s="29">
        <f>IF(AND(R194=0,S194=0,T194=0),0,IF(AND(R194=0,S194=0),T194/1,IF(AND(R194=0,T194=0),S194/1,IF(AND(S194=0,T194=0),R194/1,IF(R194=0,FLOOR((S194+T194)/2,0.1),IF(S194=0,(R194+T194)/2,IF(T194=0,(S194+R194)/2,FLOOR(((R194+S194+T194)/3),0.1))))))))</f>
        <v/>
      </c>
      <c r="V194" s="21" t="n"/>
      <c r="W194" s="21" t="n"/>
      <c r="X194" s="27">
        <f>SUM(V194:W194)</f>
        <v/>
      </c>
      <c r="Y194" s="28" t="n"/>
      <c r="Z194" s="28" t="n"/>
      <c r="AA194" s="29">
        <f>IF(AND(X194=0,Y194=0,Z194=0),0,IF(AND(X194=0,Y194=0),Z194/1,IF(AND(X194=0,Z194=0),Y194/1,IF(AND(Y194=0,Z194=0),X194/1,IF(X194=0,FLOOR((Y194+Z194)/2,0.1),IF(Y194=0,(X194+Z194)/2,IF(Z194=0,(Y194+X194)/2,FLOOR(((X194+Y194+Z194)/3),0.1))))))))</f>
        <v/>
      </c>
      <c r="AB194" s="21" t="n"/>
      <c r="AC194" s="21" t="n"/>
      <c r="AD194" s="27">
        <f>SUM(AB194:AC194)</f>
        <v/>
      </c>
      <c r="AE194" s="28" t="n"/>
      <c r="AF194" s="28" t="n"/>
      <c r="AG194" s="29">
        <f>IF(AND(AD194=0,AE194=0,AF194=0),0,IF(AND(AD194=0,AE194=0),AF194/1,IF(AND(AD194=0,AF194=0),AE194/1,IF(AND(AE194=0,AF194=0),AD194/1,IF(AD194=0,FLOOR((AE194+AF194)/2,0.1),IF(AE194=0,(AD194+AF194)/2,IF(AF194=0,(AE194+AD194)/2,FLOOR(((AD194+AE194+AF194)/3),0.1))))))))</f>
        <v/>
      </c>
      <c r="AH194" s="21" t="n"/>
      <c r="AI194" s="21" t="n"/>
      <c r="AJ194" s="27">
        <f>SUM(AH194:AI194)</f>
        <v/>
      </c>
      <c r="AK194" s="28" t="n"/>
      <c r="AL194" s="28" t="n"/>
      <c r="AM194" s="29">
        <f>IF(AND(AJ194=0,AK194=0,AL194=0),0,IF(AND(AJ194=0,AK194=0),AL194/1,IF(AND(AJ194=0,AL194=0),AK194/1,IF(AND(AK194=0,AL194=0),AJ194/1,IF(AJ194=0,FLOOR((AK194+AL194)/2,0.1),IF(AK194=0,(AJ194+AL194)/2,IF(AL194=0,(AK194+AJ194)/2,FLOOR(((AJ194+AK194+AL194)/3),0.1))))))))</f>
        <v/>
      </c>
      <c r="AN194" s="21" t="n"/>
      <c r="AO194" s="21" t="n"/>
      <c r="AP194" s="27">
        <f>SUM(AN194:AO194)</f>
        <v/>
      </c>
      <c r="AQ194" s="28" t="n"/>
      <c r="AR194" s="30" t="n"/>
      <c r="AS194" s="29">
        <f>IF(AND(AP194=0,AQ194=0,AR194=0),0,IF(AND(AP194=0,AQ194=0),AR194/1,IF(AND(AP194=0,AR194=0),AQ194/1,IF(AND(AQ194=0,AR194=0),AP194/1,IF(AP194=0,FLOOR((AQ194+AR194)/2,0.1),IF(AQ194=0,(AP194+AR194)/2,IF(AR194=0,(AQ194+AP194)/2,FLOOR(((AP194+AQ194+AR194)/3),0.1))))))))</f>
        <v/>
      </c>
      <c r="AT194" s="21" t="n"/>
      <c r="AU194" s="21" t="n"/>
      <c r="AV194" s="27">
        <f>SUM(AT194:AU194)</f>
        <v/>
      </c>
      <c r="AW194" s="28" t="n"/>
      <c r="AX194" s="30" t="n"/>
      <c r="AY194" s="29">
        <f>IF(AND(AV194=0,AW194=0,AX194=0),0,IF(AND(AV194=0,AW194=0),AX194/1,IF(AND(AV194=0,AX194=0),AW194/1,IF(AND(AW194=0,AX194=0),AV194/1,IF(AV194=0,FLOOR((AW194+AX194)/2,0.1),IF(AW194=0,(AV194+AX194)/2,IF(AX194=0,(AW194+AV194)/2,FLOOR(((AV194+AW194+AX194)/3),0.1))))))))</f>
        <v/>
      </c>
      <c r="AZ194" s="21" t="n"/>
      <c r="BA194" s="21" t="n"/>
      <c r="BB194" s="27">
        <f>SUM(AZ194:BA194)</f>
        <v/>
      </c>
      <c r="BC194" s="28" t="n"/>
      <c r="BD194" s="28" t="n"/>
      <c r="BE194" s="29">
        <f>IF(AND(BB194=0,BC194=0,BD194=0),0,IF(AND(BB194=0,BC194=0),BD194/1,IF(AND(BB194=0,BD194=0),BC194/1,IF(AND(BC194=0,BD194=0),BB194/1,IF(BB194=0,FLOOR((BC194+BD194)/2,0.1),IF(BC194=0,(BB194+BD194)/2,IF(BD194=0,(BC194+BB194)/2,FLOOR(((BB194+BC194+BD194)/3),0.1))))))))</f>
        <v/>
      </c>
      <c r="BF194" s="21" t="n"/>
      <c r="BG194" s="21" t="n"/>
      <c r="BH194" s="27">
        <f>SUM(BF194:BG194)</f>
        <v/>
      </c>
      <c r="BI194" s="28" t="n"/>
      <c r="BJ194" s="28" t="n"/>
      <c r="BK194" s="29">
        <f>IF(AND(BH194=0,BI194=0,BJ194=0),0,IF(AND(BH194=0,BI194=0),BJ194/1,IF(AND(BH194=0,BJ194=0),BI194/1,IF(AND(BI194=0,BJ194=0),BH194/1,IF(BH194=0,FLOOR((BI194+BJ194)/2,0.1),IF(BI194=0,(BH194+BJ194)/2,IF(BJ194=0,(BI194+BH194)/2,FLOOR(((BH194+BI194+BJ194)/3),0.1))))))))</f>
        <v/>
      </c>
      <c r="BL194" s="21" t="n"/>
      <c r="BM194" s="21" t="n"/>
      <c r="BN194" s="27">
        <f>SUM(BL194:BM194)</f>
        <v/>
      </c>
      <c r="BO194" s="28" t="n"/>
      <c r="BP194" s="31" t="n"/>
      <c r="BQ194" s="29">
        <f>IF(AND(BN194=0,BO194=0,BP194=0),0,IF(AND(BN194=0,BO194=0),BP194/1,IF(AND(BN194=0,BP194=0),BO194/1,IF(AND(BO194=0,BP194=0),BN194/1,IF(BN194=0,FLOOR((BO194+BP194)/2,0.1),IF(BO194=0,(BN194+BP194)/2,IF(BP194=0,(BO194+BN194)/2,FLOOR(((BN194+BO194+BP194)/3),0.1))))))))</f>
        <v/>
      </c>
      <c r="BR194" s="21" t="n"/>
      <c r="BS194" s="21" t="n"/>
      <c r="BT194" s="27">
        <f>SUM(BR194:BS194)</f>
        <v/>
      </c>
      <c r="BU194" s="28" t="n"/>
      <c r="BV194" s="31" t="n"/>
      <c r="BW194" s="29">
        <f>IF(AND(BT194=0,BU194=0,BV194=0),0,IF(AND(BT194=0,BU194=0),BV194/1,IF(AND(BT194=0,BV194=0),BU194/1,IF(AND(BU194=0,BV194=0),BT194/1,IF(BT194=0,FLOOR((BU194+BV194)/2,0.1),IF(BU194=0,(BT194+BV194)/2,IF(BV194=0,(BU194+BT194)/2,FLOOR(((BT194+BU194+BV194)/3),0.1))))))))</f>
        <v/>
      </c>
      <c r="BX194" s="21" t="n"/>
      <c r="BY194" s="21" t="n"/>
      <c r="BZ194" s="27">
        <f>SUM(BX194:BY194)</f>
        <v/>
      </c>
      <c r="CA194" s="28" t="n"/>
      <c r="CB194" s="31" t="n"/>
      <c r="CC194" s="29">
        <f>IF(AND(BZ194=0,CA194=0,CB194=0),0,IF(AND(BZ194=0,CA194=0),CB194/1,IF(AND(BZ194=0,CB194=0),CA194/1,IF(AND(CA194=0,CB194=0),BZ194/1,IF(BZ194=0,FLOOR((CA194+CB194)/2,0.1),IF(CA194=0,(BZ194+CB194)/2,IF(CB194=0,(CA194+BZ194)/2,FLOOR(((BZ194+CA194+CB194)/3),0.1))))))))</f>
        <v/>
      </c>
      <c r="CD194" s="21" t="n"/>
      <c r="CE194" s="21" t="n"/>
      <c r="CF194" s="27">
        <f>SUM(CD194:CE194)</f>
        <v/>
      </c>
      <c r="CG194" s="28" t="n"/>
      <c r="CH194" s="31" t="n"/>
      <c r="CI194" s="29">
        <f>IF(AND(CF194=0,CG194=0,CH194=0),0,IF(AND(CF194=0,CG194=0),CH194/1,IF(AND(CF194=0,CH194=0),CG194/1,IF(AND(CG194=0,CH194=0),CF194/1,IF(CF194=0,FLOOR((CG194+CH194)/2,0.1),IF(CG194=0,(CF194+CH194)/2,IF(CH194=0,(CG194+CF194)/2,FLOOR(((CF194+CG194+CH194)/3),0.1))))))))</f>
        <v/>
      </c>
      <c r="CJ194" s="21" t="n"/>
      <c r="CK194" s="21" t="n"/>
      <c r="CL194" s="27">
        <f>SUM(CJ194:CK194)</f>
        <v/>
      </c>
      <c r="CM194" s="28" t="n"/>
      <c r="CN194" s="31" t="n"/>
      <c r="CO194" s="29">
        <f>IF(AND(CL194=0,CM194=0,CN194=0),0,IF(AND(CL194=0,CM194=0),CN194/1,IF(AND(CL194=0,CN194=0),CM194/1,IF(AND(CM194=0,CN194=0),CL194/1,IF(CL194=0,FLOOR((CM194+CN194)/2,0.1),IF(CM194=0,(CL194+CN194)/2,IF(CN194=0,(CM194+CL194)/2,FLOOR(((CL194+CM194+CN194)/3),0.1))))))))</f>
        <v/>
      </c>
      <c r="CP194" s="21" t="n"/>
      <c r="CQ194" s="21" t="n"/>
      <c r="CR194" s="27">
        <f>SUM(CP194:CQ194)</f>
        <v/>
      </c>
      <c r="CS194" s="28" t="n"/>
      <c r="CT194" s="31" t="n"/>
      <c r="CU194" s="29">
        <f>IF(AND(CR194=0,CS194=0,CT194=0),0,IF(AND(CR194=0,CS194=0),CT194/1,IF(AND(CR194=0,CT194=0),CS194/1,IF(AND(CS194=0,CT194=0),CR194/1,IF(CR194=0,FLOOR((CS194+CT194)/2,0.1),IF(CS194=0,(CR194+CT194)/2,IF(CT194=0,(CS194+CR194)/2,FLOOR(((CR194+CS194+CT194)/3),0.1))))))))</f>
        <v/>
      </c>
      <c r="CV194" s="21" t="n"/>
      <c r="CW194" s="21" t="n"/>
      <c r="CX194" s="27">
        <f>SUM(CV194:CW194)</f>
        <v/>
      </c>
      <c r="CY194" s="28" t="n"/>
      <c r="CZ194" s="31" t="n"/>
      <c r="DA194" s="29">
        <f>IF(AND(CX194=0,CY194=0,CZ194=0),0,IF(AND(CX194=0,CY194=0),CZ194/1,IF(AND(CX194=0,CZ194=0),CY194/1,IF(AND(CY194=0,CZ194=0),CX194/1,IF(CX194=0,FLOOR((CY194+CZ194)/2,0.1),IF(CY194=0,(CX194+CZ194)/2,IF(CZ194=0,(CY194+CX194)/2,FLOOR(((CX194+CY194+CZ194)/3),0.1))))))))</f>
        <v/>
      </c>
      <c r="DB194" s="21" t="n"/>
      <c r="DC194" s="21" t="n"/>
      <c r="DD194" s="27">
        <f>SUM(DB194:DC194)</f>
        <v/>
      </c>
      <c r="DE194" s="28" t="n"/>
      <c r="DF194" s="31" t="n"/>
      <c r="DG194" s="29">
        <f>IF(AND(DD194=0,DE194=0,DF194=0),0,IF(AND(DD194=0,DE194=0),DF194/1,IF(AND(DD194=0,DF194=0),DE194/1,IF(AND(DE194=0,DF194=0),DD194/1,IF(DD194=0,FLOOR((DE194+DF194)/2,0.1),IF(DE194=0,(DD194+DF194)/2,IF(DF194=0,(DE194+DD194)/2,FLOOR(((DD194+DE194+DF194)/3),0.1))))))))</f>
        <v/>
      </c>
      <c r="DH194" s="34">
        <f>SUM(O194,U194,AA194,AG194,AM194,AS194,AY194,BE194,BK194,BQ194,BW194,CC194,CI194,CO194,CU194,DA194,DG194)</f>
        <v/>
      </c>
      <c r="DI194" s="39">
        <f>RANK(DH194,DH$4:DH$503)</f>
        <v/>
      </c>
      <c r="DJ194" s="40" t="inlineStr">
        <is>
          <t>CHOOSE RATING</t>
        </is>
      </c>
      <c r="DK194" s="40" t="inlineStr">
        <is>
          <t>CHOOSE RATING</t>
        </is>
      </c>
      <c r="DL194" s="40" t="inlineStr">
        <is>
          <t>CHOOSE RATING</t>
        </is>
      </c>
      <c r="DM194" s="40" t="inlineStr">
        <is>
          <t>CHOOSE RATING</t>
        </is>
      </c>
      <c r="DN194" s="40" t="inlineStr">
        <is>
          <t>CHOOSE RATING</t>
        </is>
      </c>
      <c r="DO194" s="40" t="inlineStr">
        <is>
          <t>CHOOSE RATING</t>
        </is>
      </c>
      <c r="DP194" s="40" t="inlineStr">
        <is>
          <t>CHOOSE RATING</t>
        </is>
      </c>
      <c r="DQ194" s="40" t="inlineStr">
        <is>
          <t>CHOOSE RATING</t>
        </is>
      </c>
      <c r="DR194" s="43" t="inlineStr">
        <is>
          <t>2024/2025</t>
        </is>
      </c>
      <c r="DS194" s="45" t="inlineStr">
        <is>
          <t>THIRD</t>
        </is>
      </c>
      <c r="DT194" s="40" t="inlineStr">
        <is>
          <t>CHOOSE RATING</t>
        </is>
      </c>
      <c r="DU194" s="40" t="inlineStr">
        <is>
          <t>CHOOSE RATING</t>
        </is>
      </c>
      <c r="DV194" s="40" t="inlineStr">
        <is>
          <t>CHOOSE RATING</t>
        </is>
      </c>
      <c r="DW194" s="40" t="inlineStr">
        <is>
          <t>CHOOSE RATING</t>
        </is>
      </c>
      <c r="DX194" s="40" t="inlineStr">
        <is>
          <t>CHOOSE RATING</t>
        </is>
      </c>
      <c r="DY194" s="40" t="inlineStr">
        <is>
          <t>CHOOSE RATING</t>
        </is>
      </c>
      <c r="DZ194" s="53" t="inlineStr">
        <is>
          <t>CHOOSE RATING</t>
        </is>
      </c>
      <c r="EA194" s="54" t="inlineStr">
        <is>
          <t>Add the Tutor's Comment . . .</t>
        </is>
      </c>
      <c r="EB194" s="55" t="inlineStr">
        <is>
          <t>Choose Principals comment</t>
        </is>
      </c>
      <c r="EC194" s="56" t="n"/>
      <c r="ED194" s="57" t="inlineStr">
        <is>
          <t>Next Term Begins on Monday, 22nd September, 2025</t>
        </is>
      </c>
    </row>
    <row r="195" ht="30.6" customHeight="1" s="6">
      <c r="A195" s="18" t="n">
        <v>192</v>
      </c>
      <c r="B195" s="19" t="n"/>
      <c r="C195" s="20" t="n"/>
      <c r="D195" s="128" t="n"/>
      <c r="E195" s="21" t="n"/>
      <c r="F195" s="22" t="n"/>
      <c r="G195" s="22" t="n"/>
      <c r="H195" s="22" t="n"/>
      <c r="I195" s="26">
        <f>G195-H195</f>
        <v/>
      </c>
      <c r="J195" s="21" t="n"/>
      <c r="K195" s="21" t="n"/>
      <c r="L195" s="27">
        <f>SUM(J195:K195)</f>
        <v/>
      </c>
      <c r="M195" s="28" t="n"/>
      <c r="N195" s="28" t="n"/>
      <c r="O195" s="29">
        <f>IF(AND(L195=0,M195=0,N195=0),0,IF(AND(L195=0,M195=0),N195/1,IF(AND(L195=0,N195=0),M195/1,IF(AND(M195=0,N195=0),L195/1,IF(L195=0,FLOOR((M195+N195)/2,0.1),IF(M195=0,(L195+N195)/2,IF(N195=0,(M195+L195)/2,FLOOR(((L195+M195+N195)/3),0.1))))))))</f>
        <v/>
      </c>
      <c r="P195" s="21" t="n"/>
      <c r="Q195" s="21" t="n"/>
      <c r="R195" s="27">
        <f>SUM(P195:Q195)</f>
        <v/>
      </c>
      <c r="S195" s="28" t="n"/>
      <c r="T195" s="28" t="n"/>
      <c r="U195" s="29">
        <f>IF(AND(R195=0,S195=0,T195=0),0,IF(AND(R195=0,S195=0),T195/1,IF(AND(R195=0,T195=0),S195/1,IF(AND(S195=0,T195=0),R195/1,IF(R195=0,FLOOR((S195+T195)/2,0.1),IF(S195=0,(R195+T195)/2,IF(T195=0,(S195+R195)/2,FLOOR(((R195+S195+T195)/3),0.1))))))))</f>
        <v/>
      </c>
      <c r="V195" s="21" t="n"/>
      <c r="W195" s="21" t="n"/>
      <c r="X195" s="27">
        <f>SUM(V195:W195)</f>
        <v/>
      </c>
      <c r="Y195" s="28" t="n"/>
      <c r="Z195" s="28" t="n"/>
      <c r="AA195" s="29">
        <f>IF(AND(X195=0,Y195=0,Z195=0),0,IF(AND(X195=0,Y195=0),Z195/1,IF(AND(X195=0,Z195=0),Y195/1,IF(AND(Y195=0,Z195=0),X195/1,IF(X195=0,FLOOR((Y195+Z195)/2,0.1),IF(Y195=0,(X195+Z195)/2,IF(Z195=0,(Y195+X195)/2,FLOOR(((X195+Y195+Z195)/3),0.1))))))))</f>
        <v/>
      </c>
      <c r="AB195" s="21" t="n"/>
      <c r="AC195" s="21" t="n"/>
      <c r="AD195" s="27">
        <f>SUM(AB195:AC195)</f>
        <v/>
      </c>
      <c r="AE195" s="28" t="n"/>
      <c r="AF195" s="28" t="n"/>
      <c r="AG195" s="29">
        <f>IF(AND(AD195=0,AE195=0,AF195=0),0,IF(AND(AD195=0,AE195=0),AF195/1,IF(AND(AD195=0,AF195=0),AE195/1,IF(AND(AE195=0,AF195=0),AD195/1,IF(AD195=0,FLOOR((AE195+AF195)/2,0.1),IF(AE195=0,(AD195+AF195)/2,IF(AF195=0,(AE195+AD195)/2,FLOOR(((AD195+AE195+AF195)/3),0.1))))))))</f>
        <v/>
      </c>
      <c r="AH195" s="21" t="n"/>
      <c r="AI195" s="21" t="n"/>
      <c r="AJ195" s="27">
        <f>SUM(AH195:AI195)</f>
        <v/>
      </c>
      <c r="AK195" s="28" t="n"/>
      <c r="AL195" s="28" t="n"/>
      <c r="AM195" s="29">
        <f>IF(AND(AJ195=0,AK195=0,AL195=0),0,IF(AND(AJ195=0,AK195=0),AL195/1,IF(AND(AJ195=0,AL195=0),AK195/1,IF(AND(AK195=0,AL195=0),AJ195/1,IF(AJ195=0,FLOOR((AK195+AL195)/2,0.1),IF(AK195=0,(AJ195+AL195)/2,IF(AL195=0,(AK195+AJ195)/2,FLOOR(((AJ195+AK195+AL195)/3),0.1))))))))</f>
        <v/>
      </c>
      <c r="AN195" s="21" t="n"/>
      <c r="AO195" s="21" t="n"/>
      <c r="AP195" s="27">
        <f>SUM(AN195:AO195)</f>
        <v/>
      </c>
      <c r="AQ195" s="28" t="n"/>
      <c r="AR195" s="30" t="n"/>
      <c r="AS195" s="29">
        <f>IF(AND(AP195=0,AQ195=0,AR195=0),0,IF(AND(AP195=0,AQ195=0),AR195/1,IF(AND(AP195=0,AR195=0),AQ195/1,IF(AND(AQ195=0,AR195=0),AP195/1,IF(AP195=0,FLOOR((AQ195+AR195)/2,0.1),IF(AQ195=0,(AP195+AR195)/2,IF(AR195=0,(AQ195+AP195)/2,FLOOR(((AP195+AQ195+AR195)/3),0.1))))))))</f>
        <v/>
      </c>
      <c r="AT195" s="21" t="n"/>
      <c r="AU195" s="21" t="n"/>
      <c r="AV195" s="27">
        <f>SUM(AT195:AU195)</f>
        <v/>
      </c>
      <c r="AW195" s="28" t="n"/>
      <c r="AX195" s="30" t="n"/>
      <c r="AY195" s="29">
        <f>IF(AND(AV195=0,AW195=0,AX195=0),0,IF(AND(AV195=0,AW195=0),AX195/1,IF(AND(AV195=0,AX195=0),AW195/1,IF(AND(AW195=0,AX195=0),AV195/1,IF(AV195=0,FLOOR((AW195+AX195)/2,0.1),IF(AW195=0,(AV195+AX195)/2,IF(AX195=0,(AW195+AV195)/2,FLOOR(((AV195+AW195+AX195)/3),0.1))))))))</f>
        <v/>
      </c>
      <c r="AZ195" s="21" t="n"/>
      <c r="BA195" s="21" t="n"/>
      <c r="BB195" s="27">
        <f>SUM(AZ195:BA195)</f>
        <v/>
      </c>
      <c r="BC195" s="28" t="n"/>
      <c r="BD195" s="28" t="n"/>
      <c r="BE195" s="29">
        <f>IF(AND(BB195=0,BC195=0,BD195=0),0,IF(AND(BB195=0,BC195=0),BD195/1,IF(AND(BB195=0,BD195=0),BC195/1,IF(AND(BC195=0,BD195=0),BB195/1,IF(BB195=0,FLOOR((BC195+BD195)/2,0.1),IF(BC195=0,(BB195+BD195)/2,IF(BD195=0,(BC195+BB195)/2,FLOOR(((BB195+BC195+BD195)/3),0.1))))))))</f>
        <v/>
      </c>
      <c r="BF195" s="21" t="n"/>
      <c r="BG195" s="21" t="n"/>
      <c r="BH195" s="27">
        <f>SUM(BF195:BG195)</f>
        <v/>
      </c>
      <c r="BI195" s="28" t="n"/>
      <c r="BJ195" s="28" t="n"/>
      <c r="BK195" s="29">
        <f>IF(AND(BH195=0,BI195=0,BJ195=0),0,IF(AND(BH195=0,BI195=0),BJ195/1,IF(AND(BH195=0,BJ195=0),BI195/1,IF(AND(BI195=0,BJ195=0),BH195/1,IF(BH195=0,FLOOR((BI195+BJ195)/2,0.1),IF(BI195=0,(BH195+BJ195)/2,IF(BJ195=0,(BI195+BH195)/2,FLOOR(((BH195+BI195+BJ195)/3),0.1))))))))</f>
        <v/>
      </c>
      <c r="BL195" s="21" t="n"/>
      <c r="BM195" s="21" t="n"/>
      <c r="BN195" s="27">
        <f>SUM(BL195:BM195)</f>
        <v/>
      </c>
      <c r="BO195" s="28" t="n"/>
      <c r="BP195" s="31" t="n"/>
      <c r="BQ195" s="29">
        <f>IF(AND(BN195=0,BO195=0,BP195=0),0,IF(AND(BN195=0,BO195=0),BP195/1,IF(AND(BN195=0,BP195=0),BO195/1,IF(AND(BO195=0,BP195=0),BN195/1,IF(BN195=0,FLOOR((BO195+BP195)/2,0.1),IF(BO195=0,(BN195+BP195)/2,IF(BP195=0,(BO195+BN195)/2,FLOOR(((BN195+BO195+BP195)/3),0.1))))))))</f>
        <v/>
      </c>
      <c r="BR195" s="21" t="n"/>
      <c r="BS195" s="21" t="n"/>
      <c r="BT195" s="27">
        <f>SUM(BR195:BS195)</f>
        <v/>
      </c>
      <c r="BU195" s="28" t="n"/>
      <c r="BV195" s="31" t="n"/>
      <c r="BW195" s="29">
        <f>IF(AND(BT195=0,BU195=0,BV195=0),0,IF(AND(BT195=0,BU195=0),BV195/1,IF(AND(BT195=0,BV195=0),BU195/1,IF(AND(BU195=0,BV195=0),BT195/1,IF(BT195=0,FLOOR((BU195+BV195)/2,0.1),IF(BU195=0,(BT195+BV195)/2,IF(BV195=0,(BU195+BT195)/2,FLOOR(((BT195+BU195+BV195)/3),0.1))))))))</f>
        <v/>
      </c>
      <c r="BX195" s="21" t="n"/>
      <c r="BY195" s="21" t="n"/>
      <c r="BZ195" s="27">
        <f>SUM(BX195:BY195)</f>
        <v/>
      </c>
      <c r="CA195" s="28" t="n"/>
      <c r="CB195" s="31" t="n"/>
      <c r="CC195" s="29">
        <f>IF(AND(BZ195=0,CA195=0,CB195=0),0,IF(AND(BZ195=0,CA195=0),CB195/1,IF(AND(BZ195=0,CB195=0),CA195/1,IF(AND(CA195=0,CB195=0),BZ195/1,IF(BZ195=0,FLOOR((CA195+CB195)/2,0.1),IF(CA195=0,(BZ195+CB195)/2,IF(CB195=0,(CA195+BZ195)/2,FLOOR(((BZ195+CA195+CB195)/3),0.1))))))))</f>
        <v/>
      </c>
      <c r="CD195" s="21" t="n"/>
      <c r="CE195" s="21" t="n"/>
      <c r="CF195" s="27">
        <f>SUM(CD195:CE195)</f>
        <v/>
      </c>
      <c r="CG195" s="28" t="n"/>
      <c r="CH195" s="31" t="n"/>
      <c r="CI195" s="29">
        <f>IF(AND(CF195=0,CG195=0,CH195=0),0,IF(AND(CF195=0,CG195=0),CH195/1,IF(AND(CF195=0,CH195=0),CG195/1,IF(AND(CG195=0,CH195=0),CF195/1,IF(CF195=0,FLOOR((CG195+CH195)/2,0.1),IF(CG195=0,(CF195+CH195)/2,IF(CH195=0,(CG195+CF195)/2,FLOOR(((CF195+CG195+CH195)/3),0.1))))))))</f>
        <v/>
      </c>
      <c r="CJ195" s="21" t="n"/>
      <c r="CK195" s="21" t="n"/>
      <c r="CL195" s="27">
        <f>SUM(CJ195:CK195)</f>
        <v/>
      </c>
      <c r="CM195" s="28" t="n"/>
      <c r="CN195" s="31" t="n"/>
      <c r="CO195" s="29">
        <f>IF(AND(CL195=0,CM195=0,CN195=0),0,IF(AND(CL195=0,CM195=0),CN195/1,IF(AND(CL195=0,CN195=0),CM195/1,IF(AND(CM195=0,CN195=0),CL195/1,IF(CL195=0,FLOOR((CM195+CN195)/2,0.1),IF(CM195=0,(CL195+CN195)/2,IF(CN195=0,(CM195+CL195)/2,FLOOR(((CL195+CM195+CN195)/3),0.1))))))))</f>
        <v/>
      </c>
      <c r="CP195" s="21" t="n"/>
      <c r="CQ195" s="21" t="n"/>
      <c r="CR195" s="27">
        <f>SUM(CP195:CQ195)</f>
        <v/>
      </c>
      <c r="CS195" s="28" t="n"/>
      <c r="CT195" s="31" t="n"/>
      <c r="CU195" s="29">
        <f>IF(AND(CR195=0,CS195=0,CT195=0),0,IF(AND(CR195=0,CS195=0),CT195/1,IF(AND(CR195=0,CT195=0),CS195/1,IF(AND(CS195=0,CT195=0),CR195/1,IF(CR195=0,FLOOR((CS195+CT195)/2,0.1),IF(CS195=0,(CR195+CT195)/2,IF(CT195=0,(CS195+CR195)/2,FLOOR(((CR195+CS195+CT195)/3),0.1))))))))</f>
        <v/>
      </c>
      <c r="CV195" s="21" t="n"/>
      <c r="CW195" s="21" t="n"/>
      <c r="CX195" s="27">
        <f>SUM(CV195:CW195)</f>
        <v/>
      </c>
      <c r="CY195" s="28" t="n"/>
      <c r="CZ195" s="31" t="n"/>
      <c r="DA195" s="29">
        <f>IF(AND(CX195=0,CY195=0,CZ195=0),0,IF(AND(CX195=0,CY195=0),CZ195/1,IF(AND(CX195=0,CZ195=0),CY195/1,IF(AND(CY195=0,CZ195=0),CX195/1,IF(CX195=0,FLOOR((CY195+CZ195)/2,0.1),IF(CY195=0,(CX195+CZ195)/2,IF(CZ195=0,(CY195+CX195)/2,FLOOR(((CX195+CY195+CZ195)/3),0.1))))))))</f>
        <v/>
      </c>
      <c r="DB195" s="21" t="n"/>
      <c r="DC195" s="21" t="n"/>
      <c r="DD195" s="27">
        <f>SUM(DB195:DC195)</f>
        <v/>
      </c>
      <c r="DE195" s="28" t="n"/>
      <c r="DF195" s="31" t="n"/>
      <c r="DG195" s="29">
        <f>IF(AND(DD195=0,DE195=0,DF195=0),0,IF(AND(DD195=0,DE195=0),DF195/1,IF(AND(DD195=0,DF195=0),DE195/1,IF(AND(DE195=0,DF195=0),DD195/1,IF(DD195=0,FLOOR((DE195+DF195)/2,0.1),IF(DE195=0,(DD195+DF195)/2,IF(DF195=0,(DE195+DD195)/2,FLOOR(((DD195+DE195+DF195)/3),0.1))))))))</f>
        <v/>
      </c>
      <c r="DH195" s="34">
        <f>SUM(O195,U195,AA195,AG195,AM195,AS195,AY195,BE195,BK195,BQ195,BW195,CC195,CI195,CO195,CU195,DA195,DG195)</f>
        <v/>
      </c>
      <c r="DI195" s="39">
        <f>RANK(DH195,DH$4:DH$503)</f>
        <v/>
      </c>
      <c r="DJ195" s="40" t="inlineStr">
        <is>
          <t>CHOOSE RATING</t>
        </is>
      </c>
      <c r="DK195" s="40" t="inlineStr">
        <is>
          <t>CHOOSE RATING</t>
        </is>
      </c>
      <c r="DL195" s="40" t="inlineStr">
        <is>
          <t>CHOOSE RATING</t>
        </is>
      </c>
      <c r="DM195" s="40" t="inlineStr">
        <is>
          <t>CHOOSE RATING</t>
        </is>
      </c>
      <c r="DN195" s="40" t="inlineStr">
        <is>
          <t>CHOOSE RATING</t>
        </is>
      </c>
      <c r="DO195" s="40" t="inlineStr">
        <is>
          <t>CHOOSE RATING</t>
        </is>
      </c>
      <c r="DP195" s="40" t="inlineStr">
        <is>
          <t>CHOOSE RATING</t>
        </is>
      </c>
      <c r="DQ195" s="40" t="inlineStr">
        <is>
          <t>CHOOSE RATING</t>
        </is>
      </c>
      <c r="DR195" s="43" t="inlineStr">
        <is>
          <t>2024/2025</t>
        </is>
      </c>
      <c r="DS195" s="45" t="inlineStr">
        <is>
          <t>THIRD</t>
        </is>
      </c>
      <c r="DT195" s="40" t="inlineStr">
        <is>
          <t>CHOOSE RATING</t>
        </is>
      </c>
      <c r="DU195" s="40" t="inlineStr">
        <is>
          <t>CHOOSE RATING</t>
        </is>
      </c>
      <c r="DV195" s="40" t="inlineStr">
        <is>
          <t>CHOOSE RATING</t>
        </is>
      </c>
      <c r="DW195" s="40" t="inlineStr">
        <is>
          <t>CHOOSE RATING</t>
        </is>
      </c>
      <c r="DX195" s="40" t="inlineStr">
        <is>
          <t>CHOOSE RATING</t>
        </is>
      </c>
      <c r="DY195" s="40" t="inlineStr">
        <is>
          <t>CHOOSE RATING</t>
        </is>
      </c>
      <c r="DZ195" s="53" t="inlineStr">
        <is>
          <t>CHOOSE RATING</t>
        </is>
      </c>
      <c r="EA195" s="54" t="inlineStr">
        <is>
          <t>Add the Tutor's Comment . . .</t>
        </is>
      </c>
      <c r="EB195" s="55" t="inlineStr">
        <is>
          <t>Choose Principals comment</t>
        </is>
      </c>
      <c r="EC195" s="56" t="n"/>
      <c r="ED195" s="57" t="inlineStr">
        <is>
          <t>Next Term Begins on Monday, 22nd September, 2025</t>
        </is>
      </c>
    </row>
    <row r="196" ht="30.6" customHeight="1" s="6">
      <c r="A196" s="18" t="n">
        <v>193</v>
      </c>
      <c r="B196" s="19" t="n"/>
      <c r="C196" s="20" t="n"/>
      <c r="D196" s="128" t="n"/>
      <c r="E196" s="21" t="n"/>
      <c r="F196" s="22" t="n"/>
      <c r="G196" s="22" t="n"/>
      <c r="H196" s="22" t="n"/>
      <c r="I196" s="26">
        <f>G196-H196</f>
        <v/>
      </c>
      <c r="J196" s="21" t="n"/>
      <c r="K196" s="21" t="n"/>
      <c r="L196" s="27">
        <f>SUM(J196:K196)</f>
        <v/>
      </c>
      <c r="M196" s="28" t="n"/>
      <c r="N196" s="28" t="n"/>
      <c r="O196" s="29">
        <f>IF(AND(L196=0,M196=0,N196=0),0,IF(AND(L196=0,M196=0),N196/1,IF(AND(L196=0,N196=0),M196/1,IF(AND(M196=0,N196=0),L196/1,IF(L196=0,FLOOR((M196+N196)/2,0.1),IF(M196=0,(L196+N196)/2,IF(N196=0,(M196+L196)/2,FLOOR(((L196+M196+N196)/3),0.1))))))))</f>
        <v/>
      </c>
      <c r="P196" s="21" t="n"/>
      <c r="Q196" s="21" t="n"/>
      <c r="R196" s="27">
        <f>SUM(P196:Q196)</f>
        <v/>
      </c>
      <c r="S196" s="28" t="n"/>
      <c r="T196" s="28" t="n"/>
      <c r="U196" s="29">
        <f>IF(AND(R196=0,S196=0,T196=0),0,IF(AND(R196=0,S196=0),T196/1,IF(AND(R196=0,T196=0),S196/1,IF(AND(S196=0,T196=0),R196/1,IF(R196=0,FLOOR((S196+T196)/2,0.1),IF(S196=0,(R196+T196)/2,IF(T196=0,(S196+R196)/2,FLOOR(((R196+S196+T196)/3),0.1))))))))</f>
        <v/>
      </c>
      <c r="V196" s="21" t="n"/>
      <c r="W196" s="21" t="n"/>
      <c r="X196" s="27">
        <f>SUM(V196:W196)</f>
        <v/>
      </c>
      <c r="Y196" s="28" t="n"/>
      <c r="Z196" s="28" t="n"/>
      <c r="AA196" s="29">
        <f>IF(AND(X196=0,Y196=0,Z196=0),0,IF(AND(X196=0,Y196=0),Z196/1,IF(AND(X196=0,Z196=0),Y196/1,IF(AND(Y196=0,Z196=0),X196/1,IF(X196=0,FLOOR((Y196+Z196)/2,0.1),IF(Y196=0,(X196+Z196)/2,IF(Z196=0,(Y196+X196)/2,FLOOR(((X196+Y196+Z196)/3),0.1))))))))</f>
        <v/>
      </c>
      <c r="AB196" s="21" t="n"/>
      <c r="AC196" s="21" t="n"/>
      <c r="AD196" s="27">
        <f>SUM(AB196:AC196)</f>
        <v/>
      </c>
      <c r="AE196" s="28" t="n"/>
      <c r="AF196" s="28" t="n"/>
      <c r="AG196" s="29">
        <f>IF(AND(AD196=0,AE196=0,AF196=0),0,IF(AND(AD196=0,AE196=0),AF196/1,IF(AND(AD196=0,AF196=0),AE196/1,IF(AND(AE196=0,AF196=0),AD196/1,IF(AD196=0,FLOOR((AE196+AF196)/2,0.1),IF(AE196=0,(AD196+AF196)/2,IF(AF196=0,(AE196+AD196)/2,FLOOR(((AD196+AE196+AF196)/3),0.1))))))))</f>
        <v/>
      </c>
      <c r="AH196" s="21" t="n"/>
      <c r="AI196" s="21" t="n"/>
      <c r="AJ196" s="27">
        <f>SUM(AH196:AI196)</f>
        <v/>
      </c>
      <c r="AK196" s="28" t="n"/>
      <c r="AL196" s="28" t="n"/>
      <c r="AM196" s="29">
        <f>IF(AND(AJ196=0,AK196=0,AL196=0),0,IF(AND(AJ196=0,AK196=0),AL196/1,IF(AND(AJ196=0,AL196=0),AK196/1,IF(AND(AK196=0,AL196=0),AJ196/1,IF(AJ196=0,FLOOR((AK196+AL196)/2,0.1),IF(AK196=0,(AJ196+AL196)/2,IF(AL196=0,(AK196+AJ196)/2,FLOOR(((AJ196+AK196+AL196)/3),0.1))))))))</f>
        <v/>
      </c>
      <c r="AN196" s="21" t="n"/>
      <c r="AO196" s="21" t="n"/>
      <c r="AP196" s="27">
        <f>SUM(AN196:AO196)</f>
        <v/>
      </c>
      <c r="AQ196" s="28" t="n"/>
      <c r="AR196" s="30" t="n"/>
      <c r="AS196" s="29">
        <f>IF(AND(AP196=0,AQ196=0,AR196=0),0,IF(AND(AP196=0,AQ196=0),AR196/1,IF(AND(AP196=0,AR196=0),AQ196/1,IF(AND(AQ196=0,AR196=0),AP196/1,IF(AP196=0,FLOOR((AQ196+AR196)/2,0.1),IF(AQ196=0,(AP196+AR196)/2,IF(AR196=0,(AQ196+AP196)/2,FLOOR(((AP196+AQ196+AR196)/3),0.1))))))))</f>
        <v/>
      </c>
      <c r="AT196" s="21" t="n"/>
      <c r="AU196" s="21" t="n"/>
      <c r="AV196" s="27">
        <f>SUM(AT196:AU196)</f>
        <v/>
      </c>
      <c r="AW196" s="28" t="n"/>
      <c r="AX196" s="30" t="n"/>
      <c r="AY196" s="29">
        <f>IF(AND(AV196=0,AW196=0,AX196=0),0,IF(AND(AV196=0,AW196=0),AX196/1,IF(AND(AV196=0,AX196=0),AW196/1,IF(AND(AW196=0,AX196=0),AV196/1,IF(AV196=0,FLOOR((AW196+AX196)/2,0.1),IF(AW196=0,(AV196+AX196)/2,IF(AX196=0,(AW196+AV196)/2,FLOOR(((AV196+AW196+AX196)/3),0.1))))))))</f>
        <v/>
      </c>
      <c r="AZ196" s="21" t="n"/>
      <c r="BA196" s="21" t="n"/>
      <c r="BB196" s="27">
        <f>SUM(AZ196:BA196)</f>
        <v/>
      </c>
      <c r="BC196" s="28" t="n"/>
      <c r="BD196" s="28" t="n"/>
      <c r="BE196" s="29">
        <f>IF(AND(BB196=0,BC196=0,BD196=0),0,IF(AND(BB196=0,BC196=0),BD196/1,IF(AND(BB196=0,BD196=0),BC196/1,IF(AND(BC196=0,BD196=0),BB196/1,IF(BB196=0,FLOOR((BC196+BD196)/2,0.1),IF(BC196=0,(BB196+BD196)/2,IF(BD196=0,(BC196+BB196)/2,FLOOR(((BB196+BC196+BD196)/3),0.1))))))))</f>
        <v/>
      </c>
      <c r="BF196" s="21" t="n"/>
      <c r="BG196" s="21" t="n"/>
      <c r="BH196" s="27">
        <f>SUM(BF196:BG196)</f>
        <v/>
      </c>
      <c r="BI196" s="28" t="n"/>
      <c r="BJ196" s="28" t="n"/>
      <c r="BK196" s="29">
        <f>IF(AND(BH196=0,BI196=0,BJ196=0),0,IF(AND(BH196=0,BI196=0),BJ196/1,IF(AND(BH196=0,BJ196=0),BI196/1,IF(AND(BI196=0,BJ196=0),BH196/1,IF(BH196=0,FLOOR((BI196+BJ196)/2,0.1),IF(BI196=0,(BH196+BJ196)/2,IF(BJ196=0,(BI196+BH196)/2,FLOOR(((BH196+BI196+BJ196)/3),0.1))))))))</f>
        <v/>
      </c>
      <c r="BL196" s="21" t="n"/>
      <c r="BM196" s="21" t="n"/>
      <c r="BN196" s="27">
        <f>SUM(BL196:BM196)</f>
        <v/>
      </c>
      <c r="BO196" s="28" t="n"/>
      <c r="BP196" s="31" t="n"/>
      <c r="BQ196" s="29">
        <f>IF(AND(BN196=0,BO196=0,BP196=0),0,IF(AND(BN196=0,BO196=0),BP196/1,IF(AND(BN196=0,BP196=0),BO196/1,IF(AND(BO196=0,BP196=0),BN196/1,IF(BN196=0,FLOOR((BO196+BP196)/2,0.1),IF(BO196=0,(BN196+BP196)/2,IF(BP196=0,(BO196+BN196)/2,FLOOR(((BN196+BO196+BP196)/3),0.1))))))))</f>
        <v/>
      </c>
      <c r="BR196" s="21" t="n"/>
      <c r="BS196" s="21" t="n"/>
      <c r="BT196" s="27">
        <f>SUM(BR196:BS196)</f>
        <v/>
      </c>
      <c r="BU196" s="28" t="n"/>
      <c r="BV196" s="31" t="n"/>
      <c r="BW196" s="29">
        <f>IF(AND(BT196=0,BU196=0,BV196=0),0,IF(AND(BT196=0,BU196=0),BV196/1,IF(AND(BT196=0,BV196=0),BU196/1,IF(AND(BU196=0,BV196=0),BT196/1,IF(BT196=0,FLOOR((BU196+BV196)/2,0.1),IF(BU196=0,(BT196+BV196)/2,IF(BV196=0,(BU196+BT196)/2,FLOOR(((BT196+BU196+BV196)/3),0.1))))))))</f>
        <v/>
      </c>
      <c r="BX196" s="21" t="n"/>
      <c r="BY196" s="21" t="n"/>
      <c r="BZ196" s="27">
        <f>SUM(BX196:BY196)</f>
        <v/>
      </c>
      <c r="CA196" s="28" t="n"/>
      <c r="CB196" s="31" t="n"/>
      <c r="CC196" s="29">
        <f>IF(AND(BZ196=0,CA196=0,CB196=0),0,IF(AND(BZ196=0,CA196=0),CB196/1,IF(AND(BZ196=0,CB196=0),CA196/1,IF(AND(CA196=0,CB196=0),BZ196/1,IF(BZ196=0,FLOOR((CA196+CB196)/2,0.1),IF(CA196=0,(BZ196+CB196)/2,IF(CB196=0,(CA196+BZ196)/2,FLOOR(((BZ196+CA196+CB196)/3),0.1))))))))</f>
        <v/>
      </c>
      <c r="CD196" s="21" t="n"/>
      <c r="CE196" s="21" t="n"/>
      <c r="CF196" s="27">
        <f>SUM(CD196:CE196)</f>
        <v/>
      </c>
      <c r="CG196" s="28" t="n"/>
      <c r="CH196" s="31" t="n"/>
      <c r="CI196" s="29">
        <f>IF(AND(CF196=0,CG196=0,CH196=0),0,IF(AND(CF196=0,CG196=0),CH196/1,IF(AND(CF196=0,CH196=0),CG196/1,IF(AND(CG196=0,CH196=0),CF196/1,IF(CF196=0,FLOOR((CG196+CH196)/2,0.1),IF(CG196=0,(CF196+CH196)/2,IF(CH196=0,(CG196+CF196)/2,FLOOR(((CF196+CG196+CH196)/3),0.1))))))))</f>
        <v/>
      </c>
      <c r="CJ196" s="21" t="n"/>
      <c r="CK196" s="21" t="n"/>
      <c r="CL196" s="27">
        <f>SUM(CJ196:CK196)</f>
        <v/>
      </c>
      <c r="CM196" s="28" t="n"/>
      <c r="CN196" s="31" t="n"/>
      <c r="CO196" s="29">
        <f>IF(AND(CL196=0,CM196=0,CN196=0),0,IF(AND(CL196=0,CM196=0),CN196/1,IF(AND(CL196=0,CN196=0),CM196/1,IF(AND(CM196=0,CN196=0),CL196/1,IF(CL196=0,FLOOR((CM196+CN196)/2,0.1),IF(CM196=0,(CL196+CN196)/2,IF(CN196=0,(CM196+CL196)/2,FLOOR(((CL196+CM196+CN196)/3),0.1))))))))</f>
        <v/>
      </c>
      <c r="CP196" s="21" t="n"/>
      <c r="CQ196" s="21" t="n"/>
      <c r="CR196" s="27">
        <f>SUM(CP196:CQ196)</f>
        <v/>
      </c>
      <c r="CS196" s="28" t="n"/>
      <c r="CT196" s="31" t="n"/>
      <c r="CU196" s="29">
        <f>IF(AND(CR196=0,CS196=0,CT196=0),0,IF(AND(CR196=0,CS196=0),CT196/1,IF(AND(CR196=0,CT196=0),CS196/1,IF(AND(CS196=0,CT196=0),CR196/1,IF(CR196=0,FLOOR((CS196+CT196)/2,0.1),IF(CS196=0,(CR196+CT196)/2,IF(CT196=0,(CS196+CR196)/2,FLOOR(((CR196+CS196+CT196)/3),0.1))))))))</f>
        <v/>
      </c>
      <c r="CV196" s="21" t="n"/>
      <c r="CW196" s="21" t="n"/>
      <c r="CX196" s="27">
        <f>SUM(CV196:CW196)</f>
        <v/>
      </c>
      <c r="CY196" s="28" t="n"/>
      <c r="CZ196" s="31" t="n"/>
      <c r="DA196" s="29">
        <f>IF(AND(CX196=0,CY196=0,CZ196=0),0,IF(AND(CX196=0,CY196=0),CZ196/1,IF(AND(CX196=0,CZ196=0),CY196/1,IF(AND(CY196=0,CZ196=0),CX196/1,IF(CX196=0,FLOOR((CY196+CZ196)/2,0.1),IF(CY196=0,(CX196+CZ196)/2,IF(CZ196=0,(CY196+CX196)/2,FLOOR(((CX196+CY196+CZ196)/3),0.1))))))))</f>
        <v/>
      </c>
      <c r="DB196" s="21" t="n"/>
      <c r="DC196" s="21" t="n"/>
      <c r="DD196" s="27">
        <f>SUM(DB196:DC196)</f>
        <v/>
      </c>
      <c r="DE196" s="28" t="n"/>
      <c r="DF196" s="31" t="n"/>
      <c r="DG196" s="29">
        <f>IF(AND(DD196=0,DE196=0,DF196=0),0,IF(AND(DD196=0,DE196=0),DF196/1,IF(AND(DD196=0,DF196=0),DE196/1,IF(AND(DE196=0,DF196=0),DD196/1,IF(DD196=0,FLOOR((DE196+DF196)/2,0.1),IF(DE196=0,(DD196+DF196)/2,IF(DF196=0,(DE196+DD196)/2,FLOOR(((DD196+DE196+DF196)/3),0.1))))))))</f>
        <v/>
      </c>
      <c r="DH196" s="34">
        <f>SUM(O196,U196,AA196,AG196,AM196,AS196,AY196,BE196,BK196,BQ196,BW196,CC196,CI196,CO196,CU196,DA196,DG196)</f>
        <v/>
      </c>
      <c r="DI196" s="39">
        <f>RANK(DH196,DH$4:DH$503)</f>
        <v/>
      </c>
      <c r="DJ196" s="40" t="inlineStr">
        <is>
          <t>CHOOSE RATING</t>
        </is>
      </c>
      <c r="DK196" s="40" t="inlineStr">
        <is>
          <t>CHOOSE RATING</t>
        </is>
      </c>
      <c r="DL196" s="40" t="inlineStr">
        <is>
          <t>CHOOSE RATING</t>
        </is>
      </c>
      <c r="DM196" s="40" t="inlineStr">
        <is>
          <t>CHOOSE RATING</t>
        </is>
      </c>
      <c r="DN196" s="40" t="inlineStr">
        <is>
          <t>CHOOSE RATING</t>
        </is>
      </c>
      <c r="DO196" s="40" t="inlineStr">
        <is>
          <t>CHOOSE RATING</t>
        </is>
      </c>
      <c r="DP196" s="40" t="inlineStr">
        <is>
          <t>CHOOSE RATING</t>
        </is>
      </c>
      <c r="DQ196" s="40" t="inlineStr">
        <is>
          <t>CHOOSE RATING</t>
        </is>
      </c>
      <c r="DR196" s="43" t="inlineStr">
        <is>
          <t>2024/2025</t>
        </is>
      </c>
      <c r="DS196" s="45" t="inlineStr">
        <is>
          <t>THIRD</t>
        </is>
      </c>
      <c r="DT196" s="40" t="inlineStr">
        <is>
          <t>CHOOSE RATING</t>
        </is>
      </c>
      <c r="DU196" s="40" t="inlineStr">
        <is>
          <t>CHOOSE RATING</t>
        </is>
      </c>
      <c r="DV196" s="40" t="inlineStr">
        <is>
          <t>CHOOSE RATING</t>
        </is>
      </c>
      <c r="DW196" s="40" t="inlineStr">
        <is>
          <t>CHOOSE RATING</t>
        </is>
      </c>
      <c r="DX196" s="40" t="inlineStr">
        <is>
          <t>CHOOSE RATING</t>
        </is>
      </c>
      <c r="DY196" s="40" t="inlineStr">
        <is>
          <t>CHOOSE RATING</t>
        </is>
      </c>
      <c r="DZ196" s="53" t="inlineStr">
        <is>
          <t>CHOOSE RATING</t>
        </is>
      </c>
      <c r="EA196" s="54" t="inlineStr">
        <is>
          <t>Add the Tutor's Comment . . .</t>
        </is>
      </c>
      <c r="EB196" s="55" t="inlineStr">
        <is>
          <t>Choose Principals comment</t>
        </is>
      </c>
      <c r="EC196" s="56" t="n"/>
      <c r="ED196" s="57" t="inlineStr">
        <is>
          <t>Next Term Begins on Monday, 22nd September, 2025</t>
        </is>
      </c>
    </row>
    <row r="197" ht="30.6" customHeight="1" s="6">
      <c r="A197" s="18" t="n">
        <v>194</v>
      </c>
      <c r="B197" s="19" t="n"/>
      <c r="C197" s="20" t="n"/>
      <c r="D197" s="128" t="n"/>
      <c r="E197" s="21" t="n"/>
      <c r="F197" s="22" t="n"/>
      <c r="G197" s="22" t="n"/>
      <c r="H197" s="22" t="n"/>
      <c r="I197" s="26">
        <f>G197-H197</f>
        <v/>
      </c>
      <c r="J197" s="21" t="n"/>
      <c r="K197" s="21" t="n"/>
      <c r="L197" s="27">
        <f>SUM(J197:K197)</f>
        <v/>
      </c>
      <c r="M197" s="28" t="n"/>
      <c r="N197" s="28" t="n"/>
      <c r="O197" s="29">
        <f>IF(AND(L197=0,M197=0,N197=0),0,IF(AND(L197=0,M197=0),N197/1,IF(AND(L197=0,N197=0),M197/1,IF(AND(M197=0,N197=0),L197/1,IF(L197=0,FLOOR((M197+N197)/2,0.1),IF(M197=0,(L197+N197)/2,IF(N197=0,(M197+L197)/2,FLOOR(((L197+M197+N197)/3),0.1))))))))</f>
        <v/>
      </c>
      <c r="P197" s="21" t="n"/>
      <c r="Q197" s="21" t="n"/>
      <c r="R197" s="27">
        <f>SUM(P197:Q197)</f>
        <v/>
      </c>
      <c r="S197" s="28" t="n"/>
      <c r="T197" s="28" t="n"/>
      <c r="U197" s="29">
        <f>IF(AND(R197=0,S197=0,T197=0),0,IF(AND(R197=0,S197=0),T197/1,IF(AND(R197=0,T197=0),S197/1,IF(AND(S197=0,T197=0),R197/1,IF(R197=0,FLOOR((S197+T197)/2,0.1),IF(S197=0,(R197+T197)/2,IF(T197=0,(S197+R197)/2,FLOOR(((R197+S197+T197)/3),0.1))))))))</f>
        <v/>
      </c>
      <c r="V197" s="21" t="n"/>
      <c r="W197" s="21" t="n"/>
      <c r="X197" s="27">
        <f>SUM(V197:W197)</f>
        <v/>
      </c>
      <c r="Y197" s="28" t="n"/>
      <c r="Z197" s="28" t="n"/>
      <c r="AA197" s="29">
        <f>IF(AND(X197=0,Y197=0,Z197=0),0,IF(AND(X197=0,Y197=0),Z197/1,IF(AND(X197=0,Z197=0),Y197/1,IF(AND(Y197=0,Z197=0),X197/1,IF(X197=0,FLOOR((Y197+Z197)/2,0.1),IF(Y197=0,(X197+Z197)/2,IF(Z197=0,(Y197+X197)/2,FLOOR(((X197+Y197+Z197)/3),0.1))))))))</f>
        <v/>
      </c>
      <c r="AB197" s="21" t="n"/>
      <c r="AC197" s="21" t="n"/>
      <c r="AD197" s="27">
        <f>SUM(AB197:AC197)</f>
        <v/>
      </c>
      <c r="AE197" s="28" t="n"/>
      <c r="AF197" s="28" t="n"/>
      <c r="AG197" s="29">
        <f>IF(AND(AD197=0,AE197=0,AF197=0),0,IF(AND(AD197=0,AE197=0),AF197/1,IF(AND(AD197=0,AF197=0),AE197/1,IF(AND(AE197=0,AF197=0),AD197/1,IF(AD197=0,FLOOR((AE197+AF197)/2,0.1),IF(AE197=0,(AD197+AF197)/2,IF(AF197=0,(AE197+AD197)/2,FLOOR(((AD197+AE197+AF197)/3),0.1))))))))</f>
        <v/>
      </c>
      <c r="AH197" s="21" t="n"/>
      <c r="AI197" s="21" t="n"/>
      <c r="AJ197" s="27">
        <f>SUM(AH197:AI197)</f>
        <v/>
      </c>
      <c r="AK197" s="28" t="n"/>
      <c r="AL197" s="28" t="n"/>
      <c r="AM197" s="29">
        <f>IF(AND(AJ197=0,AK197=0,AL197=0),0,IF(AND(AJ197=0,AK197=0),AL197/1,IF(AND(AJ197=0,AL197=0),AK197/1,IF(AND(AK197=0,AL197=0),AJ197/1,IF(AJ197=0,FLOOR((AK197+AL197)/2,0.1),IF(AK197=0,(AJ197+AL197)/2,IF(AL197=0,(AK197+AJ197)/2,FLOOR(((AJ197+AK197+AL197)/3),0.1))))))))</f>
        <v/>
      </c>
      <c r="AN197" s="21" t="n"/>
      <c r="AO197" s="21" t="n"/>
      <c r="AP197" s="27">
        <f>SUM(AN197:AO197)</f>
        <v/>
      </c>
      <c r="AQ197" s="28" t="n"/>
      <c r="AR197" s="30" t="n"/>
      <c r="AS197" s="29">
        <f>IF(AND(AP197=0,AQ197=0,AR197=0),0,IF(AND(AP197=0,AQ197=0),AR197/1,IF(AND(AP197=0,AR197=0),AQ197/1,IF(AND(AQ197=0,AR197=0),AP197/1,IF(AP197=0,FLOOR((AQ197+AR197)/2,0.1),IF(AQ197=0,(AP197+AR197)/2,IF(AR197=0,(AQ197+AP197)/2,FLOOR(((AP197+AQ197+AR197)/3),0.1))))))))</f>
        <v/>
      </c>
      <c r="AT197" s="21" t="n"/>
      <c r="AU197" s="21" t="n"/>
      <c r="AV197" s="27">
        <f>SUM(AT197:AU197)</f>
        <v/>
      </c>
      <c r="AW197" s="28" t="n"/>
      <c r="AX197" s="30" t="n"/>
      <c r="AY197" s="29">
        <f>IF(AND(AV197=0,AW197=0,AX197=0),0,IF(AND(AV197=0,AW197=0),AX197/1,IF(AND(AV197=0,AX197=0),AW197/1,IF(AND(AW197=0,AX197=0),AV197/1,IF(AV197=0,FLOOR((AW197+AX197)/2,0.1),IF(AW197=0,(AV197+AX197)/2,IF(AX197=0,(AW197+AV197)/2,FLOOR(((AV197+AW197+AX197)/3),0.1))))))))</f>
        <v/>
      </c>
      <c r="AZ197" s="21" t="n"/>
      <c r="BA197" s="21" t="n"/>
      <c r="BB197" s="27">
        <f>SUM(AZ197:BA197)</f>
        <v/>
      </c>
      <c r="BC197" s="28" t="n"/>
      <c r="BD197" s="28" t="n"/>
      <c r="BE197" s="29">
        <f>IF(AND(BB197=0,BC197=0,BD197=0),0,IF(AND(BB197=0,BC197=0),BD197/1,IF(AND(BB197=0,BD197=0),BC197/1,IF(AND(BC197=0,BD197=0),BB197/1,IF(BB197=0,FLOOR((BC197+BD197)/2,0.1),IF(BC197=0,(BB197+BD197)/2,IF(BD197=0,(BC197+BB197)/2,FLOOR(((BB197+BC197+BD197)/3),0.1))))))))</f>
        <v/>
      </c>
      <c r="BF197" s="21" t="n"/>
      <c r="BG197" s="21" t="n"/>
      <c r="BH197" s="27">
        <f>SUM(BF197:BG197)</f>
        <v/>
      </c>
      <c r="BI197" s="28" t="n"/>
      <c r="BJ197" s="28" t="n"/>
      <c r="BK197" s="29">
        <f>IF(AND(BH197=0,BI197=0,BJ197=0),0,IF(AND(BH197=0,BI197=0),BJ197/1,IF(AND(BH197=0,BJ197=0),BI197/1,IF(AND(BI197=0,BJ197=0),BH197/1,IF(BH197=0,FLOOR((BI197+BJ197)/2,0.1),IF(BI197=0,(BH197+BJ197)/2,IF(BJ197=0,(BI197+BH197)/2,FLOOR(((BH197+BI197+BJ197)/3),0.1))))))))</f>
        <v/>
      </c>
      <c r="BL197" s="21" t="n"/>
      <c r="BM197" s="21" t="n"/>
      <c r="BN197" s="27">
        <f>SUM(BL197:BM197)</f>
        <v/>
      </c>
      <c r="BO197" s="28" t="n"/>
      <c r="BP197" s="31" t="n"/>
      <c r="BQ197" s="29">
        <f>IF(AND(BN197=0,BO197=0,BP197=0),0,IF(AND(BN197=0,BO197=0),BP197/1,IF(AND(BN197=0,BP197=0),BO197/1,IF(AND(BO197=0,BP197=0),BN197/1,IF(BN197=0,FLOOR((BO197+BP197)/2,0.1),IF(BO197=0,(BN197+BP197)/2,IF(BP197=0,(BO197+BN197)/2,FLOOR(((BN197+BO197+BP197)/3),0.1))))))))</f>
        <v/>
      </c>
      <c r="BR197" s="21" t="n"/>
      <c r="BS197" s="21" t="n"/>
      <c r="BT197" s="27">
        <f>SUM(BR197:BS197)</f>
        <v/>
      </c>
      <c r="BU197" s="28" t="n"/>
      <c r="BV197" s="31" t="n"/>
      <c r="BW197" s="29">
        <f>IF(AND(BT197=0,BU197=0,BV197=0),0,IF(AND(BT197=0,BU197=0),BV197/1,IF(AND(BT197=0,BV197=0),BU197/1,IF(AND(BU197=0,BV197=0),BT197/1,IF(BT197=0,FLOOR((BU197+BV197)/2,0.1),IF(BU197=0,(BT197+BV197)/2,IF(BV197=0,(BU197+BT197)/2,FLOOR(((BT197+BU197+BV197)/3),0.1))))))))</f>
        <v/>
      </c>
      <c r="BX197" s="21" t="n"/>
      <c r="BY197" s="21" t="n"/>
      <c r="BZ197" s="27">
        <f>SUM(BX197:BY197)</f>
        <v/>
      </c>
      <c r="CA197" s="28" t="n"/>
      <c r="CB197" s="31" t="n"/>
      <c r="CC197" s="29">
        <f>IF(AND(BZ197=0,CA197=0,CB197=0),0,IF(AND(BZ197=0,CA197=0),CB197/1,IF(AND(BZ197=0,CB197=0),CA197/1,IF(AND(CA197=0,CB197=0),BZ197/1,IF(BZ197=0,FLOOR((CA197+CB197)/2,0.1),IF(CA197=0,(BZ197+CB197)/2,IF(CB197=0,(CA197+BZ197)/2,FLOOR(((BZ197+CA197+CB197)/3),0.1))))))))</f>
        <v/>
      </c>
      <c r="CD197" s="21" t="n"/>
      <c r="CE197" s="21" t="n"/>
      <c r="CF197" s="27">
        <f>SUM(CD197:CE197)</f>
        <v/>
      </c>
      <c r="CG197" s="28" t="n"/>
      <c r="CH197" s="31" t="n"/>
      <c r="CI197" s="29">
        <f>IF(AND(CF197=0,CG197=0,CH197=0),0,IF(AND(CF197=0,CG197=0),CH197/1,IF(AND(CF197=0,CH197=0),CG197/1,IF(AND(CG197=0,CH197=0),CF197/1,IF(CF197=0,FLOOR((CG197+CH197)/2,0.1),IF(CG197=0,(CF197+CH197)/2,IF(CH197=0,(CG197+CF197)/2,FLOOR(((CF197+CG197+CH197)/3),0.1))))))))</f>
        <v/>
      </c>
      <c r="CJ197" s="21" t="n"/>
      <c r="CK197" s="21" t="n"/>
      <c r="CL197" s="27">
        <f>SUM(CJ197:CK197)</f>
        <v/>
      </c>
      <c r="CM197" s="28" t="n"/>
      <c r="CN197" s="31" t="n"/>
      <c r="CO197" s="29">
        <f>IF(AND(CL197=0,CM197=0,CN197=0),0,IF(AND(CL197=0,CM197=0),CN197/1,IF(AND(CL197=0,CN197=0),CM197/1,IF(AND(CM197=0,CN197=0),CL197/1,IF(CL197=0,FLOOR((CM197+CN197)/2,0.1),IF(CM197=0,(CL197+CN197)/2,IF(CN197=0,(CM197+CL197)/2,FLOOR(((CL197+CM197+CN197)/3),0.1))))))))</f>
        <v/>
      </c>
      <c r="CP197" s="21" t="n"/>
      <c r="CQ197" s="21" t="n"/>
      <c r="CR197" s="27">
        <f>SUM(CP197:CQ197)</f>
        <v/>
      </c>
      <c r="CS197" s="28" t="n"/>
      <c r="CT197" s="31" t="n"/>
      <c r="CU197" s="29">
        <f>IF(AND(CR197=0,CS197=0,CT197=0),0,IF(AND(CR197=0,CS197=0),CT197/1,IF(AND(CR197=0,CT197=0),CS197/1,IF(AND(CS197=0,CT197=0),CR197/1,IF(CR197=0,FLOOR((CS197+CT197)/2,0.1),IF(CS197=0,(CR197+CT197)/2,IF(CT197=0,(CS197+CR197)/2,FLOOR(((CR197+CS197+CT197)/3),0.1))))))))</f>
        <v/>
      </c>
      <c r="CV197" s="21" t="n"/>
      <c r="CW197" s="21" t="n"/>
      <c r="CX197" s="27">
        <f>SUM(CV197:CW197)</f>
        <v/>
      </c>
      <c r="CY197" s="28" t="n"/>
      <c r="CZ197" s="31" t="n"/>
      <c r="DA197" s="29">
        <f>IF(AND(CX197=0,CY197=0,CZ197=0),0,IF(AND(CX197=0,CY197=0),CZ197/1,IF(AND(CX197=0,CZ197=0),CY197/1,IF(AND(CY197=0,CZ197=0),CX197/1,IF(CX197=0,FLOOR((CY197+CZ197)/2,0.1),IF(CY197=0,(CX197+CZ197)/2,IF(CZ197=0,(CY197+CX197)/2,FLOOR(((CX197+CY197+CZ197)/3),0.1))))))))</f>
        <v/>
      </c>
      <c r="DB197" s="21" t="n"/>
      <c r="DC197" s="21" t="n"/>
      <c r="DD197" s="27">
        <f>SUM(DB197:DC197)</f>
        <v/>
      </c>
      <c r="DE197" s="28" t="n"/>
      <c r="DF197" s="31" t="n"/>
      <c r="DG197" s="29">
        <f>IF(AND(DD197=0,DE197=0,DF197=0),0,IF(AND(DD197=0,DE197=0),DF197/1,IF(AND(DD197=0,DF197=0),DE197/1,IF(AND(DE197=0,DF197=0),DD197/1,IF(DD197=0,FLOOR((DE197+DF197)/2,0.1),IF(DE197=0,(DD197+DF197)/2,IF(DF197=0,(DE197+DD197)/2,FLOOR(((DD197+DE197+DF197)/3),0.1))))))))</f>
        <v/>
      </c>
      <c r="DH197" s="34">
        <f>SUM(O197,U197,AA197,AG197,AM197,AS197,AY197,BE197,BK197,BQ197,BW197,CC197,CI197,CO197,CU197,DA197,DG197)</f>
        <v/>
      </c>
      <c r="DI197" s="39">
        <f>RANK(DH197,DH$4:DH$503)</f>
        <v/>
      </c>
      <c r="DJ197" s="40" t="inlineStr">
        <is>
          <t>CHOOSE RATING</t>
        </is>
      </c>
      <c r="DK197" s="40" t="inlineStr">
        <is>
          <t>CHOOSE RATING</t>
        </is>
      </c>
      <c r="DL197" s="40" t="inlineStr">
        <is>
          <t>CHOOSE RATING</t>
        </is>
      </c>
      <c r="DM197" s="40" t="inlineStr">
        <is>
          <t>CHOOSE RATING</t>
        </is>
      </c>
      <c r="DN197" s="40" t="inlineStr">
        <is>
          <t>CHOOSE RATING</t>
        </is>
      </c>
      <c r="DO197" s="40" t="inlineStr">
        <is>
          <t>CHOOSE RATING</t>
        </is>
      </c>
      <c r="DP197" s="40" t="inlineStr">
        <is>
          <t>CHOOSE RATING</t>
        </is>
      </c>
      <c r="DQ197" s="40" t="inlineStr">
        <is>
          <t>CHOOSE RATING</t>
        </is>
      </c>
      <c r="DR197" s="43" t="inlineStr">
        <is>
          <t>2024/2025</t>
        </is>
      </c>
      <c r="DS197" s="45" t="inlineStr">
        <is>
          <t>THIRD</t>
        </is>
      </c>
      <c r="DT197" s="40" t="inlineStr">
        <is>
          <t>CHOOSE RATING</t>
        </is>
      </c>
      <c r="DU197" s="40" t="inlineStr">
        <is>
          <t>CHOOSE RATING</t>
        </is>
      </c>
      <c r="DV197" s="40" t="inlineStr">
        <is>
          <t>CHOOSE RATING</t>
        </is>
      </c>
      <c r="DW197" s="40" t="inlineStr">
        <is>
          <t>CHOOSE RATING</t>
        </is>
      </c>
      <c r="DX197" s="40" t="inlineStr">
        <is>
          <t>CHOOSE RATING</t>
        </is>
      </c>
      <c r="DY197" s="40" t="inlineStr">
        <is>
          <t>CHOOSE RATING</t>
        </is>
      </c>
      <c r="DZ197" s="53" t="inlineStr">
        <is>
          <t>CHOOSE RATING</t>
        </is>
      </c>
      <c r="EA197" s="54" t="inlineStr">
        <is>
          <t>Add the Tutor's Comment . . .</t>
        </is>
      </c>
      <c r="EB197" s="55" t="inlineStr">
        <is>
          <t>Choose Principals comment</t>
        </is>
      </c>
      <c r="EC197" s="56" t="n"/>
      <c r="ED197" s="57" t="inlineStr">
        <is>
          <t>Next Term Begins on Monday, 22nd September, 2025</t>
        </is>
      </c>
    </row>
    <row r="198" ht="30.6" customHeight="1" s="6">
      <c r="A198" s="18" t="n">
        <v>195</v>
      </c>
      <c r="B198" s="19" t="n"/>
      <c r="C198" s="20" t="n"/>
      <c r="D198" s="128" t="n"/>
      <c r="E198" s="21" t="n"/>
      <c r="F198" s="22" t="n"/>
      <c r="G198" s="22" t="n"/>
      <c r="H198" s="22" t="n"/>
      <c r="I198" s="26">
        <f>G198-H198</f>
        <v/>
      </c>
      <c r="J198" s="21" t="n"/>
      <c r="K198" s="21" t="n"/>
      <c r="L198" s="27">
        <f>SUM(J198:K198)</f>
        <v/>
      </c>
      <c r="M198" s="28" t="n"/>
      <c r="N198" s="28" t="n"/>
      <c r="O198" s="29">
        <f>IF(AND(L198=0,M198=0,N198=0),0,IF(AND(L198=0,M198=0),N198/1,IF(AND(L198=0,N198=0),M198/1,IF(AND(M198=0,N198=0),L198/1,IF(L198=0,FLOOR((M198+N198)/2,0.1),IF(M198=0,(L198+N198)/2,IF(N198=0,(M198+L198)/2,FLOOR(((L198+M198+N198)/3),0.1))))))))</f>
        <v/>
      </c>
      <c r="P198" s="21" t="n"/>
      <c r="Q198" s="21" t="n"/>
      <c r="R198" s="27">
        <f>SUM(P198:Q198)</f>
        <v/>
      </c>
      <c r="S198" s="28" t="n"/>
      <c r="T198" s="28" t="n"/>
      <c r="U198" s="29">
        <f>IF(AND(R198=0,S198=0,T198=0),0,IF(AND(R198=0,S198=0),T198/1,IF(AND(R198=0,T198=0),S198/1,IF(AND(S198=0,T198=0),R198/1,IF(R198=0,FLOOR((S198+T198)/2,0.1),IF(S198=0,(R198+T198)/2,IF(T198=0,(S198+R198)/2,FLOOR(((R198+S198+T198)/3),0.1))))))))</f>
        <v/>
      </c>
      <c r="V198" s="21" t="n"/>
      <c r="W198" s="21" t="n"/>
      <c r="X198" s="27">
        <f>SUM(V198:W198)</f>
        <v/>
      </c>
      <c r="Y198" s="28" t="n"/>
      <c r="Z198" s="28" t="n"/>
      <c r="AA198" s="29">
        <f>IF(AND(X198=0,Y198=0,Z198=0),0,IF(AND(X198=0,Y198=0),Z198/1,IF(AND(X198=0,Z198=0),Y198/1,IF(AND(Y198=0,Z198=0),X198/1,IF(X198=0,FLOOR((Y198+Z198)/2,0.1),IF(Y198=0,(X198+Z198)/2,IF(Z198=0,(Y198+X198)/2,FLOOR(((X198+Y198+Z198)/3),0.1))))))))</f>
        <v/>
      </c>
      <c r="AB198" s="21" t="n"/>
      <c r="AC198" s="21" t="n"/>
      <c r="AD198" s="27">
        <f>SUM(AB198:AC198)</f>
        <v/>
      </c>
      <c r="AE198" s="28" t="n"/>
      <c r="AF198" s="28" t="n"/>
      <c r="AG198" s="29">
        <f>IF(AND(AD198=0,AE198=0,AF198=0),0,IF(AND(AD198=0,AE198=0),AF198/1,IF(AND(AD198=0,AF198=0),AE198/1,IF(AND(AE198=0,AF198=0),AD198/1,IF(AD198=0,FLOOR((AE198+AF198)/2,0.1),IF(AE198=0,(AD198+AF198)/2,IF(AF198=0,(AE198+AD198)/2,FLOOR(((AD198+AE198+AF198)/3),0.1))))))))</f>
        <v/>
      </c>
      <c r="AH198" s="21" t="n"/>
      <c r="AI198" s="21" t="n"/>
      <c r="AJ198" s="27">
        <f>SUM(AH198:AI198)</f>
        <v/>
      </c>
      <c r="AK198" s="28" t="n"/>
      <c r="AL198" s="28" t="n"/>
      <c r="AM198" s="29">
        <f>IF(AND(AJ198=0,AK198=0,AL198=0),0,IF(AND(AJ198=0,AK198=0),AL198/1,IF(AND(AJ198=0,AL198=0),AK198/1,IF(AND(AK198=0,AL198=0),AJ198/1,IF(AJ198=0,FLOOR((AK198+AL198)/2,0.1),IF(AK198=0,(AJ198+AL198)/2,IF(AL198=0,(AK198+AJ198)/2,FLOOR(((AJ198+AK198+AL198)/3),0.1))))))))</f>
        <v/>
      </c>
      <c r="AN198" s="21" t="n"/>
      <c r="AO198" s="21" t="n"/>
      <c r="AP198" s="27">
        <f>SUM(AN198:AO198)</f>
        <v/>
      </c>
      <c r="AQ198" s="28" t="n"/>
      <c r="AR198" s="30" t="n"/>
      <c r="AS198" s="29">
        <f>IF(AND(AP198=0,AQ198=0,AR198=0),0,IF(AND(AP198=0,AQ198=0),AR198/1,IF(AND(AP198=0,AR198=0),AQ198/1,IF(AND(AQ198=0,AR198=0),AP198/1,IF(AP198=0,FLOOR((AQ198+AR198)/2,0.1),IF(AQ198=0,(AP198+AR198)/2,IF(AR198=0,(AQ198+AP198)/2,FLOOR(((AP198+AQ198+AR198)/3),0.1))))))))</f>
        <v/>
      </c>
      <c r="AT198" s="21" t="n"/>
      <c r="AU198" s="21" t="n"/>
      <c r="AV198" s="27">
        <f>SUM(AT198:AU198)</f>
        <v/>
      </c>
      <c r="AW198" s="28" t="n"/>
      <c r="AX198" s="30" t="n"/>
      <c r="AY198" s="29">
        <f>IF(AND(AV198=0,AW198=0,AX198=0),0,IF(AND(AV198=0,AW198=0),AX198/1,IF(AND(AV198=0,AX198=0),AW198/1,IF(AND(AW198=0,AX198=0),AV198/1,IF(AV198=0,FLOOR((AW198+AX198)/2,0.1),IF(AW198=0,(AV198+AX198)/2,IF(AX198=0,(AW198+AV198)/2,FLOOR(((AV198+AW198+AX198)/3),0.1))))))))</f>
        <v/>
      </c>
      <c r="AZ198" s="21" t="n"/>
      <c r="BA198" s="21" t="n"/>
      <c r="BB198" s="27">
        <f>SUM(AZ198:BA198)</f>
        <v/>
      </c>
      <c r="BC198" s="28" t="n"/>
      <c r="BD198" s="28" t="n"/>
      <c r="BE198" s="29">
        <f>IF(AND(BB198=0,BC198=0,BD198=0),0,IF(AND(BB198=0,BC198=0),BD198/1,IF(AND(BB198=0,BD198=0),BC198/1,IF(AND(BC198=0,BD198=0),BB198/1,IF(BB198=0,FLOOR((BC198+BD198)/2,0.1),IF(BC198=0,(BB198+BD198)/2,IF(BD198=0,(BC198+BB198)/2,FLOOR(((BB198+BC198+BD198)/3),0.1))))))))</f>
        <v/>
      </c>
      <c r="BF198" s="21" t="n"/>
      <c r="BG198" s="21" t="n"/>
      <c r="BH198" s="27">
        <f>SUM(BF198:BG198)</f>
        <v/>
      </c>
      <c r="BI198" s="28" t="n"/>
      <c r="BJ198" s="28" t="n"/>
      <c r="BK198" s="29">
        <f>IF(AND(BH198=0,BI198=0,BJ198=0),0,IF(AND(BH198=0,BI198=0),BJ198/1,IF(AND(BH198=0,BJ198=0),BI198/1,IF(AND(BI198=0,BJ198=0),BH198/1,IF(BH198=0,FLOOR((BI198+BJ198)/2,0.1),IF(BI198=0,(BH198+BJ198)/2,IF(BJ198=0,(BI198+BH198)/2,FLOOR(((BH198+BI198+BJ198)/3),0.1))))))))</f>
        <v/>
      </c>
      <c r="BL198" s="21" t="n"/>
      <c r="BM198" s="21" t="n"/>
      <c r="BN198" s="27">
        <f>SUM(BL198:BM198)</f>
        <v/>
      </c>
      <c r="BO198" s="28" t="n"/>
      <c r="BP198" s="31" t="n"/>
      <c r="BQ198" s="29">
        <f>IF(AND(BN198=0,BO198=0,BP198=0),0,IF(AND(BN198=0,BO198=0),BP198/1,IF(AND(BN198=0,BP198=0),BO198/1,IF(AND(BO198=0,BP198=0),BN198/1,IF(BN198=0,FLOOR((BO198+BP198)/2,0.1),IF(BO198=0,(BN198+BP198)/2,IF(BP198=0,(BO198+BN198)/2,FLOOR(((BN198+BO198+BP198)/3),0.1))))))))</f>
        <v/>
      </c>
      <c r="BR198" s="21" t="n"/>
      <c r="BS198" s="21" t="n"/>
      <c r="BT198" s="27">
        <f>SUM(BR198:BS198)</f>
        <v/>
      </c>
      <c r="BU198" s="28" t="n"/>
      <c r="BV198" s="31" t="n"/>
      <c r="BW198" s="29">
        <f>IF(AND(BT198=0,BU198=0,BV198=0),0,IF(AND(BT198=0,BU198=0),BV198/1,IF(AND(BT198=0,BV198=0),BU198/1,IF(AND(BU198=0,BV198=0),BT198/1,IF(BT198=0,FLOOR((BU198+BV198)/2,0.1),IF(BU198=0,(BT198+BV198)/2,IF(BV198=0,(BU198+BT198)/2,FLOOR(((BT198+BU198+BV198)/3),0.1))))))))</f>
        <v/>
      </c>
      <c r="BX198" s="21" t="n"/>
      <c r="BY198" s="21" t="n"/>
      <c r="BZ198" s="27">
        <f>SUM(BX198:BY198)</f>
        <v/>
      </c>
      <c r="CA198" s="28" t="n"/>
      <c r="CB198" s="31" t="n"/>
      <c r="CC198" s="29">
        <f>IF(AND(BZ198=0,CA198=0,CB198=0),0,IF(AND(BZ198=0,CA198=0),CB198/1,IF(AND(BZ198=0,CB198=0),CA198/1,IF(AND(CA198=0,CB198=0),BZ198/1,IF(BZ198=0,FLOOR((CA198+CB198)/2,0.1),IF(CA198=0,(BZ198+CB198)/2,IF(CB198=0,(CA198+BZ198)/2,FLOOR(((BZ198+CA198+CB198)/3),0.1))))))))</f>
        <v/>
      </c>
      <c r="CD198" s="21" t="n"/>
      <c r="CE198" s="21" t="n"/>
      <c r="CF198" s="27">
        <f>SUM(CD198:CE198)</f>
        <v/>
      </c>
      <c r="CG198" s="28" t="n"/>
      <c r="CH198" s="31" t="n"/>
      <c r="CI198" s="29">
        <f>IF(AND(CF198=0,CG198=0,CH198=0),0,IF(AND(CF198=0,CG198=0),CH198/1,IF(AND(CF198=0,CH198=0),CG198/1,IF(AND(CG198=0,CH198=0),CF198/1,IF(CF198=0,FLOOR((CG198+CH198)/2,0.1),IF(CG198=0,(CF198+CH198)/2,IF(CH198=0,(CG198+CF198)/2,FLOOR(((CF198+CG198+CH198)/3),0.1))))))))</f>
        <v/>
      </c>
      <c r="CJ198" s="21" t="n"/>
      <c r="CK198" s="21" t="n"/>
      <c r="CL198" s="27">
        <f>SUM(CJ198:CK198)</f>
        <v/>
      </c>
      <c r="CM198" s="28" t="n"/>
      <c r="CN198" s="31" t="n"/>
      <c r="CO198" s="29">
        <f>IF(AND(CL198=0,CM198=0,CN198=0),0,IF(AND(CL198=0,CM198=0),CN198/1,IF(AND(CL198=0,CN198=0),CM198/1,IF(AND(CM198=0,CN198=0),CL198/1,IF(CL198=0,FLOOR((CM198+CN198)/2,0.1),IF(CM198=0,(CL198+CN198)/2,IF(CN198=0,(CM198+CL198)/2,FLOOR(((CL198+CM198+CN198)/3),0.1))))))))</f>
        <v/>
      </c>
      <c r="CP198" s="21" t="n"/>
      <c r="CQ198" s="21" t="n"/>
      <c r="CR198" s="27">
        <f>SUM(CP198:CQ198)</f>
        <v/>
      </c>
      <c r="CS198" s="28" t="n"/>
      <c r="CT198" s="31" t="n"/>
      <c r="CU198" s="29">
        <f>IF(AND(CR198=0,CS198=0,CT198=0),0,IF(AND(CR198=0,CS198=0),CT198/1,IF(AND(CR198=0,CT198=0),CS198/1,IF(AND(CS198=0,CT198=0),CR198/1,IF(CR198=0,FLOOR((CS198+CT198)/2,0.1),IF(CS198=0,(CR198+CT198)/2,IF(CT198=0,(CS198+CR198)/2,FLOOR(((CR198+CS198+CT198)/3),0.1))))))))</f>
        <v/>
      </c>
      <c r="CV198" s="21" t="n"/>
      <c r="CW198" s="21" t="n"/>
      <c r="CX198" s="27">
        <f>SUM(CV198:CW198)</f>
        <v/>
      </c>
      <c r="CY198" s="28" t="n"/>
      <c r="CZ198" s="31" t="n"/>
      <c r="DA198" s="29">
        <f>IF(AND(CX198=0,CY198=0,CZ198=0),0,IF(AND(CX198=0,CY198=0),CZ198/1,IF(AND(CX198=0,CZ198=0),CY198/1,IF(AND(CY198=0,CZ198=0),CX198/1,IF(CX198=0,FLOOR((CY198+CZ198)/2,0.1),IF(CY198=0,(CX198+CZ198)/2,IF(CZ198=0,(CY198+CX198)/2,FLOOR(((CX198+CY198+CZ198)/3),0.1))))))))</f>
        <v/>
      </c>
      <c r="DB198" s="21" t="n"/>
      <c r="DC198" s="21" t="n"/>
      <c r="DD198" s="27">
        <f>SUM(DB198:DC198)</f>
        <v/>
      </c>
      <c r="DE198" s="28" t="n"/>
      <c r="DF198" s="31" t="n"/>
      <c r="DG198" s="29">
        <f>IF(AND(DD198=0,DE198=0,DF198=0),0,IF(AND(DD198=0,DE198=0),DF198/1,IF(AND(DD198=0,DF198=0),DE198/1,IF(AND(DE198=0,DF198=0),DD198/1,IF(DD198=0,FLOOR((DE198+DF198)/2,0.1),IF(DE198=0,(DD198+DF198)/2,IF(DF198=0,(DE198+DD198)/2,FLOOR(((DD198+DE198+DF198)/3),0.1))))))))</f>
        <v/>
      </c>
      <c r="DH198" s="34">
        <f>SUM(O198,U198,AA198,AG198,AM198,AS198,AY198,BE198,BK198,BQ198,BW198,CC198,CI198,CO198,CU198,DA198,DG198)</f>
        <v/>
      </c>
      <c r="DI198" s="39">
        <f>RANK(DH198,DH$4:DH$503)</f>
        <v/>
      </c>
      <c r="DJ198" s="40" t="inlineStr">
        <is>
          <t>CHOOSE RATING</t>
        </is>
      </c>
      <c r="DK198" s="40" t="inlineStr">
        <is>
          <t>CHOOSE RATING</t>
        </is>
      </c>
      <c r="DL198" s="40" t="inlineStr">
        <is>
          <t>CHOOSE RATING</t>
        </is>
      </c>
      <c r="DM198" s="40" t="inlineStr">
        <is>
          <t>CHOOSE RATING</t>
        </is>
      </c>
      <c r="DN198" s="40" t="inlineStr">
        <is>
          <t>CHOOSE RATING</t>
        </is>
      </c>
      <c r="DO198" s="40" t="inlineStr">
        <is>
          <t>CHOOSE RATING</t>
        </is>
      </c>
      <c r="DP198" s="40" t="inlineStr">
        <is>
          <t>CHOOSE RATING</t>
        </is>
      </c>
      <c r="DQ198" s="40" t="inlineStr">
        <is>
          <t>CHOOSE RATING</t>
        </is>
      </c>
      <c r="DR198" s="43" t="inlineStr">
        <is>
          <t>2024/2025</t>
        </is>
      </c>
      <c r="DS198" s="45" t="inlineStr">
        <is>
          <t>THIRD</t>
        </is>
      </c>
      <c r="DT198" s="40" t="inlineStr">
        <is>
          <t>CHOOSE RATING</t>
        </is>
      </c>
      <c r="DU198" s="40" t="inlineStr">
        <is>
          <t>CHOOSE RATING</t>
        </is>
      </c>
      <c r="DV198" s="40" t="inlineStr">
        <is>
          <t>CHOOSE RATING</t>
        </is>
      </c>
      <c r="DW198" s="40" t="inlineStr">
        <is>
          <t>CHOOSE RATING</t>
        </is>
      </c>
      <c r="DX198" s="40" t="inlineStr">
        <is>
          <t>CHOOSE RATING</t>
        </is>
      </c>
      <c r="DY198" s="40" t="inlineStr">
        <is>
          <t>CHOOSE RATING</t>
        </is>
      </c>
      <c r="DZ198" s="53" t="inlineStr">
        <is>
          <t>CHOOSE RATING</t>
        </is>
      </c>
      <c r="EA198" s="54" t="inlineStr">
        <is>
          <t>Add the Tutor's Comment . . .</t>
        </is>
      </c>
      <c r="EB198" s="55" t="inlineStr">
        <is>
          <t>Choose Principals comment</t>
        </is>
      </c>
      <c r="EC198" s="56" t="n"/>
      <c r="ED198" s="57" t="inlineStr">
        <is>
          <t>Next Term Begins on Monday, 22nd September, 2025</t>
        </is>
      </c>
    </row>
    <row r="199" ht="30.6" customHeight="1" s="6">
      <c r="A199" s="18" t="n">
        <v>196</v>
      </c>
      <c r="B199" s="19" t="n"/>
      <c r="C199" s="20" t="n"/>
      <c r="D199" s="128" t="n"/>
      <c r="E199" s="21" t="n"/>
      <c r="F199" s="22" t="n"/>
      <c r="G199" s="22" t="n"/>
      <c r="H199" s="22" t="n"/>
      <c r="I199" s="26">
        <f>G199-H199</f>
        <v/>
      </c>
      <c r="J199" s="21" t="n"/>
      <c r="K199" s="21" t="n"/>
      <c r="L199" s="27">
        <f>SUM(J199:K199)</f>
        <v/>
      </c>
      <c r="M199" s="28" t="n"/>
      <c r="N199" s="28" t="n"/>
      <c r="O199" s="29">
        <f>IF(AND(L199=0,M199=0,N199=0),0,IF(AND(L199=0,M199=0),N199/1,IF(AND(L199=0,N199=0),M199/1,IF(AND(M199=0,N199=0),L199/1,IF(L199=0,FLOOR((M199+N199)/2,0.1),IF(M199=0,(L199+N199)/2,IF(N199=0,(M199+L199)/2,FLOOR(((L199+M199+N199)/3),0.1))))))))</f>
        <v/>
      </c>
      <c r="P199" s="21" t="n"/>
      <c r="Q199" s="21" t="n"/>
      <c r="R199" s="27">
        <f>SUM(P199:Q199)</f>
        <v/>
      </c>
      <c r="S199" s="28" t="n"/>
      <c r="T199" s="28" t="n"/>
      <c r="U199" s="29">
        <f>IF(AND(R199=0,S199=0,T199=0),0,IF(AND(R199=0,S199=0),T199/1,IF(AND(R199=0,T199=0),S199/1,IF(AND(S199=0,T199=0),R199/1,IF(R199=0,FLOOR((S199+T199)/2,0.1),IF(S199=0,(R199+T199)/2,IF(T199=0,(S199+R199)/2,FLOOR(((R199+S199+T199)/3),0.1))))))))</f>
        <v/>
      </c>
      <c r="V199" s="21" t="n"/>
      <c r="W199" s="21" t="n"/>
      <c r="X199" s="27">
        <f>SUM(V199:W199)</f>
        <v/>
      </c>
      <c r="Y199" s="28" t="n"/>
      <c r="Z199" s="28" t="n"/>
      <c r="AA199" s="29">
        <f>IF(AND(X199=0,Y199=0,Z199=0),0,IF(AND(X199=0,Y199=0),Z199/1,IF(AND(X199=0,Z199=0),Y199/1,IF(AND(Y199=0,Z199=0),X199/1,IF(X199=0,FLOOR((Y199+Z199)/2,0.1),IF(Y199=0,(X199+Z199)/2,IF(Z199=0,(Y199+X199)/2,FLOOR(((X199+Y199+Z199)/3),0.1))))))))</f>
        <v/>
      </c>
      <c r="AB199" s="21" t="n"/>
      <c r="AC199" s="21" t="n"/>
      <c r="AD199" s="27">
        <f>SUM(AB199:AC199)</f>
        <v/>
      </c>
      <c r="AE199" s="28" t="n"/>
      <c r="AF199" s="28" t="n"/>
      <c r="AG199" s="29">
        <f>IF(AND(AD199=0,AE199=0,AF199=0),0,IF(AND(AD199=0,AE199=0),AF199/1,IF(AND(AD199=0,AF199=0),AE199/1,IF(AND(AE199=0,AF199=0),AD199/1,IF(AD199=0,FLOOR((AE199+AF199)/2,0.1),IF(AE199=0,(AD199+AF199)/2,IF(AF199=0,(AE199+AD199)/2,FLOOR(((AD199+AE199+AF199)/3),0.1))))))))</f>
        <v/>
      </c>
      <c r="AH199" s="21" t="n"/>
      <c r="AI199" s="21" t="n"/>
      <c r="AJ199" s="27">
        <f>SUM(AH199:AI199)</f>
        <v/>
      </c>
      <c r="AK199" s="28" t="n"/>
      <c r="AL199" s="28" t="n"/>
      <c r="AM199" s="29">
        <f>IF(AND(AJ199=0,AK199=0,AL199=0),0,IF(AND(AJ199=0,AK199=0),AL199/1,IF(AND(AJ199=0,AL199=0),AK199/1,IF(AND(AK199=0,AL199=0),AJ199/1,IF(AJ199=0,FLOOR((AK199+AL199)/2,0.1),IF(AK199=0,(AJ199+AL199)/2,IF(AL199=0,(AK199+AJ199)/2,FLOOR(((AJ199+AK199+AL199)/3),0.1))))))))</f>
        <v/>
      </c>
      <c r="AN199" s="21" t="n"/>
      <c r="AO199" s="21" t="n"/>
      <c r="AP199" s="27">
        <f>SUM(AN199:AO199)</f>
        <v/>
      </c>
      <c r="AQ199" s="28" t="n"/>
      <c r="AR199" s="30" t="n"/>
      <c r="AS199" s="29">
        <f>IF(AND(AP199=0,AQ199=0,AR199=0),0,IF(AND(AP199=0,AQ199=0),AR199/1,IF(AND(AP199=0,AR199=0),AQ199/1,IF(AND(AQ199=0,AR199=0),AP199/1,IF(AP199=0,FLOOR((AQ199+AR199)/2,0.1),IF(AQ199=0,(AP199+AR199)/2,IF(AR199=0,(AQ199+AP199)/2,FLOOR(((AP199+AQ199+AR199)/3),0.1))))))))</f>
        <v/>
      </c>
      <c r="AT199" s="21" t="n"/>
      <c r="AU199" s="21" t="n"/>
      <c r="AV199" s="27">
        <f>SUM(AT199:AU199)</f>
        <v/>
      </c>
      <c r="AW199" s="28" t="n"/>
      <c r="AX199" s="30" t="n"/>
      <c r="AY199" s="29">
        <f>IF(AND(AV199=0,AW199=0,AX199=0),0,IF(AND(AV199=0,AW199=0),AX199/1,IF(AND(AV199=0,AX199=0),AW199/1,IF(AND(AW199=0,AX199=0),AV199/1,IF(AV199=0,FLOOR((AW199+AX199)/2,0.1),IF(AW199=0,(AV199+AX199)/2,IF(AX199=0,(AW199+AV199)/2,FLOOR(((AV199+AW199+AX199)/3),0.1))))))))</f>
        <v/>
      </c>
      <c r="AZ199" s="21" t="n"/>
      <c r="BA199" s="21" t="n"/>
      <c r="BB199" s="27">
        <f>SUM(AZ199:BA199)</f>
        <v/>
      </c>
      <c r="BC199" s="28" t="n"/>
      <c r="BD199" s="28" t="n"/>
      <c r="BE199" s="29">
        <f>IF(AND(BB199=0,BC199=0,BD199=0),0,IF(AND(BB199=0,BC199=0),BD199/1,IF(AND(BB199=0,BD199=0),BC199/1,IF(AND(BC199=0,BD199=0),BB199/1,IF(BB199=0,FLOOR((BC199+BD199)/2,0.1),IF(BC199=0,(BB199+BD199)/2,IF(BD199=0,(BC199+BB199)/2,FLOOR(((BB199+BC199+BD199)/3),0.1))))))))</f>
        <v/>
      </c>
      <c r="BF199" s="21" t="n"/>
      <c r="BG199" s="21" t="n"/>
      <c r="BH199" s="27">
        <f>SUM(BF199:BG199)</f>
        <v/>
      </c>
      <c r="BI199" s="28" t="n"/>
      <c r="BJ199" s="28" t="n"/>
      <c r="BK199" s="29">
        <f>IF(AND(BH199=0,BI199=0,BJ199=0),0,IF(AND(BH199=0,BI199=0),BJ199/1,IF(AND(BH199=0,BJ199=0),BI199/1,IF(AND(BI199=0,BJ199=0),BH199/1,IF(BH199=0,FLOOR((BI199+BJ199)/2,0.1),IF(BI199=0,(BH199+BJ199)/2,IF(BJ199=0,(BI199+BH199)/2,FLOOR(((BH199+BI199+BJ199)/3),0.1))))))))</f>
        <v/>
      </c>
      <c r="BL199" s="21" t="n"/>
      <c r="BM199" s="21" t="n"/>
      <c r="BN199" s="27">
        <f>SUM(BL199:BM199)</f>
        <v/>
      </c>
      <c r="BO199" s="28" t="n"/>
      <c r="BP199" s="31" t="n"/>
      <c r="BQ199" s="29">
        <f>IF(AND(BN199=0,BO199=0,BP199=0),0,IF(AND(BN199=0,BO199=0),BP199/1,IF(AND(BN199=0,BP199=0),BO199/1,IF(AND(BO199=0,BP199=0),BN199/1,IF(BN199=0,FLOOR((BO199+BP199)/2,0.1),IF(BO199=0,(BN199+BP199)/2,IF(BP199=0,(BO199+BN199)/2,FLOOR(((BN199+BO199+BP199)/3),0.1))))))))</f>
        <v/>
      </c>
      <c r="BR199" s="21" t="n"/>
      <c r="BS199" s="21" t="n"/>
      <c r="BT199" s="27">
        <f>SUM(BR199:BS199)</f>
        <v/>
      </c>
      <c r="BU199" s="28" t="n"/>
      <c r="BV199" s="31" t="n"/>
      <c r="BW199" s="29">
        <f>IF(AND(BT199=0,BU199=0,BV199=0),0,IF(AND(BT199=0,BU199=0),BV199/1,IF(AND(BT199=0,BV199=0),BU199/1,IF(AND(BU199=0,BV199=0),BT199/1,IF(BT199=0,FLOOR((BU199+BV199)/2,0.1),IF(BU199=0,(BT199+BV199)/2,IF(BV199=0,(BU199+BT199)/2,FLOOR(((BT199+BU199+BV199)/3),0.1))))))))</f>
        <v/>
      </c>
      <c r="BX199" s="21" t="n"/>
      <c r="BY199" s="21" t="n"/>
      <c r="BZ199" s="27">
        <f>SUM(BX199:BY199)</f>
        <v/>
      </c>
      <c r="CA199" s="28" t="n"/>
      <c r="CB199" s="31" t="n"/>
      <c r="CC199" s="29">
        <f>IF(AND(BZ199=0,CA199=0,CB199=0),0,IF(AND(BZ199=0,CA199=0),CB199/1,IF(AND(BZ199=0,CB199=0),CA199/1,IF(AND(CA199=0,CB199=0),BZ199/1,IF(BZ199=0,FLOOR((CA199+CB199)/2,0.1),IF(CA199=0,(BZ199+CB199)/2,IF(CB199=0,(CA199+BZ199)/2,FLOOR(((BZ199+CA199+CB199)/3),0.1))))))))</f>
        <v/>
      </c>
      <c r="CD199" s="21" t="n"/>
      <c r="CE199" s="21" t="n"/>
      <c r="CF199" s="27">
        <f>SUM(CD199:CE199)</f>
        <v/>
      </c>
      <c r="CG199" s="28" t="n"/>
      <c r="CH199" s="31" t="n"/>
      <c r="CI199" s="29">
        <f>IF(AND(CF199=0,CG199=0,CH199=0),0,IF(AND(CF199=0,CG199=0),CH199/1,IF(AND(CF199=0,CH199=0),CG199/1,IF(AND(CG199=0,CH199=0),CF199/1,IF(CF199=0,FLOOR((CG199+CH199)/2,0.1),IF(CG199=0,(CF199+CH199)/2,IF(CH199=0,(CG199+CF199)/2,FLOOR(((CF199+CG199+CH199)/3),0.1))))))))</f>
        <v/>
      </c>
      <c r="CJ199" s="21" t="n"/>
      <c r="CK199" s="21" t="n"/>
      <c r="CL199" s="27">
        <f>SUM(CJ199:CK199)</f>
        <v/>
      </c>
      <c r="CM199" s="28" t="n"/>
      <c r="CN199" s="31" t="n"/>
      <c r="CO199" s="29">
        <f>IF(AND(CL199=0,CM199=0,CN199=0),0,IF(AND(CL199=0,CM199=0),CN199/1,IF(AND(CL199=0,CN199=0),CM199/1,IF(AND(CM199=0,CN199=0),CL199/1,IF(CL199=0,FLOOR((CM199+CN199)/2,0.1),IF(CM199=0,(CL199+CN199)/2,IF(CN199=0,(CM199+CL199)/2,FLOOR(((CL199+CM199+CN199)/3),0.1))))))))</f>
        <v/>
      </c>
      <c r="CP199" s="21" t="n"/>
      <c r="CQ199" s="21" t="n"/>
      <c r="CR199" s="27">
        <f>SUM(CP199:CQ199)</f>
        <v/>
      </c>
      <c r="CS199" s="28" t="n"/>
      <c r="CT199" s="31" t="n"/>
      <c r="CU199" s="29">
        <f>IF(AND(CR199=0,CS199=0,CT199=0),0,IF(AND(CR199=0,CS199=0),CT199/1,IF(AND(CR199=0,CT199=0),CS199/1,IF(AND(CS199=0,CT199=0),CR199/1,IF(CR199=0,FLOOR((CS199+CT199)/2,0.1),IF(CS199=0,(CR199+CT199)/2,IF(CT199=0,(CS199+CR199)/2,FLOOR(((CR199+CS199+CT199)/3),0.1))))))))</f>
        <v/>
      </c>
      <c r="CV199" s="21" t="n"/>
      <c r="CW199" s="21" t="n"/>
      <c r="CX199" s="27">
        <f>SUM(CV199:CW199)</f>
        <v/>
      </c>
      <c r="CY199" s="28" t="n"/>
      <c r="CZ199" s="31" t="n"/>
      <c r="DA199" s="29">
        <f>IF(AND(CX199=0,CY199=0,CZ199=0),0,IF(AND(CX199=0,CY199=0),CZ199/1,IF(AND(CX199=0,CZ199=0),CY199/1,IF(AND(CY199=0,CZ199=0),CX199/1,IF(CX199=0,FLOOR((CY199+CZ199)/2,0.1),IF(CY199=0,(CX199+CZ199)/2,IF(CZ199=0,(CY199+CX199)/2,FLOOR(((CX199+CY199+CZ199)/3),0.1))))))))</f>
        <v/>
      </c>
      <c r="DB199" s="21" t="n"/>
      <c r="DC199" s="21" t="n"/>
      <c r="DD199" s="27">
        <f>SUM(DB199:DC199)</f>
        <v/>
      </c>
      <c r="DE199" s="28" t="n"/>
      <c r="DF199" s="31" t="n"/>
      <c r="DG199" s="29">
        <f>IF(AND(DD199=0,DE199=0,DF199=0),0,IF(AND(DD199=0,DE199=0),DF199/1,IF(AND(DD199=0,DF199=0),DE199/1,IF(AND(DE199=0,DF199=0),DD199/1,IF(DD199=0,FLOOR((DE199+DF199)/2,0.1),IF(DE199=0,(DD199+DF199)/2,IF(DF199=0,(DE199+DD199)/2,FLOOR(((DD199+DE199+DF199)/3),0.1))))))))</f>
        <v/>
      </c>
      <c r="DH199" s="34">
        <f>SUM(O199,U199,AA199,AG199,AM199,AS199,AY199,BE199,BK199,BQ199,BW199,CC199,CI199,CO199,CU199,DA199,DG199)</f>
        <v/>
      </c>
      <c r="DI199" s="39">
        <f>RANK(DH199,DH$4:DH$503)</f>
        <v/>
      </c>
      <c r="DJ199" s="40" t="inlineStr">
        <is>
          <t>CHOOSE RATING</t>
        </is>
      </c>
      <c r="DK199" s="40" t="inlineStr">
        <is>
          <t>CHOOSE RATING</t>
        </is>
      </c>
      <c r="DL199" s="40" t="inlineStr">
        <is>
          <t>CHOOSE RATING</t>
        </is>
      </c>
      <c r="DM199" s="40" t="inlineStr">
        <is>
          <t>CHOOSE RATING</t>
        </is>
      </c>
      <c r="DN199" s="40" t="inlineStr">
        <is>
          <t>CHOOSE RATING</t>
        </is>
      </c>
      <c r="DO199" s="40" t="inlineStr">
        <is>
          <t>CHOOSE RATING</t>
        </is>
      </c>
      <c r="DP199" s="40" t="inlineStr">
        <is>
          <t>CHOOSE RATING</t>
        </is>
      </c>
      <c r="DQ199" s="40" t="inlineStr">
        <is>
          <t>CHOOSE RATING</t>
        </is>
      </c>
      <c r="DR199" s="43" t="inlineStr">
        <is>
          <t>2024/2025</t>
        </is>
      </c>
      <c r="DS199" s="45" t="inlineStr">
        <is>
          <t>THIRD</t>
        </is>
      </c>
      <c r="DT199" s="40" t="inlineStr">
        <is>
          <t>CHOOSE RATING</t>
        </is>
      </c>
      <c r="DU199" s="40" t="inlineStr">
        <is>
          <t>CHOOSE RATING</t>
        </is>
      </c>
      <c r="DV199" s="40" t="inlineStr">
        <is>
          <t>CHOOSE RATING</t>
        </is>
      </c>
      <c r="DW199" s="40" t="inlineStr">
        <is>
          <t>CHOOSE RATING</t>
        </is>
      </c>
      <c r="DX199" s="40" t="inlineStr">
        <is>
          <t>CHOOSE RATING</t>
        </is>
      </c>
      <c r="DY199" s="40" t="inlineStr">
        <is>
          <t>CHOOSE RATING</t>
        </is>
      </c>
      <c r="DZ199" s="53" t="inlineStr">
        <is>
          <t>CHOOSE RATING</t>
        </is>
      </c>
      <c r="EA199" s="54" t="inlineStr">
        <is>
          <t>Add the Tutor's Comment . . .</t>
        </is>
      </c>
      <c r="EB199" s="55" t="inlineStr">
        <is>
          <t>Choose Principals comment</t>
        </is>
      </c>
      <c r="EC199" s="56" t="n"/>
      <c r="ED199" s="57" t="inlineStr">
        <is>
          <t>Next Term Begins on Monday, 22nd September, 2025</t>
        </is>
      </c>
    </row>
    <row r="200" ht="30.6" customHeight="1" s="6">
      <c r="A200" s="18" t="n">
        <v>197</v>
      </c>
      <c r="B200" s="19" t="n"/>
      <c r="C200" s="20" t="n"/>
      <c r="D200" s="128" t="n"/>
      <c r="E200" s="21" t="n"/>
      <c r="F200" s="22" t="n"/>
      <c r="G200" s="22" t="n"/>
      <c r="H200" s="22" t="n"/>
      <c r="I200" s="26">
        <f>G200-H200</f>
        <v/>
      </c>
      <c r="J200" s="21" t="n"/>
      <c r="K200" s="21" t="n"/>
      <c r="L200" s="27">
        <f>SUM(J200:K200)</f>
        <v/>
      </c>
      <c r="M200" s="28" t="n"/>
      <c r="N200" s="28" t="n"/>
      <c r="O200" s="29">
        <f>IF(AND(L200=0,M200=0,N200=0),0,IF(AND(L200=0,M200=0),N200/1,IF(AND(L200=0,N200=0),M200/1,IF(AND(M200=0,N200=0),L200/1,IF(L200=0,FLOOR((M200+N200)/2,0.1),IF(M200=0,(L200+N200)/2,IF(N200=0,(M200+L200)/2,FLOOR(((L200+M200+N200)/3),0.1))))))))</f>
        <v/>
      </c>
      <c r="P200" s="21" t="n"/>
      <c r="Q200" s="21" t="n"/>
      <c r="R200" s="27">
        <f>SUM(P200:Q200)</f>
        <v/>
      </c>
      <c r="S200" s="28" t="n"/>
      <c r="T200" s="28" t="n"/>
      <c r="U200" s="29">
        <f>IF(AND(R200=0,S200=0,T200=0),0,IF(AND(R200=0,S200=0),T200/1,IF(AND(R200=0,T200=0),S200/1,IF(AND(S200=0,T200=0),R200/1,IF(R200=0,FLOOR((S200+T200)/2,0.1),IF(S200=0,(R200+T200)/2,IF(T200=0,(S200+R200)/2,FLOOR(((R200+S200+T200)/3),0.1))))))))</f>
        <v/>
      </c>
      <c r="V200" s="21" t="n"/>
      <c r="W200" s="21" t="n"/>
      <c r="X200" s="27">
        <f>SUM(V200:W200)</f>
        <v/>
      </c>
      <c r="Y200" s="28" t="n"/>
      <c r="Z200" s="28" t="n"/>
      <c r="AA200" s="29">
        <f>IF(AND(X200=0,Y200=0,Z200=0),0,IF(AND(X200=0,Y200=0),Z200/1,IF(AND(X200=0,Z200=0),Y200/1,IF(AND(Y200=0,Z200=0),X200/1,IF(X200=0,FLOOR((Y200+Z200)/2,0.1),IF(Y200=0,(X200+Z200)/2,IF(Z200=0,(Y200+X200)/2,FLOOR(((X200+Y200+Z200)/3),0.1))))))))</f>
        <v/>
      </c>
      <c r="AB200" s="21" t="n"/>
      <c r="AC200" s="21" t="n"/>
      <c r="AD200" s="27">
        <f>SUM(AB200:AC200)</f>
        <v/>
      </c>
      <c r="AE200" s="28" t="n"/>
      <c r="AF200" s="28" t="n"/>
      <c r="AG200" s="29">
        <f>IF(AND(AD200=0,AE200=0,AF200=0),0,IF(AND(AD200=0,AE200=0),AF200/1,IF(AND(AD200=0,AF200=0),AE200/1,IF(AND(AE200=0,AF200=0),AD200/1,IF(AD200=0,FLOOR((AE200+AF200)/2,0.1),IF(AE200=0,(AD200+AF200)/2,IF(AF200=0,(AE200+AD200)/2,FLOOR(((AD200+AE200+AF200)/3),0.1))))))))</f>
        <v/>
      </c>
      <c r="AH200" s="21" t="n"/>
      <c r="AI200" s="21" t="n"/>
      <c r="AJ200" s="27">
        <f>SUM(AH200:AI200)</f>
        <v/>
      </c>
      <c r="AK200" s="28" t="n"/>
      <c r="AL200" s="28" t="n"/>
      <c r="AM200" s="29">
        <f>IF(AND(AJ200=0,AK200=0,AL200=0),0,IF(AND(AJ200=0,AK200=0),AL200/1,IF(AND(AJ200=0,AL200=0),AK200/1,IF(AND(AK200=0,AL200=0),AJ200/1,IF(AJ200=0,FLOOR((AK200+AL200)/2,0.1),IF(AK200=0,(AJ200+AL200)/2,IF(AL200=0,(AK200+AJ200)/2,FLOOR(((AJ200+AK200+AL200)/3),0.1))))))))</f>
        <v/>
      </c>
      <c r="AN200" s="21" t="n"/>
      <c r="AO200" s="21" t="n"/>
      <c r="AP200" s="27">
        <f>SUM(AN200:AO200)</f>
        <v/>
      </c>
      <c r="AQ200" s="28" t="n"/>
      <c r="AR200" s="30" t="n"/>
      <c r="AS200" s="29">
        <f>IF(AND(AP200=0,AQ200=0,AR200=0),0,IF(AND(AP200=0,AQ200=0),AR200/1,IF(AND(AP200=0,AR200=0),AQ200/1,IF(AND(AQ200=0,AR200=0),AP200/1,IF(AP200=0,FLOOR((AQ200+AR200)/2,0.1),IF(AQ200=0,(AP200+AR200)/2,IF(AR200=0,(AQ200+AP200)/2,FLOOR(((AP200+AQ200+AR200)/3),0.1))))))))</f>
        <v/>
      </c>
      <c r="AT200" s="21" t="n"/>
      <c r="AU200" s="21" t="n"/>
      <c r="AV200" s="27">
        <f>SUM(AT200:AU200)</f>
        <v/>
      </c>
      <c r="AW200" s="28" t="n"/>
      <c r="AX200" s="30" t="n"/>
      <c r="AY200" s="29">
        <f>IF(AND(AV200=0,AW200=0,AX200=0),0,IF(AND(AV200=0,AW200=0),AX200/1,IF(AND(AV200=0,AX200=0),AW200/1,IF(AND(AW200=0,AX200=0),AV200/1,IF(AV200=0,FLOOR((AW200+AX200)/2,0.1),IF(AW200=0,(AV200+AX200)/2,IF(AX200=0,(AW200+AV200)/2,FLOOR(((AV200+AW200+AX200)/3),0.1))))))))</f>
        <v/>
      </c>
      <c r="AZ200" s="21" t="n"/>
      <c r="BA200" s="21" t="n"/>
      <c r="BB200" s="27">
        <f>SUM(AZ200:BA200)</f>
        <v/>
      </c>
      <c r="BC200" s="28" t="n"/>
      <c r="BD200" s="28" t="n"/>
      <c r="BE200" s="29">
        <f>IF(AND(BB200=0,BC200=0,BD200=0),0,IF(AND(BB200=0,BC200=0),BD200/1,IF(AND(BB200=0,BD200=0),BC200/1,IF(AND(BC200=0,BD200=0),BB200/1,IF(BB200=0,FLOOR((BC200+BD200)/2,0.1),IF(BC200=0,(BB200+BD200)/2,IF(BD200=0,(BC200+BB200)/2,FLOOR(((BB200+BC200+BD200)/3),0.1))))))))</f>
        <v/>
      </c>
      <c r="BF200" s="21" t="n"/>
      <c r="BG200" s="21" t="n"/>
      <c r="BH200" s="27">
        <f>SUM(BF200:BG200)</f>
        <v/>
      </c>
      <c r="BI200" s="28" t="n"/>
      <c r="BJ200" s="28" t="n"/>
      <c r="BK200" s="29">
        <f>IF(AND(BH200=0,BI200=0,BJ200=0),0,IF(AND(BH200=0,BI200=0),BJ200/1,IF(AND(BH200=0,BJ200=0),BI200/1,IF(AND(BI200=0,BJ200=0),BH200/1,IF(BH200=0,FLOOR((BI200+BJ200)/2,0.1),IF(BI200=0,(BH200+BJ200)/2,IF(BJ200=0,(BI200+BH200)/2,FLOOR(((BH200+BI200+BJ200)/3),0.1))))))))</f>
        <v/>
      </c>
      <c r="BL200" s="21" t="n"/>
      <c r="BM200" s="21" t="n"/>
      <c r="BN200" s="27">
        <f>SUM(BL200:BM200)</f>
        <v/>
      </c>
      <c r="BO200" s="28" t="n"/>
      <c r="BP200" s="31" t="n"/>
      <c r="BQ200" s="29">
        <f>IF(AND(BN200=0,BO200=0,BP200=0),0,IF(AND(BN200=0,BO200=0),BP200/1,IF(AND(BN200=0,BP200=0),BO200/1,IF(AND(BO200=0,BP200=0),BN200/1,IF(BN200=0,FLOOR((BO200+BP200)/2,0.1),IF(BO200=0,(BN200+BP200)/2,IF(BP200=0,(BO200+BN200)/2,FLOOR(((BN200+BO200+BP200)/3),0.1))))))))</f>
        <v/>
      </c>
      <c r="BR200" s="21" t="n"/>
      <c r="BS200" s="21" t="n"/>
      <c r="BT200" s="27">
        <f>SUM(BR200:BS200)</f>
        <v/>
      </c>
      <c r="BU200" s="28" t="n"/>
      <c r="BV200" s="31" t="n"/>
      <c r="BW200" s="29">
        <f>IF(AND(BT200=0,BU200=0,BV200=0),0,IF(AND(BT200=0,BU200=0),BV200/1,IF(AND(BT200=0,BV200=0),BU200/1,IF(AND(BU200=0,BV200=0),BT200/1,IF(BT200=0,FLOOR((BU200+BV200)/2,0.1),IF(BU200=0,(BT200+BV200)/2,IF(BV200=0,(BU200+BT200)/2,FLOOR(((BT200+BU200+BV200)/3),0.1))))))))</f>
        <v/>
      </c>
      <c r="BX200" s="21" t="n"/>
      <c r="BY200" s="21" t="n"/>
      <c r="BZ200" s="27">
        <f>SUM(BX200:BY200)</f>
        <v/>
      </c>
      <c r="CA200" s="28" t="n"/>
      <c r="CB200" s="31" t="n"/>
      <c r="CC200" s="29">
        <f>IF(AND(BZ200=0,CA200=0,CB200=0),0,IF(AND(BZ200=0,CA200=0),CB200/1,IF(AND(BZ200=0,CB200=0),CA200/1,IF(AND(CA200=0,CB200=0),BZ200/1,IF(BZ200=0,FLOOR((CA200+CB200)/2,0.1),IF(CA200=0,(BZ200+CB200)/2,IF(CB200=0,(CA200+BZ200)/2,FLOOR(((BZ200+CA200+CB200)/3),0.1))))))))</f>
        <v/>
      </c>
      <c r="CD200" s="21" t="n"/>
      <c r="CE200" s="21" t="n"/>
      <c r="CF200" s="27">
        <f>SUM(CD200:CE200)</f>
        <v/>
      </c>
      <c r="CG200" s="28" t="n"/>
      <c r="CH200" s="31" t="n"/>
      <c r="CI200" s="29">
        <f>IF(AND(CF200=0,CG200=0,CH200=0),0,IF(AND(CF200=0,CG200=0),CH200/1,IF(AND(CF200=0,CH200=0),CG200/1,IF(AND(CG200=0,CH200=0),CF200/1,IF(CF200=0,FLOOR((CG200+CH200)/2,0.1),IF(CG200=0,(CF200+CH200)/2,IF(CH200=0,(CG200+CF200)/2,FLOOR(((CF200+CG200+CH200)/3),0.1))))))))</f>
        <v/>
      </c>
      <c r="CJ200" s="21" t="n"/>
      <c r="CK200" s="21" t="n"/>
      <c r="CL200" s="27">
        <f>SUM(CJ200:CK200)</f>
        <v/>
      </c>
      <c r="CM200" s="28" t="n"/>
      <c r="CN200" s="31" t="n"/>
      <c r="CO200" s="29">
        <f>IF(AND(CL200=0,CM200=0,CN200=0),0,IF(AND(CL200=0,CM200=0),CN200/1,IF(AND(CL200=0,CN200=0),CM200/1,IF(AND(CM200=0,CN200=0),CL200/1,IF(CL200=0,FLOOR((CM200+CN200)/2,0.1),IF(CM200=0,(CL200+CN200)/2,IF(CN200=0,(CM200+CL200)/2,FLOOR(((CL200+CM200+CN200)/3),0.1))))))))</f>
        <v/>
      </c>
      <c r="CP200" s="21" t="n"/>
      <c r="CQ200" s="21" t="n"/>
      <c r="CR200" s="27">
        <f>SUM(CP200:CQ200)</f>
        <v/>
      </c>
      <c r="CS200" s="28" t="n"/>
      <c r="CT200" s="31" t="n"/>
      <c r="CU200" s="29">
        <f>IF(AND(CR200=0,CS200=0,CT200=0),0,IF(AND(CR200=0,CS200=0),CT200/1,IF(AND(CR200=0,CT200=0),CS200/1,IF(AND(CS200=0,CT200=0),CR200/1,IF(CR200=0,FLOOR((CS200+CT200)/2,0.1),IF(CS200=0,(CR200+CT200)/2,IF(CT200=0,(CS200+CR200)/2,FLOOR(((CR200+CS200+CT200)/3),0.1))))))))</f>
        <v/>
      </c>
      <c r="CV200" s="21" t="n"/>
      <c r="CW200" s="21" t="n"/>
      <c r="CX200" s="27">
        <f>SUM(CV200:CW200)</f>
        <v/>
      </c>
      <c r="CY200" s="28" t="n"/>
      <c r="CZ200" s="31" t="n"/>
      <c r="DA200" s="29">
        <f>IF(AND(CX200=0,CY200=0,CZ200=0),0,IF(AND(CX200=0,CY200=0),CZ200/1,IF(AND(CX200=0,CZ200=0),CY200/1,IF(AND(CY200=0,CZ200=0),CX200/1,IF(CX200=0,FLOOR((CY200+CZ200)/2,0.1),IF(CY200=0,(CX200+CZ200)/2,IF(CZ200=0,(CY200+CX200)/2,FLOOR(((CX200+CY200+CZ200)/3),0.1))))))))</f>
        <v/>
      </c>
      <c r="DB200" s="21" t="n"/>
      <c r="DC200" s="21" t="n"/>
      <c r="DD200" s="27">
        <f>SUM(DB200:DC200)</f>
        <v/>
      </c>
      <c r="DE200" s="28" t="n"/>
      <c r="DF200" s="31" t="n"/>
      <c r="DG200" s="29">
        <f>IF(AND(DD200=0,DE200=0,DF200=0),0,IF(AND(DD200=0,DE200=0),DF200/1,IF(AND(DD200=0,DF200=0),DE200/1,IF(AND(DE200=0,DF200=0),DD200/1,IF(DD200=0,FLOOR((DE200+DF200)/2,0.1),IF(DE200=0,(DD200+DF200)/2,IF(DF200=0,(DE200+DD200)/2,FLOOR(((DD200+DE200+DF200)/3),0.1))))))))</f>
        <v/>
      </c>
      <c r="DH200" s="34">
        <f>SUM(O200,U200,AA200,AG200,AM200,AS200,AY200,BE200,BK200,BQ200,BW200,CC200,CI200,CO200,CU200,DA200,DG200)</f>
        <v/>
      </c>
      <c r="DI200" s="39">
        <f>RANK(DH200,DH$4:DH$503)</f>
        <v/>
      </c>
      <c r="DJ200" s="40" t="inlineStr">
        <is>
          <t>CHOOSE RATING</t>
        </is>
      </c>
      <c r="DK200" s="40" t="inlineStr">
        <is>
          <t>CHOOSE RATING</t>
        </is>
      </c>
      <c r="DL200" s="40" t="inlineStr">
        <is>
          <t>CHOOSE RATING</t>
        </is>
      </c>
      <c r="DM200" s="40" t="inlineStr">
        <is>
          <t>CHOOSE RATING</t>
        </is>
      </c>
      <c r="DN200" s="40" t="inlineStr">
        <is>
          <t>CHOOSE RATING</t>
        </is>
      </c>
      <c r="DO200" s="40" t="inlineStr">
        <is>
          <t>CHOOSE RATING</t>
        </is>
      </c>
      <c r="DP200" s="40" t="inlineStr">
        <is>
          <t>CHOOSE RATING</t>
        </is>
      </c>
      <c r="DQ200" s="40" t="inlineStr">
        <is>
          <t>CHOOSE RATING</t>
        </is>
      </c>
      <c r="DR200" s="43" t="inlineStr">
        <is>
          <t>2024/2025</t>
        </is>
      </c>
      <c r="DS200" s="45" t="inlineStr">
        <is>
          <t>THIRD</t>
        </is>
      </c>
      <c r="DT200" s="40" t="inlineStr">
        <is>
          <t>CHOOSE RATING</t>
        </is>
      </c>
      <c r="DU200" s="40" t="inlineStr">
        <is>
          <t>CHOOSE RATING</t>
        </is>
      </c>
      <c r="DV200" s="40" t="inlineStr">
        <is>
          <t>CHOOSE RATING</t>
        </is>
      </c>
      <c r="DW200" s="40" t="inlineStr">
        <is>
          <t>CHOOSE RATING</t>
        </is>
      </c>
      <c r="DX200" s="40" t="inlineStr">
        <is>
          <t>CHOOSE RATING</t>
        </is>
      </c>
      <c r="DY200" s="40" t="inlineStr">
        <is>
          <t>CHOOSE RATING</t>
        </is>
      </c>
      <c r="DZ200" s="53" t="inlineStr">
        <is>
          <t>CHOOSE RATING</t>
        </is>
      </c>
      <c r="EA200" s="54" t="inlineStr">
        <is>
          <t>Add the Tutor's Comment . . .</t>
        </is>
      </c>
      <c r="EB200" s="55" t="inlineStr">
        <is>
          <t>Choose Principals comment</t>
        </is>
      </c>
      <c r="EC200" s="56" t="n"/>
      <c r="ED200" s="57" t="inlineStr">
        <is>
          <t>Next Term Begins on Monday, 22nd September, 2025</t>
        </is>
      </c>
    </row>
    <row r="201" ht="30.6" customHeight="1" s="6">
      <c r="A201" s="18" t="n">
        <v>198</v>
      </c>
      <c r="B201" s="19" t="n"/>
      <c r="C201" s="20" t="n"/>
      <c r="D201" s="128" t="n"/>
      <c r="E201" s="21" t="n"/>
      <c r="F201" s="22" t="n"/>
      <c r="G201" s="22" t="n"/>
      <c r="H201" s="22" t="n"/>
      <c r="I201" s="26">
        <f>G201-H201</f>
        <v/>
      </c>
      <c r="J201" s="21" t="n"/>
      <c r="K201" s="21" t="n"/>
      <c r="L201" s="27">
        <f>SUM(J201:K201)</f>
        <v/>
      </c>
      <c r="M201" s="28" t="n"/>
      <c r="N201" s="28" t="n"/>
      <c r="O201" s="29">
        <f>IF(AND(L201=0,M201=0,N201=0),0,IF(AND(L201=0,M201=0),N201/1,IF(AND(L201=0,N201=0),M201/1,IF(AND(M201=0,N201=0),L201/1,IF(L201=0,FLOOR((M201+N201)/2,0.1),IF(M201=0,(L201+N201)/2,IF(N201=0,(M201+L201)/2,FLOOR(((L201+M201+N201)/3),0.1))))))))</f>
        <v/>
      </c>
      <c r="P201" s="21" t="n"/>
      <c r="Q201" s="21" t="n"/>
      <c r="R201" s="27">
        <f>SUM(P201:Q201)</f>
        <v/>
      </c>
      <c r="S201" s="28" t="n"/>
      <c r="T201" s="28" t="n"/>
      <c r="U201" s="29">
        <f>IF(AND(R201=0,S201=0,T201=0),0,IF(AND(R201=0,S201=0),T201/1,IF(AND(R201=0,T201=0),S201/1,IF(AND(S201=0,T201=0),R201/1,IF(R201=0,FLOOR((S201+T201)/2,0.1),IF(S201=0,(R201+T201)/2,IF(T201=0,(S201+R201)/2,FLOOR(((R201+S201+T201)/3),0.1))))))))</f>
        <v/>
      </c>
      <c r="V201" s="21" t="n"/>
      <c r="W201" s="21" t="n"/>
      <c r="X201" s="27">
        <f>SUM(V201:W201)</f>
        <v/>
      </c>
      <c r="Y201" s="28" t="n"/>
      <c r="Z201" s="28" t="n"/>
      <c r="AA201" s="29">
        <f>IF(AND(X201=0,Y201=0,Z201=0),0,IF(AND(X201=0,Y201=0),Z201/1,IF(AND(X201=0,Z201=0),Y201/1,IF(AND(Y201=0,Z201=0),X201/1,IF(X201=0,FLOOR((Y201+Z201)/2,0.1),IF(Y201=0,(X201+Z201)/2,IF(Z201=0,(Y201+X201)/2,FLOOR(((X201+Y201+Z201)/3),0.1))))))))</f>
        <v/>
      </c>
      <c r="AB201" s="21" t="n"/>
      <c r="AC201" s="21" t="n"/>
      <c r="AD201" s="27">
        <f>SUM(AB201:AC201)</f>
        <v/>
      </c>
      <c r="AE201" s="28" t="n"/>
      <c r="AF201" s="28" t="n"/>
      <c r="AG201" s="29">
        <f>IF(AND(AD201=0,AE201=0,AF201=0),0,IF(AND(AD201=0,AE201=0),AF201/1,IF(AND(AD201=0,AF201=0),AE201/1,IF(AND(AE201=0,AF201=0),AD201/1,IF(AD201=0,FLOOR((AE201+AF201)/2,0.1),IF(AE201=0,(AD201+AF201)/2,IF(AF201=0,(AE201+AD201)/2,FLOOR(((AD201+AE201+AF201)/3),0.1))))))))</f>
        <v/>
      </c>
      <c r="AH201" s="21" t="n"/>
      <c r="AI201" s="21" t="n"/>
      <c r="AJ201" s="27">
        <f>SUM(AH201:AI201)</f>
        <v/>
      </c>
      <c r="AK201" s="28" t="n"/>
      <c r="AL201" s="28" t="n"/>
      <c r="AM201" s="29">
        <f>IF(AND(AJ201=0,AK201=0,AL201=0),0,IF(AND(AJ201=0,AK201=0),AL201/1,IF(AND(AJ201=0,AL201=0),AK201/1,IF(AND(AK201=0,AL201=0),AJ201/1,IF(AJ201=0,FLOOR((AK201+AL201)/2,0.1),IF(AK201=0,(AJ201+AL201)/2,IF(AL201=0,(AK201+AJ201)/2,FLOOR(((AJ201+AK201+AL201)/3),0.1))))))))</f>
        <v/>
      </c>
      <c r="AN201" s="21" t="n"/>
      <c r="AO201" s="21" t="n"/>
      <c r="AP201" s="27">
        <f>SUM(AN201:AO201)</f>
        <v/>
      </c>
      <c r="AQ201" s="28" t="n"/>
      <c r="AR201" s="30" t="n"/>
      <c r="AS201" s="29">
        <f>IF(AND(AP201=0,AQ201=0,AR201=0),0,IF(AND(AP201=0,AQ201=0),AR201/1,IF(AND(AP201=0,AR201=0),AQ201/1,IF(AND(AQ201=0,AR201=0),AP201/1,IF(AP201=0,FLOOR((AQ201+AR201)/2,0.1),IF(AQ201=0,(AP201+AR201)/2,IF(AR201=0,(AQ201+AP201)/2,FLOOR(((AP201+AQ201+AR201)/3),0.1))))))))</f>
        <v/>
      </c>
      <c r="AT201" s="21" t="n"/>
      <c r="AU201" s="21" t="n"/>
      <c r="AV201" s="27">
        <f>SUM(AT201:AU201)</f>
        <v/>
      </c>
      <c r="AW201" s="28" t="n"/>
      <c r="AX201" s="30" t="n"/>
      <c r="AY201" s="29">
        <f>IF(AND(AV201=0,AW201=0,AX201=0),0,IF(AND(AV201=0,AW201=0),AX201/1,IF(AND(AV201=0,AX201=0),AW201/1,IF(AND(AW201=0,AX201=0),AV201/1,IF(AV201=0,FLOOR((AW201+AX201)/2,0.1),IF(AW201=0,(AV201+AX201)/2,IF(AX201=0,(AW201+AV201)/2,FLOOR(((AV201+AW201+AX201)/3),0.1))))))))</f>
        <v/>
      </c>
      <c r="AZ201" s="21" t="n"/>
      <c r="BA201" s="21" t="n"/>
      <c r="BB201" s="27">
        <f>SUM(AZ201:BA201)</f>
        <v/>
      </c>
      <c r="BC201" s="28" t="n"/>
      <c r="BD201" s="28" t="n"/>
      <c r="BE201" s="29">
        <f>IF(AND(BB201=0,BC201=0,BD201=0),0,IF(AND(BB201=0,BC201=0),BD201/1,IF(AND(BB201=0,BD201=0),BC201/1,IF(AND(BC201=0,BD201=0),BB201/1,IF(BB201=0,FLOOR((BC201+BD201)/2,0.1),IF(BC201=0,(BB201+BD201)/2,IF(BD201=0,(BC201+BB201)/2,FLOOR(((BB201+BC201+BD201)/3),0.1))))))))</f>
        <v/>
      </c>
      <c r="BF201" s="21" t="n"/>
      <c r="BG201" s="21" t="n"/>
      <c r="BH201" s="27">
        <f>SUM(BF201:BG201)</f>
        <v/>
      </c>
      <c r="BI201" s="28" t="n"/>
      <c r="BJ201" s="28" t="n"/>
      <c r="BK201" s="29">
        <f>IF(AND(BH201=0,BI201=0,BJ201=0),0,IF(AND(BH201=0,BI201=0),BJ201/1,IF(AND(BH201=0,BJ201=0),BI201/1,IF(AND(BI201=0,BJ201=0),BH201/1,IF(BH201=0,FLOOR((BI201+BJ201)/2,0.1),IF(BI201=0,(BH201+BJ201)/2,IF(BJ201=0,(BI201+BH201)/2,FLOOR(((BH201+BI201+BJ201)/3),0.1))))))))</f>
        <v/>
      </c>
      <c r="BL201" s="21" t="n"/>
      <c r="BM201" s="21" t="n"/>
      <c r="BN201" s="27">
        <f>SUM(BL201:BM201)</f>
        <v/>
      </c>
      <c r="BO201" s="28" t="n"/>
      <c r="BP201" s="31" t="n"/>
      <c r="BQ201" s="29">
        <f>IF(AND(BN201=0,BO201=0,BP201=0),0,IF(AND(BN201=0,BO201=0),BP201/1,IF(AND(BN201=0,BP201=0),BO201/1,IF(AND(BO201=0,BP201=0),BN201/1,IF(BN201=0,FLOOR((BO201+BP201)/2,0.1),IF(BO201=0,(BN201+BP201)/2,IF(BP201=0,(BO201+BN201)/2,FLOOR(((BN201+BO201+BP201)/3),0.1))))))))</f>
        <v/>
      </c>
      <c r="BR201" s="21" t="n"/>
      <c r="BS201" s="21" t="n"/>
      <c r="BT201" s="27">
        <f>SUM(BR201:BS201)</f>
        <v/>
      </c>
      <c r="BU201" s="28" t="n"/>
      <c r="BV201" s="31" t="n"/>
      <c r="BW201" s="29">
        <f>IF(AND(BT201=0,BU201=0,BV201=0),0,IF(AND(BT201=0,BU201=0),BV201/1,IF(AND(BT201=0,BV201=0),BU201/1,IF(AND(BU201=0,BV201=0),BT201/1,IF(BT201=0,FLOOR((BU201+BV201)/2,0.1),IF(BU201=0,(BT201+BV201)/2,IF(BV201=0,(BU201+BT201)/2,FLOOR(((BT201+BU201+BV201)/3),0.1))))))))</f>
        <v/>
      </c>
      <c r="BX201" s="21" t="n"/>
      <c r="BY201" s="21" t="n"/>
      <c r="BZ201" s="27">
        <f>SUM(BX201:BY201)</f>
        <v/>
      </c>
      <c r="CA201" s="28" t="n"/>
      <c r="CB201" s="31" t="n"/>
      <c r="CC201" s="29">
        <f>IF(AND(BZ201=0,CA201=0,CB201=0),0,IF(AND(BZ201=0,CA201=0),CB201/1,IF(AND(BZ201=0,CB201=0),CA201/1,IF(AND(CA201=0,CB201=0),BZ201/1,IF(BZ201=0,FLOOR((CA201+CB201)/2,0.1),IF(CA201=0,(BZ201+CB201)/2,IF(CB201=0,(CA201+BZ201)/2,FLOOR(((BZ201+CA201+CB201)/3),0.1))))))))</f>
        <v/>
      </c>
      <c r="CD201" s="21" t="n"/>
      <c r="CE201" s="21" t="n"/>
      <c r="CF201" s="27">
        <f>SUM(CD201:CE201)</f>
        <v/>
      </c>
      <c r="CG201" s="28" t="n"/>
      <c r="CH201" s="31" t="n"/>
      <c r="CI201" s="29">
        <f>IF(AND(CF201=0,CG201=0,CH201=0),0,IF(AND(CF201=0,CG201=0),CH201/1,IF(AND(CF201=0,CH201=0),CG201/1,IF(AND(CG201=0,CH201=0),CF201/1,IF(CF201=0,FLOOR((CG201+CH201)/2,0.1),IF(CG201=0,(CF201+CH201)/2,IF(CH201=0,(CG201+CF201)/2,FLOOR(((CF201+CG201+CH201)/3),0.1))))))))</f>
        <v/>
      </c>
      <c r="CJ201" s="21" t="n"/>
      <c r="CK201" s="21" t="n"/>
      <c r="CL201" s="27">
        <f>SUM(CJ201:CK201)</f>
        <v/>
      </c>
      <c r="CM201" s="28" t="n"/>
      <c r="CN201" s="31" t="n"/>
      <c r="CO201" s="29">
        <f>IF(AND(CL201=0,CM201=0,CN201=0),0,IF(AND(CL201=0,CM201=0),CN201/1,IF(AND(CL201=0,CN201=0),CM201/1,IF(AND(CM201=0,CN201=0),CL201/1,IF(CL201=0,FLOOR((CM201+CN201)/2,0.1),IF(CM201=0,(CL201+CN201)/2,IF(CN201=0,(CM201+CL201)/2,FLOOR(((CL201+CM201+CN201)/3),0.1))))))))</f>
        <v/>
      </c>
      <c r="CP201" s="21" t="n"/>
      <c r="CQ201" s="21" t="n"/>
      <c r="CR201" s="27">
        <f>SUM(CP201:CQ201)</f>
        <v/>
      </c>
      <c r="CS201" s="28" t="n"/>
      <c r="CT201" s="31" t="n"/>
      <c r="CU201" s="29">
        <f>IF(AND(CR201=0,CS201=0,CT201=0),0,IF(AND(CR201=0,CS201=0),CT201/1,IF(AND(CR201=0,CT201=0),CS201/1,IF(AND(CS201=0,CT201=0),CR201/1,IF(CR201=0,FLOOR((CS201+CT201)/2,0.1),IF(CS201=0,(CR201+CT201)/2,IF(CT201=0,(CS201+CR201)/2,FLOOR(((CR201+CS201+CT201)/3),0.1))))))))</f>
        <v/>
      </c>
      <c r="CV201" s="21" t="n"/>
      <c r="CW201" s="21" t="n"/>
      <c r="CX201" s="27">
        <f>SUM(CV201:CW201)</f>
        <v/>
      </c>
      <c r="CY201" s="28" t="n"/>
      <c r="CZ201" s="31" t="n"/>
      <c r="DA201" s="29">
        <f>IF(AND(CX201=0,CY201=0,CZ201=0),0,IF(AND(CX201=0,CY201=0),CZ201/1,IF(AND(CX201=0,CZ201=0),CY201/1,IF(AND(CY201=0,CZ201=0),CX201/1,IF(CX201=0,FLOOR((CY201+CZ201)/2,0.1),IF(CY201=0,(CX201+CZ201)/2,IF(CZ201=0,(CY201+CX201)/2,FLOOR(((CX201+CY201+CZ201)/3),0.1))))))))</f>
        <v/>
      </c>
      <c r="DB201" s="21" t="n"/>
      <c r="DC201" s="21" t="n"/>
      <c r="DD201" s="27">
        <f>SUM(DB201:DC201)</f>
        <v/>
      </c>
      <c r="DE201" s="28" t="n"/>
      <c r="DF201" s="31" t="n"/>
      <c r="DG201" s="29">
        <f>IF(AND(DD201=0,DE201=0,DF201=0),0,IF(AND(DD201=0,DE201=0),DF201/1,IF(AND(DD201=0,DF201=0),DE201/1,IF(AND(DE201=0,DF201=0),DD201/1,IF(DD201=0,FLOOR((DE201+DF201)/2,0.1),IF(DE201=0,(DD201+DF201)/2,IF(DF201=0,(DE201+DD201)/2,FLOOR(((DD201+DE201+DF201)/3),0.1))))))))</f>
        <v/>
      </c>
      <c r="DH201" s="34">
        <f>SUM(O201,U201,AA201,AG201,AM201,AS201,AY201,BE201,BK201,BQ201,BW201,CC201,CI201,CO201,CU201,DA201,DG201)</f>
        <v/>
      </c>
      <c r="DI201" s="39">
        <f>RANK(DH201,DH$4:DH$503)</f>
        <v/>
      </c>
      <c r="DJ201" s="40" t="inlineStr">
        <is>
          <t>CHOOSE RATING</t>
        </is>
      </c>
      <c r="DK201" s="40" t="inlineStr">
        <is>
          <t>CHOOSE RATING</t>
        </is>
      </c>
      <c r="DL201" s="40" t="inlineStr">
        <is>
          <t>CHOOSE RATING</t>
        </is>
      </c>
      <c r="DM201" s="40" t="inlineStr">
        <is>
          <t>CHOOSE RATING</t>
        </is>
      </c>
      <c r="DN201" s="40" t="inlineStr">
        <is>
          <t>CHOOSE RATING</t>
        </is>
      </c>
      <c r="DO201" s="40" t="inlineStr">
        <is>
          <t>CHOOSE RATING</t>
        </is>
      </c>
      <c r="DP201" s="40" t="inlineStr">
        <is>
          <t>CHOOSE RATING</t>
        </is>
      </c>
      <c r="DQ201" s="40" t="inlineStr">
        <is>
          <t>CHOOSE RATING</t>
        </is>
      </c>
      <c r="DR201" s="43" t="inlineStr">
        <is>
          <t>2024/2025</t>
        </is>
      </c>
      <c r="DS201" s="45" t="inlineStr">
        <is>
          <t>THIRD</t>
        </is>
      </c>
      <c r="DT201" s="40" t="inlineStr">
        <is>
          <t>CHOOSE RATING</t>
        </is>
      </c>
      <c r="DU201" s="40" t="inlineStr">
        <is>
          <t>CHOOSE RATING</t>
        </is>
      </c>
      <c r="DV201" s="40" t="inlineStr">
        <is>
          <t>CHOOSE RATING</t>
        </is>
      </c>
      <c r="DW201" s="40" t="inlineStr">
        <is>
          <t>CHOOSE RATING</t>
        </is>
      </c>
      <c r="DX201" s="40" t="inlineStr">
        <is>
          <t>CHOOSE RATING</t>
        </is>
      </c>
      <c r="DY201" s="40" t="inlineStr">
        <is>
          <t>CHOOSE RATING</t>
        </is>
      </c>
      <c r="DZ201" s="53" t="inlineStr">
        <is>
          <t>CHOOSE RATING</t>
        </is>
      </c>
      <c r="EA201" s="54" t="inlineStr">
        <is>
          <t>Add the Tutor's Comment . . .</t>
        </is>
      </c>
      <c r="EB201" s="55" t="inlineStr">
        <is>
          <t>Choose Principals comment</t>
        </is>
      </c>
      <c r="EC201" s="56" t="n"/>
      <c r="ED201" s="57" t="inlineStr">
        <is>
          <t>Next Term Begins on Monday, 22nd September, 2025</t>
        </is>
      </c>
    </row>
    <row r="202" ht="30.6" customHeight="1" s="6">
      <c r="A202" s="18" t="n">
        <v>199</v>
      </c>
      <c r="B202" s="19" t="n"/>
      <c r="C202" s="20" t="n"/>
      <c r="D202" s="128" t="n"/>
      <c r="E202" s="21" t="n"/>
      <c r="F202" s="22" t="n"/>
      <c r="G202" s="22" t="n"/>
      <c r="H202" s="22" t="n"/>
      <c r="I202" s="26">
        <f>G202-H202</f>
        <v/>
      </c>
      <c r="J202" s="21" t="n"/>
      <c r="K202" s="21" t="n"/>
      <c r="L202" s="27">
        <f>SUM(J202:K202)</f>
        <v/>
      </c>
      <c r="M202" s="28" t="n"/>
      <c r="N202" s="28" t="n"/>
      <c r="O202" s="29">
        <f>IF(AND(L202=0,M202=0,N202=0),0,IF(AND(L202=0,M202=0),N202/1,IF(AND(L202=0,N202=0),M202/1,IF(AND(M202=0,N202=0),L202/1,IF(L202=0,FLOOR((M202+N202)/2,0.1),IF(M202=0,(L202+N202)/2,IF(N202=0,(M202+L202)/2,FLOOR(((L202+M202+N202)/3),0.1))))))))</f>
        <v/>
      </c>
      <c r="P202" s="21" t="n"/>
      <c r="Q202" s="21" t="n"/>
      <c r="R202" s="27">
        <f>SUM(P202:Q202)</f>
        <v/>
      </c>
      <c r="S202" s="28" t="n"/>
      <c r="T202" s="28" t="n"/>
      <c r="U202" s="29">
        <f>IF(AND(R202=0,S202=0,T202=0),0,IF(AND(R202=0,S202=0),T202/1,IF(AND(R202=0,T202=0),S202/1,IF(AND(S202=0,T202=0),R202/1,IF(R202=0,FLOOR((S202+T202)/2,0.1),IF(S202=0,(R202+T202)/2,IF(T202=0,(S202+R202)/2,FLOOR(((R202+S202+T202)/3),0.1))))))))</f>
        <v/>
      </c>
      <c r="V202" s="21" t="n"/>
      <c r="W202" s="21" t="n"/>
      <c r="X202" s="27">
        <f>SUM(V202:W202)</f>
        <v/>
      </c>
      <c r="Y202" s="28" t="n"/>
      <c r="Z202" s="28" t="n"/>
      <c r="AA202" s="29">
        <f>IF(AND(X202=0,Y202=0,Z202=0),0,IF(AND(X202=0,Y202=0),Z202/1,IF(AND(X202=0,Z202=0),Y202/1,IF(AND(Y202=0,Z202=0),X202/1,IF(X202=0,FLOOR((Y202+Z202)/2,0.1),IF(Y202=0,(X202+Z202)/2,IF(Z202=0,(Y202+X202)/2,FLOOR(((X202+Y202+Z202)/3),0.1))))))))</f>
        <v/>
      </c>
      <c r="AB202" s="21" t="n"/>
      <c r="AC202" s="21" t="n"/>
      <c r="AD202" s="27">
        <f>SUM(AB202:AC202)</f>
        <v/>
      </c>
      <c r="AE202" s="28" t="n"/>
      <c r="AF202" s="28" t="n"/>
      <c r="AG202" s="29">
        <f>IF(AND(AD202=0,AE202=0,AF202=0),0,IF(AND(AD202=0,AE202=0),AF202/1,IF(AND(AD202=0,AF202=0),AE202/1,IF(AND(AE202=0,AF202=0),AD202/1,IF(AD202=0,FLOOR((AE202+AF202)/2,0.1),IF(AE202=0,(AD202+AF202)/2,IF(AF202=0,(AE202+AD202)/2,FLOOR(((AD202+AE202+AF202)/3),0.1))))))))</f>
        <v/>
      </c>
      <c r="AH202" s="21" t="n"/>
      <c r="AI202" s="21" t="n"/>
      <c r="AJ202" s="27">
        <f>SUM(AH202:AI202)</f>
        <v/>
      </c>
      <c r="AK202" s="28" t="n"/>
      <c r="AL202" s="28" t="n"/>
      <c r="AM202" s="29">
        <f>IF(AND(AJ202=0,AK202=0,AL202=0),0,IF(AND(AJ202=0,AK202=0),AL202/1,IF(AND(AJ202=0,AL202=0),AK202/1,IF(AND(AK202=0,AL202=0),AJ202/1,IF(AJ202=0,FLOOR((AK202+AL202)/2,0.1),IF(AK202=0,(AJ202+AL202)/2,IF(AL202=0,(AK202+AJ202)/2,FLOOR(((AJ202+AK202+AL202)/3),0.1))))))))</f>
        <v/>
      </c>
      <c r="AN202" s="21" t="n"/>
      <c r="AO202" s="21" t="n"/>
      <c r="AP202" s="27">
        <f>SUM(AN202:AO202)</f>
        <v/>
      </c>
      <c r="AQ202" s="28" t="n"/>
      <c r="AR202" s="30" t="n"/>
      <c r="AS202" s="29">
        <f>IF(AND(AP202=0,AQ202=0,AR202=0),0,IF(AND(AP202=0,AQ202=0),AR202/1,IF(AND(AP202=0,AR202=0),AQ202/1,IF(AND(AQ202=0,AR202=0),AP202/1,IF(AP202=0,FLOOR((AQ202+AR202)/2,0.1),IF(AQ202=0,(AP202+AR202)/2,IF(AR202=0,(AQ202+AP202)/2,FLOOR(((AP202+AQ202+AR202)/3),0.1))))))))</f>
        <v/>
      </c>
      <c r="AT202" s="21" t="n"/>
      <c r="AU202" s="21" t="n"/>
      <c r="AV202" s="27">
        <f>SUM(AT202:AU202)</f>
        <v/>
      </c>
      <c r="AW202" s="28" t="n"/>
      <c r="AX202" s="30" t="n"/>
      <c r="AY202" s="29">
        <f>IF(AND(AV202=0,AW202=0,AX202=0),0,IF(AND(AV202=0,AW202=0),AX202/1,IF(AND(AV202=0,AX202=0),AW202/1,IF(AND(AW202=0,AX202=0),AV202/1,IF(AV202=0,FLOOR((AW202+AX202)/2,0.1),IF(AW202=0,(AV202+AX202)/2,IF(AX202=0,(AW202+AV202)/2,FLOOR(((AV202+AW202+AX202)/3),0.1))))))))</f>
        <v/>
      </c>
      <c r="AZ202" s="21" t="n"/>
      <c r="BA202" s="21" t="n"/>
      <c r="BB202" s="27">
        <f>SUM(AZ202:BA202)</f>
        <v/>
      </c>
      <c r="BC202" s="28" t="n"/>
      <c r="BD202" s="28" t="n"/>
      <c r="BE202" s="29">
        <f>IF(AND(BB202=0,BC202=0,BD202=0),0,IF(AND(BB202=0,BC202=0),BD202/1,IF(AND(BB202=0,BD202=0),BC202/1,IF(AND(BC202=0,BD202=0),BB202/1,IF(BB202=0,FLOOR((BC202+BD202)/2,0.1),IF(BC202=0,(BB202+BD202)/2,IF(BD202=0,(BC202+BB202)/2,FLOOR(((BB202+BC202+BD202)/3),0.1))))))))</f>
        <v/>
      </c>
      <c r="BF202" s="21" t="n"/>
      <c r="BG202" s="21" t="n"/>
      <c r="BH202" s="27">
        <f>SUM(BF202:BG202)</f>
        <v/>
      </c>
      <c r="BI202" s="28" t="n"/>
      <c r="BJ202" s="28" t="n"/>
      <c r="BK202" s="29">
        <f>IF(AND(BH202=0,BI202=0,BJ202=0),0,IF(AND(BH202=0,BI202=0),BJ202/1,IF(AND(BH202=0,BJ202=0),BI202/1,IF(AND(BI202=0,BJ202=0),BH202/1,IF(BH202=0,FLOOR((BI202+BJ202)/2,0.1),IF(BI202=0,(BH202+BJ202)/2,IF(BJ202=0,(BI202+BH202)/2,FLOOR(((BH202+BI202+BJ202)/3),0.1))))))))</f>
        <v/>
      </c>
      <c r="BL202" s="21" t="n"/>
      <c r="BM202" s="21" t="n"/>
      <c r="BN202" s="27">
        <f>SUM(BL202:BM202)</f>
        <v/>
      </c>
      <c r="BO202" s="28" t="n"/>
      <c r="BP202" s="31" t="n"/>
      <c r="BQ202" s="29">
        <f>IF(AND(BN202=0,BO202=0,BP202=0),0,IF(AND(BN202=0,BO202=0),BP202/1,IF(AND(BN202=0,BP202=0),BO202/1,IF(AND(BO202=0,BP202=0),BN202/1,IF(BN202=0,FLOOR((BO202+BP202)/2,0.1),IF(BO202=0,(BN202+BP202)/2,IF(BP202=0,(BO202+BN202)/2,FLOOR(((BN202+BO202+BP202)/3),0.1))))))))</f>
        <v/>
      </c>
      <c r="BR202" s="21" t="n"/>
      <c r="BS202" s="21" t="n"/>
      <c r="BT202" s="27">
        <f>SUM(BR202:BS202)</f>
        <v/>
      </c>
      <c r="BU202" s="28" t="n"/>
      <c r="BV202" s="31" t="n"/>
      <c r="BW202" s="29">
        <f>IF(AND(BT202=0,BU202=0,BV202=0),0,IF(AND(BT202=0,BU202=0),BV202/1,IF(AND(BT202=0,BV202=0),BU202/1,IF(AND(BU202=0,BV202=0),BT202/1,IF(BT202=0,FLOOR((BU202+BV202)/2,0.1),IF(BU202=0,(BT202+BV202)/2,IF(BV202=0,(BU202+BT202)/2,FLOOR(((BT202+BU202+BV202)/3),0.1))))))))</f>
        <v/>
      </c>
      <c r="BX202" s="21" t="n"/>
      <c r="BY202" s="21" t="n"/>
      <c r="BZ202" s="27">
        <f>SUM(BX202:BY202)</f>
        <v/>
      </c>
      <c r="CA202" s="28" t="n"/>
      <c r="CB202" s="31" t="n"/>
      <c r="CC202" s="29">
        <f>IF(AND(BZ202=0,CA202=0,CB202=0),0,IF(AND(BZ202=0,CA202=0),CB202/1,IF(AND(BZ202=0,CB202=0),CA202/1,IF(AND(CA202=0,CB202=0),BZ202/1,IF(BZ202=0,FLOOR((CA202+CB202)/2,0.1),IF(CA202=0,(BZ202+CB202)/2,IF(CB202=0,(CA202+BZ202)/2,FLOOR(((BZ202+CA202+CB202)/3),0.1))))))))</f>
        <v/>
      </c>
      <c r="CD202" s="21" t="n"/>
      <c r="CE202" s="21" t="n"/>
      <c r="CF202" s="27">
        <f>SUM(CD202:CE202)</f>
        <v/>
      </c>
      <c r="CG202" s="28" t="n"/>
      <c r="CH202" s="31" t="n"/>
      <c r="CI202" s="29">
        <f>IF(AND(CF202=0,CG202=0,CH202=0),0,IF(AND(CF202=0,CG202=0),CH202/1,IF(AND(CF202=0,CH202=0),CG202/1,IF(AND(CG202=0,CH202=0),CF202/1,IF(CF202=0,FLOOR((CG202+CH202)/2,0.1),IF(CG202=0,(CF202+CH202)/2,IF(CH202=0,(CG202+CF202)/2,FLOOR(((CF202+CG202+CH202)/3),0.1))))))))</f>
        <v/>
      </c>
      <c r="CJ202" s="21" t="n"/>
      <c r="CK202" s="21" t="n"/>
      <c r="CL202" s="27">
        <f>SUM(CJ202:CK202)</f>
        <v/>
      </c>
      <c r="CM202" s="28" t="n"/>
      <c r="CN202" s="31" t="n"/>
      <c r="CO202" s="29">
        <f>IF(AND(CL202=0,CM202=0,CN202=0),0,IF(AND(CL202=0,CM202=0),CN202/1,IF(AND(CL202=0,CN202=0),CM202/1,IF(AND(CM202=0,CN202=0),CL202/1,IF(CL202=0,FLOOR((CM202+CN202)/2,0.1),IF(CM202=0,(CL202+CN202)/2,IF(CN202=0,(CM202+CL202)/2,FLOOR(((CL202+CM202+CN202)/3),0.1))))))))</f>
        <v/>
      </c>
      <c r="CP202" s="21" t="n"/>
      <c r="CQ202" s="21" t="n"/>
      <c r="CR202" s="27">
        <f>SUM(CP202:CQ202)</f>
        <v/>
      </c>
      <c r="CS202" s="28" t="n"/>
      <c r="CT202" s="31" t="n"/>
      <c r="CU202" s="29">
        <f>IF(AND(CR202=0,CS202=0,CT202=0),0,IF(AND(CR202=0,CS202=0),CT202/1,IF(AND(CR202=0,CT202=0),CS202/1,IF(AND(CS202=0,CT202=0),CR202/1,IF(CR202=0,FLOOR((CS202+CT202)/2,0.1),IF(CS202=0,(CR202+CT202)/2,IF(CT202=0,(CS202+CR202)/2,FLOOR(((CR202+CS202+CT202)/3),0.1))))))))</f>
        <v/>
      </c>
      <c r="CV202" s="21" t="n"/>
      <c r="CW202" s="21" t="n"/>
      <c r="CX202" s="27">
        <f>SUM(CV202:CW202)</f>
        <v/>
      </c>
      <c r="CY202" s="28" t="n"/>
      <c r="CZ202" s="31" t="n"/>
      <c r="DA202" s="29">
        <f>IF(AND(CX202=0,CY202=0,CZ202=0),0,IF(AND(CX202=0,CY202=0),CZ202/1,IF(AND(CX202=0,CZ202=0),CY202/1,IF(AND(CY202=0,CZ202=0),CX202/1,IF(CX202=0,FLOOR((CY202+CZ202)/2,0.1),IF(CY202=0,(CX202+CZ202)/2,IF(CZ202=0,(CY202+CX202)/2,FLOOR(((CX202+CY202+CZ202)/3),0.1))))))))</f>
        <v/>
      </c>
      <c r="DB202" s="21" t="n"/>
      <c r="DC202" s="21" t="n"/>
      <c r="DD202" s="27">
        <f>SUM(DB202:DC202)</f>
        <v/>
      </c>
      <c r="DE202" s="28" t="n"/>
      <c r="DF202" s="31" t="n"/>
      <c r="DG202" s="29">
        <f>IF(AND(DD202=0,DE202=0,DF202=0),0,IF(AND(DD202=0,DE202=0),DF202/1,IF(AND(DD202=0,DF202=0),DE202/1,IF(AND(DE202=0,DF202=0),DD202/1,IF(DD202=0,FLOOR((DE202+DF202)/2,0.1),IF(DE202=0,(DD202+DF202)/2,IF(DF202=0,(DE202+DD202)/2,FLOOR(((DD202+DE202+DF202)/3),0.1))))))))</f>
        <v/>
      </c>
      <c r="DH202" s="34">
        <f>SUM(O202,U202,AA202,AG202,AM202,AS202,AY202,BE202,BK202,BQ202,BW202,CC202,CI202,CO202,CU202,DA202,DG202)</f>
        <v/>
      </c>
      <c r="DI202" s="39">
        <f>RANK(DH202,DH$4:DH$503)</f>
        <v/>
      </c>
      <c r="DJ202" s="40" t="inlineStr">
        <is>
          <t>CHOOSE RATING</t>
        </is>
      </c>
      <c r="DK202" s="40" t="inlineStr">
        <is>
          <t>CHOOSE RATING</t>
        </is>
      </c>
      <c r="DL202" s="40" t="inlineStr">
        <is>
          <t>CHOOSE RATING</t>
        </is>
      </c>
      <c r="DM202" s="40" t="inlineStr">
        <is>
          <t>CHOOSE RATING</t>
        </is>
      </c>
      <c r="DN202" s="40" t="inlineStr">
        <is>
          <t>CHOOSE RATING</t>
        </is>
      </c>
      <c r="DO202" s="40" t="inlineStr">
        <is>
          <t>CHOOSE RATING</t>
        </is>
      </c>
      <c r="DP202" s="40" t="inlineStr">
        <is>
          <t>CHOOSE RATING</t>
        </is>
      </c>
      <c r="DQ202" s="40" t="inlineStr">
        <is>
          <t>CHOOSE RATING</t>
        </is>
      </c>
      <c r="DR202" s="43" t="inlineStr">
        <is>
          <t>2024/2025</t>
        </is>
      </c>
      <c r="DS202" s="45" t="inlineStr">
        <is>
          <t>THIRD</t>
        </is>
      </c>
      <c r="DT202" s="40" t="inlineStr">
        <is>
          <t>CHOOSE RATING</t>
        </is>
      </c>
      <c r="DU202" s="40" t="inlineStr">
        <is>
          <t>CHOOSE RATING</t>
        </is>
      </c>
      <c r="DV202" s="40" t="inlineStr">
        <is>
          <t>CHOOSE RATING</t>
        </is>
      </c>
      <c r="DW202" s="40" t="inlineStr">
        <is>
          <t>CHOOSE RATING</t>
        </is>
      </c>
      <c r="DX202" s="40" t="inlineStr">
        <is>
          <t>CHOOSE RATING</t>
        </is>
      </c>
      <c r="DY202" s="40" t="inlineStr">
        <is>
          <t>CHOOSE RATING</t>
        </is>
      </c>
      <c r="DZ202" s="53" t="inlineStr">
        <is>
          <t>CHOOSE RATING</t>
        </is>
      </c>
      <c r="EA202" s="54" t="inlineStr">
        <is>
          <t>Add the Tutor's Comment . . .</t>
        </is>
      </c>
      <c r="EB202" s="55" t="inlineStr">
        <is>
          <t>Choose Principals comment</t>
        </is>
      </c>
      <c r="EC202" s="56" t="n"/>
      <c r="ED202" s="57" t="inlineStr">
        <is>
          <t>Next Term Begins on Monday, 22nd September, 2025</t>
        </is>
      </c>
    </row>
    <row r="203" ht="30.6" customHeight="1" s="6">
      <c r="A203" s="18" t="n">
        <v>200</v>
      </c>
      <c r="B203" s="19" t="n"/>
      <c r="C203" s="20" t="n"/>
      <c r="D203" s="128" t="n"/>
      <c r="E203" s="21" t="n"/>
      <c r="F203" s="22" t="n"/>
      <c r="G203" s="22" t="n"/>
      <c r="H203" s="22" t="n"/>
      <c r="I203" s="26">
        <f>G203-H203</f>
        <v/>
      </c>
      <c r="J203" s="21" t="n"/>
      <c r="K203" s="21" t="n"/>
      <c r="L203" s="27">
        <f>SUM(J203:K203)</f>
        <v/>
      </c>
      <c r="M203" s="28" t="n"/>
      <c r="N203" s="28" t="n"/>
      <c r="O203" s="29">
        <f>IF(AND(L203=0,M203=0,N203=0),0,IF(AND(L203=0,M203=0),N203/1,IF(AND(L203=0,N203=0),M203/1,IF(AND(M203=0,N203=0),L203/1,IF(L203=0,FLOOR((M203+N203)/2,0.1),IF(M203=0,(L203+N203)/2,IF(N203=0,(M203+L203)/2,FLOOR(((L203+M203+N203)/3),0.1))))))))</f>
        <v/>
      </c>
      <c r="P203" s="21" t="n"/>
      <c r="Q203" s="21" t="n"/>
      <c r="R203" s="27">
        <f>SUM(P203:Q203)</f>
        <v/>
      </c>
      <c r="S203" s="28" t="n"/>
      <c r="T203" s="28" t="n"/>
      <c r="U203" s="29">
        <f>IF(AND(R203=0,S203=0,T203=0),0,IF(AND(R203=0,S203=0),T203/1,IF(AND(R203=0,T203=0),S203/1,IF(AND(S203=0,T203=0),R203/1,IF(R203=0,FLOOR((S203+T203)/2,0.1),IF(S203=0,(R203+T203)/2,IF(T203=0,(S203+R203)/2,FLOOR(((R203+S203+T203)/3),0.1))))))))</f>
        <v/>
      </c>
      <c r="V203" s="21" t="n"/>
      <c r="W203" s="21" t="n"/>
      <c r="X203" s="27">
        <f>SUM(V203:W203)</f>
        <v/>
      </c>
      <c r="Y203" s="28" t="n"/>
      <c r="Z203" s="28" t="n"/>
      <c r="AA203" s="29">
        <f>IF(AND(X203=0,Y203=0,Z203=0),0,IF(AND(X203=0,Y203=0),Z203/1,IF(AND(X203=0,Z203=0),Y203/1,IF(AND(Y203=0,Z203=0),X203/1,IF(X203=0,FLOOR((Y203+Z203)/2,0.1),IF(Y203=0,(X203+Z203)/2,IF(Z203=0,(Y203+X203)/2,FLOOR(((X203+Y203+Z203)/3),0.1))))))))</f>
        <v/>
      </c>
      <c r="AB203" s="21" t="n"/>
      <c r="AC203" s="21" t="n"/>
      <c r="AD203" s="27">
        <f>SUM(AB203:AC203)</f>
        <v/>
      </c>
      <c r="AE203" s="28" t="n"/>
      <c r="AF203" s="28" t="n"/>
      <c r="AG203" s="29">
        <f>IF(AND(AD203=0,AE203=0,AF203=0),0,IF(AND(AD203=0,AE203=0),AF203/1,IF(AND(AD203=0,AF203=0),AE203/1,IF(AND(AE203=0,AF203=0),AD203/1,IF(AD203=0,FLOOR((AE203+AF203)/2,0.1),IF(AE203=0,(AD203+AF203)/2,IF(AF203=0,(AE203+AD203)/2,FLOOR(((AD203+AE203+AF203)/3),0.1))))))))</f>
        <v/>
      </c>
      <c r="AH203" s="21" t="n"/>
      <c r="AI203" s="21" t="n"/>
      <c r="AJ203" s="27">
        <f>SUM(AH203:AI203)</f>
        <v/>
      </c>
      <c r="AK203" s="28" t="n"/>
      <c r="AL203" s="28" t="n"/>
      <c r="AM203" s="29">
        <f>IF(AND(AJ203=0,AK203=0,AL203=0),0,IF(AND(AJ203=0,AK203=0),AL203/1,IF(AND(AJ203=0,AL203=0),AK203/1,IF(AND(AK203=0,AL203=0),AJ203/1,IF(AJ203=0,FLOOR((AK203+AL203)/2,0.1),IF(AK203=0,(AJ203+AL203)/2,IF(AL203=0,(AK203+AJ203)/2,FLOOR(((AJ203+AK203+AL203)/3),0.1))))))))</f>
        <v/>
      </c>
      <c r="AN203" s="21" t="n"/>
      <c r="AO203" s="21" t="n"/>
      <c r="AP203" s="27">
        <f>SUM(AN203:AO203)</f>
        <v/>
      </c>
      <c r="AQ203" s="28" t="n"/>
      <c r="AR203" s="30" t="n"/>
      <c r="AS203" s="29">
        <f>IF(AND(AP203=0,AQ203=0,AR203=0),0,IF(AND(AP203=0,AQ203=0),AR203/1,IF(AND(AP203=0,AR203=0),AQ203/1,IF(AND(AQ203=0,AR203=0),AP203/1,IF(AP203=0,FLOOR((AQ203+AR203)/2,0.1),IF(AQ203=0,(AP203+AR203)/2,IF(AR203=0,(AQ203+AP203)/2,FLOOR(((AP203+AQ203+AR203)/3),0.1))))))))</f>
        <v/>
      </c>
      <c r="AT203" s="21" t="n"/>
      <c r="AU203" s="21" t="n"/>
      <c r="AV203" s="27">
        <f>SUM(AT203:AU203)</f>
        <v/>
      </c>
      <c r="AW203" s="28" t="n"/>
      <c r="AX203" s="30" t="n"/>
      <c r="AY203" s="29">
        <f>IF(AND(AV203=0,AW203=0,AX203=0),0,IF(AND(AV203=0,AW203=0),AX203/1,IF(AND(AV203=0,AX203=0),AW203/1,IF(AND(AW203=0,AX203=0),AV203/1,IF(AV203=0,FLOOR((AW203+AX203)/2,0.1),IF(AW203=0,(AV203+AX203)/2,IF(AX203=0,(AW203+AV203)/2,FLOOR(((AV203+AW203+AX203)/3),0.1))))))))</f>
        <v/>
      </c>
      <c r="AZ203" s="21" t="n"/>
      <c r="BA203" s="21" t="n"/>
      <c r="BB203" s="27">
        <f>SUM(AZ203:BA203)</f>
        <v/>
      </c>
      <c r="BC203" s="28" t="n"/>
      <c r="BD203" s="28" t="n"/>
      <c r="BE203" s="29">
        <f>IF(AND(BB203=0,BC203=0,BD203=0),0,IF(AND(BB203=0,BC203=0),BD203/1,IF(AND(BB203=0,BD203=0),BC203/1,IF(AND(BC203=0,BD203=0),BB203/1,IF(BB203=0,FLOOR((BC203+BD203)/2,0.1),IF(BC203=0,(BB203+BD203)/2,IF(BD203=0,(BC203+BB203)/2,FLOOR(((BB203+BC203+BD203)/3),0.1))))))))</f>
        <v/>
      </c>
      <c r="BF203" s="21" t="n"/>
      <c r="BG203" s="21" t="n"/>
      <c r="BH203" s="27">
        <f>SUM(BF203:BG203)</f>
        <v/>
      </c>
      <c r="BI203" s="28" t="n"/>
      <c r="BJ203" s="28" t="n"/>
      <c r="BK203" s="29">
        <f>IF(AND(BH203=0,BI203=0,BJ203=0),0,IF(AND(BH203=0,BI203=0),BJ203/1,IF(AND(BH203=0,BJ203=0),BI203/1,IF(AND(BI203=0,BJ203=0),BH203/1,IF(BH203=0,FLOOR((BI203+BJ203)/2,0.1),IF(BI203=0,(BH203+BJ203)/2,IF(BJ203=0,(BI203+BH203)/2,FLOOR(((BH203+BI203+BJ203)/3),0.1))))))))</f>
        <v/>
      </c>
      <c r="BL203" s="21" t="n"/>
      <c r="BM203" s="21" t="n"/>
      <c r="BN203" s="27">
        <f>SUM(BL203:BM203)</f>
        <v/>
      </c>
      <c r="BO203" s="28" t="n"/>
      <c r="BP203" s="31" t="n"/>
      <c r="BQ203" s="29">
        <f>IF(AND(BN203=0,BO203=0,BP203=0),0,IF(AND(BN203=0,BO203=0),BP203/1,IF(AND(BN203=0,BP203=0),BO203/1,IF(AND(BO203=0,BP203=0),BN203/1,IF(BN203=0,FLOOR((BO203+BP203)/2,0.1),IF(BO203=0,(BN203+BP203)/2,IF(BP203=0,(BO203+BN203)/2,FLOOR(((BN203+BO203+BP203)/3),0.1))))))))</f>
        <v/>
      </c>
      <c r="BR203" s="21" t="n"/>
      <c r="BS203" s="21" t="n"/>
      <c r="BT203" s="27">
        <f>SUM(BR203:BS203)</f>
        <v/>
      </c>
      <c r="BU203" s="28" t="n"/>
      <c r="BV203" s="31" t="n"/>
      <c r="BW203" s="29">
        <f>IF(AND(BT203=0,BU203=0,BV203=0),0,IF(AND(BT203=0,BU203=0),BV203/1,IF(AND(BT203=0,BV203=0),BU203/1,IF(AND(BU203=0,BV203=0),BT203/1,IF(BT203=0,FLOOR((BU203+BV203)/2,0.1),IF(BU203=0,(BT203+BV203)/2,IF(BV203=0,(BU203+BT203)/2,FLOOR(((BT203+BU203+BV203)/3),0.1))))))))</f>
        <v/>
      </c>
      <c r="BX203" s="21" t="n"/>
      <c r="BY203" s="21" t="n"/>
      <c r="BZ203" s="27">
        <f>SUM(BX203:BY203)</f>
        <v/>
      </c>
      <c r="CA203" s="28" t="n"/>
      <c r="CB203" s="31" t="n"/>
      <c r="CC203" s="29">
        <f>IF(AND(BZ203=0,CA203=0,CB203=0),0,IF(AND(BZ203=0,CA203=0),CB203/1,IF(AND(BZ203=0,CB203=0),CA203/1,IF(AND(CA203=0,CB203=0),BZ203/1,IF(BZ203=0,FLOOR((CA203+CB203)/2,0.1),IF(CA203=0,(BZ203+CB203)/2,IF(CB203=0,(CA203+BZ203)/2,FLOOR(((BZ203+CA203+CB203)/3),0.1))))))))</f>
        <v/>
      </c>
      <c r="CD203" s="21" t="n"/>
      <c r="CE203" s="21" t="n"/>
      <c r="CF203" s="27">
        <f>SUM(CD203:CE203)</f>
        <v/>
      </c>
      <c r="CG203" s="28" t="n"/>
      <c r="CH203" s="31" t="n"/>
      <c r="CI203" s="29">
        <f>IF(AND(CF203=0,CG203=0,CH203=0),0,IF(AND(CF203=0,CG203=0),CH203/1,IF(AND(CF203=0,CH203=0),CG203/1,IF(AND(CG203=0,CH203=0),CF203/1,IF(CF203=0,FLOOR((CG203+CH203)/2,0.1),IF(CG203=0,(CF203+CH203)/2,IF(CH203=0,(CG203+CF203)/2,FLOOR(((CF203+CG203+CH203)/3),0.1))))))))</f>
        <v/>
      </c>
      <c r="CJ203" s="21" t="n"/>
      <c r="CK203" s="21" t="n"/>
      <c r="CL203" s="27">
        <f>SUM(CJ203:CK203)</f>
        <v/>
      </c>
      <c r="CM203" s="28" t="n"/>
      <c r="CN203" s="31" t="n"/>
      <c r="CO203" s="29">
        <f>IF(AND(CL203=0,CM203=0,CN203=0),0,IF(AND(CL203=0,CM203=0),CN203/1,IF(AND(CL203=0,CN203=0),CM203/1,IF(AND(CM203=0,CN203=0),CL203/1,IF(CL203=0,FLOOR((CM203+CN203)/2,0.1),IF(CM203=0,(CL203+CN203)/2,IF(CN203=0,(CM203+CL203)/2,FLOOR(((CL203+CM203+CN203)/3),0.1))))))))</f>
        <v/>
      </c>
      <c r="CP203" s="21" t="n"/>
      <c r="CQ203" s="21" t="n"/>
      <c r="CR203" s="27">
        <f>SUM(CP203:CQ203)</f>
        <v/>
      </c>
      <c r="CS203" s="28" t="n"/>
      <c r="CT203" s="31" t="n"/>
      <c r="CU203" s="29">
        <f>IF(AND(CR203=0,CS203=0,CT203=0),0,IF(AND(CR203=0,CS203=0),CT203/1,IF(AND(CR203=0,CT203=0),CS203/1,IF(AND(CS203=0,CT203=0),CR203/1,IF(CR203=0,FLOOR((CS203+CT203)/2,0.1),IF(CS203=0,(CR203+CT203)/2,IF(CT203=0,(CS203+CR203)/2,FLOOR(((CR203+CS203+CT203)/3),0.1))))))))</f>
        <v/>
      </c>
      <c r="CV203" s="21" t="n"/>
      <c r="CW203" s="21" t="n"/>
      <c r="CX203" s="27">
        <f>SUM(CV203:CW203)</f>
        <v/>
      </c>
      <c r="CY203" s="28" t="n"/>
      <c r="CZ203" s="31" t="n"/>
      <c r="DA203" s="29">
        <f>IF(AND(CX203=0,CY203=0,CZ203=0),0,IF(AND(CX203=0,CY203=0),CZ203/1,IF(AND(CX203=0,CZ203=0),CY203/1,IF(AND(CY203=0,CZ203=0),CX203/1,IF(CX203=0,FLOOR((CY203+CZ203)/2,0.1),IF(CY203=0,(CX203+CZ203)/2,IF(CZ203=0,(CY203+CX203)/2,FLOOR(((CX203+CY203+CZ203)/3),0.1))))))))</f>
        <v/>
      </c>
      <c r="DB203" s="21" t="n"/>
      <c r="DC203" s="21" t="n"/>
      <c r="DD203" s="27">
        <f>SUM(DB203:DC203)</f>
        <v/>
      </c>
      <c r="DE203" s="28" t="n"/>
      <c r="DF203" s="31" t="n"/>
      <c r="DG203" s="29">
        <f>IF(AND(DD203=0,DE203=0,DF203=0),0,IF(AND(DD203=0,DE203=0),DF203/1,IF(AND(DD203=0,DF203=0),DE203/1,IF(AND(DE203=0,DF203=0),DD203/1,IF(DD203=0,FLOOR((DE203+DF203)/2,0.1),IF(DE203=0,(DD203+DF203)/2,IF(DF203=0,(DE203+DD203)/2,FLOOR(((DD203+DE203+DF203)/3),0.1))))))))</f>
        <v/>
      </c>
      <c r="DH203" s="34">
        <f>SUM(O203,U203,AA203,AG203,AM203,AS203,AY203,BE203,BK203,BQ203,BW203,CC203,CI203,CO203,CU203,DA203,DG203)</f>
        <v/>
      </c>
      <c r="DI203" s="39">
        <f>RANK(DH203,DH$4:DH$503)</f>
        <v/>
      </c>
      <c r="DJ203" s="40" t="inlineStr">
        <is>
          <t>CHOOSE RATING</t>
        </is>
      </c>
      <c r="DK203" s="40" t="inlineStr">
        <is>
          <t>CHOOSE RATING</t>
        </is>
      </c>
      <c r="DL203" s="40" t="inlineStr">
        <is>
          <t>CHOOSE RATING</t>
        </is>
      </c>
      <c r="DM203" s="40" t="inlineStr">
        <is>
          <t>CHOOSE RATING</t>
        </is>
      </c>
      <c r="DN203" s="40" t="inlineStr">
        <is>
          <t>CHOOSE RATING</t>
        </is>
      </c>
      <c r="DO203" s="40" t="inlineStr">
        <is>
          <t>CHOOSE RATING</t>
        </is>
      </c>
      <c r="DP203" s="40" t="inlineStr">
        <is>
          <t>CHOOSE RATING</t>
        </is>
      </c>
      <c r="DQ203" s="40" t="inlineStr">
        <is>
          <t>CHOOSE RATING</t>
        </is>
      </c>
      <c r="DR203" s="43" t="inlineStr">
        <is>
          <t>2024/2025</t>
        </is>
      </c>
      <c r="DS203" s="45" t="inlineStr">
        <is>
          <t>THIRD</t>
        </is>
      </c>
      <c r="DT203" s="40" t="inlineStr">
        <is>
          <t>CHOOSE RATING</t>
        </is>
      </c>
      <c r="DU203" s="40" t="inlineStr">
        <is>
          <t>CHOOSE RATING</t>
        </is>
      </c>
      <c r="DV203" s="40" t="inlineStr">
        <is>
          <t>CHOOSE RATING</t>
        </is>
      </c>
      <c r="DW203" s="40" t="inlineStr">
        <is>
          <t>CHOOSE RATING</t>
        </is>
      </c>
      <c r="DX203" s="40" t="inlineStr">
        <is>
          <t>CHOOSE RATING</t>
        </is>
      </c>
      <c r="DY203" s="40" t="inlineStr">
        <is>
          <t>CHOOSE RATING</t>
        </is>
      </c>
      <c r="DZ203" s="53" t="inlineStr">
        <is>
          <t>CHOOSE RATING</t>
        </is>
      </c>
      <c r="EA203" s="54" t="inlineStr">
        <is>
          <t>Add the Tutor's Comment . . .</t>
        </is>
      </c>
      <c r="EB203" s="55" t="inlineStr">
        <is>
          <t>Choose Principals comment</t>
        </is>
      </c>
      <c r="EC203" s="56" t="n"/>
      <c r="ED203" s="57" t="inlineStr">
        <is>
          <t>Next Term Begins on Monday, 22nd September, 2025</t>
        </is>
      </c>
    </row>
    <row r="204" ht="30.6" customHeight="1" s="6">
      <c r="A204" s="18" t="n">
        <v>201</v>
      </c>
      <c r="B204" s="19" t="n"/>
      <c r="C204" s="20" t="n"/>
      <c r="D204" s="128" t="n"/>
      <c r="E204" s="21" t="n"/>
      <c r="F204" s="22" t="n"/>
      <c r="G204" s="22" t="n"/>
      <c r="H204" s="22" t="n"/>
      <c r="I204" s="26">
        <f>G204-H204</f>
        <v/>
      </c>
      <c r="J204" s="21" t="n"/>
      <c r="K204" s="21" t="n"/>
      <c r="L204" s="27">
        <f>SUM(J204:K204)</f>
        <v/>
      </c>
      <c r="M204" s="28" t="n"/>
      <c r="N204" s="28" t="n"/>
      <c r="O204" s="29">
        <f>IF(AND(L204=0,M204=0,N204=0),0,IF(AND(L204=0,M204=0),N204/1,IF(AND(L204=0,N204=0),M204/1,IF(AND(M204=0,N204=0),L204/1,IF(L204=0,FLOOR((M204+N204)/2,0.1),IF(M204=0,(L204+N204)/2,IF(N204=0,(M204+L204)/2,FLOOR(((L204+M204+N204)/3),0.1))))))))</f>
        <v/>
      </c>
      <c r="P204" s="21" t="n"/>
      <c r="Q204" s="21" t="n"/>
      <c r="R204" s="27">
        <f>SUM(P204:Q204)</f>
        <v/>
      </c>
      <c r="S204" s="28" t="n"/>
      <c r="T204" s="28" t="n"/>
      <c r="U204" s="29">
        <f>IF(AND(R204=0,S204=0,T204=0),0,IF(AND(R204=0,S204=0),T204/1,IF(AND(R204=0,T204=0),S204/1,IF(AND(S204=0,T204=0),R204/1,IF(R204=0,FLOOR((S204+T204)/2,0.1),IF(S204=0,(R204+T204)/2,IF(T204=0,(S204+R204)/2,FLOOR(((R204+S204+T204)/3),0.1))))))))</f>
        <v/>
      </c>
      <c r="V204" s="21" t="n"/>
      <c r="W204" s="21" t="n"/>
      <c r="X204" s="27">
        <f>SUM(V204:W204)</f>
        <v/>
      </c>
      <c r="Y204" s="28" t="n"/>
      <c r="Z204" s="28" t="n"/>
      <c r="AA204" s="29">
        <f>IF(AND(X204=0,Y204=0,Z204=0),0,IF(AND(X204=0,Y204=0),Z204/1,IF(AND(X204=0,Z204=0),Y204/1,IF(AND(Y204=0,Z204=0),X204/1,IF(X204=0,FLOOR((Y204+Z204)/2,0.1),IF(Y204=0,(X204+Z204)/2,IF(Z204=0,(Y204+X204)/2,FLOOR(((X204+Y204+Z204)/3),0.1))))))))</f>
        <v/>
      </c>
      <c r="AB204" s="21" t="n"/>
      <c r="AC204" s="21" t="n"/>
      <c r="AD204" s="27">
        <f>SUM(AB204:AC204)</f>
        <v/>
      </c>
      <c r="AE204" s="28" t="n"/>
      <c r="AF204" s="28" t="n"/>
      <c r="AG204" s="29">
        <f>IF(AND(AD204=0,AE204=0,AF204=0),0,IF(AND(AD204=0,AE204=0),AF204/1,IF(AND(AD204=0,AF204=0),AE204/1,IF(AND(AE204=0,AF204=0),AD204/1,IF(AD204=0,FLOOR((AE204+AF204)/2,0.1),IF(AE204=0,(AD204+AF204)/2,IF(AF204=0,(AE204+AD204)/2,FLOOR(((AD204+AE204+AF204)/3),0.1))))))))</f>
        <v/>
      </c>
      <c r="AH204" s="21" t="n"/>
      <c r="AI204" s="21" t="n"/>
      <c r="AJ204" s="27">
        <f>SUM(AH204:AI204)</f>
        <v/>
      </c>
      <c r="AK204" s="28" t="n"/>
      <c r="AL204" s="28" t="n"/>
      <c r="AM204" s="29">
        <f>IF(AND(AJ204=0,AK204=0,AL204=0),0,IF(AND(AJ204=0,AK204=0),AL204/1,IF(AND(AJ204=0,AL204=0),AK204/1,IF(AND(AK204=0,AL204=0),AJ204/1,IF(AJ204=0,FLOOR((AK204+AL204)/2,0.1),IF(AK204=0,(AJ204+AL204)/2,IF(AL204=0,(AK204+AJ204)/2,FLOOR(((AJ204+AK204+AL204)/3),0.1))))))))</f>
        <v/>
      </c>
      <c r="AN204" s="21" t="n"/>
      <c r="AO204" s="21" t="n"/>
      <c r="AP204" s="27">
        <f>SUM(AN204:AO204)</f>
        <v/>
      </c>
      <c r="AQ204" s="28" t="n"/>
      <c r="AR204" s="30" t="n"/>
      <c r="AS204" s="29">
        <f>IF(AND(AP204=0,AQ204=0,AR204=0),0,IF(AND(AP204=0,AQ204=0),AR204/1,IF(AND(AP204=0,AR204=0),AQ204/1,IF(AND(AQ204=0,AR204=0),AP204/1,IF(AP204=0,FLOOR((AQ204+AR204)/2,0.1),IF(AQ204=0,(AP204+AR204)/2,IF(AR204=0,(AQ204+AP204)/2,FLOOR(((AP204+AQ204+AR204)/3),0.1))))))))</f>
        <v/>
      </c>
      <c r="AT204" s="21" t="n"/>
      <c r="AU204" s="21" t="n"/>
      <c r="AV204" s="27">
        <f>SUM(AT204:AU204)</f>
        <v/>
      </c>
      <c r="AW204" s="28" t="n"/>
      <c r="AX204" s="30" t="n"/>
      <c r="AY204" s="29">
        <f>IF(AND(AV204=0,AW204=0,AX204=0),0,IF(AND(AV204=0,AW204=0),AX204/1,IF(AND(AV204=0,AX204=0),AW204/1,IF(AND(AW204=0,AX204=0),AV204/1,IF(AV204=0,FLOOR((AW204+AX204)/2,0.1),IF(AW204=0,(AV204+AX204)/2,IF(AX204=0,(AW204+AV204)/2,FLOOR(((AV204+AW204+AX204)/3),0.1))))))))</f>
        <v/>
      </c>
      <c r="AZ204" s="21" t="n"/>
      <c r="BA204" s="21" t="n"/>
      <c r="BB204" s="27">
        <f>SUM(AZ204:BA204)</f>
        <v/>
      </c>
      <c r="BC204" s="28" t="n"/>
      <c r="BD204" s="28" t="n"/>
      <c r="BE204" s="29">
        <f>IF(AND(BB204=0,BC204=0,BD204=0),0,IF(AND(BB204=0,BC204=0),BD204/1,IF(AND(BB204=0,BD204=0),BC204/1,IF(AND(BC204=0,BD204=0),BB204/1,IF(BB204=0,FLOOR((BC204+BD204)/2,0.1),IF(BC204=0,(BB204+BD204)/2,IF(BD204=0,(BC204+BB204)/2,FLOOR(((BB204+BC204+BD204)/3),0.1))))))))</f>
        <v/>
      </c>
      <c r="BF204" s="21" t="n"/>
      <c r="BG204" s="21" t="n"/>
      <c r="BH204" s="27">
        <f>SUM(BF204:BG204)</f>
        <v/>
      </c>
      <c r="BI204" s="28" t="n"/>
      <c r="BJ204" s="28" t="n"/>
      <c r="BK204" s="29">
        <f>IF(AND(BH204=0,BI204=0,BJ204=0),0,IF(AND(BH204=0,BI204=0),BJ204/1,IF(AND(BH204=0,BJ204=0),BI204/1,IF(AND(BI204=0,BJ204=0),BH204/1,IF(BH204=0,FLOOR((BI204+BJ204)/2,0.1),IF(BI204=0,(BH204+BJ204)/2,IF(BJ204=0,(BI204+BH204)/2,FLOOR(((BH204+BI204+BJ204)/3),0.1))))))))</f>
        <v/>
      </c>
      <c r="BL204" s="21" t="n"/>
      <c r="BM204" s="21" t="n"/>
      <c r="BN204" s="27">
        <f>SUM(BL204:BM204)</f>
        <v/>
      </c>
      <c r="BO204" s="28" t="n"/>
      <c r="BP204" s="31" t="n"/>
      <c r="BQ204" s="29">
        <f>IF(AND(BN204=0,BO204=0,BP204=0),0,IF(AND(BN204=0,BO204=0),BP204/1,IF(AND(BN204=0,BP204=0),BO204/1,IF(AND(BO204=0,BP204=0),BN204/1,IF(BN204=0,FLOOR((BO204+BP204)/2,0.1),IF(BO204=0,(BN204+BP204)/2,IF(BP204=0,(BO204+BN204)/2,FLOOR(((BN204+BO204+BP204)/3),0.1))))))))</f>
        <v/>
      </c>
      <c r="BR204" s="21" t="n"/>
      <c r="BS204" s="21" t="n"/>
      <c r="BT204" s="27">
        <f>SUM(BR204:BS204)</f>
        <v/>
      </c>
      <c r="BU204" s="28" t="n"/>
      <c r="BV204" s="31" t="n"/>
      <c r="BW204" s="29">
        <f>IF(AND(BT204=0,BU204=0,BV204=0),0,IF(AND(BT204=0,BU204=0),BV204/1,IF(AND(BT204=0,BV204=0),BU204/1,IF(AND(BU204=0,BV204=0),BT204/1,IF(BT204=0,FLOOR((BU204+BV204)/2,0.1),IF(BU204=0,(BT204+BV204)/2,IF(BV204=0,(BU204+BT204)/2,FLOOR(((BT204+BU204+BV204)/3),0.1))))))))</f>
        <v/>
      </c>
      <c r="BX204" s="21" t="n"/>
      <c r="BY204" s="21" t="n"/>
      <c r="BZ204" s="27">
        <f>SUM(BX204:BY204)</f>
        <v/>
      </c>
      <c r="CA204" s="28" t="n"/>
      <c r="CB204" s="31" t="n"/>
      <c r="CC204" s="29">
        <f>IF(AND(BZ204=0,CA204=0,CB204=0),0,IF(AND(BZ204=0,CA204=0),CB204/1,IF(AND(BZ204=0,CB204=0),CA204/1,IF(AND(CA204=0,CB204=0),BZ204/1,IF(BZ204=0,FLOOR((CA204+CB204)/2,0.1),IF(CA204=0,(BZ204+CB204)/2,IF(CB204=0,(CA204+BZ204)/2,FLOOR(((BZ204+CA204+CB204)/3),0.1))))))))</f>
        <v/>
      </c>
      <c r="CD204" s="21" t="n"/>
      <c r="CE204" s="21" t="n"/>
      <c r="CF204" s="27">
        <f>SUM(CD204:CE204)</f>
        <v/>
      </c>
      <c r="CG204" s="28" t="n"/>
      <c r="CH204" s="31" t="n"/>
      <c r="CI204" s="29">
        <f>IF(AND(CF204=0,CG204=0,CH204=0),0,IF(AND(CF204=0,CG204=0),CH204/1,IF(AND(CF204=0,CH204=0),CG204/1,IF(AND(CG204=0,CH204=0),CF204/1,IF(CF204=0,FLOOR((CG204+CH204)/2,0.1),IF(CG204=0,(CF204+CH204)/2,IF(CH204=0,(CG204+CF204)/2,FLOOR(((CF204+CG204+CH204)/3),0.1))))))))</f>
        <v/>
      </c>
      <c r="CJ204" s="21" t="n"/>
      <c r="CK204" s="21" t="n"/>
      <c r="CL204" s="27">
        <f>SUM(CJ204:CK204)</f>
        <v/>
      </c>
      <c r="CM204" s="28" t="n"/>
      <c r="CN204" s="31" t="n"/>
      <c r="CO204" s="29">
        <f>IF(AND(CL204=0,CM204=0,CN204=0),0,IF(AND(CL204=0,CM204=0),CN204/1,IF(AND(CL204=0,CN204=0),CM204/1,IF(AND(CM204=0,CN204=0),CL204/1,IF(CL204=0,FLOOR((CM204+CN204)/2,0.1),IF(CM204=0,(CL204+CN204)/2,IF(CN204=0,(CM204+CL204)/2,FLOOR(((CL204+CM204+CN204)/3),0.1))))))))</f>
        <v/>
      </c>
      <c r="CP204" s="21" t="n"/>
      <c r="CQ204" s="21" t="n"/>
      <c r="CR204" s="27">
        <f>SUM(CP204:CQ204)</f>
        <v/>
      </c>
      <c r="CS204" s="28" t="n"/>
      <c r="CT204" s="31" t="n"/>
      <c r="CU204" s="29">
        <f>IF(AND(CR204=0,CS204=0,CT204=0),0,IF(AND(CR204=0,CS204=0),CT204/1,IF(AND(CR204=0,CT204=0),CS204/1,IF(AND(CS204=0,CT204=0),CR204/1,IF(CR204=0,FLOOR((CS204+CT204)/2,0.1),IF(CS204=0,(CR204+CT204)/2,IF(CT204=0,(CS204+CR204)/2,FLOOR(((CR204+CS204+CT204)/3),0.1))))))))</f>
        <v/>
      </c>
      <c r="CV204" s="21" t="n"/>
      <c r="CW204" s="21" t="n"/>
      <c r="CX204" s="27">
        <f>SUM(CV204:CW204)</f>
        <v/>
      </c>
      <c r="CY204" s="28" t="n"/>
      <c r="CZ204" s="31" t="n"/>
      <c r="DA204" s="29">
        <f>IF(AND(CX204=0,CY204=0,CZ204=0),0,IF(AND(CX204=0,CY204=0),CZ204/1,IF(AND(CX204=0,CZ204=0),CY204/1,IF(AND(CY204=0,CZ204=0),CX204/1,IF(CX204=0,FLOOR((CY204+CZ204)/2,0.1),IF(CY204=0,(CX204+CZ204)/2,IF(CZ204=0,(CY204+CX204)/2,FLOOR(((CX204+CY204+CZ204)/3),0.1))))))))</f>
        <v/>
      </c>
      <c r="DB204" s="21" t="n"/>
      <c r="DC204" s="21" t="n"/>
      <c r="DD204" s="27">
        <f>SUM(DB204:DC204)</f>
        <v/>
      </c>
      <c r="DE204" s="28" t="n"/>
      <c r="DF204" s="31" t="n"/>
      <c r="DG204" s="29">
        <f>IF(AND(DD204=0,DE204=0,DF204=0),0,IF(AND(DD204=0,DE204=0),DF204/1,IF(AND(DD204=0,DF204=0),DE204/1,IF(AND(DE204=0,DF204=0),DD204/1,IF(DD204=0,FLOOR((DE204+DF204)/2,0.1),IF(DE204=0,(DD204+DF204)/2,IF(DF204=0,(DE204+DD204)/2,FLOOR(((DD204+DE204+DF204)/3),0.1))))))))</f>
        <v/>
      </c>
      <c r="DH204" s="34">
        <f>SUM(O204,U204,AA204,AG204,AM204,AS204,AY204,BE204,BK204,BQ204,BW204,CC204,CI204,CO204,CU204,DA204,DG204)</f>
        <v/>
      </c>
      <c r="DI204" s="39">
        <f>RANK(DH204,DH$4:DH$503)</f>
        <v/>
      </c>
      <c r="DJ204" s="40" t="inlineStr">
        <is>
          <t>CHOOSE RATING</t>
        </is>
      </c>
      <c r="DK204" s="40" t="inlineStr">
        <is>
          <t>CHOOSE RATING</t>
        </is>
      </c>
      <c r="DL204" s="40" t="inlineStr">
        <is>
          <t>CHOOSE RATING</t>
        </is>
      </c>
      <c r="DM204" s="40" t="inlineStr">
        <is>
          <t>CHOOSE RATING</t>
        </is>
      </c>
      <c r="DN204" s="40" t="inlineStr">
        <is>
          <t>CHOOSE RATING</t>
        </is>
      </c>
      <c r="DO204" s="40" t="inlineStr">
        <is>
          <t>CHOOSE RATING</t>
        </is>
      </c>
      <c r="DP204" s="40" t="inlineStr">
        <is>
          <t>CHOOSE RATING</t>
        </is>
      </c>
      <c r="DQ204" s="40" t="inlineStr">
        <is>
          <t>CHOOSE RATING</t>
        </is>
      </c>
      <c r="DR204" s="43" t="inlineStr">
        <is>
          <t>2024/2025</t>
        </is>
      </c>
      <c r="DS204" s="45" t="inlineStr">
        <is>
          <t>THIRD</t>
        </is>
      </c>
      <c r="DT204" s="40" t="inlineStr">
        <is>
          <t>CHOOSE RATING</t>
        </is>
      </c>
      <c r="DU204" s="40" t="inlineStr">
        <is>
          <t>CHOOSE RATING</t>
        </is>
      </c>
      <c r="DV204" s="40" t="inlineStr">
        <is>
          <t>CHOOSE RATING</t>
        </is>
      </c>
      <c r="DW204" s="40" t="inlineStr">
        <is>
          <t>CHOOSE RATING</t>
        </is>
      </c>
      <c r="DX204" s="40" t="inlineStr">
        <is>
          <t>CHOOSE RATING</t>
        </is>
      </c>
      <c r="DY204" s="40" t="inlineStr">
        <is>
          <t>CHOOSE RATING</t>
        </is>
      </c>
      <c r="DZ204" s="53" t="inlineStr">
        <is>
          <t>CHOOSE RATING</t>
        </is>
      </c>
      <c r="EA204" s="54" t="inlineStr">
        <is>
          <t>Add the Tutor's Comment . . .</t>
        </is>
      </c>
      <c r="EB204" s="55" t="inlineStr">
        <is>
          <t>Choose Principals comment</t>
        </is>
      </c>
      <c r="EC204" s="56" t="n"/>
      <c r="ED204" s="57" t="inlineStr">
        <is>
          <t>Next Term Begins on Monday, 22nd September, 2025</t>
        </is>
      </c>
    </row>
    <row r="205" ht="30.6" customHeight="1" s="6">
      <c r="A205" s="18" t="n">
        <v>202</v>
      </c>
      <c r="B205" s="19" t="n"/>
      <c r="C205" s="20" t="n"/>
      <c r="D205" s="128" t="n"/>
      <c r="E205" s="21" t="n"/>
      <c r="F205" s="22" t="n"/>
      <c r="G205" s="22" t="n"/>
      <c r="H205" s="22" t="n"/>
      <c r="I205" s="26">
        <f>G205-H205</f>
        <v/>
      </c>
      <c r="J205" s="21" t="n"/>
      <c r="K205" s="21" t="n"/>
      <c r="L205" s="27">
        <f>SUM(J205:K205)</f>
        <v/>
      </c>
      <c r="M205" s="28" t="n"/>
      <c r="N205" s="28" t="n"/>
      <c r="O205" s="29">
        <f>IF(AND(L205=0,M205=0,N205=0),0,IF(AND(L205=0,M205=0),N205/1,IF(AND(L205=0,N205=0),M205/1,IF(AND(M205=0,N205=0),L205/1,IF(L205=0,FLOOR((M205+N205)/2,0.1),IF(M205=0,(L205+N205)/2,IF(N205=0,(M205+L205)/2,FLOOR(((L205+M205+N205)/3),0.1))))))))</f>
        <v/>
      </c>
      <c r="P205" s="21" t="n"/>
      <c r="Q205" s="21" t="n"/>
      <c r="R205" s="27">
        <f>SUM(P205:Q205)</f>
        <v/>
      </c>
      <c r="S205" s="28" t="n"/>
      <c r="T205" s="28" t="n"/>
      <c r="U205" s="29">
        <f>IF(AND(R205=0,S205=0,T205=0),0,IF(AND(R205=0,S205=0),T205/1,IF(AND(R205=0,T205=0),S205/1,IF(AND(S205=0,T205=0),R205/1,IF(R205=0,FLOOR((S205+T205)/2,0.1),IF(S205=0,(R205+T205)/2,IF(T205=0,(S205+R205)/2,FLOOR(((R205+S205+T205)/3),0.1))))))))</f>
        <v/>
      </c>
      <c r="V205" s="21" t="n"/>
      <c r="W205" s="21" t="n"/>
      <c r="X205" s="27">
        <f>SUM(V205:W205)</f>
        <v/>
      </c>
      <c r="Y205" s="28" t="n"/>
      <c r="Z205" s="28" t="n"/>
      <c r="AA205" s="29">
        <f>IF(AND(X205=0,Y205=0,Z205=0),0,IF(AND(X205=0,Y205=0),Z205/1,IF(AND(X205=0,Z205=0),Y205/1,IF(AND(Y205=0,Z205=0),X205/1,IF(X205=0,FLOOR((Y205+Z205)/2,0.1),IF(Y205=0,(X205+Z205)/2,IF(Z205=0,(Y205+X205)/2,FLOOR(((X205+Y205+Z205)/3),0.1))))))))</f>
        <v/>
      </c>
      <c r="AB205" s="21" t="n"/>
      <c r="AC205" s="21" t="n"/>
      <c r="AD205" s="27">
        <f>SUM(AB205:AC205)</f>
        <v/>
      </c>
      <c r="AE205" s="28" t="n"/>
      <c r="AF205" s="28" t="n"/>
      <c r="AG205" s="29">
        <f>IF(AND(AD205=0,AE205=0,AF205=0),0,IF(AND(AD205=0,AE205=0),AF205/1,IF(AND(AD205=0,AF205=0),AE205/1,IF(AND(AE205=0,AF205=0),AD205/1,IF(AD205=0,FLOOR((AE205+AF205)/2,0.1),IF(AE205=0,(AD205+AF205)/2,IF(AF205=0,(AE205+AD205)/2,FLOOR(((AD205+AE205+AF205)/3),0.1))))))))</f>
        <v/>
      </c>
      <c r="AH205" s="21" t="n"/>
      <c r="AI205" s="21" t="n"/>
      <c r="AJ205" s="27">
        <f>SUM(AH205:AI205)</f>
        <v/>
      </c>
      <c r="AK205" s="28" t="n"/>
      <c r="AL205" s="28" t="n"/>
      <c r="AM205" s="29">
        <f>IF(AND(AJ205=0,AK205=0,AL205=0),0,IF(AND(AJ205=0,AK205=0),AL205/1,IF(AND(AJ205=0,AL205=0),AK205/1,IF(AND(AK205=0,AL205=0),AJ205/1,IF(AJ205=0,FLOOR((AK205+AL205)/2,0.1),IF(AK205=0,(AJ205+AL205)/2,IF(AL205=0,(AK205+AJ205)/2,FLOOR(((AJ205+AK205+AL205)/3),0.1))))))))</f>
        <v/>
      </c>
      <c r="AN205" s="21" t="n"/>
      <c r="AO205" s="21" t="n"/>
      <c r="AP205" s="27">
        <f>SUM(AN205:AO205)</f>
        <v/>
      </c>
      <c r="AQ205" s="28" t="n"/>
      <c r="AR205" s="30" t="n"/>
      <c r="AS205" s="29">
        <f>IF(AND(AP205=0,AQ205=0,AR205=0),0,IF(AND(AP205=0,AQ205=0),AR205/1,IF(AND(AP205=0,AR205=0),AQ205/1,IF(AND(AQ205=0,AR205=0),AP205/1,IF(AP205=0,FLOOR((AQ205+AR205)/2,0.1),IF(AQ205=0,(AP205+AR205)/2,IF(AR205=0,(AQ205+AP205)/2,FLOOR(((AP205+AQ205+AR205)/3),0.1))))))))</f>
        <v/>
      </c>
      <c r="AT205" s="21" t="n"/>
      <c r="AU205" s="21" t="n"/>
      <c r="AV205" s="27">
        <f>SUM(AT205:AU205)</f>
        <v/>
      </c>
      <c r="AW205" s="28" t="n"/>
      <c r="AX205" s="30" t="n"/>
      <c r="AY205" s="29">
        <f>IF(AND(AV205=0,AW205=0,AX205=0),0,IF(AND(AV205=0,AW205=0),AX205/1,IF(AND(AV205=0,AX205=0),AW205/1,IF(AND(AW205=0,AX205=0),AV205/1,IF(AV205=0,FLOOR((AW205+AX205)/2,0.1),IF(AW205=0,(AV205+AX205)/2,IF(AX205=0,(AW205+AV205)/2,FLOOR(((AV205+AW205+AX205)/3),0.1))))))))</f>
        <v/>
      </c>
      <c r="AZ205" s="21" t="n"/>
      <c r="BA205" s="21" t="n"/>
      <c r="BB205" s="27">
        <f>SUM(AZ205:BA205)</f>
        <v/>
      </c>
      <c r="BC205" s="28" t="n"/>
      <c r="BD205" s="28" t="n"/>
      <c r="BE205" s="29">
        <f>IF(AND(BB205=0,BC205=0,BD205=0),0,IF(AND(BB205=0,BC205=0),BD205/1,IF(AND(BB205=0,BD205=0),BC205/1,IF(AND(BC205=0,BD205=0),BB205/1,IF(BB205=0,FLOOR((BC205+BD205)/2,0.1),IF(BC205=0,(BB205+BD205)/2,IF(BD205=0,(BC205+BB205)/2,FLOOR(((BB205+BC205+BD205)/3),0.1))))))))</f>
        <v/>
      </c>
      <c r="BF205" s="21" t="n"/>
      <c r="BG205" s="21" t="n"/>
      <c r="BH205" s="27">
        <f>SUM(BF205:BG205)</f>
        <v/>
      </c>
      <c r="BI205" s="28" t="n"/>
      <c r="BJ205" s="28" t="n"/>
      <c r="BK205" s="29">
        <f>IF(AND(BH205=0,BI205=0,BJ205=0),0,IF(AND(BH205=0,BI205=0),BJ205/1,IF(AND(BH205=0,BJ205=0),BI205/1,IF(AND(BI205=0,BJ205=0),BH205/1,IF(BH205=0,FLOOR((BI205+BJ205)/2,0.1),IF(BI205=0,(BH205+BJ205)/2,IF(BJ205=0,(BI205+BH205)/2,FLOOR(((BH205+BI205+BJ205)/3),0.1))))))))</f>
        <v/>
      </c>
      <c r="BL205" s="21" t="n"/>
      <c r="BM205" s="21" t="n"/>
      <c r="BN205" s="27">
        <f>SUM(BL205:BM205)</f>
        <v/>
      </c>
      <c r="BO205" s="28" t="n"/>
      <c r="BP205" s="31" t="n"/>
      <c r="BQ205" s="29">
        <f>IF(AND(BN205=0,BO205=0,BP205=0),0,IF(AND(BN205=0,BO205=0),BP205/1,IF(AND(BN205=0,BP205=0),BO205/1,IF(AND(BO205=0,BP205=0),BN205/1,IF(BN205=0,FLOOR((BO205+BP205)/2,0.1),IF(BO205=0,(BN205+BP205)/2,IF(BP205=0,(BO205+BN205)/2,FLOOR(((BN205+BO205+BP205)/3),0.1))))))))</f>
        <v/>
      </c>
      <c r="BR205" s="21" t="n"/>
      <c r="BS205" s="21" t="n"/>
      <c r="BT205" s="27">
        <f>SUM(BR205:BS205)</f>
        <v/>
      </c>
      <c r="BU205" s="28" t="n"/>
      <c r="BV205" s="31" t="n"/>
      <c r="BW205" s="29">
        <f>IF(AND(BT205=0,BU205=0,BV205=0),0,IF(AND(BT205=0,BU205=0),BV205/1,IF(AND(BT205=0,BV205=0),BU205/1,IF(AND(BU205=0,BV205=0),BT205/1,IF(BT205=0,FLOOR((BU205+BV205)/2,0.1),IF(BU205=0,(BT205+BV205)/2,IF(BV205=0,(BU205+BT205)/2,FLOOR(((BT205+BU205+BV205)/3),0.1))))))))</f>
        <v/>
      </c>
      <c r="BX205" s="21" t="n"/>
      <c r="BY205" s="21" t="n"/>
      <c r="BZ205" s="27">
        <f>SUM(BX205:BY205)</f>
        <v/>
      </c>
      <c r="CA205" s="28" t="n"/>
      <c r="CB205" s="31" t="n"/>
      <c r="CC205" s="29">
        <f>IF(AND(BZ205=0,CA205=0,CB205=0),0,IF(AND(BZ205=0,CA205=0),CB205/1,IF(AND(BZ205=0,CB205=0),CA205/1,IF(AND(CA205=0,CB205=0),BZ205/1,IF(BZ205=0,FLOOR((CA205+CB205)/2,0.1),IF(CA205=0,(BZ205+CB205)/2,IF(CB205=0,(CA205+BZ205)/2,FLOOR(((BZ205+CA205+CB205)/3),0.1))))))))</f>
        <v/>
      </c>
      <c r="CD205" s="21" t="n"/>
      <c r="CE205" s="21" t="n"/>
      <c r="CF205" s="27">
        <f>SUM(CD205:CE205)</f>
        <v/>
      </c>
      <c r="CG205" s="28" t="n"/>
      <c r="CH205" s="31" t="n"/>
      <c r="CI205" s="29">
        <f>IF(AND(CF205=0,CG205=0,CH205=0),0,IF(AND(CF205=0,CG205=0),CH205/1,IF(AND(CF205=0,CH205=0),CG205/1,IF(AND(CG205=0,CH205=0),CF205/1,IF(CF205=0,FLOOR((CG205+CH205)/2,0.1),IF(CG205=0,(CF205+CH205)/2,IF(CH205=0,(CG205+CF205)/2,FLOOR(((CF205+CG205+CH205)/3),0.1))))))))</f>
        <v/>
      </c>
      <c r="CJ205" s="21" t="n"/>
      <c r="CK205" s="21" t="n"/>
      <c r="CL205" s="27">
        <f>SUM(CJ205:CK205)</f>
        <v/>
      </c>
      <c r="CM205" s="28" t="n"/>
      <c r="CN205" s="31" t="n"/>
      <c r="CO205" s="29">
        <f>IF(AND(CL205=0,CM205=0,CN205=0),0,IF(AND(CL205=0,CM205=0),CN205/1,IF(AND(CL205=0,CN205=0),CM205/1,IF(AND(CM205=0,CN205=0),CL205/1,IF(CL205=0,FLOOR((CM205+CN205)/2,0.1),IF(CM205=0,(CL205+CN205)/2,IF(CN205=0,(CM205+CL205)/2,FLOOR(((CL205+CM205+CN205)/3),0.1))))))))</f>
        <v/>
      </c>
      <c r="CP205" s="21" t="n"/>
      <c r="CQ205" s="21" t="n"/>
      <c r="CR205" s="27">
        <f>SUM(CP205:CQ205)</f>
        <v/>
      </c>
      <c r="CS205" s="28" t="n"/>
      <c r="CT205" s="31" t="n"/>
      <c r="CU205" s="29">
        <f>IF(AND(CR205=0,CS205=0,CT205=0),0,IF(AND(CR205=0,CS205=0),CT205/1,IF(AND(CR205=0,CT205=0),CS205/1,IF(AND(CS205=0,CT205=0),CR205/1,IF(CR205=0,FLOOR((CS205+CT205)/2,0.1),IF(CS205=0,(CR205+CT205)/2,IF(CT205=0,(CS205+CR205)/2,FLOOR(((CR205+CS205+CT205)/3),0.1))))))))</f>
        <v/>
      </c>
      <c r="CV205" s="21" t="n"/>
      <c r="CW205" s="21" t="n"/>
      <c r="CX205" s="27">
        <f>SUM(CV205:CW205)</f>
        <v/>
      </c>
      <c r="CY205" s="28" t="n"/>
      <c r="CZ205" s="31" t="n"/>
      <c r="DA205" s="29">
        <f>IF(AND(CX205=0,CY205=0,CZ205=0),0,IF(AND(CX205=0,CY205=0),CZ205/1,IF(AND(CX205=0,CZ205=0),CY205/1,IF(AND(CY205=0,CZ205=0),CX205/1,IF(CX205=0,FLOOR((CY205+CZ205)/2,0.1),IF(CY205=0,(CX205+CZ205)/2,IF(CZ205=0,(CY205+CX205)/2,FLOOR(((CX205+CY205+CZ205)/3),0.1))))))))</f>
        <v/>
      </c>
      <c r="DB205" s="21" t="n"/>
      <c r="DC205" s="21" t="n"/>
      <c r="DD205" s="27">
        <f>SUM(DB205:DC205)</f>
        <v/>
      </c>
      <c r="DE205" s="28" t="n"/>
      <c r="DF205" s="31" t="n"/>
      <c r="DG205" s="29">
        <f>IF(AND(DD205=0,DE205=0,DF205=0),0,IF(AND(DD205=0,DE205=0),DF205/1,IF(AND(DD205=0,DF205=0),DE205/1,IF(AND(DE205=0,DF205=0),DD205/1,IF(DD205=0,FLOOR((DE205+DF205)/2,0.1),IF(DE205=0,(DD205+DF205)/2,IF(DF205=0,(DE205+DD205)/2,FLOOR(((DD205+DE205+DF205)/3),0.1))))))))</f>
        <v/>
      </c>
      <c r="DH205" s="34">
        <f>SUM(O205,U205,AA205,AG205,AM205,AS205,AY205,BE205,BK205,BQ205,BW205,CC205,CI205,CO205,CU205,DA205,DG205)</f>
        <v/>
      </c>
      <c r="DI205" s="39">
        <f>RANK(DH205,DH$4:DH$503)</f>
        <v/>
      </c>
      <c r="DJ205" s="40" t="inlineStr">
        <is>
          <t>CHOOSE RATING</t>
        </is>
      </c>
      <c r="DK205" s="40" t="inlineStr">
        <is>
          <t>CHOOSE RATING</t>
        </is>
      </c>
      <c r="DL205" s="40" t="inlineStr">
        <is>
          <t>CHOOSE RATING</t>
        </is>
      </c>
      <c r="DM205" s="40" t="inlineStr">
        <is>
          <t>CHOOSE RATING</t>
        </is>
      </c>
      <c r="DN205" s="40" t="inlineStr">
        <is>
          <t>CHOOSE RATING</t>
        </is>
      </c>
      <c r="DO205" s="40" t="inlineStr">
        <is>
          <t>CHOOSE RATING</t>
        </is>
      </c>
      <c r="DP205" s="40" t="inlineStr">
        <is>
          <t>CHOOSE RATING</t>
        </is>
      </c>
      <c r="DQ205" s="40" t="inlineStr">
        <is>
          <t>CHOOSE RATING</t>
        </is>
      </c>
      <c r="DR205" s="43" t="inlineStr">
        <is>
          <t>2024/2025</t>
        </is>
      </c>
      <c r="DS205" s="45" t="inlineStr">
        <is>
          <t>THIRD</t>
        </is>
      </c>
      <c r="DT205" s="40" t="inlineStr">
        <is>
          <t>CHOOSE RATING</t>
        </is>
      </c>
      <c r="DU205" s="40" t="inlineStr">
        <is>
          <t>CHOOSE RATING</t>
        </is>
      </c>
      <c r="DV205" s="40" t="inlineStr">
        <is>
          <t>CHOOSE RATING</t>
        </is>
      </c>
      <c r="DW205" s="40" t="inlineStr">
        <is>
          <t>CHOOSE RATING</t>
        </is>
      </c>
      <c r="DX205" s="40" t="inlineStr">
        <is>
          <t>CHOOSE RATING</t>
        </is>
      </c>
      <c r="DY205" s="40" t="inlineStr">
        <is>
          <t>CHOOSE RATING</t>
        </is>
      </c>
      <c r="DZ205" s="53" t="inlineStr">
        <is>
          <t>CHOOSE RATING</t>
        </is>
      </c>
      <c r="EA205" s="54" t="inlineStr">
        <is>
          <t>Add the Tutor's Comment . . .</t>
        </is>
      </c>
      <c r="EB205" s="55" t="inlineStr">
        <is>
          <t>Choose Principals comment</t>
        </is>
      </c>
      <c r="EC205" s="56" t="n"/>
      <c r="ED205" s="57" t="inlineStr">
        <is>
          <t>Next Term Begins on Monday, 22nd September, 2025</t>
        </is>
      </c>
    </row>
    <row r="206" ht="30.6" customHeight="1" s="6">
      <c r="A206" s="18" t="n">
        <v>203</v>
      </c>
      <c r="B206" s="19" t="n"/>
      <c r="C206" s="20" t="n"/>
      <c r="D206" s="128" t="n"/>
      <c r="E206" s="21" t="n"/>
      <c r="F206" s="22" t="n"/>
      <c r="G206" s="22" t="n"/>
      <c r="H206" s="22" t="n"/>
      <c r="I206" s="26">
        <f>G206-H206</f>
        <v/>
      </c>
      <c r="J206" s="21" t="n"/>
      <c r="K206" s="21" t="n"/>
      <c r="L206" s="27">
        <f>SUM(J206:K206)</f>
        <v/>
      </c>
      <c r="M206" s="28" t="n"/>
      <c r="N206" s="28" t="n"/>
      <c r="O206" s="29">
        <f>IF(AND(L206=0,M206=0,N206=0),0,IF(AND(L206=0,M206=0),N206/1,IF(AND(L206=0,N206=0),M206/1,IF(AND(M206=0,N206=0),L206/1,IF(L206=0,FLOOR((M206+N206)/2,0.1),IF(M206=0,(L206+N206)/2,IF(N206=0,(M206+L206)/2,FLOOR(((L206+M206+N206)/3),0.1))))))))</f>
        <v/>
      </c>
      <c r="P206" s="21" t="n"/>
      <c r="Q206" s="21" t="n"/>
      <c r="R206" s="27">
        <f>SUM(P206:Q206)</f>
        <v/>
      </c>
      <c r="S206" s="28" t="n"/>
      <c r="T206" s="28" t="n"/>
      <c r="U206" s="29">
        <f>IF(AND(R206=0,S206=0,T206=0),0,IF(AND(R206=0,S206=0),T206/1,IF(AND(R206=0,T206=0),S206/1,IF(AND(S206=0,T206=0),R206/1,IF(R206=0,FLOOR((S206+T206)/2,0.1),IF(S206=0,(R206+T206)/2,IF(T206=0,(S206+R206)/2,FLOOR(((R206+S206+T206)/3),0.1))))))))</f>
        <v/>
      </c>
      <c r="V206" s="21" t="n"/>
      <c r="W206" s="21" t="n"/>
      <c r="X206" s="27">
        <f>SUM(V206:W206)</f>
        <v/>
      </c>
      <c r="Y206" s="28" t="n"/>
      <c r="Z206" s="28" t="n"/>
      <c r="AA206" s="29">
        <f>IF(AND(X206=0,Y206=0,Z206=0),0,IF(AND(X206=0,Y206=0),Z206/1,IF(AND(X206=0,Z206=0),Y206/1,IF(AND(Y206=0,Z206=0),X206/1,IF(X206=0,FLOOR((Y206+Z206)/2,0.1),IF(Y206=0,(X206+Z206)/2,IF(Z206=0,(Y206+X206)/2,FLOOR(((X206+Y206+Z206)/3),0.1))))))))</f>
        <v/>
      </c>
      <c r="AB206" s="21" t="n"/>
      <c r="AC206" s="21" t="n"/>
      <c r="AD206" s="27">
        <f>SUM(AB206:AC206)</f>
        <v/>
      </c>
      <c r="AE206" s="28" t="n"/>
      <c r="AF206" s="28" t="n"/>
      <c r="AG206" s="29">
        <f>IF(AND(AD206=0,AE206=0,AF206=0),0,IF(AND(AD206=0,AE206=0),AF206/1,IF(AND(AD206=0,AF206=0),AE206/1,IF(AND(AE206=0,AF206=0),AD206/1,IF(AD206=0,FLOOR((AE206+AF206)/2,0.1),IF(AE206=0,(AD206+AF206)/2,IF(AF206=0,(AE206+AD206)/2,FLOOR(((AD206+AE206+AF206)/3),0.1))))))))</f>
        <v/>
      </c>
      <c r="AH206" s="21" t="n"/>
      <c r="AI206" s="21" t="n"/>
      <c r="AJ206" s="27">
        <f>SUM(AH206:AI206)</f>
        <v/>
      </c>
      <c r="AK206" s="28" t="n"/>
      <c r="AL206" s="28" t="n"/>
      <c r="AM206" s="29">
        <f>IF(AND(AJ206=0,AK206=0,AL206=0),0,IF(AND(AJ206=0,AK206=0),AL206/1,IF(AND(AJ206=0,AL206=0),AK206/1,IF(AND(AK206=0,AL206=0),AJ206/1,IF(AJ206=0,FLOOR((AK206+AL206)/2,0.1),IF(AK206=0,(AJ206+AL206)/2,IF(AL206=0,(AK206+AJ206)/2,FLOOR(((AJ206+AK206+AL206)/3),0.1))))))))</f>
        <v/>
      </c>
      <c r="AN206" s="21" t="n"/>
      <c r="AO206" s="21" t="n"/>
      <c r="AP206" s="27">
        <f>SUM(AN206:AO206)</f>
        <v/>
      </c>
      <c r="AQ206" s="28" t="n"/>
      <c r="AR206" s="30" t="n"/>
      <c r="AS206" s="29">
        <f>IF(AND(AP206=0,AQ206=0,AR206=0),0,IF(AND(AP206=0,AQ206=0),AR206/1,IF(AND(AP206=0,AR206=0),AQ206/1,IF(AND(AQ206=0,AR206=0),AP206/1,IF(AP206=0,FLOOR((AQ206+AR206)/2,0.1),IF(AQ206=0,(AP206+AR206)/2,IF(AR206=0,(AQ206+AP206)/2,FLOOR(((AP206+AQ206+AR206)/3),0.1))))))))</f>
        <v/>
      </c>
      <c r="AT206" s="21" t="n"/>
      <c r="AU206" s="21" t="n"/>
      <c r="AV206" s="27">
        <f>SUM(AT206:AU206)</f>
        <v/>
      </c>
      <c r="AW206" s="28" t="n"/>
      <c r="AX206" s="30" t="n"/>
      <c r="AY206" s="29">
        <f>IF(AND(AV206=0,AW206=0,AX206=0),0,IF(AND(AV206=0,AW206=0),AX206/1,IF(AND(AV206=0,AX206=0),AW206/1,IF(AND(AW206=0,AX206=0),AV206/1,IF(AV206=0,FLOOR((AW206+AX206)/2,0.1),IF(AW206=0,(AV206+AX206)/2,IF(AX206=0,(AW206+AV206)/2,FLOOR(((AV206+AW206+AX206)/3),0.1))))))))</f>
        <v/>
      </c>
      <c r="AZ206" s="21" t="n"/>
      <c r="BA206" s="21" t="n"/>
      <c r="BB206" s="27">
        <f>SUM(AZ206:BA206)</f>
        <v/>
      </c>
      <c r="BC206" s="28" t="n"/>
      <c r="BD206" s="28" t="n"/>
      <c r="BE206" s="29">
        <f>IF(AND(BB206=0,BC206=0,BD206=0),0,IF(AND(BB206=0,BC206=0),BD206/1,IF(AND(BB206=0,BD206=0),BC206/1,IF(AND(BC206=0,BD206=0),BB206/1,IF(BB206=0,FLOOR((BC206+BD206)/2,0.1),IF(BC206=0,(BB206+BD206)/2,IF(BD206=0,(BC206+BB206)/2,FLOOR(((BB206+BC206+BD206)/3),0.1))))))))</f>
        <v/>
      </c>
      <c r="BF206" s="21" t="n"/>
      <c r="BG206" s="21" t="n"/>
      <c r="BH206" s="27">
        <f>SUM(BF206:BG206)</f>
        <v/>
      </c>
      <c r="BI206" s="28" t="n"/>
      <c r="BJ206" s="28" t="n"/>
      <c r="BK206" s="29">
        <f>IF(AND(BH206=0,BI206=0,BJ206=0),0,IF(AND(BH206=0,BI206=0),BJ206/1,IF(AND(BH206=0,BJ206=0),BI206/1,IF(AND(BI206=0,BJ206=0),BH206/1,IF(BH206=0,FLOOR((BI206+BJ206)/2,0.1),IF(BI206=0,(BH206+BJ206)/2,IF(BJ206=0,(BI206+BH206)/2,FLOOR(((BH206+BI206+BJ206)/3),0.1))))))))</f>
        <v/>
      </c>
      <c r="BL206" s="21" t="n"/>
      <c r="BM206" s="21" t="n"/>
      <c r="BN206" s="27">
        <f>SUM(BL206:BM206)</f>
        <v/>
      </c>
      <c r="BO206" s="28" t="n"/>
      <c r="BP206" s="31" t="n"/>
      <c r="BQ206" s="29">
        <f>IF(AND(BN206=0,BO206=0,BP206=0),0,IF(AND(BN206=0,BO206=0),BP206/1,IF(AND(BN206=0,BP206=0),BO206/1,IF(AND(BO206=0,BP206=0),BN206/1,IF(BN206=0,FLOOR((BO206+BP206)/2,0.1),IF(BO206=0,(BN206+BP206)/2,IF(BP206=0,(BO206+BN206)/2,FLOOR(((BN206+BO206+BP206)/3),0.1))))))))</f>
        <v/>
      </c>
      <c r="BR206" s="21" t="n"/>
      <c r="BS206" s="21" t="n"/>
      <c r="BT206" s="27">
        <f>SUM(BR206:BS206)</f>
        <v/>
      </c>
      <c r="BU206" s="28" t="n"/>
      <c r="BV206" s="31" t="n"/>
      <c r="BW206" s="29">
        <f>IF(AND(BT206=0,BU206=0,BV206=0),0,IF(AND(BT206=0,BU206=0),BV206/1,IF(AND(BT206=0,BV206=0),BU206/1,IF(AND(BU206=0,BV206=0),BT206/1,IF(BT206=0,FLOOR((BU206+BV206)/2,0.1),IF(BU206=0,(BT206+BV206)/2,IF(BV206=0,(BU206+BT206)/2,FLOOR(((BT206+BU206+BV206)/3),0.1))))))))</f>
        <v/>
      </c>
      <c r="BX206" s="21" t="n"/>
      <c r="BY206" s="21" t="n"/>
      <c r="BZ206" s="27">
        <f>SUM(BX206:BY206)</f>
        <v/>
      </c>
      <c r="CA206" s="28" t="n"/>
      <c r="CB206" s="31" t="n"/>
      <c r="CC206" s="29">
        <f>IF(AND(BZ206=0,CA206=0,CB206=0),0,IF(AND(BZ206=0,CA206=0),CB206/1,IF(AND(BZ206=0,CB206=0),CA206/1,IF(AND(CA206=0,CB206=0),BZ206/1,IF(BZ206=0,FLOOR((CA206+CB206)/2,0.1),IF(CA206=0,(BZ206+CB206)/2,IF(CB206=0,(CA206+BZ206)/2,FLOOR(((BZ206+CA206+CB206)/3),0.1))))))))</f>
        <v/>
      </c>
      <c r="CD206" s="21" t="n"/>
      <c r="CE206" s="21" t="n"/>
      <c r="CF206" s="27">
        <f>SUM(CD206:CE206)</f>
        <v/>
      </c>
      <c r="CG206" s="28" t="n"/>
      <c r="CH206" s="31" t="n"/>
      <c r="CI206" s="29">
        <f>IF(AND(CF206=0,CG206=0,CH206=0),0,IF(AND(CF206=0,CG206=0),CH206/1,IF(AND(CF206=0,CH206=0),CG206/1,IF(AND(CG206=0,CH206=0),CF206/1,IF(CF206=0,FLOOR((CG206+CH206)/2,0.1),IF(CG206=0,(CF206+CH206)/2,IF(CH206=0,(CG206+CF206)/2,FLOOR(((CF206+CG206+CH206)/3),0.1))))))))</f>
        <v/>
      </c>
      <c r="CJ206" s="21" t="n"/>
      <c r="CK206" s="21" t="n"/>
      <c r="CL206" s="27">
        <f>SUM(CJ206:CK206)</f>
        <v/>
      </c>
      <c r="CM206" s="28" t="n"/>
      <c r="CN206" s="31" t="n"/>
      <c r="CO206" s="29">
        <f>IF(AND(CL206=0,CM206=0,CN206=0),0,IF(AND(CL206=0,CM206=0),CN206/1,IF(AND(CL206=0,CN206=0),CM206/1,IF(AND(CM206=0,CN206=0),CL206/1,IF(CL206=0,FLOOR((CM206+CN206)/2,0.1),IF(CM206=0,(CL206+CN206)/2,IF(CN206=0,(CM206+CL206)/2,FLOOR(((CL206+CM206+CN206)/3),0.1))))))))</f>
        <v/>
      </c>
      <c r="CP206" s="21" t="n"/>
      <c r="CQ206" s="21" t="n"/>
      <c r="CR206" s="27">
        <f>SUM(CP206:CQ206)</f>
        <v/>
      </c>
      <c r="CS206" s="28" t="n"/>
      <c r="CT206" s="31" t="n"/>
      <c r="CU206" s="29">
        <f>IF(AND(CR206=0,CS206=0,CT206=0),0,IF(AND(CR206=0,CS206=0),CT206/1,IF(AND(CR206=0,CT206=0),CS206/1,IF(AND(CS206=0,CT206=0),CR206/1,IF(CR206=0,FLOOR((CS206+CT206)/2,0.1),IF(CS206=0,(CR206+CT206)/2,IF(CT206=0,(CS206+CR206)/2,FLOOR(((CR206+CS206+CT206)/3),0.1))))))))</f>
        <v/>
      </c>
      <c r="CV206" s="21" t="n"/>
      <c r="CW206" s="21" t="n"/>
      <c r="CX206" s="27">
        <f>SUM(CV206:CW206)</f>
        <v/>
      </c>
      <c r="CY206" s="28" t="n"/>
      <c r="CZ206" s="31" t="n"/>
      <c r="DA206" s="29">
        <f>IF(AND(CX206=0,CY206=0,CZ206=0),0,IF(AND(CX206=0,CY206=0),CZ206/1,IF(AND(CX206=0,CZ206=0),CY206/1,IF(AND(CY206=0,CZ206=0),CX206/1,IF(CX206=0,FLOOR((CY206+CZ206)/2,0.1),IF(CY206=0,(CX206+CZ206)/2,IF(CZ206=0,(CY206+CX206)/2,FLOOR(((CX206+CY206+CZ206)/3),0.1))))))))</f>
        <v/>
      </c>
      <c r="DB206" s="21" t="n"/>
      <c r="DC206" s="21" t="n"/>
      <c r="DD206" s="27">
        <f>SUM(DB206:DC206)</f>
        <v/>
      </c>
      <c r="DE206" s="28" t="n"/>
      <c r="DF206" s="31" t="n"/>
      <c r="DG206" s="29">
        <f>IF(AND(DD206=0,DE206=0,DF206=0),0,IF(AND(DD206=0,DE206=0),DF206/1,IF(AND(DD206=0,DF206=0),DE206/1,IF(AND(DE206=0,DF206=0),DD206/1,IF(DD206=0,FLOOR((DE206+DF206)/2,0.1),IF(DE206=0,(DD206+DF206)/2,IF(DF206=0,(DE206+DD206)/2,FLOOR(((DD206+DE206+DF206)/3),0.1))))))))</f>
        <v/>
      </c>
      <c r="DH206" s="34">
        <f>SUM(O206,U206,AA206,AG206,AM206,AS206,AY206,BE206,BK206,BQ206,BW206,CC206,CI206,CO206,CU206,DA206,DG206)</f>
        <v/>
      </c>
      <c r="DI206" s="39">
        <f>RANK(DH206,DH$4:DH$503)</f>
        <v/>
      </c>
      <c r="DJ206" s="40" t="inlineStr">
        <is>
          <t>CHOOSE RATING</t>
        </is>
      </c>
      <c r="DK206" s="40" t="inlineStr">
        <is>
          <t>CHOOSE RATING</t>
        </is>
      </c>
      <c r="DL206" s="40" t="inlineStr">
        <is>
          <t>CHOOSE RATING</t>
        </is>
      </c>
      <c r="DM206" s="40" t="inlineStr">
        <is>
          <t>CHOOSE RATING</t>
        </is>
      </c>
      <c r="DN206" s="40" t="inlineStr">
        <is>
          <t>CHOOSE RATING</t>
        </is>
      </c>
      <c r="DO206" s="40" t="inlineStr">
        <is>
          <t>CHOOSE RATING</t>
        </is>
      </c>
      <c r="DP206" s="40" t="inlineStr">
        <is>
          <t>CHOOSE RATING</t>
        </is>
      </c>
      <c r="DQ206" s="40" t="inlineStr">
        <is>
          <t>CHOOSE RATING</t>
        </is>
      </c>
      <c r="DR206" s="43" t="inlineStr">
        <is>
          <t>2024/2025</t>
        </is>
      </c>
      <c r="DS206" s="45" t="inlineStr">
        <is>
          <t>THIRD</t>
        </is>
      </c>
      <c r="DT206" s="40" t="inlineStr">
        <is>
          <t>CHOOSE RATING</t>
        </is>
      </c>
      <c r="DU206" s="40" t="inlineStr">
        <is>
          <t>CHOOSE RATING</t>
        </is>
      </c>
      <c r="DV206" s="40" t="inlineStr">
        <is>
          <t>CHOOSE RATING</t>
        </is>
      </c>
      <c r="DW206" s="40" t="inlineStr">
        <is>
          <t>CHOOSE RATING</t>
        </is>
      </c>
      <c r="DX206" s="40" t="inlineStr">
        <is>
          <t>CHOOSE RATING</t>
        </is>
      </c>
      <c r="DY206" s="40" t="inlineStr">
        <is>
          <t>CHOOSE RATING</t>
        </is>
      </c>
      <c r="DZ206" s="53" t="inlineStr">
        <is>
          <t>CHOOSE RATING</t>
        </is>
      </c>
      <c r="EA206" s="54" t="inlineStr">
        <is>
          <t>Add the Tutor's Comment . . .</t>
        </is>
      </c>
      <c r="EB206" s="55" t="inlineStr">
        <is>
          <t>Choose Principals comment</t>
        </is>
      </c>
      <c r="EC206" s="56" t="n"/>
      <c r="ED206" s="57" t="inlineStr">
        <is>
          <t>Next Term Begins on Monday, 22nd September, 2025</t>
        </is>
      </c>
    </row>
    <row r="207" ht="30.6" customHeight="1" s="6">
      <c r="A207" s="18" t="n">
        <v>204</v>
      </c>
      <c r="B207" s="19" t="n"/>
      <c r="C207" s="20" t="n"/>
      <c r="D207" s="128" t="n"/>
      <c r="E207" s="21" t="n"/>
      <c r="F207" s="22" t="n"/>
      <c r="G207" s="22" t="n"/>
      <c r="H207" s="22" t="n"/>
      <c r="I207" s="26">
        <f>G207-H207</f>
        <v/>
      </c>
      <c r="J207" s="21" t="n"/>
      <c r="K207" s="21" t="n"/>
      <c r="L207" s="27">
        <f>SUM(J207:K207)</f>
        <v/>
      </c>
      <c r="M207" s="28" t="n"/>
      <c r="N207" s="28" t="n"/>
      <c r="O207" s="29">
        <f>IF(AND(L207=0,M207=0,N207=0),0,IF(AND(L207=0,M207=0),N207/1,IF(AND(L207=0,N207=0),M207/1,IF(AND(M207=0,N207=0),L207/1,IF(L207=0,FLOOR((M207+N207)/2,0.1),IF(M207=0,(L207+N207)/2,IF(N207=0,(M207+L207)/2,FLOOR(((L207+M207+N207)/3),0.1))))))))</f>
        <v/>
      </c>
      <c r="P207" s="21" t="n"/>
      <c r="Q207" s="21" t="n"/>
      <c r="R207" s="27">
        <f>SUM(P207:Q207)</f>
        <v/>
      </c>
      <c r="S207" s="28" t="n"/>
      <c r="T207" s="28" t="n"/>
      <c r="U207" s="29">
        <f>IF(AND(R207=0,S207=0,T207=0),0,IF(AND(R207=0,S207=0),T207/1,IF(AND(R207=0,T207=0),S207/1,IF(AND(S207=0,T207=0),R207/1,IF(R207=0,FLOOR((S207+T207)/2,0.1),IF(S207=0,(R207+T207)/2,IF(T207=0,(S207+R207)/2,FLOOR(((R207+S207+T207)/3),0.1))))))))</f>
        <v/>
      </c>
      <c r="V207" s="21" t="n"/>
      <c r="W207" s="21" t="n"/>
      <c r="X207" s="27">
        <f>SUM(V207:W207)</f>
        <v/>
      </c>
      <c r="Y207" s="28" t="n"/>
      <c r="Z207" s="28" t="n"/>
      <c r="AA207" s="29">
        <f>IF(AND(X207=0,Y207=0,Z207=0),0,IF(AND(X207=0,Y207=0),Z207/1,IF(AND(X207=0,Z207=0),Y207/1,IF(AND(Y207=0,Z207=0),X207/1,IF(X207=0,FLOOR((Y207+Z207)/2,0.1),IF(Y207=0,(X207+Z207)/2,IF(Z207=0,(Y207+X207)/2,FLOOR(((X207+Y207+Z207)/3),0.1))))))))</f>
        <v/>
      </c>
      <c r="AB207" s="21" t="n"/>
      <c r="AC207" s="21" t="n"/>
      <c r="AD207" s="27">
        <f>SUM(AB207:AC207)</f>
        <v/>
      </c>
      <c r="AE207" s="28" t="n"/>
      <c r="AF207" s="28" t="n"/>
      <c r="AG207" s="29">
        <f>IF(AND(AD207=0,AE207=0,AF207=0),0,IF(AND(AD207=0,AE207=0),AF207/1,IF(AND(AD207=0,AF207=0),AE207/1,IF(AND(AE207=0,AF207=0),AD207/1,IF(AD207=0,FLOOR((AE207+AF207)/2,0.1),IF(AE207=0,(AD207+AF207)/2,IF(AF207=0,(AE207+AD207)/2,FLOOR(((AD207+AE207+AF207)/3),0.1))))))))</f>
        <v/>
      </c>
      <c r="AH207" s="21" t="n"/>
      <c r="AI207" s="21" t="n"/>
      <c r="AJ207" s="27">
        <f>SUM(AH207:AI207)</f>
        <v/>
      </c>
      <c r="AK207" s="28" t="n"/>
      <c r="AL207" s="28" t="n"/>
      <c r="AM207" s="29">
        <f>IF(AND(AJ207=0,AK207=0,AL207=0),0,IF(AND(AJ207=0,AK207=0),AL207/1,IF(AND(AJ207=0,AL207=0),AK207/1,IF(AND(AK207=0,AL207=0),AJ207/1,IF(AJ207=0,FLOOR((AK207+AL207)/2,0.1),IF(AK207=0,(AJ207+AL207)/2,IF(AL207=0,(AK207+AJ207)/2,FLOOR(((AJ207+AK207+AL207)/3),0.1))))))))</f>
        <v/>
      </c>
      <c r="AN207" s="21" t="n"/>
      <c r="AO207" s="21" t="n"/>
      <c r="AP207" s="27">
        <f>SUM(AN207:AO207)</f>
        <v/>
      </c>
      <c r="AQ207" s="28" t="n"/>
      <c r="AR207" s="30" t="n"/>
      <c r="AS207" s="29">
        <f>IF(AND(AP207=0,AQ207=0,AR207=0),0,IF(AND(AP207=0,AQ207=0),AR207/1,IF(AND(AP207=0,AR207=0),AQ207/1,IF(AND(AQ207=0,AR207=0),AP207/1,IF(AP207=0,FLOOR((AQ207+AR207)/2,0.1),IF(AQ207=0,(AP207+AR207)/2,IF(AR207=0,(AQ207+AP207)/2,FLOOR(((AP207+AQ207+AR207)/3),0.1))))))))</f>
        <v/>
      </c>
      <c r="AT207" s="21" t="n"/>
      <c r="AU207" s="21" t="n"/>
      <c r="AV207" s="27">
        <f>SUM(AT207:AU207)</f>
        <v/>
      </c>
      <c r="AW207" s="28" t="n"/>
      <c r="AX207" s="30" t="n"/>
      <c r="AY207" s="29">
        <f>IF(AND(AV207=0,AW207=0,AX207=0),0,IF(AND(AV207=0,AW207=0),AX207/1,IF(AND(AV207=0,AX207=0),AW207/1,IF(AND(AW207=0,AX207=0),AV207/1,IF(AV207=0,FLOOR((AW207+AX207)/2,0.1),IF(AW207=0,(AV207+AX207)/2,IF(AX207=0,(AW207+AV207)/2,FLOOR(((AV207+AW207+AX207)/3),0.1))))))))</f>
        <v/>
      </c>
      <c r="AZ207" s="21" t="n"/>
      <c r="BA207" s="21" t="n"/>
      <c r="BB207" s="27">
        <f>SUM(AZ207:BA207)</f>
        <v/>
      </c>
      <c r="BC207" s="28" t="n"/>
      <c r="BD207" s="28" t="n"/>
      <c r="BE207" s="29">
        <f>IF(AND(BB207=0,BC207=0,BD207=0),0,IF(AND(BB207=0,BC207=0),BD207/1,IF(AND(BB207=0,BD207=0),BC207/1,IF(AND(BC207=0,BD207=0),BB207/1,IF(BB207=0,FLOOR((BC207+BD207)/2,0.1),IF(BC207=0,(BB207+BD207)/2,IF(BD207=0,(BC207+BB207)/2,FLOOR(((BB207+BC207+BD207)/3),0.1))))))))</f>
        <v/>
      </c>
      <c r="BF207" s="21" t="n"/>
      <c r="BG207" s="21" t="n"/>
      <c r="BH207" s="27">
        <f>SUM(BF207:BG207)</f>
        <v/>
      </c>
      <c r="BI207" s="28" t="n"/>
      <c r="BJ207" s="28" t="n"/>
      <c r="BK207" s="29">
        <f>IF(AND(BH207=0,BI207=0,BJ207=0),0,IF(AND(BH207=0,BI207=0),BJ207/1,IF(AND(BH207=0,BJ207=0),BI207/1,IF(AND(BI207=0,BJ207=0),BH207/1,IF(BH207=0,FLOOR((BI207+BJ207)/2,0.1),IF(BI207=0,(BH207+BJ207)/2,IF(BJ207=0,(BI207+BH207)/2,FLOOR(((BH207+BI207+BJ207)/3),0.1))))))))</f>
        <v/>
      </c>
      <c r="BL207" s="21" t="n"/>
      <c r="BM207" s="21" t="n"/>
      <c r="BN207" s="27">
        <f>SUM(BL207:BM207)</f>
        <v/>
      </c>
      <c r="BO207" s="28" t="n"/>
      <c r="BP207" s="31" t="n"/>
      <c r="BQ207" s="29">
        <f>IF(AND(BN207=0,BO207=0,BP207=0),0,IF(AND(BN207=0,BO207=0),BP207/1,IF(AND(BN207=0,BP207=0),BO207/1,IF(AND(BO207=0,BP207=0),BN207/1,IF(BN207=0,FLOOR((BO207+BP207)/2,0.1),IF(BO207=0,(BN207+BP207)/2,IF(BP207=0,(BO207+BN207)/2,FLOOR(((BN207+BO207+BP207)/3),0.1))))))))</f>
        <v/>
      </c>
      <c r="BR207" s="21" t="n"/>
      <c r="BS207" s="21" t="n"/>
      <c r="BT207" s="27">
        <f>SUM(BR207:BS207)</f>
        <v/>
      </c>
      <c r="BU207" s="28" t="n"/>
      <c r="BV207" s="31" t="n"/>
      <c r="BW207" s="29">
        <f>IF(AND(BT207=0,BU207=0,BV207=0),0,IF(AND(BT207=0,BU207=0),BV207/1,IF(AND(BT207=0,BV207=0),BU207/1,IF(AND(BU207=0,BV207=0),BT207/1,IF(BT207=0,FLOOR((BU207+BV207)/2,0.1),IF(BU207=0,(BT207+BV207)/2,IF(BV207=0,(BU207+BT207)/2,FLOOR(((BT207+BU207+BV207)/3),0.1))))))))</f>
        <v/>
      </c>
      <c r="BX207" s="21" t="n"/>
      <c r="BY207" s="21" t="n"/>
      <c r="BZ207" s="27">
        <f>SUM(BX207:BY207)</f>
        <v/>
      </c>
      <c r="CA207" s="28" t="n"/>
      <c r="CB207" s="31" t="n"/>
      <c r="CC207" s="29">
        <f>IF(AND(BZ207=0,CA207=0,CB207=0),0,IF(AND(BZ207=0,CA207=0),CB207/1,IF(AND(BZ207=0,CB207=0),CA207/1,IF(AND(CA207=0,CB207=0),BZ207/1,IF(BZ207=0,FLOOR((CA207+CB207)/2,0.1),IF(CA207=0,(BZ207+CB207)/2,IF(CB207=0,(CA207+BZ207)/2,FLOOR(((BZ207+CA207+CB207)/3),0.1))))))))</f>
        <v/>
      </c>
      <c r="CD207" s="21" t="n"/>
      <c r="CE207" s="21" t="n"/>
      <c r="CF207" s="27">
        <f>SUM(CD207:CE207)</f>
        <v/>
      </c>
      <c r="CG207" s="28" t="n"/>
      <c r="CH207" s="31" t="n"/>
      <c r="CI207" s="29">
        <f>IF(AND(CF207=0,CG207=0,CH207=0),0,IF(AND(CF207=0,CG207=0),CH207/1,IF(AND(CF207=0,CH207=0),CG207/1,IF(AND(CG207=0,CH207=0),CF207/1,IF(CF207=0,FLOOR((CG207+CH207)/2,0.1),IF(CG207=0,(CF207+CH207)/2,IF(CH207=0,(CG207+CF207)/2,FLOOR(((CF207+CG207+CH207)/3),0.1))))))))</f>
        <v/>
      </c>
      <c r="CJ207" s="21" t="n"/>
      <c r="CK207" s="21" t="n"/>
      <c r="CL207" s="27">
        <f>SUM(CJ207:CK207)</f>
        <v/>
      </c>
      <c r="CM207" s="28" t="n"/>
      <c r="CN207" s="31" t="n"/>
      <c r="CO207" s="29">
        <f>IF(AND(CL207=0,CM207=0,CN207=0),0,IF(AND(CL207=0,CM207=0),CN207/1,IF(AND(CL207=0,CN207=0),CM207/1,IF(AND(CM207=0,CN207=0),CL207/1,IF(CL207=0,FLOOR((CM207+CN207)/2,0.1),IF(CM207=0,(CL207+CN207)/2,IF(CN207=0,(CM207+CL207)/2,FLOOR(((CL207+CM207+CN207)/3),0.1))))))))</f>
        <v/>
      </c>
      <c r="CP207" s="21" t="n"/>
      <c r="CQ207" s="21" t="n"/>
      <c r="CR207" s="27">
        <f>SUM(CP207:CQ207)</f>
        <v/>
      </c>
      <c r="CS207" s="28" t="n"/>
      <c r="CT207" s="31" t="n"/>
      <c r="CU207" s="29">
        <f>IF(AND(CR207=0,CS207=0,CT207=0),0,IF(AND(CR207=0,CS207=0),CT207/1,IF(AND(CR207=0,CT207=0),CS207/1,IF(AND(CS207=0,CT207=0),CR207/1,IF(CR207=0,FLOOR((CS207+CT207)/2,0.1),IF(CS207=0,(CR207+CT207)/2,IF(CT207=0,(CS207+CR207)/2,FLOOR(((CR207+CS207+CT207)/3),0.1))))))))</f>
        <v/>
      </c>
      <c r="CV207" s="21" t="n"/>
      <c r="CW207" s="21" t="n"/>
      <c r="CX207" s="27">
        <f>SUM(CV207:CW207)</f>
        <v/>
      </c>
      <c r="CY207" s="28" t="n"/>
      <c r="CZ207" s="31" t="n"/>
      <c r="DA207" s="29">
        <f>IF(AND(CX207=0,CY207=0,CZ207=0),0,IF(AND(CX207=0,CY207=0),CZ207/1,IF(AND(CX207=0,CZ207=0),CY207/1,IF(AND(CY207=0,CZ207=0),CX207/1,IF(CX207=0,FLOOR((CY207+CZ207)/2,0.1),IF(CY207=0,(CX207+CZ207)/2,IF(CZ207=0,(CY207+CX207)/2,FLOOR(((CX207+CY207+CZ207)/3),0.1))))))))</f>
        <v/>
      </c>
      <c r="DB207" s="21" t="n"/>
      <c r="DC207" s="21" t="n"/>
      <c r="DD207" s="27">
        <f>SUM(DB207:DC207)</f>
        <v/>
      </c>
      <c r="DE207" s="28" t="n"/>
      <c r="DF207" s="31" t="n"/>
      <c r="DG207" s="29">
        <f>IF(AND(DD207=0,DE207=0,DF207=0),0,IF(AND(DD207=0,DE207=0),DF207/1,IF(AND(DD207=0,DF207=0),DE207/1,IF(AND(DE207=0,DF207=0),DD207/1,IF(DD207=0,FLOOR((DE207+DF207)/2,0.1),IF(DE207=0,(DD207+DF207)/2,IF(DF207=0,(DE207+DD207)/2,FLOOR(((DD207+DE207+DF207)/3),0.1))))))))</f>
        <v/>
      </c>
      <c r="DH207" s="34">
        <f>SUM(O207,U207,AA207,AG207,AM207,AS207,AY207,BE207,BK207,BQ207,BW207,CC207,CI207,CO207,CU207,DA207,DG207)</f>
        <v/>
      </c>
      <c r="DI207" s="39">
        <f>RANK(DH207,DH$4:DH$503)</f>
        <v/>
      </c>
      <c r="DJ207" s="40" t="inlineStr">
        <is>
          <t>CHOOSE RATING</t>
        </is>
      </c>
      <c r="DK207" s="40" t="inlineStr">
        <is>
          <t>CHOOSE RATING</t>
        </is>
      </c>
      <c r="DL207" s="40" t="inlineStr">
        <is>
          <t>CHOOSE RATING</t>
        </is>
      </c>
      <c r="DM207" s="40" t="inlineStr">
        <is>
          <t>CHOOSE RATING</t>
        </is>
      </c>
      <c r="DN207" s="40" t="inlineStr">
        <is>
          <t>CHOOSE RATING</t>
        </is>
      </c>
      <c r="DO207" s="40" t="inlineStr">
        <is>
          <t>CHOOSE RATING</t>
        </is>
      </c>
      <c r="DP207" s="40" t="inlineStr">
        <is>
          <t>CHOOSE RATING</t>
        </is>
      </c>
      <c r="DQ207" s="40" t="inlineStr">
        <is>
          <t>CHOOSE RATING</t>
        </is>
      </c>
      <c r="DR207" s="43" t="inlineStr">
        <is>
          <t>2024/2025</t>
        </is>
      </c>
      <c r="DS207" s="45" t="inlineStr">
        <is>
          <t>THIRD</t>
        </is>
      </c>
      <c r="DT207" s="40" t="inlineStr">
        <is>
          <t>CHOOSE RATING</t>
        </is>
      </c>
      <c r="DU207" s="40" t="inlineStr">
        <is>
          <t>CHOOSE RATING</t>
        </is>
      </c>
      <c r="DV207" s="40" t="inlineStr">
        <is>
          <t>CHOOSE RATING</t>
        </is>
      </c>
      <c r="DW207" s="40" t="inlineStr">
        <is>
          <t>CHOOSE RATING</t>
        </is>
      </c>
      <c r="DX207" s="40" t="inlineStr">
        <is>
          <t>CHOOSE RATING</t>
        </is>
      </c>
      <c r="DY207" s="40" t="inlineStr">
        <is>
          <t>CHOOSE RATING</t>
        </is>
      </c>
      <c r="DZ207" s="53" t="inlineStr">
        <is>
          <t>CHOOSE RATING</t>
        </is>
      </c>
      <c r="EA207" s="54" t="inlineStr">
        <is>
          <t>Add the Tutor's Comment . . .</t>
        </is>
      </c>
      <c r="EB207" s="55" t="inlineStr">
        <is>
          <t>Choose Principals comment</t>
        </is>
      </c>
      <c r="EC207" s="56" t="n"/>
      <c r="ED207" s="57" t="inlineStr">
        <is>
          <t>Next Term Begins on Monday, 22nd September, 2025</t>
        </is>
      </c>
    </row>
    <row r="208" ht="30.6" customHeight="1" s="6">
      <c r="A208" s="18" t="n">
        <v>205</v>
      </c>
      <c r="B208" s="19" t="n"/>
      <c r="C208" s="20" t="n"/>
      <c r="D208" s="128" t="n"/>
      <c r="E208" s="21" t="n"/>
      <c r="F208" s="22" t="n"/>
      <c r="G208" s="22" t="n"/>
      <c r="H208" s="22" t="n"/>
      <c r="I208" s="26">
        <f>G208-H208</f>
        <v/>
      </c>
      <c r="J208" s="21" t="n"/>
      <c r="K208" s="21" t="n"/>
      <c r="L208" s="27">
        <f>SUM(J208:K208)</f>
        <v/>
      </c>
      <c r="M208" s="28" t="n"/>
      <c r="N208" s="28" t="n"/>
      <c r="O208" s="29">
        <f>IF(AND(L208=0,M208=0,N208=0),0,IF(AND(L208=0,M208=0),N208/1,IF(AND(L208=0,N208=0),M208/1,IF(AND(M208=0,N208=0),L208/1,IF(L208=0,FLOOR((M208+N208)/2,0.1),IF(M208=0,(L208+N208)/2,IF(N208=0,(M208+L208)/2,FLOOR(((L208+M208+N208)/3),0.1))))))))</f>
        <v/>
      </c>
      <c r="P208" s="21" t="n"/>
      <c r="Q208" s="21" t="n"/>
      <c r="R208" s="27">
        <f>SUM(P208:Q208)</f>
        <v/>
      </c>
      <c r="S208" s="28" t="n"/>
      <c r="T208" s="28" t="n"/>
      <c r="U208" s="29">
        <f>IF(AND(R208=0,S208=0,T208=0),0,IF(AND(R208=0,S208=0),T208/1,IF(AND(R208=0,T208=0),S208/1,IF(AND(S208=0,T208=0),R208/1,IF(R208=0,FLOOR((S208+T208)/2,0.1),IF(S208=0,(R208+T208)/2,IF(T208=0,(S208+R208)/2,FLOOR(((R208+S208+T208)/3),0.1))))))))</f>
        <v/>
      </c>
      <c r="V208" s="21" t="n"/>
      <c r="W208" s="21" t="n"/>
      <c r="X208" s="27">
        <f>SUM(V208:W208)</f>
        <v/>
      </c>
      <c r="Y208" s="28" t="n"/>
      <c r="Z208" s="28" t="n"/>
      <c r="AA208" s="29">
        <f>IF(AND(X208=0,Y208=0,Z208=0),0,IF(AND(X208=0,Y208=0),Z208/1,IF(AND(X208=0,Z208=0),Y208/1,IF(AND(Y208=0,Z208=0),X208/1,IF(X208=0,FLOOR((Y208+Z208)/2,0.1),IF(Y208=0,(X208+Z208)/2,IF(Z208=0,(Y208+X208)/2,FLOOR(((X208+Y208+Z208)/3),0.1))))))))</f>
        <v/>
      </c>
      <c r="AB208" s="21" t="n"/>
      <c r="AC208" s="21" t="n"/>
      <c r="AD208" s="27">
        <f>SUM(AB208:AC208)</f>
        <v/>
      </c>
      <c r="AE208" s="28" t="n"/>
      <c r="AF208" s="28" t="n"/>
      <c r="AG208" s="29">
        <f>IF(AND(AD208=0,AE208=0,AF208=0),0,IF(AND(AD208=0,AE208=0),AF208/1,IF(AND(AD208=0,AF208=0),AE208/1,IF(AND(AE208=0,AF208=0),AD208/1,IF(AD208=0,FLOOR((AE208+AF208)/2,0.1),IF(AE208=0,(AD208+AF208)/2,IF(AF208=0,(AE208+AD208)/2,FLOOR(((AD208+AE208+AF208)/3),0.1))))))))</f>
        <v/>
      </c>
      <c r="AH208" s="21" t="n"/>
      <c r="AI208" s="21" t="n"/>
      <c r="AJ208" s="27">
        <f>SUM(AH208:AI208)</f>
        <v/>
      </c>
      <c r="AK208" s="28" t="n"/>
      <c r="AL208" s="28" t="n"/>
      <c r="AM208" s="29">
        <f>IF(AND(AJ208=0,AK208=0,AL208=0),0,IF(AND(AJ208=0,AK208=0),AL208/1,IF(AND(AJ208=0,AL208=0),AK208/1,IF(AND(AK208=0,AL208=0),AJ208/1,IF(AJ208=0,FLOOR((AK208+AL208)/2,0.1),IF(AK208=0,(AJ208+AL208)/2,IF(AL208=0,(AK208+AJ208)/2,FLOOR(((AJ208+AK208+AL208)/3),0.1))))))))</f>
        <v/>
      </c>
      <c r="AN208" s="21" t="n"/>
      <c r="AO208" s="21" t="n"/>
      <c r="AP208" s="27">
        <f>SUM(AN208:AO208)</f>
        <v/>
      </c>
      <c r="AQ208" s="28" t="n"/>
      <c r="AR208" s="30" t="n"/>
      <c r="AS208" s="29">
        <f>IF(AND(AP208=0,AQ208=0,AR208=0),0,IF(AND(AP208=0,AQ208=0),AR208/1,IF(AND(AP208=0,AR208=0),AQ208/1,IF(AND(AQ208=0,AR208=0),AP208/1,IF(AP208=0,FLOOR((AQ208+AR208)/2,0.1),IF(AQ208=0,(AP208+AR208)/2,IF(AR208=0,(AQ208+AP208)/2,FLOOR(((AP208+AQ208+AR208)/3),0.1))))))))</f>
        <v/>
      </c>
      <c r="AT208" s="21" t="n"/>
      <c r="AU208" s="21" t="n"/>
      <c r="AV208" s="27">
        <f>SUM(AT208:AU208)</f>
        <v/>
      </c>
      <c r="AW208" s="28" t="n"/>
      <c r="AX208" s="30" t="n"/>
      <c r="AY208" s="29">
        <f>IF(AND(AV208=0,AW208=0,AX208=0),0,IF(AND(AV208=0,AW208=0),AX208/1,IF(AND(AV208=0,AX208=0),AW208/1,IF(AND(AW208=0,AX208=0),AV208/1,IF(AV208=0,FLOOR((AW208+AX208)/2,0.1),IF(AW208=0,(AV208+AX208)/2,IF(AX208=0,(AW208+AV208)/2,FLOOR(((AV208+AW208+AX208)/3),0.1))))))))</f>
        <v/>
      </c>
      <c r="AZ208" s="21" t="n"/>
      <c r="BA208" s="21" t="n"/>
      <c r="BB208" s="27">
        <f>SUM(AZ208:BA208)</f>
        <v/>
      </c>
      <c r="BC208" s="28" t="n"/>
      <c r="BD208" s="28" t="n"/>
      <c r="BE208" s="29">
        <f>IF(AND(BB208=0,BC208=0,BD208=0),0,IF(AND(BB208=0,BC208=0),BD208/1,IF(AND(BB208=0,BD208=0),BC208/1,IF(AND(BC208=0,BD208=0),BB208/1,IF(BB208=0,FLOOR((BC208+BD208)/2,0.1),IF(BC208=0,(BB208+BD208)/2,IF(BD208=0,(BC208+BB208)/2,FLOOR(((BB208+BC208+BD208)/3),0.1))))))))</f>
        <v/>
      </c>
      <c r="BF208" s="21" t="n"/>
      <c r="BG208" s="21" t="n"/>
      <c r="BH208" s="27">
        <f>SUM(BF208:BG208)</f>
        <v/>
      </c>
      <c r="BI208" s="28" t="n"/>
      <c r="BJ208" s="28" t="n"/>
      <c r="BK208" s="29">
        <f>IF(AND(BH208=0,BI208=0,BJ208=0),0,IF(AND(BH208=0,BI208=0),BJ208/1,IF(AND(BH208=0,BJ208=0),BI208/1,IF(AND(BI208=0,BJ208=0),BH208/1,IF(BH208=0,FLOOR((BI208+BJ208)/2,0.1),IF(BI208=0,(BH208+BJ208)/2,IF(BJ208=0,(BI208+BH208)/2,FLOOR(((BH208+BI208+BJ208)/3),0.1))))))))</f>
        <v/>
      </c>
      <c r="BL208" s="21" t="n"/>
      <c r="BM208" s="21" t="n"/>
      <c r="BN208" s="27">
        <f>SUM(BL208:BM208)</f>
        <v/>
      </c>
      <c r="BO208" s="28" t="n"/>
      <c r="BP208" s="31" t="n"/>
      <c r="BQ208" s="29">
        <f>IF(AND(BN208=0,BO208=0,BP208=0),0,IF(AND(BN208=0,BO208=0),BP208/1,IF(AND(BN208=0,BP208=0),BO208/1,IF(AND(BO208=0,BP208=0),BN208/1,IF(BN208=0,FLOOR((BO208+BP208)/2,0.1),IF(BO208=0,(BN208+BP208)/2,IF(BP208=0,(BO208+BN208)/2,FLOOR(((BN208+BO208+BP208)/3),0.1))))))))</f>
        <v/>
      </c>
      <c r="BR208" s="21" t="n"/>
      <c r="BS208" s="21" t="n"/>
      <c r="BT208" s="27">
        <f>SUM(BR208:BS208)</f>
        <v/>
      </c>
      <c r="BU208" s="28" t="n"/>
      <c r="BV208" s="31" t="n"/>
      <c r="BW208" s="29">
        <f>IF(AND(BT208=0,BU208=0,BV208=0),0,IF(AND(BT208=0,BU208=0),BV208/1,IF(AND(BT208=0,BV208=0),BU208/1,IF(AND(BU208=0,BV208=0),BT208/1,IF(BT208=0,FLOOR((BU208+BV208)/2,0.1),IF(BU208=0,(BT208+BV208)/2,IF(BV208=0,(BU208+BT208)/2,FLOOR(((BT208+BU208+BV208)/3),0.1))))))))</f>
        <v/>
      </c>
      <c r="BX208" s="21" t="n"/>
      <c r="BY208" s="21" t="n"/>
      <c r="BZ208" s="27">
        <f>SUM(BX208:BY208)</f>
        <v/>
      </c>
      <c r="CA208" s="28" t="n"/>
      <c r="CB208" s="31" t="n"/>
      <c r="CC208" s="29">
        <f>IF(AND(BZ208=0,CA208=0,CB208=0),0,IF(AND(BZ208=0,CA208=0),CB208/1,IF(AND(BZ208=0,CB208=0),CA208/1,IF(AND(CA208=0,CB208=0),BZ208/1,IF(BZ208=0,FLOOR((CA208+CB208)/2,0.1),IF(CA208=0,(BZ208+CB208)/2,IF(CB208=0,(CA208+BZ208)/2,FLOOR(((BZ208+CA208+CB208)/3),0.1))))))))</f>
        <v/>
      </c>
      <c r="CD208" s="21" t="n"/>
      <c r="CE208" s="21" t="n"/>
      <c r="CF208" s="27">
        <f>SUM(CD208:CE208)</f>
        <v/>
      </c>
      <c r="CG208" s="28" t="n"/>
      <c r="CH208" s="31" t="n"/>
      <c r="CI208" s="29">
        <f>IF(AND(CF208=0,CG208=0,CH208=0),0,IF(AND(CF208=0,CG208=0),CH208/1,IF(AND(CF208=0,CH208=0),CG208/1,IF(AND(CG208=0,CH208=0),CF208/1,IF(CF208=0,FLOOR((CG208+CH208)/2,0.1),IF(CG208=0,(CF208+CH208)/2,IF(CH208=0,(CG208+CF208)/2,FLOOR(((CF208+CG208+CH208)/3),0.1))))))))</f>
        <v/>
      </c>
      <c r="CJ208" s="21" t="n"/>
      <c r="CK208" s="21" t="n"/>
      <c r="CL208" s="27">
        <f>SUM(CJ208:CK208)</f>
        <v/>
      </c>
      <c r="CM208" s="28" t="n"/>
      <c r="CN208" s="31" t="n"/>
      <c r="CO208" s="29">
        <f>IF(AND(CL208=0,CM208=0,CN208=0),0,IF(AND(CL208=0,CM208=0),CN208/1,IF(AND(CL208=0,CN208=0),CM208/1,IF(AND(CM208=0,CN208=0),CL208/1,IF(CL208=0,FLOOR((CM208+CN208)/2,0.1),IF(CM208=0,(CL208+CN208)/2,IF(CN208=0,(CM208+CL208)/2,FLOOR(((CL208+CM208+CN208)/3),0.1))))))))</f>
        <v/>
      </c>
      <c r="CP208" s="21" t="n"/>
      <c r="CQ208" s="21" t="n"/>
      <c r="CR208" s="27">
        <f>SUM(CP208:CQ208)</f>
        <v/>
      </c>
      <c r="CS208" s="28" t="n"/>
      <c r="CT208" s="31" t="n"/>
      <c r="CU208" s="29">
        <f>IF(AND(CR208=0,CS208=0,CT208=0),0,IF(AND(CR208=0,CS208=0),CT208/1,IF(AND(CR208=0,CT208=0),CS208/1,IF(AND(CS208=0,CT208=0),CR208/1,IF(CR208=0,FLOOR((CS208+CT208)/2,0.1),IF(CS208=0,(CR208+CT208)/2,IF(CT208=0,(CS208+CR208)/2,FLOOR(((CR208+CS208+CT208)/3),0.1))))))))</f>
        <v/>
      </c>
      <c r="CV208" s="21" t="n"/>
      <c r="CW208" s="21" t="n"/>
      <c r="CX208" s="27">
        <f>SUM(CV208:CW208)</f>
        <v/>
      </c>
      <c r="CY208" s="28" t="n"/>
      <c r="CZ208" s="31" t="n"/>
      <c r="DA208" s="29">
        <f>IF(AND(CX208=0,CY208=0,CZ208=0),0,IF(AND(CX208=0,CY208=0),CZ208/1,IF(AND(CX208=0,CZ208=0),CY208/1,IF(AND(CY208=0,CZ208=0),CX208/1,IF(CX208=0,FLOOR((CY208+CZ208)/2,0.1),IF(CY208=0,(CX208+CZ208)/2,IF(CZ208=0,(CY208+CX208)/2,FLOOR(((CX208+CY208+CZ208)/3),0.1))))))))</f>
        <v/>
      </c>
      <c r="DB208" s="21" t="n"/>
      <c r="DC208" s="21" t="n"/>
      <c r="DD208" s="27">
        <f>SUM(DB208:DC208)</f>
        <v/>
      </c>
      <c r="DE208" s="28" t="n"/>
      <c r="DF208" s="31" t="n"/>
      <c r="DG208" s="29">
        <f>IF(AND(DD208=0,DE208=0,DF208=0),0,IF(AND(DD208=0,DE208=0),DF208/1,IF(AND(DD208=0,DF208=0),DE208/1,IF(AND(DE208=0,DF208=0),DD208/1,IF(DD208=0,FLOOR((DE208+DF208)/2,0.1),IF(DE208=0,(DD208+DF208)/2,IF(DF208=0,(DE208+DD208)/2,FLOOR(((DD208+DE208+DF208)/3),0.1))))))))</f>
        <v/>
      </c>
      <c r="DH208" s="34">
        <f>SUM(O208,U208,AA208,AG208,AM208,AS208,AY208,BE208,BK208,BQ208,BW208,CC208,CI208,CO208,CU208,DA208,DG208)</f>
        <v/>
      </c>
      <c r="DI208" s="39">
        <f>RANK(DH208,DH$4:DH$503)</f>
        <v/>
      </c>
      <c r="DJ208" s="40" t="inlineStr">
        <is>
          <t>CHOOSE RATING</t>
        </is>
      </c>
      <c r="DK208" s="40" t="inlineStr">
        <is>
          <t>CHOOSE RATING</t>
        </is>
      </c>
      <c r="DL208" s="40" t="inlineStr">
        <is>
          <t>CHOOSE RATING</t>
        </is>
      </c>
      <c r="DM208" s="40" t="inlineStr">
        <is>
          <t>CHOOSE RATING</t>
        </is>
      </c>
      <c r="DN208" s="40" t="inlineStr">
        <is>
          <t>CHOOSE RATING</t>
        </is>
      </c>
      <c r="DO208" s="40" t="inlineStr">
        <is>
          <t>CHOOSE RATING</t>
        </is>
      </c>
      <c r="DP208" s="40" t="inlineStr">
        <is>
          <t>CHOOSE RATING</t>
        </is>
      </c>
      <c r="DQ208" s="40" t="inlineStr">
        <is>
          <t>CHOOSE RATING</t>
        </is>
      </c>
      <c r="DR208" s="43" t="inlineStr">
        <is>
          <t>2024/2025</t>
        </is>
      </c>
      <c r="DS208" s="45" t="inlineStr">
        <is>
          <t>THIRD</t>
        </is>
      </c>
      <c r="DT208" s="40" t="inlineStr">
        <is>
          <t>CHOOSE RATING</t>
        </is>
      </c>
      <c r="DU208" s="40" t="inlineStr">
        <is>
          <t>CHOOSE RATING</t>
        </is>
      </c>
      <c r="DV208" s="40" t="inlineStr">
        <is>
          <t>CHOOSE RATING</t>
        </is>
      </c>
      <c r="DW208" s="40" t="inlineStr">
        <is>
          <t>CHOOSE RATING</t>
        </is>
      </c>
      <c r="DX208" s="40" t="inlineStr">
        <is>
          <t>CHOOSE RATING</t>
        </is>
      </c>
      <c r="DY208" s="40" t="inlineStr">
        <is>
          <t>CHOOSE RATING</t>
        </is>
      </c>
      <c r="DZ208" s="53" t="inlineStr">
        <is>
          <t>CHOOSE RATING</t>
        </is>
      </c>
      <c r="EA208" s="54" t="inlineStr">
        <is>
          <t>Add the Tutor's Comment . . .</t>
        </is>
      </c>
      <c r="EB208" s="55" t="inlineStr">
        <is>
          <t>Choose Principals comment</t>
        </is>
      </c>
      <c r="EC208" s="56" t="n"/>
      <c r="ED208" s="57" t="inlineStr">
        <is>
          <t>Next Term Begins on Monday, 22nd September, 2025</t>
        </is>
      </c>
    </row>
    <row r="209" ht="30.6" customHeight="1" s="6">
      <c r="A209" s="18" t="n">
        <v>206</v>
      </c>
      <c r="B209" s="19" t="n"/>
      <c r="C209" s="20" t="n"/>
      <c r="D209" s="128" t="n"/>
      <c r="E209" s="21" t="n"/>
      <c r="F209" s="22" t="n"/>
      <c r="G209" s="22" t="n"/>
      <c r="H209" s="22" t="n"/>
      <c r="I209" s="26">
        <f>G209-H209</f>
        <v/>
      </c>
      <c r="J209" s="21" t="n"/>
      <c r="K209" s="21" t="n"/>
      <c r="L209" s="27">
        <f>SUM(J209:K209)</f>
        <v/>
      </c>
      <c r="M209" s="28" t="n"/>
      <c r="N209" s="28" t="n"/>
      <c r="O209" s="29">
        <f>IF(AND(L209=0,M209=0,N209=0),0,IF(AND(L209=0,M209=0),N209/1,IF(AND(L209=0,N209=0),M209/1,IF(AND(M209=0,N209=0),L209/1,IF(L209=0,FLOOR((M209+N209)/2,0.1),IF(M209=0,(L209+N209)/2,IF(N209=0,(M209+L209)/2,FLOOR(((L209+M209+N209)/3),0.1))))))))</f>
        <v/>
      </c>
      <c r="P209" s="21" t="n"/>
      <c r="Q209" s="21" t="n"/>
      <c r="R209" s="27">
        <f>SUM(P209:Q209)</f>
        <v/>
      </c>
      <c r="S209" s="28" t="n"/>
      <c r="T209" s="28" t="n"/>
      <c r="U209" s="29">
        <f>IF(AND(R209=0,S209=0,T209=0),0,IF(AND(R209=0,S209=0),T209/1,IF(AND(R209=0,T209=0),S209/1,IF(AND(S209=0,T209=0),R209/1,IF(R209=0,FLOOR((S209+T209)/2,0.1),IF(S209=0,(R209+T209)/2,IF(T209=0,(S209+R209)/2,FLOOR(((R209+S209+T209)/3),0.1))))))))</f>
        <v/>
      </c>
      <c r="V209" s="21" t="n"/>
      <c r="W209" s="21" t="n"/>
      <c r="X209" s="27">
        <f>SUM(V209:W209)</f>
        <v/>
      </c>
      <c r="Y209" s="28" t="n"/>
      <c r="Z209" s="28" t="n"/>
      <c r="AA209" s="29">
        <f>IF(AND(X209=0,Y209=0,Z209=0),0,IF(AND(X209=0,Y209=0),Z209/1,IF(AND(X209=0,Z209=0),Y209/1,IF(AND(Y209=0,Z209=0),X209/1,IF(X209=0,FLOOR((Y209+Z209)/2,0.1),IF(Y209=0,(X209+Z209)/2,IF(Z209=0,(Y209+X209)/2,FLOOR(((X209+Y209+Z209)/3),0.1))))))))</f>
        <v/>
      </c>
      <c r="AB209" s="21" t="n"/>
      <c r="AC209" s="21" t="n"/>
      <c r="AD209" s="27">
        <f>SUM(AB209:AC209)</f>
        <v/>
      </c>
      <c r="AE209" s="28" t="n"/>
      <c r="AF209" s="28" t="n"/>
      <c r="AG209" s="29">
        <f>IF(AND(AD209=0,AE209=0,AF209=0),0,IF(AND(AD209=0,AE209=0),AF209/1,IF(AND(AD209=0,AF209=0),AE209/1,IF(AND(AE209=0,AF209=0),AD209/1,IF(AD209=0,FLOOR((AE209+AF209)/2,0.1),IF(AE209=0,(AD209+AF209)/2,IF(AF209=0,(AE209+AD209)/2,FLOOR(((AD209+AE209+AF209)/3),0.1))))))))</f>
        <v/>
      </c>
      <c r="AH209" s="21" t="n"/>
      <c r="AI209" s="21" t="n"/>
      <c r="AJ209" s="27">
        <f>SUM(AH209:AI209)</f>
        <v/>
      </c>
      <c r="AK209" s="28" t="n"/>
      <c r="AL209" s="28" t="n"/>
      <c r="AM209" s="29">
        <f>IF(AND(AJ209=0,AK209=0,AL209=0),0,IF(AND(AJ209=0,AK209=0),AL209/1,IF(AND(AJ209=0,AL209=0),AK209/1,IF(AND(AK209=0,AL209=0),AJ209/1,IF(AJ209=0,FLOOR((AK209+AL209)/2,0.1),IF(AK209=0,(AJ209+AL209)/2,IF(AL209=0,(AK209+AJ209)/2,FLOOR(((AJ209+AK209+AL209)/3),0.1))))))))</f>
        <v/>
      </c>
      <c r="AN209" s="21" t="n"/>
      <c r="AO209" s="21" t="n"/>
      <c r="AP209" s="27">
        <f>SUM(AN209:AO209)</f>
        <v/>
      </c>
      <c r="AQ209" s="28" t="n"/>
      <c r="AR209" s="30" t="n"/>
      <c r="AS209" s="29">
        <f>IF(AND(AP209=0,AQ209=0,AR209=0),0,IF(AND(AP209=0,AQ209=0),AR209/1,IF(AND(AP209=0,AR209=0),AQ209/1,IF(AND(AQ209=0,AR209=0),AP209/1,IF(AP209=0,FLOOR((AQ209+AR209)/2,0.1),IF(AQ209=0,(AP209+AR209)/2,IF(AR209=0,(AQ209+AP209)/2,FLOOR(((AP209+AQ209+AR209)/3),0.1))))))))</f>
        <v/>
      </c>
      <c r="AT209" s="21" t="n"/>
      <c r="AU209" s="21" t="n"/>
      <c r="AV209" s="27">
        <f>SUM(AT209:AU209)</f>
        <v/>
      </c>
      <c r="AW209" s="28" t="n"/>
      <c r="AX209" s="30" t="n"/>
      <c r="AY209" s="29">
        <f>IF(AND(AV209=0,AW209=0,AX209=0),0,IF(AND(AV209=0,AW209=0),AX209/1,IF(AND(AV209=0,AX209=0),AW209/1,IF(AND(AW209=0,AX209=0),AV209/1,IF(AV209=0,FLOOR((AW209+AX209)/2,0.1),IF(AW209=0,(AV209+AX209)/2,IF(AX209=0,(AW209+AV209)/2,FLOOR(((AV209+AW209+AX209)/3),0.1))))))))</f>
        <v/>
      </c>
      <c r="AZ209" s="21" t="n"/>
      <c r="BA209" s="21" t="n"/>
      <c r="BB209" s="27">
        <f>SUM(AZ209:BA209)</f>
        <v/>
      </c>
      <c r="BC209" s="28" t="n"/>
      <c r="BD209" s="28" t="n"/>
      <c r="BE209" s="29">
        <f>IF(AND(BB209=0,BC209=0,BD209=0),0,IF(AND(BB209=0,BC209=0),BD209/1,IF(AND(BB209=0,BD209=0),BC209/1,IF(AND(BC209=0,BD209=0),BB209/1,IF(BB209=0,FLOOR((BC209+BD209)/2,0.1),IF(BC209=0,(BB209+BD209)/2,IF(BD209=0,(BC209+BB209)/2,FLOOR(((BB209+BC209+BD209)/3),0.1))))))))</f>
        <v/>
      </c>
      <c r="BF209" s="21" t="n"/>
      <c r="BG209" s="21" t="n"/>
      <c r="BH209" s="27">
        <f>SUM(BF209:BG209)</f>
        <v/>
      </c>
      <c r="BI209" s="28" t="n"/>
      <c r="BJ209" s="28" t="n"/>
      <c r="BK209" s="29">
        <f>IF(AND(BH209=0,BI209=0,BJ209=0),0,IF(AND(BH209=0,BI209=0),BJ209/1,IF(AND(BH209=0,BJ209=0),BI209/1,IF(AND(BI209=0,BJ209=0),BH209/1,IF(BH209=0,FLOOR((BI209+BJ209)/2,0.1),IF(BI209=0,(BH209+BJ209)/2,IF(BJ209=0,(BI209+BH209)/2,FLOOR(((BH209+BI209+BJ209)/3),0.1))))))))</f>
        <v/>
      </c>
      <c r="BL209" s="21" t="n"/>
      <c r="BM209" s="21" t="n"/>
      <c r="BN209" s="27">
        <f>SUM(BL209:BM209)</f>
        <v/>
      </c>
      <c r="BO209" s="28" t="n"/>
      <c r="BP209" s="31" t="n"/>
      <c r="BQ209" s="29">
        <f>IF(AND(BN209=0,BO209=0,BP209=0),0,IF(AND(BN209=0,BO209=0),BP209/1,IF(AND(BN209=0,BP209=0),BO209/1,IF(AND(BO209=0,BP209=0),BN209/1,IF(BN209=0,FLOOR((BO209+BP209)/2,0.1),IF(BO209=0,(BN209+BP209)/2,IF(BP209=0,(BO209+BN209)/2,FLOOR(((BN209+BO209+BP209)/3),0.1))))))))</f>
        <v/>
      </c>
      <c r="BR209" s="21" t="n"/>
      <c r="BS209" s="21" t="n"/>
      <c r="BT209" s="27">
        <f>SUM(BR209:BS209)</f>
        <v/>
      </c>
      <c r="BU209" s="28" t="n"/>
      <c r="BV209" s="31" t="n"/>
      <c r="BW209" s="29">
        <f>IF(AND(BT209=0,BU209=0,BV209=0),0,IF(AND(BT209=0,BU209=0),BV209/1,IF(AND(BT209=0,BV209=0),BU209/1,IF(AND(BU209=0,BV209=0),BT209/1,IF(BT209=0,FLOOR((BU209+BV209)/2,0.1),IF(BU209=0,(BT209+BV209)/2,IF(BV209=0,(BU209+BT209)/2,FLOOR(((BT209+BU209+BV209)/3),0.1))))))))</f>
        <v/>
      </c>
      <c r="BX209" s="21" t="n"/>
      <c r="BY209" s="21" t="n"/>
      <c r="BZ209" s="27">
        <f>SUM(BX209:BY209)</f>
        <v/>
      </c>
      <c r="CA209" s="28" t="n"/>
      <c r="CB209" s="31" t="n"/>
      <c r="CC209" s="29">
        <f>IF(AND(BZ209=0,CA209=0,CB209=0),0,IF(AND(BZ209=0,CA209=0),CB209/1,IF(AND(BZ209=0,CB209=0),CA209/1,IF(AND(CA209=0,CB209=0),BZ209/1,IF(BZ209=0,FLOOR((CA209+CB209)/2,0.1),IF(CA209=0,(BZ209+CB209)/2,IF(CB209=0,(CA209+BZ209)/2,FLOOR(((BZ209+CA209+CB209)/3),0.1))))))))</f>
        <v/>
      </c>
      <c r="CD209" s="21" t="n"/>
      <c r="CE209" s="21" t="n"/>
      <c r="CF209" s="27">
        <f>SUM(CD209:CE209)</f>
        <v/>
      </c>
      <c r="CG209" s="28" t="n"/>
      <c r="CH209" s="31" t="n"/>
      <c r="CI209" s="29">
        <f>IF(AND(CF209=0,CG209=0,CH209=0),0,IF(AND(CF209=0,CG209=0),CH209/1,IF(AND(CF209=0,CH209=0),CG209/1,IF(AND(CG209=0,CH209=0),CF209/1,IF(CF209=0,FLOOR((CG209+CH209)/2,0.1),IF(CG209=0,(CF209+CH209)/2,IF(CH209=0,(CG209+CF209)/2,FLOOR(((CF209+CG209+CH209)/3),0.1))))))))</f>
        <v/>
      </c>
      <c r="CJ209" s="21" t="n"/>
      <c r="CK209" s="21" t="n"/>
      <c r="CL209" s="27">
        <f>SUM(CJ209:CK209)</f>
        <v/>
      </c>
      <c r="CM209" s="28" t="n"/>
      <c r="CN209" s="31" t="n"/>
      <c r="CO209" s="29">
        <f>IF(AND(CL209=0,CM209=0,CN209=0),0,IF(AND(CL209=0,CM209=0),CN209/1,IF(AND(CL209=0,CN209=0),CM209/1,IF(AND(CM209=0,CN209=0),CL209/1,IF(CL209=0,FLOOR((CM209+CN209)/2,0.1),IF(CM209=0,(CL209+CN209)/2,IF(CN209=0,(CM209+CL209)/2,FLOOR(((CL209+CM209+CN209)/3),0.1))))))))</f>
        <v/>
      </c>
      <c r="CP209" s="21" t="n"/>
      <c r="CQ209" s="21" t="n"/>
      <c r="CR209" s="27">
        <f>SUM(CP209:CQ209)</f>
        <v/>
      </c>
      <c r="CS209" s="28" t="n"/>
      <c r="CT209" s="31" t="n"/>
      <c r="CU209" s="29">
        <f>IF(AND(CR209=0,CS209=0,CT209=0),0,IF(AND(CR209=0,CS209=0),CT209/1,IF(AND(CR209=0,CT209=0),CS209/1,IF(AND(CS209=0,CT209=0),CR209/1,IF(CR209=0,FLOOR((CS209+CT209)/2,0.1),IF(CS209=0,(CR209+CT209)/2,IF(CT209=0,(CS209+CR209)/2,FLOOR(((CR209+CS209+CT209)/3),0.1))))))))</f>
        <v/>
      </c>
      <c r="CV209" s="21" t="n"/>
      <c r="CW209" s="21" t="n"/>
      <c r="CX209" s="27">
        <f>SUM(CV209:CW209)</f>
        <v/>
      </c>
      <c r="CY209" s="28" t="n"/>
      <c r="CZ209" s="31" t="n"/>
      <c r="DA209" s="29">
        <f>IF(AND(CX209=0,CY209=0,CZ209=0),0,IF(AND(CX209=0,CY209=0),CZ209/1,IF(AND(CX209=0,CZ209=0),CY209/1,IF(AND(CY209=0,CZ209=0),CX209/1,IF(CX209=0,FLOOR((CY209+CZ209)/2,0.1),IF(CY209=0,(CX209+CZ209)/2,IF(CZ209=0,(CY209+CX209)/2,FLOOR(((CX209+CY209+CZ209)/3),0.1))))))))</f>
        <v/>
      </c>
      <c r="DB209" s="21" t="n"/>
      <c r="DC209" s="21" t="n"/>
      <c r="DD209" s="27">
        <f>SUM(DB209:DC209)</f>
        <v/>
      </c>
      <c r="DE209" s="28" t="n"/>
      <c r="DF209" s="31" t="n"/>
      <c r="DG209" s="29">
        <f>IF(AND(DD209=0,DE209=0,DF209=0),0,IF(AND(DD209=0,DE209=0),DF209/1,IF(AND(DD209=0,DF209=0),DE209/1,IF(AND(DE209=0,DF209=0),DD209/1,IF(DD209=0,FLOOR((DE209+DF209)/2,0.1),IF(DE209=0,(DD209+DF209)/2,IF(DF209=0,(DE209+DD209)/2,FLOOR(((DD209+DE209+DF209)/3),0.1))))))))</f>
        <v/>
      </c>
      <c r="DH209" s="34">
        <f>SUM(O209,U209,AA209,AG209,AM209,AS209,AY209,BE209,BK209,BQ209,BW209,CC209,CI209,CO209,CU209,DA209,DG209)</f>
        <v/>
      </c>
      <c r="DI209" s="39">
        <f>RANK(DH209,DH$4:DH$503)</f>
        <v/>
      </c>
      <c r="DJ209" s="40" t="inlineStr">
        <is>
          <t>CHOOSE RATING</t>
        </is>
      </c>
      <c r="DK209" s="40" t="inlineStr">
        <is>
          <t>CHOOSE RATING</t>
        </is>
      </c>
      <c r="DL209" s="40" t="inlineStr">
        <is>
          <t>CHOOSE RATING</t>
        </is>
      </c>
      <c r="DM209" s="40" t="inlineStr">
        <is>
          <t>CHOOSE RATING</t>
        </is>
      </c>
      <c r="DN209" s="40" t="inlineStr">
        <is>
          <t>CHOOSE RATING</t>
        </is>
      </c>
      <c r="DO209" s="40" t="inlineStr">
        <is>
          <t>CHOOSE RATING</t>
        </is>
      </c>
      <c r="DP209" s="40" t="inlineStr">
        <is>
          <t>CHOOSE RATING</t>
        </is>
      </c>
      <c r="DQ209" s="40" t="inlineStr">
        <is>
          <t>CHOOSE RATING</t>
        </is>
      </c>
      <c r="DR209" s="43" t="inlineStr">
        <is>
          <t>2024/2025</t>
        </is>
      </c>
      <c r="DS209" s="45" t="inlineStr">
        <is>
          <t>THIRD</t>
        </is>
      </c>
      <c r="DT209" s="40" t="inlineStr">
        <is>
          <t>CHOOSE RATING</t>
        </is>
      </c>
      <c r="DU209" s="40" t="inlineStr">
        <is>
          <t>CHOOSE RATING</t>
        </is>
      </c>
      <c r="DV209" s="40" t="inlineStr">
        <is>
          <t>CHOOSE RATING</t>
        </is>
      </c>
      <c r="DW209" s="40" t="inlineStr">
        <is>
          <t>CHOOSE RATING</t>
        </is>
      </c>
      <c r="DX209" s="40" t="inlineStr">
        <is>
          <t>CHOOSE RATING</t>
        </is>
      </c>
      <c r="DY209" s="40" t="inlineStr">
        <is>
          <t>CHOOSE RATING</t>
        </is>
      </c>
      <c r="DZ209" s="53" t="inlineStr">
        <is>
          <t>CHOOSE RATING</t>
        </is>
      </c>
      <c r="EA209" s="54" t="inlineStr">
        <is>
          <t>Add the Tutor's Comment . . .</t>
        </is>
      </c>
      <c r="EB209" s="55" t="inlineStr">
        <is>
          <t>Choose Principals comment</t>
        </is>
      </c>
      <c r="EC209" s="56" t="n"/>
      <c r="ED209" s="57" t="inlineStr">
        <is>
          <t>Next Term Begins on Monday, 22nd September, 2025</t>
        </is>
      </c>
    </row>
    <row r="210" ht="30.6" customHeight="1" s="6">
      <c r="A210" s="18" t="n">
        <v>207</v>
      </c>
      <c r="B210" s="19" t="n"/>
      <c r="C210" s="20" t="n"/>
      <c r="D210" s="128" t="n"/>
      <c r="E210" s="21" t="n"/>
      <c r="F210" s="22" t="n"/>
      <c r="G210" s="22" t="n"/>
      <c r="H210" s="22" t="n"/>
      <c r="I210" s="26">
        <f>G210-H210</f>
        <v/>
      </c>
      <c r="J210" s="21" t="n"/>
      <c r="K210" s="21" t="n"/>
      <c r="L210" s="27">
        <f>SUM(J210:K210)</f>
        <v/>
      </c>
      <c r="M210" s="28" t="n"/>
      <c r="N210" s="28" t="n"/>
      <c r="O210" s="29">
        <f>IF(AND(L210=0,M210=0,N210=0),0,IF(AND(L210=0,M210=0),N210/1,IF(AND(L210=0,N210=0),M210/1,IF(AND(M210=0,N210=0),L210/1,IF(L210=0,FLOOR((M210+N210)/2,0.1),IF(M210=0,(L210+N210)/2,IF(N210=0,(M210+L210)/2,FLOOR(((L210+M210+N210)/3),0.1))))))))</f>
        <v/>
      </c>
      <c r="P210" s="21" t="n"/>
      <c r="Q210" s="21" t="n"/>
      <c r="R210" s="27">
        <f>SUM(P210:Q210)</f>
        <v/>
      </c>
      <c r="S210" s="28" t="n"/>
      <c r="T210" s="28" t="n"/>
      <c r="U210" s="29">
        <f>IF(AND(R210=0,S210=0,T210=0),0,IF(AND(R210=0,S210=0),T210/1,IF(AND(R210=0,T210=0),S210/1,IF(AND(S210=0,T210=0),R210/1,IF(R210=0,FLOOR((S210+T210)/2,0.1),IF(S210=0,(R210+T210)/2,IF(T210=0,(S210+R210)/2,FLOOR(((R210+S210+T210)/3),0.1))))))))</f>
        <v/>
      </c>
      <c r="V210" s="21" t="n"/>
      <c r="W210" s="21" t="n"/>
      <c r="X210" s="27">
        <f>SUM(V210:W210)</f>
        <v/>
      </c>
      <c r="Y210" s="28" t="n"/>
      <c r="Z210" s="28" t="n"/>
      <c r="AA210" s="29">
        <f>IF(AND(X210=0,Y210=0,Z210=0),0,IF(AND(X210=0,Y210=0),Z210/1,IF(AND(X210=0,Z210=0),Y210/1,IF(AND(Y210=0,Z210=0),X210/1,IF(X210=0,FLOOR((Y210+Z210)/2,0.1),IF(Y210=0,(X210+Z210)/2,IF(Z210=0,(Y210+X210)/2,FLOOR(((X210+Y210+Z210)/3),0.1))))))))</f>
        <v/>
      </c>
      <c r="AB210" s="21" t="n"/>
      <c r="AC210" s="21" t="n"/>
      <c r="AD210" s="27">
        <f>SUM(AB210:AC210)</f>
        <v/>
      </c>
      <c r="AE210" s="28" t="n"/>
      <c r="AF210" s="28" t="n"/>
      <c r="AG210" s="29">
        <f>IF(AND(AD210=0,AE210=0,AF210=0),0,IF(AND(AD210=0,AE210=0),AF210/1,IF(AND(AD210=0,AF210=0),AE210/1,IF(AND(AE210=0,AF210=0),AD210/1,IF(AD210=0,FLOOR((AE210+AF210)/2,0.1),IF(AE210=0,(AD210+AF210)/2,IF(AF210=0,(AE210+AD210)/2,FLOOR(((AD210+AE210+AF210)/3),0.1))))))))</f>
        <v/>
      </c>
      <c r="AH210" s="21" t="n"/>
      <c r="AI210" s="21" t="n"/>
      <c r="AJ210" s="27">
        <f>SUM(AH210:AI210)</f>
        <v/>
      </c>
      <c r="AK210" s="28" t="n"/>
      <c r="AL210" s="28" t="n"/>
      <c r="AM210" s="29">
        <f>IF(AND(AJ210=0,AK210=0,AL210=0),0,IF(AND(AJ210=0,AK210=0),AL210/1,IF(AND(AJ210=0,AL210=0),AK210/1,IF(AND(AK210=0,AL210=0),AJ210/1,IF(AJ210=0,FLOOR((AK210+AL210)/2,0.1),IF(AK210=0,(AJ210+AL210)/2,IF(AL210=0,(AK210+AJ210)/2,FLOOR(((AJ210+AK210+AL210)/3),0.1))))))))</f>
        <v/>
      </c>
      <c r="AN210" s="21" t="n"/>
      <c r="AO210" s="21" t="n"/>
      <c r="AP210" s="27">
        <f>SUM(AN210:AO210)</f>
        <v/>
      </c>
      <c r="AQ210" s="28" t="n"/>
      <c r="AR210" s="30" t="n"/>
      <c r="AS210" s="29">
        <f>IF(AND(AP210=0,AQ210=0,AR210=0),0,IF(AND(AP210=0,AQ210=0),AR210/1,IF(AND(AP210=0,AR210=0),AQ210/1,IF(AND(AQ210=0,AR210=0),AP210/1,IF(AP210=0,FLOOR((AQ210+AR210)/2,0.1),IF(AQ210=0,(AP210+AR210)/2,IF(AR210=0,(AQ210+AP210)/2,FLOOR(((AP210+AQ210+AR210)/3),0.1))))))))</f>
        <v/>
      </c>
      <c r="AT210" s="21" t="n"/>
      <c r="AU210" s="21" t="n"/>
      <c r="AV210" s="27">
        <f>SUM(AT210:AU210)</f>
        <v/>
      </c>
      <c r="AW210" s="28" t="n"/>
      <c r="AX210" s="30" t="n"/>
      <c r="AY210" s="29">
        <f>IF(AND(AV210=0,AW210=0,AX210=0),0,IF(AND(AV210=0,AW210=0),AX210/1,IF(AND(AV210=0,AX210=0),AW210/1,IF(AND(AW210=0,AX210=0),AV210/1,IF(AV210=0,FLOOR((AW210+AX210)/2,0.1),IF(AW210=0,(AV210+AX210)/2,IF(AX210=0,(AW210+AV210)/2,FLOOR(((AV210+AW210+AX210)/3),0.1))))))))</f>
        <v/>
      </c>
      <c r="AZ210" s="21" t="n"/>
      <c r="BA210" s="21" t="n"/>
      <c r="BB210" s="27">
        <f>SUM(AZ210:BA210)</f>
        <v/>
      </c>
      <c r="BC210" s="28" t="n"/>
      <c r="BD210" s="28" t="n"/>
      <c r="BE210" s="29">
        <f>IF(AND(BB210=0,BC210=0,BD210=0),0,IF(AND(BB210=0,BC210=0),BD210/1,IF(AND(BB210=0,BD210=0),BC210/1,IF(AND(BC210=0,BD210=0),BB210/1,IF(BB210=0,FLOOR((BC210+BD210)/2,0.1),IF(BC210=0,(BB210+BD210)/2,IF(BD210=0,(BC210+BB210)/2,FLOOR(((BB210+BC210+BD210)/3),0.1))))))))</f>
        <v/>
      </c>
      <c r="BF210" s="21" t="n"/>
      <c r="BG210" s="21" t="n"/>
      <c r="BH210" s="27">
        <f>SUM(BF210:BG210)</f>
        <v/>
      </c>
      <c r="BI210" s="28" t="n"/>
      <c r="BJ210" s="28" t="n"/>
      <c r="BK210" s="29">
        <f>IF(AND(BH210=0,BI210=0,BJ210=0),0,IF(AND(BH210=0,BI210=0),BJ210/1,IF(AND(BH210=0,BJ210=0),BI210/1,IF(AND(BI210=0,BJ210=0),BH210/1,IF(BH210=0,FLOOR((BI210+BJ210)/2,0.1),IF(BI210=0,(BH210+BJ210)/2,IF(BJ210=0,(BI210+BH210)/2,FLOOR(((BH210+BI210+BJ210)/3),0.1))))))))</f>
        <v/>
      </c>
      <c r="BL210" s="21" t="n"/>
      <c r="BM210" s="21" t="n"/>
      <c r="BN210" s="27">
        <f>SUM(BL210:BM210)</f>
        <v/>
      </c>
      <c r="BO210" s="28" t="n"/>
      <c r="BP210" s="31" t="n"/>
      <c r="BQ210" s="29">
        <f>IF(AND(BN210=0,BO210=0,BP210=0),0,IF(AND(BN210=0,BO210=0),BP210/1,IF(AND(BN210=0,BP210=0),BO210/1,IF(AND(BO210=0,BP210=0),BN210/1,IF(BN210=0,FLOOR((BO210+BP210)/2,0.1),IF(BO210=0,(BN210+BP210)/2,IF(BP210=0,(BO210+BN210)/2,FLOOR(((BN210+BO210+BP210)/3),0.1))))))))</f>
        <v/>
      </c>
      <c r="BR210" s="21" t="n"/>
      <c r="BS210" s="21" t="n"/>
      <c r="BT210" s="27">
        <f>SUM(BR210:BS210)</f>
        <v/>
      </c>
      <c r="BU210" s="28" t="n"/>
      <c r="BV210" s="31" t="n"/>
      <c r="BW210" s="29">
        <f>IF(AND(BT210=0,BU210=0,BV210=0),0,IF(AND(BT210=0,BU210=0),BV210/1,IF(AND(BT210=0,BV210=0),BU210/1,IF(AND(BU210=0,BV210=0),BT210/1,IF(BT210=0,FLOOR((BU210+BV210)/2,0.1),IF(BU210=0,(BT210+BV210)/2,IF(BV210=0,(BU210+BT210)/2,FLOOR(((BT210+BU210+BV210)/3),0.1))))))))</f>
        <v/>
      </c>
      <c r="BX210" s="21" t="n"/>
      <c r="BY210" s="21" t="n"/>
      <c r="BZ210" s="27">
        <f>SUM(BX210:BY210)</f>
        <v/>
      </c>
      <c r="CA210" s="28" t="n"/>
      <c r="CB210" s="31" t="n"/>
      <c r="CC210" s="29">
        <f>IF(AND(BZ210=0,CA210=0,CB210=0),0,IF(AND(BZ210=0,CA210=0),CB210/1,IF(AND(BZ210=0,CB210=0),CA210/1,IF(AND(CA210=0,CB210=0),BZ210/1,IF(BZ210=0,FLOOR((CA210+CB210)/2,0.1),IF(CA210=0,(BZ210+CB210)/2,IF(CB210=0,(CA210+BZ210)/2,FLOOR(((BZ210+CA210+CB210)/3),0.1))))))))</f>
        <v/>
      </c>
      <c r="CD210" s="21" t="n"/>
      <c r="CE210" s="21" t="n"/>
      <c r="CF210" s="27">
        <f>SUM(CD210:CE210)</f>
        <v/>
      </c>
      <c r="CG210" s="28" t="n"/>
      <c r="CH210" s="31" t="n"/>
      <c r="CI210" s="29">
        <f>IF(AND(CF210=0,CG210=0,CH210=0),0,IF(AND(CF210=0,CG210=0),CH210/1,IF(AND(CF210=0,CH210=0),CG210/1,IF(AND(CG210=0,CH210=0),CF210/1,IF(CF210=0,FLOOR((CG210+CH210)/2,0.1),IF(CG210=0,(CF210+CH210)/2,IF(CH210=0,(CG210+CF210)/2,FLOOR(((CF210+CG210+CH210)/3),0.1))))))))</f>
        <v/>
      </c>
      <c r="CJ210" s="21" t="n"/>
      <c r="CK210" s="21" t="n"/>
      <c r="CL210" s="27">
        <f>SUM(CJ210:CK210)</f>
        <v/>
      </c>
      <c r="CM210" s="28" t="n"/>
      <c r="CN210" s="31" t="n"/>
      <c r="CO210" s="29">
        <f>IF(AND(CL210=0,CM210=0,CN210=0),0,IF(AND(CL210=0,CM210=0),CN210/1,IF(AND(CL210=0,CN210=0),CM210/1,IF(AND(CM210=0,CN210=0),CL210/1,IF(CL210=0,FLOOR((CM210+CN210)/2,0.1),IF(CM210=0,(CL210+CN210)/2,IF(CN210=0,(CM210+CL210)/2,FLOOR(((CL210+CM210+CN210)/3),0.1))))))))</f>
        <v/>
      </c>
      <c r="CP210" s="21" t="n"/>
      <c r="CQ210" s="21" t="n"/>
      <c r="CR210" s="27">
        <f>SUM(CP210:CQ210)</f>
        <v/>
      </c>
      <c r="CS210" s="28" t="n"/>
      <c r="CT210" s="31" t="n"/>
      <c r="CU210" s="29">
        <f>IF(AND(CR210=0,CS210=0,CT210=0),0,IF(AND(CR210=0,CS210=0),CT210/1,IF(AND(CR210=0,CT210=0),CS210/1,IF(AND(CS210=0,CT210=0),CR210/1,IF(CR210=0,FLOOR((CS210+CT210)/2,0.1),IF(CS210=0,(CR210+CT210)/2,IF(CT210=0,(CS210+CR210)/2,FLOOR(((CR210+CS210+CT210)/3),0.1))))))))</f>
        <v/>
      </c>
      <c r="CV210" s="21" t="n"/>
      <c r="CW210" s="21" t="n"/>
      <c r="CX210" s="27">
        <f>SUM(CV210:CW210)</f>
        <v/>
      </c>
      <c r="CY210" s="28" t="n"/>
      <c r="CZ210" s="31" t="n"/>
      <c r="DA210" s="29">
        <f>IF(AND(CX210=0,CY210=0,CZ210=0),0,IF(AND(CX210=0,CY210=0),CZ210/1,IF(AND(CX210=0,CZ210=0),CY210/1,IF(AND(CY210=0,CZ210=0),CX210/1,IF(CX210=0,FLOOR((CY210+CZ210)/2,0.1),IF(CY210=0,(CX210+CZ210)/2,IF(CZ210=0,(CY210+CX210)/2,FLOOR(((CX210+CY210+CZ210)/3),0.1))))))))</f>
        <v/>
      </c>
      <c r="DB210" s="21" t="n"/>
      <c r="DC210" s="21" t="n"/>
      <c r="DD210" s="27">
        <f>SUM(DB210:DC210)</f>
        <v/>
      </c>
      <c r="DE210" s="28" t="n"/>
      <c r="DF210" s="31" t="n"/>
      <c r="DG210" s="29">
        <f>IF(AND(DD210=0,DE210=0,DF210=0),0,IF(AND(DD210=0,DE210=0),DF210/1,IF(AND(DD210=0,DF210=0),DE210/1,IF(AND(DE210=0,DF210=0),DD210/1,IF(DD210=0,FLOOR((DE210+DF210)/2,0.1),IF(DE210=0,(DD210+DF210)/2,IF(DF210=0,(DE210+DD210)/2,FLOOR(((DD210+DE210+DF210)/3),0.1))))))))</f>
        <v/>
      </c>
      <c r="DH210" s="34">
        <f>SUM(O210,U210,AA210,AG210,AM210,AS210,AY210,BE210,BK210,BQ210,BW210,CC210,CI210,CO210,CU210,DA210,DG210)</f>
        <v/>
      </c>
      <c r="DI210" s="39">
        <f>RANK(DH210,DH$4:DH$503)</f>
        <v/>
      </c>
      <c r="DJ210" s="40" t="inlineStr">
        <is>
          <t>CHOOSE RATING</t>
        </is>
      </c>
      <c r="DK210" s="40" t="inlineStr">
        <is>
          <t>CHOOSE RATING</t>
        </is>
      </c>
      <c r="DL210" s="40" t="inlineStr">
        <is>
          <t>CHOOSE RATING</t>
        </is>
      </c>
      <c r="DM210" s="40" t="inlineStr">
        <is>
          <t>CHOOSE RATING</t>
        </is>
      </c>
      <c r="DN210" s="40" t="inlineStr">
        <is>
          <t>CHOOSE RATING</t>
        </is>
      </c>
      <c r="DO210" s="40" t="inlineStr">
        <is>
          <t>CHOOSE RATING</t>
        </is>
      </c>
      <c r="DP210" s="40" t="inlineStr">
        <is>
          <t>CHOOSE RATING</t>
        </is>
      </c>
      <c r="DQ210" s="40" t="inlineStr">
        <is>
          <t>CHOOSE RATING</t>
        </is>
      </c>
      <c r="DR210" s="43" t="inlineStr">
        <is>
          <t>2024/2025</t>
        </is>
      </c>
      <c r="DS210" s="45" t="inlineStr">
        <is>
          <t>THIRD</t>
        </is>
      </c>
      <c r="DT210" s="40" t="inlineStr">
        <is>
          <t>CHOOSE RATING</t>
        </is>
      </c>
      <c r="DU210" s="40" t="inlineStr">
        <is>
          <t>CHOOSE RATING</t>
        </is>
      </c>
      <c r="DV210" s="40" t="inlineStr">
        <is>
          <t>CHOOSE RATING</t>
        </is>
      </c>
      <c r="DW210" s="40" t="inlineStr">
        <is>
          <t>CHOOSE RATING</t>
        </is>
      </c>
      <c r="DX210" s="40" t="inlineStr">
        <is>
          <t>CHOOSE RATING</t>
        </is>
      </c>
      <c r="DY210" s="40" t="inlineStr">
        <is>
          <t>CHOOSE RATING</t>
        </is>
      </c>
      <c r="DZ210" s="53" t="inlineStr">
        <is>
          <t>CHOOSE RATING</t>
        </is>
      </c>
      <c r="EA210" s="54" t="inlineStr">
        <is>
          <t>Add the Tutor's Comment . . .</t>
        </is>
      </c>
      <c r="EB210" s="55" t="inlineStr">
        <is>
          <t>Choose Principals comment</t>
        </is>
      </c>
      <c r="EC210" s="56" t="n"/>
      <c r="ED210" s="57" t="inlineStr">
        <is>
          <t>Next Term Begins on Monday, 22nd September, 2025</t>
        </is>
      </c>
    </row>
    <row r="211" ht="30.6" customHeight="1" s="6">
      <c r="A211" s="18" t="n">
        <v>208</v>
      </c>
      <c r="B211" s="19" t="n"/>
      <c r="C211" s="20" t="n"/>
      <c r="D211" s="128" t="n"/>
      <c r="E211" s="21" t="n"/>
      <c r="F211" s="22" t="n"/>
      <c r="G211" s="22" t="n"/>
      <c r="H211" s="22" t="n"/>
      <c r="I211" s="26">
        <f>G211-H211</f>
        <v/>
      </c>
      <c r="J211" s="21" t="n"/>
      <c r="K211" s="21" t="n"/>
      <c r="L211" s="27">
        <f>SUM(J211:K211)</f>
        <v/>
      </c>
      <c r="M211" s="28" t="n"/>
      <c r="N211" s="28" t="n"/>
      <c r="O211" s="29">
        <f>IF(AND(L211=0,M211=0,N211=0),0,IF(AND(L211=0,M211=0),N211/1,IF(AND(L211=0,N211=0),M211/1,IF(AND(M211=0,N211=0),L211/1,IF(L211=0,FLOOR((M211+N211)/2,0.1),IF(M211=0,(L211+N211)/2,IF(N211=0,(M211+L211)/2,FLOOR(((L211+M211+N211)/3),0.1))))))))</f>
        <v/>
      </c>
      <c r="P211" s="21" t="n"/>
      <c r="Q211" s="21" t="n"/>
      <c r="R211" s="27">
        <f>SUM(P211:Q211)</f>
        <v/>
      </c>
      <c r="S211" s="28" t="n"/>
      <c r="T211" s="28" t="n"/>
      <c r="U211" s="29">
        <f>IF(AND(R211=0,S211=0,T211=0),0,IF(AND(R211=0,S211=0),T211/1,IF(AND(R211=0,T211=0),S211/1,IF(AND(S211=0,T211=0),R211/1,IF(R211=0,FLOOR((S211+T211)/2,0.1),IF(S211=0,(R211+T211)/2,IF(T211=0,(S211+R211)/2,FLOOR(((R211+S211+T211)/3),0.1))))))))</f>
        <v/>
      </c>
      <c r="V211" s="21" t="n"/>
      <c r="W211" s="21" t="n"/>
      <c r="X211" s="27">
        <f>SUM(V211:W211)</f>
        <v/>
      </c>
      <c r="Y211" s="28" t="n"/>
      <c r="Z211" s="28" t="n"/>
      <c r="AA211" s="29">
        <f>IF(AND(X211=0,Y211=0,Z211=0),0,IF(AND(X211=0,Y211=0),Z211/1,IF(AND(X211=0,Z211=0),Y211/1,IF(AND(Y211=0,Z211=0),X211/1,IF(X211=0,FLOOR((Y211+Z211)/2,0.1),IF(Y211=0,(X211+Z211)/2,IF(Z211=0,(Y211+X211)/2,FLOOR(((X211+Y211+Z211)/3),0.1))))))))</f>
        <v/>
      </c>
      <c r="AB211" s="21" t="n"/>
      <c r="AC211" s="21" t="n"/>
      <c r="AD211" s="27">
        <f>SUM(AB211:AC211)</f>
        <v/>
      </c>
      <c r="AE211" s="28" t="n"/>
      <c r="AF211" s="28" t="n"/>
      <c r="AG211" s="29">
        <f>IF(AND(AD211=0,AE211=0,AF211=0),0,IF(AND(AD211=0,AE211=0),AF211/1,IF(AND(AD211=0,AF211=0),AE211/1,IF(AND(AE211=0,AF211=0),AD211/1,IF(AD211=0,FLOOR((AE211+AF211)/2,0.1),IF(AE211=0,(AD211+AF211)/2,IF(AF211=0,(AE211+AD211)/2,FLOOR(((AD211+AE211+AF211)/3),0.1))))))))</f>
        <v/>
      </c>
      <c r="AH211" s="21" t="n"/>
      <c r="AI211" s="21" t="n"/>
      <c r="AJ211" s="27">
        <f>SUM(AH211:AI211)</f>
        <v/>
      </c>
      <c r="AK211" s="28" t="n"/>
      <c r="AL211" s="28" t="n"/>
      <c r="AM211" s="29">
        <f>IF(AND(AJ211=0,AK211=0,AL211=0),0,IF(AND(AJ211=0,AK211=0),AL211/1,IF(AND(AJ211=0,AL211=0),AK211/1,IF(AND(AK211=0,AL211=0),AJ211/1,IF(AJ211=0,FLOOR((AK211+AL211)/2,0.1),IF(AK211=0,(AJ211+AL211)/2,IF(AL211=0,(AK211+AJ211)/2,FLOOR(((AJ211+AK211+AL211)/3),0.1))))))))</f>
        <v/>
      </c>
      <c r="AN211" s="21" t="n"/>
      <c r="AO211" s="21" t="n"/>
      <c r="AP211" s="27">
        <f>SUM(AN211:AO211)</f>
        <v/>
      </c>
      <c r="AQ211" s="28" t="n"/>
      <c r="AR211" s="30" t="n"/>
      <c r="AS211" s="29">
        <f>IF(AND(AP211=0,AQ211=0,AR211=0),0,IF(AND(AP211=0,AQ211=0),AR211/1,IF(AND(AP211=0,AR211=0),AQ211/1,IF(AND(AQ211=0,AR211=0),AP211/1,IF(AP211=0,FLOOR((AQ211+AR211)/2,0.1),IF(AQ211=0,(AP211+AR211)/2,IF(AR211=0,(AQ211+AP211)/2,FLOOR(((AP211+AQ211+AR211)/3),0.1))))))))</f>
        <v/>
      </c>
      <c r="AT211" s="21" t="n"/>
      <c r="AU211" s="21" t="n"/>
      <c r="AV211" s="27">
        <f>SUM(AT211:AU211)</f>
        <v/>
      </c>
      <c r="AW211" s="28" t="n"/>
      <c r="AX211" s="30" t="n"/>
      <c r="AY211" s="29">
        <f>IF(AND(AV211=0,AW211=0,AX211=0),0,IF(AND(AV211=0,AW211=0),AX211/1,IF(AND(AV211=0,AX211=0),AW211/1,IF(AND(AW211=0,AX211=0),AV211/1,IF(AV211=0,FLOOR((AW211+AX211)/2,0.1),IF(AW211=0,(AV211+AX211)/2,IF(AX211=0,(AW211+AV211)/2,FLOOR(((AV211+AW211+AX211)/3),0.1))))))))</f>
        <v/>
      </c>
      <c r="AZ211" s="21" t="n"/>
      <c r="BA211" s="21" t="n"/>
      <c r="BB211" s="27">
        <f>SUM(AZ211:BA211)</f>
        <v/>
      </c>
      <c r="BC211" s="28" t="n"/>
      <c r="BD211" s="28" t="n"/>
      <c r="BE211" s="29">
        <f>IF(AND(BB211=0,BC211=0,BD211=0),0,IF(AND(BB211=0,BC211=0),BD211/1,IF(AND(BB211=0,BD211=0),BC211/1,IF(AND(BC211=0,BD211=0),BB211/1,IF(BB211=0,FLOOR((BC211+BD211)/2,0.1),IF(BC211=0,(BB211+BD211)/2,IF(BD211=0,(BC211+BB211)/2,FLOOR(((BB211+BC211+BD211)/3),0.1))))))))</f>
        <v/>
      </c>
      <c r="BF211" s="21" t="n"/>
      <c r="BG211" s="21" t="n"/>
      <c r="BH211" s="27">
        <f>SUM(BF211:BG211)</f>
        <v/>
      </c>
      <c r="BI211" s="28" t="n"/>
      <c r="BJ211" s="28" t="n"/>
      <c r="BK211" s="29">
        <f>IF(AND(BH211=0,BI211=0,BJ211=0),0,IF(AND(BH211=0,BI211=0),BJ211/1,IF(AND(BH211=0,BJ211=0),BI211/1,IF(AND(BI211=0,BJ211=0),BH211/1,IF(BH211=0,FLOOR((BI211+BJ211)/2,0.1),IF(BI211=0,(BH211+BJ211)/2,IF(BJ211=0,(BI211+BH211)/2,FLOOR(((BH211+BI211+BJ211)/3),0.1))))))))</f>
        <v/>
      </c>
      <c r="BL211" s="21" t="n"/>
      <c r="BM211" s="21" t="n"/>
      <c r="BN211" s="27">
        <f>SUM(BL211:BM211)</f>
        <v/>
      </c>
      <c r="BO211" s="28" t="n"/>
      <c r="BP211" s="31" t="n"/>
      <c r="BQ211" s="29">
        <f>IF(AND(BN211=0,BO211=0,BP211=0),0,IF(AND(BN211=0,BO211=0),BP211/1,IF(AND(BN211=0,BP211=0),BO211/1,IF(AND(BO211=0,BP211=0),BN211/1,IF(BN211=0,FLOOR((BO211+BP211)/2,0.1),IF(BO211=0,(BN211+BP211)/2,IF(BP211=0,(BO211+BN211)/2,FLOOR(((BN211+BO211+BP211)/3),0.1))))))))</f>
        <v/>
      </c>
      <c r="BR211" s="21" t="n"/>
      <c r="BS211" s="21" t="n"/>
      <c r="BT211" s="27">
        <f>SUM(BR211:BS211)</f>
        <v/>
      </c>
      <c r="BU211" s="28" t="n"/>
      <c r="BV211" s="31" t="n"/>
      <c r="BW211" s="29">
        <f>IF(AND(BT211=0,BU211=0,BV211=0),0,IF(AND(BT211=0,BU211=0),BV211/1,IF(AND(BT211=0,BV211=0),BU211/1,IF(AND(BU211=0,BV211=0),BT211/1,IF(BT211=0,FLOOR((BU211+BV211)/2,0.1),IF(BU211=0,(BT211+BV211)/2,IF(BV211=0,(BU211+BT211)/2,FLOOR(((BT211+BU211+BV211)/3),0.1))))))))</f>
        <v/>
      </c>
      <c r="BX211" s="21" t="n"/>
      <c r="BY211" s="21" t="n"/>
      <c r="BZ211" s="27">
        <f>SUM(BX211:BY211)</f>
        <v/>
      </c>
      <c r="CA211" s="28" t="n"/>
      <c r="CB211" s="31" t="n"/>
      <c r="CC211" s="29">
        <f>IF(AND(BZ211=0,CA211=0,CB211=0),0,IF(AND(BZ211=0,CA211=0),CB211/1,IF(AND(BZ211=0,CB211=0),CA211/1,IF(AND(CA211=0,CB211=0),BZ211/1,IF(BZ211=0,FLOOR((CA211+CB211)/2,0.1),IF(CA211=0,(BZ211+CB211)/2,IF(CB211=0,(CA211+BZ211)/2,FLOOR(((BZ211+CA211+CB211)/3),0.1))))))))</f>
        <v/>
      </c>
      <c r="CD211" s="21" t="n"/>
      <c r="CE211" s="21" t="n"/>
      <c r="CF211" s="27">
        <f>SUM(CD211:CE211)</f>
        <v/>
      </c>
      <c r="CG211" s="28" t="n"/>
      <c r="CH211" s="31" t="n"/>
      <c r="CI211" s="29">
        <f>IF(AND(CF211=0,CG211=0,CH211=0),0,IF(AND(CF211=0,CG211=0),CH211/1,IF(AND(CF211=0,CH211=0),CG211/1,IF(AND(CG211=0,CH211=0),CF211/1,IF(CF211=0,FLOOR((CG211+CH211)/2,0.1),IF(CG211=0,(CF211+CH211)/2,IF(CH211=0,(CG211+CF211)/2,FLOOR(((CF211+CG211+CH211)/3),0.1))))))))</f>
        <v/>
      </c>
      <c r="CJ211" s="21" t="n"/>
      <c r="CK211" s="21" t="n"/>
      <c r="CL211" s="27">
        <f>SUM(CJ211:CK211)</f>
        <v/>
      </c>
      <c r="CM211" s="28" t="n"/>
      <c r="CN211" s="31" t="n"/>
      <c r="CO211" s="29">
        <f>IF(AND(CL211=0,CM211=0,CN211=0),0,IF(AND(CL211=0,CM211=0),CN211/1,IF(AND(CL211=0,CN211=0),CM211/1,IF(AND(CM211=0,CN211=0),CL211/1,IF(CL211=0,FLOOR((CM211+CN211)/2,0.1),IF(CM211=0,(CL211+CN211)/2,IF(CN211=0,(CM211+CL211)/2,FLOOR(((CL211+CM211+CN211)/3),0.1))))))))</f>
        <v/>
      </c>
      <c r="CP211" s="21" t="n"/>
      <c r="CQ211" s="21" t="n"/>
      <c r="CR211" s="27">
        <f>SUM(CP211:CQ211)</f>
        <v/>
      </c>
      <c r="CS211" s="28" t="n"/>
      <c r="CT211" s="31" t="n"/>
      <c r="CU211" s="29">
        <f>IF(AND(CR211=0,CS211=0,CT211=0),0,IF(AND(CR211=0,CS211=0),CT211/1,IF(AND(CR211=0,CT211=0),CS211/1,IF(AND(CS211=0,CT211=0),CR211/1,IF(CR211=0,FLOOR((CS211+CT211)/2,0.1),IF(CS211=0,(CR211+CT211)/2,IF(CT211=0,(CS211+CR211)/2,FLOOR(((CR211+CS211+CT211)/3),0.1))))))))</f>
        <v/>
      </c>
      <c r="CV211" s="21" t="n"/>
      <c r="CW211" s="21" t="n"/>
      <c r="CX211" s="27">
        <f>SUM(CV211:CW211)</f>
        <v/>
      </c>
      <c r="CY211" s="28" t="n"/>
      <c r="CZ211" s="31" t="n"/>
      <c r="DA211" s="29">
        <f>IF(AND(CX211=0,CY211=0,CZ211=0),0,IF(AND(CX211=0,CY211=0),CZ211/1,IF(AND(CX211=0,CZ211=0),CY211/1,IF(AND(CY211=0,CZ211=0),CX211/1,IF(CX211=0,FLOOR((CY211+CZ211)/2,0.1),IF(CY211=0,(CX211+CZ211)/2,IF(CZ211=0,(CY211+CX211)/2,FLOOR(((CX211+CY211+CZ211)/3),0.1))))))))</f>
        <v/>
      </c>
      <c r="DB211" s="21" t="n"/>
      <c r="DC211" s="21" t="n"/>
      <c r="DD211" s="27">
        <f>SUM(DB211:DC211)</f>
        <v/>
      </c>
      <c r="DE211" s="28" t="n"/>
      <c r="DF211" s="31" t="n"/>
      <c r="DG211" s="29">
        <f>IF(AND(DD211=0,DE211=0,DF211=0),0,IF(AND(DD211=0,DE211=0),DF211/1,IF(AND(DD211=0,DF211=0),DE211/1,IF(AND(DE211=0,DF211=0),DD211/1,IF(DD211=0,FLOOR((DE211+DF211)/2,0.1),IF(DE211=0,(DD211+DF211)/2,IF(DF211=0,(DE211+DD211)/2,FLOOR(((DD211+DE211+DF211)/3),0.1))))))))</f>
        <v/>
      </c>
      <c r="DH211" s="34">
        <f>SUM(O211,U211,AA211,AG211,AM211,AS211,AY211,BE211,BK211,BQ211,BW211,CC211,CI211,CO211,CU211,DA211,DG211)</f>
        <v/>
      </c>
      <c r="DI211" s="39">
        <f>RANK(DH211,DH$4:DH$503)</f>
        <v/>
      </c>
      <c r="DJ211" s="40" t="inlineStr">
        <is>
          <t>CHOOSE RATING</t>
        </is>
      </c>
      <c r="DK211" s="40" t="inlineStr">
        <is>
          <t>CHOOSE RATING</t>
        </is>
      </c>
      <c r="DL211" s="40" t="inlineStr">
        <is>
          <t>CHOOSE RATING</t>
        </is>
      </c>
      <c r="DM211" s="40" t="inlineStr">
        <is>
          <t>CHOOSE RATING</t>
        </is>
      </c>
      <c r="DN211" s="40" t="inlineStr">
        <is>
          <t>CHOOSE RATING</t>
        </is>
      </c>
      <c r="DO211" s="40" t="inlineStr">
        <is>
          <t>CHOOSE RATING</t>
        </is>
      </c>
      <c r="DP211" s="40" t="inlineStr">
        <is>
          <t>CHOOSE RATING</t>
        </is>
      </c>
      <c r="DQ211" s="40" t="inlineStr">
        <is>
          <t>CHOOSE RATING</t>
        </is>
      </c>
      <c r="DR211" s="43" t="inlineStr">
        <is>
          <t>2024/2025</t>
        </is>
      </c>
      <c r="DS211" s="45" t="inlineStr">
        <is>
          <t>THIRD</t>
        </is>
      </c>
      <c r="DT211" s="40" t="inlineStr">
        <is>
          <t>CHOOSE RATING</t>
        </is>
      </c>
      <c r="DU211" s="40" t="inlineStr">
        <is>
          <t>CHOOSE RATING</t>
        </is>
      </c>
      <c r="DV211" s="40" t="inlineStr">
        <is>
          <t>CHOOSE RATING</t>
        </is>
      </c>
      <c r="DW211" s="40" t="inlineStr">
        <is>
          <t>CHOOSE RATING</t>
        </is>
      </c>
      <c r="DX211" s="40" t="inlineStr">
        <is>
          <t>CHOOSE RATING</t>
        </is>
      </c>
      <c r="DY211" s="40" t="inlineStr">
        <is>
          <t>CHOOSE RATING</t>
        </is>
      </c>
      <c r="DZ211" s="53" t="inlineStr">
        <is>
          <t>CHOOSE RATING</t>
        </is>
      </c>
      <c r="EA211" s="54" t="inlineStr">
        <is>
          <t>Add the Tutor's Comment . . .</t>
        </is>
      </c>
      <c r="EB211" s="55" t="inlineStr">
        <is>
          <t>Choose Principals comment</t>
        </is>
      </c>
      <c r="EC211" s="56" t="n"/>
      <c r="ED211" s="57" t="inlineStr">
        <is>
          <t>Next Term Begins on Monday, 22nd September, 2025</t>
        </is>
      </c>
    </row>
    <row r="212" ht="30.6" customHeight="1" s="6">
      <c r="A212" s="18" t="n">
        <v>209</v>
      </c>
      <c r="B212" s="19" t="n"/>
      <c r="C212" s="20" t="n"/>
      <c r="D212" s="128" t="n"/>
      <c r="E212" s="21" t="n"/>
      <c r="F212" s="22" t="n"/>
      <c r="G212" s="22" t="n"/>
      <c r="H212" s="22" t="n"/>
      <c r="I212" s="26">
        <f>G212-H212</f>
        <v/>
      </c>
      <c r="J212" s="21" t="n"/>
      <c r="K212" s="21" t="n"/>
      <c r="L212" s="27">
        <f>SUM(J212:K212)</f>
        <v/>
      </c>
      <c r="M212" s="28" t="n"/>
      <c r="N212" s="28" t="n"/>
      <c r="O212" s="29">
        <f>IF(AND(L212=0,M212=0,N212=0),0,IF(AND(L212=0,M212=0),N212/1,IF(AND(L212=0,N212=0),M212/1,IF(AND(M212=0,N212=0),L212/1,IF(L212=0,FLOOR((M212+N212)/2,0.1),IF(M212=0,(L212+N212)/2,IF(N212=0,(M212+L212)/2,FLOOR(((L212+M212+N212)/3),0.1))))))))</f>
        <v/>
      </c>
      <c r="P212" s="21" t="n"/>
      <c r="Q212" s="21" t="n"/>
      <c r="R212" s="27">
        <f>SUM(P212:Q212)</f>
        <v/>
      </c>
      <c r="S212" s="28" t="n"/>
      <c r="T212" s="28" t="n"/>
      <c r="U212" s="29">
        <f>IF(AND(R212=0,S212=0,T212=0),0,IF(AND(R212=0,S212=0),T212/1,IF(AND(R212=0,T212=0),S212/1,IF(AND(S212=0,T212=0),R212/1,IF(R212=0,FLOOR((S212+T212)/2,0.1),IF(S212=0,(R212+T212)/2,IF(T212=0,(S212+R212)/2,FLOOR(((R212+S212+T212)/3),0.1))))))))</f>
        <v/>
      </c>
      <c r="V212" s="21" t="n"/>
      <c r="W212" s="21" t="n"/>
      <c r="X212" s="27">
        <f>SUM(V212:W212)</f>
        <v/>
      </c>
      <c r="Y212" s="28" t="n"/>
      <c r="Z212" s="28" t="n"/>
      <c r="AA212" s="29">
        <f>IF(AND(X212=0,Y212=0,Z212=0),0,IF(AND(X212=0,Y212=0),Z212/1,IF(AND(X212=0,Z212=0),Y212/1,IF(AND(Y212=0,Z212=0),X212/1,IF(X212=0,FLOOR((Y212+Z212)/2,0.1),IF(Y212=0,(X212+Z212)/2,IF(Z212=0,(Y212+X212)/2,FLOOR(((X212+Y212+Z212)/3),0.1))))))))</f>
        <v/>
      </c>
      <c r="AB212" s="21" t="n"/>
      <c r="AC212" s="21" t="n"/>
      <c r="AD212" s="27">
        <f>SUM(AB212:AC212)</f>
        <v/>
      </c>
      <c r="AE212" s="28" t="n"/>
      <c r="AF212" s="28" t="n"/>
      <c r="AG212" s="29">
        <f>IF(AND(AD212=0,AE212=0,AF212=0),0,IF(AND(AD212=0,AE212=0),AF212/1,IF(AND(AD212=0,AF212=0),AE212/1,IF(AND(AE212=0,AF212=0),AD212/1,IF(AD212=0,FLOOR((AE212+AF212)/2,0.1),IF(AE212=0,(AD212+AF212)/2,IF(AF212=0,(AE212+AD212)/2,FLOOR(((AD212+AE212+AF212)/3),0.1))))))))</f>
        <v/>
      </c>
      <c r="AH212" s="21" t="n"/>
      <c r="AI212" s="21" t="n"/>
      <c r="AJ212" s="27">
        <f>SUM(AH212:AI212)</f>
        <v/>
      </c>
      <c r="AK212" s="28" t="n"/>
      <c r="AL212" s="28" t="n"/>
      <c r="AM212" s="29">
        <f>IF(AND(AJ212=0,AK212=0,AL212=0),0,IF(AND(AJ212=0,AK212=0),AL212/1,IF(AND(AJ212=0,AL212=0),AK212/1,IF(AND(AK212=0,AL212=0),AJ212/1,IF(AJ212=0,FLOOR((AK212+AL212)/2,0.1),IF(AK212=0,(AJ212+AL212)/2,IF(AL212=0,(AK212+AJ212)/2,FLOOR(((AJ212+AK212+AL212)/3),0.1))))))))</f>
        <v/>
      </c>
      <c r="AN212" s="21" t="n"/>
      <c r="AO212" s="21" t="n"/>
      <c r="AP212" s="27">
        <f>SUM(AN212:AO212)</f>
        <v/>
      </c>
      <c r="AQ212" s="28" t="n"/>
      <c r="AR212" s="30" t="n"/>
      <c r="AS212" s="29">
        <f>IF(AND(AP212=0,AQ212=0,AR212=0),0,IF(AND(AP212=0,AQ212=0),AR212/1,IF(AND(AP212=0,AR212=0),AQ212/1,IF(AND(AQ212=0,AR212=0),AP212/1,IF(AP212=0,FLOOR((AQ212+AR212)/2,0.1),IF(AQ212=0,(AP212+AR212)/2,IF(AR212=0,(AQ212+AP212)/2,FLOOR(((AP212+AQ212+AR212)/3),0.1))))))))</f>
        <v/>
      </c>
      <c r="AT212" s="21" t="n"/>
      <c r="AU212" s="21" t="n"/>
      <c r="AV212" s="27">
        <f>SUM(AT212:AU212)</f>
        <v/>
      </c>
      <c r="AW212" s="28" t="n"/>
      <c r="AX212" s="30" t="n"/>
      <c r="AY212" s="29">
        <f>IF(AND(AV212=0,AW212=0,AX212=0),0,IF(AND(AV212=0,AW212=0),AX212/1,IF(AND(AV212=0,AX212=0),AW212/1,IF(AND(AW212=0,AX212=0),AV212/1,IF(AV212=0,FLOOR((AW212+AX212)/2,0.1),IF(AW212=0,(AV212+AX212)/2,IF(AX212=0,(AW212+AV212)/2,FLOOR(((AV212+AW212+AX212)/3),0.1))))))))</f>
        <v/>
      </c>
      <c r="AZ212" s="21" t="n"/>
      <c r="BA212" s="21" t="n"/>
      <c r="BB212" s="27">
        <f>SUM(AZ212:BA212)</f>
        <v/>
      </c>
      <c r="BC212" s="28" t="n"/>
      <c r="BD212" s="28" t="n"/>
      <c r="BE212" s="29">
        <f>IF(AND(BB212=0,BC212=0,BD212=0),0,IF(AND(BB212=0,BC212=0),BD212/1,IF(AND(BB212=0,BD212=0),BC212/1,IF(AND(BC212=0,BD212=0),BB212/1,IF(BB212=0,FLOOR((BC212+BD212)/2,0.1),IF(BC212=0,(BB212+BD212)/2,IF(BD212=0,(BC212+BB212)/2,FLOOR(((BB212+BC212+BD212)/3),0.1))))))))</f>
        <v/>
      </c>
      <c r="BF212" s="21" t="n"/>
      <c r="BG212" s="21" t="n"/>
      <c r="BH212" s="27">
        <f>SUM(BF212:BG212)</f>
        <v/>
      </c>
      <c r="BI212" s="28" t="n"/>
      <c r="BJ212" s="28" t="n"/>
      <c r="BK212" s="29">
        <f>IF(AND(BH212=0,BI212=0,BJ212=0),0,IF(AND(BH212=0,BI212=0),BJ212/1,IF(AND(BH212=0,BJ212=0),BI212/1,IF(AND(BI212=0,BJ212=0),BH212/1,IF(BH212=0,FLOOR((BI212+BJ212)/2,0.1),IF(BI212=0,(BH212+BJ212)/2,IF(BJ212=0,(BI212+BH212)/2,FLOOR(((BH212+BI212+BJ212)/3),0.1))))))))</f>
        <v/>
      </c>
      <c r="BL212" s="21" t="n"/>
      <c r="BM212" s="21" t="n"/>
      <c r="BN212" s="27">
        <f>SUM(BL212:BM212)</f>
        <v/>
      </c>
      <c r="BO212" s="28" t="n"/>
      <c r="BP212" s="31" t="n"/>
      <c r="BQ212" s="29">
        <f>IF(AND(BN212=0,BO212=0,BP212=0),0,IF(AND(BN212=0,BO212=0),BP212/1,IF(AND(BN212=0,BP212=0),BO212/1,IF(AND(BO212=0,BP212=0),BN212/1,IF(BN212=0,FLOOR((BO212+BP212)/2,0.1),IF(BO212=0,(BN212+BP212)/2,IF(BP212=0,(BO212+BN212)/2,FLOOR(((BN212+BO212+BP212)/3),0.1))))))))</f>
        <v/>
      </c>
      <c r="BR212" s="21" t="n"/>
      <c r="BS212" s="21" t="n"/>
      <c r="BT212" s="27">
        <f>SUM(BR212:BS212)</f>
        <v/>
      </c>
      <c r="BU212" s="28" t="n"/>
      <c r="BV212" s="31" t="n"/>
      <c r="BW212" s="29">
        <f>IF(AND(BT212=0,BU212=0,BV212=0),0,IF(AND(BT212=0,BU212=0),BV212/1,IF(AND(BT212=0,BV212=0),BU212/1,IF(AND(BU212=0,BV212=0),BT212/1,IF(BT212=0,FLOOR((BU212+BV212)/2,0.1),IF(BU212=0,(BT212+BV212)/2,IF(BV212=0,(BU212+BT212)/2,FLOOR(((BT212+BU212+BV212)/3),0.1))))))))</f>
        <v/>
      </c>
      <c r="BX212" s="21" t="n"/>
      <c r="BY212" s="21" t="n"/>
      <c r="BZ212" s="27">
        <f>SUM(BX212:BY212)</f>
        <v/>
      </c>
      <c r="CA212" s="28" t="n"/>
      <c r="CB212" s="31" t="n"/>
      <c r="CC212" s="29">
        <f>IF(AND(BZ212=0,CA212=0,CB212=0),0,IF(AND(BZ212=0,CA212=0),CB212/1,IF(AND(BZ212=0,CB212=0),CA212/1,IF(AND(CA212=0,CB212=0),BZ212/1,IF(BZ212=0,FLOOR((CA212+CB212)/2,0.1),IF(CA212=0,(BZ212+CB212)/2,IF(CB212=0,(CA212+BZ212)/2,FLOOR(((BZ212+CA212+CB212)/3),0.1))))))))</f>
        <v/>
      </c>
      <c r="CD212" s="21" t="n"/>
      <c r="CE212" s="21" t="n"/>
      <c r="CF212" s="27">
        <f>SUM(CD212:CE212)</f>
        <v/>
      </c>
      <c r="CG212" s="28" t="n"/>
      <c r="CH212" s="31" t="n"/>
      <c r="CI212" s="29">
        <f>IF(AND(CF212=0,CG212=0,CH212=0),0,IF(AND(CF212=0,CG212=0),CH212/1,IF(AND(CF212=0,CH212=0),CG212/1,IF(AND(CG212=0,CH212=0),CF212/1,IF(CF212=0,FLOOR((CG212+CH212)/2,0.1),IF(CG212=0,(CF212+CH212)/2,IF(CH212=0,(CG212+CF212)/2,FLOOR(((CF212+CG212+CH212)/3),0.1))))))))</f>
        <v/>
      </c>
      <c r="CJ212" s="21" t="n"/>
      <c r="CK212" s="21" t="n"/>
      <c r="CL212" s="27">
        <f>SUM(CJ212:CK212)</f>
        <v/>
      </c>
      <c r="CM212" s="28" t="n"/>
      <c r="CN212" s="31" t="n"/>
      <c r="CO212" s="29">
        <f>IF(AND(CL212=0,CM212=0,CN212=0),0,IF(AND(CL212=0,CM212=0),CN212/1,IF(AND(CL212=0,CN212=0),CM212/1,IF(AND(CM212=0,CN212=0),CL212/1,IF(CL212=0,FLOOR((CM212+CN212)/2,0.1),IF(CM212=0,(CL212+CN212)/2,IF(CN212=0,(CM212+CL212)/2,FLOOR(((CL212+CM212+CN212)/3),0.1))))))))</f>
        <v/>
      </c>
      <c r="CP212" s="21" t="n"/>
      <c r="CQ212" s="21" t="n"/>
      <c r="CR212" s="27">
        <f>SUM(CP212:CQ212)</f>
        <v/>
      </c>
      <c r="CS212" s="28" t="n"/>
      <c r="CT212" s="31" t="n"/>
      <c r="CU212" s="29">
        <f>IF(AND(CR212=0,CS212=0,CT212=0),0,IF(AND(CR212=0,CS212=0),CT212/1,IF(AND(CR212=0,CT212=0),CS212/1,IF(AND(CS212=0,CT212=0),CR212/1,IF(CR212=0,FLOOR((CS212+CT212)/2,0.1),IF(CS212=0,(CR212+CT212)/2,IF(CT212=0,(CS212+CR212)/2,FLOOR(((CR212+CS212+CT212)/3),0.1))))))))</f>
        <v/>
      </c>
      <c r="CV212" s="21" t="n"/>
      <c r="CW212" s="21" t="n"/>
      <c r="CX212" s="27">
        <f>SUM(CV212:CW212)</f>
        <v/>
      </c>
      <c r="CY212" s="28" t="n"/>
      <c r="CZ212" s="31" t="n"/>
      <c r="DA212" s="29">
        <f>IF(AND(CX212=0,CY212=0,CZ212=0),0,IF(AND(CX212=0,CY212=0),CZ212/1,IF(AND(CX212=0,CZ212=0),CY212/1,IF(AND(CY212=0,CZ212=0),CX212/1,IF(CX212=0,FLOOR((CY212+CZ212)/2,0.1),IF(CY212=0,(CX212+CZ212)/2,IF(CZ212=0,(CY212+CX212)/2,FLOOR(((CX212+CY212+CZ212)/3),0.1))))))))</f>
        <v/>
      </c>
      <c r="DB212" s="21" t="n"/>
      <c r="DC212" s="21" t="n"/>
      <c r="DD212" s="27">
        <f>SUM(DB212:DC212)</f>
        <v/>
      </c>
      <c r="DE212" s="28" t="n"/>
      <c r="DF212" s="31" t="n"/>
      <c r="DG212" s="29">
        <f>IF(AND(DD212=0,DE212=0,DF212=0),0,IF(AND(DD212=0,DE212=0),DF212/1,IF(AND(DD212=0,DF212=0),DE212/1,IF(AND(DE212=0,DF212=0),DD212/1,IF(DD212=0,FLOOR((DE212+DF212)/2,0.1),IF(DE212=0,(DD212+DF212)/2,IF(DF212=0,(DE212+DD212)/2,FLOOR(((DD212+DE212+DF212)/3),0.1))))))))</f>
        <v/>
      </c>
      <c r="DH212" s="34">
        <f>SUM(O212,U212,AA212,AG212,AM212,AS212,AY212,BE212,BK212,BQ212,BW212,CC212,CI212,CO212,CU212,DA212,DG212)</f>
        <v/>
      </c>
      <c r="DI212" s="39">
        <f>RANK(DH212,DH$4:DH$503)</f>
        <v/>
      </c>
      <c r="DJ212" s="40" t="inlineStr">
        <is>
          <t>CHOOSE RATING</t>
        </is>
      </c>
      <c r="DK212" s="40" t="inlineStr">
        <is>
          <t>CHOOSE RATING</t>
        </is>
      </c>
      <c r="DL212" s="40" t="inlineStr">
        <is>
          <t>CHOOSE RATING</t>
        </is>
      </c>
      <c r="DM212" s="40" t="inlineStr">
        <is>
          <t>CHOOSE RATING</t>
        </is>
      </c>
      <c r="DN212" s="40" t="inlineStr">
        <is>
          <t>CHOOSE RATING</t>
        </is>
      </c>
      <c r="DO212" s="40" t="inlineStr">
        <is>
          <t>CHOOSE RATING</t>
        </is>
      </c>
      <c r="DP212" s="40" t="inlineStr">
        <is>
          <t>CHOOSE RATING</t>
        </is>
      </c>
      <c r="DQ212" s="40" t="inlineStr">
        <is>
          <t>CHOOSE RATING</t>
        </is>
      </c>
      <c r="DR212" s="43" t="inlineStr">
        <is>
          <t>2024/2025</t>
        </is>
      </c>
      <c r="DS212" s="45" t="inlineStr">
        <is>
          <t>THIRD</t>
        </is>
      </c>
      <c r="DT212" s="40" t="inlineStr">
        <is>
          <t>CHOOSE RATING</t>
        </is>
      </c>
      <c r="DU212" s="40" t="inlineStr">
        <is>
          <t>CHOOSE RATING</t>
        </is>
      </c>
      <c r="DV212" s="40" t="inlineStr">
        <is>
          <t>CHOOSE RATING</t>
        </is>
      </c>
      <c r="DW212" s="40" t="inlineStr">
        <is>
          <t>CHOOSE RATING</t>
        </is>
      </c>
      <c r="DX212" s="40" t="inlineStr">
        <is>
          <t>CHOOSE RATING</t>
        </is>
      </c>
      <c r="DY212" s="40" t="inlineStr">
        <is>
          <t>CHOOSE RATING</t>
        </is>
      </c>
      <c r="DZ212" s="53" t="inlineStr">
        <is>
          <t>CHOOSE RATING</t>
        </is>
      </c>
      <c r="EA212" s="54" t="inlineStr">
        <is>
          <t>Add the Tutor's Comment . . .</t>
        </is>
      </c>
      <c r="EB212" s="55" t="inlineStr">
        <is>
          <t>Choose Principals comment</t>
        </is>
      </c>
      <c r="EC212" s="56" t="n"/>
      <c r="ED212" s="57" t="inlineStr">
        <is>
          <t>Next Term Begins on Monday, 22nd September, 2025</t>
        </is>
      </c>
    </row>
    <row r="213" ht="30.6" customHeight="1" s="6">
      <c r="A213" s="18" t="n">
        <v>210</v>
      </c>
      <c r="B213" s="19" t="n"/>
      <c r="C213" s="20" t="n"/>
      <c r="D213" s="128" t="n"/>
      <c r="E213" s="21" t="n"/>
      <c r="F213" s="22" t="n"/>
      <c r="G213" s="22" t="n"/>
      <c r="H213" s="22" t="n"/>
      <c r="I213" s="26">
        <f>G213-H213</f>
        <v/>
      </c>
      <c r="J213" s="21" t="n"/>
      <c r="K213" s="21" t="n"/>
      <c r="L213" s="27">
        <f>SUM(J213:K213)</f>
        <v/>
      </c>
      <c r="M213" s="28" t="n"/>
      <c r="N213" s="28" t="n"/>
      <c r="O213" s="29">
        <f>IF(AND(L213=0,M213=0,N213=0),0,IF(AND(L213=0,M213=0),N213/1,IF(AND(L213=0,N213=0),M213/1,IF(AND(M213=0,N213=0),L213/1,IF(L213=0,FLOOR((M213+N213)/2,0.1),IF(M213=0,(L213+N213)/2,IF(N213=0,(M213+L213)/2,FLOOR(((L213+M213+N213)/3),0.1))))))))</f>
        <v/>
      </c>
      <c r="P213" s="21" t="n"/>
      <c r="Q213" s="21" t="n"/>
      <c r="R213" s="27">
        <f>SUM(P213:Q213)</f>
        <v/>
      </c>
      <c r="S213" s="28" t="n"/>
      <c r="T213" s="28" t="n"/>
      <c r="U213" s="29">
        <f>IF(AND(R213=0,S213=0,T213=0),0,IF(AND(R213=0,S213=0),T213/1,IF(AND(R213=0,T213=0),S213/1,IF(AND(S213=0,T213=0),R213/1,IF(R213=0,FLOOR((S213+T213)/2,0.1),IF(S213=0,(R213+T213)/2,IF(T213=0,(S213+R213)/2,FLOOR(((R213+S213+T213)/3),0.1))))))))</f>
        <v/>
      </c>
      <c r="V213" s="21" t="n"/>
      <c r="W213" s="21" t="n"/>
      <c r="X213" s="27">
        <f>SUM(V213:W213)</f>
        <v/>
      </c>
      <c r="Y213" s="28" t="n"/>
      <c r="Z213" s="28" t="n"/>
      <c r="AA213" s="29">
        <f>IF(AND(X213=0,Y213=0,Z213=0),0,IF(AND(X213=0,Y213=0),Z213/1,IF(AND(X213=0,Z213=0),Y213/1,IF(AND(Y213=0,Z213=0),X213/1,IF(X213=0,FLOOR((Y213+Z213)/2,0.1),IF(Y213=0,(X213+Z213)/2,IF(Z213=0,(Y213+X213)/2,FLOOR(((X213+Y213+Z213)/3),0.1))))))))</f>
        <v/>
      </c>
      <c r="AB213" s="21" t="n"/>
      <c r="AC213" s="21" t="n"/>
      <c r="AD213" s="27">
        <f>SUM(AB213:AC213)</f>
        <v/>
      </c>
      <c r="AE213" s="28" t="n"/>
      <c r="AF213" s="28" t="n"/>
      <c r="AG213" s="29">
        <f>IF(AND(AD213=0,AE213=0,AF213=0),0,IF(AND(AD213=0,AE213=0),AF213/1,IF(AND(AD213=0,AF213=0),AE213/1,IF(AND(AE213=0,AF213=0),AD213/1,IF(AD213=0,FLOOR((AE213+AF213)/2,0.1),IF(AE213=0,(AD213+AF213)/2,IF(AF213=0,(AE213+AD213)/2,FLOOR(((AD213+AE213+AF213)/3),0.1))))))))</f>
        <v/>
      </c>
      <c r="AH213" s="21" t="n"/>
      <c r="AI213" s="21" t="n"/>
      <c r="AJ213" s="27">
        <f>SUM(AH213:AI213)</f>
        <v/>
      </c>
      <c r="AK213" s="28" t="n"/>
      <c r="AL213" s="28" t="n"/>
      <c r="AM213" s="29">
        <f>IF(AND(AJ213=0,AK213=0,AL213=0),0,IF(AND(AJ213=0,AK213=0),AL213/1,IF(AND(AJ213=0,AL213=0),AK213/1,IF(AND(AK213=0,AL213=0),AJ213/1,IF(AJ213=0,FLOOR((AK213+AL213)/2,0.1),IF(AK213=0,(AJ213+AL213)/2,IF(AL213=0,(AK213+AJ213)/2,FLOOR(((AJ213+AK213+AL213)/3),0.1))))))))</f>
        <v/>
      </c>
      <c r="AN213" s="21" t="n"/>
      <c r="AO213" s="21" t="n"/>
      <c r="AP213" s="27">
        <f>SUM(AN213:AO213)</f>
        <v/>
      </c>
      <c r="AQ213" s="28" t="n"/>
      <c r="AR213" s="30" t="n"/>
      <c r="AS213" s="29">
        <f>IF(AND(AP213=0,AQ213=0,AR213=0),0,IF(AND(AP213=0,AQ213=0),AR213/1,IF(AND(AP213=0,AR213=0),AQ213/1,IF(AND(AQ213=0,AR213=0),AP213/1,IF(AP213=0,FLOOR((AQ213+AR213)/2,0.1),IF(AQ213=0,(AP213+AR213)/2,IF(AR213=0,(AQ213+AP213)/2,FLOOR(((AP213+AQ213+AR213)/3),0.1))))))))</f>
        <v/>
      </c>
      <c r="AT213" s="21" t="n"/>
      <c r="AU213" s="21" t="n"/>
      <c r="AV213" s="27">
        <f>SUM(AT213:AU213)</f>
        <v/>
      </c>
      <c r="AW213" s="28" t="n"/>
      <c r="AX213" s="30" t="n"/>
      <c r="AY213" s="29">
        <f>IF(AND(AV213=0,AW213=0,AX213=0),0,IF(AND(AV213=0,AW213=0),AX213/1,IF(AND(AV213=0,AX213=0),AW213/1,IF(AND(AW213=0,AX213=0),AV213/1,IF(AV213=0,FLOOR((AW213+AX213)/2,0.1),IF(AW213=0,(AV213+AX213)/2,IF(AX213=0,(AW213+AV213)/2,FLOOR(((AV213+AW213+AX213)/3),0.1))))))))</f>
        <v/>
      </c>
      <c r="AZ213" s="21" t="n"/>
      <c r="BA213" s="21" t="n"/>
      <c r="BB213" s="27">
        <f>SUM(AZ213:BA213)</f>
        <v/>
      </c>
      <c r="BC213" s="28" t="n"/>
      <c r="BD213" s="28" t="n"/>
      <c r="BE213" s="29">
        <f>IF(AND(BB213=0,BC213=0,BD213=0),0,IF(AND(BB213=0,BC213=0),BD213/1,IF(AND(BB213=0,BD213=0),BC213/1,IF(AND(BC213=0,BD213=0),BB213/1,IF(BB213=0,FLOOR((BC213+BD213)/2,0.1),IF(BC213=0,(BB213+BD213)/2,IF(BD213=0,(BC213+BB213)/2,FLOOR(((BB213+BC213+BD213)/3),0.1))))))))</f>
        <v/>
      </c>
      <c r="BF213" s="21" t="n"/>
      <c r="BG213" s="21" t="n"/>
      <c r="BH213" s="27">
        <f>SUM(BF213:BG213)</f>
        <v/>
      </c>
      <c r="BI213" s="28" t="n"/>
      <c r="BJ213" s="28" t="n"/>
      <c r="BK213" s="29">
        <f>IF(AND(BH213=0,BI213=0,BJ213=0),0,IF(AND(BH213=0,BI213=0),BJ213/1,IF(AND(BH213=0,BJ213=0),BI213/1,IF(AND(BI213=0,BJ213=0),BH213/1,IF(BH213=0,FLOOR((BI213+BJ213)/2,0.1),IF(BI213=0,(BH213+BJ213)/2,IF(BJ213=0,(BI213+BH213)/2,FLOOR(((BH213+BI213+BJ213)/3),0.1))))))))</f>
        <v/>
      </c>
      <c r="BL213" s="21" t="n"/>
      <c r="BM213" s="21" t="n"/>
      <c r="BN213" s="27">
        <f>SUM(BL213:BM213)</f>
        <v/>
      </c>
      <c r="BO213" s="28" t="n"/>
      <c r="BP213" s="31" t="n"/>
      <c r="BQ213" s="29">
        <f>IF(AND(BN213=0,BO213=0,BP213=0),0,IF(AND(BN213=0,BO213=0),BP213/1,IF(AND(BN213=0,BP213=0),BO213/1,IF(AND(BO213=0,BP213=0),BN213/1,IF(BN213=0,FLOOR((BO213+BP213)/2,0.1),IF(BO213=0,(BN213+BP213)/2,IF(BP213=0,(BO213+BN213)/2,FLOOR(((BN213+BO213+BP213)/3),0.1))))))))</f>
        <v/>
      </c>
      <c r="BR213" s="21" t="n"/>
      <c r="BS213" s="21" t="n"/>
      <c r="BT213" s="27">
        <f>SUM(BR213:BS213)</f>
        <v/>
      </c>
      <c r="BU213" s="28" t="n"/>
      <c r="BV213" s="31" t="n"/>
      <c r="BW213" s="29">
        <f>IF(AND(BT213=0,BU213=0,BV213=0),0,IF(AND(BT213=0,BU213=0),BV213/1,IF(AND(BT213=0,BV213=0),BU213/1,IF(AND(BU213=0,BV213=0),BT213/1,IF(BT213=0,FLOOR((BU213+BV213)/2,0.1),IF(BU213=0,(BT213+BV213)/2,IF(BV213=0,(BU213+BT213)/2,FLOOR(((BT213+BU213+BV213)/3),0.1))))))))</f>
        <v/>
      </c>
      <c r="BX213" s="21" t="n"/>
      <c r="BY213" s="21" t="n"/>
      <c r="BZ213" s="27">
        <f>SUM(BX213:BY213)</f>
        <v/>
      </c>
      <c r="CA213" s="28" t="n"/>
      <c r="CB213" s="31" t="n"/>
      <c r="CC213" s="29">
        <f>IF(AND(BZ213=0,CA213=0,CB213=0),0,IF(AND(BZ213=0,CA213=0),CB213/1,IF(AND(BZ213=0,CB213=0),CA213/1,IF(AND(CA213=0,CB213=0),BZ213/1,IF(BZ213=0,FLOOR((CA213+CB213)/2,0.1),IF(CA213=0,(BZ213+CB213)/2,IF(CB213=0,(CA213+BZ213)/2,FLOOR(((BZ213+CA213+CB213)/3),0.1))))))))</f>
        <v/>
      </c>
      <c r="CD213" s="21" t="n"/>
      <c r="CE213" s="21" t="n"/>
      <c r="CF213" s="27">
        <f>SUM(CD213:CE213)</f>
        <v/>
      </c>
      <c r="CG213" s="28" t="n"/>
      <c r="CH213" s="31" t="n"/>
      <c r="CI213" s="29">
        <f>IF(AND(CF213=0,CG213=0,CH213=0),0,IF(AND(CF213=0,CG213=0),CH213/1,IF(AND(CF213=0,CH213=0),CG213/1,IF(AND(CG213=0,CH213=0),CF213/1,IF(CF213=0,FLOOR((CG213+CH213)/2,0.1),IF(CG213=0,(CF213+CH213)/2,IF(CH213=0,(CG213+CF213)/2,FLOOR(((CF213+CG213+CH213)/3),0.1))))))))</f>
        <v/>
      </c>
      <c r="CJ213" s="21" t="n"/>
      <c r="CK213" s="21" t="n"/>
      <c r="CL213" s="27">
        <f>SUM(CJ213:CK213)</f>
        <v/>
      </c>
      <c r="CM213" s="28" t="n"/>
      <c r="CN213" s="31" t="n"/>
      <c r="CO213" s="29">
        <f>IF(AND(CL213=0,CM213=0,CN213=0),0,IF(AND(CL213=0,CM213=0),CN213/1,IF(AND(CL213=0,CN213=0),CM213/1,IF(AND(CM213=0,CN213=0),CL213/1,IF(CL213=0,FLOOR((CM213+CN213)/2,0.1),IF(CM213=0,(CL213+CN213)/2,IF(CN213=0,(CM213+CL213)/2,FLOOR(((CL213+CM213+CN213)/3),0.1))))))))</f>
        <v/>
      </c>
      <c r="CP213" s="21" t="n"/>
      <c r="CQ213" s="21" t="n"/>
      <c r="CR213" s="27">
        <f>SUM(CP213:CQ213)</f>
        <v/>
      </c>
      <c r="CS213" s="28" t="n"/>
      <c r="CT213" s="31" t="n"/>
      <c r="CU213" s="29">
        <f>IF(AND(CR213=0,CS213=0,CT213=0),0,IF(AND(CR213=0,CS213=0),CT213/1,IF(AND(CR213=0,CT213=0),CS213/1,IF(AND(CS213=0,CT213=0),CR213/1,IF(CR213=0,FLOOR((CS213+CT213)/2,0.1),IF(CS213=0,(CR213+CT213)/2,IF(CT213=0,(CS213+CR213)/2,FLOOR(((CR213+CS213+CT213)/3),0.1))))))))</f>
        <v/>
      </c>
      <c r="CV213" s="21" t="n"/>
      <c r="CW213" s="21" t="n"/>
      <c r="CX213" s="27">
        <f>SUM(CV213:CW213)</f>
        <v/>
      </c>
      <c r="CY213" s="28" t="n"/>
      <c r="CZ213" s="31" t="n"/>
      <c r="DA213" s="29">
        <f>IF(AND(CX213=0,CY213=0,CZ213=0),0,IF(AND(CX213=0,CY213=0),CZ213/1,IF(AND(CX213=0,CZ213=0),CY213/1,IF(AND(CY213=0,CZ213=0),CX213/1,IF(CX213=0,FLOOR((CY213+CZ213)/2,0.1),IF(CY213=0,(CX213+CZ213)/2,IF(CZ213=0,(CY213+CX213)/2,FLOOR(((CX213+CY213+CZ213)/3),0.1))))))))</f>
        <v/>
      </c>
      <c r="DB213" s="21" t="n"/>
      <c r="DC213" s="21" t="n"/>
      <c r="DD213" s="27">
        <f>SUM(DB213:DC213)</f>
        <v/>
      </c>
      <c r="DE213" s="28" t="n"/>
      <c r="DF213" s="31" t="n"/>
      <c r="DG213" s="29">
        <f>IF(AND(DD213=0,DE213=0,DF213=0),0,IF(AND(DD213=0,DE213=0),DF213/1,IF(AND(DD213=0,DF213=0),DE213/1,IF(AND(DE213=0,DF213=0),DD213/1,IF(DD213=0,FLOOR((DE213+DF213)/2,0.1),IF(DE213=0,(DD213+DF213)/2,IF(DF213=0,(DE213+DD213)/2,FLOOR(((DD213+DE213+DF213)/3),0.1))))))))</f>
        <v/>
      </c>
      <c r="DH213" s="34">
        <f>SUM(O213,U213,AA213,AG213,AM213,AS213,AY213,BE213,BK213,BQ213,BW213,CC213,CI213,CO213,CU213,DA213,DG213)</f>
        <v/>
      </c>
      <c r="DI213" s="39">
        <f>RANK(DH213,DH$4:DH$503)</f>
        <v/>
      </c>
      <c r="DJ213" s="40" t="inlineStr">
        <is>
          <t>CHOOSE RATING</t>
        </is>
      </c>
      <c r="DK213" s="40" t="inlineStr">
        <is>
          <t>CHOOSE RATING</t>
        </is>
      </c>
      <c r="DL213" s="40" t="inlineStr">
        <is>
          <t>CHOOSE RATING</t>
        </is>
      </c>
      <c r="DM213" s="40" t="inlineStr">
        <is>
          <t>CHOOSE RATING</t>
        </is>
      </c>
      <c r="DN213" s="40" t="inlineStr">
        <is>
          <t>CHOOSE RATING</t>
        </is>
      </c>
      <c r="DO213" s="40" t="inlineStr">
        <is>
          <t>CHOOSE RATING</t>
        </is>
      </c>
      <c r="DP213" s="40" t="inlineStr">
        <is>
          <t>CHOOSE RATING</t>
        </is>
      </c>
      <c r="DQ213" s="40" t="inlineStr">
        <is>
          <t>CHOOSE RATING</t>
        </is>
      </c>
      <c r="DR213" s="43" t="inlineStr">
        <is>
          <t>2024/2025</t>
        </is>
      </c>
      <c r="DS213" s="45" t="inlineStr">
        <is>
          <t>THIRD</t>
        </is>
      </c>
      <c r="DT213" s="40" t="inlineStr">
        <is>
          <t>CHOOSE RATING</t>
        </is>
      </c>
      <c r="DU213" s="40" t="inlineStr">
        <is>
          <t>CHOOSE RATING</t>
        </is>
      </c>
      <c r="DV213" s="40" t="inlineStr">
        <is>
          <t>CHOOSE RATING</t>
        </is>
      </c>
      <c r="DW213" s="40" t="inlineStr">
        <is>
          <t>CHOOSE RATING</t>
        </is>
      </c>
      <c r="DX213" s="40" t="inlineStr">
        <is>
          <t>CHOOSE RATING</t>
        </is>
      </c>
      <c r="DY213" s="40" t="inlineStr">
        <is>
          <t>CHOOSE RATING</t>
        </is>
      </c>
      <c r="DZ213" s="53" t="inlineStr">
        <is>
          <t>CHOOSE RATING</t>
        </is>
      </c>
      <c r="EA213" s="54" t="inlineStr">
        <is>
          <t>Add the Tutor's Comment . . .</t>
        </is>
      </c>
      <c r="EB213" s="55" t="inlineStr">
        <is>
          <t>Choose Principals comment</t>
        </is>
      </c>
      <c r="EC213" s="56" t="n"/>
      <c r="ED213" s="57" t="inlineStr">
        <is>
          <t>Next Term Begins on Monday, 22nd September, 2025</t>
        </is>
      </c>
    </row>
    <row r="214" ht="30.6" customHeight="1" s="6">
      <c r="A214" s="18" t="n">
        <v>211</v>
      </c>
      <c r="B214" s="19" t="n"/>
      <c r="C214" s="20" t="n"/>
      <c r="D214" s="128" t="n"/>
      <c r="E214" s="21" t="n"/>
      <c r="F214" s="22" t="n"/>
      <c r="G214" s="22" t="n"/>
      <c r="H214" s="22" t="n"/>
      <c r="I214" s="26">
        <f>G214-H214</f>
        <v/>
      </c>
      <c r="J214" s="21" t="n"/>
      <c r="K214" s="21" t="n"/>
      <c r="L214" s="27">
        <f>SUM(J214:K214)</f>
        <v/>
      </c>
      <c r="M214" s="28" t="n"/>
      <c r="N214" s="28" t="n"/>
      <c r="O214" s="29">
        <f>IF(AND(L214=0,M214=0,N214=0),0,IF(AND(L214=0,M214=0),N214/1,IF(AND(L214=0,N214=0),M214/1,IF(AND(M214=0,N214=0),L214/1,IF(L214=0,FLOOR((M214+N214)/2,0.1),IF(M214=0,(L214+N214)/2,IF(N214=0,(M214+L214)/2,FLOOR(((L214+M214+N214)/3),0.1))))))))</f>
        <v/>
      </c>
      <c r="P214" s="21" t="n"/>
      <c r="Q214" s="21" t="n"/>
      <c r="R214" s="27">
        <f>SUM(P214:Q214)</f>
        <v/>
      </c>
      <c r="S214" s="28" t="n"/>
      <c r="T214" s="28" t="n"/>
      <c r="U214" s="29">
        <f>IF(AND(R214=0,S214=0,T214=0),0,IF(AND(R214=0,S214=0),T214/1,IF(AND(R214=0,T214=0),S214/1,IF(AND(S214=0,T214=0),R214/1,IF(R214=0,FLOOR((S214+T214)/2,0.1),IF(S214=0,(R214+T214)/2,IF(T214=0,(S214+R214)/2,FLOOR(((R214+S214+T214)/3),0.1))))))))</f>
        <v/>
      </c>
      <c r="V214" s="21" t="n"/>
      <c r="W214" s="21" t="n"/>
      <c r="X214" s="27">
        <f>SUM(V214:W214)</f>
        <v/>
      </c>
      <c r="Y214" s="28" t="n"/>
      <c r="Z214" s="28" t="n"/>
      <c r="AA214" s="29">
        <f>IF(AND(X214=0,Y214=0,Z214=0),0,IF(AND(X214=0,Y214=0),Z214/1,IF(AND(X214=0,Z214=0),Y214/1,IF(AND(Y214=0,Z214=0),X214/1,IF(X214=0,FLOOR((Y214+Z214)/2,0.1),IF(Y214=0,(X214+Z214)/2,IF(Z214=0,(Y214+X214)/2,FLOOR(((X214+Y214+Z214)/3),0.1))))))))</f>
        <v/>
      </c>
      <c r="AB214" s="21" t="n"/>
      <c r="AC214" s="21" t="n"/>
      <c r="AD214" s="27">
        <f>SUM(AB214:AC214)</f>
        <v/>
      </c>
      <c r="AE214" s="28" t="n"/>
      <c r="AF214" s="28" t="n"/>
      <c r="AG214" s="29">
        <f>IF(AND(AD214=0,AE214=0,AF214=0),0,IF(AND(AD214=0,AE214=0),AF214/1,IF(AND(AD214=0,AF214=0),AE214/1,IF(AND(AE214=0,AF214=0),AD214/1,IF(AD214=0,FLOOR((AE214+AF214)/2,0.1),IF(AE214=0,(AD214+AF214)/2,IF(AF214=0,(AE214+AD214)/2,FLOOR(((AD214+AE214+AF214)/3),0.1))))))))</f>
        <v/>
      </c>
      <c r="AH214" s="21" t="n"/>
      <c r="AI214" s="21" t="n"/>
      <c r="AJ214" s="27">
        <f>SUM(AH214:AI214)</f>
        <v/>
      </c>
      <c r="AK214" s="28" t="n"/>
      <c r="AL214" s="28" t="n"/>
      <c r="AM214" s="29">
        <f>IF(AND(AJ214=0,AK214=0,AL214=0),0,IF(AND(AJ214=0,AK214=0),AL214/1,IF(AND(AJ214=0,AL214=0),AK214/1,IF(AND(AK214=0,AL214=0),AJ214/1,IF(AJ214=0,FLOOR((AK214+AL214)/2,0.1),IF(AK214=0,(AJ214+AL214)/2,IF(AL214=0,(AK214+AJ214)/2,FLOOR(((AJ214+AK214+AL214)/3),0.1))))))))</f>
        <v/>
      </c>
      <c r="AN214" s="21" t="n"/>
      <c r="AO214" s="21" t="n"/>
      <c r="AP214" s="27">
        <f>SUM(AN214:AO214)</f>
        <v/>
      </c>
      <c r="AQ214" s="28" t="n"/>
      <c r="AR214" s="30" t="n"/>
      <c r="AS214" s="29">
        <f>IF(AND(AP214=0,AQ214=0,AR214=0),0,IF(AND(AP214=0,AQ214=0),AR214/1,IF(AND(AP214=0,AR214=0),AQ214/1,IF(AND(AQ214=0,AR214=0),AP214/1,IF(AP214=0,FLOOR((AQ214+AR214)/2,0.1),IF(AQ214=0,(AP214+AR214)/2,IF(AR214=0,(AQ214+AP214)/2,FLOOR(((AP214+AQ214+AR214)/3),0.1))))))))</f>
        <v/>
      </c>
      <c r="AT214" s="21" t="n"/>
      <c r="AU214" s="21" t="n"/>
      <c r="AV214" s="27">
        <f>SUM(AT214:AU214)</f>
        <v/>
      </c>
      <c r="AW214" s="28" t="n"/>
      <c r="AX214" s="30" t="n"/>
      <c r="AY214" s="29">
        <f>IF(AND(AV214=0,AW214=0,AX214=0),0,IF(AND(AV214=0,AW214=0),AX214/1,IF(AND(AV214=0,AX214=0),AW214/1,IF(AND(AW214=0,AX214=0),AV214/1,IF(AV214=0,FLOOR((AW214+AX214)/2,0.1),IF(AW214=0,(AV214+AX214)/2,IF(AX214=0,(AW214+AV214)/2,FLOOR(((AV214+AW214+AX214)/3),0.1))))))))</f>
        <v/>
      </c>
      <c r="AZ214" s="21" t="n"/>
      <c r="BA214" s="21" t="n"/>
      <c r="BB214" s="27">
        <f>SUM(AZ214:BA214)</f>
        <v/>
      </c>
      <c r="BC214" s="28" t="n"/>
      <c r="BD214" s="28" t="n"/>
      <c r="BE214" s="29">
        <f>IF(AND(BB214=0,BC214=0,BD214=0),0,IF(AND(BB214=0,BC214=0),BD214/1,IF(AND(BB214=0,BD214=0),BC214/1,IF(AND(BC214=0,BD214=0),BB214/1,IF(BB214=0,FLOOR((BC214+BD214)/2,0.1),IF(BC214=0,(BB214+BD214)/2,IF(BD214=0,(BC214+BB214)/2,FLOOR(((BB214+BC214+BD214)/3),0.1))))))))</f>
        <v/>
      </c>
      <c r="BF214" s="21" t="n"/>
      <c r="BG214" s="21" t="n"/>
      <c r="BH214" s="27">
        <f>SUM(BF214:BG214)</f>
        <v/>
      </c>
      <c r="BI214" s="28" t="n"/>
      <c r="BJ214" s="28" t="n"/>
      <c r="BK214" s="29">
        <f>IF(AND(BH214=0,BI214=0,BJ214=0),0,IF(AND(BH214=0,BI214=0),BJ214/1,IF(AND(BH214=0,BJ214=0),BI214/1,IF(AND(BI214=0,BJ214=0),BH214/1,IF(BH214=0,FLOOR((BI214+BJ214)/2,0.1),IF(BI214=0,(BH214+BJ214)/2,IF(BJ214=0,(BI214+BH214)/2,FLOOR(((BH214+BI214+BJ214)/3),0.1))))))))</f>
        <v/>
      </c>
      <c r="BL214" s="21" t="n"/>
      <c r="BM214" s="21" t="n"/>
      <c r="BN214" s="27">
        <f>SUM(BL214:BM214)</f>
        <v/>
      </c>
      <c r="BO214" s="28" t="n"/>
      <c r="BP214" s="31" t="n"/>
      <c r="BQ214" s="29">
        <f>IF(AND(BN214=0,BO214=0,BP214=0),0,IF(AND(BN214=0,BO214=0),BP214/1,IF(AND(BN214=0,BP214=0),BO214/1,IF(AND(BO214=0,BP214=0),BN214/1,IF(BN214=0,FLOOR((BO214+BP214)/2,0.1),IF(BO214=0,(BN214+BP214)/2,IF(BP214=0,(BO214+BN214)/2,FLOOR(((BN214+BO214+BP214)/3),0.1))))))))</f>
        <v/>
      </c>
      <c r="BR214" s="21" t="n"/>
      <c r="BS214" s="21" t="n"/>
      <c r="BT214" s="27">
        <f>SUM(BR214:BS214)</f>
        <v/>
      </c>
      <c r="BU214" s="28" t="n"/>
      <c r="BV214" s="31" t="n"/>
      <c r="BW214" s="29">
        <f>IF(AND(BT214=0,BU214=0,BV214=0),0,IF(AND(BT214=0,BU214=0),BV214/1,IF(AND(BT214=0,BV214=0),BU214/1,IF(AND(BU214=0,BV214=0),BT214/1,IF(BT214=0,FLOOR((BU214+BV214)/2,0.1),IF(BU214=0,(BT214+BV214)/2,IF(BV214=0,(BU214+BT214)/2,FLOOR(((BT214+BU214+BV214)/3),0.1))))))))</f>
        <v/>
      </c>
      <c r="BX214" s="21" t="n"/>
      <c r="BY214" s="21" t="n"/>
      <c r="BZ214" s="27">
        <f>SUM(BX214:BY214)</f>
        <v/>
      </c>
      <c r="CA214" s="28" t="n"/>
      <c r="CB214" s="31" t="n"/>
      <c r="CC214" s="29">
        <f>IF(AND(BZ214=0,CA214=0,CB214=0),0,IF(AND(BZ214=0,CA214=0),CB214/1,IF(AND(BZ214=0,CB214=0),CA214/1,IF(AND(CA214=0,CB214=0),BZ214/1,IF(BZ214=0,FLOOR((CA214+CB214)/2,0.1),IF(CA214=0,(BZ214+CB214)/2,IF(CB214=0,(CA214+BZ214)/2,FLOOR(((BZ214+CA214+CB214)/3),0.1))))))))</f>
        <v/>
      </c>
      <c r="CD214" s="21" t="n"/>
      <c r="CE214" s="21" t="n"/>
      <c r="CF214" s="27">
        <f>SUM(CD214:CE214)</f>
        <v/>
      </c>
      <c r="CG214" s="28" t="n"/>
      <c r="CH214" s="31" t="n"/>
      <c r="CI214" s="29">
        <f>IF(AND(CF214=0,CG214=0,CH214=0),0,IF(AND(CF214=0,CG214=0),CH214/1,IF(AND(CF214=0,CH214=0),CG214/1,IF(AND(CG214=0,CH214=0),CF214/1,IF(CF214=0,FLOOR((CG214+CH214)/2,0.1),IF(CG214=0,(CF214+CH214)/2,IF(CH214=0,(CG214+CF214)/2,FLOOR(((CF214+CG214+CH214)/3),0.1))))))))</f>
        <v/>
      </c>
      <c r="CJ214" s="21" t="n"/>
      <c r="CK214" s="21" t="n"/>
      <c r="CL214" s="27">
        <f>SUM(CJ214:CK214)</f>
        <v/>
      </c>
      <c r="CM214" s="28" t="n"/>
      <c r="CN214" s="31" t="n"/>
      <c r="CO214" s="29">
        <f>IF(AND(CL214=0,CM214=0,CN214=0),0,IF(AND(CL214=0,CM214=0),CN214/1,IF(AND(CL214=0,CN214=0),CM214/1,IF(AND(CM214=0,CN214=0),CL214/1,IF(CL214=0,FLOOR((CM214+CN214)/2,0.1),IF(CM214=0,(CL214+CN214)/2,IF(CN214=0,(CM214+CL214)/2,FLOOR(((CL214+CM214+CN214)/3),0.1))))))))</f>
        <v/>
      </c>
      <c r="CP214" s="21" t="n"/>
      <c r="CQ214" s="21" t="n"/>
      <c r="CR214" s="27">
        <f>SUM(CP214:CQ214)</f>
        <v/>
      </c>
      <c r="CS214" s="28" t="n"/>
      <c r="CT214" s="31" t="n"/>
      <c r="CU214" s="29">
        <f>IF(AND(CR214=0,CS214=0,CT214=0),0,IF(AND(CR214=0,CS214=0),CT214/1,IF(AND(CR214=0,CT214=0),CS214/1,IF(AND(CS214=0,CT214=0),CR214/1,IF(CR214=0,FLOOR((CS214+CT214)/2,0.1),IF(CS214=0,(CR214+CT214)/2,IF(CT214=0,(CS214+CR214)/2,FLOOR(((CR214+CS214+CT214)/3),0.1))))))))</f>
        <v/>
      </c>
      <c r="CV214" s="21" t="n"/>
      <c r="CW214" s="21" t="n"/>
      <c r="CX214" s="27">
        <f>SUM(CV214:CW214)</f>
        <v/>
      </c>
      <c r="CY214" s="28" t="n"/>
      <c r="CZ214" s="31" t="n"/>
      <c r="DA214" s="29">
        <f>IF(AND(CX214=0,CY214=0,CZ214=0),0,IF(AND(CX214=0,CY214=0),CZ214/1,IF(AND(CX214=0,CZ214=0),CY214/1,IF(AND(CY214=0,CZ214=0),CX214/1,IF(CX214=0,FLOOR((CY214+CZ214)/2,0.1),IF(CY214=0,(CX214+CZ214)/2,IF(CZ214=0,(CY214+CX214)/2,FLOOR(((CX214+CY214+CZ214)/3),0.1))))))))</f>
        <v/>
      </c>
      <c r="DB214" s="21" t="n"/>
      <c r="DC214" s="21" t="n"/>
      <c r="DD214" s="27">
        <f>SUM(DB214:DC214)</f>
        <v/>
      </c>
      <c r="DE214" s="28" t="n"/>
      <c r="DF214" s="31" t="n"/>
      <c r="DG214" s="29">
        <f>IF(AND(DD214=0,DE214=0,DF214=0),0,IF(AND(DD214=0,DE214=0),DF214/1,IF(AND(DD214=0,DF214=0),DE214/1,IF(AND(DE214=0,DF214=0),DD214/1,IF(DD214=0,FLOOR((DE214+DF214)/2,0.1),IF(DE214=0,(DD214+DF214)/2,IF(DF214=0,(DE214+DD214)/2,FLOOR(((DD214+DE214+DF214)/3),0.1))))))))</f>
        <v/>
      </c>
      <c r="DH214" s="34">
        <f>SUM(O214,U214,AA214,AG214,AM214,AS214,AY214,BE214,BK214,BQ214,BW214,CC214,CI214,CO214,CU214,DA214,DG214)</f>
        <v/>
      </c>
      <c r="DI214" s="39">
        <f>RANK(DH214,DH$4:DH$503)</f>
        <v/>
      </c>
      <c r="DJ214" s="40" t="inlineStr">
        <is>
          <t>CHOOSE RATING</t>
        </is>
      </c>
      <c r="DK214" s="40" t="inlineStr">
        <is>
          <t>CHOOSE RATING</t>
        </is>
      </c>
      <c r="DL214" s="40" t="inlineStr">
        <is>
          <t>CHOOSE RATING</t>
        </is>
      </c>
      <c r="DM214" s="40" t="inlineStr">
        <is>
          <t>CHOOSE RATING</t>
        </is>
      </c>
      <c r="DN214" s="40" t="inlineStr">
        <is>
          <t>CHOOSE RATING</t>
        </is>
      </c>
      <c r="DO214" s="40" t="inlineStr">
        <is>
          <t>CHOOSE RATING</t>
        </is>
      </c>
      <c r="DP214" s="40" t="inlineStr">
        <is>
          <t>CHOOSE RATING</t>
        </is>
      </c>
      <c r="DQ214" s="40" t="inlineStr">
        <is>
          <t>CHOOSE RATING</t>
        </is>
      </c>
      <c r="DR214" s="43" t="inlineStr">
        <is>
          <t>2024/2025</t>
        </is>
      </c>
      <c r="DS214" s="45" t="inlineStr">
        <is>
          <t>THIRD</t>
        </is>
      </c>
      <c r="DT214" s="40" t="inlineStr">
        <is>
          <t>CHOOSE RATING</t>
        </is>
      </c>
      <c r="DU214" s="40" t="inlineStr">
        <is>
          <t>CHOOSE RATING</t>
        </is>
      </c>
      <c r="DV214" s="40" t="inlineStr">
        <is>
          <t>CHOOSE RATING</t>
        </is>
      </c>
      <c r="DW214" s="40" t="inlineStr">
        <is>
          <t>CHOOSE RATING</t>
        </is>
      </c>
      <c r="DX214" s="40" t="inlineStr">
        <is>
          <t>CHOOSE RATING</t>
        </is>
      </c>
      <c r="DY214" s="40" t="inlineStr">
        <is>
          <t>CHOOSE RATING</t>
        </is>
      </c>
      <c r="DZ214" s="53" t="inlineStr">
        <is>
          <t>CHOOSE RATING</t>
        </is>
      </c>
      <c r="EA214" s="54" t="inlineStr">
        <is>
          <t>Add the Tutor's Comment . . .</t>
        </is>
      </c>
      <c r="EB214" s="55" t="inlineStr">
        <is>
          <t>Choose Principals comment</t>
        </is>
      </c>
      <c r="EC214" s="56" t="n"/>
      <c r="ED214" s="57" t="inlineStr">
        <is>
          <t>Next Term Begins on Monday, 22nd September, 2025</t>
        </is>
      </c>
    </row>
    <row r="215" ht="30.6" customHeight="1" s="6">
      <c r="A215" s="18" t="n">
        <v>212</v>
      </c>
      <c r="B215" s="19" t="n"/>
      <c r="C215" s="20" t="n"/>
      <c r="D215" s="128" t="n"/>
      <c r="E215" s="21" t="n"/>
      <c r="F215" s="22" t="n"/>
      <c r="G215" s="22" t="n"/>
      <c r="H215" s="22" t="n"/>
      <c r="I215" s="26">
        <f>G215-H215</f>
        <v/>
      </c>
      <c r="J215" s="21" t="n"/>
      <c r="K215" s="21" t="n"/>
      <c r="L215" s="27">
        <f>SUM(J215:K215)</f>
        <v/>
      </c>
      <c r="M215" s="28" t="n"/>
      <c r="N215" s="28" t="n"/>
      <c r="O215" s="29">
        <f>IF(AND(L215=0,M215=0,N215=0),0,IF(AND(L215=0,M215=0),N215/1,IF(AND(L215=0,N215=0),M215/1,IF(AND(M215=0,N215=0),L215/1,IF(L215=0,FLOOR((M215+N215)/2,0.1),IF(M215=0,(L215+N215)/2,IF(N215=0,(M215+L215)/2,FLOOR(((L215+M215+N215)/3),0.1))))))))</f>
        <v/>
      </c>
      <c r="P215" s="21" t="n"/>
      <c r="Q215" s="21" t="n"/>
      <c r="R215" s="27">
        <f>SUM(P215:Q215)</f>
        <v/>
      </c>
      <c r="S215" s="28" t="n"/>
      <c r="T215" s="28" t="n"/>
      <c r="U215" s="29">
        <f>IF(AND(R215=0,S215=0,T215=0),0,IF(AND(R215=0,S215=0),T215/1,IF(AND(R215=0,T215=0),S215/1,IF(AND(S215=0,T215=0),R215/1,IF(R215=0,FLOOR((S215+T215)/2,0.1),IF(S215=0,(R215+T215)/2,IF(T215=0,(S215+R215)/2,FLOOR(((R215+S215+T215)/3),0.1))))))))</f>
        <v/>
      </c>
      <c r="V215" s="21" t="n"/>
      <c r="W215" s="21" t="n"/>
      <c r="X215" s="27">
        <f>SUM(V215:W215)</f>
        <v/>
      </c>
      <c r="Y215" s="28" t="n"/>
      <c r="Z215" s="28" t="n"/>
      <c r="AA215" s="29">
        <f>IF(AND(X215=0,Y215=0,Z215=0),0,IF(AND(X215=0,Y215=0),Z215/1,IF(AND(X215=0,Z215=0),Y215/1,IF(AND(Y215=0,Z215=0),X215/1,IF(X215=0,FLOOR((Y215+Z215)/2,0.1),IF(Y215=0,(X215+Z215)/2,IF(Z215=0,(Y215+X215)/2,FLOOR(((X215+Y215+Z215)/3),0.1))))))))</f>
        <v/>
      </c>
      <c r="AB215" s="21" t="n"/>
      <c r="AC215" s="21" t="n"/>
      <c r="AD215" s="27">
        <f>SUM(AB215:AC215)</f>
        <v/>
      </c>
      <c r="AE215" s="28" t="n"/>
      <c r="AF215" s="28" t="n"/>
      <c r="AG215" s="29">
        <f>IF(AND(AD215=0,AE215=0,AF215=0),0,IF(AND(AD215=0,AE215=0),AF215/1,IF(AND(AD215=0,AF215=0),AE215/1,IF(AND(AE215=0,AF215=0),AD215/1,IF(AD215=0,FLOOR((AE215+AF215)/2,0.1),IF(AE215=0,(AD215+AF215)/2,IF(AF215=0,(AE215+AD215)/2,FLOOR(((AD215+AE215+AF215)/3),0.1))))))))</f>
        <v/>
      </c>
      <c r="AH215" s="21" t="n"/>
      <c r="AI215" s="21" t="n"/>
      <c r="AJ215" s="27">
        <f>SUM(AH215:AI215)</f>
        <v/>
      </c>
      <c r="AK215" s="28" t="n"/>
      <c r="AL215" s="28" t="n"/>
      <c r="AM215" s="29">
        <f>IF(AND(AJ215=0,AK215=0,AL215=0),0,IF(AND(AJ215=0,AK215=0),AL215/1,IF(AND(AJ215=0,AL215=0),AK215/1,IF(AND(AK215=0,AL215=0),AJ215/1,IF(AJ215=0,FLOOR((AK215+AL215)/2,0.1),IF(AK215=0,(AJ215+AL215)/2,IF(AL215=0,(AK215+AJ215)/2,FLOOR(((AJ215+AK215+AL215)/3),0.1))))))))</f>
        <v/>
      </c>
      <c r="AN215" s="21" t="n"/>
      <c r="AO215" s="21" t="n"/>
      <c r="AP215" s="27">
        <f>SUM(AN215:AO215)</f>
        <v/>
      </c>
      <c r="AQ215" s="28" t="n"/>
      <c r="AR215" s="30" t="n"/>
      <c r="AS215" s="29">
        <f>IF(AND(AP215=0,AQ215=0,AR215=0),0,IF(AND(AP215=0,AQ215=0),AR215/1,IF(AND(AP215=0,AR215=0),AQ215/1,IF(AND(AQ215=0,AR215=0),AP215/1,IF(AP215=0,FLOOR((AQ215+AR215)/2,0.1),IF(AQ215=0,(AP215+AR215)/2,IF(AR215=0,(AQ215+AP215)/2,FLOOR(((AP215+AQ215+AR215)/3),0.1))))))))</f>
        <v/>
      </c>
      <c r="AT215" s="21" t="n"/>
      <c r="AU215" s="21" t="n"/>
      <c r="AV215" s="27">
        <f>SUM(AT215:AU215)</f>
        <v/>
      </c>
      <c r="AW215" s="28" t="n"/>
      <c r="AX215" s="30" t="n"/>
      <c r="AY215" s="29">
        <f>IF(AND(AV215=0,AW215=0,AX215=0),0,IF(AND(AV215=0,AW215=0),AX215/1,IF(AND(AV215=0,AX215=0),AW215/1,IF(AND(AW215=0,AX215=0),AV215/1,IF(AV215=0,FLOOR((AW215+AX215)/2,0.1),IF(AW215=0,(AV215+AX215)/2,IF(AX215=0,(AW215+AV215)/2,FLOOR(((AV215+AW215+AX215)/3),0.1))))))))</f>
        <v/>
      </c>
      <c r="AZ215" s="21" t="n"/>
      <c r="BA215" s="21" t="n"/>
      <c r="BB215" s="27">
        <f>SUM(AZ215:BA215)</f>
        <v/>
      </c>
      <c r="BC215" s="28" t="n"/>
      <c r="BD215" s="28" t="n"/>
      <c r="BE215" s="29">
        <f>IF(AND(BB215=0,BC215=0,BD215=0),0,IF(AND(BB215=0,BC215=0),BD215/1,IF(AND(BB215=0,BD215=0),BC215/1,IF(AND(BC215=0,BD215=0),BB215/1,IF(BB215=0,FLOOR((BC215+BD215)/2,0.1),IF(BC215=0,(BB215+BD215)/2,IF(BD215=0,(BC215+BB215)/2,FLOOR(((BB215+BC215+BD215)/3),0.1))))))))</f>
        <v/>
      </c>
      <c r="BF215" s="21" t="n"/>
      <c r="BG215" s="21" t="n"/>
      <c r="BH215" s="27">
        <f>SUM(BF215:BG215)</f>
        <v/>
      </c>
      <c r="BI215" s="28" t="n"/>
      <c r="BJ215" s="28" t="n"/>
      <c r="BK215" s="29">
        <f>IF(AND(BH215=0,BI215=0,BJ215=0),0,IF(AND(BH215=0,BI215=0),BJ215/1,IF(AND(BH215=0,BJ215=0),BI215/1,IF(AND(BI215=0,BJ215=0),BH215/1,IF(BH215=0,FLOOR((BI215+BJ215)/2,0.1),IF(BI215=0,(BH215+BJ215)/2,IF(BJ215=0,(BI215+BH215)/2,FLOOR(((BH215+BI215+BJ215)/3),0.1))))))))</f>
        <v/>
      </c>
      <c r="BL215" s="21" t="n"/>
      <c r="BM215" s="21" t="n"/>
      <c r="BN215" s="27">
        <f>SUM(BL215:BM215)</f>
        <v/>
      </c>
      <c r="BO215" s="28" t="n"/>
      <c r="BP215" s="31" t="n"/>
      <c r="BQ215" s="29">
        <f>IF(AND(BN215=0,BO215=0,BP215=0),0,IF(AND(BN215=0,BO215=0),BP215/1,IF(AND(BN215=0,BP215=0),BO215/1,IF(AND(BO215=0,BP215=0),BN215/1,IF(BN215=0,FLOOR((BO215+BP215)/2,0.1),IF(BO215=0,(BN215+BP215)/2,IF(BP215=0,(BO215+BN215)/2,FLOOR(((BN215+BO215+BP215)/3),0.1))))))))</f>
        <v/>
      </c>
      <c r="BR215" s="21" t="n"/>
      <c r="BS215" s="21" t="n"/>
      <c r="BT215" s="27">
        <f>SUM(BR215:BS215)</f>
        <v/>
      </c>
      <c r="BU215" s="28" t="n"/>
      <c r="BV215" s="31" t="n"/>
      <c r="BW215" s="29">
        <f>IF(AND(BT215=0,BU215=0,BV215=0),0,IF(AND(BT215=0,BU215=0),BV215/1,IF(AND(BT215=0,BV215=0),BU215/1,IF(AND(BU215=0,BV215=0),BT215/1,IF(BT215=0,FLOOR((BU215+BV215)/2,0.1),IF(BU215=0,(BT215+BV215)/2,IF(BV215=0,(BU215+BT215)/2,FLOOR(((BT215+BU215+BV215)/3),0.1))))))))</f>
        <v/>
      </c>
      <c r="BX215" s="21" t="n"/>
      <c r="BY215" s="21" t="n"/>
      <c r="BZ215" s="27">
        <f>SUM(BX215:BY215)</f>
        <v/>
      </c>
      <c r="CA215" s="28" t="n"/>
      <c r="CB215" s="31" t="n"/>
      <c r="CC215" s="29">
        <f>IF(AND(BZ215=0,CA215=0,CB215=0),0,IF(AND(BZ215=0,CA215=0),CB215/1,IF(AND(BZ215=0,CB215=0),CA215/1,IF(AND(CA215=0,CB215=0),BZ215/1,IF(BZ215=0,FLOOR((CA215+CB215)/2,0.1),IF(CA215=0,(BZ215+CB215)/2,IF(CB215=0,(CA215+BZ215)/2,FLOOR(((BZ215+CA215+CB215)/3),0.1))))))))</f>
        <v/>
      </c>
      <c r="CD215" s="21" t="n"/>
      <c r="CE215" s="21" t="n"/>
      <c r="CF215" s="27">
        <f>SUM(CD215:CE215)</f>
        <v/>
      </c>
      <c r="CG215" s="28" t="n"/>
      <c r="CH215" s="31" t="n"/>
      <c r="CI215" s="29">
        <f>IF(AND(CF215=0,CG215=0,CH215=0),0,IF(AND(CF215=0,CG215=0),CH215/1,IF(AND(CF215=0,CH215=0),CG215/1,IF(AND(CG215=0,CH215=0),CF215/1,IF(CF215=0,FLOOR((CG215+CH215)/2,0.1),IF(CG215=0,(CF215+CH215)/2,IF(CH215=0,(CG215+CF215)/2,FLOOR(((CF215+CG215+CH215)/3),0.1))))))))</f>
        <v/>
      </c>
      <c r="CJ215" s="21" t="n"/>
      <c r="CK215" s="21" t="n"/>
      <c r="CL215" s="27">
        <f>SUM(CJ215:CK215)</f>
        <v/>
      </c>
      <c r="CM215" s="28" t="n"/>
      <c r="CN215" s="31" t="n"/>
      <c r="CO215" s="29">
        <f>IF(AND(CL215=0,CM215=0,CN215=0),0,IF(AND(CL215=0,CM215=0),CN215/1,IF(AND(CL215=0,CN215=0),CM215/1,IF(AND(CM215=0,CN215=0),CL215/1,IF(CL215=0,FLOOR((CM215+CN215)/2,0.1),IF(CM215=0,(CL215+CN215)/2,IF(CN215=0,(CM215+CL215)/2,FLOOR(((CL215+CM215+CN215)/3),0.1))))))))</f>
        <v/>
      </c>
      <c r="CP215" s="21" t="n"/>
      <c r="CQ215" s="21" t="n"/>
      <c r="CR215" s="27">
        <f>SUM(CP215:CQ215)</f>
        <v/>
      </c>
      <c r="CS215" s="28" t="n"/>
      <c r="CT215" s="31" t="n"/>
      <c r="CU215" s="29">
        <f>IF(AND(CR215=0,CS215=0,CT215=0),0,IF(AND(CR215=0,CS215=0),CT215/1,IF(AND(CR215=0,CT215=0),CS215/1,IF(AND(CS215=0,CT215=0),CR215/1,IF(CR215=0,FLOOR((CS215+CT215)/2,0.1),IF(CS215=0,(CR215+CT215)/2,IF(CT215=0,(CS215+CR215)/2,FLOOR(((CR215+CS215+CT215)/3),0.1))))))))</f>
        <v/>
      </c>
      <c r="CV215" s="21" t="n"/>
      <c r="CW215" s="21" t="n"/>
      <c r="CX215" s="27">
        <f>SUM(CV215:CW215)</f>
        <v/>
      </c>
      <c r="CY215" s="28" t="n"/>
      <c r="CZ215" s="31" t="n"/>
      <c r="DA215" s="29">
        <f>IF(AND(CX215=0,CY215=0,CZ215=0),0,IF(AND(CX215=0,CY215=0),CZ215/1,IF(AND(CX215=0,CZ215=0),CY215/1,IF(AND(CY215=0,CZ215=0),CX215/1,IF(CX215=0,FLOOR((CY215+CZ215)/2,0.1),IF(CY215=0,(CX215+CZ215)/2,IF(CZ215=0,(CY215+CX215)/2,FLOOR(((CX215+CY215+CZ215)/3),0.1))))))))</f>
        <v/>
      </c>
      <c r="DB215" s="21" t="n"/>
      <c r="DC215" s="21" t="n"/>
      <c r="DD215" s="27">
        <f>SUM(DB215:DC215)</f>
        <v/>
      </c>
      <c r="DE215" s="28" t="n"/>
      <c r="DF215" s="31" t="n"/>
      <c r="DG215" s="29">
        <f>IF(AND(DD215=0,DE215=0,DF215=0),0,IF(AND(DD215=0,DE215=0),DF215/1,IF(AND(DD215=0,DF215=0),DE215/1,IF(AND(DE215=0,DF215=0),DD215/1,IF(DD215=0,FLOOR((DE215+DF215)/2,0.1),IF(DE215=0,(DD215+DF215)/2,IF(DF215=0,(DE215+DD215)/2,FLOOR(((DD215+DE215+DF215)/3),0.1))))))))</f>
        <v/>
      </c>
      <c r="DH215" s="34">
        <f>SUM(O215,U215,AA215,AG215,AM215,AS215,AY215,BE215,BK215,BQ215,BW215,CC215,CI215,CO215,CU215,DA215,DG215)</f>
        <v/>
      </c>
      <c r="DI215" s="39">
        <f>RANK(DH215,DH$4:DH$503)</f>
        <v/>
      </c>
      <c r="DJ215" s="40" t="inlineStr">
        <is>
          <t>CHOOSE RATING</t>
        </is>
      </c>
      <c r="DK215" s="40" t="inlineStr">
        <is>
          <t>CHOOSE RATING</t>
        </is>
      </c>
      <c r="DL215" s="40" t="inlineStr">
        <is>
          <t>CHOOSE RATING</t>
        </is>
      </c>
      <c r="DM215" s="40" t="inlineStr">
        <is>
          <t>CHOOSE RATING</t>
        </is>
      </c>
      <c r="DN215" s="40" t="inlineStr">
        <is>
          <t>CHOOSE RATING</t>
        </is>
      </c>
      <c r="DO215" s="40" t="inlineStr">
        <is>
          <t>CHOOSE RATING</t>
        </is>
      </c>
      <c r="DP215" s="40" t="inlineStr">
        <is>
          <t>CHOOSE RATING</t>
        </is>
      </c>
      <c r="DQ215" s="40" t="inlineStr">
        <is>
          <t>CHOOSE RATING</t>
        </is>
      </c>
      <c r="DR215" s="43" t="inlineStr">
        <is>
          <t>2024/2025</t>
        </is>
      </c>
      <c r="DS215" s="45" t="inlineStr">
        <is>
          <t>THIRD</t>
        </is>
      </c>
      <c r="DT215" s="40" t="inlineStr">
        <is>
          <t>CHOOSE RATING</t>
        </is>
      </c>
      <c r="DU215" s="40" t="inlineStr">
        <is>
          <t>CHOOSE RATING</t>
        </is>
      </c>
      <c r="DV215" s="40" t="inlineStr">
        <is>
          <t>CHOOSE RATING</t>
        </is>
      </c>
      <c r="DW215" s="40" t="inlineStr">
        <is>
          <t>CHOOSE RATING</t>
        </is>
      </c>
      <c r="DX215" s="40" t="inlineStr">
        <is>
          <t>CHOOSE RATING</t>
        </is>
      </c>
      <c r="DY215" s="40" t="inlineStr">
        <is>
          <t>CHOOSE RATING</t>
        </is>
      </c>
      <c r="DZ215" s="53" t="inlineStr">
        <is>
          <t>CHOOSE RATING</t>
        </is>
      </c>
      <c r="EA215" s="54" t="inlineStr">
        <is>
          <t>Add the Tutor's Comment . . .</t>
        </is>
      </c>
      <c r="EB215" s="55" t="inlineStr">
        <is>
          <t>Choose Principals comment</t>
        </is>
      </c>
      <c r="EC215" s="56" t="n"/>
      <c r="ED215" s="57" t="inlineStr">
        <is>
          <t>Next Term Begins on Monday, 22nd September, 2025</t>
        </is>
      </c>
    </row>
    <row r="216" ht="30.6" customHeight="1" s="6">
      <c r="A216" s="18" t="n">
        <v>213</v>
      </c>
      <c r="B216" s="19" t="n"/>
      <c r="C216" s="20" t="n"/>
      <c r="D216" s="128" t="n"/>
      <c r="E216" s="21" t="n"/>
      <c r="F216" s="22" t="n"/>
      <c r="G216" s="22" t="n"/>
      <c r="H216" s="22" t="n"/>
      <c r="I216" s="26">
        <f>G216-H216</f>
        <v/>
      </c>
      <c r="J216" s="21" t="n"/>
      <c r="K216" s="21" t="n"/>
      <c r="L216" s="27">
        <f>SUM(J216:K216)</f>
        <v/>
      </c>
      <c r="M216" s="28" t="n"/>
      <c r="N216" s="28" t="n"/>
      <c r="O216" s="29">
        <f>IF(AND(L216=0,M216=0,N216=0),0,IF(AND(L216=0,M216=0),N216/1,IF(AND(L216=0,N216=0),M216/1,IF(AND(M216=0,N216=0),L216/1,IF(L216=0,FLOOR((M216+N216)/2,0.1),IF(M216=0,(L216+N216)/2,IF(N216=0,(M216+L216)/2,FLOOR(((L216+M216+N216)/3),0.1))))))))</f>
        <v/>
      </c>
      <c r="P216" s="21" t="n"/>
      <c r="Q216" s="21" t="n"/>
      <c r="R216" s="27">
        <f>SUM(P216:Q216)</f>
        <v/>
      </c>
      <c r="S216" s="28" t="n"/>
      <c r="T216" s="28" t="n"/>
      <c r="U216" s="29">
        <f>IF(AND(R216=0,S216=0,T216=0),0,IF(AND(R216=0,S216=0),T216/1,IF(AND(R216=0,T216=0),S216/1,IF(AND(S216=0,T216=0),R216/1,IF(R216=0,FLOOR((S216+T216)/2,0.1),IF(S216=0,(R216+T216)/2,IF(T216=0,(S216+R216)/2,FLOOR(((R216+S216+T216)/3),0.1))))))))</f>
        <v/>
      </c>
      <c r="V216" s="21" t="n"/>
      <c r="W216" s="21" t="n"/>
      <c r="X216" s="27">
        <f>SUM(V216:W216)</f>
        <v/>
      </c>
      <c r="Y216" s="28" t="n"/>
      <c r="Z216" s="28" t="n"/>
      <c r="AA216" s="29">
        <f>IF(AND(X216=0,Y216=0,Z216=0),0,IF(AND(X216=0,Y216=0),Z216/1,IF(AND(X216=0,Z216=0),Y216/1,IF(AND(Y216=0,Z216=0),X216/1,IF(X216=0,FLOOR((Y216+Z216)/2,0.1),IF(Y216=0,(X216+Z216)/2,IF(Z216=0,(Y216+X216)/2,FLOOR(((X216+Y216+Z216)/3),0.1))))))))</f>
        <v/>
      </c>
      <c r="AB216" s="21" t="n"/>
      <c r="AC216" s="21" t="n"/>
      <c r="AD216" s="27">
        <f>SUM(AB216:AC216)</f>
        <v/>
      </c>
      <c r="AE216" s="28" t="n"/>
      <c r="AF216" s="28" t="n"/>
      <c r="AG216" s="29">
        <f>IF(AND(AD216=0,AE216=0,AF216=0),0,IF(AND(AD216=0,AE216=0),AF216/1,IF(AND(AD216=0,AF216=0),AE216/1,IF(AND(AE216=0,AF216=0),AD216/1,IF(AD216=0,FLOOR((AE216+AF216)/2,0.1),IF(AE216=0,(AD216+AF216)/2,IF(AF216=0,(AE216+AD216)/2,FLOOR(((AD216+AE216+AF216)/3),0.1))))))))</f>
        <v/>
      </c>
      <c r="AH216" s="21" t="n"/>
      <c r="AI216" s="21" t="n"/>
      <c r="AJ216" s="27">
        <f>SUM(AH216:AI216)</f>
        <v/>
      </c>
      <c r="AK216" s="28" t="n"/>
      <c r="AL216" s="28" t="n"/>
      <c r="AM216" s="29">
        <f>IF(AND(AJ216=0,AK216=0,AL216=0),0,IF(AND(AJ216=0,AK216=0),AL216/1,IF(AND(AJ216=0,AL216=0),AK216/1,IF(AND(AK216=0,AL216=0),AJ216/1,IF(AJ216=0,FLOOR((AK216+AL216)/2,0.1),IF(AK216=0,(AJ216+AL216)/2,IF(AL216=0,(AK216+AJ216)/2,FLOOR(((AJ216+AK216+AL216)/3),0.1))))))))</f>
        <v/>
      </c>
      <c r="AN216" s="21" t="n"/>
      <c r="AO216" s="21" t="n"/>
      <c r="AP216" s="27">
        <f>SUM(AN216:AO216)</f>
        <v/>
      </c>
      <c r="AQ216" s="28" t="n"/>
      <c r="AR216" s="30" t="n"/>
      <c r="AS216" s="29">
        <f>IF(AND(AP216=0,AQ216=0,AR216=0),0,IF(AND(AP216=0,AQ216=0),AR216/1,IF(AND(AP216=0,AR216=0),AQ216/1,IF(AND(AQ216=0,AR216=0),AP216/1,IF(AP216=0,FLOOR((AQ216+AR216)/2,0.1),IF(AQ216=0,(AP216+AR216)/2,IF(AR216=0,(AQ216+AP216)/2,FLOOR(((AP216+AQ216+AR216)/3),0.1))))))))</f>
        <v/>
      </c>
      <c r="AT216" s="21" t="n"/>
      <c r="AU216" s="21" t="n"/>
      <c r="AV216" s="27">
        <f>SUM(AT216:AU216)</f>
        <v/>
      </c>
      <c r="AW216" s="28" t="n"/>
      <c r="AX216" s="30" t="n"/>
      <c r="AY216" s="29">
        <f>IF(AND(AV216=0,AW216=0,AX216=0),0,IF(AND(AV216=0,AW216=0),AX216/1,IF(AND(AV216=0,AX216=0),AW216/1,IF(AND(AW216=0,AX216=0),AV216/1,IF(AV216=0,FLOOR((AW216+AX216)/2,0.1),IF(AW216=0,(AV216+AX216)/2,IF(AX216=0,(AW216+AV216)/2,FLOOR(((AV216+AW216+AX216)/3),0.1))))))))</f>
        <v/>
      </c>
      <c r="AZ216" s="21" t="n"/>
      <c r="BA216" s="21" t="n"/>
      <c r="BB216" s="27">
        <f>SUM(AZ216:BA216)</f>
        <v/>
      </c>
      <c r="BC216" s="28" t="n"/>
      <c r="BD216" s="28" t="n"/>
      <c r="BE216" s="29">
        <f>IF(AND(BB216=0,BC216=0,BD216=0),0,IF(AND(BB216=0,BC216=0),BD216/1,IF(AND(BB216=0,BD216=0),BC216/1,IF(AND(BC216=0,BD216=0),BB216/1,IF(BB216=0,FLOOR((BC216+BD216)/2,0.1),IF(BC216=0,(BB216+BD216)/2,IF(BD216=0,(BC216+BB216)/2,FLOOR(((BB216+BC216+BD216)/3),0.1))))))))</f>
        <v/>
      </c>
      <c r="BF216" s="21" t="n"/>
      <c r="BG216" s="21" t="n"/>
      <c r="BH216" s="27">
        <f>SUM(BF216:BG216)</f>
        <v/>
      </c>
      <c r="BI216" s="28" t="n"/>
      <c r="BJ216" s="28" t="n"/>
      <c r="BK216" s="29">
        <f>IF(AND(BH216=0,BI216=0,BJ216=0),0,IF(AND(BH216=0,BI216=0),BJ216/1,IF(AND(BH216=0,BJ216=0),BI216/1,IF(AND(BI216=0,BJ216=0),BH216/1,IF(BH216=0,FLOOR((BI216+BJ216)/2,0.1),IF(BI216=0,(BH216+BJ216)/2,IF(BJ216=0,(BI216+BH216)/2,FLOOR(((BH216+BI216+BJ216)/3),0.1))))))))</f>
        <v/>
      </c>
      <c r="BL216" s="21" t="n"/>
      <c r="BM216" s="21" t="n"/>
      <c r="BN216" s="27">
        <f>SUM(BL216:BM216)</f>
        <v/>
      </c>
      <c r="BO216" s="28" t="n"/>
      <c r="BP216" s="31" t="n"/>
      <c r="BQ216" s="29">
        <f>IF(AND(BN216=0,BO216=0,BP216=0),0,IF(AND(BN216=0,BO216=0),BP216/1,IF(AND(BN216=0,BP216=0),BO216/1,IF(AND(BO216=0,BP216=0),BN216/1,IF(BN216=0,FLOOR((BO216+BP216)/2,0.1),IF(BO216=0,(BN216+BP216)/2,IF(BP216=0,(BO216+BN216)/2,FLOOR(((BN216+BO216+BP216)/3),0.1))))))))</f>
        <v/>
      </c>
      <c r="BR216" s="21" t="n"/>
      <c r="BS216" s="21" t="n"/>
      <c r="BT216" s="27">
        <f>SUM(BR216:BS216)</f>
        <v/>
      </c>
      <c r="BU216" s="28" t="n"/>
      <c r="BV216" s="31" t="n"/>
      <c r="BW216" s="29">
        <f>IF(AND(BT216=0,BU216=0,BV216=0),0,IF(AND(BT216=0,BU216=0),BV216/1,IF(AND(BT216=0,BV216=0),BU216/1,IF(AND(BU216=0,BV216=0),BT216/1,IF(BT216=0,FLOOR((BU216+BV216)/2,0.1),IF(BU216=0,(BT216+BV216)/2,IF(BV216=0,(BU216+BT216)/2,FLOOR(((BT216+BU216+BV216)/3),0.1))))))))</f>
        <v/>
      </c>
      <c r="BX216" s="21" t="n"/>
      <c r="BY216" s="21" t="n"/>
      <c r="BZ216" s="27">
        <f>SUM(BX216:BY216)</f>
        <v/>
      </c>
      <c r="CA216" s="28" t="n"/>
      <c r="CB216" s="31" t="n"/>
      <c r="CC216" s="29">
        <f>IF(AND(BZ216=0,CA216=0,CB216=0),0,IF(AND(BZ216=0,CA216=0),CB216/1,IF(AND(BZ216=0,CB216=0),CA216/1,IF(AND(CA216=0,CB216=0),BZ216/1,IF(BZ216=0,FLOOR((CA216+CB216)/2,0.1),IF(CA216=0,(BZ216+CB216)/2,IF(CB216=0,(CA216+BZ216)/2,FLOOR(((BZ216+CA216+CB216)/3),0.1))))))))</f>
        <v/>
      </c>
      <c r="CD216" s="21" t="n"/>
      <c r="CE216" s="21" t="n"/>
      <c r="CF216" s="27">
        <f>SUM(CD216:CE216)</f>
        <v/>
      </c>
      <c r="CG216" s="28" t="n"/>
      <c r="CH216" s="31" t="n"/>
      <c r="CI216" s="29">
        <f>IF(AND(CF216=0,CG216=0,CH216=0),0,IF(AND(CF216=0,CG216=0),CH216/1,IF(AND(CF216=0,CH216=0),CG216/1,IF(AND(CG216=0,CH216=0),CF216/1,IF(CF216=0,FLOOR((CG216+CH216)/2,0.1),IF(CG216=0,(CF216+CH216)/2,IF(CH216=0,(CG216+CF216)/2,FLOOR(((CF216+CG216+CH216)/3),0.1))))))))</f>
        <v/>
      </c>
      <c r="CJ216" s="21" t="n"/>
      <c r="CK216" s="21" t="n"/>
      <c r="CL216" s="27">
        <f>SUM(CJ216:CK216)</f>
        <v/>
      </c>
      <c r="CM216" s="28" t="n"/>
      <c r="CN216" s="31" t="n"/>
      <c r="CO216" s="29">
        <f>IF(AND(CL216=0,CM216=0,CN216=0),0,IF(AND(CL216=0,CM216=0),CN216/1,IF(AND(CL216=0,CN216=0),CM216/1,IF(AND(CM216=0,CN216=0),CL216/1,IF(CL216=0,FLOOR((CM216+CN216)/2,0.1),IF(CM216=0,(CL216+CN216)/2,IF(CN216=0,(CM216+CL216)/2,FLOOR(((CL216+CM216+CN216)/3),0.1))))))))</f>
        <v/>
      </c>
      <c r="CP216" s="21" t="n"/>
      <c r="CQ216" s="21" t="n"/>
      <c r="CR216" s="27">
        <f>SUM(CP216:CQ216)</f>
        <v/>
      </c>
      <c r="CS216" s="28" t="n"/>
      <c r="CT216" s="31" t="n"/>
      <c r="CU216" s="29">
        <f>IF(AND(CR216=0,CS216=0,CT216=0),0,IF(AND(CR216=0,CS216=0),CT216/1,IF(AND(CR216=0,CT216=0),CS216/1,IF(AND(CS216=0,CT216=0),CR216/1,IF(CR216=0,FLOOR((CS216+CT216)/2,0.1),IF(CS216=0,(CR216+CT216)/2,IF(CT216=0,(CS216+CR216)/2,FLOOR(((CR216+CS216+CT216)/3),0.1))))))))</f>
        <v/>
      </c>
      <c r="CV216" s="21" t="n"/>
      <c r="CW216" s="21" t="n"/>
      <c r="CX216" s="27">
        <f>SUM(CV216:CW216)</f>
        <v/>
      </c>
      <c r="CY216" s="28" t="n"/>
      <c r="CZ216" s="31" t="n"/>
      <c r="DA216" s="29">
        <f>IF(AND(CX216=0,CY216=0,CZ216=0),0,IF(AND(CX216=0,CY216=0),CZ216/1,IF(AND(CX216=0,CZ216=0),CY216/1,IF(AND(CY216=0,CZ216=0),CX216/1,IF(CX216=0,FLOOR((CY216+CZ216)/2,0.1),IF(CY216=0,(CX216+CZ216)/2,IF(CZ216=0,(CY216+CX216)/2,FLOOR(((CX216+CY216+CZ216)/3),0.1))))))))</f>
        <v/>
      </c>
      <c r="DB216" s="21" t="n"/>
      <c r="DC216" s="21" t="n"/>
      <c r="DD216" s="27">
        <f>SUM(DB216:DC216)</f>
        <v/>
      </c>
      <c r="DE216" s="28" t="n"/>
      <c r="DF216" s="31" t="n"/>
      <c r="DG216" s="29">
        <f>IF(AND(DD216=0,DE216=0,DF216=0),0,IF(AND(DD216=0,DE216=0),DF216/1,IF(AND(DD216=0,DF216=0),DE216/1,IF(AND(DE216=0,DF216=0),DD216/1,IF(DD216=0,FLOOR((DE216+DF216)/2,0.1),IF(DE216=0,(DD216+DF216)/2,IF(DF216=0,(DE216+DD216)/2,FLOOR(((DD216+DE216+DF216)/3),0.1))))))))</f>
        <v/>
      </c>
      <c r="DH216" s="34">
        <f>SUM(O216,U216,AA216,AG216,AM216,AS216,AY216,BE216,BK216,BQ216,BW216,CC216,CI216,CO216,CU216,DA216,DG216)</f>
        <v/>
      </c>
      <c r="DI216" s="39">
        <f>RANK(DH216,DH$4:DH$503)</f>
        <v/>
      </c>
      <c r="DJ216" s="40" t="inlineStr">
        <is>
          <t>CHOOSE RATING</t>
        </is>
      </c>
      <c r="DK216" s="40" t="inlineStr">
        <is>
          <t>CHOOSE RATING</t>
        </is>
      </c>
      <c r="DL216" s="40" t="inlineStr">
        <is>
          <t>CHOOSE RATING</t>
        </is>
      </c>
      <c r="DM216" s="40" t="inlineStr">
        <is>
          <t>CHOOSE RATING</t>
        </is>
      </c>
      <c r="DN216" s="40" t="inlineStr">
        <is>
          <t>CHOOSE RATING</t>
        </is>
      </c>
      <c r="DO216" s="40" t="inlineStr">
        <is>
          <t>CHOOSE RATING</t>
        </is>
      </c>
      <c r="DP216" s="40" t="inlineStr">
        <is>
          <t>CHOOSE RATING</t>
        </is>
      </c>
      <c r="DQ216" s="40" t="inlineStr">
        <is>
          <t>CHOOSE RATING</t>
        </is>
      </c>
      <c r="DR216" s="43" t="inlineStr">
        <is>
          <t>2024/2025</t>
        </is>
      </c>
      <c r="DS216" s="45" t="inlineStr">
        <is>
          <t>THIRD</t>
        </is>
      </c>
      <c r="DT216" s="40" t="inlineStr">
        <is>
          <t>CHOOSE RATING</t>
        </is>
      </c>
      <c r="DU216" s="40" t="inlineStr">
        <is>
          <t>CHOOSE RATING</t>
        </is>
      </c>
      <c r="DV216" s="40" t="inlineStr">
        <is>
          <t>CHOOSE RATING</t>
        </is>
      </c>
      <c r="DW216" s="40" t="inlineStr">
        <is>
          <t>CHOOSE RATING</t>
        </is>
      </c>
      <c r="DX216" s="40" t="inlineStr">
        <is>
          <t>CHOOSE RATING</t>
        </is>
      </c>
      <c r="DY216" s="40" t="inlineStr">
        <is>
          <t>CHOOSE RATING</t>
        </is>
      </c>
      <c r="DZ216" s="53" t="inlineStr">
        <is>
          <t>CHOOSE RATING</t>
        </is>
      </c>
      <c r="EA216" s="54" t="inlineStr">
        <is>
          <t>Add the Tutor's Comment . . .</t>
        </is>
      </c>
      <c r="EB216" s="55" t="inlineStr">
        <is>
          <t>Choose Principals comment</t>
        </is>
      </c>
      <c r="EC216" s="56" t="n"/>
      <c r="ED216" s="57" t="inlineStr">
        <is>
          <t>Next Term Begins on Monday, 22nd September, 2025</t>
        </is>
      </c>
    </row>
    <row r="217" ht="30.6" customHeight="1" s="6">
      <c r="A217" s="18" t="n">
        <v>214</v>
      </c>
      <c r="B217" s="19" t="n"/>
      <c r="C217" s="20" t="n"/>
      <c r="D217" s="128" t="n"/>
      <c r="E217" s="21" t="n"/>
      <c r="F217" s="22" t="n"/>
      <c r="G217" s="22" t="n"/>
      <c r="H217" s="22" t="n"/>
      <c r="I217" s="26">
        <f>G217-H217</f>
        <v/>
      </c>
      <c r="J217" s="21" t="n"/>
      <c r="K217" s="21" t="n"/>
      <c r="L217" s="27">
        <f>SUM(J217:K217)</f>
        <v/>
      </c>
      <c r="M217" s="28" t="n"/>
      <c r="N217" s="28" t="n"/>
      <c r="O217" s="29">
        <f>IF(AND(L217=0,M217=0,N217=0),0,IF(AND(L217=0,M217=0),N217/1,IF(AND(L217=0,N217=0),M217/1,IF(AND(M217=0,N217=0),L217/1,IF(L217=0,FLOOR((M217+N217)/2,0.1),IF(M217=0,(L217+N217)/2,IF(N217=0,(M217+L217)/2,FLOOR(((L217+M217+N217)/3),0.1))))))))</f>
        <v/>
      </c>
      <c r="P217" s="21" t="n"/>
      <c r="Q217" s="21" t="n"/>
      <c r="R217" s="27">
        <f>SUM(P217:Q217)</f>
        <v/>
      </c>
      <c r="S217" s="28" t="n"/>
      <c r="T217" s="28" t="n"/>
      <c r="U217" s="29">
        <f>IF(AND(R217=0,S217=0,T217=0),0,IF(AND(R217=0,S217=0),T217/1,IF(AND(R217=0,T217=0),S217/1,IF(AND(S217=0,T217=0),R217/1,IF(R217=0,FLOOR((S217+T217)/2,0.1),IF(S217=0,(R217+T217)/2,IF(T217=0,(S217+R217)/2,FLOOR(((R217+S217+T217)/3),0.1))))))))</f>
        <v/>
      </c>
      <c r="V217" s="21" t="n"/>
      <c r="W217" s="21" t="n"/>
      <c r="X217" s="27">
        <f>SUM(V217:W217)</f>
        <v/>
      </c>
      <c r="Y217" s="28" t="n"/>
      <c r="Z217" s="28" t="n"/>
      <c r="AA217" s="29">
        <f>IF(AND(X217=0,Y217=0,Z217=0),0,IF(AND(X217=0,Y217=0),Z217/1,IF(AND(X217=0,Z217=0),Y217/1,IF(AND(Y217=0,Z217=0),X217/1,IF(X217=0,FLOOR((Y217+Z217)/2,0.1),IF(Y217=0,(X217+Z217)/2,IF(Z217=0,(Y217+X217)/2,FLOOR(((X217+Y217+Z217)/3),0.1))))))))</f>
        <v/>
      </c>
      <c r="AB217" s="21" t="n"/>
      <c r="AC217" s="21" t="n"/>
      <c r="AD217" s="27">
        <f>SUM(AB217:AC217)</f>
        <v/>
      </c>
      <c r="AE217" s="28" t="n"/>
      <c r="AF217" s="28" t="n"/>
      <c r="AG217" s="29">
        <f>IF(AND(AD217=0,AE217=0,AF217=0),0,IF(AND(AD217=0,AE217=0),AF217/1,IF(AND(AD217=0,AF217=0),AE217/1,IF(AND(AE217=0,AF217=0),AD217/1,IF(AD217=0,FLOOR((AE217+AF217)/2,0.1),IF(AE217=0,(AD217+AF217)/2,IF(AF217=0,(AE217+AD217)/2,FLOOR(((AD217+AE217+AF217)/3),0.1))))))))</f>
        <v/>
      </c>
      <c r="AH217" s="21" t="n"/>
      <c r="AI217" s="21" t="n"/>
      <c r="AJ217" s="27">
        <f>SUM(AH217:AI217)</f>
        <v/>
      </c>
      <c r="AK217" s="28" t="n"/>
      <c r="AL217" s="28" t="n"/>
      <c r="AM217" s="29">
        <f>IF(AND(AJ217=0,AK217=0,AL217=0),0,IF(AND(AJ217=0,AK217=0),AL217/1,IF(AND(AJ217=0,AL217=0),AK217/1,IF(AND(AK217=0,AL217=0),AJ217/1,IF(AJ217=0,FLOOR((AK217+AL217)/2,0.1),IF(AK217=0,(AJ217+AL217)/2,IF(AL217=0,(AK217+AJ217)/2,FLOOR(((AJ217+AK217+AL217)/3),0.1))))))))</f>
        <v/>
      </c>
      <c r="AN217" s="21" t="n"/>
      <c r="AO217" s="21" t="n"/>
      <c r="AP217" s="27">
        <f>SUM(AN217:AO217)</f>
        <v/>
      </c>
      <c r="AQ217" s="28" t="n"/>
      <c r="AR217" s="30" t="n"/>
      <c r="AS217" s="29">
        <f>IF(AND(AP217=0,AQ217=0,AR217=0),0,IF(AND(AP217=0,AQ217=0),AR217/1,IF(AND(AP217=0,AR217=0),AQ217/1,IF(AND(AQ217=0,AR217=0),AP217/1,IF(AP217=0,FLOOR((AQ217+AR217)/2,0.1),IF(AQ217=0,(AP217+AR217)/2,IF(AR217=0,(AQ217+AP217)/2,FLOOR(((AP217+AQ217+AR217)/3),0.1))))))))</f>
        <v/>
      </c>
      <c r="AT217" s="21" t="n"/>
      <c r="AU217" s="21" t="n"/>
      <c r="AV217" s="27">
        <f>SUM(AT217:AU217)</f>
        <v/>
      </c>
      <c r="AW217" s="28" t="n"/>
      <c r="AX217" s="30" t="n"/>
      <c r="AY217" s="29">
        <f>IF(AND(AV217=0,AW217=0,AX217=0),0,IF(AND(AV217=0,AW217=0),AX217/1,IF(AND(AV217=0,AX217=0),AW217/1,IF(AND(AW217=0,AX217=0),AV217/1,IF(AV217=0,FLOOR((AW217+AX217)/2,0.1),IF(AW217=0,(AV217+AX217)/2,IF(AX217=0,(AW217+AV217)/2,FLOOR(((AV217+AW217+AX217)/3),0.1))))))))</f>
        <v/>
      </c>
      <c r="AZ217" s="21" t="n"/>
      <c r="BA217" s="21" t="n"/>
      <c r="BB217" s="27">
        <f>SUM(AZ217:BA217)</f>
        <v/>
      </c>
      <c r="BC217" s="28" t="n"/>
      <c r="BD217" s="28" t="n"/>
      <c r="BE217" s="29">
        <f>IF(AND(BB217=0,BC217=0,BD217=0),0,IF(AND(BB217=0,BC217=0),BD217/1,IF(AND(BB217=0,BD217=0),BC217/1,IF(AND(BC217=0,BD217=0),BB217/1,IF(BB217=0,FLOOR((BC217+BD217)/2,0.1),IF(BC217=0,(BB217+BD217)/2,IF(BD217=0,(BC217+BB217)/2,FLOOR(((BB217+BC217+BD217)/3),0.1))))))))</f>
        <v/>
      </c>
      <c r="BF217" s="21" t="n"/>
      <c r="BG217" s="21" t="n"/>
      <c r="BH217" s="27">
        <f>SUM(BF217:BG217)</f>
        <v/>
      </c>
      <c r="BI217" s="28" t="n"/>
      <c r="BJ217" s="28" t="n"/>
      <c r="BK217" s="29">
        <f>IF(AND(BH217=0,BI217=0,BJ217=0),0,IF(AND(BH217=0,BI217=0),BJ217/1,IF(AND(BH217=0,BJ217=0),BI217/1,IF(AND(BI217=0,BJ217=0),BH217/1,IF(BH217=0,FLOOR((BI217+BJ217)/2,0.1),IF(BI217=0,(BH217+BJ217)/2,IF(BJ217=0,(BI217+BH217)/2,FLOOR(((BH217+BI217+BJ217)/3),0.1))))))))</f>
        <v/>
      </c>
      <c r="BL217" s="21" t="n"/>
      <c r="BM217" s="21" t="n"/>
      <c r="BN217" s="27">
        <f>SUM(BL217:BM217)</f>
        <v/>
      </c>
      <c r="BO217" s="28" t="n"/>
      <c r="BP217" s="31" t="n"/>
      <c r="BQ217" s="29">
        <f>IF(AND(BN217=0,BO217=0,BP217=0),0,IF(AND(BN217=0,BO217=0),BP217/1,IF(AND(BN217=0,BP217=0),BO217/1,IF(AND(BO217=0,BP217=0),BN217/1,IF(BN217=0,FLOOR((BO217+BP217)/2,0.1),IF(BO217=0,(BN217+BP217)/2,IF(BP217=0,(BO217+BN217)/2,FLOOR(((BN217+BO217+BP217)/3),0.1))))))))</f>
        <v/>
      </c>
      <c r="BR217" s="21" t="n"/>
      <c r="BS217" s="21" t="n"/>
      <c r="BT217" s="27">
        <f>SUM(BR217:BS217)</f>
        <v/>
      </c>
      <c r="BU217" s="28" t="n"/>
      <c r="BV217" s="31" t="n"/>
      <c r="BW217" s="29">
        <f>IF(AND(BT217=0,BU217=0,BV217=0),0,IF(AND(BT217=0,BU217=0),BV217/1,IF(AND(BT217=0,BV217=0),BU217/1,IF(AND(BU217=0,BV217=0),BT217/1,IF(BT217=0,FLOOR((BU217+BV217)/2,0.1),IF(BU217=0,(BT217+BV217)/2,IF(BV217=0,(BU217+BT217)/2,FLOOR(((BT217+BU217+BV217)/3),0.1))))))))</f>
        <v/>
      </c>
      <c r="BX217" s="21" t="n"/>
      <c r="BY217" s="21" t="n"/>
      <c r="BZ217" s="27">
        <f>SUM(BX217:BY217)</f>
        <v/>
      </c>
      <c r="CA217" s="28" t="n"/>
      <c r="CB217" s="31" t="n"/>
      <c r="CC217" s="29">
        <f>IF(AND(BZ217=0,CA217=0,CB217=0),0,IF(AND(BZ217=0,CA217=0),CB217/1,IF(AND(BZ217=0,CB217=0),CA217/1,IF(AND(CA217=0,CB217=0),BZ217/1,IF(BZ217=0,FLOOR((CA217+CB217)/2,0.1),IF(CA217=0,(BZ217+CB217)/2,IF(CB217=0,(CA217+BZ217)/2,FLOOR(((BZ217+CA217+CB217)/3),0.1))))))))</f>
        <v/>
      </c>
      <c r="CD217" s="21" t="n"/>
      <c r="CE217" s="21" t="n"/>
      <c r="CF217" s="27">
        <f>SUM(CD217:CE217)</f>
        <v/>
      </c>
      <c r="CG217" s="28" t="n"/>
      <c r="CH217" s="31" t="n"/>
      <c r="CI217" s="29">
        <f>IF(AND(CF217=0,CG217=0,CH217=0),0,IF(AND(CF217=0,CG217=0),CH217/1,IF(AND(CF217=0,CH217=0),CG217/1,IF(AND(CG217=0,CH217=0),CF217/1,IF(CF217=0,FLOOR((CG217+CH217)/2,0.1),IF(CG217=0,(CF217+CH217)/2,IF(CH217=0,(CG217+CF217)/2,FLOOR(((CF217+CG217+CH217)/3),0.1))))))))</f>
        <v/>
      </c>
      <c r="CJ217" s="21" t="n"/>
      <c r="CK217" s="21" t="n"/>
      <c r="CL217" s="27">
        <f>SUM(CJ217:CK217)</f>
        <v/>
      </c>
      <c r="CM217" s="28" t="n"/>
      <c r="CN217" s="31" t="n"/>
      <c r="CO217" s="29">
        <f>IF(AND(CL217=0,CM217=0,CN217=0),0,IF(AND(CL217=0,CM217=0),CN217/1,IF(AND(CL217=0,CN217=0),CM217/1,IF(AND(CM217=0,CN217=0),CL217/1,IF(CL217=0,FLOOR((CM217+CN217)/2,0.1),IF(CM217=0,(CL217+CN217)/2,IF(CN217=0,(CM217+CL217)/2,FLOOR(((CL217+CM217+CN217)/3),0.1))))))))</f>
        <v/>
      </c>
      <c r="CP217" s="21" t="n"/>
      <c r="CQ217" s="21" t="n"/>
      <c r="CR217" s="27">
        <f>SUM(CP217:CQ217)</f>
        <v/>
      </c>
      <c r="CS217" s="28" t="n"/>
      <c r="CT217" s="31" t="n"/>
      <c r="CU217" s="29">
        <f>IF(AND(CR217=0,CS217=0,CT217=0),0,IF(AND(CR217=0,CS217=0),CT217/1,IF(AND(CR217=0,CT217=0),CS217/1,IF(AND(CS217=0,CT217=0),CR217/1,IF(CR217=0,FLOOR((CS217+CT217)/2,0.1),IF(CS217=0,(CR217+CT217)/2,IF(CT217=0,(CS217+CR217)/2,FLOOR(((CR217+CS217+CT217)/3),0.1))))))))</f>
        <v/>
      </c>
      <c r="CV217" s="21" t="n"/>
      <c r="CW217" s="21" t="n"/>
      <c r="CX217" s="27">
        <f>SUM(CV217:CW217)</f>
        <v/>
      </c>
      <c r="CY217" s="28" t="n"/>
      <c r="CZ217" s="31" t="n"/>
      <c r="DA217" s="29">
        <f>IF(AND(CX217=0,CY217=0,CZ217=0),0,IF(AND(CX217=0,CY217=0),CZ217/1,IF(AND(CX217=0,CZ217=0),CY217/1,IF(AND(CY217=0,CZ217=0),CX217/1,IF(CX217=0,FLOOR((CY217+CZ217)/2,0.1),IF(CY217=0,(CX217+CZ217)/2,IF(CZ217=0,(CY217+CX217)/2,FLOOR(((CX217+CY217+CZ217)/3),0.1))))))))</f>
        <v/>
      </c>
      <c r="DB217" s="21" t="n"/>
      <c r="DC217" s="21" t="n"/>
      <c r="DD217" s="27">
        <f>SUM(DB217:DC217)</f>
        <v/>
      </c>
      <c r="DE217" s="28" t="n"/>
      <c r="DF217" s="31" t="n"/>
      <c r="DG217" s="29">
        <f>IF(AND(DD217=0,DE217=0,DF217=0),0,IF(AND(DD217=0,DE217=0),DF217/1,IF(AND(DD217=0,DF217=0),DE217/1,IF(AND(DE217=0,DF217=0),DD217/1,IF(DD217=0,FLOOR((DE217+DF217)/2,0.1),IF(DE217=0,(DD217+DF217)/2,IF(DF217=0,(DE217+DD217)/2,FLOOR(((DD217+DE217+DF217)/3),0.1))))))))</f>
        <v/>
      </c>
      <c r="DH217" s="34">
        <f>SUM(O217,U217,AA217,AG217,AM217,AS217,AY217,BE217,BK217,BQ217,BW217,CC217,CI217,CO217,CU217,DA217,DG217)</f>
        <v/>
      </c>
      <c r="DI217" s="39">
        <f>RANK(DH217,DH$4:DH$503)</f>
        <v/>
      </c>
      <c r="DJ217" s="40" t="inlineStr">
        <is>
          <t>CHOOSE RATING</t>
        </is>
      </c>
      <c r="DK217" s="40" t="inlineStr">
        <is>
          <t>CHOOSE RATING</t>
        </is>
      </c>
      <c r="DL217" s="40" t="inlineStr">
        <is>
          <t>CHOOSE RATING</t>
        </is>
      </c>
      <c r="DM217" s="40" t="inlineStr">
        <is>
          <t>CHOOSE RATING</t>
        </is>
      </c>
      <c r="DN217" s="40" t="inlineStr">
        <is>
          <t>CHOOSE RATING</t>
        </is>
      </c>
      <c r="DO217" s="40" t="inlineStr">
        <is>
          <t>CHOOSE RATING</t>
        </is>
      </c>
      <c r="DP217" s="40" t="inlineStr">
        <is>
          <t>CHOOSE RATING</t>
        </is>
      </c>
      <c r="DQ217" s="40" t="inlineStr">
        <is>
          <t>CHOOSE RATING</t>
        </is>
      </c>
      <c r="DR217" s="43" t="inlineStr">
        <is>
          <t>2024/2025</t>
        </is>
      </c>
      <c r="DS217" s="45" t="inlineStr">
        <is>
          <t>THIRD</t>
        </is>
      </c>
      <c r="DT217" s="40" t="inlineStr">
        <is>
          <t>CHOOSE RATING</t>
        </is>
      </c>
      <c r="DU217" s="40" t="inlineStr">
        <is>
          <t>CHOOSE RATING</t>
        </is>
      </c>
      <c r="DV217" s="40" t="inlineStr">
        <is>
          <t>CHOOSE RATING</t>
        </is>
      </c>
      <c r="DW217" s="40" t="inlineStr">
        <is>
          <t>CHOOSE RATING</t>
        </is>
      </c>
      <c r="DX217" s="40" t="inlineStr">
        <is>
          <t>CHOOSE RATING</t>
        </is>
      </c>
      <c r="DY217" s="40" t="inlineStr">
        <is>
          <t>CHOOSE RATING</t>
        </is>
      </c>
      <c r="DZ217" s="53" t="inlineStr">
        <is>
          <t>CHOOSE RATING</t>
        </is>
      </c>
      <c r="EA217" s="54" t="inlineStr">
        <is>
          <t>Add the Tutor's Comment . . .</t>
        </is>
      </c>
      <c r="EB217" s="55" t="inlineStr">
        <is>
          <t>Choose Principals comment</t>
        </is>
      </c>
      <c r="EC217" s="56" t="n"/>
      <c r="ED217" s="57" t="inlineStr">
        <is>
          <t>Next Term Begins on Monday, 22nd September, 2025</t>
        </is>
      </c>
    </row>
    <row r="218" ht="30.6" customHeight="1" s="6">
      <c r="A218" s="18" t="n">
        <v>215</v>
      </c>
      <c r="B218" s="19" t="n"/>
      <c r="C218" s="20" t="n"/>
      <c r="D218" s="128" t="n"/>
      <c r="E218" s="21" t="n"/>
      <c r="F218" s="22" t="n"/>
      <c r="G218" s="22" t="n"/>
      <c r="H218" s="22" t="n"/>
      <c r="I218" s="26">
        <f>G218-H218</f>
        <v/>
      </c>
      <c r="J218" s="21" t="n"/>
      <c r="K218" s="21" t="n"/>
      <c r="L218" s="27">
        <f>SUM(J218:K218)</f>
        <v/>
      </c>
      <c r="M218" s="28" t="n"/>
      <c r="N218" s="28" t="n"/>
      <c r="O218" s="29">
        <f>IF(AND(L218=0,M218=0,N218=0),0,IF(AND(L218=0,M218=0),N218/1,IF(AND(L218=0,N218=0),M218/1,IF(AND(M218=0,N218=0),L218/1,IF(L218=0,FLOOR((M218+N218)/2,0.1),IF(M218=0,(L218+N218)/2,IF(N218=0,(M218+L218)/2,FLOOR(((L218+M218+N218)/3),0.1))))))))</f>
        <v/>
      </c>
      <c r="P218" s="21" t="n"/>
      <c r="Q218" s="21" t="n"/>
      <c r="R218" s="27">
        <f>SUM(P218:Q218)</f>
        <v/>
      </c>
      <c r="S218" s="28" t="n"/>
      <c r="T218" s="28" t="n"/>
      <c r="U218" s="29">
        <f>IF(AND(R218=0,S218=0,T218=0),0,IF(AND(R218=0,S218=0),T218/1,IF(AND(R218=0,T218=0),S218/1,IF(AND(S218=0,T218=0),R218/1,IF(R218=0,FLOOR((S218+T218)/2,0.1),IF(S218=0,(R218+T218)/2,IF(T218=0,(S218+R218)/2,FLOOR(((R218+S218+T218)/3),0.1))))))))</f>
        <v/>
      </c>
      <c r="V218" s="21" t="n"/>
      <c r="W218" s="21" t="n"/>
      <c r="X218" s="27">
        <f>SUM(V218:W218)</f>
        <v/>
      </c>
      <c r="Y218" s="28" t="n"/>
      <c r="Z218" s="28" t="n"/>
      <c r="AA218" s="29">
        <f>IF(AND(X218=0,Y218=0,Z218=0),0,IF(AND(X218=0,Y218=0),Z218/1,IF(AND(X218=0,Z218=0),Y218/1,IF(AND(Y218=0,Z218=0),X218/1,IF(X218=0,FLOOR((Y218+Z218)/2,0.1),IF(Y218=0,(X218+Z218)/2,IF(Z218=0,(Y218+X218)/2,FLOOR(((X218+Y218+Z218)/3),0.1))))))))</f>
        <v/>
      </c>
      <c r="AB218" s="21" t="n"/>
      <c r="AC218" s="21" t="n"/>
      <c r="AD218" s="27">
        <f>SUM(AB218:AC218)</f>
        <v/>
      </c>
      <c r="AE218" s="28" t="n"/>
      <c r="AF218" s="28" t="n"/>
      <c r="AG218" s="29">
        <f>IF(AND(AD218=0,AE218=0,AF218=0),0,IF(AND(AD218=0,AE218=0),AF218/1,IF(AND(AD218=0,AF218=0),AE218/1,IF(AND(AE218=0,AF218=0),AD218/1,IF(AD218=0,FLOOR((AE218+AF218)/2,0.1),IF(AE218=0,(AD218+AF218)/2,IF(AF218=0,(AE218+AD218)/2,FLOOR(((AD218+AE218+AF218)/3),0.1))))))))</f>
        <v/>
      </c>
      <c r="AH218" s="21" t="n"/>
      <c r="AI218" s="21" t="n"/>
      <c r="AJ218" s="27">
        <f>SUM(AH218:AI218)</f>
        <v/>
      </c>
      <c r="AK218" s="28" t="n"/>
      <c r="AL218" s="28" t="n"/>
      <c r="AM218" s="29">
        <f>IF(AND(AJ218=0,AK218=0,AL218=0),0,IF(AND(AJ218=0,AK218=0),AL218/1,IF(AND(AJ218=0,AL218=0),AK218/1,IF(AND(AK218=0,AL218=0),AJ218/1,IF(AJ218=0,FLOOR((AK218+AL218)/2,0.1),IF(AK218=0,(AJ218+AL218)/2,IF(AL218=0,(AK218+AJ218)/2,FLOOR(((AJ218+AK218+AL218)/3),0.1))))))))</f>
        <v/>
      </c>
      <c r="AN218" s="21" t="n"/>
      <c r="AO218" s="21" t="n"/>
      <c r="AP218" s="27">
        <f>SUM(AN218:AO218)</f>
        <v/>
      </c>
      <c r="AQ218" s="28" t="n"/>
      <c r="AR218" s="30" t="n"/>
      <c r="AS218" s="29">
        <f>IF(AND(AP218=0,AQ218=0,AR218=0),0,IF(AND(AP218=0,AQ218=0),AR218/1,IF(AND(AP218=0,AR218=0),AQ218/1,IF(AND(AQ218=0,AR218=0),AP218/1,IF(AP218=0,FLOOR((AQ218+AR218)/2,0.1),IF(AQ218=0,(AP218+AR218)/2,IF(AR218=0,(AQ218+AP218)/2,FLOOR(((AP218+AQ218+AR218)/3),0.1))))))))</f>
        <v/>
      </c>
      <c r="AT218" s="21" t="n"/>
      <c r="AU218" s="21" t="n"/>
      <c r="AV218" s="27">
        <f>SUM(AT218:AU218)</f>
        <v/>
      </c>
      <c r="AW218" s="28" t="n"/>
      <c r="AX218" s="30" t="n"/>
      <c r="AY218" s="29">
        <f>IF(AND(AV218=0,AW218=0,AX218=0),0,IF(AND(AV218=0,AW218=0),AX218/1,IF(AND(AV218=0,AX218=0),AW218/1,IF(AND(AW218=0,AX218=0),AV218/1,IF(AV218=0,FLOOR((AW218+AX218)/2,0.1),IF(AW218=0,(AV218+AX218)/2,IF(AX218=0,(AW218+AV218)/2,FLOOR(((AV218+AW218+AX218)/3),0.1))))))))</f>
        <v/>
      </c>
      <c r="AZ218" s="21" t="n"/>
      <c r="BA218" s="21" t="n"/>
      <c r="BB218" s="27">
        <f>SUM(AZ218:BA218)</f>
        <v/>
      </c>
      <c r="BC218" s="28" t="n"/>
      <c r="BD218" s="28" t="n"/>
      <c r="BE218" s="29">
        <f>IF(AND(BB218=0,BC218=0,BD218=0),0,IF(AND(BB218=0,BC218=0),BD218/1,IF(AND(BB218=0,BD218=0),BC218/1,IF(AND(BC218=0,BD218=0),BB218/1,IF(BB218=0,FLOOR((BC218+BD218)/2,0.1),IF(BC218=0,(BB218+BD218)/2,IF(BD218=0,(BC218+BB218)/2,FLOOR(((BB218+BC218+BD218)/3),0.1))))))))</f>
        <v/>
      </c>
      <c r="BF218" s="21" t="n"/>
      <c r="BG218" s="21" t="n"/>
      <c r="BH218" s="27">
        <f>SUM(BF218:BG218)</f>
        <v/>
      </c>
      <c r="BI218" s="28" t="n"/>
      <c r="BJ218" s="28" t="n"/>
      <c r="BK218" s="29">
        <f>IF(AND(BH218=0,BI218=0,BJ218=0),0,IF(AND(BH218=0,BI218=0),BJ218/1,IF(AND(BH218=0,BJ218=0),BI218/1,IF(AND(BI218=0,BJ218=0),BH218/1,IF(BH218=0,FLOOR((BI218+BJ218)/2,0.1),IF(BI218=0,(BH218+BJ218)/2,IF(BJ218=0,(BI218+BH218)/2,FLOOR(((BH218+BI218+BJ218)/3),0.1))))))))</f>
        <v/>
      </c>
      <c r="BL218" s="21" t="n"/>
      <c r="BM218" s="21" t="n"/>
      <c r="BN218" s="27">
        <f>SUM(BL218:BM218)</f>
        <v/>
      </c>
      <c r="BO218" s="28" t="n"/>
      <c r="BP218" s="31" t="n"/>
      <c r="BQ218" s="29">
        <f>IF(AND(BN218=0,BO218=0,BP218=0),0,IF(AND(BN218=0,BO218=0),BP218/1,IF(AND(BN218=0,BP218=0),BO218/1,IF(AND(BO218=0,BP218=0),BN218/1,IF(BN218=0,FLOOR((BO218+BP218)/2,0.1),IF(BO218=0,(BN218+BP218)/2,IF(BP218=0,(BO218+BN218)/2,FLOOR(((BN218+BO218+BP218)/3),0.1))))))))</f>
        <v/>
      </c>
      <c r="BR218" s="21" t="n"/>
      <c r="BS218" s="21" t="n"/>
      <c r="BT218" s="27">
        <f>SUM(BR218:BS218)</f>
        <v/>
      </c>
      <c r="BU218" s="28" t="n"/>
      <c r="BV218" s="31" t="n"/>
      <c r="BW218" s="29">
        <f>IF(AND(BT218=0,BU218=0,BV218=0),0,IF(AND(BT218=0,BU218=0),BV218/1,IF(AND(BT218=0,BV218=0),BU218/1,IF(AND(BU218=0,BV218=0),BT218/1,IF(BT218=0,FLOOR((BU218+BV218)/2,0.1),IF(BU218=0,(BT218+BV218)/2,IF(BV218=0,(BU218+BT218)/2,FLOOR(((BT218+BU218+BV218)/3),0.1))))))))</f>
        <v/>
      </c>
      <c r="BX218" s="21" t="n"/>
      <c r="BY218" s="21" t="n"/>
      <c r="BZ218" s="27">
        <f>SUM(BX218:BY218)</f>
        <v/>
      </c>
      <c r="CA218" s="28" t="n"/>
      <c r="CB218" s="31" t="n"/>
      <c r="CC218" s="29">
        <f>IF(AND(BZ218=0,CA218=0,CB218=0),0,IF(AND(BZ218=0,CA218=0),CB218/1,IF(AND(BZ218=0,CB218=0),CA218/1,IF(AND(CA218=0,CB218=0),BZ218/1,IF(BZ218=0,FLOOR((CA218+CB218)/2,0.1),IF(CA218=0,(BZ218+CB218)/2,IF(CB218=0,(CA218+BZ218)/2,FLOOR(((BZ218+CA218+CB218)/3),0.1))))))))</f>
        <v/>
      </c>
      <c r="CD218" s="21" t="n"/>
      <c r="CE218" s="21" t="n"/>
      <c r="CF218" s="27">
        <f>SUM(CD218:CE218)</f>
        <v/>
      </c>
      <c r="CG218" s="28" t="n"/>
      <c r="CH218" s="31" t="n"/>
      <c r="CI218" s="29">
        <f>IF(AND(CF218=0,CG218=0,CH218=0),0,IF(AND(CF218=0,CG218=0),CH218/1,IF(AND(CF218=0,CH218=0),CG218/1,IF(AND(CG218=0,CH218=0),CF218/1,IF(CF218=0,FLOOR((CG218+CH218)/2,0.1),IF(CG218=0,(CF218+CH218)/2,IF(CH218=0,(CG218+CF218)/2,FLOOR(((CF218+CG218+CH218)/3),0.1))))))))</f>
        <v/>
      </c>
      <c r="CJ218" s="21" t="n"/>
      <c r="CK218" s="21" t="n"/>
      <c r="CL218" s="27">
        <f>SUM(CJ218:CK218)</f>
        <v/>
      </c>
      <c r="CM218" s="28" t="n"/>
      <c r="CN218" s="31" t="n"/>
      <c r="CO218" s="29">
        <f>IF(AND(CL218=0,CM218=0,CN218=0),0,IF(AND(CL218=0,CM218=0),CN218/1,IF(AND(CL218=0,CN218=0),CM218/1,IF(AND(CM218=0,CN218=0),CL218/1,IF(CL218=0,FLOOR((CM218+CN218)/2,0.1),IF(CM218=0,(CL218+CN218)/2,IF(CN218=0,(CM218+CL218)/2,FLOOR(((CL218+CM218+CN218)/3),0.1))))))))</f>
        <v/>
      </c>
      <c r="CP218" s="21" t="n"/>
      <c r="CQ218" s="21" t="n"/>
      <c r="CR218" s="27">
        <f>SUM(CP218:CQ218)</f>
        <v/>
      </c>
      <c r="CS218" s="28" t="n"/>
      <c r="CT218" s="31" t="n"/>
      <c r="CU218" s="29">
        <f>IF(AND(CR218=0,CS218=0,CT218=0),0,IF(AND(CR218=0,CS218=0),CT218/1,IF(AND(CR218=0,CT218=0),CS218/1,IF(AND(CS218=0,CT218=0),CR218/1,IF(CR218=0,FLOOR((CS218+CT218)/2,0.1),IF(CS218=0,(CR218+CT218)/2,IF(CT218=0,(CS218+CR218)/2,FLOOR(((CR218+CS218+CT218)/3),0.1))))))))</f>
        <v/>
      </c>
      <c r="CV218" s="21" t="n"/>
      <c r="CW218" s="21" t="n"/>
      <c r="CX218" s="27">
        <f>SUM(CV218:CW218)</f>
        <v/>
      </c>
      <c r="CY218" s="28" t="n"/>
      <c r="CZ218" s="31" t="n"/>
      <c r="DA218" s="29">
        <f>IF(AND(CX218=0,CY218=0,CZ218=0),0,IF(AND(CX218=0,CY218=0),CZ218/1,IF(AND(CX218=0,CZ218=0),CY218/1,IF(AND(CY218=0,CZ218=0),CX218/1,IF(CX218=0,FLOOR((CY218+CZ218)/2,0.1),IF(CY218=0,(CX218+CZ218)/2,IF(CZ218=0,(CY218+CX218)/2,FLOOR(((CX218+CY218+CZ218)/3),0.1))))))))</f>
        <v/>
      </c>
      <c r="DB218" s="21" t="n"/>
      <c r="DC218" s="21" t="n"/>
      <c r="DD218" s="27">
        <f>SUM(DB218:DC218)</f>
        <v/>
      </c>
      <c r="DE218" s="28" t="n"/>
      <c r="DF218" s="31" t="n"/>
      <c r="DG218" s="29">
        <f>IF(AND(DD218=0,DE218=0,DF218=0),0,IF(AND(DD218=0,DE218=0),DF218/1,IF(AND(DD218=0,DF218=0),DE218/1,IF(AND(DE218=0,DF218=0),DD218/1,IF(DD218=0,FLOOR((DE218+DF218)/2,0.1),IF(DE218=0,(DD218+DF218)/2,IF(DF218=0,(DE218+DD218)/2,FLOOR(((DD218+DE218+DF218)/3),0.1))))))))</f>
        <v/>
      </c>
      <c r="DH218" s="34">
        <f>SUM(O218,U218,AA218,AG218,AM218,AS218,AY218,BE218,BK218,BQ218,BW218,CC218,CI218,CO218,CU218,DA218,DG218)</f>
        <v/>
      </c>
      <c r="DI218" s="39">
        <f>RANK(DH218,DH$4:DH$503)</f>
        <v/>
      </c>
      <c r="DJ218" s="40" t="inlineStr">
        <is>
          <t>CHOOSE RATING</t>
        </is>
      </c>
      <c r="DK218" s="40" t="inlineStr">
        <is>
          <t>CHOOSE RATING</t>
        </is>
      </c>
      <c r="DL218" s="40" t="inlineStr">
        <is>
          <t>CHOOSE RATING</t>
        </is>
      </c>
      <c r="DM218" s="40" t="inlineStr">
        <is>
          <t>CHOOSE RATING</t>
        </is>
      </c>
      <c r="DN218" s="40" t="inlineStr">
        <is>
          <t>CHOOSE RATING</t>
        </is>
      </c>
      <c r="DO218" s="40" t="inlineStr">
        <is>
          <t>CHOOSE RATING</t>
        </is>
      </c>
      <c r="DP218" s="40" t="inlineStr">
        <is>
          <t>CHOOSE RATING</t>
        </is>
      </c>
      <c r="DQ218" s="40" t="inlineStr">
        <is>
          <t>CHOOSE RATING</t>
        </is>
      </c>
      <c r="DR218" s="43" t="inlineStr">
        <is>
          <t>2024/2025</t>
        </is>
      </c>
      <c r="DS218" s="45" t="inlineStr">
        <is>
          <t>THIRD</t>
        </is>
      </c>
      <c r="DT218" s="40" t="inlineStr">
        <is>
          <t>CHOOSE RATING</t>
        </is>
      </c>
      <c r="DU218" s="40" t="inlineStr">
        <is>
          <t>CHOOSE RATING</t>
        </is>
      </c>
      <c r="DV218" s="40" t="inlineStr">
        <is>
          <t>CHOOSE RATING</t>
        </is>
      </c>
      <c r="DW218" s="40" t="inlineStr">
        <is>
          <t>CHOOSE RATING</t>
        </is>
      </c>
      <c r="DX218" s="40" t="inlineStr">
        <is>
          <t>CHOOSE RATING</t>
        </is>
      </c>
      <c r="DY218" s="40" t="inlineStr">
        <is>
          <t>CHOOSE RATING</t>
        </is>
      </c>
      <c r="DZ218" s="53" t="inlineStr">
        <is>
          <t>CHOOSE RATING</t>
        </is>
      </c>
      <c r="EA218" s="54" t="inlineStr">
        <is>
          <t>Add the Tutor's Comment . . .</t>
        </is>
      </c>
      <c r="EB218" s="55" t="inlineStr">
        <is>
          <t>Choose Principals comment</t>
        </is>
      </c>
      <c r="EC218" s="56" t="n"/>
      <c r="ED218" s="57" t="inlineStr">
        <is>
          <t>Next Term Begins on Monday, 22nd September, 2025</t>
        </is>
      </c>
    </row>
    <row r="219" ht="30.6" customHeight="1" s="6">
      <c r="A219" s="18" t="n">
        <v>216</v>
      </c>
      <c r="B219" s="19" t="n"/>
      <c r="C219" s="20" t="n"/>
      <c r="D219" s="128" t="n"/>
      <c r="E219" s="21" t="n"/>
      <c r="F219" s="22" t="n"/>
      <c r="G219" s="22" t="n"/>
      <c r="H219" s="22" t="n"/>
      <c r="I219" s="26">
        <f>G219-H219</f>
        <v/>
      </c>
      <c r="J219" s="21" t="n"/>
      <c r="K219" s="21" t="n"/>
      <c r="L219" s="27">
        <f>SUM(J219:K219)</f>
        <v/>
      </c>
      <c r="M219" s="28" t="n"/>
      <c r="N219" s="28" t="n"/>
      <c r="O219" s="29">
        <f>IF(AND(L219=0,M219=0,N219=0),0,IF(AND(L219=0,M219=0),N219/1,IF(AND(L219=0,N219=0),M219/1,IF(AND(M219=0,N219=0),L219/1,IF(L219=0,FLOOR((M219+N219)/2,0.1),IF(M219=0,(L219+N219)/2,IF(N219=0,(M219+L219)/2,FLOOR(((L219+M219+N219)/3),0.1))))))))</f>
        <v/>
      </c>
      <c r="P219" s="21" t="n"/>
      <c r="Q219" s="21" t="n"/>
      <c r="R219" s="27">
        <f>SUM(P219:Q219)</f>
        <v/>
      </c>
      <c r="S219" s="28" t="n"/>
      <c r="T219" s="28" t="n"/>
      <c r="U219" s="29">
        <f>IF(AND(R219=0,S219=0,T219=0),0,IF(AND(R219=0,S219=0),T219/1,IF(AND(R219=0,T219=0),S219/1,IF(AND(S219=0,T219=0),R219/1,IF(R219=0,FLOOR((S219+T219)/2,0.1),IF(S219=0,(R219+T219)/2,IF(T219=0,(S219+R219)/2,FLOOR(((R219+S219+T219)/3),0.1))))))))</f>
        <v/>
      </c>
      <c r="V219" s="21" t="n"/>
      <c r="W219" s="21" t="n"/>
      <c r="X219" s="27">
        <f>SUM(V219:W219)</f>
        <v/>
      </c>
      <c r="Y219" s="28" t="n"/>
      <c r="Z219" s="28" t="n"/>
      <c r="AA219" s="29">
        <f>IF(AND(X219=0,Y219=0,Z219=0),0,IF(AND(X219=0,Y219=0),Z219/1,IF(AND(X219=0,Z219=0),Y219/1,IF(AND(Y219=0,Z219=0),X219/1,IF(X219=0,FLOOR((Y219+Z219)/2,0.1),IF(Y219=0,(X219+Z219)/2,IF(Z219=0,(Y219+X219)/2,FLOOR(((X219+Y219+Z219)/3),0.1))))))))</f>
        <v/>
      </c>
      <c r="AB219" s="21" t="n"/>
      <c r="AC219" s="21" t="n"/>
      <c r="AD219" s="27">
        <f>SUM(AB219:AC219)</f>
        <v/>
      </c>
      <c r="AE219" s="28" t="n"/>
      <c r="AF219" s="28" t="n"/>
      <c r="AG219" s="29">
        <f>IF(AND(AD219=0,AE219=0,AF219=0),0,IF(AND(AD219=0,AE219=0),AF219/1,IF(AND(AD219=0,AF219=0),AE219/1,IF(AND(AE219=0,AF219=0),AD219/1,IF(AD219=0,FLOOR((AE219+AF219)/2,0.1),IF(AE219=0,(AD219+AF219)/2,IF(AF219=0,(AE219+AD219)/2,FLOOR(((AD219+AE219+AF219)/3),0.1))))))))</f>
        <v/>
      </c>
      <c r="AH219" s="21" t="n"/>
      <c r="AI219" s="21" t="n"/>
      <c r="AJ219" s="27">
        <f>SUM(AH219:AI219)</f>
        <v/>
      </c>
      <c r="AK219" s="28" t="n"/>
      <c r="AL219" s="28" t="n"/>
      <c r="AM219" s="29">
        <f>IF(AND(AJ219=0,AK219=0,AL219=0),0,IF(AND(AJ219=0,AK219=0),AL219/1,IF(AND(AJ219=0,AL219=0),AK219/1,IF(AND(AK219=0,AL219=0),AJ219/1,IF(AJ219=0,FLOOR((AK219+AL219)/2,0.1),IF(AK219=0,(AJ219+AL219)/2,IF(AL219=0,(AK219+AJ219)/2,FLOOR(((AJ219+AK219+AL219)/3),0.1))))))))</f>
        <v/>
      </c>
      <c r="AN219" s="21" t="n"/>
      <c r="AO219" s="21" t="n"/>
      <c r="AP219" s="27">
        <f>SUM(AN219:AO219)</f>
        <v/>
      </c>
      <c r="AQ219" s="28" t="n"/>
      <c r="AR219" s="30" t="n"/>
      <c r="AS219" s="29">
        <f>IF(AND(AP219=0,AQ219=0,AR219=0),0,IF(AND(AP219=0,AQ219=0),AR219/1,IF(AND(AP219=0,AR219=0),AQ219/1,IF(AND(AQ219=0,AR219=0),AP219/1,IF(AP219=0,FLOOR((AQ219+AR219)/2,0.1),IF(AQ219=0,(AP219+AR219)/2,IF(AR219=0,(AQ219+AP219)/2,FLOOR(((AP219+AQ219+AR219)/3),0.1))))))))</f>
        <v/>
      </c>
      <c r="AT219" s="21" t="n"/>
      <c r="AU219" s="21" t="n"/>
      <c r="AV219" s="27">
        <f>SUM(AT219:AU219)</f>
        <v/>
      </c>
      <c r="AW219" s="28" t="n"/>
      <c r="AX219" s="30" t="n"/>
      <c r="AY219" s="29">
        <f>IF(AND(AV219=0,AW219=0,AX219=0),0,IF(AND(AV219=0,AW219=0),AX219/1,IF(AND(AV219=0,AX219=0),AW219/1,IF(AND(AW219=0,AX219=0),AV219/1,IF(AV219=0,FLOOR((AW219+AX219)/2,0.1),IF(AW219=0,(AV219+AX219)/2,IF(AX219=0,(AW219+AV219)/2,FLOOR(((AV219+AW219+AX219)/3),0.1))))))))</f>
        <v/>
      </c>
      <c r="AZ219" s="21" t="n"/>
      <c r="BA219" s="21" t="n"/>
      <c r="BB219" s="27">
        <f>SUM(AZ219:BA219)</f>
        <v/>
      </c>
      <c r="BC219" s="28" t="n"/>
      <c r="BD219" s="28" t="n"/>
      <c r="BE219" s="29">
        <f>IF(AND(BB219=0,BC219=0,BD219=0),0,IF(AND(BB219=0,BC219=0),BD219/1,IF(AND(BB219=0,BD219=0),BC219/1,IF(AND(BC219=0,BD219=0),BB219/1,IF(BB219=0,FLOOR((BC219+BD219)/2,0.1),IF(BC219=0,(BB219+BD219)/2,IF(BD219=0,(BC219+BB219)/2,FLOOR(((BB219+BC219+BD219)/3),0.1))))))))</f>
        <v/>
      </c>
      <c r="BF219" s="21" t="n"/>
      <c r="BG219" s="21" t="n"/>
      <c r="BH219" s="27">
        <f>SUM(BF219:BG219)</f>
        <v/>
      </c>
      <c r="BI219" s="28" t="n"/>
      <c r="BJ219" s="28" t="n"/>
      <c r="BK219" s="29">
        <f>IF(AND(BH219=0,BI219=0,BJ219=0),0,IF(AND(BH219=0,BI219=0),BJ219/1,IF(AND(BH219=0,BJ219=0),BI219/1,IF(AND(BI219=0,BJ219=0),BH219/1,IF(BH219=0,FLOOR((BI219+BJ219)/2,0.1),IF(BI219=0,(BH219+BJ219)/2,IF(BJ219=0,(BI219+BH219)/2,FLOOR(((BH219+BI219+BJ219)/3),0.1))))))))</f>
        <v/>
      </c>
      <c r="BL219" s="21" t="n"/>
      <c r="BM219" s="21" t="n"/>
      <c r="BN219" s="27">
        <f>SUM(BL219:BM219)</f>
        <v/>
      </c>
      <c r="BO219" s="28" t="n"/>
      <c r="BP219" s="31" t="n"/>
      <c r="BQ219" s="29">
        <f>IF(AND(BN219=0,BO219=0,BP219=0),0,IF(AND(BN219=0,BO219=0),BP219/1,IF(AND(BN219=0,BP219=0),BO219/1,IF(AND(BO219=0,BP219=0),BN219/1,IF(BN219=0,FLOOR((BO219+BP219)/2,0.1),IF(BO219=0,(BN219+BP219)/2,IF(BP219=0,(BO219+BN219)/2,FLOOR(((BN219+BO219+BP219)/3),0.1))))))))</f>
        <v/>
      </c>
      <c r="BR219" s="21" t="n"/>
      <c r="BS219" s="21" t="n"/>
      <c r="BT219" s="27">
        <f>SUM(BR219:BS219)</f>
        <v/>
      </c>
      <c r="BU219" s="28" t="n"/>
      <c r="BV219" s="31" t="n"/>
      <c r="BW219" s="29">
        <f>IF(AND(BT219=0,BU219=0,BV219=0),0,IF(AND(BT219=0,BU219=0),BV219/1,IF(AND(BT219=0,BV219=0),BU219/1,IF(AND(BU219=0,BV219=0),BT219/1,IF(BT219=0,FLOOR((BU219+BV219)/2,0.1),IF(BU219=0,(BT219+BV219)/2,IF(BV219=0,(BU219+BT219)/2,FLOOR(((BT219+BU219+BV219)/3),0.1))))))))</f>
        <v/>
      </c>
      <c r="BX219" s="21" t="n"/>
      <c r="BY219" s="21" t="n"/>
      <c r="BZ219" s="27">
        <f>SUM(BX219:BY219)</f>
        <v/>
      </c>
      <c r="CA219" s="28" t="n"/>
      <c r="CB219" s="31" t="n"/>
      <c r="CC219" s="29">
        <f>IF(AND(BZ219=0,CA219=0,CB219=0),0,IF(AND(BZ219=0,CA219=0),CB219/1,IF(AND(BZ219=0,CB219=0),CA219/1,IF(AND(CA219=0,CB219=0),BZ219/1,IF(BZ219=0,FLOOR((CA219+CB219)/2,0.1),IF(CA219=0,(BZ219+CB219)/2,IF(CB219=0,(CA219+BZ219)/2,FLOOR(((BZ219+CA219+CB219)/3),0.1))))))))</f>
        <v/>
      </c>
      <c r="CD219" s="21" t="n"/>
      <c r="CE219" s="21" t="n"/>
      <c r="CF219" s="27">
        <f>SUM(CD219:CE219)</f>
        <v/>
      </c>
      <c r="CG219" s="28" t="n"/>
      <c r="CH219" s="31" t="n"/>
      <c r="CI219" s="29">
        <f>IF(AND(CF219=0,CG219=0,CH219=0),0,IF(AND(CF219=0,CG219=0),CH219/1,IF(AND(CF219=0,CH219=0),CG219/1,IF(AND(CG219=0,CH219=0),CF219/1,IF(CF219=0,FLOOR((CG219+CH219)/2,0.1),IF(CG219=0,(CF219+CH219)/2,IF(CH219=0,(CG219+CF219)/2,FLOOR(((CF219+CG219+CH219)/3),0.1))))))))</f>
        <v/>
      </c>
      <c r="CJ219" s="21" t="n"/>
      <c r="CK219" s="21" t="n"/>
      <c r="CL219" s="27">
        <f>SUM(CJ219:CK219)</f>
        <v/>
      </c>
      <c r="CM219" s="28" t="n"/>
      <c r="CN219" s="31" t="n"/>
      <c r="CO219" s="29">
        <f>IF(AND(CL219=0,CM219=0,CN219=0),0,IF(AND(CL219=0,CM219=0),CN219/1,IF(AND(CL219=0,CN219=0),CM219/1,IF(AND(CM219=0,CN219=0),CL219/1,IF(CL219=0,FLOOR((CM219+CN219)/2,0.1),IF(CM219=0,(CL219+CN219)/2,IF(CN219=0,(CM219+CL219)/2,FLOOR(((CL219+CM219+CN219)/3),0.1))))))))</f>
        <v/>
      </c>
      <c r="CP219" s="21" t="n"/>
      <c r="CQ219" s="21" t="n"/>
      <c r="CR219" s="27">
        <f>SUM(CP219:CQ219)</f>
        <v/>
      </c>
      <c r="CS219" s="28" t="n"/>
      <c r="CT219" s="31" t="n"/>
      <c r="CU219" s="29">
        <f>IF(AND(CR219=0,CS219=0,CT219=0),0,IF(AND(CR219=0,CS219=0),CT219/1,IF(AND(CR219=0,CT219=0),CS219/1,IF(AND(CS219=0,CT219=0),CR219/1,IF(CR219=0,FLOOR((CS219+CT219)/2,0.1),IF(CS219=0,(CR219+CT219)/2,IF(CT219=0,(CS219+CR219)/2,FLOOR(((CR219+CS219+CT219)/3),0.1))))))))</f>
        <v/>
      </c>
      <c r="CV219" s="21" t="n"/>
      <c r="CW219" s="21" t="n"/>
      <c r="CX219" s="27">
        <f>SUM(CV219:CW219)</f>
        <v/>
      </c>
      <c r="CY219" s="28" t="n"/>
      <c r="CZ219" s="31" t="n"/>
      <c r="DA219" s="29">
        <f>IF(AND(CX219=0,CY219=0,CZ219=0),0,IF(AND(CX219=0,CY219=0),CZ219/1,IF(AND(CX219=0,CZ219=0),CY219/1,IF(AND(CY219=0,CZ219=0),CX219/1,IF(CX219=0,FLOOR((CY219+CZ219)/2,0.1),IF(CY219=0,(CX219+CZ219)/2,IF(CZ219=0,(CY219+CX219)/2,FLOOR(((CX219+CY219+CZ219)/3),0.1))))))))</f>
        <v/>
      </c>
      <c r="DB219" s="21" t="n"/>
      <c r="DC219" s="21" t="n"/>
      <c r="DD219" s="27">
        <f>SUM(DB219:DC219)</f>
        <v/>
      </c>
      <c r="DE219" s="28" t="n"/>
      <c r="DF219" s="31" t="n"/>
      <c r="DG219" s="29">
        <f>IF(AND(DD219=0,DE219=0,DF219=0),0,IF(AND(DD219=0,DE219=0),DF219/1,IF(AND(DD219=0,DF219=0),DE219/1,IF(AND(DE219=0,DF219=0),DD219/1,IF(DD219=0,FLOOR((DE219+DF219)/2,0.1),IF(DE219=0,(DD219+DF219)/2,IF(DF219=0,(DE219+DD219)/2,FLOOR(((DD219+DE219+DF219)/3),0.1))))))))</f>
        <v/>
      </c>
      <c r="DH219" s="34">
        <f>SUM(O219,U219,AA219,AG219,AM219,AS219,AY219,BE219,BK219,BQ219,BW219,CC219,CI219,CO219,CU219,DA219,DG219)</f>
        <v/>
      </c>
      <c r="DI219" s="39">
        <f>RANK(DH219,DH$4:DH$503)</f>
        <v/>
      </c>
      <c r="DJ219" s="40" t="inlineStr">
        <is>
          <t>CHOOSE RATING</t>
        </is>
      </c>
      <c r="DK219" s="40" t="inlineStr">
        <is>
          <t>CHOOSE RATING</t>
        </is>
      </c>
      <c r="DL219" s="40" t="inlineStr">
        <is>
          <t>CHOOSE RATING</t>
        </is>
      </c>
      <c r="DM219" s="40" t="inlineStr">
        <is>
          <t>CHOOSE RATING</t>
        </is>
      </c>
      <c r="DN219" s="40" t="inlineStr">
        <is>
          <t>CHOOSE RATING</t>
        </is>
      </c>
      <c r="DO219" s="40" t="inlineStr">
        <is>
          <t>CHOOSE RATING</t>
        </is>
      </c>
      <c r="DP219" s="40" t="inlineStr">
        <is>
          <t>CHOOSE RATING</t>
        </is>
      </c>
      <c r="DQ219" s="40" t="inlineStr">
        <is>
          <t>CHOOSE RATING</t>
        </is>
      </c>
      <c r="DR219" s="43" t="inlineStr">
        <is>
          <t>2024/2025</t>
        </is>
      </c>
      <c r="DS219" s="45" t="inlineStr">
        <is>
          <t>THIRD</t>
        </is>
      </c>
      <c r="DT219" s="40" t="inlineStr">
        <is>
          <t>CHOOSE RATING</t>
        </is>
      </c>
      <c r="DU219" s="40" t="inlineStr">
        <is>
          <t>CHOOSE RATING</t>
        </is>
      </c>
      <c r="DV219" s="40" t="inlineStr">
        <is>
          <t>CHOOSE RATING</t>
        </is>
      </c>
      <c r="DW219" s="40" t="inlineStr">
        <is>
          <t>CHOOSE RATING</t>
        </is>
      </c>
      <c r="DX219" s="40" t="inlineStr">
        <is>
          <t>CHOOSE RATING</t>
        </is>
      </c>
      <c r="DY219" s="40" t="inlineStr">
        <is>
          <t>CHOOSE RATING</t>
        </is>
      </c>
      <c r="DZ219" s="53" t="inlineStr">
        <is>
          <t>CHOOSE RATING</t>
        </is>
      </c>
      <c r="EA219" s="54" t="inlineStr">
        <is>
          <t>Add the Tutor's Comment . . .</t>
        </is>
      </c>
      <c r="EB219" s="55" t="inlineStr">
        <is>
          <t>Choose Principals comment</t>
        </is>
      </c>
      <c r="EC219" s="56" t="n"/>
      <c r="ED219" s="57" t="inlineStr">
        <is>
          <t>Next Term Begins on Monday, 22nd September, 2025</t>
        </is>
      </c>
    </row>
    <row r="220" ht="30.6" customHeight="1" s="6">
      <c r="A220" s="18" t="n">
        <v>217</v>
      </c>
      <c r="B220" s="19" t="n"/>
      <c r="C220" s="20" t="n"/>
      <c r="D220" s="128" t="n"/>
      <c r="E220" s="21" t="n"/>
      <c r="F220" s="22" t="n"/>
      <c r="G220" s="22" t="n"/>
      <c r="H220" s="22" t="n"/>
      <c r="I220" s="26">
        <f>G220-H220</f>
        <v/>
      </c>
      <c r="J220" s="21" t="n"/>
      <c r="K220" s="21" t="n"/>
      <c r="L220" s="27">
        <f>SUM(J220:K220)</f>
        <v/>
      </c>
      <c r="M220" s="28" t="n"/>
      <c r="N220" s="28" t="n"/>
      <c r="O220" s="29">
        <f>IF(AND(L220=0,M220=0,N220=0),0,IF(AND(L220=0,M220=0),N220/1,IF(AND(L220=0,N220=0),M220/1,IF(AND(M220=0,N220=0),L220/1,IF(L220=0,FLOOR((M220+N220)/2,0.1),IF(M220=0,(L220+N220)/2,IF(N220=0,(M220+L220)/2,FLOOR(((L220+M220+N220)/3),0.1))))))))</f>
        <v/>
      </c>
      <c r="P220" s="21" t="n"/>
      <c r="Q220" s="21" t="n"/>
      <c r="R220" s="27">
        <f>SUM(P220:Q220)</f>
        <v/>
      </c>
      <c r="S220" s="28" t="n"/>
      <c r="T220" s="28" t="n"/>
      <c r="U220" s="29">
        <f>IF(AND(R220=0,S220=0,T220=0),0,IF(AND(R220=0,S220=0),T220/1,IF(AND(R220=0,T220=0),S220/1,IF(AND(S220=0,T220=0),R220/1,IF(R220=0,FLOOR((S220+T220)/2,0.1),IF(S220=0,(R220+T220)/2,IF(T220=0,(S220+R220)/2,FLOOR(((R220+S220+T220)/3),0.1))))))))</f>
        <v/>
      </c>
      <c r="V220" s="21" t="n"/>
      <c r="W220" s="21" t="n"/>
      <c r="X220" s="27">
        <f>SUM(V220:W220)</f>
        <v/>
      </c>
      <c r="Y220" s="28" t="n"/>
      <c r="Z220" s="28" t="n"/>
      <c r="AA220" s="29">
        <f>IF(AND(X220=0,Y220=0,Z220=0),0,IF(AND(X220=0,Y220=0),Z220/1,IF(AND(X220=0,Z220=0),Y220/1,IF(AND(Y220=0,Z220=0),X220/1,IF(X220=0,FLOOR((Y220+Z220)/2,0.1),IF(Y220=0,(X220+Z220)/2,IF(Z220=0,(Y220+X220)/2,FLOOR(((X220+Y220+Z220)/3),0.1))))))))</f>
        <v/>
      </c>
      <c r="AB220" s="21" t="n"/>
      <c r="AC220" s="21" t="n"/>
      <c r="AD220" s="27">
        <f>SUM(AB220:AC220)</f>
        <v/>
      </c>
      <c r="AE220" s="28" t="n"/>
      <c r="AF220" s="28" t="n"/>
      <c r="AG220" s="29">
        <f>IF(AND(AD220=0,AE220=0,AF220=0),0,IF(AND(AD220=0,AE220=0),AF220/1,IF(AND(AD220=0,AF220=0),AE220/1,IF(AND(AE220=0,AF220=0),AD220/1,IF(AD220=0,FLOOR((AE220+AF220)/2,0.1),IF(AE220=0,(AD220+AF220)/2,IF(AF220=0,(AE220+AD220)/2,FLOOR(((AD220+AE220+AF220)/3),0.1))))))))</f>
        <v/>
      </c>
      <c r="AH220" s="21" t="n"/>
      <c r="AI220" s="21" t="n"/>
      <c r="AJ220" s="27">
        <f>SUM(AH220:AI220)</f>
        <v/>
      </c>
      <c r="AK220" s="28" t="n"/>
      <c r="AL220" s="28" t="n"/>
      <c r="AM220" s="29">
        <f>IF(AND(AJ220=0,AK220=0,AL220=0),0,IF(AND(AJ220=0,AK220=0),AL220/1,IF(AND(AJ220=0,AL220=0),AK220/1,IF(AND(AK220=0,AL220=0),AJ220/1,IF(AJ220=0,FLOOR((AK220+AL220)/2,0.1),IF(AK220=0,(AJ220+AL220)/2,IF(AL220=0,(AK220+AJ220)/2,FLOOR(((AJ220+AK220+AL220)/3),0.1))))))))</f>
        <v/>
      </c>
      <c r="AN220" s="21" t="n"/>
      <c r="AO220" s="21" t="n"/>
      <c r="AP220" s="27">
        <f>SUM(AN220:AO220)</f>
        <v/>
      </c>
      <c r="AQ220" s="28" t="n"/>
      <c r="AR220" s="30" t="n"/>
      <c r="AS220" s="29">
        <f>IF(AND(AP220=0,AQ220=0,AR220=0),0,IF(AND(AP220=0,AQ220=0),AR220/1,IF(AND(AP220=0,AR220=0),AQ220/1,IF(AND(AQ220=0,AR220=0),AP220/1,IF(AP220=0,FLOOR((AQ220+AR220)/2,0.1),IF(AQ220=0,(AP220+AR220)/2,IF(AR220=0,(AQ220+AP220)/2,FLOOR(((AP220+AQ220+AR220)/3),0.1))))))))</f>
        <v/>
      </c>
      <c r="AT220" s="21" t="n"/>
      <c r="AU220" s="21" t="n"/>
      <c r="AV220" s="27">
        <f>SUM(AT220:AU220)</f>
        <v/>
      </c>
      <c r="AW220" s="28" t="n"/>
      <c r="AX220" s="30" t="n"/>
      <c r="AY220" s="29">
        <f>IF(AND(AV220=0,AW220=0,AX220=0),0,IF(AND(AV220=0,AW220=0),AX220/1,IF(AND(AV220=0,AX220=0),AW220/1,IF(AND(AW220=0,AX220=0),AV220/1,IF(AV220=0,FLOOR((AW220+AX220)/2,0.1),IF(AW220=0,(AV220+AX220)/2,IF(AX220=0,(AW220+AV220)/2,FLOOR(((AV220+AW220+AX220)/3),0.1))))))))</f>
        <v/>
      </c>
      <c r="AZ220" s="21" t="n"/>
      <c r="BA220" s="21" t="n"/>
      <c r="BB220" s="27">
        <f>SUM(AZ220:BA220)</f>
        <v/>
      </c>
      <c r="BC220" s="28" t="n"/>
      <c r="BD220" s="28" t="n"/>
      <c r="BE220" s="29">
        <f>IF(AND(BB220=0,BC220=0,BD220=0),0,IF(AND(BB220=0,BC220=0),BD220/1,IF(AND(BB220=0,BD220=0),BC220/1,IF(AND(BC220=0,BD220=0),BB220/1,IF(BB220=0,FLOOR((BC220+BD220)/2,0.1),IF(BC220=0,(BB220+BD220)/2,IF(BD220=0,(BC220+BB220)/2,FLOOR(((BB220+BC220+BD220)/3),0.1))))))))</f>
        <v/>
      </c>
      <c r="BF220" s="21" t="n"/>
      <c r="BG220" s="21" t="n"/>
      <c r="BH220" s="27">
        <f>SUM(BF220:BG220)</f>
        <v/>
      </c>
      <c r="BI220" s="28" t="n"/>
      <c r="BJ220" s="28" t="n"/>
      <c r="BK220" s="29">
        <f>IF(AND(BH220=0,BI220=0,BJ220=0),0,IF(AND(BH220=0,BI220=0),BJ220/1,IF(AND(BH220=0,BJ220=0),BI220/1,IF(AND(BI220=0,BJ220=0),BH220/1,IF(BH220=0,FLOOR((BI220+BJ220)/2,0.1),IF(BI220=0,(BH220+BJ220)/2,IF(BJ220=0,(BI220+BH220)/2,FLOOR(((BH220+BI220+BJ220)/3),0.1))))))))</f>
        <v/>
      </c>
      <c r="BL220" s="21" t="n"/>
      <c r="BM220" s="21" t="n"/>
      <c r="BN220" s="27">
        <f>SUM(BL220:BM220)</f>
        <v/>
      </c>
      <c r="BO220" s="28" t="n"/>
      <c r="BP220" s="31" t="n"/>
      <c r="BQ220" s="29">
        <f>IF(AND(BN220=0,BO220=0,BP220=0),0,IF(AND(BN220=0,BO220=0),BP220/1,IF(AND(BN220=0,BP220=0),BO220/1,IF(AND(BO220=0,BP220=0),BN220/1,IF(BN220=0,FLOOR((BO220+BP220)/2,0.1),IF(BO220=0,(BN220+BP220)/2,IF(BP220=0,(BO220+BN220)/2,FLOOR(((BN220+BO220+BP220)/3),0.1))))))))</f>
        <v/>
      </c>
      <c r="BR220" s="21" t="n"/>
      <c r="BS220" s="21" t="n"/>
      <c r="BT220" s="27">
        <f>SUM(BR220:BS220)</f>
        <v/>
      </c>
      <c r="BU220" s="28" t="n"/>
      <c r="BV220" s="31" t="n"/>
      <c r="BW220" s="29">
        <f>IF(AND(BT220=0,BU220=0,BV220=0),0,IF(AND(BT220=0,BU220=0),BV220/1,IF(AND(BT220=0,BV220=0),BU220/1,IF(AND(BU220=0,BV220=0),BT220/1,IF(BT220=0,FLOOR((BU220+BV220)/2,0.1),IF(BU220=0,(BT220+BV220)/2,IF(BV220=0,(BU220+BT220)/2,FLOOR(((BT220+BU220+BV220)/3),0.1))))))))</f>
        <v/>
      </c>
      <c r="BX220" s="21" t="n"/>
      <c r="BY220" s="21" t="n"/>
      <c r="BZ220" s="27">
        <f>SUM(BX220:BY220)</f>
        <v/>
      </c>
      <c r="CA220" s="28" t="n"/>
      <c r="CB220" s="31" t="n"/>
      <c r="CC220" s="29">
        <f>IF(AND(BZ220=0,CA220=0,CB220=0),0,IF(AND(BZ220=0,CA220=0),CB220/1,IF(AND(BZ220=0,CB220=0),CA220/1,IF(AND(CA220=0,CB220=0),BZ220/1,IF(BZ220=0,FLOOR((CA220+CB220)/2,0.1),IF(CA220=0,(BZ220+CB220)/2,IF(CB220=0,(CA220+BZ220)/2,FLOOR(((BZ220+CA220+CB220)/3),0.1))))))))</f>
        <v/>
      </c>
      <c r="CD220" s="21" t="n"/>
      <c r="CE220" s="21" t="n"/>
      <c r="CF220" s="27">
        <f>SUM(CD220:CE220)</f>
        <v/>
      </c>
      <c r="CG220" s="28" t="n"/>
      <c r="CH220" s="31" t="n"/>
      <c r="CI220" s="29">
        <f>IF(AND(CF220=0,CG220=0,CH220=0),0,IF(AND(CF220=0,CG220=0),CH220/1,IF(AND(CF220=0,CH220=0),CG220/1,IF(AND(CG220=0,CH220=0),CF220/1,IF(CF220=0,FLOOR((CG220+CH220)/2,0.1),IF(CG220=0,(CF220+CH220)/2,IF(CH220=0,(CG220+CF220)/2,FLOOR(((CF220+CG220+CH220)/3),0.1))))))))</f>
        <v/>
      </c>
      <c r="CJ220" s="21" t="n"/>
      <c r="CK220" s="21" t="n"/>
      <c r="CL220" s="27">
        <f>SUM(CJ220:CK220)</f>
        <v/>
      </c>
      <c r="CM220" s="28" t="n"/>
      <c r="CN220" s="31" t="n"/>
      <c r="CO220" s="29">
        <f>IF(AND(CL220=0,CM220=0,CN220=0),0,IF(AND(CL220=0,CM220=0),CN220/1,IF(AND(CL220=0,CN220=0),CM220/1,IF(AND(CM220=0,CN220=0),CL220/1,IF(CL220=0,FLOOR((CM220+CN220)/2,0.1),IF(CM220=0,(CL220+CN220)/2,IF(CN220=0,(CM220+CL220)/2,FLOOR(((CL220+CM220+CN220)/3),0.1))))))))</f>
        <v/>
      </c>
      <c r="CP220" s="21" t="n"/>
      <c r="CQ220" s="21" t="n"/>
      <c r="CR220" s="27">
        <f>SUM(CP220:CQ220)</f>
        <v/>
      </c>
      <c r="CS220" s="28" t="n"/>
      <c r="CT220" s="31" t="n"/>
      <c r="CU220" s="29">
        <f>IF(AND(CR220=0,CS220=0,CT220=0),0,IF(AND(CR220=0,CS220=0),CT220/1,IF(AND(CR220=0,CT220=0),CS220/1,IF(AND(CS220=0,CT220=0),CR220/1,IF(CR220=0,FLOOR((CS220+CT220)/2,0.1),IF(CS220=0,(CR220+CT220)/2,IF(CT220=0,(CS220+CR220)/2,FLOOR(((CR220+CS220+CT220)/3),0.1))))))))</f>
        <v/>
      </c>
      <c r="CV220" s="21" t="n"/>
      <c r="CW220" s="21" t="n"/>
      <c r="CX220" s="27">
        <f>SUM(CV220:CW220)</f>
        <v/>
      </c>
      <c r="CY220" s="28" t="n"/>
      <c r="CZ220" s="31" t="n"/>
      <c r="DA220" s="29">
        <f>IF(AND(CX220=0,CY220=0,CZ220=0),0,IF(AND(CX220=0,CY220=0),CZ220/1,IF(AND(CX220=0,CZ220=0),CY220/1,IF(AND(CY220=0,CZ220=0),CX220/1,IF(CX220=0,FLOOR((CY220+CZ220)/2,0.1),IF(CY220=0,(CX220+CZ220)/2,IF(CZ220=0,(CY220+CX220)/2,FLOOR(((CX220+CY220+CZ220)/3),0.1))))))))</f>
        <v/>
      </c>
      <c r="DB220" s="21" t="n"/>
      <c r="DC220" s="21" t="n"/>
      <c r="DD220" s="27">
        <f>SUM(DB220:DC220)</f>
        <v/>
      </c>
      <c r="DE220" s="28" t="n"/>
      <c r="DF220" s="31" t="n"/>
      <c r="DG220" s="29">
        <f>IF(AND(DD220=0,DE220=0,DF220=0),0,IF(AND(DD220=0,DE220=0),DF220/1,IF(AND(DD220=0,DF220=0),DE220/1,IF(AND(DE220=0,DF220=0),DD220/1,IF(DD220=0,FLOOR((DE220+DF220)/2,0.1),IF(DE220=0,(DD220+DF220)/2,IF(DF220=0,(DE220+DD220)/2,FLOOR(((DD220+DE220+DF220)/3),0.1))))))))</f>
        <v/>
      </c>
      <c r="DH220" s="34">
        <f>SUM(O220,U220,AA220,AG220,AM220,AS220,AY220,BE220,BK220,BQ220,BW220,CC220,CI220,CO220,CU220,DA220,DG220)</f>
        <v/>
      </c>
      <c r="DI220" s="39">
        <f>RANK(DH220,DH$4:DH$503)</f>
        <v/>
      </c>
      <c r="DJ220" s="40" t="inlineStr">
        <is>
          <t>CHOOSE RATING</t>
        </is>
      </c>
      <c r="DK220" s="40" t="inlineStr">
        <is>
          <t>CHOOSE RATING</t>
        </is>
      </c>
      <c r="DL220" s="40" t="inlineStr">
        <is>
          <t>CHOOSE RATING</t>
        </is>
      </c>
      <c r="DM220" s="40" t="inlineStr">
        <is>
          <t>CHOOSE RATING</t>
        </is>
      </c>
      <c r="DN220" s="40" t="inlineStr">
        <is>
          <t>CHOOSE RATING</t>
        </is>
      </c>
      <c r="DO220" s="40" t="inlineStr">
        <is>
          <t>CHOOSE RATING</t>
        </is>
      </c>
      <c r="DP220" s="40" t="inlineStr">
        <is>
          <t>CHOOSE RATING</t>
        </is>
      </c>
      <c r="DQ220" s="40" t="inlineStr">
        <is>
          <t>CHOOSE RATING</t>
        </is>
      </c>
      <c r="DR220" s="43" t="inlineStr">
        <is>
          <t>2024/2025</t>
        </is>
      </c>
      <c r="DS220" s="45" t="inlineStr">
        <is>
          <t>THIRD</t>
        </is>
      </c>
      <c r="DT220" s="40" t="inlineStr">
        <is>
          <t>CHOOSE RATING</t>
        </is>
      </c>
      <c r="DU220" s="40" t="inlineStr">
        <is>
          <t>CHOOSE RATING</t>
        </is>
      </c>
      <c r="DV220" s="40" t="inlineStr">
        <is>
          <t>CHOOSE RATING</t>
        </is>
      </c>
      <c r="DW220" s="40" t="inlineStr">
        <is>
          <t>CHOOSE RATING</t>
        </is>
      </c>
      <c r="DX220" s="40" t="inlineStr">
        <is>
          <t>CHOOSE RATING</t>
        </is>
      </c>
      <c r="DY220" s="40" t="inlineStr">
        <is>
          <t>CHOOSE RATING</t>
        </is>
      </c>
      <c r="DZ220" s="53" t="inlineStr">
        <is>
          <t>CHOOSE RATING</t>
        </is>
      </c>
      <c r="EA220" s="54" t="inlineStr">
        <is>
          <t>Add the Tutor's Comment . . .</t>
        </is>
      </c>
      <c r="EB220" s="55" t="inlineStr">
        <is>
          <t>Choose Principals comment</t>
        </is>
      </c>
      <c r="EC220" s="56" t="n"/>
      <c r="ED220" s="57" t="inlineStr">
        <is>
          <t>Next Term Begins on Monday, 22nd September, 2025</t>
        </is>
      </c>
    </row>
    <row r="221" ht="30.6" customHeight="1" s="6">
      <c r="A221" s="18" t="n">
        <v>218</v>
      </c>
      <c r="B221" s="19" t="n"/>
      <c r="C221" s="20" t="n"/>
      <c r="D221" s="128" t="n"/>
      <c r="E221" s="21" t="n"/>
      <c r="F221" s="22" t="n"/>
      <c r="G221" s="22" t="n"/>
      <c r="H221" s="22" t="n"/>
      <c r="I221" s="26">
        <f>G221-H221</f>
        <v/>
      </c>
      <c r="J221" s="21" t="n"/>
      <c r="K221" s="21" t="n"/>
      <c r="L221" s="27">
        <f>SUM(J221:K221)</f>
        <v/>
      </c>
      <c r="M221" s="28" t="n"/>
      <c r="N221" s="28" t="n"/>
      <c r="O221" s="29">
        <f>IF(AND(L221=0,M221=0,N221=0),0,IF(AND(L221=0,M221=0),N221/1,IF(AND(L221=0,N221=0),M221/1,IF(AND(M221=0,N221=0),L221/1,IF(L221=0,FLOOR((M221+N221)/2,0.1),IF(M221=0,(L221+N221)/2,IF(N221=0,(M221+L221)/2,FLOOR(((L221+M221+N221)/3),0.1))))))))</f>
        <v/>
      </c>
      <c r="P221" s="21" t="n"/>
      <c r="Q221" s="21" t="n"/>
      <c r="R221" s="27">
        <f>SUM(P221:Q221)</f>
        <v/>
      </c>
      <c r="S221" s="28" t="n"/>
      <c r="T221" s="28" t="n"/>
      <c r="U221" s="29">
        <f>IF(AND(R221=0,S221=0,T221=0),0,IF(AND(R221=0,S221=0),T221/1,IF(AND(R221=0,T221=0),S221/1,IF(AND(S221=0,T221=0),R221/1,IF(R221=0,FLOOR((S221+T221)/2,0.1),IF(S221=0,(R221+T221)/2,IF(T221=0,(S221+R221)/2,FLOOR(((R221+S221+T221)/3),0.1))))))))</f>
        <v/>
      </c>
      <c r="V221" s="21" t="n"/>
      <c r="W221" s="21" t="n"/>
      <c r="X221" s="27">
        <f>SUM(V221:W221)</f>
        <v/>
      </c>
      <c r="Y221" s="28" t="n"/>
      <c r="Z221" s="28" t="n"/>
      <c r="AA221" s="29">
        <f>IF(AND(X221=0,Y221=0,Z221=0),0,IF(AND(X221=0,Y221=0),Z221/1,IF(AND(X221=0,Z221=0),Y221/1,IF(AND(Y221=0,Z221=0),X221/1,IF(X221=0,FLOOR((Y221+Z221)/2,0.1),IF(Y221=0,(X221+Z221)/2,IF(Z221=0,(Y221+X221)/2,FLOOR(((X221+Y221+Z221)/3),0.1))))))))</f>
        <v/>
      </c>
      <c r="AB221" s="21" t="n"/>
      <c r="AC221" s="21" t="n"/>
      <c r="AD221" s="27">
        <f>SUM(AB221:AC221)</f>
        <v/>
      </c>
      <c r="AE221" s="28" t="n"/>
      <c r="AF221" s="28" t="n"/>
      <c r="AG221" s="29">
        <f>IF(AND(AD221=0,AE221=0,AF221=0),0,IF(AND(AD221=0,AE221=0),AF221/1,IF(AND(AD221=0,AF221=0),AE221/1,IF(AND(AE221=0,AF221=0),AD221/1,IF(AD221=0,FLOOR((AE221+AF221)/2,0.1),IF(AE221=0,(AD221+AF221)/2,IF(AF221=0,(AE221+AD221)/2,FLOOR(((AD221+AE221+AF221)/3),0.1))))))))</f>
        <v/>
      </c>
      <c r="AH221" s="21" t="n"/>
      <c r="AI221" s="21" t="n"/>
      <c r="AJ221" s="27">
        <f>SUM(AH221:AI221)</f>
        <v/>
      </c>
      <c r="AK221" s="28" t="n"/>
      <c r="AL221" s="28" t="n"/>
      <c r="AM221" s="29">
        <f>IF(AND(AJ221=0,AK221=0,AL221=0),0,IF(AND(AJ221=0,AK221=0),AL221/1,IF(AND(AJ221=0,AL221=0),AK221/1,IF(AND(AK221=0,AL221=0),AJ221/1,IF(AJ221=0,FLOOR((AK221+AL221)/2,0.1),IF(AK221=0,(AJ221+AL221)/2,IF(AL221=0,(AK221+AJ221)/2,FLOOR(((AJ221+AK221+AL221)/3),0.1))))))))</f>
        <v/>
      </c>
      <c r="AN221" s="21" t="n"/>
      <c r="AO221" s="21" t="n"/>
      <c r="AP221" s="27">
        <f>SUM(AN221:AO221)</f>
        <v/>
      </c>
      <c r="AQ221" s="28" t="n"/>
      <c r="AR221" s="30" t="n"/>
      <c r="AS221" s="29">
        <f>IF(AND(AP221=0,AQ221=0,AR221=0),0,IF(AND(AP221=0,AQ221=0),AR221/1,IF(AND(AP221=0,AR221=0),AQ221/1,IF(AND(AQ221=0,AR221=0),AP221/1,IF(AP221=0,FLOOR((AQ221+AR221)/2,0.1),IF(AQ221=0,(AP221+AR221)/2,IF(AR221=0,(AQ221+AP221)/2,FLOOR(((AP221+AQ221+AR221)/3),0.1))))))))</f>
        <v/>
      </c>
      <c r="AT221" s="21" t="n"/>
      <c r="AU221" s="21" t="n"/>
      <c r="AV221" s="27">
        <f>SUM(AT221:AU221)</f>
        <v/>
      </c>
      <c r="AW221" s="28" t="n"/>
      <c r="AX221" s="30" t="n"/>
      <c r="AY221" s="29">
        <f>IF(AND(AV221=0,AW221=0,AX221=0),0,IF(AND(AV221=0,AW221=0),AX221/1,IF(AND(AV221=0,AX221=0),AW221/1,IF(AND(AW221=0,AX221=0),AV221/1,IF(AV221=0,FLOOR((AW221+AX221)/2,0.1),IF(AW221=0,(AV221+AX221)/2,IF(AX221=0,(AW221+AV221)/2,FLOOR(((AV221+AW221+AX221)/3),0.1))))))))</f>
        <v/>
      </c>
      <c r="AZ221" s="21" t="n"/>
      <c r="BA221" s="21" t="n"/>
      <c r="BB221" s="27">
        <f>SUM(AZ221:BA221)</f>
        <v/>
      </c>
      <c r="BC221" s="28" t="n"/>
      <c r="BD221" s="28" t="n"/>
      <c r="BE221" s="29">
        <f>IF(AND(BB221=0,BC221=0,BD221=0),0,IF(AND(BB221=0,BC221=0),BD221/1,IF(AND(BB221=0,BD221=0),BC221/1,IF(AND(BC221=0,BD221=0),BB221/1,IF(BB221=0,FLOOR((BC221+BD221)/2,0.1),IF(BC221=0,(BB221+BD221)/2,IF(BD221=0,(BC221+BB221)/2,FLOOR(((BB221+BC221+BD221)/3),0.1))))))))</f>
        <v/>
      </c>
      <c r="BF221" s="21" t="n"/>
      <c r="BG221" s="21" t="n"/>
      <c r="BH221" s="27">
        <f>SUM(BF221:BG221)</f>
        <v/>
      </c>
      <c r="BI221" s="28" t="n"/>
      <c r="BJ221" s="28" t="n"/>
      <c r="BK221" s="29">
        <f>IF(AND(BH221=0,BI221=0,BJ221=0),0,IF(AND(BH221=0,BI221=0),BJ221/1,IF(AND(BH221=0,BJ221=0),BI221/1,IF(AND(BI221=0,BJ221=0),BH221/1,IF(BH221=0,FLOOR((BI221+BJ221)/2,0.1),IF(BI221=0,(BH221+BJ221)/2,IF(BJ221=0,(BI221+BH221)/2,FLOOR(((BH221+BI221+BJ221)/3),0.1))))))))</f>
        <v/>
      </c>
      <c r="BL221" s="21" t="n"/>
      <c r="BM221" s="21" t="n"/>
      <c r="BN221" s="27">
        <f>SUM(BL221:BM221)</f>
        <v/>
      </c>
      <c r="BO221" s="28" t="n"/>
      <c r="BP221" s="31" t="n"/>
      <c r="BQ221" s="29">
        <f>IF(AND(BN221=0,BO221=0,BP221=0),0,IF(AND(BN221=0,BO221=0),BP221/1,IF(AND(BN221=0,BP221=0),BO221/1,IF(AND(BO221=0,BP221=0),BN221/1,IF(BN221=0,FLOOR((BO221+BP221)/2,0.1),IF(BO221=0,(BN221+BP221)/2,IF(BP221=0,(BO221+BN221)/2,FLOOR(((BN221+BO221+BP221)/3),0.1))))))))</f>
        <v/>
      </c>
      <c r="BR221" s="21" t="n"/>
      <c r="BS221" s="21" t="n"/>
      <c r="BT221" s="27">
        <f>SUM(BR221:BS221)</f>
        <v/>
      </c>
      <c r="BU221" s="28" t="n"/>
      <c r="BV221" s="31" t="n"/>
      <c r="BW221" s="29">
        <f>IF(AND(BT221=0,BU221=0,BV221=0),0,IF(AND(BT221=0,BU221=0),BV221/1,IF(AND(BT221=0,BV221=0),BU221/1,IF(AND(BU221=0,BV221=0),BT221/1,IF(BT221=0,FLOOR((BU221+BV221)/2,0.1),IF(BU221=0,(BT221+BV221)/2,IF(BV221=0,(BU221+BT221)/2,FLOOR(((BT221+BU221+BV221)/3),0.1))))))))</f>
        <v/>
      </c>
      <c r="BX221" s="21" t="n"/>
      <c r="BY221" s="21" t="n"/>
      <c r="BZ221" s="27">
        <f>SUM(BX221:BY221)</f>
        <v/>
      </c>
      <c r="CA221" s="28" t="n"/>
      <c r="CB221" s="31" t="n"/>
      <c r="CC221" s="29">
        <f>IF(AND(BZ221=0,CA221=0,CB221=0),0,IF(AND(BZ221=0,CA221=0),CB221/1,IF(AND(BZ221=0,CB221=0),CA221/1,IF(AND(CA221=0,CB221=0),BZ221/1,IF(BZ221=0,FLOOR((CA221+CB221)/2,0.1),IF(CA221=0,(BZ221+CB221)/2,IF(CB221=0,(CA221+BZ221)/2,FLOOR(((BZ221+CA221+CB221)/3),0.1))))))))</f>
        <v/>
      </c>
      <c r="CD221" s="21" t="n"/>
      <c r="CE221" s="21" t="n"/>
      <c r="CF221" s="27">
        <f>SUM(CD221:CE221)</f>
        <v/>
      </c>
      <c r="CG221" s="28" t="n"/>
      <c r="CH221" s="31" t="n"/>
      <c r="CI221" s="29">
        <f>IF(AND(CF221=0,CG221=0,CH221=0),0,IF(AND(CF221=0,CG221=0),CH221/1,IF(AND(CF221=0,CH221=0),CG221/1,IF(AND(CG221=0,CH221=0),CF221/1,IF(CF221=0,FLOOR((CG221+CH221)/2,0.1),IF(CG221=0,(CF221+CH221)/2,IF(CH221=0,(CG221+CF221)/2,FLOOR(((CF221+CG221+CH221)/3),0.1))))))))</f>
        <v/>
      </c>
      <c r="CJ221" s="21" t="n"/>
      <c r="CK221" s="21" t="n"/>
      <c r="CL221" s="27">
        <f>SUM(CJ221:CK221)</f>
        <v/>
      </c>
      <c r="CM221" s="28" t="n"/>
      <c r="CN221" s="31" t="n"/>
      <c r="CO221" s="29">
        <f>IF(AND(CL221=0,CM221=0,CN221=0),0,IF(AND(CL221=0,CM221=0),CN221/1,IF(AND(CL221=0,CN221=0),CM221/1,IF(AND(CM221=0,CN221=0),CL221/1,IF(CL221=0,FLOOR((CM221+CN221)/2,0.1),IF(CM221=0,(CL221+CN221)/2,IF(CN221=0,(CM221+CL221)/2,FLOOR(((CL221+CM221+CN221)/3),0.1))))))))</f>
        <v/>
      </c>
      <c r="CP221" s="21" t="n"/>
      <c r="CQ221" s="21" t="n"/>
      <c r="CR221" s="27">
        <f>SUM(CP221:CQ221)</f>
        <v/>
      </c>
      <c r="CS221" s="28" t="n"/>
      <c r="CT221" s="31" t="n"/>
      <c r="CU221" s="29">
        <f>IF(AND(CR221=0,CS221=0,CT221=0),0,IF(AND(CR221=0,CS221=0),CT221/1,IF(AND(CR221=0,CT221=0),CS221/1,IF(AND(CS221=0,CT221=0),CR221/1,IF(CR221=0,FLOOR((CS221+CT221)/2,0.1),IF(CS221=0,(CR221+CT221)/2,IF(CT221=0,(CS221+CR221)/2,FLOOR(((CR221+CS221+CT221)/3),0.1))))))))</f>
        <v/>
      </c>
      <c r="CV221" s="21" t="n"/>
      <c r="CW221" s="21" t="n"/>
      <c r="CX221" s="27">
        <f>SUM(CV221:CW221)</f>
        <v/>
      </c>
      <c r="CY221" s="28" t="n"/>
      <c r="CZ221" s="31" t="n"/>
      <c r="DA221" s="29">
        <f>IF(AND(CX221=0,CY221=0,CZ221=0),0,IF(AND(CX221=0,CY221=0),CZ221/1,IF(AND(CX221=0,CZ221=0),CY221/1,IF(AND(CY221=0,CZ221=0),CX221/1,IF(CX221=0,FLOOR((CY221+CZ221)/2,0.1),IF(CY221=0,(CX221+CZ221)/2,IF(CZ221=0,(CY221+CX221)/2,FLOOR(((CX221+CY221+CZ221)/3),0.1))))))))</f>
        <v/>
      </c>
      <c r="DB221" s="21" t="n"/>
      <c r="DC221" s="21" t="n"/>
      <c r="DD221" s="27">
        <f>SUM(DB221:DC221)</f>
        <v/>
      </c>
      <c r="DE221" s="28" t="n"/>
      <c r="DF221" s="31" t="n"/>
      <c r="DG221" s="29">
        <f>IF(AND(DD221=0,DE221=0,DF221=0),0,IF(AND(DD221=0,DE221=0),DF221/1,IF(AND(DD221=0,DF221=0),DE221/1,IF(AND(DE221=0,DF221=0),DD221/1,IF(DD221=0,FLOOR((DE221+DF221)/2,0.1),IF(DE221=0,(DD221+DF221)/2,IF(DF221=0,(DE221+DD221)/2,FLOOR(((DD221+DE221+DF221)/3),0.1))))))))</f>
        <v/>
      </c>
      <c r="DH221" s="34">
        <f>SUM(O221,U221,AA221,AG221,AM221,AS221,AY221,BE221,BK221,BQ221,BW221,CC221,CI221,CO221,CU221,DA221,DG221)</f>
        <v/>
      </c>
      <c r="DI221" s="39">
        <f>RANK(DH221,DH$4:DH$503)</f>
        <v/>
      </c>
      <c r="DJ221" s="40" t="inlineStr">
        <is>
          <t>CHOOSE RATING</t>
        </is>
      </c>
      <c r="DK221" s="40" t="inlineStr">
        <is>
          <t>CHOOSE RATING</t>
        </is>
      </c>
      <c r="DL221" s="40" t="inlineStr">
        <is>
          <t>CHOOSE RATING</t>
        </is>
      </c>
      <c r="DM221" s="40" t="inlineStr">
        <is>
          <t>CHOOSE RATING</t>
        </is>
      </c>
      <c r="DN221" s="40" t="inlineStr">
        <is>
          <t>CHOOSE RATING</t>
        </is>
      </c>
      <c r="DO221" s="40" t="inlineStr">
        <is>
          <t>CHOOSE RATING</t>
        </is>
      </c>
      <c r="DP221" s="40" t="inlineStr">
        <is>
          <t>CHOOSE RATING</t>
        </is>
      </c>
      <c r="DQ221" s="40" t="inlineStr">
        <is>
          <t>CHOOSE RATING</t>
        </is>
      </c>
      <c r="DR221" s="43" t="inlineStr">
        <is>
          <t>2024/2025</t>
        </is>
      </c>
      <c r="DS221" s="45" t="inlineStr">
        <is>
          <t>THIRD</t>
        </is>
      </c>
      <c r="DT221" s="40" t="inlineStr">
        <is>
          <t>CHOOSE RATING</t>
        </is>
      </c>
      <c r="DU221" s="40" t="inlineStr">
        <is>
          <t>CHOOSE RATING</t>
        </is>
      </c>
      <c r="DV221" s="40" t="inlineStr">
        <is>
          <t>CHOOSE RATING</t>
        </is>
      </c>
      <c r="DW221" s="40" t="inlineStr">
        <is>
          <t>CHOOSE RATING</t>
        </is>
      </c>
      <c r="DX221" s="40" t="inlineStr">
        <is>
          <t>CHOOSE RATING</t>
        </is>
      </c>
      <c r="DY221" s="40" t="inlineStr">
        <is>
          <t>CHOOSE RATING</t>
        </is>
      </c>
      <c r="DZ221" s="53" t="inlineStr">
        <is>
          <t>CHOOSE RATING</t>
        </is>
      </c>
      <c r="EA221" s="54" t="inlineStr">
        <is>
          <t>Add the Tutor's Comment . . .</t>
        </is>
      </c>
      <c r="EB221" s="55" t="inlineStr">
        <is>
          <t>Choose Principals comment</t>
        </is>
      </c>
      <c r="EC221" s="56" t="n"/>
      <c r="ED221" s="57" t="inlineStr">
        <is>
          <t>Next Term Begins on Monday, 22nd September, 2025</t>
        </is>
      </c>
    </row>
    <row r="222" ht="30.6" customHeight="1" s="6">
      <c r="A222" s="18" t="n">
        <v>219</v>
      </c>
      <c r="B222" s="19" t="n"/>
      <c r="C222" s="20" t="n"/>
      <c r="D222" s="128" t="n"/>
      <c r="E222" s="21" t="n"/>
      <c r="F222" s="22" t="n"/>
      <c r="G222" s="22" t="n"/>
      <c r="H222" s="22" t="n"/>
      <c r="I222" s="26">
        <f>G222-H222</f>
        <v/>
      </c>
      <c r="J222" s="21" t="n"/>
      <c r="K222" s="21" t="n"/>
      <c r="L222" s="27">
        <f>SUM(J222:K222)</f>
        <v/>
      </c>
      <c r="M222" s="28" t="n"/>
      <c r="N222" s="28" t="n"/>
      <c r="O222" s="29">
        <f>IF(AND(L222=0,M222=0,N222=0),0,IF(AND(L222=0,M222=0),N222/1,IF(AND(L222=0,N222=0),M222/1,IF(AND(M222=0,N222=0),L222/1,IF(L222=0,FLOOR((M222+N222)/2,0.1),IF(M222=0,(L222+N222)/2,IF(N222=0,(M222+L222)/2,FLOOR(((L222+M222+N222)/3),0.1))))))))</f>
        <v/>
      </c>
      <c r="P222" s="21" t="n"/>
      <c r="Q222" s="21" t="n"/>
      <c r="R222" s="27">
        <f>SUM(P222:Q222)</f>
        <v/>
      </c>
      <c r="S222" s="28" t="n"/>
      <c r="T222" s="28" t="n"/>
      <c r="U222" s="29">
        <f>IF(AND(R222=0,S222=0,T222=0),0,IF(AND(R222=0,S222=0),T222/1,IF(AND(R222=0,T222=0),S222/1,IF(AND(S222=0,T222=0),R222/1,IF(R222=0,FLOOR((S222+T222)/2,0.1),IF(S222=0,(R222+T222)/2,IF(T222=0,(S222+R222)/2,FLOOR(((R222+S222+T222)/3),0.1))))))))</f>
        <v/>
      </c>
      <c r="V222" s="21" t="n"/>
      <c r="W222" s="21" t="n"/>
      <c r="X222" s="27">
        <f>SUM(V222:W222)</f>
        <v/>
      </c>
      <c r="Y222" s="28" t="n"/>
      <c r="Z222" s="28" t="n"/>
      <c r="AA222" s="29">
        <f>IF(AND(X222=0,Y222=0,Z222=0),0,IF(AND(X222=0,Y222=0),Z222/1,IF(AND(X222=0,Z222=0),Y222/1,IF(AND(Y222=0,Z222=0),X222/1,IF(X222=0,FLOOR((Y222+Z222)/2,0.1),IF(Y222=0,(X222+Z222)/2,IF(Z222=0,(Y222+X222)/2,FLOOR(((X222+Y222+Z222)/3),0.1))))))))</f>
        <v/>
      </c>
      <c r="AB222" s="21" t="n"/>
      <c r="AC222" s="21" t="n"/>
      <c r="AD222" s="27">
        <f>SUM(AB222:AC222)</f>
        <v/>
      </c>
      <c r="AE222" s="28" t="n"/>
      <c r="AF222" s="28" t="n"/>
      <c r="AG222" s="29">
        <f>IF(AND(AD222=0,AE222=0,AF222=0),0,IF(AND(AD222=0,AE222=0),AF222/1,IF(AND(AD222=0,AF222=0),AE222/1,IF(AND(AE222=0,AF222=0),AD222/1,IF(AD222=0,FLOOR((AE222+AF222)/2,0.1),IF(AE222=0,(AD222+AF222)/2,IF(AF222=0,(AE222+AD222)/2,FLOOR(((AD222+AE222+AF222)/3),0.1))))))))</f>
        <v/>
      </c>
      <c r="AH222" s="21" t="n"/>
      <c r="AI222" s="21" t="n"/>
      <c r="AJ222" s="27">
        <f>SUM(AH222:AI222)</f>
        <v/>
      </c>
      <c r="AK222" s="28" t="n"/>
      <c r="AL222" s="28" t="n"/>
      <c r="AM222" s="29">
        <f>IF(AND(AJ222=0,AK222=0,AL222=0),0,IF(AND(AJ222=0,AK222=0),AL222/1,IF(AND(AJ222=0,AL222=0),AK222/1,IF(AND(AK222=0,AL222=0),AJ222/1,IF(AJ222=0,FLOOR((AK222+AL222)/2,0.1),IF(AK222=0,(AJ222+AL222)/2,IF(AL222=0,(AK222+AJ222)/2,FLOOR(((AJ222+AK222+AL222)/3),0.1))))))))</f>
        <v/>
      </c>
      <c r="AN222" s="21" t="n"/>
      <c r="AO222" s="21" t="n"/>
      <c r="AP222" s="27">
        <f>SUM(AN222:AO222)</f>
        <v/>
      </c>
      <c r="AQ222" s="28" t="n"/>
      <c r="AR222" s="30" t="n"/>
      <c r="AS222" s="29">
        <f>IF(AND(AP222=0,AQ222=0,AR222=0),0,IF(AND(AP222=0,AQ222=0),AR222/1,IF(AND(AP222=0,AR222=0),AQ222/1,IF(AND(AQ222=0,AR222=0),AP222/1,IF(AP222=0,FLOOR((AQ222+AR222)/2,0.1),IF(AQ222=0,(AP222+AR222)/2,IF(AR222=0,(AQ222+AP222)/2,FLOOR(((AP222+AQ222+AR222)/3),0.1))))))))</f>
        <v/>
      </c>
      <c r="AT222" s="21" t="n"/>
      <c r="AU222" s="21" t="n"/>
      <c r="AV222" s="27">
        <f>SUM(AT222:AU222)</f>
        <v/>
      </c>
      <c r="AW222" s="28" t="n"/>
      <c r="AX222" s="30" t="n"/>
      <c r="AY222" s="29">
        <f>IF(AND(AV222=0,AW222=0,AX222=0),0,IF(AND(AV222=0,AW222=0),AX222/1,IF(AND(AV222=0,AX222=0),AW222/1,IF(AND(AW222=0,AX222=0),AV222/1,IF(AV222=0,FLOOR((AW222+AX222)/2,0.1),IF(AW222=0,(AV222+AX222)/2,IF(AX222=0,(AW222+AV222)/2,FLOOR(((AV222+AW222+AX222)/3),0.1))))))))</f>
        <v/>
      </c>
      <c r="AZ222" s="21" t="n"/>
      <c r="BA222" s="21" t="n"/>
      <c r="BB222" s="27">
        <f>SUM(AZ222:BA222)</f>
        <v/>
      </c>
      <c r="BC222" s="28" t="n"/>
      <c r="BD222" s="28" t="n"/>
      <c r="BE222" s="29">
        <f>IF(AND(BB222=0,BC222=0,BD222=0),0,IF(AND(BB222=0,BC222=0),BD222/1,IF(AND(BB222=0,BD222=0),BC222/1,IF(AND(BC222=0,BD222=0),BB222/1,IF(BB222=0,FLOOR((BC222+BD222)/2,0.1),IF(BC222=0,(BB222+BD222)/2,IF(BD222=0,(BC222+BB222)/2,FLOOR(((BB222+BC222+BD222)/3),0.1))))))))</f>
        <v/>
      </c>
      <c r="BF222" s="21" t="n"/>
      <c r="BG222" s="21" t="n"/>
      <c r="BH222" s="27">
        <f>SUM(BF222:BG222)</f>
        <v/>
      </c>
      <c r="BI222" s="28" t="n"/>
      <c r="BJ222" s="28" t="n"/>
      <c r="BK222" s="29">
        <f>IF(AND(BH222=0,BI222=0,BJ222=0),0,IF(AND(BH222=0,BI222=0),BJ222/1,IF(AND(BH222=0,BJ222=0),BI222/1,IF(AND(BI222=0,BJ222=0),BH222/1,IF(BH222=0,FLOOR((BI222+BJ222)/2,0.1),IF(BI222=0,(BH222+BJ222)/2,IF(BJ222=0,(BI222+BH222)/2,FLOOR(((BH222+BI222+BJ222)/3),0.1))))))))</f>
        <v/>
      </c>
      <c r="BL222" s="21" t="n"/>
      <c r="BM222" s="21" t="n"/>
      <c r="BN222" s="27">
        <f>SUM(BL222:BM222)</f>
        <v/>
      </c>
      <c r="BO222" s="28" t="n"/>
      <c r="BP222" s="31" t="n"/>
      <c r="BQ222" s="29">
        <f>IF(AND(BN222=0,BO222=0,BP222=0),0,IF(AND(BN222=0,BO222=0),BP222/1,IF(AND(BN222=0,BP222=0),BO222/1,IF(AND(BO222=0,BP222=0),BN222/1,IF(BN222=0,FLOOR((BO222+BP222)/2,0.1),IF(BO222=0,(BN222+BP222)/2,IF(BP222=0,(BO222+BN222)/2,FLOOR(((BN222+BO222+BP222)/3),0.1))))))))</f>
        <v/>
      </c>
      <c r="BR222" s="21" t="n"/>
      <c r="BS222" s="21" t="n"/>
      <c r="BT222" s="27">
        <f>SUM(BR222:BS222)</f>
        <v/>
      </c>
      <c r="BU222" s="28" t="n"/>
      <c r="BV222" s="31" t="n"/>
      <c r="BW222" s="29">
        <f>IF(AND(BT222=0,BU222=0,BV222=0),0,IF(AND(BT222=0,BU222=0),BV222/1,IF(AND(BT222=0,BV222=0),BU222/1,IF(AND(BU222=0,BV222=0),BT222/1,IF(BT222=0,FLOOR((BU222+BV222)/2,0.1),IF(BU222=0,(BT222+BV222)/2,IF(BV222=0,(BU222+BT222)/2,FLOOR(((BT222+BU222+BV222)/3),0.1))))))))</f>
        <v/>
      </c>
      <c r="BX222" s="21" t="n"/>
      <c r="BY222" s="21" t="n"/>
      <c r="BZ222" s="27">
        <f>SUM(BX222:BY222)</f>
        <v/>
      </c>
      <c r="CA222" s="28" t="n"/>
      <c r="CB222" s="31" t="n"/>
      <c r="CC222" s="29">
        <f>IF(AND(BZ222=0,CA222=0,CB222=0),0,IF(AND(BZ222=0,CA222=0),CB222/1,IF(AND(BZ222=0,CB222=0),CA222/1,IF(AND(CA222=0,CB222=0),BZ222/1,IF(BZ222=0,FLOOR((CA222+CB222)/2,0.1),IF(CA222=0,(BZ222+CB222)/2,IF(CB222=0,(CA222+BZ222)/2,FLOOR(((BZ222+CA222+CB222)/3),0.1))))))))</f>
        <v/>
      </c>
      <c r="CD222" s="21" t="n"/>
      <c r="CE222" s="21" t="n"/>
      <c r="CF222" s="27">
        <f>SUM(CD222:CE222)</f>
        <v/>
      </c>
      <c r="CG222" s="28" t="n"/>
      <c r="CH222" s="31" t="n"/>
      <c r="CI222" s="29">
        <f>IF(AND(CF222=0,CG222=0,CH222=0),0,IF(AND(CF222=0,CG222=0),CH222/1,IF(AND(CF222=0,CH222=0),CG222/1,IF(AND(CG222=0,CH222=0),CF222/1,IF(CF222=0,FLOOR((CG222+CH222)/2,0.1),IF(CG222=0,(CF222+CH222)/2,IF(CH222=0,(CG222+CF222)/2,FLOOR(((CF222+CG222+CH222)/3),0.1))))))))</f>
        <v/>
      </c>
      <c r="CJ222" s="21" t="n"/>
      <c r="CK222" s="21" t="n"/>
      <c r="CL222" s="27">
        <f>SUM(CJ222:CK222)</f>
        <v/>
      </c>
      <c r="CM222" s="28" t="n"/>
      <c r="CN222" s="31" t="n"/>
      <c r="CO222" s="29">
        <f>IF(AND(CL222=0,CM222=0,CN222=0),0,IF(AND(CL222=0,CM222=0),CN222/1,IF(AND(CL222=0,CN222=0),CM222/1,IF(AND(CM222=0,CN222=0),CL222/1,IF(CL222=0,FLOOR((CM222+CN222)/2,0.1),IF(CM222=0,(CL222+CN222)/2,IF(CN222=0,(CM222+CL222)/2,FLOOR(((CL222+CM222+CN222)/3),0.1))))))))</f>
        <v/>
      </c>
      <c r="CP222" s="21" t="n"/>
      <c r="CQ222" s="21" t="n"/>
      <c r="CR222" s="27">
        <f>SUM(CP222:CQ222)</f>
        <v/>
      </c>
      <c r="CS222" s="28" t="n"/>
      <c r="CT222" s="31" t="n"/>
      <c r="CU222" s="29">
        <f>IF(AND(CR222=0,CS222=0,CT222=0),0,IF(AND(CR222=0,CS222=0),CT222/1,IF(AND(CR222=0,CT222=0),CS222/1,IF(AND(CS222=0,CT222=0),CR222/1,IF(CR222=0,FLOOR((CS222+CT222)/2,0.1),IF(CS222=0,(CR222+CT222)/2,IF(CT222=0,(CS222+CR222)/2,FLOOR(((CR222+CS222+CT222)/3),0.1))))))))</f>
        <v/>
      </c>
      <c r="CV222" s="21" t="n"/>
      <c r="CW222" s="21" t="n"/>
      <c r="CX222" s="27">
        <f>SUM(CV222:CW222)</f>
        <v/>
      </c>
      <c r="CY222" s="28" t="n"/>
      <c r="CZ222" s="31" t="n"/>
      <c r="DA222" s="29">
        <f>IF(AND(CX222=0,CY222=0,CZ222=0),0,IF(AND(CX222=0,CY222=0),CZ222/1,IF(AND(CX222=0,CZ222=0),CY222/1,IF(AND(CY222=0,CZ222=0),CX222/1,IF(CX222=0,FLOOR((CY222+CZ222)/2,0.1),IF(CY222=0,(CX222+CZ222)/2,IF(CZ222=0,(CY222+CX222)/2,FLOOR(((CX222+CY222+CZ222)/3),0.1))))))))</f>
        <v/>
      </c>
      <c r="DB222" s="21" t="n"/>
      <c r="DC222" s="21" t="n"/>
      <c r="DD222" s="27">
        <f>SUM(DB222:DC222)</f>
        <v/>
      </c>
      <c r="DE222" s="28" t="n"/>
      <c r="DF222" s="31" t="n"/>
      <c r="DG222" s="29">
        <f>IF(AND(DD222=0,DE222=0,DF222=0),0,IF(AND(DD222=0,DE222=0),DF222/1,IF(AND(DD222=0,DF222=0),DE222/1,IF(AND(DE222=0,DF222=0),DD222/1,IF(DD222=0,FLOOR((DE222+DF222)/2,0.1),IF(DE222=0,(DD222+DF222)/2,IF(DF222=0,(DE222+DD222)/2,FLOOR(((DD222+DE222+DF222)/3),0.1))))))))</f>
        <v/>
      </c>
      <c r="DH222" s="34">
        <f>SUM(O222,U222,AA222,AG222,AM222,AS222,AY222,BE222,BK222,BQ222,BW222,CC222,CI222,CO222,CU222,DA222,DG222)</f>
        <v/>
      </c>
      <c r="DI222" s="39">
        <f>RANK(DH222,DH$4:DH$503)</f>
        <v/>
      </c>
      <c r="DJ222" s="40" t="inlineStr">
        <is>
          <t>CHOOSE RATING</t>
        </is>
      </c>
      <c r="DK222" s="40" t="inlineStr">
        <is>
          <t>CHOOSE RATING</t>
        </is>
      </c>
      <c r="DL222" s="40" t="inlineStr">
        <is>
          <t>CHOOSE RATING</t>
        </is>
      </c>
      <c r="DM222" s="40" t="inlineStr">
        <is>
          <t>CHOOSE RATING</t>
        </is>
      </c>
      <c r="DN222" s="40" t="inlineStr">
        <is>
          <t>CHOOSE RATING</t>
        </is>
      </c>
      <c r="DO222" s="40" t="inlineStr">
        <is>
          <t>CHOOSE RATING</t>
        </is>
      </c>
      <c r="DP222" s="40" t="inlineStr">
        <is>
          <t>CHOOSE RATING</t>
        </is>
      </c>
      <c r="DQ222" s="40" t="inlineStr">
        <is>
          <t>CHOOSE RATING</t>
        </is>
      </c>
      <c r="DR222" s="43" t="inlineStr">
        <is>
          <t>2024/2025</t>
        </is>
      </c>
      <c r="DS222" s="45" t="inlineStr">
        <is>
          <t>THIRD</t>
        </is>
      </c>
      <c r="DT222" s="40" t="inlineStr">
        <is>
          <t>CHOOSE RATING</t>
        </is>
      </c>
      <c r="DU222" s="40" t="inlineStr">
        <is>
          <t>CHOOSE RATING</t>
        </is>
      </c>
      <c r="DV222" s="40" t="inlineStr">
        <is>
          <t>CHOOSE RATING</t>
        </is>
      </c>
      <c r="DW222" s="40" t="inlineStr">
        <is>
          <t>CHOOSE RATING</t>
        </is>
      </c>
      <c r="DX222" s="40" t="inlineStr">
        <is>
          <t>CHOOSE RATING</t>
        </is>
      </c>
      <c r="DY222" s="40" t="inlineStr">
        <is>
          <t>CHOOSE RATING</t>
        </is>
      </c>
      <c r="DZ222" s="53" t="inlineStr">
        <is>
          <t>CHOOSE RATING</t>
        </is>
      </c>
      <c r="EA222" s="54" t="inlineStr">
        <is>
          <t>Add the Tutor's Comment . . .</t>
        </is>
      </c>
      <c r="EB222" s="55" t="inlineStr">
        <is>
          <t>Choose Principals comment</t>
        </is>
      </c>
      <c r="EC222" s="56" t="n"/>
      <c r="ED222" s="57" t="inlineStr">
        <is>
          <t>Next Term Begins on Monday, 22nd September, 2025</t>
        </is>
      </c>
    </row>
    <row r="223" ht="30.6" customHeight="1" s="6">
      <c r="A223" s="18" t="n">
        <v>220</v>
      </c>
      <c r="B223" s="19" t="n"/>
      <c r="C223" s="20" t="n"/>
      <c r="D223" s="128" t="n"/>
      <c r="E223" s="21" t="n"/>
      <c r="F223" s="22" t="n"/>
      <c r="G223" s="22" t="n"/>
      <c r="H223" s="22" t="n"/>
      <c r="I223" s="26">
        <f>G223-H223</f>
        <v/>
      </c>
      <c r="J223" s="21" t="n"/>
      <c r="K223" s="21" t="n"/>
      <c r="L223" s="27">
        <f>SUM(J223:K223)</f>
        <v/>
      </c>
      <c r="M223" s="28" t="n"/>
      <c r="N223" s="28" t="n"/>
      <c r="O223" s="29">
        <f>IF(AND(L223=0,M223=0,N223=0),0,IF(AND(L223=0,M223=0),N223/1,IF(AND(L223=0,N223=0),M223/1,IF(AND(M223=0,N223=0),L223/1,IF(L223=0,FLOOR((M223+N223)/2,0.1),IF(M223=0,(L223+N223)/2,IF(N223=0,(M223+L223)/2,FLOOR(((L223+M223+N223)/3),0.1))))))))</f>
        <v/>
      </c>
      <c r="P223" s="21" t="n"/>
      <c r="Q223" s="21" t="n"/>
      <c r="R223" s="27">
        <f>SUM(P223:Q223)</f>
        <v/>
      </c>
      <c r="S223" s="28" t="n"/>
      <c r="T223" s="28" t="n"/>
      <c r="U223" s="29">
        <f>IF(AND(R223=0,S223=0,T223=0),0,IF(AND(R223=0,S223=0),T223/1,IF(AND(R223=0,T223=0),S223/1,IF(AND(S223=0,T223=0),R223/1,IF(R223=0,FLOOR((S223+T223)/2,0.1),IF(S223=0,(R223+T223)/2,IF(T223=0,(S223+R223)/2,FLOOR(((R223+S223+T223)/3),0.1))))))))</f>
        <v/>
      </c>
      <c r="V223" s="21" t="n"/>
      <c r="W223" s="21" t="n"/>
      <c r="X223" s="27">
        <f>SUM(V223:W223)</f>
        <v/>
      </c>
      <c r="Y223" s="28" t="n"/>
      <c r="Z223" s="28" t="n"/>
      <c r="AA223" s="29">
        <f>IF(AND(X223=0,Y223=0,Z223=0),0,IF(AND(X223=0,Y223=0),Z223/1,IF(AND(X223=0,Z223=0),Y223/1,IF(AND(Y223=0,Z223=0),X223/1,IF(X223=0,FLOOR((Y223+Z223)/2,0.1),IF(Y223=0,(X223+Z223)/2,IF(Z223=0,(Y223+X223)/2,FLOOR(((X223+Y223+Z223)/3),0.1))))))))</f>
        <v/>
      </c>
      <c r="AB223" s="21" t="n"/>
      <c r="AC223" s="21" t="n"/>
      <c r="AD223" s="27">
        <f>SUM(AB223:AC223)</f>
        <v/>
      </c>
      <c r="AE223" s="28" t="n"/>
      <c r="AF223" s="28" t="n"/>
      <c r="AG223" s="29">
        <f>IF(AND(AD223=0,AE223=0,AF223=0),0,IF(AND(AD223=0,AE223=0),AF223/1,IF(AND(AD223=0,AF223=0),AE223/1,IF(AND(AE223=0,AF223=0),AD223/1,IF(AD223=0,FLOOR((AE223+AF223)/2,0.1),IF(AE223=0,(AD223+AF223)/2,IF(AF223=0,(AE223+AD223)/2,FLOOR(((AD223+AE223+AF223)/3),0.1))))))))</f>
        <v/>
      </c>
      <c r="AH223" s="21" t="n"/>
      <c r="AI223" s="21" t="n"/>
      <c r="AJ223" s="27">
        <f>SUM(AH223:AI223)</f>
        <v/>
      </c>
      <c r="AK223" s="28" t="n"/>
      <c r="AL223" s="28" t="n"/>
      <c r="AM223" s="29">
        <f>IF(AND(AJ223=0,AK223=0,AL223=0),0,IF(AND(AJ223=0,AK223=0),AL223/1,IF(AND(AJ223=0,AL223=0),AK223/1,IF(AND(AK223=0,AL223=0),AJ223/1,IF(AJ223=0,FLOOR((AK223+AL223)/2,0.1),IF(AK223=0,(AJ223+AL223)/2,IF(AL223=0,(AK223+AJ223)/2,FLOOR(((AJ223+AK223+AL223)/3),0.1))))))))</f>
        <v/>
      </c>
      <c r="AN223" s="21" t="n"/>
      <c r="AO223" s="21" t="n"/>
      <c r="AP223" s="27">
        <f>SUM(AN223:AO223)</f>
        <v/>
      </c>
      <c r="AQ223" s="28" t="n"/>
      <c r="AR223" s="30" t="n"/>
      <c r="AS223" s="29">
        <f>IF(AND(AP223=0,AQ223=0,AR223=0),0,IF(AND(AP223=0,AQ223=0),AR223/1,IF(AND(AP223=0,AR223=0),AQ223/1,IF(AND(AQ223=0,AR223=0),AP223/1,IF(AP223=0,FLOOR((AQ223+AR223)/2,0.1),IF(AQ223=0,(AP223+AR223)/2,IF(AR223=0,(AQ223+AP223)/2,FLOOR(((AP223+AQ223+AR223)/3),0.1))))))))</f>
        <v/>
      </c>
      <c r="AT223" s="21" t="n"/>
      <c r="AU223" s="21" t="n"/>
      <c r="AV223" s="27">
        <f>SUM(AT223:AU223)</f>
        <v/>
      </c>
      <c r="AW223" s="28" t="n"/>
      <c r="AX223" s="30" t="n"/>
      <c r="AY223" s="29">
        <f>IF(AND(AV223=0,AW223=0,AX223=0),0,IF(AND(AV223=0,AW223=0),AX223/1,IF(AND(AV223=0,AX223=0),AW223/1,IF(AND(AW223=0,AX223=0),AV223/1,IF(AV223=0,FLOOR((AW223+AX223)/2,0.1),IF(AW223=0,(AV223+AX223)/2,IF(AX223=0,(AW223+AV223)/2,FLOOR(((AV223+AW223+AX223)/3),0.1))))))))</f>
        <v/>
      </c>
      <c r="AZ223" s="21" t="n"/>
      <c r="BA223" s="21" t="n"/>
      <c r="BB223" s="27">
        <f>SUM(AZ223:BA223)</f>
        <v/>
      </c>
      <c r="BC223" s="28" t="n"/>
      <c r="BD223" s="28" t="n"/>
      <c r="BE223" s="29">
        <f>IF(AND(BB223=0,BC223=0,BD223=0),0,IF(AND(BB223=0,BC223=0),BD223/1,IF(AND(BB223=0,BD223=0),BC223/1,IF(AND(BC223=0,BD223=0),BB223/1,IF(BB223=0,FLOOR((BC223+BD223)/2,0.1),IF(BC223=0,(BB223+BD223)/2,IF(BD223=0,(BC223+BB223)/2,FLOOR(((BB223+BC223+BD223)/3),0.1))))))))</f>
        <v/>
      </c>
      <c r="BF223" s="21" t="n"/>
      <c r="BG223" s="21" t="n"/>
      <c r="BH223" s="27">
        <f>SUM(BF223:BG223)</f>
        <v/>
      </c>
      <c r="BI223" s="28" t="n"/>
      <c r="BJ223" s="28" t="n"/>
      <c r="BK223" s="29">
        <f>IF(AND(BH223=0,BI223=0,BJ223=0),0,IF(AND(BH223=0,BI223=0),BJ223/1,IF(AND(BH223=0,BJ223=0),BI223/1,IF(AND(BI223=0,BJ223=0),BH223/1,IF(BH223=0,FLOOR((BI223+BJ223)/2,0.1),IF(BI223=0,(BH223+BJ223)/2,IF(BJ223=0,(BI223+BH223)/2,FLOOR(((BH223+BI223+BJ223)/3),0.1))))))))</f>
        <v/>
      </c>
      <c r="BL223" s="21" t="n"/>
      <c r="BM223" s="21" t="n"/>
      <c r="BN223" s="27">
        <f>SUM(BL223:BM223)</f>
        <v/>
      </c>
      <c r="BO223" s="28" t="n"/>
      <c r="BP223" s="31" t="n"/>
      <c r="BQ223" s="29">
        <f>IF(AND(BN223=0,BO223=0,BP223=0),0,IF(AND(BN223=0,BO223=0),BP223/1,IF(AND(BN223=0,BP223=0),BO223/1,IF(AND(BO223=0,BP223=0),BN223/1,IF(BN223=0,FLOOR((BO223+BP223)/2,0.1),IF(BO223=0,(BN223+BP223)/2,IF(BP223=0,(BO223+BN223)/2,FLOOR(((BN223+BO223+BP223)/3),0.1))))))))</f>
        <v/>
      </c>
      <c r="BR223" s="21" t="n"/>
      <c r="BS223" s="21" t="n"/>
      <c r="BT223" s="27">
        <f>SUM(BR223:BS223)</f>
        <v/>
      </c>
      <c r="BU223" s="28" t="n"/>
      <c r="BV223" s="31" t="n"/>
      <c r="BW223" s="29">
        <f>IF(AND(BT223=0,BU223=0,BV223=0),0,IF(AND(BT223=0,BU223=0),BV223/1,IF(AND(BT223=0,BV223=0),BU223/1,IF(AND(BU223=0,BV223=0),BT223/1,IF(BT223=0,FLOOR((BU223+BV223)/2,0.1),IF(BU223=0,(BT223+BV223)/2,IF(BV223=0,(BU223+BT223)/2,FLOOR(((BT223+BU223+BV223)/3),0.1))))))))</f>
        <v/>
      </c>
      <c r="BX223" s="21" t="n"/>
      <c r="BY223" s="21" t="n"/>
      <c r="BZ223" s="27">
        <f>SUM(BX223:BY223)</f>
        <v/>
      </c>
      <c r="CA223" s="28" t="n"/>
      <c r="CB223" s="31" t="n"/>
      <c r="CC223" s="29">
        <f>IF(AND(BZ223=0,CA223=0,CB223=0),0,IF(AND(BZ223=0,CA223=0),CB223/1,IF(AND(BZ223=0,CB223=0),CA223/1,IF(AND(CA223=0,CB223=0),BZ223/1,IF(BZ223=0,FLOOR((CA223+CB223)/2,0.1),IF(CA223=0,(BZ223+CB223)/2,IF(CB223=0,(CA223+BZ223)/2,FLOOR(((BZ223+CA223+CB223)/3),0.1))))))))</f>
        <v/>
      </c>
      <c r="CD223" s="21" t="n"/>
      <c r="CE223" s="21" t="n"/>
      <c r="CF223" s="27">
        <f>SUM(CD223:CE223)</f>
        <v/>
      </c>
      <c r="CG223" s="28" t="n"/>
      <c r="CH223" s="31" t="n"/>
      <c r="CI223" s="29">
        <f>IF(AND(CF223=0,CG223=0,CH223=0),0,IF(AND(CF223=0,CG223=0),CH223/1,IF(AND(CF223=0,CH223=0),CG223/1,IF(AND(CG223=0,CH223=0),CF223/1,IF(CF223=0,FLOOR((CG223+CH223)/2,0.1),IF(CG223=0,(CF223+CH223)/2,IF(CH223=0,(CG223+CF223)/2,FLOOR(((CF223+CG223+CH223)/3),0.1))))))))</f>
        <v/>
      </c>
      <c r="CJ223" s="21" t="n"/>
      <c r="CK223" s="21" t="n"/>
      <c r="CL223" s="27">
        <f>SUM(CJ223:CK223)</f>
        <v/>
      </c>
      <c r="CM223" s="28" t="n"/>
      <c r="CN223" s="31" t="n"/>
      <c r="CO223" s="29">
        <f>IF(AND(CL223=0,CM223=0,CN223=0),0,IF(AND(CL223=0,CM223=0),CN223/1,IF(AND(CL223=0,CN223=0),CM223/1,IF(AND(CM223=0,CN223=0),CL223/1,IF(CL223=0,FLOOR((CM223+CN223)/2,0.1),IF(CM223=0,(CL223+CN223)/2,IF(CN223=0,(CM223+CL223)/2,FLOOR(((CL223+CM223+CN223)/3),0.1))))))))</f>
        <v/>
      </c>
      <c r="CP223" s="21" t="n"/>
      <c r="CQ223" s="21" t="n"/>
      <c r="CR223" s="27">
        <f>SUM(CP223:CQ223)</f>
        <v/>
      </c>
      <c r="CS223" s="28" t="n"/>
      <c r="CT223" s="31" t="n"/>
      <c r="CU223" s="29">
        <f>IF(AND(CR223=0,CS223=0,CT223=0),0,IF(AND(CR223=0,CS223=0),CT223/1,IF(AND(CR223=0,CT223=0),CS223/1,IF(AND(CS223=0,CT223=0),CR223/1,IF(CR223=0,FLOOR((CS223+CT223)/2,0.1),IF(CS223=0,(CR223+CT223)/2,IF(CT223=0,(CS223+CR223)/2,FLOOR(((CR223+CS223+CT223)/3),0.1))))))))</f>
        <v/>
      </c>
      <c r="CV223" s="21" t="n"/>
      <c r="CW223" s="21" t="n"/>
      <c r="CX223" s="27">
        <f>SUM(CV223:CW223)</f>
        <v/>
      </c>
      <c r="CY223" s="28" t="n"/>
      <c r="CZ223" s="31" t="n"/>
      <c r="DA223" s="29">
        <f>IF(AND(CX223=0,CY223=0,CZ223=0),0,IF(AND(CX223=0,CY223=0),CZ223/1,IF(AND(CX223=0,CZ223=0),CY223/1,IF(AND(CY223=0,CZ223=0),CX223/1,IF(CX223=0,FLOOR((CY223+CZ223)/2,0.1),IF(CY223=0,(CX223+CZ223)/2,IF(CZ223=0,(CY223+CX223)/2,FLOOR(((CX223+CY223+CZ223)/3),0.1))))))))</f>
        <v/>
      </c>
      <c r="DB223" s="21" t="n"/>
      <c r="DC223" s="21" t="n"/>
      <c r="DD223" s="27">
        <f>SUM(DB223:DC223)</f>
        <v/>
      </c>
      <c r="DE223" s="28" t="n"/>
      <c r="DF223" s="31" t="n"/>
      <c r="DG223" s="29">
        <f>IF(AND(DD223=0,DE223=0,DF223=0),0,IF(AND(DD223=0,DE223=0),DF223/1,IF(AND(DD223=0,DF223=0),DE223/1,IF(AND(DE223=0,DF223=0),DD223/1,IF(DD223=0,FLOOR((DE223+DF223)/2,0.1),IF(DE223=0,(DD223+DF223)/2,IF(DF223=0,(DE223+DD223)/2,FLOOR(((DD223+DE223+DF223)/3),0.1))))))))</f>
        <v/>
      </c>
      <c r="DH223" s="34">
        <f>SUM(O223,U223,AA223,AG223,AM223,AS223,AY223,BE223,BK223,BQ223,BW223,CC223,CI223,CO223,CU223,DA223,DG223)</f>
        <v/>
      </c>
      <c r="DI223" s="39">
        <f>RANK(DH223,DH$4:DH$503)</f>
        <v/>
      </c>
      <c r="DJ223" s="40" t="inlineStr">
        <is>
          <t>CHOOSE RATING</t>
        </is>
      </c>
      <c r="DK223" s="40" t="inlineStr">
        <is>
          <t>CHOOSE RATING</t>
        </is>
      </c>
      <c r="DL223" s="40" t="inlineStr">
        <is>
          <t>CHOOSE RATING</t>
        </is>
      </c>
      <c r="DM223" s="40" t="inlineStr">
        <is>
          <t>CHOOSE RATING</t>
        </is>
      </c>
      <c r="DN223" s="40" t="inlineStr">
        <is>
          <t>CHOOSE RATING</t>
        </is>
      </c>
      <c r="DO223" s="40" t="inlineStr">
        <is>
          <t>CHOOSE RATING</t>
        </is>
      </c>
      <c r="DP223" s="40" t="inlineStr">
        <is>
          <t>CHOOSE RATING</t>
        </is>
      </c>
      <c r="DQ223" s="40" t="inlineStr">
        <is>
          <t>CHOOSE RATING</t>
        </is>
      </c>
      <c r="DR223" s="43" t="inlineStr">
        <is>
          <t>2024/2025</t>
        </is>
      </c>
      <c r="DS223" s="45" t="inlineStr">
        <is>
          <t>THIRD</t>
        </is>
      </c>
      <c r="DT223" s="40" t="inlineStr">
        <is>
          <t>CHOOSE RATING</t>
        </is>
      </c>
      <c r="DU223" s="40" t="inlineStr">
        <is>
          <t>CHOOSE RATING</t>
        </is>
      </c>
      <c r="DV223" s="40" t="inlineStr">
        <is>
          <t>CHOOSE RATING</t>
        </is>
      </c>
      <c r="DW223" s="40" t="inlineStr">
        <is>
          <t>CHOOSE RATING</t>
        </is>
      </c>
      <c r="DX223" s="40" t="inlineStr">
        <is>
          <t>CHOOSE RATING</t>
        </is>
      </c>
      <c r="DY223" s="40" t="inlineStr">
        <is>
          <t>CHOOSE RATING</t>
        </is>
      </c>
      <c r="DZ223" s="53" t="inlineStr">
        <is>
          <t>CHOOSE RATING</t>
        </is>
      </c>
      <c r="EA223" s="54" t="inlineStr">
        <is>
          <t>Add the Tutor's Comment . . .</t>
        </is>
      </c>
      <c r="EB223" s="55" t="inlineStr">
        <is>
          <t>Choose Principals comment</t>
        </is>
      </c>
      <c r="EC223" s="56" t="n"/>
      <c r="ED223" s="57" t="inlineStr">
        <is>
          <t>Next Term Begins on Monday, 22nd September, 2025</t>
        </is>
      </c>
    </row>
    <row r="224" ht="30.6" customHeight="1" s="6">
      <c r="A224" s="18" t="n">
        <v>221</v>
      </c>
      <c r="B224" s="19" t="n"/>
      <c r="C224" s="20" t="n"/>
      <c r="D224" s="128" t="n"/>
      <c r="E224" s="21" t="n"/>
      <c r="F224" s="22" t="n"/>
      <c r="G224" s="22" t="n"/>
      <c r="H224" s="22" t="n"/>
      <c r="I224" s="26">
        <f>G224-H224</f>
        <v/>
      </c>
      <c r="J224" s="21" t="n"/>
      <c r="K224" s="21" t="n"/>
      <c r="L224" s="27">
        <f>SUM(J224:K224)</f>
        <v/>
      </c>
      <c r="M224" s="28" t="n"/>
      <c r="N224" s="28" t="n"/>
      <c r="O224" s="29">
        <f>IF(AND(L224=0,M224=0,N224=0),0,IF(AND(L224=0,M224=0),N224/1,IF(AND(L224=0,N224=0),M224/1,IF(AND(M224=0,N224=0),L224/1,IF(L224=0,FLOOR((M224+N224)/2,0.1),IF(M224=0,(L224+N224)/2,IF(N224=0,(M224+L224)/2,FLOOR(((L224+M224+N224)/3),0.1))))))))</f>
        <v/>
      </c>
      <c r="P224" s="21" t="n"/>
      <c r="Q224" s="21" t="n"/>
      <c r="R224" s="27">
        <f>SUM(P224:Q224)</f>
        <v/>
      </c>
      <c r="S224" s="28" t="n"/>
      <c r="T224" s="28" t="n"/>
      <c r="U224" s="29">
        <f>IF(AND(R224=0,S224=0,T224=0),0,IF(AND(R224=0,S224=0),T224/1,IF(AND(R224=0,T224=0),S224/1,IF(AND(S224=0,T224=0),R224/1,IF(R224=0,FLOOR((S224+T224)/2,0.1),IF(S224=0,(R224+T224)/2,IF(T224=0,(S224+R224)/2,FLOOR(((R224+S224+T224)/3),0.1))))))))</f>
        <v/>
      </c>
      <c r="V224" s="21" t="n"/>
      <c r="W224" s="21" t="n"/>
      <c r="X224" s="27">
        <f>SUM(V224:W224)</f>
        <v/>
      </c>
      <c r="Y224" s="28" t="n"/>
      <c r="Z224" s="28" t="n"/>
      <c r="AA224" s="29">
        <f>IF(AND(X224=0,Y224=0,Z224=0),0,IF(AND(X224=0,Y224=0),Z224/1,IF(AND(X224=0,Z224=0),Y224/1,IF(AND(Y224=0,Z224=0),X224/1,IF(X224=0,FLOOR((Y224+Z224)/2,0.1),IF(Y224=0,(X224+Z224)/2,IF(Z224=0,(Y224+X224)/2,FLOOR(((X224+Y224+Z224)/3),0.1))))))))</f>
        <v/>
      </c>
      <c r="AB224" s="21" t="n"/>
      <c r="AC224" s="21" t="n"/>
      <c r="AD224" s="27">
        <f>SUM(AB224:AC224)</f>
        <v/>
      </c>
      <c r="AE224" s="28" t="n"/>
      <c r="AF224" s="28" t="n"/>
      <c r="AG224" s="29">
        <f>IF(AND(AD224=0,AE224=0,AF224=0),0,IF(AND(AD224=0,AE224=0),AF224/1,IF(AND(AD224=0,AF224=0),AE224/1,IF(AND(AE224=0,AF224=0),AD224/1,IF(AD224=0,FLOOR((AE224+AF224)/2,0.1),IF(AE224=0,(AD224+AF224)/2,IF(AF224=0,(AE224+AD224)/2,FLOOR(((AD224+AE224+AF224)/3),0.1))))))))</f>
        <v/>
      </c>
      <c r="AH224" s="21" t="n"/>
      <c r="AI224" s="21" t="n"/>
      <c r="AJ224" s="27">
        <f>SUM(AH224:AI224)</f>
        <v/>
      </c>
      <c r="AK224" s="28" t="n"/>
      <c r="AL224" s="28" t="n"/>
      <c r="AM224" s="29">
        <f>IF(AND(AJ224=0,AK224=0,AL224=0),0,IF(AND(AJ224=0,AK224=0),AL224/1,IF(AND(AJ224=0,AL224=0),AK224/1,IF(AND(AK224=0,AL224=0),AJ224/1,IF(AJ224=0,FLOOR((AK224+AL224)/2,0.1),IF(AK224=0,(AJ224+AL224)/2,IF(AL224=0,(AK224+AJ224)/2,FLOOR(((AJ224+AK224+AL224)/3),0.1))))))))</f>
        <v/>
      </c>
      <c r="AN224" s="21" t="n"/>
      <c r="AO224" s="21" t="n"/>
      <c r="AP224" s="27">
        <f>SUM(AN224:AO224)</f>
        <v/>
      </c>
      <c r="AQ224" s="28" t="n"/>
      <c r="AR224" s="30" t="n"/>
      <c r="AS224" s="29">
        <f>IF(AND(AP224=0,AQ224=0,AR224=0),0,IF(AND(AP224=0,AQ224=0),AR224/1,IF(AND(AP224=0,AR224=0),AQ224/1,IF(AND(AQ224=0,AR224=0),AP224/1,IF(AP224=0,FLOOR((AQ224+AR224)/2,0.1),IF(AQ224=0,(AP224+AR224)/2,IF(AR224=0,(AQ224+AP224)/2,FLOOR(((AP224+AQ224+AR224)/3),0.1))))))))</f>
        <v/>
      </c>
      <c r="AT224" s="21" t="n"/>
      <c r="AU224" s="21" t="n"/>
      <c r="AV224" s="27">
        <f>SUM(AT224:AU224)</f>
        <v/>
      </c>
      <c r="AW224" s="28" t="n"/>
      <c r="AX224" s="30" t="n"/>
      <c r="AY224" s="29">
        <f>IF(AND(AV224=0,AW224=0,AX224=0),0,IF(AND(AV224=0,AW224=0),AX224/1,IF(AND(AV224=0,AX224=0),AW224/1,IF(AND(AW224=0,AX224=0),AV224/1,IF(AV224=0,FLOOR((AW224+AX224)/2,0.1),IF(AW224=0,(AV224+AX224)/2,IF(AX224=0,(AW224+AV224)/2,FLOOR(((AV224+AW224+AX224)/3),0.1))))))))</f>
        <v/>
      </c>
      <c r="AZ224" s="21" t="n"/>
      <c r="BA224" s="21" t="n"/>
      <c r="BB224" s="27">
        <f>SUM(AZ224:BA224)</f>
        <v/>
      </c>
      <c r="BC224" s="28" t="n"/>
      <c r="BD224" s="28" t="n"/>
      <c r="BE224" s="29">
        <f>IF(AND(BB224=0,BC224=0,BD224=0),0,IF(AND(BB224=0,BC224=0),BD224/1,IF(AND(BB224=0,BD224=0),BC224/1,IF(AND(BC224=0,BD224=0),BB224/1,IF(BB224=0,FLOOR((BC224+BD224)/2,0.1),IF(BC224=0,(BB224+BD224)/2,IF(BD224=0,(BC224+BB224)/2,FLOOR(((BB224+BC224+BD224)/3),0.1))))))))</f>
        <v/>
      </c>
      <c r="BF224" s="21" t="n"/>
      <c r="BG224" s="21" t="n"/>
      <c r="BH224" s="27">
        <f>SUM(BF224:BG224)</f>
        <v/>
      </c>
      <c r="BI224" s="28" t="n"/>
      <c r="BJ224" s="28" t="n"/>
      <c r="BK224" s="29">
        <f>IF(AND(BH224=0,BI224=0,BJ224=0),0,IF(AND(BH224=0,BI224=0),BJ224/1,IF(AND(BH224=0,BJ224=0),BI224/1,IF(AND(BI224=0,BJ224=0),BH224/1,IF(BH224=0,FLOOR((BI224+BJ224)/2,0.1),IF(BI224=0,(BH224+BJ224)/2,IF(BJ224=0,(BI224+BH224)/2,FLOOR(((BH224+BI224+BJ224)/3),0.1))))))))</f>
        <v/>
      </c>
      <c r="BL224" s="21" t="n"/>
      <c r="BM224" s="21" t="n"/>
      <c r="BN224" s="27">
        <f>SUM(BL224:BM224)</f>
        <v/>
      </c>
      <c r="BO224" s="28" t="n"/>
      <c r="BP224" s="31" t="n"/>
      <c r="BQ224" s="29">
        <f>IF(AND(BN224=0,BO224=0,BP224=0),0,IF(AND(BN224=0,BO224=0),BP224/1,IF(AND(BN224=0,BP224=0),BO224/1,IF(AND(BO224=0,BP224=0),BN224/1,IF(BN224=0,FLOOR((BO224+BP224)/2,0.1),IF(BO224=0,(BN224+BP224)/2,IF(BP224=0,(BO224+BN224)/2,FLOOR(((BN224+BO224+BP224)/3),0.1))))))))</f>
        <v/>
      </c>
      <c r="BR224" s="21" t="n"/>
      <c r="BS224" s="21" t="n"/>
      <c r="BT224" s="27">
        <f>SUM(BR224:BS224)</f>
        <v/>
      </c>
      <c r="BU224" s="28" t="n"/>
      <c r="BV224" s="31" t="n"/>
      <c r="BW224" s="29">
        <f>IF(AND(BT224=0,BU224=0,BV224=0),0,IF(AND(BT224=0,BU224=0),BV224/1,IF(AND(BT224=0,BV224=0),BU224/1,IF(AND(BU224=0,BV224=0),BT224/1,IF(BT224=0,FLOOR((BU224+BV224)/2,0.1),IF(BU224=0,(BT224+BV224)/2,IF(BV224=0,(BU224+BT224)/2,FLOOR(((BT224+BU224+BV224)/3),0.1))))))))</f>
        <v/>
      </c>
      <c r="BX224" s="21" t="n"/>
      <c r="BY224" s="21" t="n"/>
      <c r="BZ224" s="27">
        <f>SUM(BX224:BY224)</f>
        <v/>
      </c>
      <c r="CA224" s="28" t="n"/>
      <c r="CB224" s="31" t="n"/>
      <c r="CC224" s="29">
        <f>IF(AND(BZ224=0,CA224=0,CB224=0),0,IF(AND(BZ224=0,CA224=0),CB224/1,IF(AND(BZ224=0,CB224=0),CA224/1,IF(AND(CA224=0,CB224=0),BZ224/1,IF(BZ224=0,FLOOR((CA224+CB224)/2,0.1),IF(CA224=0,(BZ224+CB224)/2,IF(CB224=0,(CA224+BZ224)/2,FLOOR(((BZ224+CA224+CB224)/3),0.1))))))))</f>
        <v/>
      </c>
      <c r="CD224" s="21" t="n"/>
      <c r="CE224" s="21" t="n"/>
      <c r="CF224" s="27">
        <f>SUM(CD224:CE224)</f>
        <v/>
      </c>
      <c r="CG224" s="28" t="n"/>
      <c r="CH224" s="31" t="n"/>
      <c r="CI224" s="29">
        <f>IF(AND(CF224=0,CG224=0,CH224=0),0,IF(AND(CF224=0,CG224=0),CH224/1,IF(AND(CF224=0,CH224=0),CG224/1,IF(AND(CG224=0,CH224=0),CF224/1,IF(CF224=0,FLOOR((CG224+CH224)/2,0.1),IF(CG224=0,(CF224+CH224)/2,IF(CH224=0,(CG224+CF224)/2,FLOOR(((CF224+CG224+CH224)/3),0.1))))))))</f>
        <v/>
      </c>
      <c r="CJ224" s="21" t="n"/>
      <c r="CK224" s="21" t="n"/>
      <c r="CL224" s="27">
        <f>SUM(CJ224:CK224)</f>
        <v/>
      </c>
      <c r="CM224" s="28" t="n"/>
      <c r="CN224" s="31" t="n"/>
      <c r="CO224" s="29">
        <f>IF(AND(CL224=0,CM224=0,CN224=0),0,IF(AND(CL224=0,CM224=0),CN224/1,IF(AND(CL224=0,CN224=0),CM224/1,IF(AND(CM224=0,CN224=0),CL224/1,IF(CL224=0,FLOOR((CM224+CN224)/2,0.1),IF(CM224=0,(CL224+CN224)/2,IF(CN224=0,(CM224+CL224)/2,FLOOR(((CL224+CM224+CN224)/3),0.1))))))))</f>
        <v/>
      </c>
      <c r="CP224" s="21" t="n"/>
      <c r="CQ224" s="21" t="n"/>
      <c r="CR224" s="27">
        <f>SUM(CP224:CQ224)</f>
        <v/>
      </c>
      <c r="CS224" s="28" t="n"/>
      <c r="CT224" s="31" t="n"/>
      <c r="CU224" s="29">
        <f>IF(AND(CR224=0,CS224=0,CT224=0),0,IF(AND(CR224=0,CS224=0),CT224/1,IF(AND(CR224=0,CT224=0),CS224/1,IF(AND(CS224=0,CT224=0),CR224/1,IF(CR224=0,FLOOR((CS224+CT224)/2,0.1),IF(CS224=0,(CR224+CT224)/2,IF(CT224=0,(CS224+CR224)/2,FLOOR(((CR224+CS224+CT224)/3),0.1))))))))</f>
        <v/>
      </c>
      <c r="CV224" s="21" t="n"/>
      <c r="CW224" s="21" t="n"/>
      <c r="CX224" s="27">
        <f>SUM(CV224:CW224)</f>
        <v/>
      </c>
      <c r="CY224" s="28" t="n"/>
      <c r="CZ224" s="31" t="n"/>
      <c r="DA224" s="29">
        <f>IF(AND(CX224=0,CY224=0,CZ224=0),0,IF(AND(CX224=0,CY224=0),CZ224/1,IF(AND(CX224=0,CZ224=0),CY224/1,IF(AND(CY224=0,CZ224=0),CX224/1,IF(CX224=0,FLOOR((CY224+CZ224)/2,0.1),IF(CY224=0,(CX224+CZ224)/2,IF(CZ224=0,(CY224+CX224)/2,FLOOR(((CX224+CY224+CZ224)/3),0.1))))))))</f>
        <v/>
      </c>
      <c r="DB224" s="21" t="n"/>
      <c r="DC224" s="21" t="n"/>
      <c r="DD224" s="27">
        <f>SUM(DB224:DC224)</f>
        <v/>
      </c>
      <c r="DE224" s="28" t="n"/>
      <c r="DF224" s="31" t="n"/>
      <c r="DG224" s="29">
        <f>IF(AND(DD224=0,DE224=0,DF224=0),0,IF(AND(DD224=0,DE224=0),DF224/1,IF(AND(DD224=0,DF224=0),DE224/1,IF(AND(DE224=0,DF224=0),DD224/1,IF(DD224=0,FLOOR((DE224+DF224)/2,0.1),IF(DE224=0,(DD224+DF224)/2,IF(DF224=0,(DE224+DD224)/2,FLOOR(((DD224+DE224+DF224)/3),0.1))))))))</f>
        <v/>
      </c>
      <c r="DH224" s="34">
        <f>SUM(O224,U224,AA224,AG224,AM224,AS224,AY224,BE224,BK224,BQ224,BW224,CC224,CI224,CO224,CU224,DA224,DG224)</f>
        <v/>
      </c>
      <c r="DI224" s="39">
        <f>RANK(DH224,DH$4:DH$503)</f>
        <v/>
      </c>
      <c r="DJ224" s="40" t="inlineStr">
        <is>
          <t>CHOOSE RATING</t>
        </is>
      </c>
      <c r="DK224" s="40" t="inlineStr">
        <is>
          <t>CHOOSE RATING</t>
        </is>
      </c>
      <c r="DL224" s="40" t="inlineStr">
        <is>
          <t>CHOOSE RATING</t>
        </is>
      </c>
      <c r="DM224" s="40" t="inlineStr">
        <is>
          <t>CHOOSE RATING</t>
        </is>
      </c>
      <c r="DN224" s="40" t="inlineStr">
        <is>
          <t>CHOOSE RATING</t>
        </is>
      </c>
      <c r="DO224" s="40" t="inlineStr">
        <is>
          <t>CHOOSE RATING</t>
        </is>
      </c>
      <c r="DP224" s="40" t="inlineStr">
        <is>
          <t>CHOOSE RATING</t>
        </is>
      </c>
      <c r="DQ224" s="40" t="inlineStr">
        <is>
          <t>CHOOSE RATING</t>
        </is>
      </c>
      <c r="DR224" s="43" t="inlineStr">
        <is>
          <t>2024/2025</t>
        </is>
      </c>
      <c r="DS224" s="45" t="inlineStr">
        <is>
          <t>THIRD</t>
        </is>
      </c>
      <c r="DT224" s="40" t="inlineStr">
        <is>
          <t>CHOOSE RATING</t>
        </is>
      </c>
      <c r="DU224" s="40" t="inlineStr">
        <is>
          <t>CHOOSE RATING</t>
        </is>
      </c>
      <c r="DV224" s="40" t="inlineStr">
        <is>
          <t>CHOOSE RATING</t>
        </is>
      </c>
      <c r="DW224" s="40" t="inlineStr">
        <is>
          <t>CHOOSE RATING</t>
        </is>
      </c>
      <c r="DX224" s="40" t="inlineStr">
        <is>
          <t>CHOOSE RATING</t>
        </is>
      </c>
      <c r="DY224" s="40" t="inlineStr">
        <is>
          <t>CHOOSE RATING</t>
        </is>
      </c>
      <c r="DZ224" s="53" t="inlineStr">
        <is>
          <t>CHOOSE RATING</t>
        </is>
      </c>
      <c r="EA224" s="54" t="inlineStr">
        <is>
          <t>Add the Tutor's Comment . . .</t>
        </is>
      </c>
      <c r="EB224" s="55" t="inlineStr">
        <is>
          <t>Choose Principals comment</t>
        </is>
      </c>
      <c r="EC224" s="56" t="n"/>
      <c r="ED224" s="57" t="inlineStr">
        <is>
          <t>Next Term Begins on Monday, 22nd September, 2025</t>
        </is>
      </c>
    </row>
    <row r="225" ht="30.6" customHeight="1" s="6">
      <c r="A225" s="18" t="n">
        <v>222</v>
      </c>
      <c r="B225" s="19" t="n"/>
      <c r="C225" s="20" t="n"/>
      <c r="D225" s="128" t="n"/>
      <c r="E225" s="21" t="n"/>
      <c r="F225" s="22" t="n"/>
      <c r="G225" s="22" t="n"/>
      <c r="H225" s="22" t="n"/>
      <c r="I225" s="26">
        <f>G225-H225</f>
        <v/>
      </c>
      <c r="J225" s="21" t="n"/>
      <c r="K225" s="21" t="n"/>
      <c r="L225" s="27">
        <f>SUM(J225:K225)</f>
        <v/>
      </c>
      <c r="M225" s="28" t="n"/>
      <c r="N225" s="28" t="n"/>
      <c r="O225" s="29">
        <f>IF(AND(L225=0,M225=0,N225=0),0,IF(AND(L225=0,M225=0),N225/1,IF(AND(L225=0,N225=0),M225/1,IF(AND(M225=0,N225=0),L225/1,IF(L225=0,FLOOR((M225+N225)/2,0.1),IF(M225=0,(L225+N225)/2,IF(N225=0,(M225+L225)/2,FLOOR(((L225+M225+N225)/3),0.1))))))))</f>
        <v/>
      </c>
      <c r="P225" s="21" t="n"/>
      <c r="Q225" s="21" t="n"/>
      <c r="R225" s="27">
        <f>SUM(P225:Q225)</f>
        <v/>
      </c>
      <c r="S225" s="28" t="n"/>
      <c r="T225" s="28" t="n"/>
      <c r="U225" s="29">
        <f>IF(AND(R225=0,S225=0,T225=0),0,IF(AND(R225=0,S225=0),T225/1,IF(AND(R225=0,T225=0),S225/1,IF(AND(S225=0,T225=0),R225/1,IF(R225=0,FLOOR((S225+T225)/2,0.1),IF(S225=0,(R225+T225)/2,IF(T225=0,(S225+R225)/2,FLOOR(((R225+S225+T225)/3),0.1))))))))</f>
        <v/>
      </c>
      <c r="V225" s="21" t="n"/>
      <c r="W225" s="21" t="n"/>
      <c r="X225" s="27">
        <f>SUM(V225:W225)</f>
        <v/>
      </c>
      <c r="Y225" s="28" t="n"/>
      <c r="Z225" s="28" t="n"/>
      <c r="AA225" s="29">
        <f>IF(AND(X225=0,Y225=0,Z225=0),0,IF(AND(X225=0,Y225=0),Z225/1,IF(AND(X225=0,Z225=0),Y225/1,IF(AND(Y225=0,Z225=0),X225/1,IF(X225=0,FLOOR((Y225+Z225)/2,0.1),IF(Y225=0,(X225+Z225)/2,IF(Z225=0,(Y225+X225)/2,FLOOR(((X225+Y225+Z225)/3),0.1))))))))</f>
        <v/>
      </c>
      <c r="AB225" s="21" t="n"/>
      <c r="AC225" s="21" t="n"/>
      <c r="AD225" s="27">
        <f>SUM(AB225:AC225)</f>
        <v/>
      </c>
      <c r="AE225" s="28" t="n"/>
      <c r="AF225" s="28" t="n"/>
      <c r="AG225" s="29">
        <f>IF(AND(AD225=0,AE225=0,AF225=0),0,IF(AND(AD225=0,AE225=0),AF225/1,IF(AND(AD225=0,AF225=0),AE225/1,IF(AND(AE225=0,AF225=0),AD225/1,IF(AD225=0,FLOOR((AE225+AF225)/2,0.1),IF(AE225=0,(AD225+AF225)/2,IF(AF225=0,(AE225+AD225)/2,FLOOR(((AD225+AE225+AF225)/3),0.1))))))))</f>
        <v/>
      </c>
      <c r="AH225" s="21" t="n"/>
      <c r="AI225" s="21" t="n"/>
      <c r="AJ225" s="27">
        <f>SUM(AH225:AI225)</f>
        <v/>
      </c>
      <c r="AK225" s="28" t="n"/>
      <c r="AL225" s="28" t="n"/>
      <c r="AM225" s="29">
        <f>IF(AND(AJ225=0,AK225=0,AL225=0),0,IF(AND(AJ225=0,AK225=0),AL225/1,IF(AND(AJ225=0,AL225=0),AK225/1,IF(AND(AK225=0,AL225=0),AJ225/1,IF(AJ225=0,FLOOR((AK225+AL225)/2,0.1),IF(AK225=0,(AJ225+AL225)/2,IF(AL225=0,(AK225+AJ225)/2,FLOOR(((AJ225+AK225+AL225)/3),0.1))))))))</f>
        <v/>
      </c>
      <c r="AN225" s="21" t="n"/>
      <c r="AO225" s="21" t="n"/>
      <c r="AP225" s="27">
        <f>SUM(AN225:AO225)</f>
        <v/>
      </c>
      <c r="AQ225" s="28" t="n"/>
      <c r="AR225" s="30" t="n"/>
      <c r="AS225" s="29">
        <f>IF(AND(AP225=0,AQ225=0,AR225=0),0,IF(AND(AP225=0,AQ225=0),AR225/1,IF(AND(AP225=0,AR225=0),AQ225/1,IF(AND(AQ225=0,AR225=0),AP225/1,IF(AP225=0,FLOOR((AQ225+AR225)/2,0.1),IF(AQ225=0,(AP225+AR225)/2,IF(AR225=0,(AQ225+AP225)/2,FLOOR(((AP225+AQ225+AR225)/3),0.1))))))))</f>
        <v/>
      </c>
      <c r="AT225" s="21" t="n"/>
      <c r="AU225" s="21" t="n"/>
      <c r="AV225" s="27">
        <f>SUM(AT225:AU225)</f>
        <v/>
      </c>
      <c r="AW225" s="28" t="n"/>
      <c r="AX225" s="30" t="n"/>
      <c r="AY225" s="29">
        <f>IF(AND(AV225=0,AW225=0,AX225=0),0,IF(AND(AV225=0,AW225=0),AX225/1,IF(AND(AV225=0,AX225=0),AW225/1,IF(AND(AW225=0,AX225=0),AV225/1,IF(AV225=0,FLOOR((AW225+AX225)/2,0.1),IF(AW225=0,(AV225+AX225)/2,IF(AX225=0,(AW225+AV225)/2,FLOOR(((AV225+AW225+AX225)/3),0.1))))))))</f>
        <v/>
      </c>
      <c r="AZ225" s="21" t="n"/>
      <c r="BA225" s="21" t="n"/>
      <c r="BB225" s="27">
        <f>SUM(AZ225:BA225)</f>
        <v/>
      </c>
      <c r="BC225" s="28" t="n"/>
      <c r="BD225" s="28" t="n"/>
      <c r="BE225" s="29">
        <f>IF(AND(BB225=0,BC225=0,BD225=0),0,IF(AND(BB225=0,BC225=0),BD225/1,IF(AND(BB225=0,BD225=0),BC225/1,IF(AND(BC225=0,BD225=0),BB225/1,IF(BB225=0,FLOOR((BC225+BD225)/2,0.1),IF(BC225=0,(BB225+BD225)/2,IF(BD225=0,(BC225+BB225)/2,FLOOR(((BB225+BC225+BD225)/3),0.1))))))))</f>
        <v/>
      </c>
      <c r="BF225" s="21" t="n"/>
      <c r="BG225" s="21" t="n"/>
      <c r="BH225" s="27">
        <f>SUM(BF225:BG225)</f>
        <v/>
      </c>
      <c r="BI225" s="28" t="n"/>
      <c r="BJ225" s="28" t="n"/>
      <c r="BK225" s="29">
        <f>IF(AND(BH225=0,BI225=0,BJ225=0),0,IF(AND(BH225=0,BI225=0),BJ225/1,IF(AND(BH225=0,BJ225=0),BI225/1,IF(AND(BI225=0,BJ225=0),BH225/1,IF(BH225=0,FLOOR((BI225+BJ225)/2,0.1),IF(BI225=0,(BH225+BJ225)/2,IF(BJ225=0,(BI225+BH225)/2,FLOOR(((BH225+BI225+BJ225)/3),0.1))))))))</f>
        <v/>
      </c>
      <c r="BL225" s="21" t="n"/>
      <c r="BM225" s="21" t="n"/>
      <c r="BN225" s="27">
        <f>SUM(BL225:BM225)</f>
        <v/>
      </c>
      <c r="BO225" s="28" t="n"/>
      <c r="BP225" s="31" t="n"/>
      <c r="BQ225" s="29">
        <f>IF(AND(BN225=0,BO225=0,BP225=0),0,IF(AND(BN225=0,BO225=0),BP225/1,IF(AND(BN225=0,BP225=0),BO225/1,IF(AND(BO225=0,BP225=0),BN225/1,IF(BN225=0,FLOOR((BO225+BP225)/2,0.1),IF(BO225=0,(BN225+BP225)/2,IF(BP225=0,(BO225+BN225)/2,FLOOR(((BN225+BO225+BP225)/3),0.1))))))))</f>
        <v/>
      </c>
      <c r="BR225" s="21" t="n"/>
      <c r="BS225" s="21" t="n"/>
      <c r="BT225" s="27">
        <f>SUM(BR225:BS225)</f>
        <v/>
      </c>
      <c r="BU225" s="28" t="n"/>
      <c r="BV225" s="31" t="n"/>
      <c r="BW225" s="29">
        <f>IF(AND(BT225=0,BU225=0,BV225=0),0,IF(AND(BT225=0,BU225=0),BV225/1,IF(AND(BT225=0,BV225=0),BU225/1,IF(AND(BU225=0,BV225=0),BT225/1,IF(BT225=0,FLOOR((BU225+BV225)/2,0.1),IF(BU225=0,(BT225+BV225)/2,IF(BV225=0,(BU225+BT225)/2,FLOOR(((BT225+BU225+BV225)/3),0.1))))))))</f>
        <v/>
      </c>
      <c r="BX225" s="21" t="n"/>
      <c r="BY225" s="21" t="n"/>
      <c r="BZ225" s="27">
        <f>SUM(BX225:BY225)</f>
        <v/>
      </c>
      <c r="CA225" s="28" t="n"/>
      <c r="CB225" s="31" t="n"/>
      <c r="CC225" s="29">
        <f>IF(AND(BZ225=0,CA225=0,CB225=0),0,IF(AND(BZ225=0,CA225=0),CB225/1,IF(AND(BZ225=0,CB225=0),CA225/1,IF(AND(CA225=0,CB225=0),BZ225/1,IF(BZ225=0,FLOOR((CA225+CB225)/2,0.1),IF(CA225=0,(BZ225+CB225)/2,IF(CB225=0,(CA225+BZ225)/2,FLOOR(((BZ225+CA225+CB225)/3),0.1))))))))</f>
        <v/>
      </c>
      <c r="CD225" s="21" t="n"/>
      <c r="CE225" s="21" t="n"/>
      <c r="CF225" s="27">
        <f>SUM(CD225:CE225)</f>
        <v/>
      </c>
      <c r="CG225" s="28" t="n"/>
      <c r="CH225" s="31" t="n"/>
      <c r="CI225" s="29">
        <f>IF(AND(CF225=0,CG225=0,CH225=0),0,IF(AND(CF225=0,CG225=0),CH225/1,IF(AND(CF225=0,CH225=0),CG225/1,IF(AND(CG225=0,CH225=0),CF225/1,IF(CF225=0,FLOOR((CG225+CH225)/2,0.1),IF(CG225=0,(CF225+CH225)/2,IF(CH225=0,(CG225+CF225)/2,FLOOR(((CF225+CG225+CH225)/3),0.1))))))))</f>
        <v/>
      </c>
      <c r="CJ225" s="21" t="n"/>
      <c r="CK225" s="21" t="n"/>
      <c r="CL225" s="27">
        <f>SUM(CJ225:CK225)</f>
        <v/>
      </c>
      <c r="CM225" s="28" t="n"/>
      <c r="CN225" s="31" t="n"/>
      <c r="CO225" s="29">
        <f>IF(AND(CL225=0,CM225=0,CN225=0),0,IF(AND(CL225=0,CM225=0),CN225/1,IF(AND(CL225=0,CN225=0),CM225/1,IF(AND(CM225=0,CN225=0),CL225/1,IF(CL225=0,FLOOR((CM225+CN225)/2,0.1),IF(CM225=0,(CL225+CN225)/2,IF(CN225=0,(CM225+CL225)/2,FLOOR(((CL225+CM225+CN225)/3),0.1))))))))</f>
        <v/>
      </c>
      <c r="CP225" s="21" t="n"/>
      <c r="CQ225" s="21" t="n"/>
      <c r="CR225" s="27">
        <f>SUM(CP225:CQ225)</f>
        <v/>
      </c>
      <c r="CS225" s="28" t="n"/>
      <c r="CT225" s="31" t="n"/>
      <c r="CU225" s="29">
        <f>IF(AND(CR225=0,CS225=0,CT225=0),0,IF(AND(CR225=0,CS225=0),CT225/1,IF(AND(CR225=0,CT225=0),CS225/1,IF(AND(CS225=0,CT225=0),CR225/1,IF(CR225=0,FLOOR((CS225+CT225)/2,0.1),IF(CS225=0,(CR225+CT225)/2,IF(CT225=0,(CS225+CR225)/2,FLOOR(((CR225+CS225+CT225)/3),0.1))))))))</f>
        <v/>
      </c>
      <c r="CV225" s="21" t="n"/>
      <c r="CW225" s="21" t="n"/>
      <c r="CX225" s="27">
        <f>SUM(CV225:CW225)</f>
        <v/>
      </c>
      <c r="CY225" s="28" t="n"/>
      <c r="CZ225" s="31" t="n"/>
      <c r="DA225" s="29">
        <f>IF(AND(CX225=0,CY225=0,CZ225=0),0,IF(AND(CX225=0,CY225=0),CZ225/1,IF(AND(CX225=0,CZ225=0),CY225/1,IF(AND(CY225=0,CZ225=0),CX225/1,IF(CX225=0,FLOOR((CY225+CZ225)/2,0.1),IF(CY225=0,(CX225+CZ225)/2,IF(CZ225=0,(CY225+CX225)/2,FLOOR(((CX225+CY225+CZ225)/3),0.1))))))))</f>
        <v/>
      </c>
      <c r="DB225" s="21" t="n"/>
      <c r="DC225" s="21" t="n"/>
      <c r="DD225" s="27">
        <f>SUM(DB225:DC225)</f>
        <v/>
      </c>
      <c r="DE225" s="28" t="n"/>
      <c r="DF225" s="31" t="n"/>
      <c r="DG225" s="29">
        <f>IF(AND(DD225=0,DE225=0,DF225=0),0,IF(AND(DD225=0,DE225=0),DF225/1,IF(AND(DD225=0,DF225=0),DE225/1,IF(AND(DE225=0,DF225=0),DD225/1,IF(DD225=0,FLOOR((DE225+DF225)/2,0.1),IF(DE225=0,(DD225+DF225)/2,IF(DF225=0,(DE225+DD225)/2,FLOOR(((DD225+DE225+DF225)/3),0.1))))))))</f>
        <v/>
      </c>
      <c r="DH225" s="34">
        <f>SUM(O225,U225,AA225,AG225,AM225,AS225,AY225,BE225,BK225,BQ225,BW225,CC225,CI225,CO225,CU225,DA225,DG225)</f>
        <v/>
      </c>
      <c r="DI225" s="39">
        <f>RANK(DH225,DH$4:DH$503)</f>
        <v/>
      </c>
      <c r="DJ225" s="40" t="inlineStr">
        <is>
          <t>CHOOSE RATING</t>
        </is>
      </c>
      <c r="DK225" s="40" t="inlineStr">
        <is>
          <t>CHOOSE RATING</t>
        </is>
      </c>
      <c r="DL225" s="40" t="inlineStr">
        <is>
          <t>CHOOSE RATING</t>
        </is>
      </c>
      <c r="DM225" s="40" t="inlineStr">
        <is>
          <t>CHOOSE RATING</t>
        </is>
      </c>
      <c r="DN225" s="40" t="inlineStr">
        <is>
          <t>CHOOSE RATING</t>
        </is>
      </c>
      <c r="DO225" s="40" t="inlineStr">
        <is>
          <t>CHOOSE RATING</t>
        </is>
      </c>
      <c r="DP225" s="40" t="inlineStr">
        <is>
          <t>CHOOSE RATING</t>
        </is>
      </c>
      <c r="DQ225" s="40" t="inlineStr">
        <is>
          <t>CHOOSE RATING</t>
        </is>
      </c>
      <c r="DR225" s="43" t="inlineStr">
        <is>
          <t>2024/2025</t>
        </is>
      </c>
      <c r="DS225" s="45" t="inlineStr">
        <is>
          <t>THIRD</t>
        </is>
      </c>
      <c r="DT225" s="40" t="inlineStr">
        <is>
          <t>CHOOSE RATING</t>
        </is>
      </c>
      <c r="DU225" s="40" t="inlineStr">
        <is>
          <t>CHOOSE RATING</t>
        </is>
      </c>
      <c r="DV225" s="40" t="inlineStr">
        <is>
          <t>CHOOSE RATING</t>
        </is>
      </c>
      <c r="DW225" s="40" t="inlineStr">
        <is>
          <t>CHOOSE RATING</t>
        </is>
      </c>
      <c r="DX225" s="40" t="inlineStr">
        <is>
          <t>CHOOSE RATING</t>
        </is>
      </c>
      <c r="DY225" s="40" t="inlineStr">
        <is>
          <t>CHOOSE RATING</t>
        </is>
      </c>
      <c r="DZ225" s="53" t="inlineStr">
        <is>
          <t>CHOOSE RATING</t>
        </is>
      </c>
      <c r="EA225" s="54" t="inlineStr">
        <is>
          <t>Add the Tutor's Comment . . .</t>
        </is>
      </c>
      <c r="EB225" s="55" t="inlineStr">
        <is>
          <t>Choose Principals comment</t>
        </is>
      </c>
      <c r="EC225" s="56" t="n"/>
      <c r="ED225" s="57" t="inlineStr">
        <is>
          <t>Next Term Begins on Monday, 22nd September, 2025</t>
        </is>
      </c>
    </row>
    <row r="226" ht="30.6" customHeight="1" s="6">
      <c r="A226" s="18" t="n">
        <v>223</v>
      </c>
      <c r="B226" s="19" t="n"/>
      <c r="C226" s="20" t="n"/>
      <c r="D226" s="128" t="n"/>
      <c r="E226" s="21" t="n"/>
      <c r="F226" s="22" t="n"/>
      <c r="G226" s="22" t="n"/>
      <c r="H226" s="22" t="n"/>
      <c r="I226" s="26">
        <f>G226-H226</f>
        <v/>
      </c>
      <c r="J226" s="21" t="n"/>
      <c r="K226" s="21" t="n"/>
      <c r="L226" s="27">
        <f>SUM(J226:K226)</f>
        <v/>
      </c>
      <c r="M226" s="28" t="n"/>
      <c r="N226" s="28" t="n"/>
      <c r="O226" s="29">
        <f>IF(AND(L226=0,M226=0,N226=0),0,IF(AND(L226=0,M226=0),N226/1,IF(AND(L226=0,N226=0),M226/1,IF(AND(M226=0,N226=0),L226/1,IF(L226=0,FLOOR((M226+N226)/2,0.1),IF(M226=0,(L226+N226)/2,IF(N226=0,(M226+L226)/2,FLOOR(((L226+M226+N226)/3),0.1))))))))</f>
        <v/>
      </c>
      <c r="P226" s="21" t="n"/>
      <c r="Q226" s="21" t="n"/>
      <c r="R226" s="27">
        <f>SUM(P226:Q226)</f>
        <v/>
      </c>
      <c r="S226" s="28" t="n"/>
      <c r="T226" s="28" t="n"/>
      <c r="U226" s="29">
        <f>IF(AND(R226=0,S226=0,T226=0),0,IF(AND(R226=0,S226=0),T226/1,IF(AND(R226=0,T226=0),S226/1,IF(AND(S226=0,T226=0),R226/1,IF(R226=0,FLOOR((S226+T226)/2,0.1),IF(S226=0,(R226+T226)/2,IF(T226=0,(S226+R226)/2,FLOOR(((R226+S226+T226)/3),0.1))))))))</f>
        <v/>
      </c>
      <c r="V226" s="21" t="n"/>
      <c r="W226" s="21" t="n"/>
      <c r="X226" s="27">
        <f>SUM(V226:W226)</f>
        <v/>
      </c>
      <c r="Y226" s="28" t="n"/>
      <c r="Z226" s="28" t="n"/>
      <c r="AA226" s="29">
        <f>IF(AND(X226=0,Y226=0,Z226=0),0,IF(AND(X226=0,Y226=0),Z226/1,IF(AND(X226=0,Z226=0),Y226/1,IF(AND(Y226=0,Z226=0),X226/1,IF(X226=0,FLOOR((Y226+Z226)/2,0.1),IF(Y226=0,(X226+Z226)/2,IF(Z226=0,(Y226+X226)/2,FLOOR(((X226+Y226+Z226)/3),0.1))))))))</f>
        <v/>
      </c>
      <c r="AB226" s="21" t="n"/>
      <c r="AC226" s="21" t="n"/>
      <c r="AD226" s="27">
        <f>SUM(AB226:AC226)</f>
        <v/>
      </c>
      <c r="AE226" s="28" t="n"/>
      <c r="AF226" s="28" t="n"/>
      <c r="AG226" s="29">
        <f>IF(AND(AD226=0,AE226=0,AF226=0),0,IF(AND(AD226=0,AE226=0),AF226/1,IF(AND(AD226=0,AF226=0),AE226/1,IF(AND(AE226=0,AF226=0),AD226/1,IF(AD226=0,FLOOR((AE226+AF226)/2,0.1),IF(AE226=0,(AD226+AF226)/2,IF(AF226=0,(AE226+AD226)/2,FLOOR(((AD226+AE226+AF226)/3),0.1))))))))</f>
        <v/>
      </c>
      <c r="AH226" s="21" t="n"/>
      <c r="AI226" s="21" t="n"/>
      <c r="AJ226" s="27">
        <f>SUM(AH226:AI226)</f>
        <v/>
      </c>
      <c r="AK226" s="28" t="n"/>
      <c r="AL226" s="28" t="n"/>
      <c r="AM226" s="29">
        <f>IF(AND(AJ226=0,AK226=0,AL226=0),0,IF(AND(AJ226=0,AK226=0),AL226/1,IF(AND(AJ226=0,AL226=0),AK226/1,IF(AND(AK226=0,AL226=0),AJ226/1,IF(AJ226=0,FLOOR((AK226+AL226)/2,0.1),IF(AK226=0,(AJ226+AL226)/2,IF(AL226=0,(AK226+AJ226)/2,FLOOR(((AJ226+AK226+AL226)/3),0.1))))))))</f>
        <v/>
      </c>
      <c r="AN226" s="21" t="n"/>
      <c r="AO226" s="21" t="n"/>
      <c r="AP226" s="27">
        <f>SUM(AN226:AO226)</f>
        <v/>
      </c>
      <c r="AQ226" s="28" t="n"/>
      <c r="AR226" s="30" t="n"/>
      <c r="AS226" s="29">
        <f>IF(AND(AP226=0,AQ226=0,AR226=0),0,IF(AND(AP226=0,AQ226=0),AR226/1,IF(AND(AP226=0,AR226=0),AQ226/1,IF(AND(AQ226=0,AR226=0),AP226/1,IF(AP226=0,FLOOR((AQ226+AR226)/2,0.1),IF(AQ226=0,(AP226+AR226)/2,IF(AR226=0,(AQ226+AP226)/2,FLOOR(((AP226+AQ226+AR226)/3),0.1))))))))</f>
        <v/>
      </c>
      <c r="AT226" s="21" t="n"/>
      <c r="AU226" s="21" t="n"/>
      <c r="AV226" s="27">
        <f>SUM(AT226:AU226)</f>
        <v/>
      </c>
      <c r="AW226" s="28" t="n"/>
      <c r="AX226" s="30" t="n"/>
      <c r="AY226" s="29">
        <f>IF(AND(AV226=0,AW226=0,AX226=0),0,IF(AND(AV226=0,AW226=0),AX226/1,IF(AND(AV226=0,AX226=0),AW226/1,IF(AND(AW226=0,AX226=0),AV226/1,IF(AV226=0,FLOOR((AW226+AX226)/2,0.1),IF(AW226=0,(AV226+AX226)/2,IF(AX226=0,(AW226+AV226)/2,FLOOR(((AV226+AW226+AX226)/3),0.1))))))))</f>
        <v/>
      </c>
      <c r="AZ226" s="21" t="n"/>
      <c r="BA226" s="21" t="n"/>
      <c r="BB226" s="27">
        <f>SUM(AZ226:BA226)</f>
        <v/>
      </c>
      <c r="BC226" s="28" t="n"/>
      <c r="BD226" s="28" t="n"/>
      <c r="BE226" s="29">
        <f>IF(AND(BB226=0,BC226=0,BD226=0),0,IF(AND(BB226=0,BC226=0),BD226/1,IF(AND(BB226=0,BD226=0),BC226/1,IF(AND(BC226=0,BD226=0),BB226/1,IF(BB226=0,FLOOR((BC226+BD226)/2,0.1),IF(BC226=0,(BB226+BD226)/2,IF(BD226=0,(BC226+BB226)/2,FLOOR(((BB226+BC226+BD226)/3),0.1))))))))</f>
        <v/>
      </c>
      <c r="BF226" s="21" t="n"/>
      <c r="BG226" s="21" t="n"/>
      <c r="BH226" s="27">
        <f>SUM(BF226:BG226)</f>
        <v/>
      </c>
      <c r="BI226" s="28" t="n"/>
      <c r="BJ226" s="28" t="n"/>
      <c r="BK226" s="29">
        <f>IF(AND(BH226=0,BI226=0,BJ226=0),0,IF(AND(BH226=0,BI226=0),BJ226/1,IF(AND(BH226=0,BJ226=0),BI226/1,IF(AND(BI226=0,BJ226=0),BH226/1,IF(BH226=0,FLOOR((BI226+BJ226)/2,0.1),IF(BI226=0,(BH226+BJ226)/2,IF(BJ226=0,(BI226+BH226)/2,FLOOR(((BH226+BI226+BJ226)/3),0.1))))))))</f>
        <v/>
      </c>
      <c r="BL226" s="21" t="n"/>
      <c r="BM226" s="21" t="n"/>
      <c r="BN226" s="27">
        <f>SUM(BL226:BM226)</f>
        <v/>
      </c>
      <c r="BO226" s="28" t="n"/>
      <c r="BP226" s="31" t="n"/>
      <c r="BQ226" s="29">
        <f>IF(AND(BN226=0,BO226=0,BP226=0),0,IF(AND(BN226=0,BO226=0),BP226/1,IF(AND(BN226=0,BP226=0),BO226/1,IF(AND(BO226=0,BP226=0),BN226/1,IF(BN226=0,FLOOR((BO226+BP226)/2,0.1),IF(BO226=0,(BN226+BP226)/2,IF(BP226=0,(BO226+BN226)/2,FLOOR(((BN226+BO226+BP226)/3),0.1))))))))</f>
        <v/>
      </c>
      <c r="BR226" s="21" t="n"/>
      <c r="BS226" s="21" t="n"/>
      <c r="BT226" s="27">
        <f>SUM(BR226:BS226)</f>
        <v/>
      </c>
      <c r="BU226" s="28" t="n"/>
      <c r="BV226" s="31" t="n"/>
      <c r="BW226" s="29">
        <f>IF(AND(BT226=0,BU226=0,BV226=0),0,IF(AND(BT226=0,BU226=0),BV226/1,IF(AND(BT226=0,BV226=0),BU226/1,IF(AND(BU226=0,BV226=0),BT226/1,IF(BT226=0,FLOOR((BU226+BV226)/2,0.1),IF(BU226=0,(BT226+BV226)/2,IF(BV226=0,(BU226+BT226)/2,FLOOR(((BT226+BU226+BV226)/3),0.1))))))))</f>
        <v/>
      </c>
      <c r="BX226" s="21" t="n"/>
      <c r="BY226" s="21" t="n"/>
      <c r="BZ226" s="27">
        <f>SUM(BX226:BY226)</f>
        <v/>
      </c>
      <c r="CA226" s="28" t="n"/>
      <c r="CB226" s="31" t="n"/>
      <c r="CC226" s="29">
        <f>IF(AND(BZ226=0,CA226=0,CB226=0),0,IF(AND(BZ226=0,CA226=0),CB226/1,IF(AND(BZ226=0,CB226=0),CA226/1,IF(AND(CA226=0,CB226=0),BZ226/1,IF(BZ226=0,FLOOR((CA226+CB226)/2,0.1),IF(CA226=0,(BZ226+CB226)/2,IF(CB226=0,(CA226+BZ226)/2,FLOOR(((BZ226+CA226+CB226)/3),0.1))))))))</f>
        <v/>
      </c>
      <c r="CD226" s="21" t="n"/>
      <c r="CE226" s="21" t="n"/>
      <c r="CF226" s="27">
        <f>SUM(CD226:CE226)</f>
        <v/>
      </c>
      <c r="CG226" s="28" t="n"/>
      <c r="CH226" s="31" t="n"/>
      <c r="CI226" s="29">
        <f>IF(AND(CF226=0,CG226=0,CH226=0),0,IF(AND(CF226=0,CG226=0),CH226/1,IF(AND(CF226=0,CH226=0),CG226/1,IF(AND(CG226=0,CH226=0),CF226/1,IF(CF226=0,FLOOR((CG226+CH226)/2,0.1),IF(CG226=0,(CF226+CH226)/2,IF(CH226=0,(CG226+CF226)/2,FLOOR(((CF226+CG226+CH226)/3),0.1))))))))</f>
        <v/>
      </c>
      <c r="CJ226" s="21" t="n"/>
      <c r="CK226" s="21" t="n"/>
      <c r="CL226" s="27">
        <f>SUM(CJ226:CK226)</f>
        <v/>
      </c>
      <c r="CM226" s="28" t="n"/>
      <c r="CN226" s="31" t="n"/>
      <c r="CO226" s="29">
        <f>IF(AND(CL226=0,CM226=0,CN226=0),0,IF(AND(CL226=0,CM226=0),CN226/1,IF(AND(CL226=0,CN226=0),CM226/1,IF(AND(CM226=0,CN226=0),CL226/1,IF(CL226=0,FLOOR((CM226+CN226)/2,0.1),IF(CM226=0,(CL226+CN226)/2,IF(CN226=0,(CM226+CL226)/2,FLOOR(((CL226+CM226+CN226)/3),0.1))))))))</f>
        <v/>
      </c>
      <c r="CP226" s="21" t="n"/>
      <c r="CQ226" s="21" t="n"/>
      <c r="CR226" s="27">
        <f>SUM(CP226:CQ226)</f>
        <v/>
      </c>
      <c r="CS226" s="28" t="n"/>
      <c r="CT226" s="31" t="n"/>
      <c r="CU226" s="29">
        <f>IF(AND(CR226=0,CS226=0,CT226=0),0,IF(AND(CR226=0,CS226=0),CT226/1,IF(AND(CR226=0,CT226=0),CS226/1,IF(AND(CS226=0,CT226=0),CR226/1,IF(CR226=0,FLOOR((CS226+CT226)/2,0.1),IF(CS226=0,(CR226+CT226)/2,IF(CT226=0,(CS226+CR226)/2,FLOOR(((CR226+CS226+CT226)/3),0.1))))))))</f>
        <v/>
      </c>
      <c r="CV226" s="21" t="n"/>
      <c r="CW226" s="21" t="n"/>
      <c r="CX226" s="27">
        <f>SUM(CV226:CW226)</f>
        <v/>
      </c>
      <c r="CY226" s="28" t="n"/>
      <c r="CZ226" s="31" t="n"/>
      <c r="DA226" s="29">
        <f>IF(AND(CX226=0,CY226=0,CZ226=0),0,IF(AND(CX226=0,CY226=0),CZ226/1,IF(AND(CX226=0,CZ226=0),CY226/1,IF(AND(CY226=0,CZ226=0),CX226/1,IF(CX226=0,FLOOR((CY226+CZ226)/2,0.1),IF(CY226=0,(CX226+CZ226)/2,IF(CZ226=0,(CY226+CX226)/2,FLOOR(((CX226+CY226+CZ226)/3),0.1))))))))</f>
        <v/>
      </c>
      <c r="DB226" s="21" t="n"/>
      <c r="DC226" s="21" t="n"/>
      <c r="DD226" s="27">
        <f>SUM(DB226:DC226)</f>
        <v/>
      </c>
      <c r="DE226" s="28" t="n"/>
      <c r="DF226" s="31" t="n"/>
      <c r="DG226" s="29">
        <f>IF(AND(DD226=0,DE226=0,DF226=0),0,IF(AND(DD226=0,DE226=0),DF226/1,IF(AND(DD226=0,DF226=0),DE226/1,IF(AND(DE226=0,DF226=0),DD226/1,IF(DD226=0,FLOOR((DE226+DF226)/2,0.1),IF(DE226=0,(DD226+DF226)/2,IF(DF226=0,(DE226+DD226)/2,FLOOR(((DD226+DE226+DF226)/3),0.1))))))))</f>
        <v/>
      </c>
      <c r="DH226" s="34">
        <f>SUM(O226,U226,AA226,AG226,AM226,AS226,AY226,BE226,BK226,BQ226,BW226,CC226,CI226,CO226,CU226,DA226,DG226)</f>
        <v/>
      </c>
      <c r="DI226" s="39">
        <f>RANK(DH226,DH$4:DH$503)</f>
        <v/>
      </c>
      <c r="DJ226" s="40" t="inlineStr">
        <is>
          <t>CHOOSE RATING</t>
        </is>
      </c>
      <c r="DK226" s="40" t="inlineStr">
        <is>
          <t>CHOOSE RATING</t>
        </is>
      </c>
      <c r="DL226" s="40" t="inlineStr">
        <is>
          <t>CHOOSE RATING</t>
        </is>
      </c>
      <c r="DM226" s="40" t="inlineStr">
        <is>
          <t>CHOOSE RATING</t>
        </is>
      </c>
      <c r="DN226" s="40" t="inlineStr">
        <is>
          <t>CHOOSE RATING</t>
        </is>
      </c>
      <c r="DO226" s="40" t="inlineStr">
        <is>
          <t>CHOOSE RATING</t>
        </is>
      </c>
      <c r="DP226" s="40" t="inlineStr">
        <is>
          <t>CHOOSE RATING</t>
        </is>
      </c>
      <c r="DQ226" s="40" t="inlineStr">
        <is>
          <t>CHOOSE RATING</t>
        </is>
      </c>
      <c r="DR226" s="43" t="inlineStr">
        <is>
          <t>2024/2025</t>
        </is>
      </c>
      <c r="DS226" s="45" t="inlineStr">
        <is>
          <t>THIRD</t>
        </is>
      </c>
      <c r="DT226" s="40" t="inlineStr">
        <is>
          <t>CHOOSE RATING</t>
        </is>
      </c>
      <c r="DU226" s="40" t="inlineStr">
        <is>
          <t>CHOOSE RATING</t>
        </is>
      </c>
      <c r="DV226" s="40" t="inlineStr">
        <is>
          <t>CHOOSE RATING</t>
        </is>
      </c>
      <c r="DW226" s="40" t="inlineStr">
        <is>
          <t>CHOOSE RATING</t>
        </is>
      </c>
      <c r="DX226" s="40" t="inlineStr">
        <is>
          <t>CHOOSE RATING</t>
        </is>
      </c>
      <c r="DY226" s="40" t="inlineStr">
        <is>
          <t>CHOOSE RATING</t>
        </is>
      </c>
      <c r="DZ226" s="53" t="inlineStr">
        <is>
          <t>CHOOSE RATING</t>
        </is>
      </c>
      <c r="EA226" s="54" t="inlineStr">
        <is>
          <t>Add the Tutor's Comment . . .</t>
        </is>
      </c>
      <c r="EB226" s="55" t="inlineStr">
        <is>
          <t>Choose Principals comment</t>
        </is>
      </c>
      <c r="EC226" s="56" t="n"/>
      <c r="ED226" s="57" t="inlineStr">
        <is>
          <t>Next Term Begins on Monday, 22nd September, 2025</t>
        </is>
      </c>
    </row>
    <row r="227" ht="30.6" customHeight="1" s="6">
      <c r="A227" s="18" t="n">
        <v>224</v>
      </c>
      <c r="B227" s="19" t="n"/>
      <c r="C227" s="20" t="n"/>
      <c r="D227" s="128" t="n"/>
      <c r="E227" s="21" t="n"/>
      <c r="F227" s="22" t="n"/>
      <c r="G227" s="22" t="n"/>
      <c r="H227" s="22" t="n"/>
      <c r="I227" s="26">
        <f>G227-H227</f>
        <v/>
      </c>
      <c r="J227" s="21" t="n"/>
      <c r="K227" s="21" t="n"/>
      <c r="L227" s="27">
        <f>SUM(J227:K227)</f>
        <v/>
      </c>
      <c r="M227" s="28" t="n"/>
      <c r="N227" s="28" t="n"/>
      <c r="O227" s="29">
        <f>IF(AND(L227=0,M227=0,N227=0),0,IF(AND(L227=0,M227=0),N227/1,IF(AND(L227=0,N227=0),M227/1,IF(AND(M227=0,N227=0),L227/1,IF(L227=0,FLOOR((M227+N227)/2,0.1),IF(M227=0,(L227+N227)/2,IF(N227=0,(M227+L227)/2,FLOOR(((L227+M227+N227)/3),0.1))))))))</f>
        <v/>
      </c>
      <c r="P227" s="21" t="n"/>
      <c r="Q227" s="21" t="n"/>
      <c r="R227" s="27">
        <f>SUM(P227:Q227)</f>
        <v/>
      </c>
      <c r="S227" s="28" t="n"/>
      <c r="T227" s="28" t="n"/>
      <c r="U227" s="29">
        <f>IF(AND(R227=0,S227=0,T227=0),0,IF(AND(R227=0,S227=0),T227/1,IF(AND(R227=0,T227=0),S227/1,IF(AND(S227=0,T227=0),R227/1,IF(R227=0,FLOOR((S227+T227)/2,0.1),IF(S227=0,(R227+T227)/2,IF(T227=0,(S227+R227)/2,FLOOR(((R227+S227+T227)/3),0.1))))))))</f>
        <v/>
      </c>
      <c r="V227" s="21" t="n"/>
      <c r="W227" s="21" t="n"/>
      <c r="X227" s="27">
        <f>SUM(V227:W227)</f>
        <v/>
      </c>
      <c r="Y227" s="28" t="n"/>
      <c r="Z227" s="28" t="n"/>
      <c r="AA227" s="29">
        <f>IF(AND(X227=0,Y227=0,Z227=0),0,IF(AND(X227=0,Y227=0),Z227/1,IF(AND(X227=0,Z227=0),Y227/1,IF(AND(Y227=0,Z227=0),X227/1,IF(X227=0,FLOOR((Y227+Z227)/2,0.1),IF(Y227=0,(X227+Z227)/2,IF(Z227=0,(Y227+X227)/2,FLOOR(((X227+Y227+Z227)/3),0.1))))))))</f>
        <v/>
      </c>
      <c r="AB227" s="21" t="n"/>
      <c r="AC227" s="21" t="n"/>
      <c r="AD227" s="27">
        <f>SUM(AB227:AC227)</f>
        <v/>
      </c>
      <c r="AE227" s="28" t="n"/>
      <c r="AF227" s="28" t="n"/>
      <c r="AG227" s="29">
        <f>IF(AND(AD227=0,AE227=0,AF227=0),0,IF(AND(AD227=0,AE227=0),AF227/1,IF(AND(AD227=0,AF227=0),AE227/1,IF(AND(AE227=0,AF227=0),AD227/1,IF(AD227=0,FLOOR((AE227+AF227)/2,0.1),IF(AE227=0,(AD227+AF227)/2,IF(AF227=0,(AE227+AD227)/2,FLOOR(((AD227+AE227+AF227)/3),0.1))))))))</f>
        <v/>
      </c>
      <c r="AH227" s="21" t="n"/>
      <c r="AI227" s="21" t="n"/>
      <c r="AJ227" s="27">
        <f>SUM(AH227:AI227)</f>
        <v/>
      </c>
      <c r="AK227" s="28" t="n"/>
      <c r="AL227" s="28" t="n"/>
      <c r="AM227" s="29">
        <f>IF(AND(AJ227=0,AK227=0,AL227=0),0,IF(AND(AJ227=0,AK227=0),AL227/1,IF(AND(AJ227=0,AL227=0),AK227/1,IF(AND(AK227=0,AL227=0),AJ227/1,IF(AJ227=0,FLOOR((AK227+AL227)/2,0.1),IF(AK227=0,(AJ227+AL227)/2,IF(AL227=0,(AK227+AJ227)/2,FLOOR(((AJ227+AK227+AL227)/3),0.1))))))))</f>
        <v/>
      </c>
      <c r="AN227" s="21" t="n"/>
      <c r="AO227" s="21" t="n"/>
      <c r="AP227" s="27">
        <f>SUM(AN227:AO227)</f>
        <v/>
      </c>
      <c r="AQ227" s="28" t="n"/>
      <c r="AR227" s="30" t="n"/>
      <c r="AS227" s="29">
        <f>IF(AND(AP227=0,AQ227=0,AR227=0),0,IF(AND(AP227=0,AQ227=0),AR227/1,IF(AND(AP227=0,AR227=0),AQ227/1,IF(AND(AQ227=0,AR227=0),AP227/1,IF(AP227=0,FLOOR((AQ227+AR227)/2,0.1),IF(AQ227=0,(AP227+AR227)/2,IF(AR227=0,(AQ227+AP227)/2,FLOOR(((AP227+AQ227+AR227)/3),0.1))))))))</f>
        <v/>
      </c>
      <c r="AT227" s="21" t="n"/>
      <c r="AU227" s="21" t="n"/>
      <c r="AV227" s="27">
        <f>SUM(AT227:AU227)</f>
        <v/>
      </c>
      <c r="AW227" s="28" t="n"/>
      <c r="AX227" s="30" t="n"/>
      <c r="AY227" s="29">
        <f>IF(AND(AV227=0,AW227=0,AX227=0),0,IF(AND(AV227=0,AW227=0),AX227/1,IF(AND(AV227=0,AX227=0),AW227/1,IF(AND(AW227=0,AX227=0),AV227/1,IF(AV227=0,FLOOR((AW227+AX227)/2,0.1),IF(AW227=0,(AV227+AX227)/2,IF(AX227=0,(AW227+AV227)/2,FLOOR(((AV227+AW227+AX227)/3),0.1))))))))</f>
        <v/>
      </c>
      <c r="AZ227" s="21" t="n"/>
      <c r="BA227" s="21" t="n"/>
      <c r="BB227" s="27">
        <f>SUM(AZ227:BA227)</f>
        <v/>
      </c>
      <c r="BC227" s="28" t="n"/>
      <c r="BD227" s="28" t="n"/>
      <c r="BE227" s="29">
        <f>IF(AND(BB227=0,BC227=0,BD227=0),0,IF(AND(BB227=0,BC227=0),BD227/1,IF(AND(BB227=0,BD227=0),BC227/1,IF(AND(BC227=0,BD227=0),BB227/1,IF(BB227=0,FLOOR((BC227+BD227)/2,0.1),IF(BC227=0,(BB227+BD227)/2,IF(BD227=0,(BC227+BB227)/2,FLOOR(((BB227+BC227+BD227)/3),0.1))))))))</f>
        <v/>
      </c>
      <c r="BF227" s="21" t="n"/>
      <c r="BG227" s="21" t="n"/>
      <c r="BH227" s="27">
        <f>SUM(BF227:BG227)</f>
        <v/>
      </c>
      <c r="BI227" s="28" t="n"/>
      <c r="BJ227" s="28" t="n"/>
      <c r="BK227" s="29">
        <f>IF(AND(BH227=0,BI227=0,BJ227=0),0,IF(AND(BH227=0,BI227=0),BJ227/1,IF(AND(BH227=0,BJ227=0),BI227/1,IF(AND(BI227=0,BJ227=0),BH227/1,IF(BH227=0,FLOOR((BI227+BJ227)/2,0.1),IF(BI227=0,(BH227+BJ227)/2,IF(BJ227=0,(BI227+BH227)/2,FLOOR(((BH227+BI227+BJ227)/3),0.1))))))))</f>
        <v/>
      </c>
      <c r="BL227" s="21" t="n"/>
      <c r="BM227" s="21" t="n"/>
      <c r="BN227" s="27">
        <f>SUM(BL227:BM227)</f>
        <v/>
      </c>
      <c r="BO227" s="28" t="n"/>
      <c r="BP227" s="31" t="n"/>
      <c r="BQ227" s="29">
        <f>IF(AND(BN227=0,BO227=0,BP227=0),0,IF(AND(BN227=0,BO227=0),BP227/1,IF(AND(BN227=0,BP227=0),BO227/1,IF(AND(BO227=0,BP227=0),BN227/1,IF(BN227=0,FLOOR((BO227+BP227)/2,0.1),IF(BO227=0,(BN227+BP227)/2,IF(BP227=0,(BO227+BN227)/2,FLOOR(((BN227+BO227+BP227)/3),0.1))))))))</f>
        <v/>
      </c>
      <c r="BR227" s="21" t="n"/>
      <c r="BS227" s="21" t="n"/>
      <c r="BT227" s="27">
        <f>SUM(BR227:BS227)</f>
        <v/>
      </c>
      <c r="BU227" s="28" t="n"/>
      <c r="BV227" s="31" t="n"/>
      <c r="BW227" s="29">
        <f>IF(AND(BT227=0,BU227=0,BV227=0),0,IF(AND(BT227=0,BU227=0),BV227/1,IF(AND(BT227=0,BV227=0),BU227/1,IF(AND(BU227=0,BV227=0),BT227/1,IF(BT227=0,FLOOR((BU227+BV227)/2,0.1),IF(BU227=0,(BT227+BV227)/2,IF(BV227=0,(BU227+BT227)/2,FLOOR(((BT227+BU227+BV227)/3),0.1))))))))</f>
        <v/>
      </c>
      <c r="BX227" s="21" t="n"/>
      <c r="BY227" s="21" t="n"/>
      <c r="BZ227" s="27">
        <f>SUM(BX227:BY227)</f>
        <v/>
      </c>
      <c r="CA227" s="28" t="n"/>
      <c r="CB227" s="31" t="n"/>
      <c r="CC227" s="29">
        <f>IF(AND(BZ227=0,CA227=0,CB227=0),0,IF(AND(BZ227=0,CA227=0),CB227/1,IF(AND(BZ227=0,CB227=0),CA227/1,IF(AND(CA227=0,CB227=0),BZ227/1,IF(BZ227=0,FLOOR((CA227+CB227)/2,0.1),IF(CA227=0,(BZ227+CB227)/2,IF(CB227=0,(CA227+BZ227)/2,FLOOR(((BZ227+CA227+CB227)/3),0.1))))))))</f>
        <v/>
      </c>
      <c r="CD227" s="21" t="n"/>
      <c r="CE227" s="21" t="n"/>
      <c r="CF227" s="27">
        <f>SUM(CD227:CE227)</f>
        <v/>
      </c>
      <c r="CG227" s="28" t="n"/>
      <c r="CH227" s="31" t="n"/>
      <c r="CI227" s="29">
        <f>IF(AND(CF227=0,CG227=0,CH227=0),0,IF(AND(CF227=0,CG227=0),CH227/1,IF(AND(CF227=0,CH227=0),CG227/1,IF(AND(CG227=0,CH227=0),CF227/1,IF(CF227=0,FLOOR((CG227+CH227)/2,0.1),IF(CG227=0,(CF227+CH227)/2,IF(CH227=0,(CG227+CF227)/2,FLOOR(((CF227+CG227+CH227)/3),0.1))))))))</f>
        <v/>
      </c>
      <c r="CJ227" s="21" t="n"/>
      <c r="CK227" s="21" t="n"/>
      <c r="CL227" s="27">
        <f>SUM(CJ227:CK227)</f>
        <v/>
      </c>
      <c r="CM227" s="28" t="n"/>
      <c r="CN227" s="31" t="n"/>
      <c r="CO227" s="29">
        <f>IF(AND(CL227=0,CM227=0,CN227=0),0,IF(AND(CL227=0,CM227=0),CN227/1,IF(AND(CL227=0,CN227=0),CM227/1,IF(AND(CM227=0,CN227=0),CL227/1,IF(CL227=0,FLOOR((CM227+CN227)/2,0.1),IF(CM227=0,(CL227+CN227)/2,IF(CN227=0,(CM227+CL227)/2,FLOOR(((CL227+CM227+CN227)/3),0.1))))))))</f>
        <v/>
      </c>
      <c r="CP227" s="21" t="n"/>
      <c r="CQ227" s="21" t="n"/>
      <c r="CR227" s="27">
        <f>SUM(CP227:CQ227)</f>
        <v/>
      </c>
      <c r="CS227" s="28" t="n"/>
      <c r="CT227" s="31" t="n"/>
      <c r="CU227" s="29">
        <f>IF(AND(CR227=0,CS227=0,CT227=0),0,IF(AND(CR227=0,CS227=0),CT227/1,IF(AND(CR227=0,CT227=0),CS227/1,IF(AND(CS227=0,CT227=0),CR227/1,IF(CR227=0,FLOOR((CS227+CT227)/2,0.1),IF(CS227=0,(CR227+CT227)/2,IF(CT227=0,(CS227+CR227)/2,FLOOR(((CR227+CS227+CT227)/3),0.1))))))))</f>
        <v/>
      </c>
      <c r="CV227" s="21" t="n"/>
      <c r="CW227" s="21" t="n"/>
      <c r="CX227" s="27">
        <f>SUM(CV227:CW227)</f>
        <v/>
      </c>
      <c r="CY227" s="28" t="n"/>
      <c r="CZ227" s="31" t="n"/>
      <c r="DA227" s="29">
        <f>IF(AND(CX227=0,CY227=0,CZ227=0),0,IF(AND(CX227=0,CY227=0),CZ227/1,IF(AND(CX227=0,CZ227=0),CY227/1,IF(AND(CY227=0,CZ227=0),CX227/1,IF(CX227=0,FLOOR((CY227+CZ227)/2,0.1),IF(CY227=0,(CX227+CZ227)/2,IF(CZ227=0,(CY227+CX227)/2,FLOOR(((CX227+CY227+CZ227)/3),0.1))))))))</f>
        <v/>
      </c>
      <c r="DB227" s="21" t="n"/>
      <c r="DC227" s="21" t="n"/>
      <c r="DD227" s="27">
        <f>SUM(DB227:DC227)</f>
        <v/>
      </c>
      <c r="DE227" s="28" t="n"/>
      <c r="DF227" s="31" t="n"/>
      <c r="DG227" s="29">
        <f>IF(AND(DD227=0,DE227=0,DF227=0),0,IF(AND(DD227=0,DE227=0),DF227/1,IF(AND(DD227=0,DF227=0),DE227/1,IF(AND(DE227=0,DF227=0),DD227/1,IF(DD227=0,FLOOR((DE227+DF227)/2,0.1),IF(DE227=0,(DD227+DF227)/2,IF(DF227=0,(DE227+DD227)/2,FLOOR(((DD227+DE227+DF227)/3),0.1))))))))</f>
        <v/>
      </c>
      <c r="DH227" s="34">
        <f>SUM(O227,U227,AA227,AG227,AM227,AS227,AY227,BE227,BK227,BQ227,BW227,CC227,CI227,CO227,CU227,DA227,DG227)</f>
        <v/>
      </c>
      <c r="DI227" s="39">
        <f>RANK(DH227,DH$4:DH$503)</f>
        <v/>
      </c>
      <c r="DJ227" s="40" t="inlineStr">
        <is>
          <t>CHOOSE RATING</t>
        </is>
      </c>
      <c r="DK227" s="40" t="inlineStr">
        <is>
          <t>CHOOSE RATING</t>
        </is>
      </c>
      <c r="DL227" s="40" t="inlineStr">
        <is>
          <t>CHOOSE RATING</t>
        </is>
      </c>
      <c r="DM227" s="40" t="inlineStr">
        <is>
          <t>CHOOSE RATING</t>
        </is>
      </c>
      <c r="DN227" s="40" t="inlineStr">
        <is>
          <t>CHOOSE RATING</t>
        </is>
      </c>
      <c r="DO227" s="40" t="inlineStr">
        <is>
          <t>CHOOSE RATING</t>
        </is>
      </c>
      <c r="DP227" s="40" t="inlineStr">
        <is>
          <t>CHOOSE RATING</t>
        </is>
      </c>
      <c r="DQ227" s="40" t="inlineStr">
        <is>
          <t>CHOOSE RATING</t>
        </is>
      </c>
      <c r="DR227" s="43" t="inlineStr">
        <is>
          <t>2024/2025</t>
        </is>
      </c>
      <c r="DS227" s="45" t="inlineStr">
        <is>
          <t>THIRD</t>
        </is>
      </c>
      <c r="DT227" s="40" t="inlineStr">
        <is>
          <t>CHOOSE RATING</t>
        </is>
      </c>
      <c r="DU227" s="40" t="inlineStr">
        <is>
          <t>CHOOSE RATING</t>
        </is>
      </c>
      <c r="DV227" s="40" t="inlineStr">
        <is>
          <t>CHOOSE RATING</t>
        </is>
      </c>
      <c r="DW227" s="40" t="inlineStr">
        <is>
          <t>CHOOSE RATING</t>
        </is>
      </c>
      <c r="DX227" s="40" t="inlineStr">
        <is>
          <t>CHOOSE RATING</t>
        </is>
      </c>
      <c r="DY227" s="40" t="inlineStr">
        <is>
          <t>CHOOSE RATING</t>
        </is>
      </c>
      <c r="DZ227" s="53" t="inlineStr">
        <is>
          <t>CHOOSE RATING</t>
        </is>
      </c>
      <c r="EA227" s="54" t="inlineStr">
        <is>
          <t>Add the Tutor's Comment . . .</t>
        </is>
      </c>
      <c r="EB227" s="55" t="inlineStr">
        <is>
          <t>Choose Principals comment</t>
        </is>
      </c>
      <c r="EC227" s="56" t="n"/>
      <c r="ED227" s="57" t="inlineStr">
        <is>
          <t>Next Term Begins on Monday, 22nd September, 2025</t>
        </is>
      </c>
    </row>
    <row r="228" ht="30.6" customHeight="1" s="6">
      <c r="A228" s="18" t="n">
        <v>225</v>
      </c>
      <c r="B228" s="19" t="n"/>
      <c r="C228" s="20" t="n"/>
      <c r="D228" s="128" t="n"/>
      <c r="E228" s="21" t="n"/>
      <c r="F228" s="22" t="n"/>
      <c r="G228" s="22" t="n"/>
      <c r="H228" s="22" t="n"/>
      <c r="I228" s="26">
        <f>G228-H228</f>
        <v/>
      </c>
      <c r="J228" s="21" t="n"/>
      <c r="K228" s="21" t="n"/>
      <c r="L228" s="27">
        <f>SUM(J228:K228)</f>
        <v/>
      </c>
      <c r="M228" s="28" t="n"/>
      <c r="N228" s="28" t="n"/>
      <c r="O228" s="29">
        <f>IF(AND(L228=0,M228=0,N228=0),0,IF(AND(L228=0,M228=0),N228/1,IF(AND(L228=0,N228=0),M228/1,IF(AND(M228=0,N228=0),L228/1,IF(L228=0,FLOOR((M228+N228)/2,0.1),IF(M228=0,(L228+N228)/2,IF(N228=0,(M228+L228)/2,FLOOR(((L228+M228+N228)/3),0.1))))))))</f>
        <v/>
      </c>
      <c r="P228" s="21" t="n"/>
      <c r="Q228" s="21" t="n"/>
      <c r="R228" s="27">
        <f>SUM(P228:Q228)</f>
        <v/>
      </c>
      <c r="S228" s="28" t="n"/>
      <c r="T228" s="28" t="n"/>
      <c r="U228" s="29">
        <f>IF(AND(R228=0,S228=0,T228=0),0,IF(AND(R228=0,S228=0),T228/1,IF(AND(R228=0,T228=0),S228/1,IF(AND(S228=0,T228=0),R228/1,IF(R228=0,FLOOR((S228+T228)/2,0.1),IF(S228=0,(R228+T228)/2,IF(T228=0,(S228+R228)/2,FLOOR(((R228+S228+T228)/3),0.1))))))))</f>
        <v/>
      </c>
      <c r="V228" s="21" t="n"/>
      <c r="W228" s="21" t="n"/>
      <c r="X228" s="27">
        <f>SUM(V228:W228)</f>
        <v/>
      </c>
      <c r="Y228" s="28" t="n"/>
      <c r="Z228" s="28" t="n"/>
      <c r="AA228" s="29">
        <f>IF(AND(X228=0,Y228=0,Z228=0),0,IF(AND(X228=0,Y228=0),Z228/1,IF(AND(X228=0,Z228=0),Y228/1,IF(AND(Y228=0,Z228=0),X228/1,IF(X228=0,FLOOR((Y228+Z228)/2,0.1),IF(Y228=0,(X228+Z228)/2,IF(Z228=0,(Y228+X228)/2,FLOOR(((X228+Y228+Z228)/3),0.1))))))))</f>
        <v/>
      </c>
      <c r="AB228" s="21" t="n"/>
      <c r="AC228" s="21" t="n"/>
      <c r="AD228" s="27">
        <f>SUM(AB228:AC228)</f>
        <v/>
      </c>
      <c r="AE228" s="28" t="n"/>
      <c r="AF228" s="28" t="n"/>
      <c r="AG228" s="29">
        <f>IF(AND(AD228=0,AE228=0,AF228=0),0,IF(AND(AD228=0,AE228=0),AF228/1,IF(AND(AD228=0,AF228=0),AE228/1,IF(AND(AE228=0,AF228=0),AD228/1,IF(AD228=0,FLOOR((AE228+AF228)/2,0.1),IF(AE228=0,(AD228+AF228)/2,IF(AF228=0,(AE228+AD228)/2,FLOOR(((AD228+AE228+AF228)/3),0.1))))))))</f>
        <v/>
      </c>
      <c r="AH228" s="21" t="n"/>
      <c r="AI228" s="21" t="n"/>
      <c r="AJ228" s="27">
        <f>SUM(AH228:AI228)</f>
        <v/>
      </c>
      <c r="AK228" s="28" t="n"/>
      <c r="AL228" s="28" t="n"/>
      <c r="AM228" s="29">
        <f>IF(AND(AJ228=0,AK228=0,AL228=0),0,IF(AND(AJ228=0,AK228=0),AL228/1,IF(AND(AJ228=0,AL228=0),AK228/1,IF(AND(AK228=0,AL228=0),AJ228/1,IF(AJ228=0,FLOOR((AK228+AL228)/2,0.1),IF(AK228=0,(AJ228+AL228)/2,IF(AL228=0,(AK228+AJ228)/2,FLOOR(((AJ228+AK228+AL228)/3),0.1))))))))</f>
        <v/>
      </c>
      <c r="AN228" s="21" t="n"/>
      <c r="AO228" s="21" t="n"/>
      <c r="AP228" s="27">
        <f>SUM(AN228:AO228)</f>
        <v/>
      </c>
      <c r="AQ228" s="28" t="n"/>
      <c r="AR228" s="30" t="n"/>
      <c r="AS228" s="29">
        <f>IF(AND(AP228=0,AQ228=0,AR228=0),0,IF(AND(AP228=0,AQ228=0),AR228/1,IF(AND(AP228=0,AR228=0),AQ228/1,IF(AND(AQ228=0,AR228=0),AP228/1,IF(AP228=0,FLOOR((AQ228+AR228)/2,0.1),IF(AQ228=0,(AP228+AR228)/2,IF(AR228=0,(AQ228+AP228)/2,FLOOR(((AP228+AQ228+AR228)/3),0.1))))))))</f>
        <v/>
      </c>
      <c r="AT228" s="21" t="n"/>
      <c r="AU228" s="21" t="n"/>
      <c r="AV228" s="27">
        <f>SUM(AT228:AU228)</f>
        <v/>
      </c>
      <c r="AW228" s="28" t="n"/>
      <c r="AX228" s="30" t="n"/>
      <c r="AY228" s="29">
        <f>IF(AND(AV228=0,AW228=0,AX228=0),0,IF(AND(AV228=0,AW228=0),AX228/1,IF(AND(AV228=0,AX228=0),AW228/1,IF(AND(AW228=0,AX228=0),AV228/1,IF(AV228=0,FLOOR((AW228+AX228)/2,0.1),IF(AW228=0,(AV228+AX228)/2,IF(AX228=0,(AW228+AV228)/2,FLOOR(((AV228+AW228+AX228)/3),0.1))))))))</f>
        <v/>
      </c>
      <c r="AZ228" s="21" t="n"/>
      <c r="BA228" s="21" t="n"/>
      <c r="BB228" s="27">
        <f>SUM(AZ228:BA228)</f>
        <v/>
      </c>
      <c r="BC228" s="28" t="n"/>
      <c r="BD228" s="28" t="n"/>
      <c r="BE228" s="29">
        <f>IF(AND(BB228=0,BC228=0,BD228=0),0,IF(AND(BB228=0,BC228=0),BD228/1,IF(AND(BB228=0,BD228=0),BC228/1,IF(AND(BC228=0,BD228=0),BB228/1,IF(BB228=0,FLOOR((BC228+BD228)/2,0.1),IF(BC228=0,(BB228+BD228)/2,IF(BD228=0,(BC228+BB228)/2,FLOOR(((BB228+BC228+BD228)/3),0.1))))))))</f>
        <v/>
      </c>
      <c r="BF228" s="21" t="n"/>
      <c r="BG228" s="21" t="n"/>
      <c r="BH228" s="27">
        <f>SUM(BF228:BG228)</f>
        <v/>
      </c>
      <c r="BI228" s="28" t="n"/>
      <c r="BJ228" s="28" t="n"/>
      <c r="BK228" s="29">
        <f>IF(AND(BH228=0,BI228=0,BJ228=0),0,IF(AND(BH228=0,BI228=0),BJ228/1,IF(AND(BH228=0,BJ228=0),BI228/1,IF(AND(BI228=0,BJ228=0),BH228/1,IF(BH228=0,FLOOR((BI228+BJ228)/2,0.1),IF(BI228=0,(BH228+BJ228)/2,IF(BJ228=0,(BI228+BH228)/2,FLOOR(((BH228+BI228+BJ228)/3),0.1))))))))</f>
        <v/>
      </c>
      <c r="BL228" s="21" t="n"/>
      <c r="BM228" s="21" t="n"/>
      <c r="BN228" s="27">
        <f>SUM(BL228:BM228)</f>
        <v/>
      </c>
      <c r="BO228" s="28" t="n"/>
      <c r="BP228" s="31" t="n"/>
      <c r="BQ228" s="29">
        <f>IF(AND(BN228=0,BO228=0,BP228=0),0,IF(AND(BN228=0,BO228=0),BP228/1,IF(AND(BN228=0,BP228=0),BO228/1,IF(AND(BO228=0,BP228=0),BN228/1,IF(BN228=0,FLOOR((BO228+BP228)/2,0.1),IF(BO228=0,(BN228+BP228)/2,IF(BP228=0,(BO228+BN228)/2,FLOOR(((BN228+BO228+BP228)/3),0.1))))))))</f>
        <v/>
      </c>
      <c r="BR228" s="21" t="n"/>
      <c r="BS228" s="21" t="n"/>
      <c r="BT228" s="27">
        <f>SUM(BR228:BS228)</f>
        <v/>
      </c>
      <c r="BU228" s="28" t="n"/>
      <c r="BV228" s="31" t="n"/>
      <c r="BW228" s="29">
        <f>IF(AND(BT228=0,BU228=0,BV228=0),0,IF(AND(BT228=0,BU228=0),BV228/1,IF(AND(BT228=0,BV228=0),BU228/1,IF(AND(BU228=0,BV228=0),BT228/1,IF(BT228=0,FLOOR((BU228+BV228)/2,0.1),IF(BU228=0,(BT228+BV228)/2,IF(BV228=0,(BU228+BT228)/2,FLOOR(((BT228+BU228+BV228)/3),0.1))))))))</f>
        <v/>
      </c>
      <c r="BX228" s="21" t="n"/>
      <c r="BY228" s="21" t="n"/>
      <c r="BZ228" s="27">
        <f>SUM(BX228:BY228)</f>
        <v/>
      </c>
      <c r="CA228" s="28" t="n"/>
      <c r="CB228" s="31" t="n"/>
      <c r="CC228" s="29">
        <f>IF(AND(BZ228=0,CA228=0,CB228=0),0,IF(AND(BZ228=0,CA228=0),CB228/1,IF(AND(BZ228=0,CB228=0),CA228/1,IF(AND(CA228=0,CB228=0),BZ228/1,IF(BZ228=0,FLOOR((CA228+CB228)/2,0.1),IF(CA228=0,(BZ228+CB228)/2,IF(CB228=0,(CA228+BZ228)/2,FLOOR(((BZ228+CA228+CB228)/3),0.1))))))))</f>
        <v/>
      </c>
      <c r="CD228" s="21" t="n"/>
      <c r="CE228" s="21" t="n"/>
      <c r="CF228" s="27">
        <f>SUM(CD228:CE228)</f>
        <v/>
      </c>
      <c r="CG228" s="28" t="n"/>
      <c r="CH228" s="31" t="n"/>
      <c r="CI228" s="29">
        <f>IF(AND(CF228=0,CG228=0,CH228=0),0,IF(AND(CF228=0,CG228=0),CH228/1,IF(AND(CF228=0,CH228=0),CG228/1,IF(AND(CG228=0,CH228=0),CF228/1,IF(CF228=0,FLOOR((CG228+CH228)/2,0.1),IF(CG228=0,(CF228+CH228)/2,IF(CH228=0,(CG228+CF228)/2,FLOOR(((CF228+CG228+CH228)/3),0.1))))))))</f>
        <v/>
      </c>
      <c r="CJ228" s="21" t="n"/>
      <c r="CK228" s="21" t="n"/>
      <c r="CL228" s="27">
        <f>SUM(CJ228:CK228)</f>
        <v/>
      </c>
      <c r="CM228" s="28" t="n"/>
      <c r="CN228" s="31" t="n"/>
      <c r="CO228" s="29">
        <f>IF(AND(CL228=0,CM228=0,CN228=0),0,IF(AND(CL228=0,CM228=0),CN228/1,IF(AND(CL228=0,CN228=0),CM228/1,IF(AND(CM228=0,CN228=0),CL228/1,IF(CL228=0,FLOOR((CM228+CN228)/2,0.1),IF(CM228=0,(CL228+CN228)/2,IF(CN228=0,(CM228+CL228)/2,FLOOR(((CL228+CM228+CN228)/3),0.1))))))))</f>
        <v/>
      </c>
      <c r="CP228" s="21" t="n"/>
      <c r="CQ228" s="21" t="n"/>
      <c r="CR228" s="27">
        <f>SUM(CP228:CQ228)</f>
        <v/>
      </c>
      <c r="CS228" s="28" t="n"/>
      <c r="CT228" s="31" t="n"/>
      <c r="CU228" s="29">
        <f>IF(AND(CR228=0,CS228=0,CT228=0),0,IF(AND(CR228=0,CS228=0),CT228/1,IF(AND(CR228=0,CT228=0),CS228/1,IF(AND(CS228=0,CT228=0),CR228/1,IF(CR228=0,FLOOR((CS228+CT228)/2,0.1),IF(CS228=0,(CR228+CT228)/2,IF(CT228=0,(CS228+CR228)/2,FLOOR(((CR228+CS228+CT228)/3),0.1))))))))</f>
        <v/>
      </c>
      <c r="CV228" s="21" t="n"/>
      <c r="CW228" s="21" t="n"/>
      <c r="CX228" s="27">
        <f>SUM(CV228:CW228)</f>
        <v/>
      </c>
      <c r="CY228" s="28" t="n"/>
      <c r="CZ228" s="31" t="n"/>
      <c r="DA228" s="29">
        <f>IF(AND(CX228=0,CY228=0,CZ228=0),0,IF(AND(CX228=0,CY228=0),CZ228/1,IF(AND(CX228=0,CZ228=0),CY228/1,IF(AND(CY228=0,CZ228=0),CX228/1,IF(CX228=0,FLOOR((CY228+CZ228)/2,0.1),IF(CY228=0,(CX228+CZ228)/2,IF(CZ228=0,(CY228+CX228)/2,FLOOR(((CX228+CY228+CZ228)/3),0.1))))))))</f>
        <v/>
      </c>
      <c r="DB228" s="21" t="n"/>
      <c r="DC228" s="21" t="n"/>
      <c r="DD228" s="27">
        <f>SUM(DB228:DC228)</f>
        <v/>
      </c>
      <c r="DE228" s="28" t="n"/>
      <c r="DF228" s="31" t="n"/>
      <c r="DG228" s="29">
        <f>IF(AND(DD228=0,DE228=0,DF228=0),0,IF(AND(DD228=0,DE228=0),DF228/1,IF(AND(DD228=0,DF228=0),DE228/1,IF(AND(DE228=0,DF228=0),DD228/1,IF(DD228=0,FLOOR((DE228+DF228)/2,0.1),IF(DE228=0,(DD228+DF228)/2,IF(DF228=0,(DE228+DD228)/2,FLOOR(((DD228+DE228+DF228)/3),0.1))))))))</f>
        <v/>
      </c>
      <c r="DH228" s="34">
        <f>SUM(O228,U228,AA228,AG228,AM228,AS228,AY228,BE228,BK228,BQ228,BW228,CC228,CI228,CO228,CU228,DA228,DG228)</f>
        <v/>
      </c>
      <c r="DI228" s="39">
        <f>RANK(DH228,DH$4:DH$503)</f>
        <v/>
      </c>
      <c r="DJ228" s="40" t="inlineStr">
        <is>
          <t>CHOOSE RATING</t>
        </is>
      </c>
      <c r="DK228" s="40" t="inlineStr">
        <is>
          <t>CHOOSE RATING</t>
        </is>
      </c>
      <c r="DL228" s="40" t="inlineStr">
        <is>
          <t>CHOOSE RATING</t>
        </is>
      </c>
      <c r="DM228" s="40" t="inlineStr">
        <is>
          <t>CHOOSE RATING</t>
        </is>
      </c>
      <c r="DN228" s="40" t="inlineStr">
        <is>
          <t>CHOOSE RATING</t>
        </is>
      </c>
      <c r="DO228" s="40" t="inlineStr">
        <is>
          <t>CHOOSE RATING</t>
        </is>
      </c>
      <c r="DP228" s="40" t="inlineStr">
        <is>
          <t>CHOOSE RATING</t>
        </is>
      </c>
      <c r="DQ228" s="40" t="inlineStr">
        <is>
          <t>CHOOSE RATING</t>
        </is>
      </c>
      <c r="DR228" s="43" t="inlineStr">
        <is>
          <t>2024/2025</t>
        </is>
      </c>
      <c r="DS228" s="45" t="inlineStr">
        <is>
          <t>THIRD</t>
        </is>
      </c>
      <c r="DT228" s="40" t="inlineStr">
        <is>
          <t>CHOOSE RATING</t>
        </is>
      </c>
      <c r="DU228" s="40" t="inlineStr">
        <is>
          <t>CHOOSE RATING</t>
        </is>
      </c>
      <c r="DV228" s="40" t="inlineStr">
        <is>
          <t>CHOOSE RATING</t>
        </is>
      </c>
      <c r="DW228" s="40" t="inlineStr">
        <is>
          <t>CHOOSE RATING</t>
        </is>
      </c>
      <c r="DX228" s="40" t="inlineStr">
        <is>
          <t>CHOOSE RATING</t>
        </is>
      </c>
      <c r="DY228" s="40" t="inlineStr">
        <is>
          <t>CHOOSE RATING</t>
        </is>
      </c>
      <c r="DZ228" s="53" t="inlineStr">
        <is>
          <t>CHOOSE RATING</t>
        </is>
      </c>
      <c r="EA228" s="54" t="inlineStr">
        <is>
          <t>Add the Tutor's Comment . . .</t>
        </is>
      </c>
      <c r="EB228" s="55" t="inlineStr">
        <is>
          <t>Choose Principals comment</t>
        </is>
      </c>
      <c r="EC228" s="56" t="n"/>
      <c r="ED228" s="57" t="inlineStr">
        <is>
          <t>Next Term Begins on Monday, 22nd September, 2025</t>
        </is>
      </c>
    </row>
    <row r="229" ht="30.6" customHeight="1" s="6">
      <c r="A229" s="18" t="n">
        <v>226</v>
      </c>
      <c r="B229" s="19" t="n"/>
      <c r="C229" s="20" t="n"/>
      <c r="D229" s="128" t="n"/>
      <c r="E229" s="21" t="n"/>
      <c r="F229" s="22" t="n"/>
      <c r="G229" s="22" t="n"/>
      <c r="H229" s="22" t="n"/>
      <c r="I229" s="26">
        <f>G229-H229</f>
        <v/>
      </c>
      <c r="J229" s="21" t="n"/>
      <c r="K229" s="21" t="n"/>
      <c r="L229" s="27">
        <f>SUM(J229:K229)</f>
        <v/>
      </c>
      <c r="M229" s="28" t="n"/>
      <c r="N229" s="28" t="n"/>
      <c r="O229" s="29">
        <f>IF(AND(L229=0,M229=0,N229=0),0,IF(AND(L229=0,M229=0),N229/1,IF(AND(L229=0,N229=0),M229/1,IF(AND(M229=0,N229=0),L229/1,IF(L229=0,FLOOR((M229+N229)/2,0.1),IF(M229=0,(L229+N229)/2,IF(N229=0,(M229+L229)/2,FLOOR(((L229+M229+N229)/3),0.1))))))))</f>
        <v/>
      </c>
      <c r="P229" s="21" t="n"/>
      <c r="Q229" s="21" t="n"/>
      <c r="R229" s="27">
        <f>SUM(P229:Q229)</f>
        <v/>
      </c>
      <c r="S229" s="28" t="n"/>
      <c r="T229" s="28" t="n"/>
      <c r="U229" s="29">
        <f>IF(AND(R229=0,S229=0,T229=0),0,IF(AND(R229=0,S229=0),T229/1,IF(AND(R229=0,T229=0),S229/1,IF(AND(S229=0,T229=0),R229/1,IF(R229=0,FLOOR((S229+T229)/2,0.1),IF(S229=0,(R229+T229)/2,IF(T229=0,(S229+R229)/2,FLOOR(((R229+S229+T229)/3),0.1))))))))</f>
        <v/>
      </c>
      <c r="V229" s="21" t="n"/>
      <c r="W229" s="21" t="n"/>
      <c r="X229" s="27">
        <f>SUM(V229:W229)</f>
        <v/>
      </c>
      <c r="Y229" s="28" t="n"/>
      <c r="Z229" s="28" t="n"/>
      <c r="AA229" s="29">
        <f>IF(AND(X229=0,Y229=0,Z229=0),0,IF(AND(X229=0,Y229=0),Z229/1,IF(AND(X229=0,Z229=0),Y229/1,IF(AND(Y229=0,Z229=0),X229/1,IF(X229=0,FLOOR((Y229+Z229)/2,0.1),IF(Y229=0,(X229+Z229)/2,IF(Z229=0,(Y229+X229)/2,FLOOR(((X229+Y229+Z229)/3),0.1))))))))</f>
        <v/>
      </c>
      <c r="AB229" s="21" t="n"/>
      <c r="AC229" s="21" t="n"/>
      <c r="AD229" s="27">
        <f>SUM(AB229:AC229)</f>
        <v/>
      </c>
      <c r="AE229" s="28" t="n"/>
      <c r="AF229" s="28" t="n"/>
      <c r="AG229" s="29">
        <f>IF(AND(AD229=0,AE229=0,AF229=0),0,IF(AND(AD229=0,AE229=0),AF229/1,IF(AND(AD229=0,AF229=0),AE229/1,IF(AND(AE229=0,AF229=0),AD229/1,IF(AD229=0,FLOOR((AE229+AF229)/2,0.1),IF(AE229=0,(AD229+AF229)/2,IF(AF229=0,(AE229+AD229)/2,FLOOR(((AD229+AE229+AF229)/3),0.1))))))))</f>
        <v/>
      </c>
      <c r="AH229" s="21" t="n"/>
      <c r="AI229" s="21" t="n"/>
      <c r="AJ229" s="27">
        <f>SUM(AH229:AI229)</f>
        <v/>
      </c>
      <c r="AK229" s="28" t="n"/>
      <c r="AL229" s="28" t="n"/>
      <c r="AM229" s="29">
        <f>IF(AND(AJ229=0,AK229=0,AL229=0),0,IF(AND(AJ229=0,AK229=0),AL229/1,IF(AND(AJ229=0,AL229=0),AK229/1,IF(AND(AK229=0,AL229=0),AJ229/1,IF(AJ229=0,FLOOR((AK229+AL229)/2,0.1),IF(AK229=0,(AJ229+AL229)/2,IF(AL229=0,(AK229+AJ229)/2,FLOOR(((AJ229+AK229+AL229)/3),0.1))))))))</f>
        <v/>
      </c>
      <c r="AN229" s="21" t="n"/>
      <c r="AO229" s="21" t="n"/>
      <c r="AP229" s="27">
        <f>SUM(AN229:AO229)</f>
        <v/>
      </c>
      <c r="AQ229" s="28" t="n"/>
      <c r="AR229" s="30" t="n"/>
      <c r="AS229" s="29">
        <f>IF(AND(AP229=0,AQ229=0,AR229=0),0,IF(AND(AP229=0,AQ229=0),AR229/1,IF(AND(AP229=0,AR229=0),AQ229/1,IF(AND(AQ229=0,AR229=0),AP229/1,IF(AP229=0,FLOOR((AQ229+AR229)/2,0.1),IF(AQ229=0,(AP229+AR229)/2,IF(AR229=0,(AQ229+AP229)/2,FLOOR(((AP229+AQ229+AR229)/3),0.1))))))))</f>
        <v/>
      </c>
      <c r="AT229" s="21" t="n"/>
      <c r="AU229" s="21" t="n"/>
      <c r="AV229" s="27">
        <f>SUM(AT229:AU229)</f>
        <v/>
      </c>
      <c r="AW229" s="28" t="n"/>
      <c r="AX229" s="30" t="n"/>
      <c r="AY229" s="29">
        <f>IF(AND(AV229=0,AW229=0,AX229=0),0,IF(AND(AV229=0,AW229=0),AX229/1,IF(AND(AV229=0,AX229=0),AW229/1,IF(AND(AW229=0,AX229=0),AV229/1,IF(AV229=0,FLOOR((AW229+AX229)/2,0.1),IF(AW229=0,(AV229+AX229)/2,IF(AX229=0,(AW229+AV229)/2,FLOOR(((AV229+AW229+AX229)/3),0.1))))))))</f>
        <v/>
      </c>
      <c r="AZ229" s="21" t="n"/>
      <c r="BA229" s="21" t="n"/>
      <c r="BB229" s="27">
        <f>SUM(AZ229:BA229)</f>
        <v/>
      </c>
      <c r="BC229" s="28" t="n"/>
      <c r="BD229" s="28" t="n"/>
      <c r="BE229" s="29">
        <f>IF(AND(BB229=0,BC229=0,BD229=0),0,IF(AND(BB229=0,BC229=0),BD229/1,IF(AND(BB229=0,BD229=0),BC229/1,IF(AND(BC229=0,BD229=0),BB229/1,IF(BB229=0,FLOOR((BC229+BD229)/2,0.1),IF(BC229=0,(BB229+BD229)/2,IF(BD229=0,(BC229+BB229)/2,FLOOR(((BB229+BC229+BD229)/3),0.1))))))))</f>
        <v/>
      </c>
      <c r="BF229" s="21" t="n"/>
      <c r="BG229" s="21" t="n"/>
      <c r="BH229" s="27">
        <f>SUM(BF229:BG229)</f>
        <v/>
      </c>
      <c r="BI229" s="28" t="n"/>
      <c r="BJ229" s="28" t="n"/>
      <c r="BK229" s="29">
        <f>IF(AND(BH229=0,BI229=0,BJ229=0),0,IF(AND(BH229=0,BI229=0),BJ229/1,IF(AND(BH229=0,BJ229=0),BI229/1,IF(AND(BI229=0,BJ229=0),BH229/1,IF(BH229=0,FLOOR((BI229+BJ229)/2,0.1),IF(BI229=0,(BH229+BJ229)/2,IF(BJ229=0,(BI229+BH229)/2,FLOOR(((BH229+BI229+BJ229)/3),0.1))))))))</f>
        <v/>
      </c>
      <c r="BL229" s="21" t="n"/>
      <c r="BM229" s="21" t="n"/>
      <c r="BN229" s="27">
        <f>SUM(BL229:BM229)</f>
        <v/>
      </c>
      <c r="BO229" s="28" t="n"/>
      <c r="BP229" s="31" t="n"/>
      <c r="BQ229" s="29">
        <f>IF(AND(BN229=0,BO229=0,BP229=0),0,IF(AND(BN229=0,BO229=0),BP229/1,IF(AND(BN229=0,BP229=0),BO229/1,IF(AND(BO229=0,BP229=0),BN229/1,IF(BN229=0,FLOOR((BO229+BP229)/2,0.1),IF(BO229=0,(BN229+BP229)/2,IF(BP229=0,(BO229+BN229)/2,FLOOR(((BN229+BO229+BP229)/3),0.1))))))))</f>
        <v/>
      </c>
      <c r="BR229" s="21" t="n"/>
      <c r="BS229" s="21" t="n"/>
      <c r="BT229" s="27">
        <f>SUM(BR229:BS229)</f>
        <v/>
      </c>
      <c r="BU229" s="28" t="n"/>
      <c r="BV229" s="31" t="n"/>
      <c r="BW229" s="29">
        <f>IF(AND(BT229=0,BU229=0,BV229=0),0,IF(AND(BT229=0,BU229=0),BV229/1,IF(AND(BT229=0,BV229=0),BU229/1,IF(AND(BU229=0,BV229=0),BT229/1,IF(BT229=0,FLOOR((BU229+BV229)/2,0.1),IF(BU229=0,(BT229+BV229)/2,IF(BV229=0,(BU229+BT229)/2,FLOOR(((BT229+BU229+BV229)/3),0.1))))))))</f>
        <v/>
      </c>
      <c r="BX229" s="21" t="n"/>
      <c r="BY229" s="21" t="n"/>
      <c r="BZ229" s="27">
        <f>SUM(BX229:BY229)</f>
        <v/>
      </c>
      <c r="CA229" s="28" t="n"/>
      <c r="CB229" s="31" t="n"/>
      <c r="CC229" s="29">
        <f>IF(AND(BZ229=0,CA229=0,CB229=0),0,IF(AND(BZ229=0,CA229=0),CB229/1,IF(AND(BZ229=0,CB229=0),CA229/1,IF(AND(CA229=0,CB229=0),BZ229/1,IF(BZ229=0,FLOOR((CA229+CB229)/2,0.1),IF(CA229=0,(BZ229+CB229)/2,IF(CB229=0,(CA229+BZ229)/2,FLOOR(((BZ229+CA229+CB229)/3),0.1))))))))</f>
        <v/>
      </c>
      <c r="CD229" s="21" t="n"/>
      <c r="CE229" s="21" t="n"/>
      <c r="CF229" s="27">
        <f>SUM(CD229:CE229)</f>
        <v/>
      </c>
      <c r="CG229" s="28" t="n"/>
      <c r="CH229" s="31" t="n"/>
      <c r="CI229" s="29">
        <f>IF(AND(CF229=0,CG229=0,CH229=0),0,IF(AND(CF229=0,CG229=0),CH229/1,IF(AND(CF229=0,CH229=0),CG229/1,IF(AND(CG229=0,CH229=0),CF229/1,IF(CF229=0,FLOOR((CG229+CH229)/2,0.1),IF(CG229=0,(CF229+CH229)/2,IF(CH229=0,(CG229+CF229)/2,FLOOR(((CF229+CG229+CH229)/3),0.1))))))))</f>
        <v/>
      </c>
      <c r="CJ229" s="21" t="n"/>
      <c r="CK229" s="21" t="n"/>
      <c r="CL229" s="27">
        <f>SUM(CJ229:CK229)</f>
        <v/>
      </c>
      <c r="CM229" s="28" t="n"/>
      <c r="CN229" s="31" t="n"/>
      <c r="CO229" s="29">
        <f>IF(AND(CL229=0,CM229=0,CN229=0),0,IF(AND(CL229=0,CM229=0),CN229/1,IF(AND(CL229=0,CN229=0),CM229/1,IF(AND(CM229=0,CN229=0),CL229/1,IF(CL229=0,FLOOR((CM229+CN229)/2,0.1),IF(CM229=0,(CL229+CN229)/2,IF(CN229=0,(CM229+CL229)/2,FLOOR(((CL229+CM229+CN229)/3),0.1))))))))</f>
        <v/>
      </c>
      <c r="CP229" s="21" t="n"/>
      <c r="CQ229" s="21" t="n"/>
      <c r="CR229" s="27">
        <f>SUM(CP229:CQ229)</f>
        <v/>
      </c>
      <c r="CS229" s="28" t="n"/>
      <c r="CT229" s="31" t="n"/>
      <c r="CU229" s="29">
        <f>IF(AND(CR229=0,CS229=0,CT229=0),0,IF(AND(CR229=0,CS229=0),CT229/1,IF(AND(CR229=0,CT229=0),CS229/1,IF(AND(CS229=0,CT229=0),CR229/1,IF(CR229=0,FLOOR((CS229+CT229)/2,0.1),IF(CS229=0,(CR229+CT229)/2,IF(CT229=0,(CS229+CR229)/2,FLOOR(((CR229+CS229+CT229)/3),0.1))))))))</f>
        <v/>
      </c>
      <c r="CV229" s="21" t="n"/>
      <c r="CW229" s="21" t="n"/>
      <c r="CX229" s="27">
        <f>SUM(CV229:CW229)</f>
        <v/>
      </c>
      <c r="CY229" s="28" t="n"/>
      <c r="CZ229" s="31" t="n"/>
      <c r="DA229" s="29">
        <f>IF(AND(CX229=0,CY229=0,CZ229=0),0,IF(AND(CX229=0,CY229=0),CZ229/1,IF(AND(CX229=0,CZ229=0),CY229/1,IF(AND(CY229=0,CZ229=0),CX229/1,IF(CX229=0,FLOOR((CY229+CZ229)/2,0.1),IF(CY229=0,(CX229+CZ229)/2,IF(CZ229=0,(CY229+CX229)/2,FLOOR(((CX229+CY229+CZ229)/3),0.1))))))))</f>
        <v/>
      </c>
      <c r="DB229" s="21" t="n"/>
      <c r="DC229" s="21" t="n"/>
      <c r="DD229" s="27">
        <f>SUM(DB229:DC229)</f>
        <v/>
      </c>
      <c r="DE229" s="28" t="n"/>
      <c r="DF229" s="31" t="n"/>
      <c r="DG229" s="29">
        <f>IF(AND(DD229=0,DE229=0,DF229=0),0,IF(AND(DD229=0,DE229=0),DF229/1,IF(AND(DD229=0,DF229=0),DE229/1,IF(AND(DE229=0,DF229=0),DD229/1,IF(DD229=0,FLOOR((DE229+DF229)/2,0.1),IF(DE229=0,(DD229+DF229)/2,IF(DF229=0,(DE229+DD229)/2,FLOOR(((DD229+DE229+DF229)/3),0.1))))))))</f>
        <v/>
      </c>
      <c r="DH229" s="34">
        <f>SUM(O229,U229,AA229,AG229,AM229,AS229,AY229,BE229,BK229,BQ229,BW229,CC229,CI229,CO229,CU229,DA229,DG229)</f>
        <v/>
      </c>
      <c r="DI229" s="39">
        <f>RANK(DH229,DH$4:DH$503)</f>
        <v/>
      </c>
      <c r="DJ229" s="40" t="inlineStr">
        <is>
          <t>CHOOSE RATING</t>
        </is>
      </c>
      <c r="DK229" s="40" t="inlineStr">
        <is>
          <t>CHOOSE RATING</t>
        </is>
      </c>
      <c r="DL229" s="40" t="inlineStr">
        <is>
          <t>CHOOSE RATING</t>
        </is>
      </c>
      <c r="DM229" s="40" t="inlineStr">
        <is>
          <t>CHOOSE RATING</t>
        </is>
      </c>
      <c r="DN229" s="40" t="inlineStr">
        <is>
          <t>CHOOSE RATING</t>
        </is>
      </c>
      <c r="DO229" s="40" t="inlineStr">
        <is>
          <t>CHOOSE RATING</t>
        </is>
      </c>
      <c r="DP229" s="40" t="inlineStr">
        <is>
          <t>CHOOSE RATING</t>
        </is>
      </c>
      <c r="DQ229" s="40" t="inlineStr">
        <is>
          <t>CHOOSE RATING</t>
        </is>
      </c>
      <c r="DR229" s="43" t="inlineStr">
        <is>
          <t>2024/2025</t>
        </is>
      </c>
      <c r="DS229" s="45" t="inlineStr">
        <is>
          <t>THIRD</t>
        </is>
      </c>
      <c r="DT229" s="40" t="inlineStr">
        <is>
          <t>CHOOSE RATING</t>
        </is>
      </c>
      <c r="DU229" s="40" t="inlineStr">
        <is>
          <t>CHOOSE RATING</t>
        </is>
      </c>
      <c r="DV229" s="40" t="inlineStr">
        <is>
          <t>CHOOSE RATING</t>
        </is>
      </c>
      <c r="DW229" s="40" t="inlineStr">
        <is>
          <t>CHOOSE RATING</t>
        </is>
      </c>
      <c r="DX229" s="40" t="inlineStr">
        <is>
          <t>CHOOSE RATING</t>
        </is>
      </c>
      <c r="DY229" s="40" t="inlineStr">
        <is>
          <t>CHOOSE RATING</t>
        </is>
      </c>
      <c r="DZ229" s="53" t="inlineStr">
        <is>
          <t>CHOOSE RATING</t>
        </is>
      </c>
      <c r="EA229" s="54" t="inlineStr">
        <is>
          <t>Add the Tutor's Comment . . .</t>
        </is>
      </c>
      <c r="EB229" s="55" t="inlineStr">
        <is>
          <t>Choose Principals comment</t>
        </is>
      </c>
      <c r="EC229" s="56" t="n"/>
      <c r="ED229" s="57" t="inlineStr">
        <is>
          <t>Next Term Begins on Monday, 22nd September, 2025</t>
        </is>
      </c>
    </row>
    <row r="230" ht="30.6" customHeight="1" s="6">
      <c r="A230" s="18" t="n">
        <v>227</v>
      </c>
      <c r="B230" s="19" t="n"/>
      <c r="C230" s="20" t="n"/>
      <c r="D230" s="128" t="n"/>
      <c r="E230" s="21" t="n"/>
      <c r="F230" s="22" t="n"/>
      <c r="G230" s="22" t="n"/>
      <c r="H230" s="22" t="n"/>
      <c r="I230" s="26">
        <f>G230-H230</f>
        <v/>
      </c>
      <c r="J230" s="21" t="n"/>
      <c r="K230" s="21" t="n"/>
      <c r="L230" s="27">
        <f>SUM(J230:K230)</f>
        <v/>
      </c>
      <c r="M230" s="28" t="n"/>
      <c r="N230" s="28" t="n"/>
      <c r="O230" s="29">
        <f>IF(AND(L230=0,M230=0,N230=0),0,IF(AND(L230=0,M230=0),N230/1,IF(AND(L230=0,N230=0),M230/1,IF(AND(M230=0,N230=0),L230/1,IF(L230=0,FLOOR((M230+N230)/2,0.1),IF(M230=0,(L230+N230)/2,IF(N230=0,(M230+L230)/2,FLOOR(((L230+M230+N230)/3),0.1))))))))</f>
        <v/>
      </c>
      <c r="P230" s="21" t="n"/>
      <c r="Q230" s="21" t="n"/>
      <c r="R230" s="27">
        <f>SUM(P230:Q230)</f>
        <v/>
      </c>
      <c r="S230" s="28" t="n"/>
      <c r="T230" s="28" t="n"/>
      <c r="U230" s="29">
        <f>IF(AND(R230=0,S230=0,T230=0),0,IF(AND(R230=0,S230=0),T230/1,IF(AND(R230=0,T230=0),S230/1,IF(AND(S230=0,T230=0),R230/1,IF(R230=0,FLOOR((S230+T230)/2,0.1),IF(S230=0,(R230+T230)/2,IF(T230=0,(S230+R230)/2,FLOOR(((R230+S230+T230)/3),0.1))))))))</f>
        <v/>
      </c>
      <c r="V230" s="21" t="n"/>
      <c r="W230" s="21" t="n"/>
      <c r="X230" s="27">
        <f>SUM(V230:W230)</f>
        <v/>
      </c>
      <c r="Y230" s="28" t="n"/>
      <c r="Z230" s="28" t="n"/>
      <c r="AA230" s="29">
        <f>IF(AND(X230=0,Y230=0,Z230=0),0,IF(AND(X230=0,Y230=0),Z230/1,IF(AND(X230=0,Z230=0),Y230/1,IF(AND(Y230=0,Z230=0),X230/1,IF(X230=0,FLOOR((Y230+Z230)/2,0.1),IF(Y230=0,(X230+Z230)/2,IF(Z230=0,(Y230+X230)/2,FLOOR(((X230+Y230+Z230)/3),0.1))))))))</f>
        <v/>
      </c>
      <c r="AB230" s="21" t="n"/>
      <c r="AC230" s="21" t="n"/>
      <c r="AD230" s="27">
        <f>SUM(AB230:AC230)</f>
        <v/>
      </c>
      <c r="AE230" s="28" t="n"/>
      <c r="AF230" s="28" t="n"/>
      <c r="AG230" s="29">
        <f>IF(AND(AD230=0,AE230=0,AF230=0),0,IF(AND(AD230=0,AE230=0),AF230/1,IF(AND(AD230=0,AF230=0),AE230/1,IF(AND(AE230=0,AF230=0),AD230/1,IF(AD230=0,FLOOR((AE230+AF230)/2,0.1),IF(AE230=0,(AD230+AF230)/2,IF(AF230=0,(AE230+AD230)/2,FLOOR(((AD230+AE230+AF230)/3),0.1))))))))</f>
        <v/>
      </c>
      <c r="AH230" s="21" t="n"/>
      <c r="AI230" s="21" t="n"/>
      <c r="AJ230" s="27">
        <f>SUM(AH230:AI230)</f>
        <v/>
      </c>
      <c r="AK230" s="28" t="n"/>
      <c r="AL230" s="28" t="n"/>
      <c r="AM230" s="29">
        <f>IF(AND(AJ230=0,AK230=0,AL230=0),0,IF(AND(AJ230=0,AK230=0),AL230/1,IF(AND(AJ230=0,AL230=0),AK230/1,IF(AND(AK230=0,AL230=0),AJ230/1,IF(AJ230=0,FLOOR((AK230+AL230)/2,0.1),IF(AK230=0,(AJ230+AL230)/2,IF(AL230=0,(AK230+AJ230)/2,FLOOR(((AJ230+AK230+AL230)/3),0.1))))))))</f>
        <v/>
      </c>
      <c r="AN230" s="21" t="n"/>
      <c r="AO230" s="21" t="n"/>
      <c r="AP230" s="27">
        <f>SUM(AN230:AO230)</f>
        <v/>
      </c>
      <c r="AQ230" s="28" t="n"/>
      <c r="AR230" s="30" t="n"/>
      <c r="AS230" s="29">
        <f>IF(AND(AP230=0,AQ230=0,AR230=0),0,IF(AND(AP230=0,AQ230=0),AR230/1,IF(AND(AP230=0,AR230=0),AQ230/1,IF(AND(AQ230=0,AR230=0),AP230/1,IF(AP230=0,FLOOR((AQ230+AR230)/2,0.1),IF(AQ230=0,(AP230+AR230)/2,IF(AR230=0,(AQ230+AP230)/2,FLOOR(((AP230+AQ230+AR230)/3),0.1))))))))</f>
        <v/>
      </c>
      <c r="AT230" s="21" t="n"/>
      <c r="AU230" s="21" t="n"/>
      <c r="AV230" s="27">
        <f>SUM(AT230:AU230)</f>
        <v/>
      </c>
      <c r="AW230" s="28" t="n"/>
      <c r="AX230" s="30" t="n"/>
      <c r="AY230" s="29">
        <f>IF(AND(AV230=0,AW230=0,AX230=0),0,IF(AND(AV230=0,AW230=0),AX230/1,IF(AND(AV230=0,AX230=0),AW230/1,IF(AND(AW230=0,AX230=0),AV230/1,IF(AV230=0,FLOOR((AW230+AX230)/2,0.1),IF(AW230=0,(AV230+AX230)/2,IF(AX230=0,(AW230+AV230)/2,FLOOR(((AV230+AW230+AX230)/3),0.1))))))))</f>
        <v/>
      </c>
      <c r="AZ230" s="21" t="n"/>
      <c r="BA230" s="21" t="n"/>
      <c r="BB230" s="27">
        <f>SUM(AZ230:BA230)</f>
        <v/>
      </c>
      <c r="BC230" s="28" t="n"/>
      <c r="BD230" s="28" t="n"/>
      <c r="BE230" s="29">
        <f>IF(AND(BB230=0,BC230=0,BD230=0),0,IF(AND(BB230=0,BC230=0),BD230/1,IF(AND(BB230=0,BD230=0),BC230/1,IF(AND(BC230=0,BD230=0),BB230/1,IF(BB230=0,FLOOR((BC230+BD230)/2,0.1),IF(BC230=0,(BB230+BD230)/2,IF(BD230=0,(BC230+BB230)/2,FLOOR(((BB230+BC230+BD230)/3),0.1))))))))</f>
        <v/>
      </c>
      <c r="BF230" s="21" t="n"/>
      <c r="BG230" s="21" t="n"/>
      <c r="BH230" s="27">
        <f>SUM(BF230:BG230)</f>
        <v/>
      </c>
      <c r="BI230" s="28" t="n"/>
      <c r="BJ230" s="28" t="n"/>
      <c r="BK230" s="29">
        <f>IF(AND(BH230=0,BI230=0,BJ230=0),0,IF(AND(BH230=0,BI230=0),BJ230/1,IF(AND(BH230=0,BJ230=0),BI230/1,IF(AND(BI230=0,BJ230=0),BH230/1,IF(BH230=0,FLOOR((BI230+BJ230)/2,0.1),IF(BI230=0,(BH230+BJ230)/2,IF(BJ230=0,(BI230+BH230)/2,FLOOR(((BH230+BI230+BJ230)/3),0.1))))))))</f>
        <v/>
      </c>
      <c r="BL230" s="21" t="n"/>
      <c r="BM230" s="21" t="n"/>
      <c r="BN230" s="27">
        <f>SUM(BL230:BM230)</f>
        <v/>
      </c>
      <c r="BO230" s="28" t="n"/>
      <c r="BP230" s="31" t="n"/>
      <c r="BQ230" s="29">
        <f>IF(AND(BN230=0,BO230=0,BP230=0),0,IF(AND(BN230=0,BO230=0),BP230/1,IF(AND(BN230=0,BP230=0),BO230/1,IF(AND(BO230=0,BP230=0),BN230/1,IF(BN230=0,FLOOR((BO230+BP230)/2,0.1),IF(BO230=0,(BN230+BP230)/2,IF(BP230=0,(BO230+BN230)/2,FLOOR(((BN230+BO230+BP230)/3),0.1))))))))</f>
        <v/>
      </c>
      <c r="BR230" s="21" t="n"/>
      <c r="BS230" s="21" t="n"/>
      <c r="BT230" s="27">
        <f>SUM(BR230:BS230)</f>
        <v/>
      </c>
      <c r="BU230" s="28" t="n"/>
      <c r="BV230" s="31" t="n"/>
      <c r="BW230" s="29">
        <f>IF(AND(BT230=0,BU230=0,BV230=0),0,IF(AND(BT230=0,BU230=0),BV230/1,IF(AND(BT230=0,BV230=0),BU230/1,IF(AND(BU230=0,BV230=0),BT230/1,IF(BT230=0,FLOOR((BU230+BV230)/2,0.1),IF(BU230=0,(BT230+BV230)/2,IF(BV230=0,(BU230+BT230)/2,FLOOR(((BT230+BU230+BV230)/3),0.1))))))))</f>
        <v/>
      </c>
      <c r="BX230" s="21" t="n"/>
      <c r="BY230" s="21" t="n"/>
      <c r="BZ230" s="27">
        <f>SUM(BX230:BY230)</f>
        <v/>
      </c>
      <c r="CA230" s="28" t="n"/>
      <c r="CB230" s="31" t="n"/>
      <c r="CC230" s="29">
        <f>IF(AND(BZ230=0,CA230=0,CB230=0),0,IF(AND(BZ230=0,CA230=0),CB230/1,IF(AND(BZ230=0,CB230=0),CA230/1,IF(AND(CA230=0,CB230=0),BZ230/1,IF(BZ230=0,FLOOR((CA230+CB230)/2,0.1),IF(CA230=0,(BZ230+CB230)/2,IF(CB230=0,(CA230+BZ230)/2,FLOOR(((BZ230+CA230+CB230)/3),0.1))))))))</f>
        <v/>
      </c>
      <c r="CD230" s="21" t="n"/>
      <c r="CE230" s="21" t="n"/>
      <c r="CF230" s="27">
        <f>SUM(CD230:CE230)</f>
        <v/>
      </c>
      <c r="CG230" s="28" t="n"/>
      <c r="CH230" s="31" t="n"/>
      <c r="CI230" s="29">
        <f>IF(AND(CF230=0,CG230=0,CH230=0),0,IF(AND(CF230=0,CG230=0),CH230/1,IF(AND(CF230=0,CH230=0),CG230/1,IF(AND(CG230=0,CH230=0),CF230/1,IF(CF230=0,FLOOR((CG230+CH230)/2,0.1),IF(CG230=0,(CF230+CH230)/2,IF(CH230=0,(CG230+CF230)/2,FLOOR(((CF230+CG230+CH230)/3),0.1))))))))</f>
        <v/>
      </c>
      <c r="CJ230" s="21" t="n"/>
      <c r="CK230" s="21" t="n"/>
      <c r="CL230" s="27">
        <f>SUM(CJ230:CK230)</f>
        <v/>
      </c>
      <c r="CM230" s="28" t="n"/>
      <c r="CN230" s="31" t="n"/>
      <c r="CO230" s="29">
        <f>IF(AND(CL230=0,CM230=0,CN230=0),0,IF(AND(CL230=0,CM230=0),CN230/1,IF(AND(CL230=0,CN230=0),CM230/1,IF(AND(CM230=0,CN230=0),CL230/1,IF(CL230=0,FLOOR((CM230+CN230)/2,0.1),IF(CM230=0,(CL230+CN230)/2,IF(CN230=0,(CM230+CL230)/2,FLOOR(((CL230+CM230+CN230)/3),0.1))))))))</f>
        <v/>
      </c>
      <c r="CP230" s="21" t="n"/>
      <c r="CQ230" s="21" t="n"/>
      <c r="CR230" s="27">
        <f>SUM(CP230:CQ230)</f>
        <v/>
      </c>
      <c r="CS230" s="28" t="n"/>
      <c r="CT230" s="31" t="n"/>
      <c r="CU230" s="29">
        <f>IF(AND(CR230=0,CS230=0,CT230=0),0,IF(AND(CR230=0,CS230=0),CT230/1,IF(AND(CR230=0,CT230=0),CS230/1,IF(AND(CS230=0,CT230=0),CR230/1,IF(CR230=0,FLOOR((CS230+CT230)/2,0.1),IF(CS230=0,(CR230+CT230)/2,IF(CT230=0,(CS230+CR230)/2,FLOOR(((CR230+CS230+CT230)/3),0.1))))))))</f>
        <v/>
      </c>
      <c r="CV230" s="21" t="n"/>
      <c r="CW230" s="21" t="n"/>
      <c r="CX230" s="27">
        <f>SUM(CV230:CW230)</f>
        <v/>
      </c>
      <c r="CY230" s="28" t="n"/>
      <c r="CZ230" s="31" t="n"/>
      <c r="DA230" s="29">
        <f>IF(AND(CX230=0,CY230=0,CZ230=0),0,IF(AND(CX230=0,CY230=0),CZ230/1,IF(AND(CX230=0,CZ230=0),CY230/1,IF(AND(CY230=0,CZ230=0),CX230/1,IF(CX230=0,FLOOR((CY230+CZ230)/2,0.1),IF(CY230=0,(CX230+CZ230)/2,IF(CZ230=0,(CY230+CX230)/2,FLOOR(((CX230+CY230+CZ230)/3),0.1))))))))</f>
        <v/>
      </c>
      <c r="DB230" s="21" t="n"/>
      <c r="DC230" s="21" t="n"/>
      <c r="DD230" s="27">
        <f>SUM(DB230:DC230)</f>
        <v/>
      </c>
      <c r="DE230" s="28" t="n"/>
      <c r="DF230" s="31" t="n"/>
      <c r="DG230" s="29">
        <f>IF(AND(DD230=0,DE230=0,DF230=0),0,IF(AND(DD230=0,DE230=0),DF230/1,IF(AND(DD230=0,DF230=0),DE230/1,IF(AND(DE230=0,DF230=0),DD230/1,IF(DD230=0,FLOOR((DE230+DF230)/2,0.1),IF(DE230=0,(DD230+DF230)/2,IF(DF230=0,(DE230+DD230)/2,FLOOR(((DD230+DE230+DF230)/3),0.1))))))))</f>
        <v/>
      </c>
      <c r="DH230" s="34">
        <f>SUM(O230,U230,AA230,AG230,AM230,AS230,AY230,BE230,BK230,BQ230,BW230,CC230,CI230,CO230,CU230,DA230,DG230)</f>
        <v/>
      </c>
      <c r="DI230" s="39">
        <f>RANK(DH230,DH$4:DH$503)</f>
        <v/>
      </c>
      <c r="DJ230" s="40" t="inlineStr">
        <is>
          <t>CHOOSE RATING</t>
        </is>
      </c>
      <c r="DK230" s="40" t="inlineStr">
        <is>
          <t>CHOOSE RATING</t>
        </is>
      </c>
      <c r="DL230" s="40" t="inlineStr">
        <is>
          <t>CHOOSE RATING</t>
        </is>
      </c>
      <c r="DM230" s="40" t="inlineStr">
        <is>
          <t>CHOOSE RATING</t>
        </is>
      </c>
      <c r="DN230" s="40" t="inlineStr">
        <is>
          <t>CHOOSE RATING</t>
        </is>
      </c>
      <c r="DO230" s="40" t="inlineStr">
        <is>
          <t>CHOOSE RATING</t>
        </is>
      </c>
      <c r="DP230" s="40" t="inlineStr">
        <is>
          <t>CHOOSE RATING</t>
        </is>
      </c>
      <c r="DQ230" s="40" t="inlineStr">
        <is>
          <t>CHOOSE RATING</t>
        </is>
      </c>
      <c r="DR230" s="43" t="inlineStr">
        <is>
          <t>2024/2025</t>
        </is>
      </c>
      <c r="DS230" s="45" t="inlineStr">
        <is>
          <t>THIRD</t>
        </is>
      </c>
      <c r="DT230" s="40" t="inlineStr">
        <is>
          <t>CHOOSE RATING</t>
        </is>
      </c>
      <c r="DU230" s="40" t="inlineStr">
        <is>
          <t>CHOOSE RATING</t>
        </is>
      </c>
      <c r="DV230" s="40" t="inlineStr">
        <is>
          <t>CHOOSE RATING</t>
        </is>
      </c>
      <c r="DW230" s="40" t="inlineStr">
        <is>
          <t>CHOOSE RATING</t>
        </is>
      </c>
      <c r="DX230" s="40" t="inlineStr">
        <is>
          <t>CHOOSE RATING</t>
        </is>
      </c>
      <c r="DY230" s="40" t="inlineStr">
        <is>
          <t>CHOOSE RATING</t>
        </is>
      </c>
      <c r="DZ230" s="53" t="inlineStr">
        <is>
          <t>CHOOSE RATING</t>
        </is>
      </c>
      <c r="EA230" s="54" t="inlineStr">
        <is>
          <t>Add the Tutor's Comment . . .</t>
        </is>
      </c>
      <c r="EB230" s="55" t="inlineStr">
        <is>
          <t>Choose Principals comment</t>
        </is>
      </c>
      <c r="EC230" s="56" t="n"/>
      <c r="ED230" s="57" t="inlineStr">
        <is>
          <t>Next Term Begins on Monday, 22nd September, 2025</t>
        </is>
      </c>
    </row>
    <row r="231" ht="30.6" customHeight="1" s="6">
      <c r="A231" s="18" t="n">
        <v>228</v>
      </c>
      <c r="B231" s="19" t="n"/>
      <c r="C231" s="20" t="n"/>
      <c r="D231" s="128" t="n"/>
      <c r="E231" s="21" t="n"/>
      <c r="F231" s="22" t="n"/>
      <c r="G231" s="22" t="n"/>
      <c r="H231" s="22" t="n"/>
      <c r="I231" s="26">
        <f>G231-H231</f>
        <v/>
      </c>
      <c r="J231" s="21" t="n"/>
      <c r="K231" s="21" t="n"/>
      <c r="L231" s="27">
        <f>SUM(J231:K231)</f>
        <v/>
      </c>
      <c r="M231" s="28" t="n"/>
      <c r="N231" s="28" t="n"/>
      <c r="O231" s="29">
        <f>IF(AND(L231=0,M231=0,N231=0),0,IF(AND(L231=0,M231=0),N231/1,IF(AND(L231=0,N231=0),M231/1,IF(AND(M231=0,N231=0),L231/1,IF(L231=0,FLOOR((M231+N231)/2,0.1),IF(M231=0,(L231+N231)/2,IF(N231=0,(M231+L231)/2,FLOOR(((L231+M231+N231)/3),0.1))))))))</f>
        <v/>
      </c>
      <c r="P231" s="21" t="n"/>
      <c r="Q231" s="21" t="n"/>
      <c r="R231" s="27">
        <f>SUM(P231:Q231)</f>
        <v/>
      </c>
      <c r="S231" s="28" t="n"/>
      <c r="T231" s="28" t="n"/>
      <c r="U231" s="29">
        <f>IF(AND(R231=0,S231=0,T231=0),0,IF(AND(R231=0,S231=0),T231/1,IF(AND(R231=0,T231=0),S231/1,IF(AND(S231=0,T231=0),R231/1,IF(R231=0,FLOOR((S231+T231)/2,0.1),IF(S231=0,(R231+T231)/2,IF(T231=0,(S231+R231)/2,FLOOR(((R231+S231+T231)/3),0.1))))))))</f>
        <v/>
      </c>
      <c r="V231" s="21" t="n"/>
      <c r="W231" s="21" t="n"/>
      <c r="X231" s="27">
        <f>SUM(V231:W231)</f>
        <v/>
      </c>
      <c r="Y231" s="28" t="n"/>
      <c r="Z231" s="28" t="n"/>
      <c r="AA231" s="29">
        <f>IF(AND(X231=0,Y231=0,Z231=0),0,IF(AND(X231=0,Y231=0),Z231/1,IF(AND(X231=0,Z231=0),Y231/1,IF(AND(Y231=0,Z231=0),X231/1,IF(X231=0,FLOOR((Y231+Z231)/2,0.1),IF(Y231=0,(X231+Z231)/2,IF(Z231=0,(Y231+X231)/2,FLOOR(((X231+Y231+Z231)/3),0.1))))))))</f>
        <v/>
      </c>
      <c r="AB231" s="21" t="n"/>
      <c r="AC231" s="21" t="n"/>
      <c r="AD231" s="27">
        <f>SUM(AB231:AC231)</f>
        <v/>
      </c>
      <c r="AE231" s="28" t="n"/>
      <c r="AF231" s="28" t="n"/>
      <c r="AG231" s="29">
        <f>IF(AND(AD231=0,AE231=0,AF231=0),0,IF(AND(AD231=0,AE231=0),AF231/1,IF(AND(AD231=0,AF231=0),AE231/1,IF(AND(AE231=0,AF231=0),AD231/1,IF(AD231=0,FLOOR((AE231+AF231)/2,0.1),IF(AE231=0,(AD231+AF231)/2,IF(AF231=0,(AE231+AD231)/2,FLOOR(((AD231+AE231+AF231)/3),0.1))))))))</f>
        <v/>
      </c>
      <c r="AH231" s="21" t="n"/>
      <c r="AI231" s="21" t="n"/>
      <c r="AJ231" s="27">
        <f>SUM(AH231:AI231)</f>
        <v/>
      </c>
      <c r="AK231" s="28" t="n"/>
      <c r="AL231" s="28" t="n"/>
      <c r="AM231" s="29">
        <f>IF(AND(AJ231=0,AK231=0,AL231=0),0,IF(AND(AJ231=0,AK231=0),AL231/1,IF(AND(AJ231=0,AL231=0),AK231/1,IF(AND(AK231=0,AL231=0),AJ231/1,IF(AJ231=0,FLOOR((AK231+AL231)/2,0.1),IF(AK231=0,(AJ231+AL231)/2,IF(AL231=0,(AK231+AJ231)/2,FLOOR(((AJ231+AK231+AL231)/3),0.1))))))))</f>
        <v/>
      </c>
      <c r="AN231" s="21" t="n"/>
      <c r="AO231" s="21" t="n"/>
      <c r="AP231" s="27">
        <f>SUM(AN231:AO231)</f>
        <v/>
      </c>
      <c r="AQ231" s="28" t="n"/>
      <c r="AR231" s="30" t="n"/>
      <c r="AS231" s="29">
        <f>IF(AND(AP231=0,AQ231=0,AR231=0),0,IF(AND(AP231=0,AQ231=0),AR231/1,IF(AND(AP231=0,AR231=0),AQ231/1,IF(AND(AQ231=0,AR231=0),AP231/1,IF(AP231=0,FLOOR((AQ231+AR231)/2,0.1),IF(AQ231=0,(AP231+AR231)/2,IF(AR231=0,(AQ231+AP231)/2,FLOOR(((AP231+AQ231+AR231)/3),0.1))))))))</f>
        <v/>
      </c>
      <c r="AT231" s="21" t="n"/>
      <c r="AU231" s="21" t="n"/>
      <c r="AV231" s="27">
        <f>SUM(AT231:AU231)</f>
        <v/>
      </c>
      <c r="AW231" s="28" t="n"/>
      <c r="AX231" s="30" t="n"/>
      <c r="AY231" s="29">
        <f>IF(AND(AV231=0,AW231=0,AX231=0),0,IF(AND(AV231=0,AW231=0),AX231/1,IF(AND(AV231=0,AX231=0),AW231/1,IF(AND(AW231=0,AX231=0),AV231/1,IF(AV231=0,FLOOR((AW231+AX231)/2,0.1),IF(AW231=0,(AV231+AX231)/2,IF(AX231=0,(AW231+AV231)/2,FLOOR(((AV231+AW231+AX231)/3),0.1))))))))</f>
        <v/>
      </c>
      <c r="AZ231" s="21" t="n"/>
      <c r="BA231" s="21" t="n"/>
      <c r="BB231" s="27">
        <f>SUM(AZ231:BA231)</f>
        <v/>
      </c>
      <c r="BC231" s="28" t="n"/>
      <c r="BD231" s="28" t="n"/>
      <c r="BE231" s="29">
        <f>IF(AND(BB231=0,BC231=0,BD231=0),0,IF(AND(BB231=0,BC231=0),BD231/1,IF(AND(BB231=0,BD231=0),BC231/1,IF(AND(BC231=0,BD231=0),BB231/1,IF(BB231=0,FLOOR((BC231+BD231)/2,0.1),IF(BC231=0,(BB231+BD231)/2,IF(BD231=0,(BC231+BB231)/2,FLOOR(((BB231+BC231+BD231)/3),0.1))))))))</f>
        <v/>
      </c>
      <c r="BF231" s="21" t="n"/>
      <c r="BG231" s="21" t="n"/>
      <c r="BH231" s="27">
        <f>SUM(BF231:BG231)</f>
        <v/>
      </c>
      <c r="BI231" s="28" t="n"/>
      <c r="BJ231" s="28" t="n"/>
      <c r="BK231" s="29">
        <f>IF(AND(BH231=0,BI231=0,BJ231=0),0,IF(AND(BH231=0,BI231=0),BJ231/1,IF(AND(BH231=0,BJ231=0),BI231/1,IF(AND(BI231=0,BJ231=0),BH231/1,IF(BH231=0,FLOOR((BI231+BJ231)/2,0.1),IF(BI231=0,(BH231+BJ231)/2,IF(BJ231=0,(BI231+BH231)/2,FLOOR(((BH231+BI231+BJ231)/3),0.1))))))))</f>
        <v/>
      </c>
      <c r="BL231" s="21" t="n"/>
      <c r="BM231" s="21" t="n"/>
      <c r="BN231" s="27">
        <f>SUM(BL231:BM231)</f>
        <v/>
      </c>
      <c r="BO231" s="28" t="n"/>
      <c r="BP231" s="31" t="n"/>
      <c r="BQ231" s="29">
        <f>IF(AND(BN231=0,BO231=0,BP231=0),0,IF(AND(BN231=0,BO231=0),BP231/1,IF(AND(BN231=0,BP231=0),BO231/1,IF(AND(BO231=0,BP231=0),BN231/1,IF(BN231=0,FLOOR((BO231+BP231)/2,0.1),IF(BO231=0,(BN231+BP231)/2,IF(BP231=0,(BO231+BN231)/2,FLOOR(((BN231+BO231+BP231)/3),0.1))))))))</f>
        <v/>
      </c>
      <c r="BR231" s="21" t="n"/>
      <c r="BS231" s="21" t="n"/>
      <c r="BT231" s="27">
        <f>SUM(BR231:BS231)</f>
        <v/>
      </c>
      <c r="BU231" s="28" t="n"/>
      <c r="BV231" s="31" t="n"/>
      <c r="BW231" s="29">
        <f>IF(AND(BT231=0,BU231=0,BV231=0),0,IF(AND(BT231=0,BU231=0),BV231/1,IF(AND(BT231=0,BV231=0),BU231/1,IF(AND(BU231=0,BV231=0),BT231/1,IF(BT231=0,FLOOR((BU231+BV231)/2,0.1),IF(BU231=0,(BT231+BV231)/2,IF(BV231=0,(BU231+BT231)/2,FLOOR(((BT231+BU231+BV231)/3),0.1))))))))</f>
        <v/>
      </c>
      <c r="BX231" s="21" t="n"/>
      <c r="BY231" s="21" t="n"/>
      <c r="BZ231" s="27">
        <f>SUM(BX231:BY231)</f>
        <v/>
      </c>
      <c r="CA231" s="28" t="n"/>
      <c r="CB231" s="31" t="n"/>
      <c r="CC231" s="29">
        <f>IF(AND(BZ231=0,CA231=0,CB231=0),0,IF(AND(BZ231=0,CA231=0),CB231/1,IF(AND(BZ231=0,CB231=0),CA231/1,IF(AND(CA231=0,CB231=0),BZ231/1,IF(BZ231=0,FLOOR((CA231+CB231)/2,0.1),IF(CA231=0,(BZ231+CB231)/2,IF(CB231=0,(CA231+BZ231)/2,FLOOR(((BZ231+CA231+CB231)/3),0.1))))))))</f>
        <v/>
      </c>
      <c r="CD231" s="21" t="n"/>
      <c r="CE231" s="21" t="n"/>
      <c r="CF231" s="27">
        <f>SUM(CD231:CE231)</f>
        <v/>
      </c>
      <c r="CG231" s="28" t="n"/>
      <c r="CH231" s="31" t="n"/>
      <c r="CI231" s="29">
        <f>IF(AND(CF231=0,CG231=0,CH231=0),0,IF(AND(CF231=0,CG231=0),CH231/1,IF(AND(CF231=0,CH231=0),CG231/1,IF(AND(CG231=0,CH231=0),CF231/1,IF(CF231=0,FLOOR((CG231+CH231)/2,0.1),IF(CG231=0,(CF231+CH231)/2,IF(CH231=0,(CG231+CF231)/2,FLOOR(((CF231+CG231+CH231)/3),0.1))))))))</f>
        <v/>
      </c>
      <c r="CJ231" s="21" t="n"/>
      <c r="CK231" s="21" t="n"/>
      <c r="CL231" s="27">
        <f>SUM(CJ231:CK231)</f>
        <v/>
      </c>
      <c r="CM231" s="28" t="n"/>
      <c r="CN231" s="31" t="n"/>
      <c r="CO231" s="29">
        <f>IF(AND(CL231=0,CM231=0,CN231=0),0,IF(AND(CL231=0,CM231=0),CN231/1,IF(AND(CL231=0,CN231=0),CM231/1,IF(AND(CM231=0,CN231=0),CL231/1,IF(CL231=0,FLOOR((CM231+CN231)/2,0.1),IF(CM231=0,(CL231+CN231)/2,IF(CN231=0,(CM231+CL231)/2,FLOOR(((CL231+CM231+CN231)/3),0.1))))))))</f>
        <v/>
      </c>
      <c r="CP231" s="21" t="n"/>
      <c r="CQ231" s="21" t="n"/>
      <c r="CR231" s="27">
        <f>SUM(CP231:CQ231)</f>
        <v/>
      </c>
      <c r="CS231" s="28" t="n"/>
      <c r="CT231" s="31" t="n"/>
      <c r="CU231" s="29">
        <f>IF(AND(CR231=0,CS231=0,CT231=0),0,IF(AND(CR231=0,CS231=0),CT231/1,IF(AND(CR231=0,CT231=0),CS231/1,IF(AND(CS231=0,CT231=0),CR231/1,IF(CR231=0,FLOOR((CS231+CT231)/2,0.1),IF(CS231=0,(CR231+CT231)/2,IF(CT231=0,(CS231+CR231)/2,FLOOR(((CR231+CS231+CT231)/3),0.1))))))))</f>
        <v/>
      </c>
      <c r="CV231" s="21" t="n"/>
      <c r="CW231" s="21" t="n"/>
      <c r="CX231" s="27">
        <f>SUM(CV231:CW231)</f>
        <v/>
      </c>
      <c r="CY231" s="28" t="n"/>
      <c r="CZ231" s="31" t="n"/>
      <c r="DA231" s="29">
        <f>IF(AND(CX231=0,CY231=0,CZ231=0),0,IF(AND(CX231=0,CY231=0),CZ231/1,IF(AND(CX231=0,CZ231=0),CY231/1,IF(AND(CY231=0,CZ231=0),CX231/1,IF(CX231=0,FLOOR((CY231+CZ231)/2,0.1),IF(CY231=0,(CX231+CZ231)/2,IF(CZ231=0,(CY231+CX231)/2,FLOOR(((CX231+CY231+CZ231)/3),0.1))))))))</f>
        <v/>
      </c>
      <c r="DB231" s="21" t="n"/>
      <c r="DC231" s="21" t="n"/>
      <c r="DD231" s="27">
        <f>SUM(DB231:DC231)</f>
        <v/>
      </c>
      <c r="DE231" s="28" t="n"/>
      <c r="DF231" s="31" t="n"/>
      <c r="DG231" s="29">
        <f>IF(AND(DD231=0,DE231=0,DF231=0),0,IF(AND(DD231=0,DE231=0),DF231/1,IF(AND(DD231=0,DF231=0),DE231/1,IF(AND(DE231=0,DF231=0),DD231/1,IF(DD231=0,FLOOR((DE231+DF231)/2,0.1),IF(DE231=0,(DD231+DF231)/2,IF(DF231=0,(DE231+DD231)/2,FLOOR(((DD231+DE231+DF231)/3),0.1))))))))</f>
        <v/>
      </c>
      <c r="DH231" s="34">
        <f>SUM(O231,U231,AA231,AG231,AM231,AS231,AY231,BE231,BK231,BQ231,BW231,CC231,CI231,CO231,CU231,DA231,DG231)</f>
        <v/>
      </c>
      <c r="DI231" s="39">
        <f>RANK(DH231,DH$4:DH$503)</f>
        <v/>
      </c>
      <c r="DJ231" s="40" t="inlineStr">
        <is>
          <t>CHOOSE RATING</t>
        </is>
      </c>
      <c r="DK231" s="40" t="inlineStr">
        <is>
          <t>CHOOSE RATING</t>
        </is>
      </c>
      <c r="DL231" s="40" t="inlineStr">
        <is>
          <t>CHOOSE RATING</t>
        </is>
      </c>
      <c r="DM231" s="40" t="inlineStr">
        <is>
          <t>CHOOSE RATING</t>
        </is>
      </c>
      <c r="DN231" s="40" t="inlineStr">
        <is>
          <t>CHOOSE RATING</t>
        </is>
      </c>
      <c r="DO231" s="40" t="inlineStr">
        <is>
          <t>CHOOSE RATING</t>
        </is>
      </c>
      <c r="DP231" s="40" t="inlineStr">
        <is>
          <t>CHOOSE RATING</t>
        </is>
      </c>
      <c r="DQ231" s="40" t="inlineStr">
        <is>
          <t>CHOOSE RATING</t>
        </is>
      </c>
      <c r="DR231" s="43" t="inlineStr">
        <is>
          <t>2024/2025</t>
        </is>
      </c>
      <c r="DS231" s="45" t="inlineStr">
        <is>
          <t>THIRD</t>
        </is>
      </c>
      <c r="DT231" s="40" t="inlineStr">
        <is>
          <t>CHOOSE RATING</t>
        </is>
      </c>
      <c r="DU231" s="40" t="inlineStr">
        <is>
          <t>CHOOSE RATING</t>
        </is>
      </c>
      <c r="DV231" s="40" t="inlineStr">
        <is>
          <t>CHOOSE RATING</t>
        </is>
      </c>
      <c r="DW231" s="40" t="inlineStr">
        <is>
          <t>CHOOSE RATING</t>
        </is>
      </c>
      <c r="DX231" s="40" t="inlineStr">
        <is>
          <t>CHOOSE RATING</t>
        </is>
      </c>
      <c r="DY231" s="40" t="inlineStr">
        <is>
          <t>CHOOSE RATING</t>
        </is>
      </c>
      <c r="DZ231" s="53" t="inlineStr">
        <is>
          <t>CHOOSE RATING</t>
        </is>
      </c>
      <c r="EA231" s="54" t="inlineStr">
        <is>
          <t>Add the Tutor's Comment . . .</t>
        </is>
      </c>
      <c r="EB231" s="55" t="inlineStr">
        <is>
          <t>Choose Principals comment</t>
        </is>
      </c>
      <c r="EC231" s="56" t="n"/>
      <c r="ED231" s="57" t="inlineStr">
        <is>
          <t>Next Term Begins on Monday, 22nd September, 2025</t>
        </is>
      </c>
    </row>
    <row r="232" ht="30.6" customHeight="1" s="6">
      <c r="A232" s="18" t="n">
        <v>229</v>
      </c>
      <c r="B232" s="19" t="n"/>
      <c r="C232" s="20" t="n"/>
      <c r="D232" s="128" t="n"/>
      <c r="E232" s="21" t="n"/>
      <c r="F232" s="22" t="n"/>
      <c r="G232" s="22" t="n"/>
      <c r="H232" s="22" t="n"/>
      <c r="I232" s="26">
        <f>G232-H232</f>
        <v/>
      </c>
      <c r="J232" s="21" t="n"/>
      <c r="K232" s="21" t="n"/>
      <c r="L232" s="27">
        <f>SUM(J232:K232)</f>
        <v/>
      </c>
      <c r="M232" s="28" t="n"/>
      <c r="N232" s="28" t="n"/>
      <c r="O232" s="29">
        <f>IF(AND(L232=0,M232=0,N232=0),0,IF(AND(L232=0,M232=0),N232/1,IF(AND(L232=0,N232=0),M232/1,IF(AND(M232=0,N232=0),L232/1,IF(L232=0,FLOOR((M232+N232)/2,0.1),IF(M232=0,(L232+N232)/2,IF(N232=0,(M232+L232)/2,FLOOR(((L232+M232+N232)/3),0.1))))))))</f>
        <v/>
      </c>
      <c r="P232" s="21" t="n"/>
      <c r="Q232" s="21" t="n"/>
      <c r="R232" s="27">
        <f>SUM(P232:Q232)</f>
        <v/>
      </c>
      <c r="S232" s="28" t="n"/>
      <c r="T232" s="28" t="n"/>
      <c r="U232" s="29">
        <f>IF(AND(R232=0,S232=0,T232=0),0,IF(AND(R232=0,S232=0),T232/1,IF(AND(R232=0,T232=0),S232/1,IF(AND(S232=0,T232=0),R232/1,IF(R232=0,FLOOR((S232+T232)/2,0.1),IF(S232=0,(R232+T232)/2,IF(T232=0,(S232+R232)/2,FLOOR(((R232+S232+T232)/3),0.1))))))))</f>
        <v/>
      </c>
      <c r="V232" s="21" t="n"/>
      <c r="W232" s="21" t="n"/>
      <c r="X232" s="27">
        <f>SUM(V232:W232)</f>
        <v/>
      </c>
      <c r="Y232" s="28" t="n"/>
      <c r="Z232" s="28" t="n"/>
      <c r="AA232" s="29">
        <f>IF(AND(X232=0,Y232=0,Z232=0),0,IF(AND(X232=0,Y232=0),Z232/1,IF(AND(X232=0,Z232=0),Y232/1,IF(AND(Y232=0,Z232=0),X232/1,IF(X232=0,FLOOR((Y232+Z232)/2,0.1),IF(Y232=0,(X232+Z232)/2,IF(Z232=0,(Y232+X232)/2,FLOOR(((X232+Y232+Z232)/3),0.1))))))))</f>
        <v/>
      </c>
      <c r="AB232" s="21" t="n"/>
      <c r="AC232" s="21" t="n"/>
      <c r="AD232" s="27">
        <f>SUM(AB232:AC232)</f>
        <v/>
      </c>
      <c r="AE232" s="28" t="n"/>
      <c r="AF232" s="28" t="n"/>
      <c r="AG232" s="29">
        <f>IF(AND(AD232=0,AE232=0,AF232=0),0,IF(AND(AD232=0,AE232=0),AF232/1,IF(AND(AD232=0,AF232=0),AE232/1,IF(AND(AE232=0,AF232=0),AD232/1,IF(AD232=0,FLOOR((AE232+AF232)/2,0.1),IF(AE232=0,(AD232+AF232)/2,IF(AF232=0,(AE232+AD232)/2,FLOOR(((AD232+AE232+AF232)/3),0.1))))))))</f>
        <v/>
      </c>
      <c r="AH232" s="21" t="n"/>
      <c r="AI232" s="21" t="n"/>
      <c r="AJ232" s="27">
        <f>SUM(AH232:AI232)</f>
        <v/>
      </c>
      <c r="AK232" s="28" t="n"/>
      <c r="AL232" s="28" t="n"/>
      <c r="AM232" s="29">
        <f>IF(AND(AJ232=0,AK232=0,AL232=0),0,IF(AND(AJ232=0,AK232=0),AL232/1,IF(AND(AJ232=0,AL232=0),AK232/1,IF(AND(AK232=0,AL232=0),AJ232/1,IF(AJ232=0,FLOOR((AK232+AL232)/2,0.1),IF(AK232=0,(AJ232+AL232)/2,IF(AL232=0,(AK232+AJ232)/2,FLOOR(((AJ232+AK232+AL232)/3),0.1))))))))</f>
        <v/>
      </c>
      <c r="AN232" s="21" t="n"/>
      <c r="AO232" s="21" t="n"/>
      <c r="AP232" s="27">
        <f>SUM(AN232:AO232)</f>
        <v/>
      </c>
      <c r="AQ232" s="28" t="n"/>
      <c r="AR232" s="30" t="n"/>
      <c r="AS232" s="29">
        <f>IF(AND(AP232=0,AQ232=0,AR232=0),0,IF(AND(AP232=0,AQ232=0),AR232/1,IF(AND(AP232=0,AR232=0),AQ232/1,IF(AND(AQ232=0,AR232=0),AP232/1,IF(AP232=0,FLOOR((AQ232+AR232)/2,0.1),IF(AQ232=0,(AP232+AR232)/2,IF(AR232=0,(AQ232+AP232)/2,FLOOR(((AP232+AQ232+AR232)/3),0.1))))))))</f>
        <v/>
      </c>
      <c r="AT232" s="21" t="n"/>
      <c r="AU232" s="21" t="n"/>
      <c r="AV232" s="27">
        <f>SUM(AT232:AU232)</f>
        <v/>
      </c>
      <c r="AW232" s="28" t="n"/>
      <c r="AX232" s="30" t="n"/>
      <c r="AY232" s="29">
        <f>IF(AND(AV232=0,AW232=0,AX232=0),0,IF(AND(AV232=0,AW232=0),AX232/1,IF(AND(AV232=0,AX232=0),AW232/1,IF(AND(AW232=0,AX232=0),AV232/1,IF(AV232=0,FLOOR((AW232+AX232)/2,0.1),IF(AW232=0,(AV232+AX232)/2,IF(AX232=0,(AW232+AV232)/2,FLOOR(((AV232+AW232+AX232)/3),0.1))))))))</f>
        <v/>
      </c>
      <c r="AZ232" s="21" t="n"/>
      <c r="BA232" s="21" t="n"/>
      <c r="BB232" s="27">
        <f>SUM(AZ232:BA232)</f>
        <v/>
      </c>
      <c r="BC232" s="28" t="n"/>
      <c r="BD232" s="28" t="n"/>
      <c r="BE232" s="29">
        <f>IF(AND(BB232=0,BC232=0,BD232=0),0,IF(AND(BB232=0,BC232=0),BD232/1,IF(AND(BB232=0,BD232=0),BC232/1,IF(AND(BC232=0,BD232=0),BB232/1,IF(BB232=0,FLOOR((BC232+BD232)/2,0.1),IF(BC232=0,(BB232+BD232)/2,IF(BD232=0,(BC232+BB232)/2,FLOOR(((BB232+BC232+BD232)/3),0.1))))))))</f>
        <v/>
      </c>
      <c r="BF232" s="21" t="n"/>
      <c r="BG232" s="21" t="n"/>
      <c r="BH232" s="27">
        <f>SUM(BF232:BG232)</f>
        <v/>
      </c>
      <c r="BI232" s="28" t="n"/>
      <c r="BJ232" s="28" t="n"/>
      <c r="BK232" s="29">
        <f>IF(AND(BH232=0,BI232=0,BJ232=0),0,IF(AND(BH232=0,BI232=0),BJ232/1,IF(AND(BH232=0,BJ232=0),BI232/1,IF(AND(BI232=0,BJ232=0),BH232/1,IF(BH232=0,FLOOR((BI232+BJ232)/2,0.1),IF(BI232=0,(BH232+BJ232)/2,IF(BJ232=0,(BI232+BH232)/2,FLOOR(((BH232+BI232+BJ232)/3),0.1))))))))</f>
        <v/>
      </c>
      <c r="BL232" s="21" t="n"/>
      <c r="BM232" s="21" t="n"/>
      <c r="BN232" s="27">
        <f>SUM(BL232:BM232)</f>
        <v/>
      </c>
      <c r="BO232" s="28" t="n"/>
      <c r="BP232" s="31" t="n"/>
      <c r="BQ232" s="29">
        <f>IF(AND(BN232=0,BO232=0,BP232=0),0,IF(AND(BN232=0,BO232=0),BP232/1,IF(AND(BN232=0,BP232=0),BO232/1,IF(AND(BO232=0,BP232=0),BN232/1,IF(BN232=0,FLOOR((BO232+BP232)/2,0.1),IF(BO232=0,(BN232+BP232)/2,IF(BP232=0,(BO232+BN232)/2,FLOOR(((BN232+BO232+BP232)/3),0.1))))))))</f>
        <v/>
      </c>
      <c r="BR232" s="21" t="n"/>
      <c r="BS232" s="21" t="n"/>
      <c r="BT232" s="27">
        <f>SUM(BR232:BS232)</f>
        <v/>
      </c>
      <c r="BU232" s="28" t="n"/>
      <c r="BV232" s="31" t="n"/>
      <c r="BW232" s="29">
        <f>IF(AND(BT232=0,BU232=0,BV232=0),0,IF(AND(BT232=0,BU232=0),BV232/1,IF(AND(BT232=0,BV232=0),BU232/1,IF(AND(BU232=0,BV232=0),BT232/1,IF(BT232=0,FLOOR((BU232+BV232)/2,0.1),IF(BU232=0,(BT232+BV232)/2,IF(BV232=0,(BU232+BT232)/2,FLOOR(((BT232+BU232+BV232)/3),0.1))))))))</f>
        <v/>
      </c>
      <c r="BX232" s="21" t="n"/>
      <c r="BY232" s="21" t="n"/>
      <c r="BZ232" s="27">
        <f>SUM(BX232:BY232)</f>
        <v/>
      </c>
      <c r="CA232" s="28" t="n"/>
      <c r="CB232" s="31" t="n"/>
      <c r="CC232" s="29">
        <f>IF(AND(BZ232=0,CA232=0,CB232=0),0,IF(AND(BZ232=0,CA232=0),CB232/1,IF(AND(BZ232=0,CB232=0),CA232/1,IF(AND(CA232=0,CB232=0),BZ232/1,IF(BZ232=0,FLOOR((CA232+CB232)/2,0.1),IF(CA232=0,(BZ232+CB232)/2,IF(CB232=0,(CA232+BZ232)/2,FLOOR(((BZ232+CA232+CB232)/3),0.1))))))))</f>
        <v/>
      </c>
      <c r="CD232" s="21" t="n"/>
      <c r="CE232" s="21" t="n"/>
      <c r="CF232" s="27">
        <f>SUM(CD232:CE232)</f>
        <v/>
      </c>
      <c r="CG232" s="28" t="n"/>
      <c r="CH232" s="31" t="n"/>
      <c r="CI232" s="29">
        <f>IF(AND(CF232=0,CG232=0,CH232=0),0,IF(AND(CF232=0,CG232=0),CH232/1,IF(AND(CF232=0,CH232=0),CG232/1,IF(AND(CG232=0,CH232=0),CF232/1,IF(CF232=0,FLOOR((CG232+CH232)/2,0.1),IF(CG232=0,(CF232+CH232)/2,IF(CH232=0,(CG232+CF232)/2,FLOOR(((CF232+CG232+CH232)/3),0.1))))))))</f>
        <v/>
      </c>
      <c r="CJ232" s="21" t="n"/>
      <c r="CK232" s="21" t="n"/>
      <c r="CL232" s="27">
        <f>SUM(CJ232:CK232)</f>
        <v/>
      </c>
      <c r="CM232" s="28" t="n"/>
      <c r="CN232" s="31" t="n"/>
      <c r="CO232" s="29">
        <f>IF(AND(CL232=0,CM232=0,CN232=0),0,IF(AND(CL232=0,CM232=0),CN232/1,IF(AND(CL232=0,CN232=0),CM232/1,IF(AND(CM232=0,CN232=0),CL232/1,IF(CL232=0,FLOOR((CM232+CN232)/2,0.1),IF(CM232=0,(CL232+CN232)/2,IF(CN232=0,(CM232+CL232)/2,FLOOR(((CL232+CM232+CN232)/3),0.1))))))))</f>
        <v/>
      </c>
      <c r="CP232" s="21" t="n"/>
      <c r="CQ232" s="21" t="n"/>
      <c r="CR232" s="27">
        <f>SUM(CP232:CQ232)</f>
        <v/>
      </c>
      <c r="CS232" s="28" t="n"/>
      <c r="CT232" s="31" t="n"/>
      <c r="CU232" s="29">
        <f>IF(AND(CR232=0,CS232=0,CT232=0),0,IF(AND(CR232=0,CS232=0),CT232/1,IF(AND(CR232=0,CT232=0),CS232/1,IF(AND(CS232=0,CT232=0),CR232/1,IF(CR232=0,FLOOR((CS232+CT232)/2,0.1),IF(CS232=0,(CR232+CT232)/2,IF(CT232=0,(CS232+CR232)/2,FLOOR(((CR232+CS232+CT232)/3),0.1))))))))</f>
        <v/>
      </c>
      <c r="CV232" s="21" t="n"/>
      <c r="CW232" s="21" t="n"/>
      <c r="CX232" s="27">
        <f>SUM(CV232:CW232)</f>
        <v/>
      </c>
      <c r="CY232" s="28" t="n"/>
      <c r="CZ232" s="31" t="n"/>
      <c r="DA232" s="29">
        <f>IF(AND(CX232=0,CY232=0,CZ232=0),0,IF(AND(CX232=0,CY232=0),CZ232/1,IF(AND(CX232=0,CZ232=0),CY232/1,IF(AND(CY232=0,CZ232=0),CX232/1,IF(CX232=0,FLOOR((CY232+CZ232)/2,0.1),IF(CY232=0,(CX232+CZ232)/2,IF(CZ232=0,(CY232+CX232)/2,FLOOR(((CX232+CY232+CZ232)/3),0.1))))))))</f>
        <v/>
      </c>
      <c r="DB232" s="21" t="n"/>
      <c r="DC232" s="21" t="n"/>
      <c r="DD232" s="27">
        <f>SUM(DB232:DC232)</f>
        <v/>
      </c>
      <c r="DE232" s="28" t="n"/>
      <c r="DF232" s="31" t="n"/>
      <c r="DG232" s="29">
        <f>IF(AND(DD232=0,DE232=0,DF232=0),0,IF(AND(DD232=0,DE232=0),DF232/1,IF(AND(DD232=0,DF232=0),DE232/1,IF(AND(DE232=0,DF232=0),DD232/1,IF(DD232=0,FLOOR((DE232+DF232)/2,0.1),IF(DE232=0,(DD232+DF232)/2,IF(DF232=0,(DE232+DD232)/2,FLOOR(((DD232+DE232+DF232)/3),0.1))))))))</f>
        <v/>
      </c>
      <c r="DH232" s="34">
        <f>SUM(O232,U232,AA232,AG232,AM232,AS232,AY232,BE232,BK232,BQ232,BW232,CC232,CI232,CO232,CU232,DA232,DG232)</f>
        <v/>
      </c>
      <c r="DI232" s="39">
        <f>RANK(DH232,DH$4:DH$503)</f>
        <v/>
      </c>
      <c r="DJ232" s="40" t="inlineStr">
        <is>
          <t>CHOOSE RATING</t>
        </is>
      </c>
      <c r="DK232" s="40" t="inlineStr">
        <is>
          <t>CHOOSE RATING</t>
        </is>
      </c>
      <c r="DL232" s="40" t="inlineStr">
        <is>
          <t>CHOOSE RATING</t>
        </is>
      </c>
      <c r="DM232" s="40" t="inlineStr">
        <is>
          <t>CHOOSE RATING</t>
        </is>
      </c>
      <c r="DN232" s="40" t="inlineStr">
        <is>
          <t>CHOOSE RATING</t>
        </is>
      </c>
      <c r="DO232" s="40" t="inlineStr">
        <is>
          <t>CHOOSE RATING</t>
        </is>
      </c>
      <c r="DP232" s="40" t="inlineStr">
        <is>
          <t>CHOOSE RATING</t>
        </is>
      </c>
      <c r="DQ232" s="40" t="inlineStr">
        <is>
          <t>CHOOSE RATING</t>
        </is>
      </c>
      <c r="DR232" s="43" t="inlineStr">
        <is>
          <t>2024/2025</t>
        </is>
      </c>
      <c r="DS232" s="45" t="inlineStr">
        <is>
          <t>THIRD</t>
        </is>
      </c>
      <c r="DT232" s="40" t="inlineStr">
        <is>
          <t>CHOOSE RATING</t>
        </is>
      </c>
      <c r="DU232" s="40" t="inlineStr">
        <is>
          <t>CHOOSE RATING</t>
        </is>
      </c>
      <c r="DV232" s="40" t="inlineStr">
        <is>
          <t>CHOOSE RATING</t>
        </is>
      </c>
      <c r="DW232" s="40" t="inlineStr">
        <is>
          <t>CHOOSE RATING</t>
        </is>
      </c>
      <c r="DX232" s="40" t="inlineStr">
        <is>
          <t>CHOOSE RATING</t>
        </is>
      </c>
      <c r="DY232" s="40" t="inlineStr">
        <is>
          <t>CHOOSE RATING</t>
        </is>
      </c>
      <c r="DZ232" s="53" t="inlineStr">
        <is>
          <t>CHOOSE RATING</t>
        </is>
      </c>
      <c r="EA232" s="54" t="inlineStr">
        <is>
          <t>Add the Tutor's Comment . . .</t>
        </is>
      </c>
      <c r="EB232" s="55" t="inlineStr">
        <is>
          <t>Choose Principals comment</t>
        </is>
      </c>
      <c r="EC232" s="56" t="n"/>
      <c r="ED232" s="57" t="inlineStr">
        <is>
          <t>Next Term Begins on Monday, 22nd September, 2025</t>
        </is>
      </c>
    </row>
    <row r="233" ht="30.6" customHeight="1" s="6">
      <c r="A233" s="18" t="n">
        <v>230</v>
      </c>
      <c r="B233" s="19" t="n"/>
      <c r="C233" s="20" t="n"/>
      <c r="D233" s="128" t="n"/>
      <c r="E233" s="21" t="n"/>
      <c r="F233" s="22" t="n"/>
      <c r="G233" s="22" t="n"/>
      <c r="H233" s="22" t="n"/>
      <c r="I233" s="26">
        <f>G233-H233</f>
        <v/>
      </c>
      <c r="J233" s="21" t="n"/>
      <c r="K233" s="21" t="n"/>
      <c r="L233" s="27">
        <f>SUM(J233:K233)</f>
        <v/>
      </c>
      <c r="M233" s="28" t="n"/>
      <c r="N233" s="28" t="n"/>
      <c r="O233" s="29">
        <f>IF(AND(L233=0,M233=0,N233=0),0,IF(AND(L233=0,M233=0),N233/1,IF(AND(L233=0,N233=0),M233/1,IF(AND(M233=0,N233=0),L233/1,IF(L233=0,FLOOR((M233+N233)/2,0.1),IF(M233=0,(L233+N233)/2,IF(N233=0,(M233+L233)/2,FLOOR(((L233+M233+N233)/3),0.1))))))))</f>
        <v/>
      </c>
      <c r="P233" s="21" t="n"/>
      <c r="Q233" s="21" t="n"/>
      <c r="R233" s="27">
        <f>SUM(P233:Q233)</f>
        <v/>
      </c>
      <c r="S233" s="28" t="n"/>
      <c r="T233" s="28" t="n"/>
      <c r="U233" s="29">
        <f>IF(AND(R233=0,S233=0,T233=0),0,IF(AND(R233=0,S233=0),T233/1,IF(AND(R233=0,T233=0),S233/1,IF(AND(S233=0,T233=0),R233/1,IF(R233=0,FLOOR((S233+T233)/2,0.1),IF(S233=0,(R233+T233)/2,IF(T233=0,(S233+R233)/2,FLOOR(((R233+S233+T233)/3),0.1))))))))</f>
        <v/>
      </c>
      <c r="V233" s="21" t="n"/>
      <c r="W233" s="21" t="n"/>
      <c r="X233" s="27">
        <f>SUM(V233:W233)</f>
        <v/>
      </c>
      <c r="Y233" s="28" t="n"/>
      <c r="Z233" s="28" t="n"/>
      <c r="AA233" s="29">
        <f>IF(AND(X233=0,Y233=0,Z233=0),0,IF(AND(X233=0,Y233=0),Z233/1,IF(AND(X233=0,Z233=0),Y233/1,IF(AND(Y233=0,Z233=0),X233/1,IF(X233=0,FLOOR((Y233+Z233)/2,0.1),IF(Y233=0,(X233+Z233)/2,IF(Z233=0,(Y233+X233)/2,FLOOR(((X233+Y233+Z233)/3),0.1))))))))</f>
        <v/>
      </c>
      <c r="AB233" s="21" t="n"/>
      <c r="AC233" s="21" t="n"/>
      <c r="AD233" s="27">
        <f>SUM(AB233:AC233)</f>
        <v/>
      </c>
      <c r="AE233" s="28" t="n"/>
      <c r="AF233" s="28" t="n"/>
      <c r="AG233" s="29">
        <f>IF(AND(AD233=0,AE233=0,AF233=0),0,IF(AND(AD233=0,AE233=0),AF233/1,IF(AND(AD233=0,AF233=0),AE233/1,IF(AND(AE233=0,AF233=0),AD233/1,IF(AD233=0,FLOOR((AE233+AF233)/2,0.1),IF(AE233=0,(AD233+AF233)/2,IF(AF233=0,(AE233+AD233)/2,FLOOR(((AD233+AE233+AF233)/3),0.1))))))))</f>
        <v/>
      </c>
      <c r="AH233" s="21" t="n"/>
      <c r="AI233" s="21" t="n"/>
      <c r="AJ233" s="27">
        <f>SUM(AH233:AI233)</f>
        <v/>
      </c>
      <c r="AK233" s="28" t="n"/>
      <c r="AL233" s="28" t="n"/>
      <c r="AM233" s="29">
        <f>IF(AND(AJ233=0,AK233=0,AL233=0),0,IF(AND(AJ233=0,AK233=0),AL233/1,IF(AND(AJ233=0,AL233=0),AK233/1,IF(AND(AK233=0,AL233=0),AJ233/1,IF(AJ233=0,FLOOR((AK233+AL233)/2,0.1),IF(AK233=0,(AJ233+AL233)/2,IF(AL233=0,(AK233+AJ233)/2,FLOOR(((AJ233+AK233+AL233)/3),0.1))))))))</f>
        <v/>
      </c>
      <c r="AN233" s="21" t="n"/>
      <c r="AO233" s="21" t="n"/>
      <c r="AP233" s="27">
        <f>SUM(AN233:AO233)</f>
        <v/>
      </c>
      <c r="AQ233" s="28" t="n"/>
      <c r="AR233" s="30" t="n"/>
      <c r="AS233" s="29">
        <f>IF(AND(AP233=0,AQ233=0,AR233=0),0,IF(AND(AP233=0,AQ233=0),AR233/1,IF(AND(AP233=0,AR233=0),AQ233/1,IF(AND(AQ233=0,AR233=0),AP233/1,IF(AP233=0,FLOOR((AQ233+AR233)/2,0.1),IF(AQ233=0,(AP233+AR233)/2,IF(AR233=0,(AQ233+AP233)/2,FLOOR(((AP233+AQ233+AR233)/3),0.1))))))))</f>
        <v/>
      </c>
      <c r="AT233" s="21" t="n"/>
      <c r="AU233" s="21" t="n"/>
      <c r="AV233" s="27">
        <f>SUM(AT233:AU233)</f>
        <v/>
      </c>
      <c r="AW233" s="28" t="n"/>
      <c r="AX233" s="30" t="n"/>
      <c r="AY233" s="29">
        <f>IF(AND(AV233=0,AW233=0,AX233=0),0,IF(AND(AV233=0,AW233=0),AX233/1,IF(AND(AV233=0,AX233=0),AW233/1,IF(AND(AW233=0,AX233=0),AV233/1,IF(AV233=0,FLOOR((AW233+AX233)/2,0.1),IF(AW233=0,(AV233+AX233)/2,IF(AX233=0,(AW233+AV233)/2,FLOOR(((AV233+AW233+AX233)/3),0.1))))))))</f>
        <v/>
      </c>
      <c r="AZ233" s="21" t="n"/>
      <c r="BA233" s="21" t="n"/>
      <c r="BB233" s="27">
        <f>SUM(AZ233:BA233)</f>
        <v/>
      </c>
      <c r="BC233" s="28" t="n"/>
      <c r="BD233" s="28" t="n"/>
      <c r="BE233" s="29">
        <f>IF(AND(BB233=0,BC233=0,BD233=0),0,IF(AND(BB233=0,BC233=0),BD233/1,IF(AND(BB233=0,BD233=0),BC233/1,IF(AND(BC233=0,BD233=0),BB233/1,IF(BB233=0,FLOOR((BC233+BD233)/2,0.1),IF(BC233=0,(BB233+BD233)/2,IF(BD233=0,(BC233+BB233)/2,FLOOR(((BB233+BC233+BD233)/3),0.1))))))))</f>
        <v/>
      </c>
      <c r="BF233" s="21" t="n"/>
      <c r="BG233" s="21" t="n"/>
      <c r="BH233" s="27">
        <f>SUM(BF233:BG233)</f>
        <v/>
      </c>
      <c r="BI233" s="28" t="n"/>
      <c r="BJ233" s="28" t="n"/>
      <c r="BK233" s="29">
        <f>IF(AND(BH233=0,BI233=0,BJ233=0),0,IF(AND(BH233=0,BI233=0),BJ233/1,IF(AND(BH233=0,BJ233=0),BI233/1,IF(AND(BI233=0,BJ233=0),BH233/1,IF(BH233=0,FLOOR((BI233+BJ233)/2,0.1),IF(BI233=0,(BH233+BJ233)/2,IF(BJ233=0,(BI233+BH233)/2,FLOOR(((BH233+BI233+BJ233)/3),0.1))))))))</f>
        <v/>
      </c>
      <c r="BL233" s="21" t="n"/>
      <c r="BM233" s="21" t="n"/>
      <c r="BN233" s="27">
        <f>SUM(BL233:BM233)</f>
        <v/>
      </c>
      <c r="BO233" s="28" t="n"/>
      <c r="BP233" s="31" t="n"/>
      <c r="BQ233" s="29">
        <f>IF(AND(BN233=0,BO233=0,BP233=0),0,IF(AND(BN233=0,BO233=0),BP233/1,IF(AND(BN233=0,BP233=0),BO233/1,IF(AND(BO233=0,BP233=0),BN233/1,IF(BN233=0,FLOOR((BO233+BP233)/2,0.1),IF(BO233=0,(BN233+BP233)/2,IF(BP233=0,(BO233+BN233)/2,FLOOR(((BN233+BO233+BP233)/3),0.1))))))))</f>
        <v/>
      </c>
      <c r="BR233" s="21" t="n"/>
      <c r="BS233" s="21" t="n"/>
      <c r="BT233" s="27">
        <f>SUM(BR233:BS233)</f>
        <v/>
      </c>
      <c r="BU233" s="28" t="n"/>
      <c r="BV233" s="31" t="n"/>
      <c r="BW233" s="29">
        <f>IF(AND(BT233=0,BU233=0,BV233=0),0,IF(AND(BT233=0,BU233=0),BV233/1,IF(AND(BT233=0,BV233=0),BU233/1,IF(AND(BU233=0,BV233=0),BT233/1,IF(BT233=0,FLOOR((BU233+BV233)/2,0.1),IF(BU233=0,(BT233+BV233)/2,IF(BV233=0,(BU233+BT233)/2,FLOOR(((BT233+BU233+BV233)/3),0.1))))))))</f>
        <v/>
      </c>
      <c r="BX233" s="21" t="n"/>
      <c r="BY233" s="21" t="n"/>
      <c r="BZ233" s="27">
        <f>SUM(BX233:BY233)</f>
        <v/>
      </c>
      <c r="CA233" s="28" t="n"/>
      <c r="CB233" s="31" t="n"/>
      <c r="CC233" s="29">
        <f>IF(AND(BZ233=0,CA233=0,CB233=0),0,IF(AND(BZ233=0,CA233=0),CB233/1,IF(AND(BZ233=0,CB233=0),CA233/1,IF(AND(CA233=0,CB233=0),BZ233/1,IF(BZ233=0,FLOOR((CA233+CB233)/2,0.1),IF(CA233=0,(BZ233+CB233)/2,IF(CB233=0,(CA233+BZ233)/2,FLOOR(((BZ233+CA233+CB233)/3),0.1))))))))</f>
        <v/>
      </c>
      <c r="CD233" s="21" t="n"/>
      <c r="CE233" s="21" t="n"/>
      <c r="CF233" s="27">
        <f>SUM(CD233:CE233)</f>
        <v/>
      </c>
      <c r="CG233" s="28" t="n"/>
      <c r="CH233" s="31" t="n"/>
      <c r="CI233" s="29">
        <f>IF(AND(CF233=0,CG233=0,CH233=0),0,IF(AND(CF233=0,CG233=0),CH233/1,IF(AND(CF233=0,CH233=0),CG233/1,IF(AND(CG233=0,CH233=0),CF233/1,IF(CF233=0,FLOOR((CG233+CH233)/2,0.1),IF(CG233=0,(CF233+CH233)/2,IF(CH233=0,(CG233+CF233)/2,FLOOR(((CF233+CG233+CH233)/3),0.1))))))))</f>
        <v/>
      </c>
      <c r="CJ233" s="21" t="n"/>
      <c r="CK233" s="21" t="n"/>
      <c r="CL233" s="27">
        <f>SUM(CJ233:CK233)</f>
        <v/>
      </c>
      <c r="CM233" s="28" t="n"/>
      <c r="CN233" s="31" t="n"/>
      <c r="CO233" s="29">
        <f>IF(AND(CL233=0,CM233=0,CN233=0),0,IF(AND(CL233=0,CM233=0),CN233/1,IF(AND(CL233=0,CN233=0),CM233/1,IF(AND(CM233=0,CN233=0),CL233/1,IF(CL233=0,FLOOR((CM233+CN233)/2,0.1),IF(CM233=0,(CL233+CN233)/2,IF(CN233=0,(CM233+CL233)/2,FLOOR(((CL233+CM233+CN233)/3),0.1))))))))</f>
        <v/>
      </c>
      <c r="CP233" s="21" t="n"/>
      <c r="CQ233" s="21" t="n"/>
      <c r="CR233" s="27">
        <f>SUM(CP233:CQ233)</f>
        <v/>
      </c>
      <c r="CS233" s="28" t="n"/>
      <c r="CT233" s="31" t="n"/>
      <c r="CU233" s="29">
        <f>IF(AND(CR233=0,CS233=0,CT233=0),0,IF(AND(CR233=0,CS233=0),CT233/1,IF(AND(CR233=0,CT233=0),CS233/1,IF(AND(CS233=0,CT233=0),CR233/1,IF(CR233=0,FLOOR((CS233+CT233)/2,0.1),IF(CS233=0,(CR233+CT233)/2,IF(CT233=0,(CS233+CR233)/2,FLOOR(((CR233+CS233+CT233)/3),0.1))))))))</f>
        <v/>
      </c>
      <c r="CV233" s="21" t="n"/>
      <c r="CW233" s="21" t="n"/>
      <c r="CX233" s="27">
        <f>SUM(CV233:CW233)</f>
        <v/>
      </c>
      <c r="CY233" s="28" t="n"/>
      <c r="CZ233" s="31" t="n"/>
      <c r="DA233" s="29">
        <f>IF(AND(CX233=0,CY233=0,CZ233=0),0,IF(AND(CX233=0,CY233=0),CZ233/1,IF(AND(CX233=0,CZ233=0),CY233/1,IF(AND(CY233=0,CZ233=0),CX233/1,IF(CX233=0,FLOOR((CY233+CZ233)/2,0.1),IF(CY233=0,(CX233+CZ233)/2,IF(CZ233=0,(CY233+CX233)/2,FLOOR(((CX233+CY233+CZ233)/3),0.1))))))))</f>
        <v/>
      </c>
      <c r="DB233" s="21" t="n"/>
      <c r="DC233" s="21" t="n"/>
      <c r="DD233" s="27">
        <f>SUM(DB233:DC233)</f>
        <v/>
      </c>
      <c r="DE233" s="28" t="n"/>
      <c r="DF233" s="31" t="n"/>
      <c r="DG233" s="29">
        <f>IF(AND(DD233=0,DE233=0,DF233=0),0,IF(AND(DD233=0,DE233=0),DF233/1,IF(AND(DD233=0,DF233=0),DE233/1,IF(AND(DE233=0,DF233=0),DD233/1,IF(DD233=0,FLOOR((DE233+DF233)/2,0.1),IF(DE233=0,(DD233+DF233)/2,IF(DF233=0,(DE233+DD233)/2,FLOOR(((DD233+DE233+DF233)/3),0.1))))))))</f>
        <v/>
      </c>
      <c r="DH233" s="34">
        <f>SUM(O233,U233,AA233,AG233,AM233,AS233,AY233,BE233,BK233,BQ233,BW233,CC233,CI233,CO233,CU233,DA233,DG233)</f>
        <v/>
      </c>
      <c r="DI233" s="39">
        <f>RANK(DH233,DH$4:DH$503)</f>
        <v/>
      </c>
      <c r="DJ233" s="40" t="inlineStr">
        <is>
          <t>CHOOSE RATING</t>
        </is>
      </c>
      <c r="DK233" s="40" t="inlineStr">
        <is>
          <t>CHOOSE RATING</t>
        </is>
      </c>
      <c r="DL233" s="40" t="inlineStr">
        <is>
          <t>CHOOSE RATING</t>
        </is>
      </c>
      <c r="DM233" s="40" t="inlineStr">
        <is>
          <t>CHOOSE RATING</t>
        </is>
      </c>
      <c r="DN233" s="40" t="inlineStr">
        <is>
          <t>CHOOSE RATING</t>
        </is>
      </c>
      <c r="DO233" s="40" t="inlineStr">
        <is>
          <t>CHOOSE RATING</t>
        </is>
      </c>
      <c r="DP233" s="40" t="inlineStr">
        <is>
          <t>CHOOSE RATING</t>
        </is>
      </c>
      <c r="DQ233" s="40" t="inlineStr">
        <is>
          <t>CHOOSE RATING</t>
        </is>
      </c>
      <c r="DR233" s="43" t="inlineStr">
        <is>
          <t>2024/2025</t>
        </is>
      </c>
      <c r="DS233" s="45" t="inlineStr">
        <is>
          <t>THIRD</t>
        </is>
      </c>
      <c r="DT233" s="40" t="inlineStr">
        <is>
          <t>CHOOSE RATING</t>
        </is>
      </c>
      <c r="DU233" s="40" t="inlineStr">
        <is>
          <t>CHOOSE RATING</t>
        </is>
      </c>
      <c r="DV233" s="40" t="inlineStr">
        <is>
          <t>CHOOSE RATING</t>
        </is>
      </c>
      <c r="DW233" s="40" t="inlineStr">
        <is>
          <t>CHOOSE RATING</t>
        </is>
      </c>
      <c r="DX233" s="40" t="inlineStr">
        <is>
          <t>CHOOSE RATING</t>
        </is>
      </c>
      <c r="DY233" s="40" t="inlineStr">
        <is>
          <t>CHOOSE RATING</t>
        </is>
      </c>
      <c r="DZ233" s="53" t="inlineStr">
        <is>
          <t>CHOOSE RATING</t>
        </is>
      </c>
      <c r="EA233" s="54" t="inlineStr">
        <is>
          <t>Add the Tutor's Comment . . .</t>
        </is>
      </c>
      <c r="EB233" s="55" t="inlineStr">
        <is>
          <t>Choose Principals comment</t>
        </is>
      </c>
      <c r="EC233" s="56" t="n"/>
      <c r="ED233" s="57" t="inlineStr">
        <is>
          <t>Next Term Begins on Monday, 22nd September, 2025</t>
        </is>
      </c>
    </row>
    <row r="234" ht="30.6" customHeight="1" s="6">
      <c r="A234" s="18" t="n">
        <v>231</v>
      </c>
      <c r="B234" s="19" t="n"/>
      <c r="C234" s="20" t="n"/>
      <c r="D234" s="128" t="n"/>
      <c r="E234" s="21" t="n"/>
      <c r="F234" s="22" t="n"/>
      <c r="G234" s="22" t="n"/>
      <c r="H234" s="22" t="n"/>
      <c r="I234" s="26">
        <f>G234-H234</f>
        <v/>
      </c>
      <c r="J234" s="21" t="n"/>
      <c r="K234" s="21" t="n"/>
      <c r="L234" s="27">
        <f>SUM(J234:K234)</f>
        <v/>
      </c>
      <c r="M234" s="28" t="n"/>
      <c r="N234" s="28" t="n"/>
      <c r="O234" s="29">
        <f>IF(AND(L234=0,M234=0,N234=0),0,IF(AND(L234=0,M234=0),N234/1,IF(AND(L234=0,N234=0),M234/1,IF(AND(M234=0,N234=0),L234/1,IF(L234=0,FLOOR((M234+N234)/2,0.1),IF(M234=0,(L234+N234)/2,IF(N234=0,(M234+L234)/2,FLOOR(((L234+M234+N234)/3),0.1))))))))</f>
        <v/>
      </c>
      <c r="P234" s="21" t="n"/>
      <c r="Q234" s="21" t="n"/>
      <c r="R234" s="27">
        <f>SUM(P234:Q234)</f>
        <v/>
      </c>
      <c r="S234" s="28" t="n"/>
      <c r="T234" s="28" t="n"/>
      <c r="U234" s="29">
        <f>IF(AND(R234=0,S234=0,T234=0),0,IF(AND(R234=0,S234=0),T234/1,IF(AND(R234=0,T234=0),S234/1,IF(AND(S234=0,T234=0),R234/1,IF(R234=0,FLOOR((S234+T234)/2,0.1),IF(S234=0,(R234+T234)/2,IF(T234=0,(S234+R234)/2,FLOOR(((R234+S234+T234)/3),0.1))))))))</f>
        <v/>
      </c>
      <c r="V234" s="21" t="n"/>
      <c r="W234" s="21" t="n"/>
      <c r="X234" s="27">
        <f>SUM(V234:W234)</f>
        <v/>
      </c>
      <c r="Y234" s="28" t="n"/>
      <c r="Z234" s="28" t="n"/>
      <c r="AA234" s="29">
        <f>IF(AND(X234=0,Y234=0,Z234=0),0,IF(AND(X234=0,Y234=0),Z234/1,IF(AND(X234=0,Z234=0),Y234/1,IF(AND(Y234=0,Z234=0),X234/1,IF(X234=0,FLOOR((Y234+Z234)/2,0.1),IF(Y234=0,(X234+Z234)/2,IF(Z234=0,(Y234+X234)/2,FLOOR(((X234+Y234+Z234)/3),0.1))))))))</f>
        <v/>
      </c>
      <c r="AB234" s="21" t="n"/>
      <c r="AC234" s="21" t="n"/>
      <c r="AD234" s="27">
        <f>SUM(AB234:AC234)</f>
        <v/>
      </c>
      <c r="AE234" s="28" t="n"/>
      <c r="AF234" s="28" t="n"/>
      <c r="AG234" s="29">
        <f>IF(AND(AD234=0,AE234=0,AF234=0),0,IF(AND(AD234=0,AE234=0),AF234/1,IF(AND(AD234=0,AF234=0),AE234/1,IF(AND(AE234=0,AF234=0),AD234/1,IF(AD234=0,FLOOR((AE234+AF234)/2,0.1),IF(AE234=0,(AD234+AF234)/2,IF(AF234=0,(AE234+AD234)/2,FLOOR(((AD234+AE234+AF234)/3),0.1))))))))</f>
        <v/>
      </c>
      <c r="AH234" s="21" t="n"/>
      <c r="AI234" s="21" t="n"/>
      <c r="AJ234" s="27">
        <f>SUM(AH234:AI234)</f>
        <v/>
      </c>
      <c r="AK234" s="28" t="n"/>
      <c r="AL234" s="28" t="n"/>
      <c r="AM234" s="29">
        <f>IF(AND(AJ234=0,AK234=0,AL234=0),0,IF(AND(AJ234=0,AK234=0),AL234/1,IF(AND(AJ234=0,AL234=0),AK234/1,IF(AND(AK234=0,AL234=0),AJ234/1,IF(AJ234=0,FLOOR((AK234+AL234)/2,0.1),IF(AK234=0,(AJ234+AL234)/2,IF(AL234=0,(AK234+AJ234)/2,FLOOR(((AJ234+AK234+AL234)/3),0.1))))))))</f>
        <v/>
      </c>
      <c r="AN234" s="21" t="n"/>
      <c r="AO234" s="21" t="n"/>
      <c r="AP234" s="27">
        <f>SUM(AN234:AO234)</f>
        <v/>
      </c>
      <c r="AQ234" s="28" t="n"/>
      <c r="AR234" s="30" t="n"/>
      <c r="AS234" s="29">
        <f>IF(AND(AP234=0,AQ234=0,AR234=0),0,IF(AND(AP234=0,AQ234=0),AR234/1,IF(AND(AP234=0,AR234=0),AQ234/1,IF(AND(AQ234=0,AR234=0),AP234/1,IF(AP234=0,FLOOR((AQ234+AR234)/2,0.1),IF(AQ234=0,(AP234+AR234)/2,IF(AR234=0,(AQ234+AP234)/2,FLOOR(((AP234+AQ234+AR234)/3),0.1))))))))</f>
        <v/>
      </c>
      <c r="AT234" s="21" t="n"/>
      <c r="AU234" s="21" t="n"/>
      <c r="AV234" s="27">
        <f>SUM(AT234:AU234)</f>
        <v/>
      </c>
      <c r="AW234" s="28" t="n"/>
      <c r="AX234" s="30" t="n"/>
      <c r="AY234" s="29">
        <f>IF(AND(AV234=0,AW234=0,AX234=0),0,IF(AND(AV234=0,AW234=0),AX234/1,IF(AND(AV234=0,AX234=0),AW234/1,IF(AND(AW234=0,AX234=0),AV234/1,IF(AV234=0,FLOOR((AW234+AX234)/2,0.1),IF(AW234=0,(AV234+AX234)/2,IF(AX234=0,(AW234+AV234)/2,FLOOR(((AV234+AW234+AX234)/3),0.1))))))))</f>
        <v/>
      </c>
      <c r="AZ234" s="21" t="n"/>
      <c r="BA234" s="21" t="n"/>
      <c r="BB234" s="27">
        <f>SUM(AZ234:BA234)</f>
        <v/>
      </c>
      <c r="BC234" s="28" t="n"/>
      <c r="BD234" s="28" t="n"/>
      <c r="BE234" s="29">
        <f>IF(AND(BB234=0,BC234=0,BD234=0),0,IF(AND(BB234=0,BC234=0),BD234/1,IF(AND(BB234=0,BD234=0),BC234/1,IF(AND(BC234=0,BD234=0),BB234/1,IF(BB234=0,FLOOR((BC234+BD234)/2,0.1),IF(BC234=0,(BB234+BD234)/2,IF(BD234=0,(BC234+BB234)/2,FLOOR(((BB234+BC234+BD234)/3),0.1))))))))</f>
        <v/>
      </c>
      <c r="BF234" s="21" t="n"/>
      <c r="BG234" s="21" t="n"/>
      <c r="BH234" s="27">
        <f>SUM(BF234:BG234)</f>
        <v/>
      </c>
      <c r="BI234" s="28" t="n"/>
      <c r="BJ234" s="28" t="n"/>
      <c r="BK234" s="29">
        <f>IF(AND(BH234=0,BI234=0,BJ234=0),0,IF(AND(BH234=0,BI234=0),BJ234/1,IF(AND(BH234=0,BJ234=0),BI234/1,IF(AND(BI234=0,BJ234=0),BH234/1,IF(BH234=0,FLOOR((BI234+BJ234)/2,0.1),IF(BI234=0,(BH234+BJ234)/2,IF(BJ234=0,(BI234+BH234)/2,FLOOR(((BH234+BI234+BJ234)/3),0.1))))))))</f>
        <v/>
      </c>
      <c r="BL234" s="21" t="n"/>
      <c r="BM234" s="21" t="n"/>
      <c r="BN234" s="27">
        <f>SUM(BL234:BM234)</f>
        <v/>
      </c>
      <c r="BO234" s="28" t="n"/>
      <c r="BP234" s="31" t="n"/>
      <c r="BQ234" s="29">
        <f>IF(AND(BN234=0,BO234=0,BP234=0),0,IF(AND(BN234=0,BO234=0),BP234/1,IF(AND(BN234=0,BP234=0),BO234/1,IF(AND(BO234=0,BP234=0),BN234/1,IF(BN234=0,FLOOR((BO234+BP234)/2,0.1),IF(BO234=0,(BN234+BP234)/2,IF(BP234=0,(BO234+BN234)/2,FLOOR(((BN234+BO234+BP234)/3),0.1))))))))</f>
        <v/>
      </c>
      <c r="BR234" s="21" t="n"/>
      <c r="BS234" s="21" t="n"/>
      <c r="BT234" s="27">
        <f>SUM(BR234:BS234)</f>
        <v/>
      </c>
      <c r="BU234" s="28" t="n"/>
      <c r="BV234" s="31" t="n"/>
      <c r="BW234" s="29">
        <f>IF(AND(BT234=0,BU234=0,BV234=0),0,IF(AND(BT234=0,BU234=0),BV234/1,IF(AND(BT234=0,BV234=0),BU234/1,IF(AND(BU234=0,BV234=0),BT234/1,IF(BT234=0,FLOOR((BU234+BV234)/2,0.1),IF(BU234=0,(BT234+BV234)/2,IF(BV234=0,(BU234+BT234)/2,FLOOR(((BT234+BU234+BV234)/3),0.1))))))))</f>
        <v/>
      </c>
      <c r="BX234" s="21" t="n"/>
      <c r="BY234" s="21" t="n"/>
      <c r="BZ234" s="27">
        <f>SUM(BX234:BY234)</f>
        <v/>
      </c>
      <c r="CA234" s="28" t="n"/>
      <c r="CB234" s="31" t="n"/>
      <c r="CC234" s="29">
        <f>IF(AND(BZ234=0,CA234=0,CB234=0),0,IF(AND(BZ234=0,CA234=0),CB234/1,IF(AND(BZ234=0,CB234=0),CA234/1,IF(AND(CA234=0,CB234=0),BZ234/1,IF(BZ234=0,FLOOR((CA234+CB234)/2,0.1),IF(CA234=0,(BZ234+CB234)/2,IF(CB234=0,(CA234+BZ234)/2,FLOOR(((BZ234+CA234+CB234)/3),0.1))))))))</f>
        <v/>
      </c>
      <c r="CD234" s="21" t="n"/>
      <c r="CE234" s="21" t="n"/>
      <c r="CF234" s="27">
        <f>SUM(CD234:CE234)</f>
        <v/>
      </c>
      <c r="CG234" s="28" t="n"/>
      <c r="CH234" s="31" t="n"/>
      <c r="CI234" s="29">
        <f>IF(AND(CF234=0,CG234=0,CH234=0),0,IF(AND(CF234=0,CG234=0),CH234/1,IF(AND(CF234=0,CH234=0),CG234/1,IF(AND(CG234=0,CH234=0),CF234/1,IF(CF234=0,FLOOR((CG234+CH234)/2,0.1),IF(CG234=0,(CF234+CH234)/2,IF(CH234=0,(CG234+CF234)/2,FLOOR(((CF234+CG234+CH234)/3),0.1))))))))</f>
        <v/>
      </c>
      <c r="CJ234" s="21" t="n"/>
      <c r="CK234" s="21" t="n"/>
      <c r="CL234" s="27">
        <f>SUM(CJ234:CK234)</f>
        <v/>
      </c>
      <c r="CM234" s="28" t="n"/>
      <c r="CN234" s="31" t="n"/>
      <c r="CO234" s="29">
        <f>IF(AND(CL234=0,CM234=0,CN234=0),0,IF(AND(CL234=0,CM234=0),CN234/1,IF(AND(CL234=0,CN234=0),CM234/1,IF(AND(CM234=0,CN234=0),CL234/1,IF(CL234=0,FLOOR((CM234+CN234)/2,0.1),IF(CM234=0,(CL234+CN234)/2,IF(CN234=0,(CM234+CL234)/2,FLOOR(((CL234+CM234+CN234)/3),0.1))))))))</f>
        <v/>
      </c>
      <c r="CP234" s="21" t="n"/>
      <c r="CQ234" s="21" t="n"/>
      <c r="CR234" s="27">
        <f>SUM(CP234:CQ234)</f>
        <v/>
      </c>
      <c r="CS234" s="28" t="n"/>
      <c r="CT234" s="31" t="n"/>
      <c r="CU234" s="29">
        <f>IF(AND(CR234=0,CS234=0,CT234=0),0,IF(AND(CR234=0,CS234=0),CT234/1,IF(AND(CR234=0,CT234=0),CS234/1,IF(AND(CS234=0,CT234=0),CR234/1,IF(CR234=0,FLOOR((CS234+CT234)/2,0.1),IF(CS234=0,(CR234+CT234)/2,IF(CT234=0,(CS234+CR234)/2,FLOOR(((CR234+CS234+CT234)/3),0.1))))))))</f>
        <v/>
      </c>
      <c r="CV234" s="21" t="n"/>
      <c r="CW234" s="21" t="n"/>
      <c r="CX234" s="27">
        <f>SUM(CV234:CW234)</f>
        <v/>
      </c>
      <c r="CY234" s="28" t="n"/>
      <c r="CZ234" s="31" t="n"/>
      <c r="DA234" s="29">
        <f>IF(AND(CX234=0,CY234=0,CZ234=0),0,IF(AND(CX234=0,CY234=0),CZ234/1,IF(AND(CX234=0,CZ234=0),CY234/1,IF(AND(CY234=0,CZ234=0),CX234/1,IF(CX234=0,FLOOR((CY234+CZ234)/2,0.1),IF(CY234=0,(CX234+CZ234)/2,IF(CZ234=0,(CY234+CX234)/2,FLOOR(((CX234+CY234+CZ234)/3),0.1))))))))</f>
        <v/>
      </c>
      <c r="DB234" s="21" t="n"/>
      <c r="DC234" s="21" t="n"/>
      <c r="DD234" s="27">
        <f>SUM(DB234:DC234)</f>
        <v/>
      </c>
      <c r="DE234" s="28" t="n"/>
      <c r="DF234" s="31" t="n"/>
      <c r="DG234" s="29">
        <f>IF(AND(DD234=0,DE234=0,DF234=0),0,IF(AND(DD234=0,DE234=0),DF234/1,IF(AND(DD234=0,DF234=0),DE234/1,IF(AND(DE234=0,DF234=0),DD234/1,IF(DD234=0,FLOOR((DE234+DF234)/2,0.1),IF(DE234=0,(DD234+DF234)/2,IF(DF234=0,(DE234+DD234)/2,FLOOR(((DD234+DE234+DF234)/3),0.1))))))))</f>
        <v/>
      </c>
      <c r="DH234" s="34">
        <f>SUM(O234,U234,AA234,AG234,AM234,AS234,AY234,BE234,BK234,BQ234,BW234,CC234,CI234,CO234,CU234,DA234,DG234)</f>
        <v/>
      </c>
      <c r="DI234" s="39">
        <f>RANK(DH234,DH$4:DH$503)</f>
        <v/>
      </c>
      <c r="DJ234" s="40" t="inlineStr">
        <is>
          <t>CHOOSE RATING</t>
        </is>
      </c>
      <c r="DK234" s="40" t="inlineStr">
        <is>
          <t>CHOOSE RATING</t>
        </is>
      </c>
      <c r="DL234" s="40" t="inlineStr">
        <is>
          <t>CHOOSE RATING</t>
        </is>
      </c>
      <c r="DM234" s="40" t="inlineStr">
        <is>
          <t>CHOOSE RATING</t>
        </is>
      </c>
      <c r="DN234" s="40" t="inlineStr">
        <is>
          <t>CHOOSE RATING</t>
        </is>
      </c>
      <c r="DO234" s="40" t="inlineStr">
        <is>
          <t>CHOOSE RATING</t>
        </is>
      </c>
      <c r="DP234" s="40" t="inlineStr">
        <is>
          <t>CHOOSE RATING</t>
        </is>
      </c>
      <c r="DQ234" s="40" t="inlineStr">
        <is>
          <t>CHOOSE RATING</t>
        </is>
      </c>
      <c r="DR234" s="43" t="inlineStr">
        <is>
          <t>2024/2025</t>
        </is>
      </c>
      <c r="DS234" s="45" t="inlineStr">
        <is>
          <t>THIRD</t>
        </is>
      </c>
      <c r="DT234" s="40" t="inlineStr">
        <is>
          <t>CHOOSE RATING</t>
        </is>
      </c>
      <c r="DU234" s="40" t="inlineStr">
        <is>
          <t>CHOOSE RATING</t>
        </is>
      </c>
      <c r="DV234" s="40" t="inlineStr">
        <is>
          <t>CHOOSE RATING</t>
        </is>
      </c>
      <c r="DW234" s="40" t="inlineStr">
        <is>
          <t>CHOOSE RATING</t>
        </is>
      </c>
      <c r="DX234" s="40" t="inlineStr">
        <is>
          <t>CHOOSE RATING</t>
        </is>
      </c>
      <c r="DY234" s="40" t="inlineStr">
        <is>
          <t>CHOOSE RATING</t>
        </is>
      </c>
      <c r="DZ234" s="53" t="inlineStr">
        <is>
          <t>CHOOSE RATING</t>
        </is>
      </c>
      <c r="EA234" s="54" t="inlineStr">
        <is>
          <t>Add the Tutor's Comment . . .</t>
        </is>
      </c>
      <c r="EB234" s="55" t="inlineStr">
        <is>
          <t>Choose Principals comment</t>
        </is>
      </c>
      <c r="EC234" s="56" t="n"/>
      <c r="ED234" s="57" t="inlineStr">
        <is>
          <t>Next Term Begins on Monday, 22nd September, 2025</t>
        </is>
      </c>
    </row>
    <row r="235" ht="30.6" customHeight="1" s="6">
      <c r="A235" s="18" t="n">
        <v>232</v>
      </c>
      <c r="B235" s="19" t="n"/>
      <c r="C235" s="20" t="n"/>
      <c r="D235" s="128" t="n"/>
      <c r="E235" s="21" t="n"/>
      <c r="F235" s="22" t="n"/>
      <c r="G235" s="22" t="n"/>
      <c r="H235" s="22" t="n"/>
      <c r="I235" s="26">
        <f>G235-H235</f>
        <v/>
      </c>
      <c r="J235" s="21" t="n"/>
      <c r="K235" s="21" t="n"/>
      <c r="L235" s="27">
        <f>SUM(J235:K235)</f>
        <v/>
      </c>
      <c r="M235" s="28" t="n"/>
      <c r="N235" s="28" t="n"/>
      <c r="O235" s="29">
        <f>IF(AND(L235=0,M235=0,N235=0),0,IF(AND(L235=0,M235=0),N235/1,IF(AND(L235=0,N235=0),M235/1,IF(AND(M235=0,N235=0),L235/1,IF(L235=0,FLOOR((M235+N235)/2,0.1),IF(M235=0,(L235+N235)/2,IF(N235=0,(M235+L235)/2,FLOOR(((L235+M235+N235)/3),0.1))))))))</f>
        <v/>
      </c>
      <c r="P235" s="21" t="n"/>
      <c r="Q235" s="21" t="n"/>
      <c r="R235" s="27">
        <f>SUM(P235:Q235)</f>
        <v/>
      </c>
      <c r="S235" s="28" t="n"/>
      <c r="T235" s="28" t="n"/>
      <c r="U235" s="29">
        <f>IF(AND(R235=0,S235=0,T235=0),0,IF(AND(R235=0,S235=0),T235/1,IF(AND(R235=0,T235=0),S235/1,IF(AND(S235=0,T235=0),R235/1,IF(R235=0,FLOOR((S235+T235)/2,0.1),IF(S235=0,(R235+T235)/2,IF(T235=0,(S235+R235)/2,FLOOR(((R235+S235+T235)/3),0.1))))))))</f>
        <v/>
      </c>
      <c r="V235" s="21" t="n"/>
      <c r="W235" s="21" t="n"/>
      <c r="X235" s="27">
        <f>SUM(V235:W235)</f>
        <v/>
      </c>
      <c r="Y235" s="28" t="n"/>
      <c r="Z235" s="28" t="n"/>
      <c r="AA235" s="29">
        <f>IF(AND(X235=0,Y235=0,Z235=0),0,IF(AND(X235=0,Y235=0),Z235/1,IF(AND(X235=0,Z235=0),Y235/1,IF(AND(Y235=0,Z235=0),X235/1,IF(X235=0,FLOOR((Y235+Z235)/2,0.1),IF(Y235=0,(X235+Z235)/2,IF(Z235=0,(Y235+X235)/2,FLOOR(((X235+Y235+Z235)/3),0.1))))))))</f>
        <v/>
      </c>
      <c r="AB235" s="21" t="n"/>
      <c r="AC235" s="21" t="n"/>
      <c r="AD235" s="27">
        <f>SUM(AB235:AC235)</f>
        <v/>
      </c>
      <c r="AE235" s="28" t="n"/>
      <c r="AF235" s="28" t="n"/>
      <c r="AG235" s="29">
        <f>IF(AND(AD235=0,AE235=0,AF235=0),0,IF(AND(AD235=0,AE235=0),AF235/1,IF(AND(AD235=0,AF235=0),AE235/1,IF(AND(AE235=0,AF235=0),AD235/1,IF(AD235=0,FLOOR((AE235+AF235)/2,0.1),IF(AE235=0,(AD235+AF235)/2,IF(AF235=0,(AE235+AD235)/2,FLOOR(((AD235+AE235+AF235)/3),0.1))))))))</f>
        <v/>
      </c>
      <c r="AH235" s="21" t="n"/>
      <c r="AI235" s="21" t="n"/>
      <c r="AJ235" s="27">
        <f>SUM(AH235:AI235)</f>
        <v/>
      </c>
      <c r="AK235" s="28" t="n"/>
      <c r="AL235" s="28" t="n"/>
      <c r="AM235" s="29">
        <f>IF(AND(AJ235=0,AK235=0,AL235=0),0,IF(AND(AJ235=0,AK235=0),AL235/1,IF(AND(AJ235=0,AL235=0),AK235/1,IF(AND(AK235=0,AL235=0),AJ235/1,IF(AJ235=0,FLOOR((AK235+AL235)/2,0.1),IF(AK235=0,(AJ235+AL235)/2,IF(AL235=0,(AK235+AJ235)/2,FLOOR(((AJ235+AK235+AL235)/3),0.1))))))))</f>
        <v/>
      </c>
      <c r="AN235" s="21" t="n"/>
      <c r="AO235" s="21" t="n"/>
      <c r="AP235" s="27">
        <f>SUM(AN235:AO235)</f>
        <v/>
      </c>
      <c r="AQ235" s="28" t="n"/>
      <c r="AR235" s="30" t="n"/>
      <c r="AS235" s="29">
        <f>IF(AND(AP235=0,AQ235=0,AR235=0),0,IF(AND(AP235=0,AQ235=0),AR235/1,IF(AND(AP235=0,AR235=0),AQ235/1,IF(AND(AQ235=0,AR235=0),AP235/1,IF(AP235=0,FLOOR((AQ235+AR235)/2,0.1),IF(AQ235=0,(AP235+AR235)/2,IF(AR235=0,(AQ235+AP235)/2,FLOOR(((AP235+AQ235+AR235)/3),0.1))))))))</f>
        <v/>
      </c>
      <c r="AT235" s="21" t="n"/>
      <c r="AU235" s="21" t="n"/>
      <c r="AV235" s="27">
        <f>SUM(AT235:AU235)</f>
        <v/>
      </c>
      <c r="AW235" s="28" t="n"/>
      <c r="AX235" s="30" t="n"/>
      <c r="AY235" s="29">
        <f>IF(AND(AV235=0,AW235=0,AX235=0),0,IF(AND(AV235=0,AW235=0),AX235/1,IF(AND(AV235=0,AX235=0),AW235/1,IF(AND(AW235=0,AX235=0),AV235/1,IF(AV235=0,FLOOR((AW235+AX235)/2,0.1),IF(AW235=0,(AV235+AX235)/2,IF(AX235=0,(AW235+AV235)/2,FLOOR(((AV235+AW235+AX235)/3),0.1))))))))</f>
        <v/>
      </c>
      <c r="AZ235" s="21" t="n"/>
      <c r="BA235" s="21" t="n"/>
      <c r="BB235" s="27">
        <f>SUM(AZ235:BA235)</f>
        <v/>
      </c>
      <c r="BC235" s="28" t="n"/>
      <c r="BD235" s="28" t="n"/>
      <c r="BE235" s="29">
        <f>IF(AND(BB235=0,BC235=0,BD235=0),0,IF(AND(BB235=0,BC235=0),BD235/1,IF(AND(BB235=0,BD235=0),BC235/1,IF(AND(BC235=0,BD235=0),BB235/1,IF(BB235=0,FLOOR((BC235+BD235)/2,0.1),IF(BC235=0,(BB235+BD235)/2,IF(BD235=0,(BC235+BB235)/2,FLOOR(((BB235+BC235+BD235)/3),0.1))))))))</f>
        <v/>
      </c>
      <c r="BF235" s="21" t="n"/>
      <c r="BG235" s="21" t="n"/>
      <c r="BH235" s="27">
        <f>SUM(BF235:BG235)</f>
        <v/>
      </c>
      <c r="BI235" s="28" t="n"/>
      <c r="BJ235" s="28" t="n"/>
      <c r="BK235" s="29">
        <f>IF(AND(BH235=0,BI235=0,BJ235=0),0,IF(AND(BH235=0,BI235=0),BJ235/1,IF(AND(BH235=0,BJ235=0),BI235/1,IF(AND(BI235=0,BJ235=0),BH235/1,IF(BH235=0,FLOOR((BI235+BJ235)/2,0.1),IF(BI235=0,(BH235+BJ235)/2,IF(BJ235=0,(BI235+BH235)/2,FLOOR(((BH235+BI235+BJ235)/3),0.1))))))))</f>
        <v/>
      </c>
      <c r="BL235" s="21" t="n"/>
      <c r="BM235" s="21" t="n"/>
      <c r="BN235" s="27">
        <f>SUM(BL235:BM235)</f>
        <v/>
      </c>
      <c r="BO235" s="28" t="n"/>
      <c r="BP235" s="31" t="n"/>
      <c r="BQ235" s="29">
        <f>IF(AND(BN235=0,BO235=0,BP235=0),0,IF(AND(BN235=0,BO235=0),BP235/1,IF(AND(BN235=0,BP235=0),BO235/1,IF(AND(BO235=0,BP235=0),BN235/1,IF(BN235=0,FLOOR((BO235+BP235)/2,0.1),IF(BO235=0,(BN235+BP235)/2,IF(BP235=0,(BO235+BN235)/2,FLOOR(((BN235+BO235+BP235)/3),0.1))))))))</f>
        <v/>
      </c>
      <c r="BR235" s="21" t="n"/>
      <c r="BS235" s="21" t="n"/>
      <c r="BT235" s="27">
        <f>SUM(BR235:BS235)</f>
        <v/>
      </c>
      <c r="BU235" s="28" t="n"/>
      <c r="BV235" s="31" t="n"/>
      <c r="BW235" s="29">
        <f>IF(AND(BT235=0,BU235=0,BV235=0),0,IF(AND(BT235=0,BU235=0),BV235/1,IF(AND(BT235=0,BV235=0),BU235/1,IF(AND(BU235=0,BV235=0),BT235/1,IF(BT235=0,FLOOR((BU235+BV235)/2,0.1),IF(BU235=0,(BT235+BV235)/2,IF(BV235=0,(BU235+BT235)/2,FLOOR(((BT235+BU235+BV235)/3),0.1))))))))</f>
        <v/>
      </c>
      <c r="BX235" s="21" t="n"/>
      <c r="BY235" s="21" t="n"/>
      <c r="BZ235" s="27">
        <f>SUM(BX235:BY235)</f>
        <v/>
      </c>
      <c r="CA235" s="28" t="n"/>
      <c r="CB235" s="31" t="n"/>
      <c r="CC235" s="29">
        <f>IF(AND(BZ235=0,CA235=0,CB235=0),0,IF(AND(BZ235=0,CA235=0),CB235/1,IF(AND(BZ235=0,CB235=0),CA235/1,IF(AND(CA235=0,CB235=0),BZ235/1,IF(BZ235=0,FLOOR((CA235+CB235)/2,0.1),IF(CA235=0,(BZ235+CB235)/2,IF(CB235=0,(CA235+BZ235)/2,FLOOR(((BZ235+CA235+CB235)/3),0.1))))))))</f>
        <v/>
      </c>
      <c r="CD235" s="21" t="n"/>
      <c r="CE235" s="21" t="n"/>
      <c r="CF235" s="27">
        <f>SUM(CD235:CE235)</f>
        <v/>
      </c>
      <c r="CG235" s="28" t="n"/>
      <c r="CH235" s="31" t="n"/>
      <c r="CI235" s="29">
        <f>IF(AND(CF235=0,CG235=0,CH235=0),0,IF(AND(CF235=0,CG235=0),CH235/1,IF(AND(CF235=0,CH235=0),CG235/1,IF(AND(CG235=0,CH235=0),CF235/1,IF(CF235=0,FLOOR((CG235+CH235)/2,0.1),IF(CG235=0,(CF235+CH235)/2,IF(CH235=0,(CG235+CF235)/2,FLOOR(((CF235+CG235+CH235)/3),0.1))))))))</f>
        <v/>
      </c>
      <c r="CJ235" s="21" t="n"/>
      <c r="CK235" s="21" t="n"/>
      <c r="CL235" s="27">
        <f>SUM(CJ235:CK235)</f>
        <v/>
      </c>
      <c r="CM235" s="28" t="n"/>
      <c r="CN235" s="31" t="n"/>
      <c r="CO235" s="29">
        <f>IF(AND(CL235=0,CM235=0,CN235=0),0,IF(AND(CL235=0,CM235=0),CN235/1,IF(AND(CL235=0,CN235=0),CM235/1,IF(AND(CM235=0,CN235=0),CL235/1,IF(CL235=0,FLOOR((CM235+CN235)/2,0.1),IF(CM235=0,(CL235+CN235)/2,IF(CN235=0,(CM235+CL235)/2,FLOOR(((CL235+CM235+CN235)/3),0.1))))))))</f>
        <v/>
      </c>
      <c r="CP235" s="21" t="n"/>
      <c r="CQ235" s="21" t="n"/>
      <c r="CR235" s="27">
        <f>SUM(CP235:CQ235)</f>
        <v/>
      </c>
      <c r="CS235" s="28" t="n"/>
      <c r="CT235" s="31" t="n"/>
      <c r="CU235" s="29">
        <f>IF(AND(CR235=0,CS235=0,CT235=0),0,IF(AND(CR235=0,CS235=0),CT235/1,IF(AND(CR235=0,CT235=0),CS235/1,IF(AND(CS235=0,CT235=0),CR235/1,IF(CR235=0,FLOOR((CS235+CT235)/2,0.1),IF(CS235=0,(CR235+CT235)/2,IF(CT235=0,(CS235+CR235)/2,FLOOR(((CR235+CS235+CT235)/3),0.1))))))))</f>
        <v/>
      </c>
      <c r="CV235" s="21" t="n"/>
      <c r="CW235" s="21" t="n"/>
      <c r="CX235" s="27">
        <f>SUM(CV235:CW235)</f>
        <v/>
      </c>
      <c r="CY235" s="28" t="n"/>
      <c r="CZ235" s="31" t="n"/>
      <c r="DA235" s="29">
        <f>IF(AND(CX235=0,CY235=0,CZ235=0),0,IF(AND(CX235=0,CY235=0),CZ235/1,IF(AND(CX235=0,CZ235=0),CY235/1,IF(AND(CY235=0,CZ235=0),CX235/1,IF(CX235=0,FLOOR((CY235+CZ235)/2,0.1),IF(CY235=0,(CX235+CZ235)/2,IF(CZ235=0,(CY235+CX235)/2,FLOOR(((CX235+CY235+CZ235)/3),0.1))))))))</f>
        <v/>
      </c>
      <c r="DB235" s="21" t="n"/>
      <c r="DC235" s="21" t="n"/>
      <c r="DD235" s="27">
        <f>SUM(DB235:DC235)</f>
        <v/>
      </c>
      <c r="DE235" s="28" t="n"/>
      <c r="DF235" s="31" t="n"/>
      <c r="DG235" s="29">
        <f>IF(AND(DD235=0,DE235=0,DF235=0),0,IF(AND(DD235=0,DE235=0),DF235/1,IF(AND(DD235=0,DF235=0),DE235/1,IF(AND(DE235=0,DF235=0),DD235/1,IF(DD235=0,FLOOR((DE235+DF235)/2,0.1),IF(DE235=0,(DD235+DF235)/2,IF(DF235=0,(DE235+DD235)/2,FLOOR(((DD235+DE235+DF235)/3),0.1))))))))</f>
        <v/>
      </c>
      <c r="DH235" s="34">
        <f>SUM(O235,U235,AA235,AG235,AM235,AS235,AY235,BE235,BK235,BQ235,BW235,CC235,CI235,CO235,CU235,DA235,DG235)</f>
        <v/>
      </c>
      <c r="DI235" s="39">
        <f>RANK(DH235,DH$4:DH$503)</f>
        <v/>
      </c>
      <c r="DJ235" s="40" t="inlineStr">
        <is>
          <t>CHOOSE RATING</t>
        </is>
      </c>
      <c r="DK235" s="40" t="inlineStr">
        <is>
          <t>CHOOSE RATING</t>
        </is>
      </c>
      <c r="DL235" s="40" t="inlineStr">
        <is>
          <t>CHOOSE RATING</t>
        </is>
      </c>
      <c r="DM235" s="40" t="inlineStr">
        <is>
          <t>CHOOSE RATING</t>
        </is>
      </c>
      <c r="DN235" s="40" t="inlineStr">
        <is>
          <t>CHOOSE RATING</t>
        </is>
      </c>
      <c r="DO235" s="40" t="inlineStr">
        <is>
          <t>CHOOSE RATING</t>
        </is>
      </c>
      <c r="DP235" s="40" t="inlineStr">
        <is>
          <t>CHOOSE RATING</t>
        </is>
      </c>
      <c r="DQ235" s="40" t="inlineStr">
        <is>
          <t>CHOOSE RATING</t>
        </is>
      </c>
      <c r="DR235" s="43" t="inlineStr">
        <is>
          <t>2024/2025</t>
        </is>
      </c>
      <c r="DS235" s="45" t="inlineStr">
        <is>
          <t>THIRD</t>
        </is>
      </c>
      <c r="DT235" s="40" t="inlineStr">
        <is>
          <t>CHOOSE RATING</t>
        </is>
      </c>
      <c r="DU235" s="40" t="inlineStr">
        <is>
          <t>CHOOSE RATING</t>
        </is>
      </c>
      <c r="DV235" s="40" t="inlineStr">
        <is>
          <t>CHOOSE RATING</t>
        </is>
      </c>
      <c r="DW235" s="40" t="inlineStr">
        <is>
          <t>CHOOSE RATING</t>
        </is>
      </c>
      <c r="DX235" s="40" t="inlineStr">
        <is>
          <t>CHOOSE RATING</t>
        </is>
      </c>
      <c r="DY235" s="40" t="inlineStr">
        <is>
          <t>CHOOSE RATING</t>
        </is>
      </c>
      <c r="DZ235" s="53" t="inlineStr">
        <is>
          <t>CHOOSE RATING</t>
        </is>
      </c>
      <c r="EA235" s="54" t="inlineStr">
        <is>
          <t>Add the Tutor's Comment . . .</t>
        </is>
      </c>
      <c r="EB235" s="55" t="inlineStr">
        <is>
          <t>Choose Principals comment</t>
        </is>
      </c>
      <c r="EC235" s="56" t="n"/>
      <c r="ED235" s="57" t="inlineStr">
        <is>
          <t>Next Term Begins on Monday, 22nd September, 2025</t>
        </is>
      </c>
    </row>
    <row r="236" ht="30.6" customHeight="1" s="6">
      <c r="A236" s="18" t="n">
        <v>233</v>
      </c>
      <c r="B236" s="19" t="n"/>
      <c r="C236" s="20" t="n"/>
      <c r="D236" s="128" t="n"/>
      <c r="E236" s="21" t="n"/>
      <c r="F236" s="22" t="n"/>
      <c r="G236" s="22" t="n"/>
      <c r="H236" s="22" t="n"/>
      <c r="I236" s="26">
        <f>G236-H236</f>
        <v/>
      </c>
      <c r="J236" s="21" t="n"/>
      <c r="K236" s="21" t="n"/>
      <c r="L236" s="27">
        <f>SUM(J236:K236)</f>
        <v/>
      </c>
      <c r="M236" s="28" t="n"/>
      <c r="N236" s="28" t="n"/>
      <c r="O236" s="29">
        <f>IF(AND(L236=0,M236=0,N236=0),0,IF(AND(L236=0,M236=0),N236/1,IF(AND(L236=0,N236=0),M236/1,IF(AND(M236=0,N236=0),L236/1,IF(L236=0,FLOOR((M236+N236)/2,0.1),IF(M236=0,(L236+N236)/2,IF(N236=0,(M236+L236)/2,FLOOR(((L236+M236+N236)/3),0.1))))))))</f>
        <v/>
      </c>
      <c r="P236" s="21" t="n"/>
      <c r="Q236" s="21" t="n"/>
      <c r="R236" s="27">
        <f>SUM(P236:Q236)</f>
        <v/>
      </c>
      <c r="S236" s="28" t="n"/>
      <c r="T236" s="28" t="n"/>
      <c r="U236" s="29">
        <f>IF(AND(R236=0,S236=0,T236=0),0,IF(AND(R236=0,S236=0),T236/1,IF(AND(R236=0,T236=0),S236/1,IF(AND(S236=0,T236=0),R236/1,IF(R236=0,FLOOR((S236+T236)/2,0.1),IF(S236=0,(R236+T236)/2,IF(T236=0,(S236+R236)/2,FLOOR(((R236+S236+T236)/3),0.1))))))))</f>
        <v/>
      </c>
      <c r="V236" s="21" t="n"/>
      <c r="W236" s="21" t="n"/>
      <c r="X236" s="27">
        <f>SUM(V236:W236)</f>
        <v/>
      </c>
      <c r="Y236" s="28" t="n"/>
      <c r="Z236" s="28" t="n"/>
      <c r="AA236" s="29">
        <f>IF(AND(X236=0,Y236=0,Z236=0),0,IF(AND(X236=0,Y236=0),Z236/1,IF(AND(X236=0,Z236=0),Y236/1,IF(AND(Y236=0,Z236=0),X236/1,IF(X236=0,FLOOR((Y236+Z236)/2,0.1),IF(Y236=0,(X236+Z236)/2,IF(Z236=0,(Y236+X236)/2,FLOOR(((X236+Y236+Z236)/3),0.1))))))))</f>
        <v/>
      </c>
      <c r="AB236" s="21" t="n"/>
      <c r="AC236" s="21" t="n"/>
      <c r="AD236" s="27">
        <f>SUM(AB236:AC236)</f>
        <v/>
      </c>
      <c r="AE236" s="28" t="n"/>
      <c r="AF236" s="28" t="n"/>
      <c r="AG236" s="29">
        <f>IF(AND(AD236=0,AE236=0,AF236=0),0,IF(AND(AD236=0,AE236=0),AF236/1,IF(AND(AD236=0,AF236=0),AE236/1,IF(AND(AE236=0,AF236=0),AD236/1,IF(AD236=0,FLOOR((AE236+AF236)/2,0.1),IF(AE236=0,(AD236+AF236)/2,IF(AF236=0,(AE236+AD236)/2,FLOOR(((AD236+AE236+AF236)/3),0.1))))))))</f>
        <v/>
      </c>
      <c r="AH236" s="21" t="n"/>
      <c r="AI236" s="21" t="n"/>
      <c r="AJ236" s="27">
        <f>SUM(AH236:AI236)</f>
        <v/>
      </c>
      <c r="AK236" s="28" t="n"/>
      <c r="AL236" s="28" t="n"/>
      <c r="AM236" s="29">
        <f>IF(AND(AJ236=0,AK236=0,AL236=0),0,IF(AND(AJ236=0,AK236=0),AL236/1,IF(AND(AJ236=0,AL236=0),AK236/1,IF(AND(AK236=0,AL236=0),AJ236/1,IF(AJ236=0,FLOOR((AK236+AL236)/2,0.1),IF(AK236=0,(AJ236+AL236)/2,IF(AL236=0,(AK236+AJ236)/2,FLOOR(((AJ236+AK236+AL236)/3),0.1))))))))</f>
        <v/>
      </c>
      <c r="AN236" s="21" t="n"/>
      <c r="AO236" s="21" t="n"/>
      <c r="AP236" s="27">
        <f>SUM(AN236:AO236)</f>
        <v/>
      </c>
      <c r="AQ236" s="28" t="n"/>
      <c r="AR236" s="30" t="n"/>
      <c r="AS236" s="29">
        <f>IF(AND(AP236=0,AQ236=0,AR236=0),0,IF(AND(AP236=0,AQ236=0),AR236/1,IF(AND(AP236=0,AR236=0),AQ236/1,IF(AND(AQ236=0,AR236=0),AP236/1,IF(AP236=0,FLOOR((AQ236+AR236)/2,0.1),IF(AQ236=0,(AP236+AR236)/2,IF(AR236=0,(AQ236+AP236)/2,FLOOR(((AP236+AQ236+AR236)/3),0.1))))))))</f>
        <v/>
      </c>
      <c r="AT236" s="21" t="n"/>
      <c r="AU236" s="21" t="n"/>
      <c r="AV236" s="27">
        <f>SUM(AT236:AU236)</f>
        <v/>
      </c>
      <c r="AW236" s="28" t="n"/>
      <c r="AX236" s="30" t="n"/>
      <c r="AY236" s="29">
        <f>IF(AND(AV236=0,AW236=0,AX236=0),0,IF(AND(AV236=0,AW236=0),AX236/1,IF(AND(AV236=0,AX236=0),AW236/1,IF(AND(AW236=0,AX236=0),AV236/1,IF(AV236=0,FLOOR((AW236+AX236)/2,0.1),IF(AW236=0,(AV236+AX236)/2,IF(AX236=0,(AW236+AV236)/2,FLOOR(((AV236+AW236+AX236)/3),0.1))))))))</f>
        <v/>
      </c>
      <c r="AZ236" s="21" t="n"/>
      <c r="BA236" s="21" t="n"/>
      <c r="BB236" s="27">
        <f>SUM(AZ236:BA236)</f>
        <v/>
      </c>
      <c r="BC236" s="28" t="n"/>
      <c r="BD236" s="28" t="n"/>
      <c r="BE236" s="29">
        <f>IF(AND(BB236=0,BC236=0,BD236=0),0,IF(AND(BB236=0,BC236=0),BD236/1,IF(AND(BB236=0,BD236=0),BC236/1,IF(AND(BC236=0,BD236=0),BB236/1,IF(BB236=0,FLOOR((BC236+BD236)/2,0.1),IF(BC236=0,(BB236+BD236)/2,IF(BD236=0,(BC236+BB236)/2,FLOOR(((BB236+BC236+BD236)/3),0.1))))))))</f>
        <v/>
      </c>
      <c r="BF236" s="21" t="n"/>
      <c r="BG236" s="21" t="n"/>
      <c r="BH236" s="27">
        <f>SUM(BF236:BG236)</f>
        <v/>
      </c>
      <c r="BI236" s="28" t="n"/>
      <c r="BJ236" s="28" t="n"/>
      <c r="BK236" s="29">
        <f>IF(AND(BH236=0,BI236=0,BJ236=0),0,IF(AND(BH236=0,BI236=0),BJ236/1,IF(AND(BH236=0,BJ236=0),BI236/1,IF(AND(BI236=0,BJ236=0),BH236/1,IF(BH236=0,FLOOR((BI236+BJ236)/2,0.1),IF(BI236=0,(BH236+BJ236)/2,IF(BJ236=0,(BI236+BH236)/2,FLOOR(((BH236+BI236+BJ236)/3),0.1))))))))</f>
        <v/>
      </c>
      <c r="BL236" s="21" t="n"/>
      <c r="BM236" s="21" t="n"/>
      <c r="BN236" s="27">
        <f>SUM(BL236:BM236)</f>
        <v/>
      </c>
      <c r="BO236" s="28" t="n"/>
      <c r="BP236" s="31" t="n"/>
      <c r="BQ236" s="29">
        <f>IF(AND(BN236=0,BO236=0,BP236=0),0,IF(AND(BN236=0,BO236=0),BP236/1,IF(AND(BN236=0,BP236=0),BO236/1,IF(AND(BO236=0,BP236=0),BN236/1,IF(BN236=0,FLOOR((BO236+BP236)/2,0.1),IF(BO236=0,(BN236+BP236)/2,IF(BP236=0,(BO236+BN236)/2,FLOOR(((BN236+BO236+BP236)/3),0.1))))))))</f>
        <v/>
      </c>
      <c r="BR236" s="21" t="n"/>
      <c r="BS236" s="21" t="n"/>
      <c r="BT236" s="27">
        <f>SUM(BR236:BS236)</f>
        <v/>
      </c>
      <c r="BU236" s="28" t="n"/>
      <c r="BV236" s="31" t="n"/>
      <c r="BW236" s="29">
        <f>IF(AND(BT236=0,BU236=0,BV236=0),0,IF(AND(BT236=0,BU236=0),BV236/1,IF(AND(BT236=0,BV236=0),BU236/1,IF(AND(BU236=0,BV236=0),BT236/1,IF(BT236=0,FLOOR((BU236+BV236)/2,0.1),IF(BU236=0,(BT236+BV236)/2,IF(BV236=0,(BU236+BT236)/2,FLOOR(((BT236+BU236+BV236)/3),0.1))))))))</f>
        <v/>
      </c>
      <c r="BX236" s="21" t="n"/>
      <c r="BY236" s="21" t="n"/>
      <c r="BZ236" s="27">
        <f>SUM(BX236:BY236)</f>
        <v/>
      </c>
      <c r="CA236" s="28" t="n"/>
      <c r="CB236" s="31" t="n"/>
      <c r="CC236" s="29">
        <f>IF(AND(BZ236=0,CA236=0,CB236=0),0,IF(AND(BZ236=0,CA236=0),CB236/1,IF(AND(BZ236=0,CB236=0),CA236/1,IF(AND(CA236=0,CB236=0),BZ236/1,IF(BZ236=0,FLOOR((CA236+CB236)/2,0.1),IF(CA236=0,(BZ236+CB236)/2,IF(CB236=0,(CA236+BZ236)/2,FLOOR(((BZ236+CA236+CB236)/3),0.1))))))))</f>
        <v/>
      </c>
      <c r="CD236" s="21" t="n"/>
      <c r="CE236" s="21" t="n"/>
      <c r="CF236" s="27">
        <f>SUM(CD236:CE236)</f>
        <v/>
      </c>
      <c r="CG236" s="28" t="n"/>
      <c r="CH236" s="31" t="n"/>
      <c r="CI236" s="29">
        <f>IF(AND(CF236=0,CG236=0,CH236=0),0,IF(AND(CF236=0,CG236=0),CH236/1,IF(AND(CF236=0,CH236=0),CG236/1,IF(AND(CG236=0,CH236=0),CF236/1,IF(CF236=0,FLOOR((CG236+CH236)/2,0.1),IF(CG236=0,(CF236+CH236)/2,IF(CH236=0,(CG236+CF236)/2,FLOOR(((CF236+CG236+CH236)/3),0.1))))))))</f>
        <v/>
      </c>
      <c r="CJ236" s="21" t="n"/>
      <c r="CK236" s="21" t="n"/>
      <c r="CL236" s="27">
        <f>SUM(CJ236:CK236)</f>
        <v/>
      </c>
      <c r="CM236" s="28" t="n"/>
      <c r="CN236" s="31" t="n"/>
      <c r="CO236" s="29">
        <f>IF(AND(CL236=0,CM236=0,CN236=0),0,IF(AND(CL236=0,CM236=0),CN236/1,IF(AND(CL236=0,CN236=0),CM236/1,IF(AND(CM236=0,CN236=0),CL236/1,IF(CL236=0,FLOOR((CM236+CN236)/2,0.1),IF(CM236=0,(CL236+CN236)/2,IF(CN236=0,(CM236+CL236)/2,FLOOR(((CL236+CM236+CN236)/3),0.1))))))))</f>
        <v/>
      </c>
      <c r="CP236" s="21" t="n"/>
      <c r="CQ236" s="21" t="n"/>
      <c r="CR236" s="27">
        <f>SUM(CP236:CQ236)</f>
        <v/>
      </c>
      <c r="CS236" s="28" t="n"/>
      <c r="CT236" s="31" t="n"/>
      <c r="CU236" s="29">
        <f>IF(AND(CR236=0,CS236=0,CT236=0),0,IF(AND(CR236=0,CS236=0),CT236/1,IF(AND(CR236=0,CT236=0),CS236/1,IF(AND(CS236=0,CT236=0),CR236/1,IF(CR236=0,FLOOR((CS236+CT236)/2,0.1),IF(CS236=0,(CR236+CT236)/2,IF(CT236=0,(CS236+CR236)/2,FLOOR(((CR236+CS236+CT236)/3),0.1))))))))</f>
        <v/>
      </c>
      <c r="CV236" s="21" t="n"/>
      <c r="CW236" s="21" t="n"/>
      <c r="CX236" s="27">
        <f>SUM(CV236:CW236)</f>
        <v/>
      </c>
      <c r="CY236" s="28" t="n"/>
      <c r="CZ236" s="31" t="n"/>
      <c r="DA236" s="29">
        <f>IF(AND(CX236=0,CY236=0,CZ236=0),0,IF(AND(CX236=0,CY236=0),CZ236/1,IF(AND(CX236=0,CZ236=0),CY236/1,IF(AND(CY236=0,CZ236=0),CX236/1,IF(CX236=0,FLOOR((CY236+CZ236)/2,0.1),IF(CY236=0,(CX236+CZ236)/2,IF(CZ236=0,(CY236+CX236)/2,FLOOR(((CX236+CY236+CZ236)/3),0.1))))))))</f>
        <v/>
      </c>
      <c r="DB236" s="21" t="n"/>
      <c r="DC236" s="21" t="n"/>
      <c r="DD236" s="27">
        <f>SUM(DB236:DC236)</f>
        <v/>
      </c>
      <c r="DE236" s="28" t="n"/>
      <c r="DF236" s="31" t="n"/>
      <c r="DG236" s="29">
        <f>IF(AND(DD236=0,DE236=0,DF236=0),0,IF(AND(DD236=0,DE236=0),DF236/1,IF(AND(DD236=0,DF236=0),DE236/1,IF(AND(DE236=0,DF236=0),DD236/1,IF(DD236=0,FLOOR((DE236+DF236)/2,0.1),IF(DE236=0,(DD236+DF236)/2,IF(DF236=0,(DE236+DD236)/2,FLOOR(((DD236+DE236+DF236)/3),0.1))))))))</f>
        <v/>
      </c>
      <c r="DH236" s="34">
        <f>SUM(O236,U236,AA236,AG236,AM236,AS236,AY236,BE236,BK236,BQ236,BW236,CC236,CI236,CO236,CU236,DA236,DG236)</f>
        <v/>
      </c>
      <c r="DI236" s="39">
        <f>RANK(DH236,DH$4:DH$503)</f>
        <v/>
      </c>
      <c r="DJ236" s="40" t="inlineStr">
        <is>
          <t>CHOOSE RATING</t>
        </is>
      </c>
      <c r="DK236" s="40" t="inlineStr">
        <is>
          <t>CHOOSE RATING</t>
        </is>
      </c>
      <c r="DL236" s="40" t="inlineStr">
        <is>
          <t>CHOOSE RATING</t>
        </is>
      </c>
      <c r="DM236" s="40" t="inlineStr">
        <is>
          <t>CHOOSE RATING</t>
        </is>
      </c>
      <c r="DN236" s="40" t="inlineStr">
        <is>
          <t>CHOOSE RATING</t>
        </is>
      </c>
      <c r="DO236" s="40" t="inlineStr">
        <is>
          <t>CHOOSE RATING</t>
        </is>
      </c>
      <c r="DP236" s="40" t="inlineStr">
        <is>
          <t>CHOOSE RATING</t>
        </is>
      </c>
      <c r="DQ236" s="40" t="inlineStr">
        <is>
          <t>CHOOSE RATING</t>
        </is>
      </c>
      <c r="DR236" s="43" t="inlineStr">
        <is>
          <t>2024/2025</t>
        </is>
      </c>
      <c r="DS236" s="45" t="inlineStr">
        <is>
          <t>THIRD</t>
        </is>
      </c>
      <c r="DT236" s="40" t="inlineStr">
        <is>
          <t>CHOOSE RATING</t>
        </is>
      </c>
      <c r="DU236" s="40" t="inlineStr">
        <is>
          <t>CHOOSE RATING</t>
        </is>
      </c>
      <c r="DV236" s="40" t="inlineStr">
        <is>
          <t>CHOOSE RATING</t>
        </is>
      </c>
      <c r="DW236" s="40" t="inlineStr">
        <is>
          <t>CHOOSE RATING</t>
        </is>
      </c>
      <c r="DX236" s="40" t="inlineStr">
        <is>
          <t>CHOOSE RATING</t>
        </is>
      </c>
      <c r="DY236" s="40" t="inlineStr">
        <is>
          <t>CHOOSE RATING</t>
        </is>
      </c>
      <c r="DZ236" s="53" t="inlineStr">
        <is>
          <t>CHOOSE RATING</t>
        </is>
      </c>
      <c r="EA236" s="54" t="inlineStr">
        <is>
          <t>Add the Tutor's Comment . . .</t>
        </is>
      </c>
      <c r="EB236" s="55" t="inlineStr">
        <is>
          <t>Choose Principals comment</t>
        </is>
      </c>
      <c r="EC236" s="56" t="n"/>
      <c r="ED236" s="57" t="inlineStr">
        <is>
          <t>Next Term Begins on Monday, 22nd September, 2025</t>
        </is>
      </c>
    </row>
    <row r="237" ht="30.6" customHeight="1" s="6">
      <c r="A237" s="18" t="n">
        <v>234</v>
      </c>
      <c r="B237" s="19" t="n"/>
      <c r="C237" s="20" t="n"/>
      <c r="D237" s="128" t="n"/>
      <c r="E237" s="21" t="n"/>
      <c r="F237" s="22" t="n"/>
      <c r="G237" s="22" t="n"/>
      <c r="H237" s="22" t="n"/>
      <c r="I237" s="26">
        <f>G237-H237</f>
        <v/>
      </c>
      <c r="J237" s="21" t="n"/>
      <c r="K237" s="21" t="n"/>
      <c r="L237" s="27">
        <f>SUM(J237:K237)</f>
        <v/>
      </c>
      <c r="M237" s="28" t="n"/>
      <c r="N237" s="28" t="n"/>
      <c r="O237" s="29">
        <f>IF(AND(L237=0,M237=0,N237=0),0,IF(AND(L237=0,M237=0),N237/1,IF(AND(L237=0,N237=0),M237/1,IF(AND(M237=0,N237=0),L237/1,IF(L237=0,FLOOR((M237+N237)/2,0.1),IF(M237=0,(L237+N237)/2,IF(N237=0,(M237+L237)/2,FLOOR(((L237+M237+N237)/3),0.1))))))))</f>
        <v/>
      </c>
      <c r="P237" s="21" t="n"/>
      <c r="Q237" s="21" t="n"/>
      <c r="R237" s="27">
        <f>SUM(P237:Q237)</f>
        <v/>
      </c>
      <c r="S237" s="28" t="n"/>
      <c r="T237" s="28" t="n"/>
      <c r="U237" s="29">
        <f>IF(AND(R237=0,S237=0,T237=0),0,IF(AND(R237=0,S237=0),T237/1,IF(AND(R237=0,T237=0),S237/1,IF(AND(S237=0,T237=0),R237/1,IF(R237=0,FLOOR((S237+T237)/2,0.1),IF(S237=0,(R237+T237)/2,IF(T237=0,(S237+R237)/2,FLOOR(((R237+S237+T237)/3),0.1))))))))</f>
        <v/>
      </c>
      <c r="V237" s="21" t="n"/>
      <c r="W237" s="21" t="n"/>
      <c r="X237" s="27">
        <f>SUM(V237:W237)</f>
        <v/>
      </c>
      <c r="Y237" s="28" t="n"/>
      <c r="Z237" s="28" t="n"/>
      <c r="AA237" s="29">
        <f>IF(AND(X237=0,Y237=0,Z237=0),0,IF(AND(X237=0,Y237=0),Z237/1,IF(AND(X237=0,Z237=0),Y237/1,IF(AND(Y237=0,Z237=0),X237/1,IF(X237=0,FLOOR((Y237+Z237)/2,0.1),IF(Y237=0,(X237+Z237)/2,IF(Z237=0,(Y237+X237)/2,FLOOR(((X237+Y237+Z237)/3),0.1))))))))</f>
        <v/>
      </c>
      <c r="AB237" s="21" t="n"/>
      <c r="AC237" s="21" t="n"/>
      <c r="AD237" s="27">
        <f>SUM(AB237:AC237)</f>
        <v/>
      </c>
      <c r="AE237" s="28" t="n"/>
      <c r="AF237" s="28" t="n"/>
      <c r="AG237" s="29">
        <f>IF(AND(AD237=0,AE237=0,AF237=0),0,IF(AND(AD237=0,AE237=0),AF237/1,IF(AND(AD237=0,AF237=0),AE237/1,IF(AND(AE237=0,AF237=0),AD237/1,IF(AD237=0,FLOOR((AE237+AF237)/2,0.1),IF(AE237=0,(AD237+AF237)/2,IF(AF237=0,(AE237+AD237)/2,FLOOR(((AD237+AE237+AF237)/3),0.1))))))))</f>
        <v/>
      </c>
      <c r="AH237" s="21" t="n"/>
      <c r="AI237" s="21" t="n"/>
      <c r="AJ237" s="27">
        <f>SUM(AH237:AI237)</f>
        <v/>
      </c>
      <c r="AK237" s="28" t="n"/>
      <c r="AL237" s="28" t="n"/>
      <c r="AM237" s="29">
        <f>IF(AND(AJ237=0,AK237=0,AL237=0),0,IF(AND(AJ237=0,AK237=0),AL237/1,IF(AND(AJ237=0,AL237=0),AK237/1,IF(AND(AK237=0,AL237=0),AJ237/1,IF(AJ237=0,FLOOR((AK237+AL237)/2,0.1),IF(AK237=0,(AJ237+AL237)/2,IF(AL237=0,(AK237+AJ237)/2,FLOOR(((AJ237+AK237+AL237)/3),0.1))))))))</f>
        <v/>
      </c>
      <c r="AN237" s="21" t="n"/>
      <c r="AO237" s="21" t="n"/>
      <c r="AP237" s="27">
        <f>SUM(AN237:AO237)</f>
        <v/>
      </c>
      <c r="AQ237" s="28" t="n"/>
      <c r="AR237" s="30" t="n"/>
      <c r="AS237" s="29">
        <f>IF(AND(AP237=0,AQ237=0,AR237=0),0,IF(AND(AP237=0,AQ237=0),AR237/1,IF(AND(AP237=0,AR237=0),AQ237/1,IF(AND(AQ237=0,AR237=0),AP237/1,IF(AP237=0,FLOOR((AQ237+AR237)/2,0.1),IF(AQ237=0,(AP237+AR237)/2,IF(AR237=0,(AQ237+AP237)/2,FLOOR(((AP237+AQ237+AR237)/3),0.1))))))))</f>
        <v/>
      </c>
      <c r="AT237" s="21" t="n"/>
      <c r="AU237" s="21" t="n"/>
      <c r="AV237" s="27">
        <f>SUM(AT237:AU237)</f>
        <v/>
      </c>
      <c r="AW237" s="28" t="n"/>
      <c r="AX237" s="30" t="n"/>
      <c r="AY237" s="29">
        <f>IF(AND(AV237=0,AW237=0,AX237=0),0,IF(AND(AV237=0,AW237=0),AX237/1,IF(AND(AV237=0,AX237=0),AW237/1,IF(AND(AW237=0,AX237=0),AV237/1,IF(AV237=0,FLOOR((AW237+AX237)/2,0.1),IF(AW237=0,(AV237+AX237)/2,IF(AX237=0,(AW237+AV237)/2,FLOOR(((AV237+AW237+AX237)/3),0.1))))))))</f>
        <v/>
      </c>
      <c r="AZ237" s="21" t="n"/>
      <c r="BA237" s="21" t="n"/>
      <c r="BB237" s="27">
        <f>SUM(AZ237:BA237)</f>
        <v/>
      </c>
      <c r="BC237" s="28" t="n"/>
      <c r="BD237" s="28" t="n"/>
      <c r="BE237" s="29">
        <f>IF(AND(BB237=0,BC237=0,BD237=0),0,IF(AND(BB237=0,BC237=0),BD237/1,IF(AND(BB237=0,BD237=0),BC237/1,IF(AND(BC237=0,BD237=0),BB237/1,IF(BB237=0,FLOOR((BC237+BD237)/2,0.1),IF(BC237=0,(BB237+BD237)/2,IF(BD237=0,(BC237+BB237)/2,FLOOR(((BB237+BC237+BD237)/3),0.1))))))))</f>
        <v/>
      </c>
      <c r="BF237" s="21" t="n"/>
      <c r="BG237" s="21" t="n"/>
      <c r="BH237" s="27">
        <f>SUM(BF237:BG237)</f>
        <v/>
      </c>
      <c r="BI237" s="28" t="n"/>
      <c r="BJ237" s="28" t="n"/>
      <c r="BK237" s="29">
        <f>IF(AND(BH237=0,BI237=0,BJ237=0),0,IF(AND(BH237=0,BI237=0),BJ237/1,IF(AND(BH237=0,BJ237=0),BI237/1,IF(AND(BI237=0,BJ237=0),BH237/1,IF(BH237=0,FLOOR((BI237+BJ237)/2,0.1),IF(BI237=0,(BH237+BJ237)/2,IF(BJ237=0,(BI237+BH237)/2,FLOOR(((BH237+BI237+BJ237)/3),0.1))))))))</f>
        <v/>
      </c>
      <c r="BL237" s="21" t="n"/>
      <c r="BM237" s="21" t="n"/>
      <c r="BN237" s="27">
        <f>SUM(BL237:BM237)</f>
        <v/>
      </c>
      <c r="BO237" s="28" t="n"/>
      <c r="BP237" s="31" t="n"/>
      <c r="BQ237" s="29">
        <f>IF(AND(BN237=0,BO237=0,BP237=0),0,IF(AND(BN237=0,BO237=0),BP237/1,IF(AND(BN237=0,BP237=0),BO237/1,IF(AND(BO237=0,BP237=0),BN237/1,IF(BN237=0,FLOOR((BO237+BP237)/2,0.1),IF(BO237=0,(BN237+BP237)/2,IF(BP237=0,(BO237+BN237)/2,FLOOR(((BN237+BO237+BP237)/3),0.1))))))))</f>
        <v/>
      </c>
      <c r="BR237" s="21" t="n"/>
      <c r="BS237" s="21" t="n"/>
      <c r="BT237" s="27">
        <f>SUM(BR237:BS237)</f>
        <v/>
      </c>
      <c r="BU237" s="28" t="n"/>
      <c r="BV237" s="31" t="n"/>
      <c r="BW237" s="29">
        <f>IF(AND(BT237=0,BU237=0,BV237=0),0,IF(AND(BT237=0,BU237=0),BV237/1,IF(AND(BT237=0,BV237=0),BU237/1,IF(AND(BU237=0,BV237=0),BT237/1,IF(BT237=0,FLOOR((BU237+BV237)/2,0.1),IF(BU237=0,(BT237+BV237)/2,IF(BV237=0,(BU237+BT237)/2,FLOOR(((BT237+BU237+BV237)/3),0.1))))))))</f>
        <v/>
      </c>
      <c r="BX237" s="21" t="n"/>
      <c r="BY237" s="21" t="n"/>
      <c r="BZ237" s="27">
        <f>SUM(BX237:BY237)</f>
        <v/>
      </c>
      <c r="CA237" s="28" t="n"/>
      <c r="CB237" s="31" t="n"/>
      <c r="CC237" s="29">
        <f>IF(AND(BZ237=0,CA237=0,CB237=0),0,IF(AND(BZ237=0,CA237=0),CB237/1,IF(AND(BZ237=0,CB237=0),CA237/1,IF(AND(CA237=0,CB237=0),BZ237/1,IF(BZ237=0,FLOOR((CA237+CB237)/2,0.1),IF(CA237=0,(BZ237+CB237)/2,IF(CB237=0,(CA237+BZ237)/2,FLOOR(((BZ237+CA237+CB237)/3),0.1))))))))</f>
        <v/>
      </c>
      <c r="CD237" s="21" t="n"/>
      <c r="CE237" s="21" t="n"/>
      <c r="CF237" s="27">
        <f>SUM(CD237:CE237)</f>
        <v/>
      </c>
      <c r="CG237" s="28" t="n"/>
      <c r="CH237" s="31" t="n"/>
      <c r="CI237" s="29">
        <f>IF(AND(CF237=0,CG237=0,CH237=0),0,IF(AND(CF237=0,CG237=0),CH237/1,IF(AND(CF237=0,CH237=0),CG237/1,IF(AND(CG237=0,CH237=0),CF237/1,IF(CF237=0,FLOOR((CG237+CH237)/2,0.1),IF(CG237=0,(CF237+CH237)/2,IF(CH237=0,(CG237+CF237)/2,FLOOR(((CF237+CG237+CH237)/3),0.1))))))))</f>
        <v/>
      </c>
      <c r="CJ237" s="21" t="n"/>
      <c r="CK237" s="21" t="n"/>
      <c r="CL237" s="27">
        <f>SUM(CJ237:CK237)</f>
        <v/>
      </c>
      <c r="CM237" s="28" t="n"/>
      <c r="CN237" s="31" t="n"/>
      <c r="CO237" s="29">
        <f>IF(AND(CL237=0,CM237=0,CN237=0),0,IF(AND(CL237=0,CM237=0),CN237/1,IF(AND(CL237=0,CN237=0),CM237/1,IF(AND(CM237=0,CN237=0),CL237/1,IF(CL237=0,FLOOR((CM237+CN237)/2,0.1),IF(CM237=0,(CL237+CN237)/2,IF(CN237=0,(CM237+CL237)/2,FLOOR(((CL237+CM237+CN237)/3),0.1))))))))</f>
        <v/>
      </c>
      <c r="CP237" s="21" t="n"/>
      <c r="CQ237" s="21" t="n"/>
      <c r="CR237" s="27">
        <f>SUM(CP237:CQ237)</f>
        <v/>
      </c>
      <c r="CS237" s="28" t="n"/>
      <c r="CT237" s="31" t="n"/>
      <c r="CU237" s="29">
        <f>IF(AND(CR237=0,CS237=0,CT237=0),0,IF(AND(CR237=0,CS237=0),CT237/1,IF(AND(CR237=0,CT237=0),CS237/1,IF(AND(CS237=0,CT237=0),CR237/1,IF(CR237=0,FLOOR((CS237+CT237)/2,0.1),IF(CS237=0,(CR237+CT237)/2,IF(CT237=0,(CS237+CR237)/2,FLOOR(((CR237+CS237+CT237)/3),0.1))))))))</f>
        <v/>
      </c>
      <c r="CV237" s="21" t="n"/>
      <c r="CW237" s="21" t="n"/>
      <c r="CX237" s="27">
        <f>SUM(CV237:CW237)</f>
        <v/>
      </c>
      <c r="CY237" s="28" t="n"/>
      <c r="CZ237" s="31" t="n"/>
      <c r="DA237" s="29">
        <f>IF(AND(CX237=0,CY237=0,CZ237=0),0,IF(AND(CX237=0,CY237=0),CZ237/1,IF(AND(CX237=0,CZ237=0),CY237/1,IF(AND(CY237=0,CZ237=0),CX237/1,IF(CX237=0,FLOOR((CY237+CZ237)/2,0.1),IF(CY237=0,(CX237+CZ237)/2,IF(CZ237=0,(CY237+CX237)/2,FLOOR(((CX237+CY237+CZ237)/3),0.1))))))))</f>
        <v/>
      </c>
      <c r="DB237" s="21" t="n"/>
      <c r="DC237" s="21" t="n"/>
      <c r="DD237" s="27">
        <f>SUM(DB237:DC237)</f>
        <v/>
      </c>
      <c r="DE237" s="28" t="n"/>
      <c r="DF237" s="31" t="n"/>
      <c r="DG237" s="29">
        <f>IF(AND(DD237=0,DE237=0,DF237=0),0,IF(AND(DD237=0,DE237=0),DF237/1,IF(AND(DD237=0,DF237=0),DE237/1,IF(AND(DE237=0,DF237=0),DD237/1,IF(DD237=0,FLOOR((DE237+DF237)/2,0.1),IF(DE237=0,(DD237+DF237)/2,IF(DF237=0,(DE237+DD237)/2,FLOOR(((DD237+DE237+DF237)/3),0.1))))))))</f>
        <v/>
      </c>
      <c r="DH237" s="34">
        <f>SUM(O237,U237,AA237,AG237,AM237,AS237,AY237,BE237,BK237,BQ237,BW237,CC237,CI237,CO237,CU237,DA237,DG237)</f>
        <v/>
      </c>
      <c r="DI237" s="39">
        <f>RANK(DH237,DH$4:DH$503)</f>
        <v/>
      </c>
      <c r="DJ237" s="40" t="inlineStr">
        <is>
          <t>CHOOSE RATING</t>
        </is>
      </c>
      <c r="DK237" s="40" t="inlineStr">
        <is>
          <t>CHOOSE RATING</t>
        </is>
      </c>
      <c r="DL237" s="40" t="inlineStr">
        <is>
          <t>CHOOSE RATING</t>
        </is>
      </c>
      <c r="DM237" s="40" t="inlineStr">
        <is>
          <t>CHOOSE RATING</t>
        </is>
      </c>
      <c r="DN237" s="40" t="inlineStr">
        <is>
          <t>CHOOSE RATING</t>
        </is>
      </c>
      <c r="DO237" s="40" t="inlineStr">
        <is>
          <t>CHOOSE RATING</t>
        </is>
      </c>
      <c r="DP237" s="40" t="inlineStr">
        <is>
          <t>CHOOSE RATING</t>
        </is>
      </c>
      <c r="DQ237" s="40" t="inlineStr">
        <is>
          <t>CHOOSE RATING</t>
        </is>
      </c>
      <c r="DR237" s="43" t="inlineStr">
        <is>
          <t>2024/2025</t>
        </is>
      </c>
      <c r="DS237" s="45" t="inlineStr">
        <is>
          <t>THIRD</t>
        </is>
      </c>
      <c r="DT237" s="40" t="inlineStr">
        <is>
          <t>CHOOSE RATING</t>
        </is>
      </c>
      <c r="DU237" s="40" t="inlineStr">
        <is>
          <t>CHOOSE RATING</t>
        </is>
      </c>
      <c r="DV237" s="40" t="inlineStr">
        <is>
          <t>CHOOSE RATING</t>
        </is>
      </c>
      <c r="DW237" s="40" t="inlineStr">
        <is>
          <t>CHOOSE RATING</t>
        </is>
      </c>
      <c r="DX237" s="40" t="inlineStr">
        <is>
          <t>CHOOSE RATING</t>
        </is>
      </c>
      <c r="DY237" s="40" t="inlineStr">
        <is>
          <t>CHOOSE RATING</t>
        </is>
      </c>
      <c r="DZ237" s="53" t="inlineStr">
        <is>
          <t>CHOOSE RATING</t>
        </is>
      </c>
      <c r="EA237" s="54" t="inlineStr">
        <is>
          <t>Add the Tutor's Comment . . .</t>
        </is>
      </c>
      <c r="EB237" s="55" t="inlineStr">
        <is>
          <t>Choose Principals comment</t>
        </is>
      </c>
      <c r="EC237" s="56" t="n"/>
      <c r="ED237" s="57" t="inlineStr">
        <is>
          <t>Next Term Begins on Monday, 22nd September, 2025</t>
        </is>
      </c>
    </row>
    <row r="238" ht="30.6" customHeight="1" s="6">
      <c r="A238" s="18" t="n">
        <v>235</v>
      </c>
      <c r="B238" s="19" t="n"/>
      <c r="C238" s="20" t="n"/>
      <c r="D238" s="128" t="n"/>
      <c r="E238" s="21" t="n"/>
      <c r="F238" s="22" t="n"/>
      <c r="G238" s="22" t="n"/>
      <c r="H238" s="22" t="n"/>
      <c r="I238" s="26">
        <f>G238-H238</f>
        <v/>
      </c>
      <c r="J238" s="21" t="n"/>
      <c r="K238" s="21" t="n"/>
      <c r="L238" s="27">
        <f>SUM(J238:K238)</f>
        <v/>
      </c>
      <c r="M238" s="28" t="n"/>
      <c r="N238" s="28" t="n"/>
      <c r="O238" s="29">
        <f>IF(AND(L238=0,M238=0,N238=0),0,IF(AND(L238=0,M238=0),N238/1,IF(AND(L238=0,N238=0),M238/1,IF(AND(M238=0,N238=0),L238/1,IF(L238=0,FLOOR((M238+N238)/2,0.1),IF(M238=0,(L238+N238)/2,IF(N238=0,(M238+L238)/2,FLOOR(((L238+M238+N238)/3),0.1))))))))</f>
        <v/>
      </c>
      <c r="P238" s="21" t="n"/>
      <c r="Q238" s="21" t="n"/>
      <c r="R238" s="27">
        <f>SUM(P238:Q238)</f>
        <v/>
      </c>
      <c r="S238" s="28" t="n"/>
      <c r="T238" s="28" t="n"/>
      <c r="U238" s="29">
        <f>IF(AND(R238=0,S238=0,T238=0),0,IF(AND(R238=0,S238=0),T238/1,IF(AND(R238=0,T238=0),S238/1,IF(AND(S238=0,T238=0),R238/1,IF(R238=0,FLOOR((S238+T238)/2,0.1),IF(S238=0,(R238+T238)/2,IF(T238=0,(S238+R238)/2,FLOOR(((R238+S238+T238)/3),0.1))))))))</f>
        <v/>
      </c>
      <c r="V238" s="21" t="n"/>
      <c r="W238" s="21" t="n"/>
      <c r="X238" s="27">
        <f>SUM(V238:W238)</f>
        <v/>
      </c>
      <c r="Y238" s="28" t="n"/>
      <c r="Z238" s="28" t="n"/>
      <c r="AA238" s="29">
        <f>IF(AND(X238=0,Y238=0,Z238=0),0,IF(AND(X238=0,Y238=0),Z238/1,IF(AND(X238=0,Z238=0),Y238/1,IF(AND(Y238=0,Z238=0),X238/1,IF(X238=0,FLOOR((Y238+Z238)/2,0.1),IF(Y238=0,(X238+Z238)/2,IF(Z238=0,(Y238+X238)/2,FLOOR(((X238+Y238+Z238)/3),0.1))))))))</f>
        <v/>
      </c>
      <c r="AB238" s="21" t="n"/>
      <c r="AC238" s="21" t="n"/>
      <c r="AD238" s="27">
        <f>SUM(AB238:AC238)</f>
        <v/>
      </c>
      <c r="AE238" s="28" t="n"/>
      <c r="AF238" s="28" t="n"/>
      <c r="AG238" s="29">
        <f>IF(AND(AD238=0,AE238=0,AF238=0),0,IF(AND(AD238=0,AE238=0),AF238/1,IF(AND(AD238=0,AF238=0),AE238/1,IF(AND(AE238=0,AF238=0),AD238/1,IF(AD238=0,FLOOR((AE238+AF238)/2,0.1),IF(AE238=0,(AD238+AF238)/2,IF(AF238=0,(AE238+AD238)/2,FLOOR(((AD238+AE238+AF238)/3),0.1))))))))</f>
        <v/>
      </c>
      <c r="AH238" s="21" t="n"/>
      <c r="AI238" s="21" t="n"/>
      <c r="AJ238" s="27">
        <f>SUM(AH238:AI238)</f>
        <v/>
      </c>
      <c r="AK238" s="28" t="n"/>
      <c r="AL238" s="28" t="n"/>
      <c r="AM238" s="29">
        <f>IF(AND(AJ238=0,AK238=0,AL238=0),0,IF(AND(AJ238=0,AK238=0),AL238/1,IF(AND(AJ238=0,AL238=0),AK238/1,IF(AND(AK238=0,AL238=0),AJ238/1,IF(AJ238=0,FLOOR((AK238+AL238)/2,0.1),IF(AK238=0,(AJ238+AL238)/2,IF(AL238=0,(AK238+AJ238)/2,FLOOR(((AJ238+AK238+AL238)/3),0.1))))))))</f>
        <v/>
      </c>
      <c r="AN238" s="21" t="n"/>
      <c r="AO238" s="21" t="n"/>
      <c r="AP238" s="27">
        <f>SUM(AN238:AO238)</f>
        <v/>
      </c>
      <c r="AQ238" s="28" t="n"/>
      <c r="AR238" s="30" t="n"/>
      <c r="AS238" s="29">
        <f>IF(AND(AP238=0,AQ238=0,AR238=0),0,IF(AND(AP238=0,AQ238=0),AR238/1,IF(AND(AP238=0,AR238=0),AQ238/1,IF(AND(AQ238=0,AR238=0),AP238/1,IF(AP238=0,FLOOR((AQ238+AR238)/2,0.1),IF(AQ238=0,(AP238+AR238)/2,IF(AR238=0,(AQ238+AP238)/2,FLOOR(((AP238+AQ238+AR238)/3),0.1))))))))</f>
        <v/>
      </c>
      <c r="AT238" s="21" t="n"/>
      <c r="AU238" s="21" t="n"/>
      <c r="AV238" s="27">
        <f>SUM(AT238:AU238)</f>
        <v/>
      </c>
      <c r="AW238" s="28" t="n"/>
      <c r="AX238" s="30" t="n"/>
      <c r="AY238" s="29">
        <f>IF(AND(AV238=0,AW238=0,AX238=0),0,IF(AND(AV238=0,AW238=0),AX238/1,IF(AND(AV238=0,AX238=0),AW238/1,IF(AND(AW238=0,AX238=0),AV238/1,IF(AV238=0,FLOOR((AW238+AX238)/2,0.1),IF(AW238=0,(AV238+AX238)/2,IF(AX238=0,(AW238+AV238)/2,FLOOR(((AV238+AW238+AX238)/3),0.1))))))))</f>
        <v/>
      </c>
      <c r="AZ238" s="21" t="n"/>
      <c r="BA238" s="21" t="n"/>
      <c r="BB238" s="27">
        <f>SUM(AZ238:BA238)</f>
        <v/>
      </c>
      <c r="BC238" s="28" t="n"/>
      <c r="BD238" s="28" t="n"/>
      <c r="BE238" s="29">
        <f>IF(AND(BB238=0,BC238=0,BD238=0),0,IF(AND(BB238=0,BC238=0),BD238/1,IF(AND(BB238=0,BD238=0),BC238/1,IF(AND(BC238=0,BD238=0),BB238/1,IF(BB238=0,FLOOR((BC238+BD238)/2,0.1),IF(BC238=0,(BB238+BD238)/2,IF(BD238=0,(BC238+BB238)/2,FLOOR(((BB238+BC238+BD238)/3),0.1))))))))</f>
        <v/>
      </c>
      <c r="BF238" s="21" t="n"/>
      <c r="BG238" s="21" t="n"/>
      <c r="BH238" s="27">
        <f>SUM(BF238:BG238)</f>
        <v/>
      </c>
      <c r="BI238" s="28" t="n"/>
      <c r="BJ238" s="28" t="n"/>
      <c r="BK238" s="29">
        <f>IF(AND(BH238=0,BI238=0,BJ238=0),0,IF(AND(BH238=0,BI238=0),BJ238/1,IF(AND(BH238=0,BJ238=0),BI238/1,IF(AND(BI238=0,BJ238=0),BH238/1,IF(BH238=0,FLOOR((BI238+BJ238)/2,0.1),IF(BI238=0,(BH238+BJ238)/2,IF(BJ238=0,(BI238+BH238)/2,FLOOR(((BH238+BI238+BJ238)/3),0.1))))))))</f>
        <v/>
      </c>
      <c r="BL238" s="21" t="n"/>
      <c r="BM238" s="21" t="n"/>
      <c r="BN238" s="27">
        <f>SUM(BL238:BM238)</f>
        <v/>
      </c>
      <c r="BO238" s="28" t="n"/>
      <c r="BP238" s="31" t="n"/>
      <c r="BQ238" s="29">
        <f>IF(AND(BN238=0,BO238=0,BP238=0),0,IF(AND(BN238=0,BO238=0),BP238/1,IF(AND(BN238=0,BP238=0),BO238/1,IF(AND(BO238=0,BP238=0),BN238/1,IF(BN238=0,FLOOR((BO238+BP238)/2,0.1),IF(BO238=0,(BN238+BP238)/2,IF(BP238=0,(BO238+BN238)/2,FLOOR(((BN238+BO238+BP238)/3),0.1))))))))</f>
        <v/>
      </c>
      <c r="BR238" s="21" t="n"/>
      <c r="BS238" s="21" t="n"/>
      <c r="BT238" s="27">
        <f>SUM(BR238:BS238)</f>
        <v/>
      </c>
      <c r="BU238" s="28" t="n"/>
      <c r="BV238" s="31" t="n"/>
      <c r="BW238" s="29">
        <f>IF(AND(BT238=0,BU238=0,BV238=0),0,IF(AND(BT238=0,BU238=0),BV238/1,IF(AND(BT238=0,BV238=0),BU238/1,IF(AND(BU238=0,BV238=0),BT238/1,IF(BT238=0,FLOOR((BU238+BV238)/2,0.1),IF(BU238=0,(BT238+BV238)/2,IF(BV238=0,(BU238+BT238)/2,FLOOR(((BT238+BU238+BV238)/3),0.1))))))))</f>
        <v/>
      </c>
      <c r="BX238" s="21" t="n"/>
      <c r="BY238" s="21" t="n"/>
      <c r="BZ238" s="27">
        <f>SUM(BX238:BY238)</f>
        <v/>
      </c>
      <c r="CA238" s="28" t="n"/>
      <c r="CB238" s="31" t="n"/>
      <c r="CC238" s="29">
        <f>IF(AND(BZ238=0,CA238=0,CB238=0),0,IF(AND(BZ238=0,CA238=0),CB238/1,IF(AND(BZ238=0,CB238=0),CA238/1,IF(AND(CA238=0,CB238=0),BZ238/1,IF(BZ238=0,FLOOR((CA238+CB238)/2,0.1),IF(CA238=0,(BZ238+CB238)/2,IF(CB238=0,(CA238+BZ238)/2,FLOOR(((BZ238+CA238+CB238)/3),0.1))))))))</f>
        <v/>
      </c>
      <c r="CD238" s="21" t="n"/>
      <c r="CE238" s="21" t="n"/>
      <c r="CF238" s="27">
        <f>SUM(CD238:CE238)</f>
        <v/>
      </c>
      <c r="CG238" s="28" t="n"/>
      <c r="CH238" s="31" t="n"/>
      <c r="CI238" s="29">
        <f>IF(AND(CF238=0,CG238=0,CH238=0),0,IF(AND(CF238=0,CG238=0),CH238/1,IF(AND(CF238=0,CH238=0),CG238/1,IF(AND(CG238=0,CH238=0),CF238/1,IF(CF238=0,FLOOR((CG238+CH238)/2,0.1),IF(CG238=0,(CF238+CH238)/2,IF(CH238=0,(CG238+CF238)/2,FLOOR(((CF238+CG238+CH238)/3),0.1))))))))</f>
        <v/>
      </c>
      <c r="CJ238" s="21" t="n"/>
      <c r="CK238" s="21" t="n"/>
      <c r="CL238" s="27">
        <f>SUM(CJ238:CK238)</f>
        <v/>
      </c>
      <c r="CM238" s="28" t="n"/>
      <c r="CN238" s="31" t="n"/>
      <c r="CO238" s="29">
        <f>IF(AND(CL238=0,CM238=0,CN238=0),0,IF(AND(CL238=0,CM238=0),CN238/1,IF(AND(CL238=0,CN238=0),CM238/1,IF(AND(CM238=0,CN238=0),CL238/1,IF(CL238=0,FLOOR((CM238+CN238)/2,0.1),IF(CM238=0,(CL238+CN238)/2,IF(CN238=0,(CM238+CL238)/2,FLOOR(((CL238+CM238+CN238)/3),0.1))))))))</f>
        <v/>
      </c>
      <c r="CP238" s="21" t="n"/>
      <c r="CQ238" s="21" t="n"/>
      <c r="CR238" s="27">
        <f>SUM(CP238:CQ238)</f>
        <v/>
      </c>
      <c r="CS238" s="28" t="n"/>
      <c r="CT238" s="31" t="n"/>
      <c r="CU238" s="29">
        <f>IF(AND(CR238=0,CS238=0,CT238=0),0,IF(AND(CR238=0,CS238=0),CT238/1,IF(AND(CR238=0,CT238=0),CS238/1,IF(AND(CS238=0,CT238=0),CR238/1,IF(CR238=0,FLOOR((CS238+CT238)/2,0.1),IF(CS238=0,(CR238+CT238)/2,IF(CT238=0,(CS238+CR238)/2,FLOOR(((CR238+CS238+CT238)/3),0.1))))))))</f>
        <v/>
      </c>
      <c r="CV238" s="21" t="n"/>
      <c r="CW238" s="21" t="n"/>
      <c r="CX238" s="27">
        <f>SUM(CV238:CW238)</f>
        <v/>
      </c>
      <c r="CY238" s="28" t="n"/>
      <c r="CZ238" s="31" t="n"/>
      <c r="DA238" s="29">
        <f>IF(AND(CX238=0,CY238=0,CZ238=0),0,IF(AND(CX238=0,CY238=0),CZ238/1,IF(AND(CX238=0,CZ238=0),CY238/1,IF(AND(CY238=0,CZ238=0),CX238/1,IF(CX238=0,FLOOR((CY238+CZ238)/2,0.1),IF(CY238=0,(CX238+CZ238)/2,IF(CZ238=0,(CY238+CX238)/2,FLOOR(((CX238+CY238+CZ238)/3),0.1))))))))</f>
        <v/>
      </c>
      <c r="DB238" s="21" t="n"/>
      <c r="DC238" s="21" t="n"/>
      <c r="DD238" s="27">
        <f>SUM(DB238:DC238)</f>
        <v/>
      </c>
      <c r="DE238" s="28" t="n"/>
      <c r="DF238" s="31" t="n"/>
      <c r="DG238" s="29">
        <f>IF(AND(DD238=0,DE238=0,DF238=0),0,IF(AND(DD238=0,DE238=0),DF238/1,IF(AND(DD238=0,DF238=0),DE238/1,IF(AND(DE238=0,DF238=0),DD238/1,IF(DD238=0,FLOOR((DE238+DF238)/2,0.1),IF(DE238=0,(DD238+DF238)/2,IF(DF238=0,(DE238+DD238)/2,FLOOR(((DD238+DE238+DF238)/3),0.1))))))))</f>
        <v/>
      </c>
      <c r="DH238" s="34">
        <f>SUM(O238,U238,AA238,AG238,AM238,AS238,AY238,BE238,BK238,BQ238,BW238,CC238,CI238,CO238,CU238,DA238,DG238)</f>
        <v/>
      </c>
      <c r="DI238" s="39">
        <f>RANK(DH238,DH$4:DH$503)</f>
        <v/>
      </c>
      <c r="DJ238" s="40" t="inlineStr">
        <is>
          <t>CHOOSE RATING</t>
        </is>
      </c>
      <c r="DK238" s="40" t="inlineStr">
        <is>
          <t>CHOOSE RATING</t>
        </is>
      </c>
      <c r="DL238" s="40" t="inlineStr">
        <is>
          <t>CHOOSE RATING</t>
        </is>
      </c>
      <c r="DM238" s="40" t="inlineStr">
        <is>
          <t>CHOOSE RATING</t>
        </is>
      </c>
      <c r="DN238" s="40" t="inlineStr">
        <is>
          <t>CHOOSE RATING</t>
        </is>
      </c>
      <c r="DO238" s="40" t="inlineStr">
        <is>
          <t>CHOOSE RATING</t>
        </is>
      </c>
      <c r="DP238" s="40" t="inlineStr">
        <is>
          <t>CHOOSE RATING</t>
        </is>
      </c>
      <c r="DQ238" s="40" t="inlineStr">
        <is>
          <t>CHOOSE RATING</t>
        </is>
      </c>
      <c r="DR238" s="43" t="inlineStr">
        <is>
          <t>2024/2025</t>
        </is>
      </c>
      <c r="DS238" s="45" t="inlineStr">
        <is>
          <t>THIRD</t>
        </is>
      </c>
      <c r="DT238" s="40" t="inlineStr">
        <is>
          <t>CHOOSE RATING</t>
        </is>
      </c>
      <c r="DU238" s="40" t="inlineStr">
        <is>
          <t>CHOOSE RATING</t>
        </is>
      </c>
      <c r="DV238" s="40" t="inlineStr">
        <is>
          <t>CHOOSE RATING</t>
        </is>
      </c>
      <c r="DW238" s="40" t="inlineStr">
        <is>
          <t>CHOOSE RATING</t>
        </is>
      </c>
      <c r="DX238" s="40" t="inlineStr">
        <is>
          <t>CHOOSE RATING</t>
        </is>
      </c>
      <c r="DY238" s="40" t="inlineStr">
        <is>
          <t>CHOOSE RATING</t>
        </is>
      </c>
      <c r="DZ238" s="53" t="inlineStr">
        <is>
          <t>CHOOSE RATING</t>
        </is>
      </c>
      <c r="EA238" s="54" t="inlineStr">
        <is>
          <t>Add the Tutor's Comment . . .</t>
        </is>
      </c>
      <c r="EB238" s="55" t="inlineStr">
        <is>
          <t>Choose Principals comment</t>
        </is>
      </c>
      <c r="EC238" s="56" t="n"/>
      <c r="ED238" s="57" t="inlineStr">
        <is>
          <t>Next Term Begins on Monday, 22nd September, 2025</t>
        </is>
      </c>
    </row>
    <row r="239" ht="30.6" customHeight="1" s="6">
      <c r="A239" s="18" t="n">
        <v>236</v>
      </c>
      <c r="B239" s="19" t="n"/>
      <c r="C239" s="20" t="n"/>
      <c r="D239" s="128" t="n"/>
      <c r="E239" s="21" t="n"/>
      <c r="F239" s="22" t="n"/>
      <c r="G239" s="22" t="n"/>
      <c r="H239" s="22" t="n"/>
      <c r="I239" s="26">
        <f>G239-H239</f>
        <v/>
      </c>
      <c r="J239" s="21" t="n"/>
      <c r="K239" s="21" t="n"/>
      <c r="L239" s="27">
        <f>SUM(J239:K239)</f>
        <v/>
      </c>
      <c r="M239" s="28" t="n"/>
      <c r="N239" s="28" t="n"/>
      <c r="O239" s="29">
        <f>IF(AND(L239=0,M239=0,N239=0),0,IF(AND(L239=0,M239=0),N239/1,IF(AND(L239=0,N239=0),M239/1,IF(AND(M239=0,N239=0),L239/1,IF(L239=0,FLOOR((M239+N239)/2,0.1),IF(M239=0,(L239+N239)/2,IF(N239=0,(M239+L239)/2,FLOOR(((L239+M239+N239)/3),0.1))))))))</f>
        <v/>
      </c>
      <c r="P239" s="21" t="n"/>
      <c r="Q239" s="21" t="n"/>
      <c r="R239" s="27">
        <f>SUM(P239:Q239)</f>
        <v/>
      </c>
      <c r="S239" s="28" t="n"/>
      <c r="T239" s="28" t="n"/>
      <c r="U239" s="29">
        <f>IF(AND(R239=0,S239=0,T239=0),0,IF(AND(R239=0,S239=0),T239/1,IF(AND(R239=0,T239=0),S239/1,IF(AND(S239=0,T239=0),R239/1,IF(R239=0,FLOOR((S239+T239)/2,0.1),IF(S239=0,(R239+T239)/2,IF(T239=0,(S239+R239)/2,FLOOR(((R239+S239+T239)/3),0.1))))))))</f>
        <v/>
      </c>
      <c r="V239" s="21" t="n"/>
      <c r="W239" s="21" t="n"/>
      <c r="X239" s="27">
        <f>SUM(V239:W239)</f>
        <v/>
      </c>
      <c r="Y239" s="28" t="n"/>
      <c r="Z239" s="28" t="n"/>
      <c r="AA239" s="29">
        <f>IF(AND(X239=0,Y239=0,Z239=0),0,IF(AND(X239=0,Y239=0),Z239/1,IF(AND(X239=0,Z239=0),Y239/1,IF(AND(Y239=0,Z239=0),X239/1,IF(X239=0,FLOOR((Y239+Z239)/2,0.1),IF(Y239=0,(X239+Z239)/2,IF(Z239=0,(Y239+X239)/2,FLOOR(((X239+Y239+Z239)/3),0.1))))))))</f>
        <v/>
      </c>
      <c r="AB239" s="21" t="n"/>
      <c r="AC239" s="21" t="n"/>
      <c r="AD239" s="27">
        <f>SUM(AB239:AC239)</f>
        <v/>
      </c>
      <c r="AE239" s="28" t="n"/>
      <c r="AF239" s="28" t="n"/>
      <c r="AG239" s="29">
        <f>IF(AND(AD239=0,AE239=0,AF239=0),0,IF(AND(AD239=0,AE239=0),AF239/1,IF(AND(AD239=0,AF239=0),AE239/1,IF(AND(AE239=0,AF239=0),AD239/1,IF(AD239=0,FLOOR((AE239+AF239)/2,0.1),IF(AE239=0,(AD239+AF239)/2,IF(AF239=0,(AE239+AD239)/2,FLOOR(((AD239+AE239+AF239)/3),0.1))))))))</f>
        <v/>
      </c>
      <c r="AH239" s="21" t="n"/>
      <c r="AI239" s="21" t="n"/>
      <c r="AJ239" s="27">
        <f>SUM(AH239:AI239)</f>
        <v/>
      </c>
      <c r="AK239" s="28" t="n"/>
      <c r="AL239" s="28" t="n"/>
      <c r="AM239" s="29">
        <f>IF(AND(AJ239=0,AK239=0,AL239=0),0,IF(AND(AJ239=0,AK239=0),AL239/1,IF(AND(AJ239=0,AL239=0),AK239/1,IF(AND(AK239=0,AL239=0),AJ239/1,IF(AJ239=0,FLOOR((AK239+AL239)/2,0.1),IF(AK239=0,(AJ239+AL239)/2,IF(AL239=0,(AK239+AJ239)/2,FLOOR(((AJ239+AK239+AL239)/3),0.1))))))))</f>
        <v/>
      </c>
      <c r="AN239" s="21" t="n"/>
      <c r="AO239" s="21" t="n"/>
      <c r="AP239" s="27">
        <f>SUM(AN239:AO239)</f>
        <v/>
      </c>
      <c r="AQ239" s="28" t="n"/>
      <c r="AR239" s="30" t="n"/>
      <c r="AS239" s="29">
        <f>IF(AND(AP239=0,AQ239=0,AR239=0),0,IF(AND(AP239=0,AQ239=0),AR239/1,IF(AND(AP239=0,AR239=0),AQ239/1,IF(AND(AQ239=0,AR239=0),AP239/1,IF(AP239=0,FLOOR((AQ239+AR239)/2,0.1),IF(AQ239=0,(AP239+AR239)/2,IF(AR239=0,(AQ239+AP239)/2,FLOOR(((AP239+AQ239+AR239)/3),0.1))))))))</f>
        <v/>
      </c>
      <c r="AT239" s="21" t="n"/>
      <c r="AU239" s="21" t="n"/>
      <c r="AV239" s="27">
        <f>SUM(AT239:AU239)</f>
        <v/>
      </c>
      <c r="AW239" s="28" t="n"/>
      <c r="AX239" s="30" t="n"/>
      <c r="AY239" s="29">
        <f>IF(AND(AV239=0,AW239=0,AX239=0),0,IF(AND(AV239=0,AW239=0),AX239/1,IF(AND(AV239=0,AX239=0),AW239/1,IF(AND(AW239=0,AX239=0),AV239/1,IF(AV239=0,FLOOR((AW239+AX239)/2,0.1),IF(AW239=0,(AV239+AX239)/2,IF(AX239=0,(AW239+AV239)/2,FLOOR(((AV239+AW239+AX239)/3),0.1))))))))</f>
        <v/>
      </c>
      <c r="AZ239" s="21" t="n"/>
      <c r="BA239" s="21" t="n"/>
      <c r="BB239" s="27">
        <f>SUM(AZ239:BA239)</f>
        <v/>
      </c>
      <c r="BC239" s="28" t="n"/>
      <c r="BD239" s="28" t="n"/>
      <c r="BE239" s="29">
        <f>IF(AND(BB239=0,BC239=0,BD239=0),0,IF(AND(BB239=0,BC239=0),BD239/1,IF(AND(BB239=0,BD239=0),BC239/1,IF(AND(BC239=0,BD239=0),BB239/1,IF(BB239=0,FLOOR((BC239+BD239)/2,0.1),IF(BC239=0,(BB239+BD239)/2,IF(BD239=0,(BC239+BB239)/2,FLOOR(((BB239+BC239+BD239)/3),0.1))))))))</f>
        <v/>
      </c>
      <c r="BF239" s="21" t="n"/>
      <c r="BG239" s="21" t="n"/>
      <c r="BH239" s="27">
        <f>SUM(BF239:BG239)</f>
        <v/>
      </c>
      <c r="BI239" s="28" t="n"/>
      <c r="BJ239" s="28" t="n"/>
      <c r="BK239" s="29">
        <f>IF(AND(BH239=0,BI239=0,BJ239=0),0,IF(AND(BH239=0,BI239=0),BJ239/1,IF(AND(BH239=0,BJ239=0),BI239/1,IF(AND(BI239=0,BJ239=0),BH239/1,IF(BH239=0,FLOOR((BI239+BJ239)/2,0.1),IF(BI239=0,(BH239+BJ239)/2,IF(BJ239=0,(BI239+BH239)/2,FLOOR(((BH239+BI239+BJ239)/3),0.1))))))))</f>
        <v/>
      </c>
      <c r="BL239" s="21" t="n"/>
      <c r="BM239" s="21" t="n"/>
      <c r="BN239" s="27">
        <f>SUM(BL239:BM239)</f>
        <v/>
      </c>
      <c r="BO239" s="28" t="n"/>
      <c r="BP239" s="31" t="n"/>
      <c r="BQ239" s="29">
        <f>IF(AND(BN239=0,BO239=0,BP239=0),0,IF(AND(BN239=0,BO239=0),BP239/1,IF(AND(BN239=0,BP239=0),BO239/1,IF(AND(BO239=0,BP239=0),BN239/1,IF(BN239=0,FLOOR((BO239+BP239)/2,0.1),IF(BO239=0,(BN239+BP239)/2,IF(BP239=0,(BO239+BN239)/2,FLOOR(((BN239+BO239+BP239)/3),0.1))))))))</f>
        <v/>
      </c>
      <c r="BR239" s="21" t="n"/>
      <c r="BS239" s="21" t="n"/>
      <c r="BT239" s="27">
        <f>SUM(BR239:BS239)</f>
        <v/>
      </c>
      <c r="BU239" s="28" t="n"/>
      <c r="BV239" s="31" t="n"/>
      <c r="BW239" s="29">
        <f>IF(AND(BT239=0,BU239=0,BV239=0),0,IF(AND(BT239=0,BU239=0),BV239/1,IF(AND(BT239=0,BV239=0),BU239/1,IF(AND(BU239=0,BV239=0),BT239/1,IF(BT239=0,FLOOR((BU239+BV239)/2,0.1),IF(BU239=0,(BT239+BV239)/2,IF(BV239=0,(BU239+BT239)/2,FLOOR(((BT239+BU239+BV239)/3),0.1))))))))</f>
        <v/>
      </c>
      <c r="BX239" s="21" t="n"/>
      <c r="BY239" s="21" t="n"/>
      <c r="BZ239" s="27">
        <f>SUM(BX239:BY239)</f>
        <v/>
      </c>
      <c r="CA239" s="28" t="n"/>
      <c r="CB239" s="31" t="n"/>
      <c r="CC239" s="29">
        <f>IF(AND(BZ239=0,CA239=0,CB239=0),0,IF(AND(BZ239=0,CA239=0),CB239/1,IF(AND(BZ239=0,CB239=0),CA239/1,IF(AND(CA239=0,CB239=0),BZ239/1,IF(BZ239=0,FLOOR((CA239+CB239)/2,0.1),IF(CA239=0,(BZ239+CB239)/2,IF(CB239=0,(CA239+BZ239)/2,FLOOR(((BZ239+CA239+CB239)/3),0.1))))))))</f>
        <v/>
      </c>
      <c r="CD239" s="21" t="n"/>
      <c r="CE239" s="21" t="n"/>
      <c r="CF239" s="27">
        <f>SUM(CD239:CE239)</f>
        <v/>
      </c>
      <c r="CG239" s="28" t="n"/>
      <c r="CH239" s="31" t="n"/>
      <c r="CI239" s="29">
        <f>IF(AND(CF239=0,CG239=0,CH239=0),0,IF(AND(CF239=0,CG239=0),CH239/1,IF(AND(CF239=0,CH239=0),CG239/1,IF(AND(CG239=0,CH239=0),CF239/1,IF(CF239=0,FLOOR((CG239+CH239)/2,0.1),IF(CG239=0,(CF239+CH239)/2,IF(CH239=0,(CG239+CF239)/2,FLOOR(((CF239+CG239+CH239)/3),0.1))))))))</f>
        <v/>
      </c>
      <c r="CJ239" s="21" t="n"/>
      <c r="CK239" s="21" t="n"/>
      <c r="CL239" s="27">
        <f>SUM(CJ239:CK239)</f>
        <v/>
      </c>
      <c r="CM239" s="28" t="n"/>
      <c r="CN239" s="31" t="n"/>
      <c r="CO239" s="29">
        <f>IF(AND(CL239=0,CM239=0,CN239=0),0,IF(AND(CL239=0,CM239=0),CN239/1,IF(AND(CL239=0,CN239=0),CM239/1,IF(AND(CM239=0,CN239=0),CL239/1,IF(CL239=0,FLOOR((CM239+CN239)/2,0.1),IF(CM239=0,(CL239+CN239)/2,IF(CN239=0,(CM239+CL239)/2,FLOOR(((CL239+CM239+CN239)/3),0.1))))))))</f>
        <v/>
      </c>
      <c r="CP239" s="21" t="n"/>
      <c r="CQ239" s="21" t="n"/>
      <c r="CR239" s="27">
        <f>SUM(CP239:CQ239)</f>
        <v/>
      </c>
      <c r="CS239" s="28" t="n"/>
      <c r="CT239" s="31" t="n"/>
      <c r="CU239" s="29">
        <f>IF(AND(CR239=0,CS239=0,CT239=0),0,IF(AND(CR239=0,CS239=0),CT239/1,IF(AND(CR239=0,CT239=0),CS239/1,IF(AND(CS239=0,CT239=0),CR239/1,IF(CR239=0,FLOOR((CS239+CT239)/2,0.1),IF(CS239=0,(CR239+CT239)/2,IF(CT239=0,(CS239+CR239)/2,FLOOR(((CR239+CS239+CT239)/3),0.1))))))))</f>
        <v/>
      </c>
      <c r="CV239" s="21" t="n"/>
      <c r="CW239" s="21" t="n"/>
      <c r="CX239" s="27">
        <f>SUM(CV239:CW239)</f>
        <v/>
      </c>
      <c r="CY239" s="28" t="n"/>
      <c r="CZ239" s="31" t="n"/>
      <c r="DA239" s="29">
        <f>IF(AND(CX239=0,CY239=0,CZ239=0),0,IF(AND(CX239=0,CY239=0),CZ239/1,IF(AND(CX239=0,CZ239=0),CY239/1,IF(AND(CY239=0,CZ239=0),CX239/1,IF(CX239=0,FLOOR((CY239+CZ239)/2,0.1),IF(CY239=0,(CX239+CZ239)/2,IF(CZ239=0,(CY239+CX239)/2,FLOOR(((CX239+CY239+CZ239)/3),0.1))))))))</f>
        <v/>
      </c>
      <c r="DB239" s="21" t="n"/>
      <c r="DC239" s="21" t="n"/>
      <c r="DD239" s="27">
        <f>SUM(DB239:DC239)</f>
        <v/>
      </c>
      <c r="DE239" s="28" t="n"/>
      <c r="DF239" s="31" t="n"/>
      <c r="DG239" s="29">
        <f>IF(AND(DD239=0,DE239=0,DF239=0),0,IF(AND(DD239=0,DE239=0),DF239/1,IF(AND(DD239=0,DF239=0),DE239/1,IF(AND(DE239=0,DF239=0),DD239/1,IF(DD239=0,FLOOR((DE239+DF239)/2,0.1),IF(DE239=0,(DD239+DF239)/2,IF(DF239=0,(DE239+DD239)/2,FLOOR(((DD239+DE239+DF239)/3),0.1))))))))</f>
        <v/>
      </c>
      <c r="DH239" s="34">
        <f>SUM(O239,U239,AA239,AG239,AM239,AS239,AY239,BE239,BK239,BQ239,BW239,CC239,CI239,CO239,CU239,DA239,DG239)</f>
        <v/>
      </c>
      <c r="DI239" s="39">
        <f>RANK(DH239,DH$4:DH$503)</f>
        <v/>
      </c>
      <c r="DJ239" s="40" t="inlineStr">
        <is>
          <t>CHOOSE RATING</t>
        </is>
      </c>
      <c r="DK239" s="40" t="inlineStr">
        <is>
          <t>CHOOSE RATING</t>
        </is>
      </c>
      <c r="DL239" s="40" t="inlineStr">
        <is>
          <t>CHOOSE RATING</t>
        </is>
      </c>
      <c r="DM239" s="40" t="inlineStr">
        <is>
          <t>CHOOSE RATING</t>
        </is>
      </c>
      <c r="DN239" s="40" t="inlineStr">
        <is>
          <t>CHOOSE RATING</t>
        </is>
      </c>
      <c r="DO239" s="40" t="inlineStr">
        <is>
          <t>CHOOSE RATING</t>
        </is>
      </c>
      <c r="DP239" s="40" t="inlineStr">
        <is>
          <t>CHOOSE RATING</t>
        </is>
      </c>
      <c r="DQ239" s="40" t="inlineStr">
        <is>
          <t>CHOOSE RATING</t>
        </is>
      </c>
      <c r="DR239" s="43" t="inlineStr">
        <is>
          <t>2024/2025</t>
        </is>
      </c>
      <c r="DS239" s="45" t="inlineStr">
        <is>
          <t>THIRD</t>
        </is>
      </c>
      <c r="DT239" s="40" t="inlineStr">
        <is>
          <t>CHOOSE RATING</t>
        </is>
      </c>
      <c r="DU239" s="40" t="inlineStr">
        <is>
          <t>CHOOSE RATING</t>
        </is>
      </c>
      <c r="DV239" s="40" t="inlineStr">
        <is>
          <t>CHOOSE RATING</t>
        </is>
      </c>
      <c r="DW239" s="40" t="inlineStr">
        <is>
          <t>CHOOSE RATING</t>
        </is>
      </c>
      <c r="DX239" s="40" t="inlineStr">
        <is>
          <t>CHOOSE RATING</t>
        </is>
      </c>
      <c r="DY239" s="40" t="inlineStr">
        <is>
          <t>CHOOSE RATING</t>
        </is>
      </c>
      <c r="DZ239" s="53" t="inlineStr">
        <is>
          <t>CHOOSE RATING</t>
        </is>
      </c>
      <c r="EA239" s="54" t="inlineStr">
        <is>
          <t>Add the Tutor's Comment . . .</t>
        </is>
      </c>
      <c r="EB239" s="55" t="inlineStr">
        <is>
          <t>Choose Principals comment</t>
        </is>
      </c>
      <c r="EC239" s="56" t="n"/>
      <c r="ED239" s="57" t="inlineStr">
        <is>
          <t>Next Term Begins on Monday, 22nd September, 2025</t>
        </is>
      </c>
    </row>
    <row r="240" ht="30.6" customHeight="1" s="6">
      <c r="A240" s="18" t="n">
        <v>237</v>
      </c>
      <c r="B240" s="19" t="n"/>
      <c r="C240" s="20" t="n"/>
      <c r="D240" s="128" t="n"/>
      <c r="E240" s="21" t="n"/>
      <c r="F240" s="22" t="n"/>
      <c r="G240" s="22" t="n"/>
      <c r="H240" s="22" t="n"/>
      <c r="I240" s="26">
        <f>G240-H240</f>
        <v/>
      </c>
      <c r="J240" s="21" t="n"/>
      <c r="K240" s="21" t="n"/>
      <c r="L240" s="27">
        <f>SUM(J240:K240)</f>
        <v/>
      </c>
      <c r="M240" s="28" t="n"/>
      <c r="N240" s="28" t="n"/>
      <c r="O240" s="29">
        <f>IF(AND(L240=0,M240=0,N240=0),0,IF(AND(L240=0,M240=0),N240/1,IF(AND(L240=0,N240=0),M240/1,IF(AND(M240=0,N240=0),L240/1,IF(L240=0,FLOOR((M240+N240)/2,0.1),IF(M240=0,(L240+N240)/2,IF(N240=0,(M240+L240)/2,FLOOR(((L240+M240+N240)/3),0.1))))))))</f>
        <v/>
      </c>
      <c r="P240" s="21" t="n"/>
      <c r="Q240" s="21" t="n"/>
      <c r="R240" s="27">
        <f>SUM(P240:Q240)</f>
        <v/>
      </c>
      <c r="S240" s="28" t="n"/>
      <c r="T240" s="28" t="n"/>
      <c r="U240" s="29">
        <f>IF(AND(R240=0,S240=0,T240=0),0,IF(AND(R240=0,S240=0),T240/1,IF(AND(R240=0,T240=0),S240/1,IF(AND(S240=0,T240=0),R240/1,IF(R240=0,FLOOR((S240+T240)/2,0.1),IF(S240=0,(R240+T240)/2,IF(T240=0,(S240+R240)/2,FLOOR(((R240+S240+T240)/3),0.1))))))))</f>
        <v/>
      </c>
      <c r="V240" s="21" t="n"/>
      <c r="W240" s="21" t="n"/>
      <c r="X240" s="27">
        <f>SUM(V240:W240)</f>
        <v/>
      </c>
      <c r="Y240" s="28" t="n"/>
      <c r="Z240" s="28" t="n"/>
      <c r="AA240" s="29">
        <f>IF(AND(X240=0,Y240=0,Z240=0),0,IF(AND(X240=0,Y240=0),Z240/1,IF(AND(X240=0,Z240=0),Y240/1,IF(AND(Y240=0,Z240=0),X240/1,IF(X240=0,FLOOR((Y240+Z240)/2,0.1),IF(Y240=0,(X240+Z240)/2,IF(Z240=0,(Y240+X240)/2,FLOOR(((X240+Y240+Z240)/3),0.1))))))))</f>
        <v/>
      </c>
      <c r="AB240" s="21" t="n"/>
      <c r="AC240" s="21" t="n"/>
      <c r="AD240" s="27">
        <f>SUM(AB240:AC240)</f>
        <v/>
      </c>
      <c r="AE240" s="28" t="n"/>
      <c r="AF240" s="28" t="n"/>
      <c r="AG240" s="29">
        <f>IF(AND(AD240=0,AE240=0,AF240=0),0,IF(AND(AD240=0,AE240=0),AF240/1,IF(AND(AD240=0,AF240=0),AE240/1,IF(AND(AE240=0,AF240=0),AD240/1,IF(AD240=0,FLOOR((AE240+AF240)/2,0.1),IF(AE240=0,(AD240+AF240)/2,IF(AF240=0,(AE240+AD240)/2,FLOOR(((AD240+AE240+AF240)/3),0.1))))))))</f>
        <v/>
      </c>
      <c r="AH240" s="21" t="n"/>
      <c r="AI240" s="21" t="n"/>
      <c r="AJ240" s="27">
        <f>SUM(AH240:AI240)</f>
        <v/>
      </c>
      <c r="AK240" s="28" t="n"/>
      <c r="AL240" s="28" t="n"/>
      <c r="AM240" s="29">
        <f>IF(AND(AJ240=0,AK240=0,AL240=0),0,IF(AND(AJ240=0,AK240=0),AL240/1,IF(AND(AJ240=0,AL240=0),AK240/1,IF(AND(AK240=0,AL240=0),AJ240/1,IF(AJ240=0,FLOOR((AK240+AL240)/2,0.1),IF(AK240=0,(AJ240+AL240)/2,IF(AL240=0,(AK240+AJ240)/2,FLOOR(((AJ240+AK240+AL240)/3),0.1))))))))</f>
        <v/>
      </c>
      <c r="AN240" s="21" t="n"/>
      <c r="AO240" s="21" t="n"/>
      <c r="AP240" s="27">
        <f>SUM(AN240:AO240)</f>
        <v/>
      </c>
      <c r="AQ240" s="28" t="n"/>
      <c r="AR240" s="30" t="n"/>
      <c r="AS240" s="29">
        <f>IF(AND(AP240=0,AQ240=0,AR240=0),0,IF(AND(AP240=0,AQ240=0),AR240/1,IF(AND(AP240=0,AR240=0),AQ240/1,IF(AND(AQ240=0,AR240=0),AP240/1,IF(AP240=0,FLOOR((AQ240+AR240)/2,0.1),IF(AQ240=0,(AP240+AR240)/2,IF(AR240=0,(AQ240+AP240)/2,FLOOR(((AP240+AQ240+AR240)/3),0.1))))))))</f>
        <v/>
      </c>
      <c r="AT240" s="21" t="n"/>
      <c r="AU240" s="21" t="n"/>
      <c r="AV240" s="27">
        <f>SUM(AT240:AU240)</f>
        <v/>
      </c>
      <c r="AW240" s="28" t="n"/>
      <c r="AX240" s="30" t="n"/>
      <c r="AY240" s="29">
        <f>IF(AND(AV240=0,AW240=0,AX240=0),0,IF(AND(AV240=0,AW240=0),AX240/1,IF(AND(AV240=0,AX240=0),AW240/1,IF(AND(AW240=0,AX240=0),AV240/1,IF(AV240=0,FLOOR((AW240+AX240)/2,0.1),IF(AW240=0,(AV240+AX240)/2,IF(AX240=0,(AW240+AV240)/2,FLOOR(((AV240+AW240+AX240)/3),0.1))))))))</f>
        <v/>
      </c>
      <c r="AZ240" s="21" t="n"/>
      <c r="BA240" s="21" t="n"/>
      <c r="BB240" s="27">
        <f>SUM(AZ240:BA240)</f>
        <v/>
      </c>
      <c r="BC240" s="28" t="n"/>
      <c r="BD240" s="28" t="n"/>
      <c r="BE240" s="29">
        <f>IF(AND(BB240=0,BC240=0,BD240=0),0,IF(AND(BB240=0,BC240=0),BD240/1,IF(AND(BB240=0,BD240=0),BC240/1,IF(AND(BC240=0,BD240=0),BB240/1,IF(BB240=0,FLOOR((BC240+BD240)/2,0.1),IF(BC240=0,(BB240+BD240)/2,IF(BD240=0,(BC240+BB240)/2,FLOOR(((BB240+BC240+BD240)/3),0.1))))))))</f>
        <v/>
      </c>
      <c r="BF240" s="21" t="n"/>
      <c r="BG240" s="21" t="n"/>
      <c r="BH240" s="27">
        <f>SUM(BF240:BG240)</f>
        <v/>
      </c>
      <c r="BI240" s="28" t="n"/>
      <c r="BJ240" s="28" t="n"/>
      <c r="BK240" s="29">
        <f>IF(AND(BH240=0,BI240=0,BJ240=0),0,IF(AND(BH240=0,BI240=0),BJ240/1,IF(AND(BH240=0,BJ240=0),BI240/1,IF(AND(BI240=0,BJ240=0),BH240/1,IF(BH240=0,FLOOR((BI240+BJ240)/2,0.1),IF(BI240=0,(BH240+BJ240)/2,IF(BJ240=0,(BI240+BH240)/2,FLOOR(((BH240+BI240+BJ240)/3),0.1))))))))</f>
        <v/>
      </c>
      <c r="BL240" s="21" t="n"/>
      <c r="BM240" s="21" t="n"/>
      <c r="BN240" s="27">
        <f>SUM(BL240:BM240)</f>
        <v/>
      </c>
      <c r="BO240" s="28" t="n"/>
      <c r="BP240" s="31" t="n"/>
      <c r="BQ240" s="29">
        <f>IF(AND(BN240=0,BO240=0,BP240=0),0,IF(AND(BN240=0,BO240=0),BP240/1,IF(AND(BN240=0,BP240=0),BO240/1,IF(AND(BO240=0,BP240=0),BN240/1,IF(BN240=0,FLOOR((BO240+BP240)/2,0.1),IF(BO240=0,(BN240+BP240)/2,IF(BP240=0,(BO240+BN240)/2,FLOOR(((BN240+BO240+BP240)/3),0.1))))))))</f>
        <v/>
      </c>
      <c r="BR240" s="21" t="n"/>
      <c r="BS240" s="21" t="n"/>
      <c r="BT240" s="27">
        <f>SUM(BR240:BS240)</f>
        <v/>
      </c>
      <c r="BU240" s="28" t="n"/>
      <c r="BV240" s="31" t="n"/>
      <c r="BW240" s="29">
        <f>IF(AND(BT240=0,BU240=0,BV240=0),0,IF(AND(BT240=0,BU240=0),BV240/1,IF(AND(BT240=0,BV240=0),BU240/1,IF(AND(BU240=0,BV240=0),BT240/1,IF(BT240=0,FLOOR((BU240+BV240)/2,0.1),IF(BU240=0,(BT240+BV240)/2,IF(BV240=0,(BU240+BT240)/2,FLOOR(((BT240+BU240+BV240)/3),0.1))))))))</f>
        <v/>
      </c>
      <c r="BX240" s="21" t="n"/>
      <c r="BY240" s="21" t="n"/>
      <c r="BZ240" s="27">
        <f>SUM(BX240:BY240)</f>
        <v/>
      </c>
      <c r="CA240" s="28" t="n"/>
      <c r="CB240" s="31" t="n"/>
      <c r="CC240" s="29">
        <f>IF(AND(BZ240=0,CA240=0,CB240=0),0,IF(AND(BZ240=0,CA240=0),CB240/1,IF(AND(BZ240=0,CB240=0),CA240/1,IF(AND(CA240=0,CB240=0),BZ240/1,IF(BZ240=0,FLOOR((CA240+CB240)/2,0.1),IF(CA240=0,(BZ240+CB240)/2,IF(CB240=0,(CA240+BZ240)/2,FLOOR(((BZ240+CA240+CB240)/3),0.1))))))))</f>
        <v/>
      </c>
      <c r="CD240" s="21" t="n"/>
      <c r="CE240" s="21" t="n"/>
      <c r="CF240" s="27">
        <f>SUM(CD240:CE240)</f>
        <v/>
      </c>
      <c r="CG240" s="28" t="n"/>
      <c r="CH240" s="31" t="n"/>
      <c r="CI240" s="29">
        <f>IF(AND(CF240=0,CG240=0,CH240=0),0,IF(AND(CF240=0,CG240=0),CH240/1,IF(AND(CF240=0,CH240=0),CG240/1,IF(AND(CG240=0,CH240=0),CF240/1,IF(CF240=0,FLOOR((CG240+CH240)/2,0.1),IF(CG240=0,(CF240+CH240)/2,IF(CH240=0,(CG240+CF240)/2,FLOOR(((CF240+CG240+CH240)/3),0.1))))))))</f>
        <v/>
      </c>
      <c r="CJ240" s="21" t="n"/>
      <c r="CK240" s="21" t="n"/>
      <c r="CL240" s="27">
        <f>SUM(CJ240:CK240)</f>
        <v/>
      </c>
      <c r="CM240" s="28" t="n"/>
      <c r="CN240" s="31" t="n"/>
      <c r="CO240" s="29">
        <f>IF(AND(CL240=0,CM240=0,CN240=0),0,IF(AND(CL240=0,CM240=0),CN240/1,IF(AND(CL240=0,CN240=0),CM240/1,IF(AND(CM240=0,CN240=0),CL240/1,IF(CL240=0,FLOOR((CM240+CN240)/2,0.1),IF(CM240=0,(CL240+CN240)/2,IF(CN240=0,(CM240+CL240)/2,FLOOR(((CL240+CM240+CN240)/3),0.1))))))))</f>
        <v/>
      </c>
      <c r="CP240" s="21" t="n"/>
      <c r="CQ240" s="21" t="n"/>
      <c r="CR240" s="27">
        <f>SUM(CP240:CQ240)</f>
        <v/>
      </c>
      <c r="CS240" s="28" t="n"/>
      <c r="CT240" s="31" t="n"/>
      <c r="CU240" s="29">
        <f>IF(AND(CR240=0,CS240=0,CT240=0),0,IF(AND(CR240=0,CS240=0),CT240/1,IF(AND(CR240=0,CT240=0),CS240/1,IF(AND(CS240=0,CT240=0),CR240/1,IF(CR240=0,FLOOR((CS240+CT240)/2,0.1),IF(CS240=0,(CR240+CT240)/2,IF(CT240=0,(CS240+CR240)/2,FLOOR(((CR240+CS240+CT240)/3),0.1))))))))</f>
        <v/>
      </c>
      <c r="CV240" s="21" t="n"/>
      <c r="CW240" s="21" t="n"/>
      <c r="CX240" s="27">
        <f>SUM(CV240:CW240)</f>
        <v/>
      </c>
      <c r="CY240" s="28" t="n"/>
      <c r="CZ240" s="31" t="n"/>
      <c r="DA240" s="29">
        <f>IF(AND(CX240=0,CY240=0,CZ240=0),0,IF(AND(CX240=0,CY240=0),CZ240/1,IF(AND(CX240=0,CZ240=0),CY240/1,IF(AND(CY240=0,CZ240=0),CX240/1,IF(CX240=0,FLOOR((CY240+CZ240)/2,0.1),IF(CY240=0,(CX240+CZ240)/2,IF(CZ240=0,(CY240+CX240)/2,FLOOR(((CX240+CY240+CZ240)/3),0.1))))))))</f>
        <v/>
      </c>
      <c r="DB240" s="21" t="n"/>
      <c r="DC240" s="21" t="n"/>
      <c r="DD240" s="27">
        <f>SUM(DB240:DC240)</f>
        <v/>
      </c>
      <c r="DE240" s="28" t="n"/>
      <c r="DF240" s="31" t="n"/>
      <c r="DG240" s="29">
        <f>IF(AND(DD240=0,DE240=0,DF240=0),0,IF(AND(DD240=0,DE240=0),DF240/1,IF(AND(DD240=0,DF240=0),DE240/1,IF(AND(DE240=0,DF240=0),DD240/1,IF(DD240=0,FLOOR((DE240+DF240)/2,0.1),IF(DE240=0,(DD240+DF240)/2,IF(DF240=0,(DE240+DD240)/2,FLOOR(((DD240+DE240+DF240)/3),0.1))))))))</f>
        <v/>
      </c>
      <c r="DH240" s="34">
        <f>SUM(O240,U240,AA240,AG240,AM240,AS240,AY240,BE240,BK240,BQ240,BW240,CC240,CI240,CO240,CU240,DA240,DG240)</f>
        <v/>
      </c>
      <c r="DI240" s="39">
        <f>RANK(DH240,DH$4:DH$503)</f>
        <v/>
      </c>
      <c r="DJ240" s="40" t="inlineStr">
        <is>
          <t>CHOOSE RATING</t>
        </is>
      </c>
      <c r="DK240" s="40" t="inlineStr">
        <is>
          <t>CHOOSE RATING</t>
        </is>
      </c>
      <c r="DL240" s="40" t="inlineStr">
        <is>
          <t>CHOOSE RATING</t>
        </is>
      </c>
      <c r="DM240" s="40" t="inlineStr">
        <is>
          <t>CHOOSE RATING</t>
        </is>
      </c>
      <c r="DN240" s="40" t="inlineStr">
        <is>
          <t>CHOOSE RATING</t>
        </is>
      </c>
      <c r="DO240" s="40" t="inlineStr">
        <is>
          <t>CHOOSE RATING</t>
        </is>
      </c>
      <c r="DP240" s="40" t="inlineStr">
        <is>
          <t>CHOOSE RATING</t>
        </is>
      </c>
      <c r="DQ240" s="40" t="inlineStr">
        <is>
          <t>CHOOSE RATING</t>
        </is>
      </c>
      <c r="DR240" s="43" t="inlineStr">
        <is>
          <t>2024/2025</t>
        </is>
      </c>
      <c r="DS240" s="45" t="inlineStr">
        <is>
          <t>THIRD</t>
        </is>
      </c>
      <c r="DT240" s="40" t="inlineStr">
        <is>
          <t>CHOOSE RATING</t>
        </is>
      </c>
      <c r="DU240" s="40" t="inlineStr">
        <is>
          <t>CHOOSE RATING</t>
        </is>
      </c>
      <c r="DV240" s="40" t="inlineStr">
        <is>
          <t>CHOOSE RATING</t>
        </is>
      </c>
      <c r="DW240" s="40" t="inlineStr">
        <is>
          <t>CHOOSE RATING</t>
        </is>
      </c>
      <c r="DX240" s="40" t="inlineStr">
        <is>
          <t>CHOOSE RATING</t>
        </is>
      </c>
      <c r="DY240" s="40" t="inlineStr">
        <is>
          <t>CHOOSE RATING</t>
        </is>
      </c>
      <c r="DZ240" s="53" t="inlineStr">
        <is>
          <t>CHOOSE RATING</t>
        </is>
      </c>
      <c r="EA240" s="54" t="inlineStr">
        <is>
          <t>Add the Tutor's Comment . . .</t>
        </is>
      </c>
      <c r="EB240" s="55" t="inlineStr">
        <is>
          <t>Choose Principals comment</t>
        </is>
      </c>
      <c r="EC240" s="56" t="n"/>
      <c r="ED240" s="57" t="inlineStr">
        <is>
          <t>Next Term Begins on Monday, 22nd September, 2025</t>
        </is>
      </c>
    </row>
    <row r="241" ht="30.6" customHeight="1" s="6">
      <c r="A241" s="18" t="n">
        <v>238</v>
      </c>
      <c r="B241" s="19" t="n"/>
      <c r="C241" s="20" t="n"/>
      <c r="D241" s="128" t="n"/>
      <c r="E241" s="21" t="n"/>
      <c r="F241" s="22" t="n"/>
      <c r="G241" s="22" t="n"/>
      <c r="H241" s="22" t="n"/>
      <c r="I241" s="26">
        <f>G241-H241</f>
        <v/>
      </c>
      <c r="J241" s="21" t="n"/>
      <c r="K241" s="21" t="n"/>
      <c r="L241" s="27">
        <f>SUM(J241:K241)</f>
        <v/>
      </c>
      <c r="M241" s="28" t="n"/>
      <c r="N241" s="28" t="n"/>
      <c r="O241" s="29">
        <f>IF(AND(L241=0,M241=0,N241=0),0,IF(AND(L241=0,M241=0),N241/1,IF(AND(L241=0,N241=0),M241/1,IF(AND(M241=0,N241=0),L241/1,IF(L241=0,FLOOR((M241+N241)/2,0.1),IF(M241=0,(L241+N241)/2,IF(N241=0,(M241+L241)/2,FLOOR(((L241+M241+N241)/3),0.1))))))))</f>
        <v/>
      </c>
      <c r="P241" s="21" t="n"/>
      <c r="Q241" s="21" t="n"/>
      <c r="R241" s="27">
        <f>SUM(P241:Q241)</f>
        <v/>
      </c>
      <c r="S241" s="28" t="n"/>
      <c r="T241" s="28" t="n"/>
      <c r="U241" s="29">
        <f>IF(AND(R241=0,S241=0,T241=0),0,IF(AND(R241=0,S241=0),T241/1,IF(AND(R241=0,T241=0),S241/1,IF(AND(S241=0,T241=0),R241/1,IF(R241=0,FLOOR((S241+T241)/2,0.1),IF(S241=0,(R241+T241)/2,IF(T241=0,(S241+R241)/2,FLOOR(((R241+S241+T241)/3),0.1))))))))</f>
        <v/>
      </c>
      <c r="V241" s="21" t="n"/>
      <c r="W241" s="21" t="n"/>
      <c r="X241" s="27">
        <f>SUM(V241:W241)</f>
        <v/>
      </c>
      <c r="Y241" s="28" t="n"/>
      <c r="Z241" s="28" t="n"/>
      <c r="AA241" s="29">
        <f>IF(AND(X241=0,Y241=0,Z241=0),0,IF(AND(X241=0,Y241=0),Z241/1,IF(AND(X241=0,Z241=0),Y241/1,IF(AND(Y241=0,Z241=0),X241/1,IF(X241=0,FLOOR((Y241+Z241)/2,0.1),IF(Y241=0,(X241+Z241)/2,IF(Z241=0,(Y241+X241)/2,FLOOR(((X241+Y241+Z241)/3),0.1))))))))</f>
        <v/>
      </c>
      <c r="AB241" s="21" t="n"/>
      <c r="AC241" s="21" t="n"/>
      <c r="AD241" s="27">
        <f>SUM(AB241:AC241)</f>
        <v/>
      </c>
      <c r="AE241" s="28" t="n"/>
      <c r="AF241" s="28" t="n"/>
      <c r="AG241" s="29">
        <f>IF(AND(AD241=0,AE241=0,AF241=0),0,IF(AND(AD241=0,AE241=0),AF241/1,IF(AND(AD241=0,AF241=0),AE241/1,IF(AND(AE241=0,AF241=0),AD241/1,IF(AD241=0,FLOOR((AE241+AF241)/2,0.1),IF(AE241=0,(AD241+AF241)/2,IF(AF241=0,(AE241+AD241)/2,FLOOR(((AD241+AE241+AF241)/3),0.1))))))))</f>
        <v/>
      </c>
      <c r="AH241" s="21" t="n"/>
      <c r="AI241" s="21" t="n"/>
      <c r="AJ241" s="27">
        <f>SUM(AH241:AI241)</f>
        <v/>
      </c>
      <c r="AK241" s="28" t="n"/>
      <c r="AL241" s="28" t="n"/>
      <c r="AM241" s="29">
        <f>IF(AND(AJ241=0,AK241=0,AL241=0),0,IF(AND(AJ241=0,AK241=0),AL241/1,IF(AND(AJ241=0,AL241=0),AK241/1,IF(AND(AK241=0,AL241=0),AJ241/1,IF(AJ241=0,FLOOR((AK241+AL241)/2,0.1),IF(AK241=0,(AJ241+AL241)/2,IF(AL241=0,(AK241+AJ241)/2,FLOOR(((AJ241+AK241+AL241)/3),0.1))))))))</f>
        <v/>
      </c>
      <c r="AN241" s="21" t="n"/>
      <c r="AO241" s="21" t="n"/>
      <c r="AP241" s="27">
        <f>SUM(AN241:AO241)</f>
        <v/>
      </c>
      <c r="AQ241" s="28" t="n"/>
      <c r="AR241" s="30" t="n"/>
      <c r="AS241" s="29">
        <f>IF(AND(AP241=0,AQ241=0,AR241=0),0,IF(AND(AP241=0,AQ241=0),AR241/1,IF(AND(AP241=0,AR241=0),AQ241/1,IF(AND(AQ241=0,AR241=0),AP241/1,IF(AP241=0,FLOOR((AQ241+AR241)/2,0.1),IF(AQ241=0,(AP241+AR241)/2,IF(AR241=0,(AQ241+AP241)/2,FLOOR(((AP241+AQ241+AR241)/3),0.1))))))))</f>
        <v/>
      </c>
      <c r="AT241" s="21" t="n"/>
      <c r="AU241" s="21" t="n"/>
      <c r="AV241" s="27">
        <f>SUM(AT241:AU241)</f>
        <v/>
      </c>
      <c r="AW241" s="28" t="n"/>
      <c r="AX241" s="30" t="n"/>
      <c r="AY241" s="29">
        <f>IF(AND(AV241=0,AW241=0,AX241=0),0,IF(AND(AV241=0,AW241=0),AX241/1,IF(AND(AV241=0,AX241=0),AW241/1,IF(AND(AW241=0,AX241=0),AV241/1,IF(AV241=0,FLOOR((AW241+AX241)/2,0.1),IF(AW241=0,(AV241+AX241)/2,IF(AX241=0,(AW241+AV241)/2,FLOOR(((AV241+AW241+AX241)/3),0.1))))))))</f>
        <v/>
      </c>
      <c r="AZ241" s="21" t="n"/>
      <c r="BA241" s="21" t="n"/>
      <c r="BB241" s="27">
        <f>SUM(AZ241:BA241)</f>
        <v/>
      </c>
      <c r="BC241" s="28" t="n"/>
      <c r="BD241" s="28" t="n"/>
      <c r="BE241" s="29">
        <f>IF(AND(BB241=0,BC241=0,BD241=0),0,IF(AND(BB241=0,BC241=0),BD241/1,IF(AND(BB241=0,BD241=0),BC241/1,IF(AND(BC241=0,BD241=0),BB241/1,IF(BB241=0,FLOOR((BC241+BD241)/2,0.1),IF(BC241=0,(BB241+BD241)/2,IF(BD241=0,(BC241+BB241)/2,FLOOR(((BB241+BC241+BD241)/3),0.1))))))))</f>
        <v/>
      </c>
      <c r="BF241" s="21" t="n"/>
      <c r="BG241" s="21" t="n"/>
      <c r="BH241" s="27">
        <f>SUM(BF241:BG241)</f>
        <v/>
      </c>
      <c r="BI241" s="28" t="n"/>
      <c r="BJ241" s="28" t="n"/>
      <c r="BK241" s="29">
        <f>IF(AND(BH241=0,BI241=0,BJ241=0),0,IF(AND(BH241=0,BI241=0),BJ241/1,IF(AND(BH241=0,BJ241=0),BI241/1,IF(AND(BI241=0,BJ241=0),BH241/1,IF(BH241=0,FLOOR((BI241+BJ241)/2,0.1),IF(BI241=0,(BH241+BJ241)/2,IF(BJ241=0,(BI241+BH241)/2,FLOOR(((BH241+BI241+BJ241)/3),0.1))))))))</f>
        <v/>
      </c>
      <c r="BL241" s="21" t="n"/>
      <c r="BM241" s="21" t="n"/>
      <c r="BN241" s="27">
        <f>SUM(BL241:BM241)</f>
        <v/>
      </c>
      <c r="BO241" s="28" t="n"/>
      <c r="BP241" s="31" t="n"/>
      <c r="BQ241" s="29">
        <f>IF(AND(BN241=0,BO241=0,BP241=0),0,IF(AND(BN241=0,BO241=0),BP241/1,IF(AND(BN241=0,BP241=0),BO241/1,IF(AND(BO241=0,BP241=0),BN241/1,IF(BN241=0,FLOOR((BO241+BP241)/2,0.1),IF(BO241=0,(BN241+BP241)/2,IF(BP241=0,(BO241+BN241)/2,FLOOR(((BN241+BO241+BP241)/3),0.1))))))))</f>
        <v/>
      </c>
      <c r="BR241" s="21" t="n"/>
      <c r="BS241" s="21" t="n"/>
      <c r="BT241" s="27">
        <f>SUM(BR241:BS241)</f>
        <v/>
      </c>
      <c r="BU241" s="28" t="n"/>
      <c r="BV241" s="31" t="n"/>
      <c r="BW241" s="29">
        <f>IF(AND(BT241=0,BU241=0,BV241=0),0,IF(AND(BT241=0,BU241=0),BV241/1,IF(AND(BT241=0,BV241=0),BU241/1,IF(AND(BU241=0,BV241=0),BT241/1,IF(BT241=0,FLOOR((BU241+BV241)/2,0.1),IF(BU241=0,(BT241+BV241)/2,IF(BV241=0,(BU241+BT241)/2,FLOOR(((BT241+BU241+BV241)/3),0.1))))))))</f>
        <v/>
      </c>
      <c r="BX241" s="21" t="n"/>
      <c r="BY241" s="21" t="n"/>
      <c r="BZ241" s="27">
        <f>SUM(BX241:BY241)</f>
        <v/>
      </c>
      <c r="CA241" s="28" t="n"/>
      <c r="CB241" s="31" t="n"/>
      <c r="CC241" s="29">
        <f>IF(AND(BZ241=0,CA241=0,CB241=0),0,IF(AND(BZ241=0,CA241=0),CB241/1,IF(AND(BZ241=0,CB241=0),CA241/1,IF(AND(CA241=0,CB241=0),BZ241/1,IF(BZ241=0,FLOOR((CA241+CB241)/2,0.1),IF(CA241=0,(BZ241+CB241)/2,IF(CB241=0,(CA241+BZ241)/2,FLOOR(((BZ241+CA241+CB241)/3),0.1))))))))</f>
        <v/>
      </c>
      <c r="CD241" s="21" t="n"/>
      <c r="CE241" s="21" t="n"/>
      <c r="CF241" s="27">
        <f>SUM(CD241:CE241)</f>
        <v/>
      </c>
      <c r="CG241" s="28" t="n"/>
      <c r="CH241" s="31" t="n"/>
      <c r="CI241" s="29">
        <f>IF(AND(CF241=0,CG241=0,CH241=0),0,IF(AND(CF241=0,CG241=0),CH241/1,IF(AND(CF241=0,CH241=0),CG241/1,IF(AND(CG241=0,CH241=0),CF241/1,IF(CF241=0,FLOOR((CG241+CH241)/2,0.1),IF(CG241=0,(CF241+CH241)/2,IF(CH241=0,(CG241+CF241)/2,FLOOR(((CF241+CG241+CH241)/3),0.1))))))))</f>
        <v/>
      </c>
      <c r="CJ241" s="21" t="n"/>
      <c r="CK241" s="21" t="n"/>
      <c r="CL241" s="27">
        <f>SUM(CJ241:CK241)</f>
        <v/>
      </c>
      <c r="CM241" s="28" t="n"/>
      <c r="CN241" s="31" t="n"/>
      <c r="CO241" s="29">
        <f>IF(AND(CL241=0,CM241=0,CN241=0),0,IF(AND(CL241=0,CM241=0),CN241/1,IF(AND(CL241=0,CN241=0),CM241/1,IF(AND(CM241=0,CN241=0),CL241/1,IF(CL241=0,FLOOR((CM241+CN241)/2,0.1),IF(CM241=0,(CL241+CN241)/2,IF(CN241=0,(CM241+CL241)/2,FLOOR(((CL241+CM241+CN241)/3),0.1))))))))</f>
        <v/>
      </c>
      <c r="CP241" s="21" t="n"/>
      <c r="CQ241" s="21" t="n"/>
      <c r="CR241" s="27">
        <f>SUM(CP241:CQ241)</f>
        <v/>
      </c>
      <c r="CS241" s="28" t="n"/>
      <c r="CT241" s="31" t="n"/>
      <c r="CU241" s="29">
        <f>IF(AND(CR241=0,CS241=0,CT241=0),0,IF(AND(CR241=0,CS241=0),CT241/1,IF(AND(CR241=0,CT241=0),CS241/1,IF(AND(CS241=0,CT241=0),CR241/1,IF(CR241=0,FLOOR((CS241+CT241)/2,0.1),IF(CS241=0,(CR241+CT241)/2,IF(CT241=0,(CS241+CR241)/2,FLOOR(((CR241+CS241+CT241)/3),0.1))))))))</f>
        <v/>
      </c>
      <c r="CV241" s="21" t="n"/>
      <c r="CW241" s="21" t="n"/>
      <c r="CX241" s="27">
        <f>SUM(CV241:CW241)</f>
        <v/>
      </c>
      <c r="CY241" s="28" t="n"/>
      <c r="CZ241" s="31" t="n"/>
      <c r="DA241" s="29">
        <f>IF(AND(CX241=0,CY241=0,CZ241=0),0,IF(AND(CX241=0,CY241=0),CZ241/1,IF(AND(CX241=0,CZ241=0),CY241/1,IF(AND(CY241=0,CZ241=0),CX241/1,IF(CX241=0,FLOOR((CY241+CZ241)/2,0.1),IF(CY241=0,(CX241+CZ241)/2,IF(CZ241=0,(CY241+CX241)/2,FLOOR(((CX241+CY241+CZ241)/3),0.1))))))))</f>
        <v/>
      </c>
      <c r="DB241" s="21" t="n"/>
      <c r="DC241" s="21" t="n"/>
      <c r="DD241" s="27">
        <f>SUM(DB241:DC241)</f>
        <v/>
      </c>
      <c r="DE241" s="28" t="n"/>
      <c r="DF241" s="31" t="n"/>
      <c r="DG241" s="29">
        <f>IF(AND(DD241=0,DE241=0,DF241=0),0,IF(AND(DD241=0,DE241=0),DF241/1,IF(AND(DD241=0,DF241=0),DE241/1,IF(AND(DE241=0,DF241=0),DD241/1,IF(DD241=0,FLOOR((DE241+DF241)/2,0.1),IF(DE241=0,(DD241+DF241)/2,IF(DF241=0,(DE241+DD241)/2,FLOOR(((DD241+DE241+DF241)/3),0.1))))))))</f>
        <v/>
      </c>
      <c r="DH241" s="34">
        <f>SUM(O241,U241,AA241,AG241,AM241,AS241,AY241,BE241,BK241,BQ241,BW241,CC241,CI241,CO241,CU241,DA241,DG241)</f>
        <v/>
      </c>
      <c r="DI241" s="39">
        <f>RANK(DH241,DH$4:DH$503)</f>
        <v/>
      </c>
      <c r="DJ241" s="40" t="inlineStr">
        <is>
          <t>CHOOSE RATING</t>
        </is>
      </c>
      <c r="DK241" s="40" t="inlineStr">
        <is>
          <t>CHOOSE RATING</t>
        </is>
      </c>
      <c r="DL241" s="40" t="inlineStr">
        <is>
          <t>CHOOSE RATING</t>
        </is>
      </c>
      <c r="DM241" s="40" t="inlineStr">
        <is>
          <t>CHOOSE RATING</t>
        </is>
      </c>
      <c r="DN241" s="40" t="inlineStr">
        <is>
          <t>CHOOSE RATING</t>
        </is>
      </c>
      <c r="DO241" s="40" t="inlineStr">
        <is>
          <t>CHOOSE RATING</t>
        </is>
      </c>
      <c r="DP241" s="40" t="inlineStr">
        <is>
          <t>CHOOSE RATING</t>
        </is>
      </c>
      <c r="DQ241" s="40" t="inlineStr">
        <is>
          <t>CHOOSE RATING</t>
        </is>
      </c>
      <c r="DR241" s="43" t="inlineStr">
        <is>
          <t>2024/2025</t>
        </is>
      </c>
      <c r="DS241" s="45" t="inlineStr">
        <is>
          <t>THIRD</t>
        </is>
      </c>
      <c r="DT241" s="40" t="inlineStr">
        <is>
          <t>CHOOSE RATING</t>
        </is>
      </c>
      <c r="DU241" s="40" t="inlineStr">
        <is>
          <t>CHOOSE RATING</t>
        </is>
      </c>
      <c r="DV241" s="40" t="inlineStr">
        <is>
          <t>CHOOSE RATING</t>
        </is>
      </c>
      <c r="DW241" s="40" t="inlineStr">
        <is>
          <t>CHOOSE RATING</t>
        </is>
      </c>
      <c r="DX241" s="40" t="inlineStr">
        <is>
          <t>CHOOSE RATING</t>
        </is>
      </c>
      <c r="DY241" s="40" t="inlineStr">
        <is>
          <t>CHOOSE RATING</t>
        </is>
      </c>
      <c r="DZ241" s="53" t="inlineStr">
        <is>
          <t>CHOOSE RATING</t>
        </is>
      </c>
      <c r="EA241" s="54" t="inlineStr">
        <is>
          <t>Add the Tutor's Comment . . .</t>
        </is>
      </c>
      <c r="EB241" s="55" t="inlineStr">
        <is>
          <t>Choose Principals comment</t>
        </is>
      </c>
      <c r="EC241" s="56" t="n"/>
      <c r="ED241" s="57" t="inlineStr">
        <is>
          <t>Next Term Begins on Monday, 22nd September, 2025</t>
        </is>
      </c>
    </row>
    <row r="242" ht="30.6" customHeight="1" s="6">
      <c r="A242" s="18" t="n">
        <v>239</v>
      </c>
      <c r="B242" s="19" t="n"/>
      <c r="C242" s="20" t="n"/>
      <c r="D242" s="128" t="n"/>
      <c r="E242" s="21" t="n"/>
      <c r="F242" s="22" t="n"/>
      <c r="G242" s="22" t="n"/>
      <c r="H242" s="22" t="n"/>
      <c r="I242" s="26">
        <f>G242-H242</f>
        <v/>
      </c>
      <c r="J242" s="21" t="n"/>
      <c r="K242" s="21" t="n"/>
      <c r="L242" s="27">
        <f>SUM(J242:K242)</f>
        <v/>
      </c>
      <c r="M242" s="28" t="n"/>
      <c r="N242" s="28" t="n"/>
      <c r="O242" s="29">
        <f>IF(AND(L242=0,M242=0,N242=0),0,IF(AND(L242=0,M242=0),N242/1,IF(AND(L242=0,N242=0),M242/1,IF(AND(M242=0,N242=0),L242/1,IF(L242=0,FLOOR((M242+N242)/2,0.1),IF(M242=0,(L242+N242)/2,IF(N242=0,(M242+L242)/2,FLOOR(((L242+M242+N242)/3),0.1))))))))</f>
        <v/>
      </c>
      <c r="P242" s="21" t="n"/>
      <c r="Q242" s="21" t="n"/>
      <c r="R242" s="27">
        <f>SUM(P242:Q242)</f>
        <v/>
      </c>
      <c r="S242" s="28" t="n"/>
      <c r="T242" s="28" t="n"/>
      <c r="U242" s="29">
        <f>IF(AND(R242=0,S242=0,T242=0),0,IF(AND(R242=0,S242=0),T242/1,IF(AND(R242=0,T242=0),S242/1,IF(AND(S242=0,T242=0),R242/1,IF(R242=0,FLOOR((S242+T242)/2,0.1),IF(S242=0,(R242+T242)/2,IF(T242=0,(S242+R242)/2,FLOOR(((R242+S242+T242)/3),0.1))))))))</f>
        <v/>
      </c>
      <c r="V242" s="21" t="n"/>
      <c r="W242" s="21" t="n"/>
      <c r="X242" s="27">
        <f>SUM(V242:W242)</f>
        <v/>
      </c>
      <c r="Y242" s="28" t="n"/>
      <c r="Z242" s="28" t="n"/>
      <c r="AA242" s="29">
        <f>IF(AND(X242=0,Y242=0,Z242=0),0,IF(AND(X242=0,Y242=0),Z242/1,IF(AND(X242=0,Z242=0),Y242/1,IF(AND(Y242=0,Z242=0),X242/1,IF(X242=0,FLOOR((Y242+Z242)/2,0.1),IF(Y242=0,(X242+Z242)/2,IF(Z242=0,(Y242+X242)/2,FLOOR(((X242+Y242+Z242)/3),0.1))))))))</f>
        <v/>
      </c>
      <c r="AB242" s="21" t="n"/>
      <c r="AC242" s="21" t="n"/>
      <c r="AD242" s="27">
        <f>SUM(AB242:AC242)</f>
        <v/>
      </c>
      <c r="AE242" s="28" t="n"/>
      <c r="AF242" s="28" t="n"/>
      <c r="AG242" s="29">
        <f>IF(AND(AD242=0,AE242=0,AF242=0),0,IF(AND(AD242=0,AE242=0),AF242/1,IF(AND(AD242=0,AF242=0),AE242/1,IF(AND(AE242=0,AF242=0),AD242/1,IF(AD242=0,FLOOR((AE242+AF242)/2,0.1),IF(AE242=0,(AD242+AF242)/2,IF(AF242=0,(AE242+AD242)/2,FLOOR(((AD242+AE242+AF242)/3),0.1))))))))</f>
        <v/>
      </c>
      <c r="AH242" s="21" t="n"/>
      <c r="AI242" s="21" t="n"/>
      <c r="AJ242" s="27">
        <f>SUM(AH242:AI242)</f>
        <v/>
      </c>
      <c r="AK242" s="28" t="n"/>
      <c r="AL242" s="28" t="n"/>
      <c r="AM242" s="29">
        <f>IF(AND(AJ242=0,AK242=0,AL242=0),0,IF(AND(AJ242=0,AK242=0),AL242/1,IF(AND(AJ242=0,AL242=0),AK242/1,IF(AND(AK242=0,AL242=0),AJ242/1,IF(AJ242=0,FLOOR((AK242+AL242)/2,0.1),IF(AK242=0,(AJ242+AL242)/2,IF(AL242=0,(AK242+AJ242)/2,FLOOR(((AJ242+AK242+AL242)/3),0.1))))))))</f>
        <v/>
      </c>
      <c r="AN242" s="21" t="n"/>
      <c r="AO242" s="21" t="n"/>
      <c r="AP242" s="27">
        <f>SUM(AN242:AO242)</f>
        <v/>
      </c>
      <c r="AQ242" s="28" t="n"/>
      <c r="AR242" s="30" t="n"/>
      <c r="AS242" s="29">
        <f>IF(AND(AP242=0,AQ242=0,AR242=0),0,IF(AND(AP242=0,AQ242=0),AR242/1,IF(AND(AP242=0,AR242=0),AQ242/1,IF(AND(AQ242=0,AR242=0),AP242/1,IF(AP242=0,FLOOR((AQ242+AR242)/2,0.1),IF(AQ242=0,(AP242+AR242)/2,IF(AR242=0,(AQ242+AP242)/2,FLOOR(((AP242+AQ242+AR242)/3),0.1))))))))</f>
        <v/>
      </c>
      <c r="AT242" s="21" t="n"/>
      <c r="AU242" s="21" t="n"/>
      <c r="AV242" s="27">
        <f>SUM(AT242:AU242)</f>
        <v/>
      </c>
      <c r="AW242" s="28" t="n"/>
      <c r="AX242" s="30" t="n"/>
      <c r="AY242" s="29">
        <f>IF(AND(AV242=0,AW242=0,AX242=0),0,IF(AND(AV242=0,AW242=0),AX242/1,IF(AND(AV242=0,AX242=0),AW242/1,IF(AND(AW242=0,AX242=0),AV242/1,IF(AV242=0,FLOOR((AW242+AX242)/2,0.1),IF(AW242=0,(AV242+AX242)/2,IF(AX242=0,(AW242+AV242)/2,FLOOR(((AV242+AW242+AX242)/3),0.1))))))))</f>
        <v/>
      </c>
      <c r="AZ242" s="21" t="n"/>
      <c r="BA242" s="21" t="n"/>
      <c r="BB242" s="27">
        <f>SUM(AZ242:BA242)</f>
        <v/>
      </c>
      <c r="BC242" s="28" t="n"/>
      <c r="BD242" s="28" t="n"/>
      <c r="BE242" s="29">
        <f>IF(AND(BB242=0,BC242=0,BD242=0),0,IF(AND(BB242=0,BC242=0),BD242/1,IF(AND(BB242=0,BD242=0),BC242/1,IF(AND(BC242=0,BD242=0),BB242/1,IF(BB242=0,FLOOR((BC242+BD242)/2,0.1),IF(BC242=0,(BB242+BD242)/2,IF(BD242=0,(BC242+BB242)/2,FLOOR(((BB242+BC242+BD242)/3),0.1))))))))</f>
        <v/>
      </c>
      <c r="BF242" s="21" t="n"/>
      <c r="BG242" s="21" t="n"/>
      <c r="BH242" s="27">
        <f>SUM(BF242:BG242)</f>
        <v/>
      </c>
      <c r="BI242" s="28" t="n"/>
      <c r="BJ242" s="28" t="n"/>
      <c r="BK242" s="29">
        <f>IF(AND(BH242=0,BI242=0,BJ242=0),0,IF(AND(BH242=0,BI242=0),BJ242/1,IF(AND(BH242=0,BJ242=0),BI242/1,IF(AND(BI242=0,BJ242=0),BH242/1,IF(BH242=0,FLOOR((BI242+BJ242)/2,0.1),IF(BI242=0,(BH242+BJ242)/2,IF(BJ242=0,(BI242+BH242)/2,FLOOR(((BH242+BI242+BJ242)/3),0.1))))))))</f>
        <v/>
      </c>
      <c r="BL242" s="21" t="n"/>
      <c r="BM242" s="21" t="n"/>
      <c r="BN242" s="27">
        <f>SUM(BL242:BM242)</f>
        <v/>
      </c>
      <c r="BO242" s="28" t="n"/>
      <c r="BP242" s="31" t="n"/>
      <c r="BQ242" s="29">
        <f>IF(AND(BN242=0,BO242=0,BP242=0),0,IF(AND(BN242=0,BO242=0),BP242/1,IF(AND(BN242=0,BP242=0),BO242/1,IF(AND(BO242=0,BP242=0),BN242/1,IF(BN242=0,FLOOR((BO242+BP242)/2,0.1),IF(BO242=0,(BN242+BP242)/2,IF(BP242=0,(BO242+BN242)/2,FLOOR(((BN242+BO242+BP242)/3),0.1))))))))</f>
        <v/>
      </c>
      <c r="BR242" s="21" t="n"/>
      <c r="BS242" s="21" t="n"/>
      <c r="BT242" s="27">
        <f>SUM(BR242:BS242)</f>
        <v/>
      </c>
      <c r="BU242" s="28" t="n"/>
      <c r="BV242" s="31" t="n"/>
      <c r="BW242" s="29">
        <f>IF(AND(BT242=0,BU242=0,BV242=0),0,IF(AND(BT242=0,BU242=0),BV242/1,IF(AND(BT242=0,BV242=0),BU242/1,IF(AND(BU242=0,BV242=0),BT242/1,IF(BT242=0,FLOOR((BU242+BV242)/2,0.1),IF(BU242=0,(BT242+BV242)/2,IF(BV242=0,(BU242+BT242)/2,FLOOR(((BT242+BU242+BV242)/3),0.1))))))))</f>
        <v/>
      </c>
      <c r="BX242" s="21" t="n"/>
      <c r="BY242" s="21" t="n"/>
      <c r="BZ242" s="27">
        <f>SUM(BX242:BY242)</f>
        <v/>
      </c>
      <c r="CA242" s="28" t="n"/>
      <c r="CB242" s="31" t="n"/>
      <c r="CC242" s="29">
        <f>IF(AND(BZ242=0,CA242=0,CB242=0),0,IF(AND(BZ242=0,CA242=0),CB242/1,IF(AND(BZ242=0,CB242=0),CA242/1,IF(AND(CA242=0,CB242=0),BZ242/1,IF(BZ242=0,FLOOR((CA242+CB242)/2,0.1),IF(CA242=0,(BZ242+CB242)/2,IF(CB242=0,(CA242+BZ242)/2,FLOOR(((BZ242+CA242+CB242)/3),0.1))))))))</f>
        <v/>
      </c>
      <c r="CD242" s="21" t="n"/>
      <c r="CE242" s="21" t="n"/>
      <c r="CF242" s="27">
        <f>SUM(CD242:CE242)</f>
        <v/>
      </c>
      <c r="CG242" s="28" t="n"/>
      <c r="CH242" s="31" t="n"/>
      <c r="CI242" s="29">
        <f>IF(AND(CF242=0,CG242=0,CH242=0),0,IF(AND(CF242=0,CG242=0),CH242/1,IF(AND(CF242=0,CH242=0),CG242/1,IF(AND(CG242=0,CH242=0),CF242/1,IF(CF242=0,FLOOR((CG242+CH242)/2,0.1),IF(CG242=0,(CF242+CH242)/2,IF(CH242=0,(CG242+CF242)/2,FLOOR(((CF242+CG242+CH242)/3),0.1))))))))</f>
        <v/>
      </c>
      <c r="CJ242" s="21" t="n"/>
      <c r="CK242" s="21" t="n"/>
      <c r="CL242" s="27">
        <f>SUM(CJ242:CK242)</f>
        <v/>
      </c>
      <c r="CM242" s="28" t="n"/>
      <c r="CN242" s="31" t="n"/>
      <c r="CO242" s="29">
        <f>IF(AND(CL242=0,CM242=0,CN242=0),0,IF(AND(CL242=0,CM242=0),CN242/1,IF(AND(CL242=0,CN242=0),CM242/1,IF(AND(CM242=0,CN242=0),CL242/1,IF(CL242=0,FLOOR((CM242+CN242)/2,0.1),IF(CM242=0,(CL242+CN242)/2,IF(CN242=0,(CM242+CL242)/2,FLOOR(((CL242+CM242+CN242)/3),0.1))))))))</f>
        <v/>
      </c>
      <c r="CP242" s="21" t="n"/>
      <c r="CQ242" s="21" t="n"/>
      <c r="CR242" s="27">
        <f>SUM(CP242:CQ242)</f>
        <v/>
      </c>
      <c r="CS242" s="28" t="n"/>
      <c r="CT242" s="31" t="n"/>
      <c r="CU242" s="29">
        <f>IF(AND(CR242=0,CS242=0,CT242=0),0,IF(AND(CR242=0,CS242=0),CT242/1,IF(AND(CR242=0,CT242=0),CS242/1,IF(AND(CS242=0,CT242=0),CR242/1,IF(CR242=0,FLOOR((CS242+CT242)/2,0.1),IF(CS242=0,(CR242+CT242)/2,IF(CT242=0,(CS242+CR242)/2,FLOOR(((CR242+CS242+CT242)/3),0.1))))))))</f>
        <v/>
      </c>
      <c r="CV242" s="21" t="n"/>
      <c r="CW242" s="21" t="n"/>
      <c r="CX242" s="27">
        <f>SUM(CV242:CW242)</f>
        <v/>
      </c>
      <c r="CY242" s="28" t="n"/>
      <c r="CZ242" s="31" t="n"/>
      <c r="DA242" s="29">
        <f>IF(AND(CX242=0,CY242=0,CZ242=0),0,IF(AND(CX242=0,CY242=0),CZ242/1,IF(AND(CX242=0,CZ242=0),CY242/1,IF(AND(CY242=0,CZ242=0),CX242/1,IF(CX242=0,FLOOR((CY242+CZ242)/2,0.1),IF(CY242=0,(CX242+CZ242)/2,IF(CZ242=0,(CY242+CX242)/2,FLOOR(((CX242+CY242+CZ242)/3),0.1))))))))</f>
        <v/>
      </c>
      <c r="DB242" s="21" t="n"/>
      <c r="DC242" s="21" t="n"/>
      <c r="DD242" s="27">
        <f>SUM(DB242:DC242)</f>
        <v/>
      </c>
      <c r="DE242" s="28" t="n"/>
      <c r="DF242" s="31" t="n"/>
      <c r="DG242" s="29">
        <f>IF(AND(DD242=0,DE242=0,DF242=0),0,IF(AND(DD242=0,DE242=0),DF242/1,IF(AND(DD242=0,DF242=0),DE242/1,IF(AND(DE242=0,DF242=0),DD242/1,IF(DD242=0,FLOOR((DE242+DF242)/2,0.1),IF(DE242=0,(DD242+DF242)/2,IF(DF242=0,(DE242+DD242)/2,FLOOR(((DD242+DE242+DF242)/3),0.1))))))))</f>
        <v/>
      </c>
      <c r="DH242" s="34">
        <f>SUM(O242,U242,AA242,AG242,AM242,AS242,AY242,BE242,BK242,BQ242,BW242,CC242,CI242,CO242,CU242,DA242,DG242)</f>
        <v/>
      </c>
      <c r="DI242" s="39">
        <f>RANK(DH242,DH$4:DH$503)</f>
        <v/>
      </c>
      <c r="DJ242" s="40" t="inlineStr">
        <is>
          <t>CHOOSE RATING</t>
        </is>
      </c>
      <c r="DK242" s="40" t="inlineStr">
        <is>
          <t>CHOOSE RATING</t>
        </is>
      </c>
      <c r="DL242" s="40" t="inlineStr">
        <is>
          <t>CHOOSE RATING</t>
        </is>
      </c>
      <c r="DM242" s="40" t="inlineStr">
        <is>
          <t>CHOOSE RATING</t>
        </is>
      </c>
      <c r="DN242" s="40" t="inlineStr">
        <is>
          <t>CHOOSE RATING</t>
        </is>
      </c>
      <c r="DO242" s="40" t="inlineStr">
        <is>
          <t>CHOOSE RATING</t>
        </is>
      </c>
      <c r="DP242" s="40" t="inlineStr">
        <is>
          <t>CHOOSE RATING</t>
        </is>
      </c>
      <c r="DQ242" s="40" t="inlineStr">
        <is>
          <t>CHOOSE RATING</t>
        </is>
      </c>
      <c r="DR242" s="43" t="inlineStr">
        <is>
          <t>2024/2025</t>
        </is>
      </c>
      <c r="DS242" s="45" t="inlineStr">
        <is>
          <t>THIRD</t>
        </is>
      </c>
      <c r="DT242" s="40" t="inlineStr">
        <is>
          <t>CHOOSE RATING</t>
        </is>
      </c>
      <c r="DU242" s="40" t="inlineStr">
        <is>
          <t>CHOOSE RATING</t>
        </is>
      </c>
      <c r="DV242" s="40" t="inlineStr">
        <is>
          <t>CHOOSE RATING</t>
        </is>
      </c>
      <c r="DW242" s="40" t="inlineStr">
        <is>
          <t>CHOOSE RATING</t>
        </is>
      </c>
      <c r="DX242" s="40" t="inlineStr">
        <is>
          <t>CHOOSE RATING</t>
        </is>
      </c>
      <c r="DY242" s="40" t="inlineStr">
        <is>
          <t>CHOOSE RATING</t>
        </is>
      </c>
      <c r="DZ242" s="53" t="inlineStr">
        <is>
          <t>CHOOSE RATING</t>
        </is>
      </c>
      <c r="EA242" s="54" t="inlineStr">
        <is>
          <t>Add the Tutor's Comment . . .</t>
        </is>
      </c>
      <c r="EB242" s="55" t="inlineStr">
        <is>
          <t>Choose Principals comment</t>
        </is>
      </c>
      <c r="EC242" s="56" t="n"/>
      <c r="ED242" s="57" t="inlineStr">
        <is>
          <t>Next Term Begins on Monday, 22nd September, 2025</t>
        </is>
      </c>
    </row>
    <row r="243" ht="30.6" customHeight="1" s="6">
      <c r="A243" s="18" t="n">
        <v>240</v>
      </c>
      <c r="B243" s="19" t="n"/>
      <c r="C243" s="20" t="n"/>
      <c r="D243" s="128" t="n"/>
      <c r="E243" s="21" t="n"/>
      <c r="F243" s="22" t="n"/>
      <c r="G243" s="22" t="n"/>
      <c r="H243" s="22" t="n"/>
      <c r="I243" s="26">
        <f>G243-H243</f>
        <v/>
      </c>
      <c r="J243" s="21" t="n"/>
      <c r="K243" s="21" t="n"/>
      <c r="L243" s="27">
        <f>SUM(J243:K243)</f>
        <v/>
      </c>
      <c r="M243" s="28" t="n"/>
      <c r="N243" s="28" t="n"/>
      <c r="O243" s="29">
        <f>IF(AND(L243=0,M243=0,N243=0),0,IF(AND(L243=0,M243=0),N243/1,IF(AND(L243=0,N243=0),M243/1,IF(AND(M243=0,N243=0),L243/1,IF(L243=0,FLOOR((M243+N243)/2,0.1),IF(M243=0,(L243+N243)/2,IF(N243=0,(M243+L243)/2,FLOOR(((L243+M243+N243)/3),0.1))))))))</f>
        <v/>
      </c>
      <c r="P243" s="21" t="n"/>
      <c r="Q243" s="21" t="n"/>
      <c r="R243" s="27">
        <f>SUM(P243:Q243)</f>
        <v/>
      </c>
      <c r="S243" s="28" t="n"/>
      <c r="T243" s="28" t="n"/>
      <c r="U243" s="29">
        <f>IF(AND(R243=0,S243=0,T243=0),0,IF(AND(R243=0,S243=0),T243/1,IF(AND(R243=0,T243=0),S243/1,IF(AND(S243=0,T243=0),R243/1,IF(R243=0,FLOOR((S243+T243)/2,0.1),IF(S243=0,(R243+T243)/2,IF(T243=0,(S243+R243)/2,FLOOR(((R243+S243+T243)/3),0.1))))))))</f>
        <v/>
      </c>
      <c r="V243" s="21" t="n"/>
      <c r="W243" s="21" t="n"/>
      <c r="X243" s="27">
        <f>SUM(V243:W243)</f>
        <v/>
      </c>
      <c r="Y243" s="28" t="n"/>
      <c r="Z243" s="28" t="n"/>
      <c r="AA243" s="29">
        <f>IF(AND(X243=0,Y243=0,Z243=0),0,IF(AND(X243=0,Y243=0),Z243/1,IF(AND(X243=0,Z243=0),Y243/1,IF(AND(Y243=0,Z243=0),X243/1,IF(X243=0,FLOOR((Y243+Z243)/2,0.1),IF(Y243=0,(X243+Z243)/2,IF(Z243=0,(Y243+X243)/2,FLOOR(((X243+Y243+Z243)/3),0.1))))))))</f>
        <v/>
      </c>
      <c r="AB243" s="21" t="n"/>
      <c r="AC243" s="21" t="n"/>
      <c r="AD243" s="27">
        <f>SUM(AB243:AC243)</f>
        <v/>
      </c>
      <c r="AE243" s="28" t="n"/>
      <c r="AF243" s="28" t="n"/>
      <c r="AG243" s="29">
        <f>IF(AND(AD243=0,AE243=0,AF243=0),0,IF(AND(AD243=0,AE243=0),AF243/1,IF(AND(AD243=0,AF243=0),AE243/1,IF(AND(AE243=0,AF243=0),AD243/1,IF(AD243=0,FLOOR((AE243+AF243)/2,0.1),IF(AE243=0,(AD243+AF243)/2,IF(AF243=0,(AE243+AD243)/2,FLOOR(((AD243+AE243+AF243)/3),0.1))))))))</f>
        <v/>
      </c>
      <c r="AH243" s="21" t="n"/>
      <c r="AI243" s="21" t="n"/>
      <c r="AJ243" s="27">
        <f>SUM(AH243:AI243)</f>
        <v/>
      </c>
      <c r="AK243" s="28" t="n"/>
      <c r="AL243" s="28" t="n"/>
      <c r="AM243" s="29">
        <f>IF(AND(AJ243=0,AK243=0,AL243=0),0,IF(AND(AJ243=0,AK243=0),AL243/1,IF(AND(AJ243=0,AL243=0),AK243/1,IF(AND(AK243=0,AL243=0),AJ243/1,IF(AJ243=0,FLOOR((AK243+AL243)/2,0.1),IF(AK243=0,(AJ243+AL243)/2,IF(AL243=0,(AK243+AJ243)/2,FLOOR(((AJ243+AK243+AL243)/3),0.1))))))))</f>
        <v/>
      </c>
      <c r="AN243" s="21" t="n"/>
      <c r="AO243" s="21" t="n"/>
      <c r="AP243" s="27">
        <f>SUM(AN243:AO243)</f>
        <v/>
      </c>
      <c r="AQ243" s="28" t="n"/>
      <c r="AR243" s="30" t="n"/>
      <c r="AS243" s="29">
        <f>IF(AND(AP243=0,AQ243=0,AR243=0),0,IF(AND(AP243=0,AQ243=0),AR243/1,IF(AND(AP243=0,AR243=0),AQ243/1,IF(AND(AQ243=0,AR243=0),AP243/1,IF(AP243=0,FLOOR((AQ243+AR243)/2,0.1),IF(AQ243=0,(AP243+AR243)/2,IF(AR243=0,(AQ243+AP243)/2,FLOOR(((AP243+AQ243+AR243)/3),0.1))))))))</f>
        <v/>
      </c>
      <c r="AT243" s="21" t="n"/>
      <c r="AU243" s="21" t="n"/>
      <c r="AV243" s="27">
        <f>SUM(AT243:AU243)</f>
        <v/>
      </c>
      <c r="AW243" s="28" t="n"/>
      <c r="AX243" s="30" t="n"/>
      <c r="AY243" s="29">
        <f>IF(AND(AV243=0,AW243=0,AX243=0),0,IF(AND(AV243=0,AW243=0),AX243/1,IF(AND(AV243=0,AX243=0),AW243/1,IF(AND(AW243=0,AX243=0),AV243/1,IF(AV243=0,FLOOR((AW243+AX243)/2,0.1),IF(AW243=0,(AV243+AX243)/2,IF(AX243=0,(AW243+AV243)/2,FLOOR(((AV243+AW243+AX243)/3),0.1))))))))</f>
        <v/>
      </c>
      <c r="AZ243" s="21" t="n"/>
      <c r="BA243" s="21" t="n"/>
      <c r="BB243" s="27">
        <f>SUM(AZ243:BA243)</f>
        <v/>
      </c>
      <c r="BC243" s="28" t="n"/>
      <c r="BD243" s="28" t="n"/>
      <c r="BE243" s="29">
        <f>IF(AND(BB243=0,BC243=0,BD243=0),0,IF(AND(BB243=0,BC243=0),BD243/1,IF(AND(BB243=0,BD243=0),BC243/1,IF(AND(BC243=0,BD243=0),BB243/1,IF(BB243=0,FLOOR((BC243+BD243)/2,0.1),IF(BC243=0,(BB243+BD243)/2,IF(BD243=0,(BC243+BB243)/2,FLOOR(((BB243+BC243+BD243)/3),0.1))))))))</f>
        <v/>
      </c>
      <c r="BF243" s="21" t="n"/>
      <c r="BG243" s="21" t="n"/>
      <c r="BH243" s="27">
        <f>SUM(BF243:BG243)</f>
        <v/>
      </c>
      <c r="BI243" s="28" t="n"/>
      <c r="BJ243" s="28" t="n"/>
      <c r="BK243" s="29">
        <f>IF(AND(BH243=0,BI243=0,BJ243=0),0,IF(AND(BH243=0,BI243=0),BJ243/1,IF(AND(BH243=0,BJ243=0),BI243/1,IF(AND(BI243=0,BJ243=0),BH243/1,IF(BH243=0,FLOOR((BI243+BJ243)/2,0.1),IF(BI243=0,(BH243+BJ243)/2,IF(BJ243=0,(BI243+BH243)/2,FLOOR(((BH243+BI243+BJ243)/3),0.1))))))))</f>
        <v/>
      </c>
      <c r="BL243" s="21" t="n"/>
      <c r="BM243" s="21" t="n"/>
      <c r="BN243" s="27">
        <f>SUM(BL243:BM243)</f>
        <v/>
      </c>
      <c r="BO243" s="28" t="n"/>
      <c r="BP243" s="31" t="n"/>
      <c r="BQ243" s="29">
        <f>IF(AND(BN243=0,BO243=0,BP243=0),0,IF(AND(BN243=0,BO243=0),BP243/1,IF(AND(BN243=0,BP243=0),BO243/1,IF(AND(BO243=0,BP243=0),BN243/1,IF(BN243=0,FLOOR((BO243+BP243)/2,0.1),IF(BO243=0,(BN243+BP243)/2,IF(BP243=0,(BO243+BN243)/2,FLOOR(((BN243+BO243+BP243)/3),0.1))))))))</f>
        <v/>
      </c>
      <c r="BR243" s="21" t="n"/>
      <c r="BS243" s="21" t="n"/>
      <c r="BT243" s="27">
        <f>SUM(BR243:BS243)</f>
        <v/>
      </c>
      <c r="BU243" s="28" t="n"/>
      <c r="BV243" s="31" t="n"/>
      <c r="BW243" s="29">
        <f>IF(AND(BT243=0,BU243=0,BV243=0),0,IF(AND(BT243=0,BU243=0),BV243/1,IF(AND(BT243=0,BV243=0),BU243/1,IF(AND(BU243=0,BV243=0),BT243/1,IF(BT243=0,FLOOR((BU243+BV243)/2,0.1),IF(BU243=0,(BT243+BV243)/2,IF(BV243=0,(BU243+BT243)/2,FLOOR(((BT243+BU243+BV243)/3),0.1))))))))</f>
        <v/>
      </c>
      <c r="BX243" s="21" t="n"/>
      <c r="BY243" s="21" t="n"/>
      <c r="BZ243" s="27">
        <f>SUM(BX243:BY243)</f>
        <v/>
      </c>
      <c r="CA243" s="28" t="n"/>
      <c r="CB243" s="31" t="n"/>
      <c r="CC243" s="29">
        <f>IF(AND(BZ243=0,CA243=0,CB243=0),0,IF(AND(BZ243=0,CA243=0),CB243/1,IF(AND(BZ243=0,CB243=0),CA243/1,IF(AND(CA243=0,CB243=0),BZ243/1,IF(BZ243=0,FLOOR((CA243+CB243)/2,0.1),IF(CA243=0,(BZ243+CB243)/2,IF(CB243=0,(CA243+BZ243)/2,FLOOR(((BZ243+CA243+CB243)/3),0.1))))))))</f>
        <v/>
      </c>
      <c r="CD243" s="21" t="n"/>
      <c r="CE243" s="21" t="n"/>
      <c r="CF243" s="27">
        <f>SUM(CD243:CE243)</f>
        <v/>
      </c>
      <c r="CG243" s="28" t="n"/>
      <c r="CH243" s="31" t="n"/>
      <c r="CI243" s="29">
        <f>IF(AND(CF243=0,CG243=0,CH243=0),0,IF(AND(CF243=0,CG243=0),CH243/1,IF(AND(CF243=0,CH243=0),CG243/1,IF(AND(CG243=0,CH243=0),CF243/1,IF(CF243=0,FLOOR((CG243+CH243)/2,0.1),IF(CG243=0,(CF243+CH243)/2,IF(CH243=0,(CG243+CF243)/2,FLOOR(((CF243+CG243+CH243)/3),0.1))))))))</f>
        <v/>
      </c>
      <c r="CJ243" s="21" t="n"/>
      <c r="CK243" s="21" t="n"/>
      <c r="CL243" s="27">
        <f>SUM(CJ243:CK243)</f>
        <v/>
      </c>
      <c r="CM243" s="28" t="n"/>
      <c r="CN243" s="31" t="n"/>
      <c r="CO243" s="29">
        <f>IF(AND(CL243=0,CM243=0,CN243=0),0,IF(AND(CL243=0,CM243=0),CN243/1,IF(AND(CL243=0,CN243=0),CM243/1,IF(AND(CM243=0,CN243=0),CL243/1,IF(CL243=0,FLOOR((CM243+CN243)/2,0.1),IF(CM243=0,(CL243+CN243)/2,IF(CN243=0,(CM243+CL243)/2,FLOOR(((CL243+CM243+CN243)/3),0.1))))))))</f>
        <v/>
      </c>
      <c r="CP243" s="21" t="n"/>
      <c r="CQ243" s="21" t="n"/>
      <c r="CR243" s="27">
        <f>SUM(CP243:CQ243)</f>
        <v/>
      </c>
      <c r="CS243" s="28" t="n"/>
      <c r="CT243" s="31" t="n"/>
      <c r="CU243" s="29">
        <f>IF(AND(CR243=0,CS243=0,CT243=0),0,IF(AND(CR243=0,CS243=0),CT243/1,IF(AND(CR243=0,CT243=0),CS243/1,IF(AND(CS243=0,CT243=0),CR243/1,IF(CR243=0,FLOOR((CS243+CT243)/2,0.1),IF(CS243=0,(CR243+CT243)/2,IF(CT243=0,(CS243+CR243)/2,FLOOR(((CR243+CS243+CT243)/3),0.1))))))))</f>
        <v/>
      </c>
      <c r="CV243" s="21" t="n"/>
      <c r="CW243" s="21" t="n"/>
      <c r="CX243" s="27">
        <f>SUM(CV243:CW243)</f>
        <v/>
      </c>
      <c r="CY243" s="28" t="n"/>
      <c r="CZ243" s="31" t="n"/>
      <c r="DA243" s="29">
        <f>IF(AND(CX243=0,CY243=0,CZ243=0),0,IF(AND(CX243=0,CY243=0),CZ243/1,IF(AND(CX243=0,CZ243=0),CY243/1,IF(AND(CY243=0,CZ243=0),CX243/1,IF(CX243=0,FLOOR((CY243+CZ243)/2,0.1),IF(CY243=0,(CX243+CZ243)/2,IF(CZ243=0,(CY243+CX243)/2,FLOOR(((CX243+CY243+CZ243)/3),0.1))))))))</f>
        <v/>
      </c>
      <c r="DB243" s="21" t="n"/>
      <c r="DC243" s="21" t="n"/>
      <c r="DD243" s="27">
        <f>SUM(DB243:DC243)</f>
        <v/>
      </c>
      <c r="DE243" s="28" t="n"/>
      <c r="DF243" s="31" t="n"/>
      <c r="DG243" s="29">
        <f>IF(AND(DD243=0,DE243=0,DF243=0),0,IF(AND(DD243=0,DE243=0),DF243/1,IF(AND(DD243=0,DF243=0),DE243/1,IF(AND(DE243=0,DF243=0),DD243/1,IF(DD243=0,FLOOR((DE243+DF243)/2,0.1),IF(DE243=0,(DD243+DF243)/2,IF(DF243=0,(DE243+DD243)/2,FLOOR(((DD243+DE243+DF243)/3),0.1))))))))</f>
        <v/>
      </c>
      <c r="DH243" s="34">
        <f>SUM(O243,U243,AA243,AG243,AM243,AS243,AY243,BE243,BK243,BQ243,BW243,CC243,CI243,CO243,CU243,DA243,DG243)</f>
        <v/>
      </c>
      <c r="DI243" s="39">
        <f>RANK(DH243,DH$4:DH$503)</f>
        <v/>
      </c>
      <c r="DJ243" s="40" t="inlineStr">
        <is>
          <t>CHOOSE RATING</t>
        </is>
      </c>
      <c r="DK243" s="40" t="inlineStr">
        <is>
          <t>CHOOSE RATING</t>
        </is>
      </c>
      <c r="DL243" s="40" t="inlineStr">
        <is>
          <t>CHOOSE RATING</t>
        </is>
      </c>
      <c r="DM243" s="40" t="inlineStr">
        <is>
          <t>CHOOSE RATING</t>
        </is>
      </c>
      <c r="DN243" s="40" t="inlineStr">
        <is>
          <t>CHOOSE RATING</t>
        </is>
      </c>
      <c r="DO243" s="40" t="inlineStr">
        <is>
          <t>CHOOSE RATING</t>
        </is>
      </c>
      <c r="DP243" s="40" t="inlineStr">
        <is>
          <t>CHOOSE RATING</t>
        </is>
      </c>
      <c r="DQ243" s="40" t="inlineStr">
        <is>
          <t>CHOOSE RATING</t>
        </is>
      </c>
      <c r="DR243" s="43" t="inlineStr">
        <is>
          <t>2024/2025</t>
        </is>
      </c>
      <c r="DS243" s="45" t="inlineStr">
        <is>
          <t>THIRD</t>
        </is>
      </c>
      <c r="DT243" s="40" t="inlineStr">
        <is>
          <t>CHOOSE RATING</t>
        </is>
      </c>
      <c r="DU243" s="40" t="inlineStr">
        <is>
          <t>CHOOSE RATING</t>
        </is>
      </c>
      <c r="DV243" s="40" t="inlineStr">
        <is>
          <t>CHOOSE RATING</t>
        </is>
      </c>
      <c r="DW243" s="40" t="inlineStr">
        <is>
          <t>CHOOSE RATING</t>
        </is>
      </c>
      <c r="DX243" s="40" t="inlineStr">
        <is>
          <t>CHOOSE RATING</t>
        </is>
      </c>
      <c r="DY243" s="40" t="inlineStr">
        <is>
          <t>CHOOSE RATING</t>
        </is>
      </c>
      <c r="DZ243" s="53" t="inlineStr">
        <is>
          <t>CHOOSE RATING</t>
        </is>
      </c>
      <c r="EA243" s="54" t="inlineStr">
        <is>
          <t>Add the Tutor's Comment . . .</t>
        </is>
      </c>
      <c r="EB243" s="55" t="inlineStr">
        <is>
          <t>Choose Principals comment</t>
        </is>
      </c>
      <c r="EC243" s="56" t="n"/>
      <c r="ED243" s="57" t="inlineStr">
        <is>
          <t>Next Term Begins on Monday, 22nd September, 2025</t>
        </is>
      </c>
    </row>
    <row r="244" ht="30.6" customHeight="1" s="6">
      <c r="A244" s="18" t="n">
        <v>241</v>
      </c>
      <c r="B244" s="19" t="n"/>
      <c r="C244" s="20" t="n"/>
      <c r="D244" s="128" t="n"/>
      <c r="E244" s="21" t="n"/>
      <c r="F244" s="22" t="n"/>
      <c r="G244" s="22" t="n"/>
      <c r="H244" s="22" t="n"/>
      <c r="I244" s="26">
        <f>G244-H244</f>
        <v/>
      </c>
      <c r="J244" s="21" t="n"/>
      <c r="K244" s="21" t="n"/>
      <c r="L244" s="27">
        <f>SUM(J244:K244)</f>
        <v/>
      </c>
      <c r="M244" s="28" t="n"/>
      <c r="N244" s="28" t="n"/>
      <c r="O244" s="29">
        <f>IF(AND(L244=0,M244=0,N244=0),0,IF(AND(L244=0,M244=0),N244/1,IF(AND(L244=0,N244=0),M244/1,IF(AND(M244=0,N244=0),L244/1,IF(L244=0,FLOOR((M244+N244)/2,0.1),IF(M244=0,(L244+N244)/2,IF(N244=0,(M244+L244)/2,FLOOR(((L244+M244+N244)/3),0.1))))))))</f>
        <v/>
      </c>
      <c r="P244" s="21" t="n"/>
      <c r="Q244" s="21" t="n"/>
      <c r="R244" s="27">
        <f>SUM(P244:Q244)</f>
        <v/>
      </c>
      <c r="S244" s="28" t="n"/>
      <c r="T244" s="28" t="n"/>
      <c r="U244" s="29">
        <f>IF(AND(R244=0,S244=0,T244=0),0,IF(AND(R244=0,S244=0),T244/1,IF(AND(R244=0,T244=0),S244/1,IF(AND(S244=0,T244=0),R244/1,IF(R244=0,FLOOR((S244+T244)/2,0.1),IF(S244=0,(R244+T244)/2,IF(T244=0,(S244+R244)/2,FLOOR(((R244+S244+T244)/3),0.1))))))))</f>
        <v/>
      </c>
      <c r="V244" s="21" t="n"/>
      <c r="W244" s="21" t="n"/>
      <c r="X244" s="27">
        <f>SUM(V244:W244)</f>
        <v/>
      </c>
      <c r="Y244" s="28" t="n"/>
      <c r="Z244" s="28" t="n"/>
      <c r="AA244" s="29">
        <f>IF(AND(X244=0,Y244=0,Z244=0),0,IF(AND(X244=0,Y244=0),Z244/1,IF(AND(X244=0,Z244=0),Y244/1,IF(AND(Y244=0,Z244=0),X244/1,IF(X244=0,FLOOR((Y244+Z244)/2,0.1),IF(Y244=0,(X244+Z244)/2,IF(Z244=0,(Y244+X244)/2,FLOOR(((X244+Y244+Z244)/3),0.1))))))))</f>
        <v/>
      </c>
      <c r="AB244" s="21" t="n"/>
      <c r="AC244" s="21" t="n"/>
      <c r="AD244" s="27">
        <f>SUM(AB244:AC244)</f>
        <v/>
      </c>
      <c r="AE244" s="28" t="n"/>
      <c r="AF244" s="28" t="n"/>
      <c r="AG244" s="29">
        <f>IF(AND(AD244=0,AE244=0,AF244=0),0,IF(AND(AD244=0,AE244=0),AF244/1,IF(AND(AD244=0,AF244=0),AE244/1,IF(AND(AE244=0,AF244=0),AD244/1,IF(AD244=0,FLOOR((AE244+AF244)/2,0.1),IF(AE244=0,(AD244+AF244)/2,IF(AF244=0,(AE244+AD244)/2,FLOOR(((AD244+AE244+AF244)/3),0.1))))))))</f>
        <v/>
      </c>
      <c r="AH244" s="21" t="n"/>
      <c r="AI244" s="21" t="n"/>
      <c r="AJ244" s="27">
        <f>SUM(AH244:AI244)</f>
        <v/>
      </c>
      <c r="AK244" s="28" t="n"/>
      <c r="AL244" s="28" t="n"/>
      <c r="AM244" s="29">
        <f>IF(AND(AJ244=0,AK244=0,AL244=0),0,IF(AND(AJ244=0,AK244=0),AL244/1,IF(AND(AJ244=0,AL244=0),AK244/1,IF(AND(AK244=0,AL244=0),AJ244/1,IF(AJ244=0,FLOOR((AK244+AL244)/2,0.1),IF(AK244=0,(AJ244+AL244)/2,IF(AL244=0,(AK244+AJ244)/2,FLOOR(((AJ244+AK244+AL244)/3),0.1))))))))</f>
        <v/>
      </c>
      <c r="AN244" s="21" t="n"/>
      <c r="AO244" s="21" t="n"/>
      <c r="AP244" s="27">
        <f>SUM(AN244:AO244)</f>
        <v/>
      </c>
      <c r="AQ244" s="28" t="n"/>
      <c r="AR244" s="30" t="n"/>
      <c r="AS244" s="29">
        <f>IF(AND(AP244=0,AQ244=0,AR244=0),0,IF(AND(AP244=0,AQ244=0),AR244/1,IF(AND(AP244=0,AR244=0),AQ244/1,IF(AND(AQ244=0,AR244=0),AP244/1,IF(AP244=0,FLOOR((AQ244+AR244)/2,0.1),IF(AQ244=0,(AP244+AR244)/2,IF(AR244=0,(AQ244+AP244)/2,FLOOR(((AP244+AQ244+AR244)/3),0.1))))))))</f>
        <v/>
      </c>
      <c r="AT244" s="21" t="n"/>
      <c r="AU244" s="21" t="n"/>
      <c r="AV244" s="27">
        <f>SUM(AT244:AU244)</f>
        <v/>
      </c>
      <c r="AW244" s="28" t="n"/>
      <c r="AX244" s="30" t="n"/>
      <c r="AY244" s="29">
        <f>IF(AND(AV244=0,AW244=0,AX244=0),0,IF(AND(AV244=0,AW244=0),AX244/1,IF(AND(AV244=0,AX244=0),AW244/1,IF(AND(AW244=0,AX244=0),AV244/1,IF(AV244=0,FLOOR((AW244+AX244)/2,0.1),IF(AW244=0,(AV244+AX244)/2,IF(AX244=0,(AW244+AV244)/2,FLOOR(((AV244+AW244+AX244)/3),0.1))))))))</f>
        <v/>
      </c>
      <c r="AZ244" s="21" t="n"/>
      <c r="BA244" s="21" t="n"/>
      <c r="BB244" s="27">
        <f>SUM(AZ244:BA244)</f>
        <v/>
      </c>
      <c r="BC244" s="28" t="n"/>
      <c r="BD244" s="28" t="n"/>
      <c r="BE244" s="29">
        <f>IF(AND(BB244=0,BC244=0,BD244=0),0,IF(AND(BB244=0,BC244=0),BD244/1,IF(AND(BB244=0,BD244=0),BC244/1,IF(AND(BC244=0,BD244=0),BB244/1,IF(BB244=0,FLOOR((BC244+BD244)/2,0.1),IF(BC244=0,(BB244+BD244)/2,IF(BD244=0,(BC244+BB244)/2,FLOOR(((BB244+BC244+BD244)/3),0.1))))))))</f>
        <v/>
      </c>
      <c r="BF244" s="21" t="n"/>
      <c r="BG244" s="21" t="n"/>
      <c r="BH244" s="27">
        <f>SUM(BF244:BG244)</f>
        <v/>
      </c>
      <c r="BI244" s="28" t="n"/>
      <c r="BJ244" s="28" t="n"/>
      <c r="BK244" s="29">
        <f>IF(AND(BH244=0,BI244=0,BJ244=0),0,IF(AND(BH244=0,BI244=0),BJ244/1,IF(AND(BH244=0,BJ244=0),BI244/1,IF(AND(BI244=0,BJ244=0),BH244/1,IF(BH244=0,FLOOR((BI244+BJ244)/2,0.1),IF(BI244=0,(BH244+BJ244)/2,IF(BJ244=0,(BI244+BH244)/2,FLOOR(((BH244+BI244+BJ244)/3),0.1))))))))</f>
        <v/>
      </c>
      <c r="BL244" s="21" t="n"/>
      <c r="BM244" s="21" t="n"/>
      <c r="BN244" s="27">
        <f>SUM(BL244:BM244)</f>
        <v/>
      </c>
      <c r="BO244" s="28" t="n"/>
      <c r="BP244" s="31" t="n"/>
      <c r="BQ244" s="29">
        <f>IF(AND(BN244=0,BO244=0,BP244=0),0,IF(AND(BN244=0,BO244=0),BP244/1,IF(AND(BN244=0,BP244=0),BO244/1,IF(AND(BO244=0,BP244=0),BN244/1,IF(BN244=0,FLOOR((BO244+BP244)/2,0.1),IF(BO244=0,(BN244+BP244)/2,IF(BP244=0,(BO244+BN244)/2,FLOOR(((BN244+BO244+BP244)/3),0.1))))))))</f>
        <v/>
      </c>
      <c r="BR244" s="21" t="n"/>
      <c r="BS244" s="21" t="n"/>
      <c r="BT244" s="27">
        <f>SUM(BR244:BS244)</f>
        <v/>
      </c>
      <c r="BU244" s="28" t="n"/>
      <c r="BV244" s="31" t="n"/>
      <c r="BW244" s="29">
        <f>IF(AND(BT244=0,BU244=0,BV244=0),0,IF(AND(BT244=0,BU244=0),BV244/1,IF(AND(BT244=0,BV244=0),BU244/1,IF(AND(BU244=0,BV244=0),BT244/1,IF(BT244=0,FLOOR((BU244+BV244)/2,0.1),IF(BU244=0,(BT244+BV244)/2,IF(BV244=0,(BU244+BT244)/2,FLOOR(((BT244+BU244+BV244)/3),0.1))))))))</f>
        <v/>
      </c>
      <c r="BX244" s="21" t="n"/>
      <c r="BY244" s="21" t="n"/>
      <c r="BZ244" s="27">
        <f>SUM(BX244:BY244)</f>
        <v/>
      </c>
      <c r="CA244" s="28" t="n"/>
      <c r="CB244" s="31" t="n"/>
      <c r="CC244" s="29">
        <f>IF(AND(BZ244=0,CA244=0,CB244=0),0,IF(AND(BZ244=0,CA244=0),CB244/1,IF(AND(BZ244=0,CB244=0),CA244/1,IF(AND(CA244=0,CB244=0),BZ244/1,IF(BZ244=0,FLOOR((CA244+CB244)/2,0.1),IF(CA244=0,(BZ244+CB244)/2,IF(CB244=0,(CA244+BZ244)/2,FLOOR(((BZ244+CA244+CB244)/3),0.1))))))))</f>
        <v/>
      </c>
      <c r="CD244" s="21" t="n"/>
      <c r="CE244" s="21" t="n"/>
      <c r="CF244" s="27">
        <f>SUM(CD244:CE244)</f>
        <v/>
      </c>
      <c r="CG244" s="28" t="n"/>
      <c r="CH244" s="31" t="n"/>
      <c r="CI244" s="29">
        <f>IF(AND(CF244=0,CG244=0,CH244=0),0,IF(AND(CF244=0,CG244=0),CH244/1,IF(AND(CF244=0,CH244=0),CG244/1,IF(AND(CG244=0,CH244=0),CF244/1,IF(CF244=0,FLOOR((CG244+CH244)/2,0.1),IF(CG244=0,(CF244+CH244)/2,IF(CH244=0,(CG244+CF244)/2,FLOOR(((CF244+CG244+CH244)/3),0.1))))))))</f>
        <v/>
      </c>
      <c r="CJ244" s="21" t="n"/>
      <c r="CK244" s="21" t="n"/>
      <c r="CL244" s="27">
        <f>SUM(CJ244:CK244)</f>
        <v/>
      </c>
      <c r="CM244" s="28" t="n"/>
      <c r="CN244" s="31" t="n"/>
      <c r="CO244" s="29">
        <f>IF(AND(CL244=0,CM244=0,CN244=0),0,IF(AND(CL244=0,CM244=0),CN244/1,IF(AND(CL244=0,CN244=0),CM244/1,IF(AND(CM244=0,CN244=0),CL244/1,IF(CL244=0,FLOOR((CM244+CN244)/2,0.1),IF(CM244=0,(CL244+CN244)/2,IF(CN244=0,(CM244+CL244)/2,FLOOR(((CL244+CM244+CN244)/3),0.1))))))))</f>
        <v/>
      </c>
      <c r="CP244" s="21" t="n"/>
      <c r="CQ244" s="21" t="n"/>
      <c r="CR244" s="27">
        <f>SUM(CP244:CQ244)</f>
        <v/>
      </c>
      <c r="CS244" s="28" t="n"/>
      <c r="CT244" s="31" t="n"/>
      <c r="CU244" s="29">
        <f>IF(AND(CR244=0,CS244=0,CT244=0),0,IF(AND(CR244=0,CS244=0),CT244/1,IF(AND(CR244=0,CT244=0),CS244/1,IF(AND(CS244=0,CT244=0),CR244/1,IF(CR244=0,FLOOR((CS244+CT244)/2,0.1),IF(CS244=0,(CR244+CT244)/2,IF(CT244=0,(CS244+CR244)/2,FLOOR(((CR244+CS244+CT244)/3),0.1))))))))</f>
        <v/>
      </c>
      <c r="CV244" s="21" t="n"/>
      <c r="CW244" s="21" t="n"/>
      <c r="CX244" s="27">
        <f>SUM(CV244:CW244)</f>
        <v/>
      </c>
      <c r="CY244" s="28" t="n"/>
      <c r="CZ244" s="31" t="n"/>
      <c r="DA244" s="29">
        <f>IF(AND(CX244=0,CY244=0,CZ244=0),0,IF(AND(CX244=0,CY244=0),CZ244/1,IF(AND(CX244=0,CZ244=0),CY244/1,IF(AND(CY244=0,CZ244=0),CX244/1,IF(CX244=0,FLOOR((CY244+CZ244)/2,0.1),IF(CY244=0,(CX244+CZ244)/2,IF(CZ244=0,(CY244+CX244)/2,FLOOR(((CX244+CY244+CZ244)/3),0.1))))))))</f>
        <v/>
      </c>
      <c r="DB244" s="21" t="n"/>
      <c r="DC244" s="21" t="n"/>
      <c r="DD244" s="27">
        <f>SUM(DB244:DC244)</f>
        <v/>
      </c>
      <c r="DE244" s="28" t="n"/>
      <c r="DF244" s="31" t="n"/>
      <c r="DG244" s="29">
        <f>IF(AND(DD244=0,DE244=0,DF244=0),0,IF(AND(DD244=0,DE244=0),DF244/1,IF(AND(DD244=0,DF244=0),DE244/1,IF(AND(DE244=0,DF244=0),DD244/1,IF(DD244=0,FLOOR((DE244+DF244)/2,0.1),IF(DE244=0,(DD244+DF244)/2,IF(DF244=0,(DE244+DD244)/2,FLOOR(((DD244+DE244+DF244)/3),0.1))))))))</f>
        <v/>
      </c>
      <c r="DH244" s="34">
        <f>SUM(O244,U244,AA244,AG244,AM244,AS244,AY244,BE244,BK244,BQ244,BW244,CC244,CI244,CO244,CU244,DA244,DG244)</f>
        <v/>
      </c>
      <c r="DI244" s="39">
        <f>RANK(DH244,DH$4:DH$503)</f>
        <v/>
      </c>
      <c r="DJ244" s="40" t="inlineStr">
        <is>
          <t>CHOOSE RATING</t>
        </is>
      </c>
      <c r="DK244" s="40" t="inlineStr">
        <is>
          <t>CHOOSE RATING</t>
        </is>
      </c>
      <c r="DL244" s="40" t="inlineStr">
        <is>
          <t>CHOOSE RATING</t>
        </is>
      </c>
      <c r="DM244" s="40" t="inlineStr">
        <is>
          <t>CHOOSE RATING</t>
        </is>
      </c>
      <c r="DN244" s="40" t="inlineStr">
        <is>
          <t>CHOOSE RATING</t>
        </is>
      </c>
      <c r="DO244" s="40" t="inlineStr">
        <is>
          <t>CHOOSE RATING</t>
        </is>
      </c>
      <c r="DP244" s="40" t="inlineStr">
        <is>
          <t>CHOOSE RATING</t>
        </is>
      </c>
      <c r="DQ244" s="40" t="inlineStr">
        <is>
          <t>CHOOSE RATING</t>
        </is>
      </c>
      <c r="DR244" s="43" t="inlineStr">
        <is>
          <t>2024/2025</t>
        </is>
      </c>
      <c r="DS244" s="45" t="inlineStr">
        <is>
          <t>THIRD</t>
        </is>
      </c>
      <c r="DT244" s="40" t="inlineStr">
        <is>
          <t>CHOOSE RATING</t>
        </is>
      </c>
      <c r="DU244" s="40" t="inlineStr">
        <is>
          <t>CHOOSE RATING</t>
        </is>
      </c>
      <c r="DV244" s="40" t="inlineStr">
        <is>
          <t>CHOOSE RATING</t>
        </is>
      </c>
      <c r="DW244" s="40" t="inlineStr">
        <is>
          <t>CHOOSE RATING</t>
        </is>
      </c>
      <c r="DX244" s="40" t="inlineStr">
        <is>
          <t>CHOOSE RATING</t>
        </is>
      </c>
      <c r="DY244" s="40" t="inlineStr">
        <is>
          <t>CHOOSE RATING</t>
        </is>
      </c>
      <c r="DZ244" s="53" t="inlineStr">
        <is>
          <t>CHOOSE RATING</t>
        </is>
      </c>
      <c r="EA244" s="54" t="inlineStr">
        <is>
          <t>Add the Tutor's Comment . . .</t>
        </is>
      </c>
      <c r="EB244" s="55" t="inlineStr">
        <is>
          <t>Choose Principals comment</t>
        </is>
      </c>
      <c r="EC244" s="56" t="n"/>
      <c r="ED244" s="57" t="inlineStr">
        <is>
          <t>Next Term Begins on Monday, 22nd September, 2025</t>
        </is>
      </c>
    </row>
    <row r="245" ht="30.6" customHeight="1" s="6">
      <c r="A245" s="18" t="n">
        <v>242</v>
      </c>
      <c r="B245" s="19" t="n"/>
      <c r="C245" s="20" t="n"/>
      <c r="D245" s="128" t="n"/>
      <c r="E245" s="21" t="n"/>
      <c r="F245" s="22" t="n"/>
      <c r="G245" s="22" t="n"/>
      <c r="H245" s="22" t="n"/>
      <c r="I245" s="26">
        <f>G245-H245</f>
        <v/>
      </c>
      <c r="J245" s="21" t="n"/>
      <c r="K245" s="21" t="n"/>
      <c r="L245" s="27">
        <f>SUM(J245:K245)</f>
        <v/>
      </c>
      <c r="M245" s="28" t="n"/>
      <c r="N245" s="28" t="n"/>
      <c r="O245" s="29">
        <f>IF(AND(L245=0,M245=0,N245=0),0,IF(AND(L245=0,M245=0),N245/1,IF(AND(L245=0,N245=0),M245/1,IF(AND(M245=0,N245=0),L245/1,IF(L245=0,FLOOR((M245+N245)/2,0.1),IF(M245=0,(L245+N245)/2,IF(N245=0,(M245+L245)/2,FLOOR(((L245+M245+N245)/3),0.1))))))))</f>
        <v/>
      </c>
      <c r="P245" s="21" t="n"/>
      <c r="Q245" s="21" t="n"/>
      <c r="R245" s="27">
        <f>SUM(P245:Q245)</f>
        <v/>
      </c>
      <c r="S245" s="28" t="n"/>
      <c r="T245" s="28" t="n"/>
      <c r="U245" s="29">
        <f>IF(AND(R245=0,S245=0,T245=0),0,IF(AND(R245=0,S245=0),T245/1,IF(AND(R245=0,T245=0),S245/1,IF(AND(S245=0,T245=0),R245/1,IF(R245=0,FLOOR((S245+T245)/2,0.1),IF(S245=0,(R245+T245)/2,IF(T245=0,(S245+R245)/2,FLOOR(((R245+S245+T245)/3),0.1))))))))</f>
        <v/>
      </c>
      <c r="V245" s="21" t="n"/>
      <c r="W245" s="21" t="n"/>
      <c r="X245" s="27">
        <f>SUM(V245:W245)</f>
        <v/>
      </c>
      <c r="Y245" s="28" t="n"/>
      <c r="Z245" s="28" t="n"/>
      <c r="AA245" s="29">
        <f>IF(AND(X245=0,Y245=0,Z245=0),0,IF(AND(X245=0,Y245=0),Z245/1,IF(AND(X245=0,Z245=0),Y245/1,IF(AND(Y245=0,Z245=0),X245/1,IF(X245=0,FLOOR((Y245+Z245)/2,0.1),IF(Y245=0,(X245+Z245)/2,IF(Z245=0,(Y245+X245)/2,FLOOR(((X245+Y245+Z245)/3),0.1))))))))</f>
        <v/>
      </c>
      <c r="AB245" s="21" t="n"/>
      <c r="AC245" s="21" t="n"/>
      <c r="AD245" s="27">
        <f>SUM(AB245:AC245)</f>
        <v/>
      </c>
      <c r="AE245" s="28" t="n"/>
      <c r="AF245" s="28" t="n"/>
      <c r="AG245" s="29">
        <f>IF(AND(AD245=0,AE245=0,AF245=0),0,IF(AND(AD245=0,AE245=0),AF245/1,IF(AND(AD245=0,AF245=0),AE245/1,IF(AND(AE245=0,AF245=0),AD245/1,IF(AD245=0,FLOOR((AE245+AF245)/2,0.1),IF(AE245=0,(AD245+AF245)/2,IF(AF245=0,(AE245+AD245)/2,FLOOR(((AD245+AE245+AF245)/3),0.1))))))))</f>
        <v/>
      </c>
      <c r="AH245" s="21" t="n"/>
      <c r="AI245" s="21" t="n"/>
      <c r="AJ245" s="27">
        <f>SUM(AH245:AI245)</f>
        <v/>
      </c>
      <c r="AK245" s="28" t="n"/>
      <c r="AL245" s="28" t="n"/>
      <c r="AM245" s="29">
        <f>IF(AND(AJ245=0,AK245=0,AL245=0),0,IF(AND(AJ245=0,AK245=0),AL245/1,IF(AND(AJ245=0,AL245=0),AK245/1,IF(AND(AK245=0,AL245=0),AJ245/1,IF(AJ245=0,FLOOR((AK245+AL245)/2,0.1),IF(AK245=0,(AJ245+AL245)/2,IF(AL245=0,(AK245+AJ245)/2,FLOOR(((AJ245+AK245+AL245)/3),0.1))))))))</f>
        <v/>
      </c>
      <c r="AN245" s="21" t="n"/>
      <c r="AO245" s="21" t="n"/>
      <c r="AP245" s="27">
        <f>SUM(AN245:AO245)</f>
        <v/>
      </c>
      <c r="AQ245" s="28" t="n"/>
      <c r="AR245" s="30" t="n"/>
      <c r="AS245" s="29">
        <f>IF(AND(AP245=0,AQ245=0,AR245=0),0,IF(AND(AP245=0,AQ245=0),AR245/1,IF(AND(AP245=0,AR245=0),AQ245/1,IF(AND(AQ245=0,AR245=0),AP245/1,IF(AP245=0,FLOOR((AQ245+AR245)/2,0.1),IF(AQ245=0,(AP245+AR245)/2,IF(AR245=0,(AQ245+AP245)/2,FLOOR(((AP245+AQ245+AR245)/3),0.1))))))))</f>
        <v/>
      </c>
      <c r="AT245" s="21" t="n"/>
      <c r="AU245" s="21" t="n"/>
      <c r="AV245" s="27">
        <f>SUM(AT245:AU245)</f>
        <v/>
      </c>
      <c r="AW245" s="28" t="n"/>
      <c r="AX245" s="30" t="n"/>
      <c r="AY245" s="29">
        <f>IF(AND(AV245=0,AW245=0,AX245=0),0,IF(AND(AV245=0,AW245=0),AX245/1,IF(AND(AV245=0,AX245=0),AW245/1,IF(AND(AW245=0,AX245=0),AV245/1,IF(AV245=0,FLOOR((AW245+AX245)/2,0.1),IF(AW245=0,(AV245+AX245)/2,IF(AX245=0,(AW245+AV245)/2,FLOOR(((AV245+AW245+AX245)/3),0.1))))))))</f>
        <v/>
      </c>
      <c r="AZ245" s="21" t="n"/>
      <c r="BA245" s="21" t="n"/>
      <c r="BB245" s="27">
        <f>SUM(AZ245:BA245)</f>
        <v/>
      </c>
      <c r="BC245" s="28" t="n"/>
      <c r="BD245" s="28" t="n"/>
      <c r="BE245" s="29">
        <f>IF(AND(BB245=0,BC245=0,BD245=0),0,IF(AND(BB245=0,BC245=0),BD245/1,IF(AND(BB245=0,BD245=0),BC245/1,IF(AND(BC245=0,BD245=0),BB245/1,IF(BB245=0,FLOOR((BC245+BD245)/2,0.1),IF(BC245=0,(BB245+BD245)/2,IF(BD245=0,(BC245+BB245)/2,FLOOR(((BB245+BC245+BD245)/3),0.1))))))))</f>
        <v/>
      </c>
      <c r="BF245" s="21" t="n"/>
      <c r="BG245" s="21" t="n"/>
      <c r="BH245" s="27">
        <f>SUM(BF245:BG245)</f>
        <v/>
      </c>
      <c r="BI245" s="28" t="n"/>
      <c r="BJ245" s="28" t="n"/>
      <c r="BK245" s="29">
        <f>IF(AND(BH245=0,BI245=0,BJ245=0),0,IF(AND(BH245=0,BI245=0),BJ245/1,IF(AND(BH245=0,BJ245=0),BI245/1,IF(AND(BI245=0,BJ245=0),BH245/1,IF(BH245=0,FLOOR((BI245+BJ245)/2,0.1),IF(BI245=0,(BH245+BJ245)/2,IF(BJ245=0,(BI245+BH245)/2,FLOOR(((BH245+BI245+BJ245)/3),0.1))))))))</f>
        <v/>
      </c>
      <c r="BL245" s="21" t="n"/>
      <c r="BM245" s="21" t="n"/>
      <c r="BN245" s="27">
        <f>SUM(BL245:BM245)</f>
        <v/>
      </c>
      <c r="BO245" s="28" t="n"/>
      <c r="BP245" s="31" t="n"/>
      <c r="BQ245" s="29">
        <f>IF(AND(BN245=0,BO245=0,BP245=0),0,IF(AND(BN245=0,BO245=0),BP245/1,IF(AND(BN245=0,BP245=0),BO245/1,IF(AND(BO245=0,BP245=0),BN245/1,IF(BN245=0,FLOOR((BO245+BP245)/2,0.1),IF(BO245=0,(BN245+BP245)/2,IF(BP245=0,(BO245+BN245)/2,FLOOR(((BN245+BO245+BP245)/3),0.1))))))))</f>
        <v/>
      </c>
      <c r="BR245" s="21" t="n"/>
      <c r="BS245" s="21" t="n"/>
      <c r="BT245" s="27">
        <f>SUM(BR245:BS245)</f>
        <v/>
      </c>
      <c r="BU245" s="28" t="n"/>
      <c r="BV245" s="31" t="n"/>
      <c r="BW245" s="29">
        <f>IF(AND(BT245=0,BU245=0,BV245=0),0,IF(AND(BT245=0,BU245=0),BV245/1,IF(AND(BT245=0,BV245=0),BU245/1,IF(AND(BU245=0,BV245=0),BT245/1,IF(BT245=0,FLOOR((BU245+BV245)/2,0.1),IF(BU245=0,(BT245+BV245)/2,IF(BV245=0,(BU245+BT245)/2,FLOOR(((BT245+BU245+BV245)/3),0.1))))))))</f>
        <v/>
      </c>
      <c r="BX245" s="21" t="n"/>
      <c r="BY245" s="21" t="n"/>
      <c r="BZ245" s="27">
        <f>SUM(BX245:BY245)</f>
        <v/>
      </c>
      <c r="CA245" s="28" t="n"/>
      <c r="CB245" s="31" t="n"/>
      <c r="CC245" s="29">
        <f>IF(AND(BZ245=0,CA245=0,CB245=0),0,IF(AND(BZ245=0,CA245=0),CB245/1,IF(AND(BZ245=0,CB245=0),CA245/1,IF(AND(CA245=0,CB245=0),BZ245/1,IF(BZ245=0,FLOOR((CA245+CB245)/2,0.1),IF(CA245=0,(BZ245+CB245)/2,IF(CB245=0,(CA245+BZ245)/2,FLOOR(((BZ245+CA245+CB245)/3),0.1))))))))</f>
        <v/>
      </c>
      <c r="CD245" s="21" t="n"/>
      <c r="CE245" s="21" t="n"/>
      <c r="CF245" s="27">
        <f>SUM(CD245:CE245)</f>
        <v/>
      </c>
      <c r="CG245" s="28" t="n"/>
      <c r="CH245" s="31" t="n"/>
      <c r="CI245" s="29">
        <f>IF(AND(CF245=0,CG245=0,CH245=0),0,IF(AND(CF245=0,CG245=0),CH245/1,IF(AND(CF245=0,CH245=0),CG245/1,IF(AND(CG245=0,CH245=0),CF245/1,IF(CF245=0,FLOOR((CG245+CH245)/2,0.1),IF(CG245=0,(CF245+CH245)/2,IF(CH245=0,(CG245+CF245)/2,FLOOR(((CF245+CG245+CH245)/3),0.1))))))))</f>
        <v/>
      </c>
      <c r="CJ245" s="21" t="n"/>
      <c r="CK245" s="21" t="n"/>
      <c r="CL245" s="27">
        <f>SUM(CJ245:CK245)</f>
        <v/>
      </c>
      <c r="CM245" s="28" t="n"/>
      <c r="CN245" s="31" t="n"/>
      <c r="CO245" s="29">
        <f>IF(AND(CL245=0,CM245=0,CN245=0),0,IF(AND(CL245=0,CM245=0),CN245/1,IF(AND(CL245=0,CN245=0),CM245/1,IF(AND(CM245=0,CN245=0),CL245/1,IF(CL245=0,FLOOR((CM245+CN245)/2,0.1),IF(CM245=0,(CL245+CN245)/2,IF(CN245=0,(CM245+CL245)/2,FLOOR(((CL245+CM245+CN245)/3),0.1))))))))</f>
        <v/>
      </c>
      <c r="CP245" s="21" t="n"/>
      <c r="CQ245" s="21" t="n"/>
      <c r="CR245" s="27">
        <f>SUM(CP245:CQ245)</f>
        <v/>
      </c>
      <c r="CS245" s="28" t="n"/>
      <c r="CT245" s="31" t="n"/>
      <c r="CU245" s="29">
        <f>IF(AND(CR245=0,CS245=0,CT245=0),0,IF(AND(CR245=0,CS245=0),CT245/1,IF(AND(CR245=0,CT245=0),CS245/1,IF(AND(CS245=0,CT245=0),CR245/1,IF(CR245=0,FLOOR((CS245+CT245)/2,0.1),IF(CS245=0,(CR245+CT245)/2,IF(CT245=0,(CS245+CR245)/2,FLOOR(((CR245+CS245+CT245)/3),0.1))))))))</f>
        <v/>
      </c>
      <c r="CV245" s="21" t="n"/>
      <c r="CW245" s="21" t="n"/>
      <c r="CX245" s="27">
        <f>SUM(CV245:CW245)</f>
        <v/>
      </c>
      <c r="CY245" s="28" t="n"/>
      <c r="CZ245" s="31" t="n"/>
      <c r="DA245" s="29">
        <f>IF(AND(CX245=0,CY245=0,CZ245=0),0,IF(AND(CX245=0,CY245=0),CZ245/1,IF(AND(CX245=0,CZ245=0),CY245/1,IF(AND(CY245=0,CZ245=0),CX245/1,IF(CX245=0,FLOOR((CY245+CZ245)/2,0.1),IF(CY245=0,(CX245+CZ245)/2,IF(CZ245=0,(CY245+CX245)/2,FLOOR(((CX245+CY245+CZ245)/3),0.1))))))))</f>
        <v/>
      </c>
      <c r="DB245" s="21" t="n"/>
      <c r="DC245" s="21" t="n"/>
      <c r="DD245" s="27">
        <f>SUM(DB245:DC245)</f>
        <v/>
      </c>
      <c r="DE245" s="28" t="n"/>
      <c r="DF245" s="31" t="n"/>
      <c r="DG245" s="29">
        <f>IF(AND(DD245=0,DE245=0,DF245=0),0,IF(AND(DD245=0,DE245=0),DF245/1,IF(AND(DD245=0,DF245=0),DE245/1,IF(AND(DE245=0,DF245=0),DD245/1,IF(DD245=0,FLOOR((DE245+DF245)/2,0.1),IF(DE245=0,(DD245+DF245)/2,IF(DF245=0,(DE245+DD245)/2,FLOOR(((DD245+DE245+DF245)/3),0.1))))))))</f>
        <v/>
      </c>
      <c r="DH245" s="34">
        <f>SUM(O245,U245,AA245,AG245,AM245,AS245,AY245,BE245,BK245,BQ245,BW245,CC245,CI245,CO245,CU245,DA245,DG245)</f>
        <v/>
      </c>
      <c r="DI245" s="39">
        <f>RANK(DH245,DH$4:DH$503)</f>
        <v/>
      </c>
      <c r="DJ245" s="40" t="inlineStr">
        <is>
          <t>CHOOSE RATING</t>
        </is>
      </c>
      <c r="DK245" s="40" t="inlineStr">
        <is>
          <t>CHOOSE RATING</t>
        </is>
      </c>
      <c r="DL245" s="40" t="inlineStr">
        <is>
          <t>CHOOSE RATING</t>
        </is>
      </c>
      <c r="DM245" s="40" t="inlineStr">
        <is>
          <t>CHOOSE RATING</t>
        </is>
      </c>
      <c r="DN245" s="40" t="inlineStr">
        <is>
          <t>CHOOSE RATING</t>
        </is>
      </c>
      <c r="DO245" s="40" t="inlineStr">
        <is>
          <t>CHOOSE RATING</t>
        </is>
      </c>
      <c r="DP245" s="40" t="inlineStr">
        <is>
          <t>CHOOSE RATING</t>
        </is>
      </c>
      <c r="DQ245" s="40" t="inlineStr">
        <is>
          <t>CHOOSE RATING</t>
        </is>
      </c>
      <c r="DR245" s="43" t="inlineStr">
        <is>
          <t>2024/2025</t>
        </is>
      </c>
      <c r="DS245" s="45" t="inlineStr">
        <is>
          <t>THIRD</t>
        </is>
      </c>
      <c r="DT245" s="40" t="inlineStr">
        <is>
          <t>CHOOSE RATING</t>
        </is>
      </c>
      <c r="DU245" s="40" t="inlineStr">
        <is>
          <t>CHOOSE RATING</t>
        </is>
      </c>
      <c r="DV245" s="40" t="inlineStr">
        <is>
          <t>CHOOSE RATING</t>
        </is>
      </c>
      <c r="DW245" s="40" t="inlineStr">
        <is>
          <t>CHOOSE RATING</t>
        </is>
      </c>
      <c r="DX245" s="40" t="inlineStr">
        <is>
          <t>CHOOSE RATING</t>
        </is>
      </c>
      <c r="DY245" s="40" t="inlineStr">
        <is>
          <t>CHOOSE RATING</t>
        </is>
      </c>
      <c r="DZ245" s="53" t="inlineStr">
        <is>
          <t>CHOOSE RATING</t>
        </is>
      </c>
      <c r="EA245" s="54" t="inlineStr">
        <is>
          <t>Add the Tutor's Comment . . .</t>
        </is>
      </c>
      <c r="EB245" s="55" t="inlineStr">
        <is>
          <t>Choose Principals comment</t>
        </is>
      </c>
      <c r="EC245" s="56" t="n"/>
      <c r="ED245" s="57" t="inlineStr">
        <is>
          <t>Next Term Begins on Monday, 22nd September, 2025</t>
        </is>
      </c>
    </row>
    <row r="246" ht="30.6" customHeight="1" s="6">
      <c r="A246" s="18" t="n">
        <v>243</v>
      </c>
      <c r="B246" s="19" t="n"/>
      <c r="C246" s="20" t="n"/>
      <c r="D246" s="128" t="n"/>
      <c r="E246" s="21" t="n"/>
      <c r="F246" s="22" t="n"/>
      <c r="G246" s="22" t="n"/>
      <c r="H246" s="22" t="n"/>
      <c r="I246" s="26">
        <f>G246-H246</f>
        <v/>
      </c>
      <c r="J246" s="21" t="n"/>
      <c r="K246" s="21" t="n"/>
      <c r="L246" s="27">
        <f>SUM(J246:K246)</f>
        <v/>
      </c>
      <c r="M246" s="28" t="n"/>
      <c r="N246" s="28" t="n"/>
      <c r="O246" s="29">
        <f>IF(AND(L246=0,M246=0,N246=0),0,IF(AND(L246=0,M246=0),N246/1,IF(AND(L246=0,N246=0),M246/1,IF(AND(M246=0,N246=0),L246/1,IF(L246=0,FLOOR((M246+N246)/2,0.1),IF(M246=0,(L246+N246)/2,IF(N246=0,(M246+L246)/2,FLOOR(((L246+M246+N246)/3),0.1))))))))</f>
        <v/>
      </c>
      <c r="P246" s="21" t="n"/>
      <c r="Q246" s="21" t="n"/>
      <c r="R246" s="27">
        <f>SUM(P246:Q246)</f>
        <v/>
      </c>
      <c r="S246" s="28" t="n"/>
      <c r="T246" s="28" t="n"/>
      <c r="U246" s="29">
        <f>IF(AND(R246=0,S246=0,T246=0),0,IF(AND(R246=0,S246=0),T246/1,IF(AND(R246=0,T246=0),S246/1,IF(AND(S246=0,T246=0),R246/1,IF(R246=0,FLOOR((S246+T246)/2,0.1),IF(S246=0,(R246+T246)/2,IF(T246=0,(S246+R246)/2,FLOOR(((R246+S246+T246)/3),0.1))))))))</f>
        <v/>
      </c>
      <c r="V246" s="21" t="n"/>
      <c r="W246" s="21" t="n"/>
      <c r="X246" s="27">
        <f>SUM(V246:W246)</f>
        <v/>
      </c>
      <c r="Y246" s="28" t="n"/>
      <c r="Z246" s="28" t="n"/>
      <c r="AA246" s="29">
        <f>IF(AND(X246=0,Y246=0,Z246=0),0,IF(AND(X246=0,Y246=0),Z246/1,IF(AND(X246=0,Z246=0),Y246/1,IF(AND(Y246=0,Z246=0),X246/1,IF(X246=0,FLOOR((Y246+Z246)/2,0.1),IF(Y246=0,(X246+Z246)/2,IF(Z246=0,(Y246+X246)/2,FLOOR(((X246+Y246+Z246)/3),0.1))))))))</f>
        <v/>
      </c>
      <c r="AB246" s="21" t="n"/>
      <c r="AC246" s="21" t="n"/>
      <c r="AD246" s="27">
        <f>SUM(AB246:AC246)</f>
        <v/>
      </c>
      <c r="AE246" s="28" t="n"/>
      <c r="AF246" s="28" t="n"/>
      <c r="AG246" s="29">
        <f>IF(AND(AD246=0,AE246=0,AF246=0),0,IF(AND(AD246=0,AE246=0),AF246/1,IF(AND(AD246=0,AF246=0),AE246/1,IF(AND(AE246=0,AF246=0),AD246/1,IF(AD246=0,FLOOR((AE246+AF246)/2,0.1),IF(AE246=0,(AD246+AF246)/2,IF(AF246=0,(AE246+AD246)/2,FLOOR(((AD246+AE246+AF246)/3),0.1))))))))</f>
        <v/>
      </c>
      <c r="AH246" s="21" t="n"/>
      <c r="AI246" s="21" t="n"/>
      <c r="AJ246" s="27">
        <f>SUM(AH246:AI246)</f>
        <v/>
      </c>
      <c r="AK246" s="28" t="n"/>
      <c r="AL246" s="28" t="n"/>
      <c r="AM246" s="29">
        <f>IF(AND(AJ246=0,AK246=0,AL246=0),0,IF(AND(AJ246=0,AK246=0),AL246/1,IF(AND(AJ246=0,AL246=0),AK246/1,IF(AND(AK246=0,AL246=0),AJ246/1,IF(AJ246=0,FLOOR((AK246+AL246)/2,0.1),IF(AK246=0,(AJ246+AL246)/2,IF(AL246=0,(AK246+AJ246)/2,FLOOR(((AJ246+AK246+AL246)/3),0.1))))))))</f>
        <v/>
      </c>
      <c r="AN246" s="21" t="n"/>
      <c r="AO246" s="21" t="n"/>
      <c r="AP246" s="27">
        <f>SUM(AN246:AO246)</f>
        <v/>
      </c>
      <c r="AQ246" s="28" t="n"/>
      <c r="AR246" s="30" t="n"/>
      <c r="AS246" s="29">
        <f>IF(AND(AP246=0,AQ246=0,AR246=0),0,IF(AND(AP246=0,AQ246=0),AR246/1,IF(AND(AP246=0,AR246=0),AQ246/1,IF(AND(AQ246=0,AR246=0),AP246/1,IF(AP246=0,FLOOR((AQ246+AR246)/2,0.1),IF(AQ246=0,(AP246+AR246)/2,IF(AR246=0,(AQ246+AP246)/2,FLOOR(((AP246+AQ246+AR246)/3),0.1))))))))</f>
        <v/>
      </c>
      <c r="AT246" s="21" t="n"/>
      <c r="AU246" s="21" t="n"/>
      <c r="AV246" s="27">
        <f>SUM(AT246:AU246)</f>
        <v/>
      </c>
      <c r="AW246" s="28" t="n"/>
      <c r="AX246" s="30" t="n"/>
      <c r="AY246" s="29">
        <f>IF(AND(AV246=0,AW246=0,AX246=0),0,IF(AND(AV246=0,AW246=0),AX246/1,IF(AND(AV246=0,AX246=0),AW246/1,IF(AND(AW246=0,AX246=0),AV246/1,IF(AV246=0,FLOOR((AW246+AX246)/2,0.1),IF(AW246=0,(AV246+AX246)/2,IF(AX246=0,(AW246+AV246)/2,FLOOR(((AV246+AW246+AX246)/3),0.1))))))))</f>
        <v/>
      </c>
      <c r="AZ246" s="21" t="n"/>
      <c r="BA246" s="21" t="n"/>
      <c r="BB246" s="27">
        <f>SUM(AZ246:BA246)</f>
        <v/>
      </c>
      <c r="BC246" s="28" t="n"/>
      <c r="BD246" s="28" t="n"/>
      <c r="BE246" s="29">
        <f>IF(AND(BB246=0,BC246=0,BD246=0),0,IF(AND(BB246=0,BC246=0),BD246/1,IF(AND(BB246=0,BD246=0),BC246/1,IF(AND(BC246=0,BD246=0),BB246/1,IF(BB246=0,FLOOR((BC246+BD246)/2,0.1),IF(BC246=0,(BB246+BD246)/2,IF(BD246=0,(BC246+BB246)/2,FLOOR(((BB246+BC246+BD246)/3),0.1))))))))</f>
        <v/>
      </c>
      <c r="BF246" s="21" t="n"/>
      <c r="BG246" s="21" t="n"/>
      <c r="BH246" s="27">
        <f>SUM(BF246:BG246)</f>
        <v/>
      </c>
      <c r="BI246" s="28" t="n"/>
      <c r="BJ246" s="28" t="n"/>
      <c r="BK246" s="29">
        <f>IF(AND(BH246=0,BI246=0,BJ246=0),0,IF(AND(BH246=0,BI246=0),BJ246/1,IF(AND(BH246=0,BJ246=0),BI246/1,IF(AND(BI246=0,BJ246=0),BH246/1,IF(BH246=0,FLOOR((BI246+BJ246)/2,0.1),IF(BI246=0,(BH246+BJ246)/2,IF(BJ246=0,(BI246+BH246)/2,FLOOR(((BH246+BI246+BJ246)/3),0.1))))))))</f>
        <v/>
      </c>
      <c r="BL246" s="21" t="n"/>
      <c r="BM246" s="21" t="n"/>
      <c r="BN246" s="27">
        <f>SUM(BL246:BM246)</f>
        <v/>
      </c>
      <c r="BO246" s="28" t="n"/>
      <c r="BP246" s="31" t="n"/>
      <c r="BQ246" s="29">
        <f>IF(AND(BN246=0,BO246=0,BP246=0),0,IF(AND(BN246=0,BO246=0),BP246/1,IF(AND(BN246=0,BP246=0),BO246/1,IF(AND(BO246=0,BP246=0),BN246/1,IF(BN246=0,FLOOR((BO246+BP246)/2,0.1),IF(BO246=0,(BN246+BP246)/2,IF(BP246=0,(BO246+BN246)/2,FLOOR(((BN246+BO246+BP246)/3),0.1))))))))</f>
        <v/>
      </c>
      <c r="BR246" s="21" t="n"/>
      <c r="BS246" s="21" t="n"/>
      <c r="BT246" s="27">
        <f>SUM(BR246:BS246)</f>
        <v/>
      </c>
      <c r="BU246" s="28" t="n"/>
      <c r="BV246" s="31" t="n"/>
      <c r="BW246" s="29">
        <f>IF(AND(BT246=0,BU246=0,BV246=0),0,IF(AND(BT246=0,BU246=0),BV246/1,IF(AND(BT246=0,BV246=0),BU246/1,IF(AND(BU246=0,BV246=0),BT246/1,IF(BT246=0,FLOOR((BU246+BV246)/2,0.1),IF(BU246=0,(BT246+BV246)/2,IF(BV246=0,(BU246+BT246)/2,FLOOR(((BT246+BU246+BV246)/3),0.1))))))))</f>
        <v/>
      </c>
      <c r="BX246" s="21" t="n"/>
      <c r="BY246" s="21" t="n"/>
      <c r="BZ246" s="27">
        <f>SUM(BX246:BY246)</f>
        <v/>
      </c>
      <c r="CA246" s="28" t="n"/>
      <c r="CB246" s="31" t="n"/>
      <c r="CC246" s="29">
        <f>IF(AND(BZ246=0,CA246=0,CB246=0),0,IF(AND(BZ246=0,CA246=0),CB246/1,IF(AND(BZ246=0,CB246=0),CA246/1,IF(AND(CA246=0,CB246=0),BZ246/1,IF(BZ246=0,FLOOR((CA246+CB246)/2,0.1),IF(CA246=0,(BZ246+CB246)/2,IF(CB246=0,(CA246+BZ246)/2,FLOOR(((BZ246+CA246+CB246)/3),0.1))))))))</f>
        <v/>
      </c>
      <c r="CD246" s="21" t="n"/>
      <c r="CE246" s="21" t="n"/>
      <c r="CF246" s="27">
        <f>SUM(CD246:CE246)</f>
        <v/>
      </c>
      <c r="CG246" s="28" t="n"/>
      <c r="CH246" s="31" t="n"/>
      <c r="CI246" s="29">
        <f>IF(AND(CF246=0,CG246=0,CH246=0),0,IF(AND(CF246=0,CG246=0),CH246/1,IF(AND(CF246=0,CH246=0),CG246/1,IF(AND(CG246=0,CH246=0),CF246/1,IF(CF246=0,FLOOR((CG246+CH246)/2,0.1),IF(CG246=0,(CF246+CH246)/2,IF(CH246=0,(CG246+CF246)/2,FLOOR(((CF246+CG246+CH246)/3),0.1))))))))</f>
        <v/>
      </c>
      <c r="CJ246" s="21" t="n"/>
      <c r="CK246" s="21" t="n"/>
      <c r="CL246" s="27">
        <f>SUM(CJ246:CK246)</f>
        <v/>
      </c>
      <c r="CM246" s="28" t="n"/>
      <c r="CN246" s="31" t="n"/>
      <c r="CO246" s="29">
        <f>IF(AND(CL246=0,CM246=0,CN246=0),0,IF(AND(CL246=0,CM246=0),CN246/1,IF(AND(CL246=0,CN246=0),CM246/1,IF(AND(CM246=0,CN246=0),CL246/1,IF(CL246=0,FLOOR((CM246+CN246)/2,0.1),IF(CM246=0,(CL246+CN246)/2,IF(CN246=0,(CM246+CL246)/2,FLOOR(((CL246+CM246+CN246)/3),0.1))))))))</f>
        <v/>
      </c>
      <c r="CP246" s="21" t="n"/>
      <c r="CQ246" s="21" t="n"/>
      <c r="CR246" s="27">
        <f>SUM(CP246:CQ246)</f>
        <v/>
      </c>
      <c r="CS246" s="28" t="n"/>
      <c r="CT246" s="31" t="n"/>
      <c r="CU246" s="29">
        <f>IF(AND(CR246=0,CS246=0,CT246=0),0,IF(AND(CR246=0,CS246=0),CT246/1,IF(AND(CR246=0,CT246=0),CS246/1,IF(AND(CS246=0,CT246=0),CR246/1,IF(CR246=0,FLOOR((CS246+CT246)/2,0.1),IF(CS246=0,(CR246+CT246)/2,IF(CT246=0,(CS246+CR246)/2,FLOOR(((CR246+CS246+CT246)/3),0.1))))))))</f>
        <v/>
      </c>
      <c r="CV246" s="21" t="n"/>
      <c r="CW246" s="21" t="n"/>
      <c r="CX246" s="27">
        <f>SUM(CV246:CW246)</f>
        <v/>
      </c>
      <c r="CY246" s="28" t="n"/>
      <c r="CZ246" s="31" t="n"/>
      <c r="DA246" s="29">
        <f>IF(AND(CX246=0,CY246=0,CZ246=0),0,IF(AND(CX246=0,CY246=0),CZ246/1,IF(AND(CX246=0,CZ246=0),CY246/1,IF(AND(CY246=0,CZ246=0),CX246/1,IF(CX246=0,FLOOR((CY246+CZ246)/2,0.1),IF(CY246=0,(CX246+CZ246)/2,IF(CZ246=0,(CY246+CX246)/2,FLOOR(((CX246+CY246+CZ246)/3),0.1))))))))</f>
        <v/>
      </c>
      <c r="DB246" s="21" t="n"/>
      <c r="DC246" s="21" t="n"/>
      <c r="DD246" s="27">
        <f>SUM(DB246:DC246)</f>
        <v/>
      </c>
      <c r="DE246" s="28" t="n"/>
      <c r="DF246" s="31" t="n"/>
      <c r="DG246" s="29">
        <f>IF(AND(DD246=0,DE246=0,DF246=0),0,IF(AND(DD246=0,DE246=0),DF246/1,IF(AND(DD246=0,DF246=0),DE246/1,IF(AND(DE246=0,DF246=0),DD246/1,IF(DD246=0,FLOOR((DE246+DF246)/2,0.1),IF(DE246=0,(DD246+DF246)/2,IF(DF246=0,(DE246+DD246)/2,FLOOR(((DD246+DE246+DF246)/3),0.1))))))))</f>
        <v/>
      </c>
      <c r="DH246" s="34">
        <f>SUM(O246,U246,AA246,AG246,AM246,AS246,AY246,BE246,BK246,BQ246,BW246,CC246,CI246,CO246,CU246,DA246,DG246)</f>
        <v/>
      </c>
      <c r="DI246" s="39">
        <f>RANK(DH246,DH$4:DH$503)</f>
        <v/>
      </c>
      <c r="DJ246" s="40" t="inlineStr">
        <is>
          <t>CHOOSE RATING</t>
        </is>
      </c>
      <c r="DK246" s="40" t="inlineStr">
        <is>
          <t>CHOOSE RATING</t>
        </is>
      </c>
      <c r="DL246" s="40" t="inlineStr">
        <is>
          <t>CHOOSE RATING</t>
        </is>
      </c>
      <c r="DM246" s="40" t="inlineStr">
        <is>
          <t>CHOOSE RATING</t>
        </is>
      </c>
      <c r="DN246" s="40" t="inlineStr">
        <is>
          <t>CHOOSE RATING</t>
        </is>
      </c>
      <c r="DO246" s="40" t="inlineStr">
        <is>
          <t>CHOOSE RATING</t>
        </is>
      </c>
      <c r="DP246" s="40" t="inlineStr">
        <is>
          <t>CHOOSE RATING</t>
        </is>
      </c>
      <c r="DQ246" s="40" t="inlineStr">
        <is>
          <t>CHOOSE RATING</t>
        </is>
      </c>
      <c r="DR246" s="43" t="inlineStr">
        <is>
          <t>2024/2025</t>
        </is>
      </c>
      <c r="DS246" s="45" t="inlineStr">
        <is>
          <t>THIRD</t>
        </is>
      </c>
      <c r="DT246" s="40" t="inlineStr">
        <is>
          <t>CHOOSE RATING</t>
        </is>
      </c>
      <c r="DU246" s="40" t="inlineStr">
        <is>
          <t>CHOOSE RATING</t>
        </is>
      </c>
      <c r="DV246" s="40" t="inlineStr">
        <is>
          <t>CHOOSE RATING</t>
        </is>
      </c>
      <c r="DW246" s="40" t="inlineStr">
        <is>
          <t>CHOOSE RATING</t>
        </is>
      </c>
      <c r="DX246" s="40" t="inlineStr">
        <is>
          <t>CHOOSE RATING</t>
        </is>
      </c>
      <c r="DY246" s="40" t="inlineStr">
        <is>
          <t>CHOOSE RATING</t>
        </is>
      </c>
      <c r="DZ246" s="53" t="inlineStr">
        <is>
          <t>CHOOSE RATING</t>
        </is>
      </c>
      <c r="EA246" s="54" t="inlineStr">
        <is>
          <t>Add the Tutor's Comment . . .</t>
        </is>
      </c>
      <c r="EB246" s="55" t="inlineStr">
        <is>
          <t>Choose Principals comment</t>
        </is>
      </c>
      <c r="EC246" s="56" t="n"/>
      <c r="ED246" s="57" t="inlineStr">
        <is>
          <t>Next Term Begins on Monday, 22nd September, 2025</t>
        </is>
      </c>
    </row>
    <row r="247" ht="30.6" customHeight="1" s="6">
      <c r="A247" s="18" t="n">
        <v>244</v>
      </c>
      <c r="B247" s="19" t="n"/>
      <c r="C247" s="20" t="n"/>
      <c r="D247" s="128" t="n"/>
      <c r="E247" s="21" t="n"/>
      <c r="F247" s="22" t="n"/>
      <c r="G247" s="22" t="n"/>
      <c r="H247" s="22" t="n"/>
      <c r="I247" s="26">
        <f>G247-H247</f>
        <v/>
      </c>
      <c r="J247" s="21" t="n"/>
      <c r="K247" s="21" t="n"/>
      <c r="L247" s="27">
        <f>SUM(J247:K247)</f>
        <v/>
      </c>
      <c r="M247" s="28" t="n"/>
      <c r="N247" s="28" t="n"/>
      <c r="O247" s="29">
        <f>IF(AND(L247=0,M247=0,N247=0),0,IF(AND(L247=0,M247=0),N247/1,IF(AND(L247=0,N247=0),M247/1,IF(AND(M247=0,N247=0),L247/1,IF(L247=0,FLOOR((M247+N247)/2,0.1),IF(M247=0,(L247+N247)/2,IF(N247=0,(M247+L247)/2,FLOOR(((L247+M247+N247)/3),0.1))))))))</f>
        <v/>
      </c>
      <c r="P247" s="21" t="n"/>
      <c r="Q247" s="21" t="n"/>
      <c r="R247" s="27">
        <f>SUM(P247:Q247)</f>
        <v/>
      </c>
      <c r="S247" s="28" t="n"/>
      <c r="T247" s="28" t="n"/>
      <c r="U247" s="29">
        <f>IF(AND(R247=0,S247=0,T247=0),0,IF(AND(R247=0,S247=0),T247/1,IF(AND(R247=0,T247=0),S247/1,IF(AND(S247=0,T247=0),R247/1,IF(R247=0,FLOOR((S247+T247)/2,0.1),IF(S247=0,(R247+T247)/2,IF(T247=0,(S247+R247)/2,FLOOR(((R247+S247+T247)/3),0.1))))))))</f>
        <v/>
      </c>
      <c r="V247" s="21" t="n"/>
      <c r="W247" s="21" t="n"/>
      <c r="X247" s="27">
        <f>SUM(V247:W247)</f>
        <v/>
      </c>
      <c r="Y247" s="28" t="n"/>
      <c r="Z247" s="28" t="n"/>
      <c r="AA247" s="29">
        <f>IF(AND(X247=0,Y247=0,Z247=0),0,IF(AND(X247=0,Y247=0),Z247/1,IF(AND(X247=0,Z247=0),Y247/1,IF(AND(Y247=0,Z247=0),X247/1,IF(X247=0,FLOOR((Y247+Z247)/2,0.1),IF(Y247=0,(X247+Z247)/2,IF(Z247=0,(Y247+X247)/2,FLOOR(((X247+Y247+Z247)/3),0.1))))))))</f>
        <v/>
      </c>
      <c r="AB247" s="21" t="n"/>
      <c r="AC247" s="21" t="n"/>
      <c r="AD247" s="27">
        <f>SUM(AB247:AC247)</f>
        <v/>
      </c>
      <c r="AE247" s="28" t="n"/>
      <c r="AF247" s="28" t="n"/>
      <c r="AG247" s="29">
        <f>IF(AND(AD247=0,AE247=0,AF247=0),0,IF(AND(AD247=0,AE247=0),AF247/1,IF(AND(AD247=0,AF247=0),AE247/1,IF(AND(AE247=0,AF247=0),AD247/1,IF(AD247=0,FLOOR((AE247+AF247)/2,0.1),IF(AE247=0,(AD247+AF247)/2,IF(AF247=0,(AE247+AD247)/2,FLOOR(((AD247+AE247+AF247)/3),0.1))))))))</f>
        <v/>
      </c>
      <c r="AH247" s="21" t="n"/>
      <c r="AI247" s="21" t="n"/>
      <c r="AJ247" s="27">
        <f>SUM(AH247:AI247)</f>
        <v/>
      </c>
      <c r="AK247" s="28" t="n"/>
      <c r="AL247" s="28" t="n"/>
      <c r="AM247" s="29">
        <f>IF(AND(AJ247=0,AK247=0,AL247=0),0,IF(AND(AJ247=0,AK247=0),AL247/1,IF(AND(AJ247=0,AL247=0),AK247/1,IF(AND(AK247=0,AL247=0),AJ247/1,IF(AJ247=0,FLOOR((AK247+AL247)/2,0.1),IF(AK247=0,(AJ247+AL247)/2,IF(AL247=0,(AK247+AJ247)/2,FLOOR(((AJ247+AK247+AL247)/3),0.1))))))))</f>
        <v/>
      </c>
      <c r="AN247" s="21" t="n"/>
      <c r="AO247" s="21" t="n"/>
      <c r="AP247" s="27">
        <f>SUM(AN247:AO247)</f>
        <v/>
      </c>
      <c r="AQ247" s="28" t="n"/>
      <c r="AR247" s="30" t="n"/>
      <c r="AS247" s="29">
        <f>IF(AND(AP247=0,AQ247=0,AR247=0),0,IF(AND(AP247=0,AQ247=0),AR247/1,IF(AND(AP247=0,AR247=0),AQ247/1,IF(AND(AQ247=0,AR247=0),AP247/1,IF(AP247=0,FLOOR((AQ247+AR247)/2,0.1),IF(AQ247=0,(AP247+AR247)/2,IF(AR247=0,(AQ247+AP247)/2,FLOOR(((AP247+AQ247+AR247)/3),0.1))))))))</f>
        <v/>
      </c>
      <c r="AT247" s="21" t="n"/>
      <c r="AU247" s="21" t="n"/>
      <c r="AV247" s="27">
        <f>SUM(AT247:AU247)</f>
        <v/>
      </c>
      <c r="AW247" s="28" t="n"/>
      <c r="AX247" s="30" t="n"/>
      <c r="AY247" s="29">
        <f>IF(AND(AV247=0,AW247=0,AX247=0),0,IF(AND(AV247=0,AW247=0),AX247/1,IF(AND(AV247=0,AX247=0),AW247/1,IF(AND(AW247=0,AX247=0),AV247/1,IF(AV247=0,FLOOR((AW247+AX247)/2,0.1),IF(AW247=0,(AV247+AX247)/2,IF(AX247=0,(AW247+AV247)/2,FLOOR(((AV247+AW247+AX247)/3),0.1))))))))</f>
        <v/>
      </c>
      <c r="AZ247" s="21" t="n"/>
      <c r="BA247" s="21" t="n"/>
      <c r="BB247" s="27">
        <f>SUM(AZ247:BA247)</f>
        <v/>
      </c>
      <c r="BC247" s="28" t="n"/>
      <c r="BD247" s="28" t="n"/>
      <c r="BE247" s="29">
        <f>IF(AND(BB247=0,BC247=0,BD247=0),0,IF(AND(BB247=0,BC247=0),BD247/1,IF(AND(BB247=0,BD247=0),BC247/1,IF(AND(BC247=0,BD247=0),BB247/1,IF(BB247=0,FLOOR((BC247+BD247)/2,0.1),IF(BC247=0,(BB247+BD247)/2,IF(BD247=0,(BC247+BB247)/2,FLOOR(((BB247+BC247+BD247)/3),0.1))))))))</f>
        <v/>
      </c>
      <c r="BF247" s="21" t="n"/>
      <c r="BG247" s="21" t="n"/>
      <c r="BH247" s="27">
        <f>SUM(BF247:BG247)</f>
        <v/>
      </c>
      <c r="BI247" s="28" t="n"/>
      <c r="BJ247" s="28" t="n"/>
      <c r="BK247" s="29">
        <f>IF(AND(BH247=0,BI247=0,BJ247=0),0,IF(AND(BH247=0,BI247=0),BJ247/1,IF(AND(BH247=0,BJ247=0),BI247/1,IF(AND(BI247=0,BJ247=0),BH247/1,IF(BH247=0,FLOOR((BI247+BJ247)/2,0.1),IF(BI247=0,(BH247+BJ247)/2,IF(BJ247=0,(BI247+BH247)/2,FLOOR(((BH247+BI247+BJ247)/3),0.1))))))))</f>
        <v/>
      </c>
      <c r="BL247" s="21" t="n"/>
      <c r="BM247" s="21" t="n"/>
      <c r="BN247" s="27">
        <f>SUM(BL247:BM247)</f>
        <v/>
      </c>
      <c r="BO247" s="28" t="n"/>
      <c r="BP247" s="31" t="n"/>
      <c r="BQ247" s="29">
        <f>IF(AND(BN247=0,BO247=0,BP247=0),0,IF(AND(BN247=0,BO247=0),BP247/1,IF(AND(BN247=0,BP247=0),BO247/1,IF(AND(BO247=0,BP247=0),BN247/1,IF(BN247=0,FLOOR((BO247+BP247)/2,0.1),IF(BO247=0,(BN247+BP247)/2,IF(BP247=0,(BO247+BN247)/2,FLOOR(((BN247+BO247+BP247)/3),0.1))))))))</f>
        <v/>
      </c>
      <c r="BR247" s="21" t="n"/>
      <c r="BS247" s="21" t="n"/>
      <c r="BT247" s="27">
        <f>SUM(BR247:BS247)</f>
        <v/>
      </c>
      <c r="BU247" s="28" t="n"/>
      <c r="BV247" s="31" t="n"/>
      <c r="BW247" s="29">
        <f>IF(AND(BT247=0,BU247=0,BV247=0),0,IF(AND(BT247=0,BU247=0),BV247/1,IF(AND(BT247=0,BV247=0),BU247/1,IF(AND(BU247=0,BV247=0),BT247/1,IF(BT247=0,FLOOR((BU247+BV247)/2,0.1),IF(BU247=0,(BT247+BV247)/2,IF(BV247=0,(BU247+BT247)/2,FLOOR(((BT247+BU247+BV247)/3),0.1))))))))</f>
        <v/>
      </c>
      <c r="BX247" s="21" t="n"/>
      <c r="BY247" s="21" t="n"/>
      <c r="BZ247" s="27">
        <f>SUM(BX247:BY247)</f>
        <v/>
      </c>
      <c r="CA247" s="28" t="n"/>
      <c r="CB247" s="31" t="n"/>
      <c r="CC247" s="29">
        <f>IF(AND(BZ247=0,CA247=0,CB247=0),0,IF(AND(BZ247=0,CA247=0),CB247/1,IF(AND(BZ247=0,CB247=0),CA247/1,IF(AND(CA247=0,CB247=0),BZ247/1,IF(BZ247=0,FLOOR((CA247+CB247)/2,0.1),IF(CA247=0,(BZ247+CB247)/2,IF(CB247=0,(CA247+BZ247)/2,FLOOR(((BZ247+CA247+CB247)/3),0.1))))))))</f>
        <v/>
      </c>
      <c r="CD247" s="21" t="n"/>
      <c r="CE247" s="21" t="n"/>
      <c r="CF247" s="27">
        <f>SUM(CD247:CE247)</f>
        <v/>
      </c>
      <c r="CG247" s="28" t="n"/>
      <c r="CH247" s="31" t="n"/>
      <c r="CI247" s="29">
        <f>IF(AND(CF247=0,CG247=0,CH247=0),0,IF(AND(CF247=0,CG247=0),CH247/1,IF(AND(CF247=0,CH247=0),CG247/1,IF(AND(CG247=0,CH247=0),CF247/1,IF(CF247=0,FLOOR((CG247+CH247)/2,0.1),IF(CG247=0,(CF247+CH247)/2,IF(CH247=0,(CG247+CF247)/2,FLOOR(((CF247+CG247+CH247)/3),0.1))))))))</f>
        <v/>
      </c>
      <c r="CJ247" s="21" t="n"/>
      <c r="CK247" s="21" t="n"/>
      <c r="CL247" s="27">
        <f>SUM(CJ247:CK247)</f>
        <v/>
      </c>
      <c r="CM247" s="28" t="n"/>
      <c r="CN247" s="31" t="n"/>
      <c r="CO247" s="29">
        <f>IF(AND(CL247=0,CM247=0,CN247=0),0,IF(AND(CL247=0,CM247=0),CN247/1,IF(AND(CL247=0,CN247=0),CM247/1,IF(AND(CM247=0,CN247=0),CL247/1,IF(CL247=0,FLOOR((CM247+CN247)/2,0.1),IF(CM247=0,(CL247+CN247)/2,IF(CN247=0,(CM247+CL247)/2,FLOOR(((CL247+CM247+CN247)/3),0.1))))))))</f>
        <v/>
      </c>
      <c r="CP247" s="21" t="n"/>
      <c r="CQ247" s="21" t="n"/>
      <c r="CR247" s="27">
        <f>SUM(CP247:CQ247)</f>
        <v/>
      </c>
      <c r="CS247" s="28" t="n"/>
      <c r="CT247" s="31" t="n"/>
      <c r="CU247" s="29">
        <f>IF(AND(CR247=0,CS247=0,CT247=0),0,IF(AND(CR247=0,CS247=0),CT247/1,IF(AND(CR247=0,CT247=0),CS247/1,IF(AND(CS247=0,CT247=0),CR247/1,IF(CR247=0,FLOOR((CS247+CT247)/2,0.1),IF(CS247=0,(CR247+CT247)/2,IF(CT247=0,(CS247+CR247)/2,FLOOR(((CR247+CS247+CT247)/3),0.1))))))))</f>
        <v/>
      </c>
      <c r="CV247" s="21" t="n"/>
      <c r="CW247" s="21" t="n"/>
      <c r="CX247" s="27">
        <f>SUM(CV247:CW247)</f>
        <v/>
      </c>
      <c r="CY247" s="28" t="n"/>
      <c r="CZ247" s="31" t="n"/>
      <c r="DA247" s="29">
        <f>IF(AND(CX247=0,CY247=0,CZ247=0),0,IF(AND(CX247=0,CY247=0),CZ247/1,IF(AND(CX247=0,CZ247=0),CY247/1,IF(AND(CY247=0,CZ247=0),CX247/1,IF(CX247=0,FLOOR((CY247+CZ247)/2,0.1),IF(CY247=0,(CX247+CZ247)/2,IF(CZ247=0,(CY247+CX247)/2,FLOOR(((CX247+CY247+CZ247)/3),0.1))))))))</f>
        <v/>
      </c>
      <c r="DB247" s="21" t="n"/>
      <c r="DC247" s="21" t="n"/>
      <c r="DD247" s="27">
        <f>SUM(DB247:DC247)</f>
        <v/>
      </c>
      <c r="DE247" s="28" t="n"/>
      <c r="DF247" s="31" t="n"/>
      <c r="DG247" s="29">
        <f>IF(AND(DD247=0,DE247=0,DF247=0),0,IF(AND(DD247=0,DE247=0),DF247/1,IF(AND(DD247=0,DF247=0),DE247/1,IF(AND(DE247=0,DF247=0),DD247/1,IF(DD247=0,FLOOR((DE247+DF247)/2,0.1),IF(DE247=0,(DD247+DF247)/2,IF(DF247=0,(DE247+DD247)/2,FLOOR(((DD247+DE247+DF247)/3),0.1))))))))</f>
        <v/>
      </c>
      <c r="DH247" s="34">
        <f>SUM(O247,U247,AA247,AG247,AM247,AS247,AY247,BE247,BK247,BQ247,BW247,CC247,CI247,CO247,CU247,DA247,DG247)</f>
        <v/>
      </c>
      <c r="DI247" s="39">
        <f>RANK(DH247,DH$4:DH$503)</f>
        <v/>
      </c>
      <c r="DJ247" s="40" t="inlineStr">
        <is>
          <t>CHOOSE RATING</t>
        </is>
      </c>
      <c r="DK247" s="40" t="inlineStr">
        <is>
          <t>CHOOSE RATING</t>
        </is>
      </c>
      <c r="DL247" s="40" t="inlineStr">
        <is>
          <t>CHOOSE RATING</t>
        </is>
      </c>
      <c r="DM247" s="40" t="inlineStr">
        <is>
          <t>CHOOSE RATING</t>
        </is>
      </c>
      <c r="DN247" s="40" t="inlineStr">
        <is>
          <t>CHOOSE RATING</t>
        </is>
      </c>
      <c r="DO247" s="40" t="inlineStr">
        <is>
          <t>CHOOSE RATING</t>
        </is>
      </c>
      <c r="DP247" s="40" t="inlineStr">
        <is>
          <t>CHOOSE RATING</t>
        </is>
      </c>
      <c r="DQ247" s="40" t="inlineStr">
        <is>
          <t>CHOOSE RATING</t>
        </is>
      </c>
      <c r="DR247" s="43" t="inlineStr">
        <is>
          <t>2024/2025</t>
        </is>
      </c>
      <c r="DS247" s="45" t="inlineStr">
        <is>
          <t>THIRD</t>
        </is>
      </c>
      <c r="DT247" s="40" t="inlineStr">
        <is>
          <t>CHOOSE RATING</t>
        </is>
      </c>
      <c r="DU247" s="40" t="inlineStr">
        <is>
          <t>CHOOSE RATING</t>
        </is>
      </c>
      <c r="DV247" s="40" t="inlineStr">
        <is>
          <t>CHOOSE RATING</t>
        </is>
      </c>
      <c r="DW247" s="40" t="inlineStr">
        <is>
          <t>CHOOSE RATING</t>
        </is>
      </c>
      <c r="DX247" s="40" t="inlineStr">
        <is>
          <t>CHOOSE RATING</t>
        </is>
      </c>
      <c r="DY247" s="40" t="inlineStr">
        <is>
          <t>CHOOSE RATING</t>
        </is>
      </c>
      <c r="DZ247" s="53" t="inlineStr">
        <is>
          <t>CHOOSE RATING</t>
        </is>
      </c>
      <c r="EA247" s="54" t="inlineStr">
        <is>
          <t>Add the Tutor's Comment . . .</t>
        </is>
      </c>
      <c r="EB247" s="55" t="inlineStr">
        <is>
          <t>Choose Principals comment</t>
        </is>
      </c>
      <c r="EC247" s="56" t="n"/>
      <c r="ED247" s="57" t="inlineStr">
        <is>
          <t>Next Term Begins on Monday, 22nd September, 2025</t>
        </is>
      </c>
    </row>
    <row r="248" ht="30.6" customHeight="1" s="6">
      <c r="A248" s="18" t="n">
        <v>245</v>
      </c>
      <c r="B248" s="19" t="n"/>
      <c r="C248" s="20" t="n"/>
      <c r="D248" s="128" t="n"/>
      <c r="E248" s="21" t="n"/>
      <c r="F248" s="22" t="n"/>
      <c r="G248" s="22" t="n"/>
      <c r="H248" s="22" t="n"/>
      <c r="I248" s="26">
        <f>G248-H248</f>
        <v/>
      </c>
      <c r="J248" s="21" t="n"/>
      <c r="K248" s="21" t="n"/>
      <c r="L248" s="27">
        <f>SUM(J248:K248)</f>
        <v/>
      </c>
      <c r="M248" s="28" t="n"/>
      <c r="N248" s="28" t="n"/>
      <c r="O248" s="29">
        <f>IF(AND(L248=0,M248=0,N248=0),0,IF(AND(L248=0,M248=0),N248/1,IF(AND(L248=0,N248=0),M248/1,IF(AND(M248=0,N248=0),L248/1,IF(L248=0,FLOOR((M248+N248)/2,0.1),IF(M248=0,(L248+N248)/2,IF(N248=0,(M248+L248)/2,FLOOR(((L248+M248+N248)/3),0.1))))))))</f>
        <v/>
      </c>
      <c r="P248" s="21" t="n"/>
      <c r="Q248" s="21" t="n"/>
      <c r="R248" s="27">
        <f>SUM(P248:Q248)</f>
        <v/>
      </c>
      <c r="S248" s="28" t="n"/>
      <c r="T248" s="28" t="n"/>
      <c r="U248" s="29">
        <f>IF(AND(R248=0,S248=0,T248=0),0,IF(AND(R248=0,S248=0),T248/1,IF(AND(R248=0,T248=0),S248/1,IF(AND(S248=0,T248=0),R248/1,IF(R248=0,FLOOR((S248+T248)/2,0.1),IF(S248=0,(R248+T248)/2,IF(T248=0,(S248+R248)/2,FLOOR(((R248+S248+T248)/3),0.1))))))))</f>
        <v/>
      </c>
      <c r="V248" s="21" t="n"/>
      <c r="W248" s="21" t="n"/>
      <c r="X248" s="27">
        <f>SUM(V248:W248)</f>
        <v/>
      </c>
      <c r="Y248" s="28" t="n"/>
      <c r="Z248" s="28" t="n"/>
      <c r="AA248" s="29">
        <f>IF(AND(X248=0,Y248=0,Z248=0),0,IF(AND(X248=0,Y248=0),Z248/1,IF(AND(X248=0,Z248=0),Y248/1,IF(AND(Y248=0,Z248=0),X248/1,IF(X248=0,FLOOR((Y248+Z248)/2,0.1),IF(Y248=0,(X248+Z248)/2,IF(Z248=0,(Y248+X248)/2,FLOOR(((X248+Y248+Z248)/3),0.1))))))))</f>
        <v/>
      </c>
      <c r="AB248" s="21" t="n"/>
      <c r="AC248" s="21" t="n"/>
      <c r="AD248" s="27">
        <f>SUM(AB248:AC248)</f>
        <v/>
      </c>
      <c r="AE248" s="28" t="n"/>
      <c r="AF248" s="28" t="n"/>
      <c r="AG248" s="29">
        <f>IF(AND(AD248=0,AE248=0,AF248=0),0,IF(AND(AD248=0,AE248=0),AF248/1,IF(AND(AD248=0,AF248=0),AE248/1,IF(AND(AE248=0,AF248=0),AD248/1,IF(AD248=0,FLOOR((AE248+AF248)/2,0.1),IF(AE248=0,(AD248+AF248)/2,IF(AF248=0,(AE248+AD248)/2,FLOOR(((AD248+AE248+AF248)/3),0.1))))))))</f>
        <v/>
      </c>
      <c r="AH248" s="21" t="n"/>
      <c r="AI248" s="21" t="n"/>
      <c r="AJ248" s="27">
        <f>SUM(AH248:AI248)</f>
        <v/>
      </c>
      <c r="AK248" s="28" t="n"/>
      <c r="AL248" s="28" t="n"/>
      <c r="AM248" s="29">
        <f>IF(AND(AJ248=0,AK248=0,AL248=0),0,IF(AND(AJ248=0,AK248=0),AL248/1,IF(AND(AJ248=0,AL248=0),AK248/1,IF(AND(AK248=0,AL248=0),AJ248/1,IF(AJ248=0,FLOOR((AK248+AL248)/2,0.1),IF(AK248=0,(AJ248+AL248)/2,IF(AL248=0,(AK248+AJ248)/2,FLOOR(((AJ248+AK248+AL248)/3),0.1))))))))</f>
        <v/>
      </c>
      <c r="AN248" s="21" t="n"/>
      <c r="AO248" s="21" t="n"/>
      <c r="AP248" s="27">
        <f>SUM(AN248:AO248)</f>
        <v/>
      </c>
      <c r="AQ248" s="28" t="n"/>
      <c r="AR248" s="30" t="n"/>
      <c r="AS248" s="29">
        <f>IF(AND(AP248=0,AQ248=0,AR248=0),0,IF(AND(AP248=0,AQ248=0),AR248/1,IF(AND(AP248=0,AR248=0),AQ248/1,IF(AND(AQ248=0,AR248=0),AP248/1,IF(AP248=0,FLOOR((AQ248+AR248)/2,0.1),IF(AQ248=0,(AP248+AR248)/2,IF(AR248=0,(AQ248+AP248)/2,FLOOR(((AP248+AQ248+AR248)/3),0.1))))))))</f>
        <v/>
      </c>
      <c r="AT248" s="21" t="n"/>
      <c r="AU248" s="21" t="n"/>
      <c r="AV248" s="27">
        <f>SUM(AT248:AU248)</f>
        <v/>
      </c>
      <c r="AW248" s="28" t="n"/>
      <c r="AX248" s="30" t="n"/>
      <c r="AY248" s="29">
        <f>IF(AND(AV248=0,AW248=0,AX248=0),0,IF(AND(AV248=0,AW248=0),AX248/1,IF(AND(AV248=0,AX248=0),AW248/1,IF(AND(AW248=0,AX248=0),AV248/1,IF(AV248=0,FLOOR((AW248+AX248)/2,0.1),IF(AW248=0,(AV248+AX248)/2,IF(AX248=0,(AW248+AV248)/2,FLOOR(((AV248+AW248+AX248)/3),0.1))))))))</f>
        <v/>
      </c>
      <c r="AZ248" s="21" t="n"/>
      <c r="BA248" s="21" t="n"/>
      <c r="BB248" s="27">
        <f>SUM(AZ248:BA248)</f>
        <v/>
      </c>
      <c r="BC248" s="28" t="n"/>
      <c r="BD248" s="28" t="n"/>
      <c r="BE248" s="29">
        <f>IF(AND(BB248=0,BC248=0,BD248=0),0,IF(AND(BB248=0,BC248=0),BD248/1,IF(AND(BB248=0,BD248=0),BC248/1,IF(AND(BC248=0,BD248=0),BB248/1,IF(BB248=0,FLOOR((BC248+BD248)/2,0.1),IF(BC248=0,(BB248+BD248)/2,IF(BD248=0,(BC248+BB248)/2,FLOOR(((BB248+BC248+BD248)/3),0.1))))))))</f>
        <v/>
      </c>
      <c r="BF248" s="21" t="n"/>
      <c r="BG248" s="21" t="n"/>
      <c r="BH248" s="27">
        <f>SUM(BF248:BG248)</f>
        <v/>
      </c>
      <c r="BI248" s="28" t="n"/>
      <c r="BJ248" s="28" t="n"/>
      <c r="BK248" s="29">
        <f>IF(AND(BH248=0,BI248=0,BJ248=0),0,IF(AND(BH248=0,BI248=0),BJ248/1,IF(AND(BH248=0,BJ248=0),BI248/1,IF(AND(BI248=0,BJ248=0),BH248/1,IF(BH248=0,FLOOR((BI248+BJ248)/2,0.1),IF(BI248=0,(BH248+BJ248)/2,IF(BJ248=0,(BI248+BH248)/2,FLOOR(((BH248+BI248+BJ248)/3),0.1))))))))</f>
        <v/>
      </c>
      <c r="BL248" s="21" t="n"/>
      <c r="BM248" s="21" t="n"/>
      <c r="BN248" s="27">
        <f>SUM(BL248:BM248)</f>
        <v/>
      </c>
      <c r="BO248" s="28" t="n"/>
      <c r="BP248" s="31" t="n"/>
      <c r="BQ248" s="29">
        <f>IF(AND(BN248=0,BO248=0,BP248=0),0,IF(AND(BN248=0,BO248=0),BP248/1,IF(AND(BN248=0,BP248=0),BO248/1,IF(AND(BO248=0,BP248=0),BN248/1,IF(BN248=0,FLOOR((BO248+BP248)/2,0.1),IF(BO248=0,(BN248+BP248)/2,IF(BP248=0,(BO248+BN248)/2,FLOOR(((BN248+BO248+BP248)/3),0.1))))))))</f>
        <v/>
      </c>
      <c r="BR248" s="21" t="n"/>
      <c r="BS248" s="21" t="n"/>
      <c r="BT248" s="27">
        <f>SUM(BR248:BS248)</f>
        <v/>
      </c>
      <c r="BU248" s="28" t="n"/>
      <c r="BV248" s="31" t="n"/>
      <c r="BW248" s="29">
        <f>IF(AND(BT248=0,BU248=0,BV248=0),0,IF(AND(BT248=0,BU248=0),BV248/1,IF(AND(BT248=0,BV248=0),BU248/1,IF(AND(BU248=0,BV248=0),BT248/1,IF(BT248=0,FLOOR((BU248+BV248)/2,0.1),IF(BU248=0,(BT248+BV248)/2,IF(BV248=0,(BU248+BT248)/2,FLOOR(((BT248+BU248+BV248)/3),0.1))))))))</f>
        <v/>
      </c>
      <c r="BX248" s="21" t="n"/>
      <c r="BY248" s="21" t="n"/>
      <c r="BZ248" s="27">
        <f>SUM(BX248:BY248)</f>
        <v/>
      </c>
      <c r="CA248" s="28" t="n"/>
      <c r="CB248" s="31" t="n"/>
      <c r="CC248" s="29">
        <f>IF(AND(BZ248=0,CA248=0,CB248=0),0,IF(AND(BZ248=0,CA248=0),CB248/1,IF(AND(BZ248=0,CB248=0),CA248/1,IF(AND(CA248=0,CB248=0),BZ248/1,IF(BZ248=0,FLOOR((CA248+CB248)/2,0.1),IF(CA248=0,(BZ248+CB248)/2,IF(CB248=0,(CA248+BZ248)/2,FLOOR(((BZ248+CA248+CB248)/3),0.1))))))))</f>
        <v/>
      </c>
      <c r="CD248" s="21" t="n"/>
      <c r="CE248" s="21" t="n"/>
      <c r="CF248" s="27">
        <f>SUM(CD248:CE248)</f>
        <v/>
      </c>
      <c r="CG248" s="28" t="n"/>
      <c r="CH248" s="31" t="n"/>
      <c r="CI248" s="29">
        <f>IF(AND(CF248=0,CG248=0,CH248=0),0,IF(AND(CF248=0,CG248=0),CH248/1,IF(AND(CF248=0,CH248=0),CG248/1,IF(AND(CG248=0,CH248=0),CF248/1,IF(CF248=0,FLOOR((CG248+CH248)/2,0.1),IF(CG248=0,(CF248+CH248)/2,IF(CH248=0,(CG248+CF248)/2,FLOOR(((CF248+CG248+CH248)/3),0.1))))))))</f>
        <v/>
      </c>
      <c r="CJ248" s="21" t="n"/>
      <c r="CK248" s="21" t="n"/>
      <c r="CL248" s="27">
        <f>SUM(CJ248:CK248)</f>
        <v/>
      </c>
      <c r="CM248" s="28" t="n"/>
      <c r="CN248" s="31" t="n"/>
      <c r="CO248" s="29">
        <f>IF(AND(CL248=0,CM248=0,CN248=0),0,IF(AND(CL248=0,CM248=0),CN248/1,IF(AND(CL248=0,CN248=0),CM248/1,IF(AND(CM248=0,CN248=0),CL248/1,IF(CL248=0,FLOOR((CM248+CN248)/2,0.1),IF(CM248=0,(CL248+CN248)/2,IF(CN248=0,(CM248+CL248)/2,FLOOR(((CL248+CM248+CN248)/3),0.1))))))))</f>
        <v/>
      </c>
      <c r="CP248" s="21" t="n"/>
      <c r="CQ248" s="21" t="n"/>
      <c r="CR248" s="27">
        <f>SUM(CP248:CQ248)</f>
        <v/>
      </c>
      <c r="CS248" s="28" t="n"/>
      <c r="CT248" s="31" t="n"/>
      <c r="CU248" s="29">
        <f>IF(AND(CR248=0,CS248=0,CT248=0),0,IF(AND(CR248=0,CS248=0),CT248/1,IF(AND(CR248=0,CT248=0),CS248/1,IF(AND(CS248=0,CT248=0),CR248/1,IF(CR248=0,FLOOR((CS248+CT248)/2,0.1),IF(CS248=0,(CR248+CT248)/2,IF(CT248=0,(CS248+CR248)/2,FLOOR(((CR248+CS248+CT248)/3),0.1))))))))</f>
        <v/>
      </c>
      <c r="CV248" s="21" t="n"/>
      <c r="CW248" s="21" t="n"/>
      <c r="CX248" s="27">
        <f>SUM(CV248:CW248)</f>
        <v/>
      </c>
      <c r="CY248" s="28" t="n"/>
      <c r="CZ248" s="31" t="n"/>
      <c r="DA248" s="29">
        <f>IF(AND(CX248=0,CY248=0,CZ248=0),0,IF(AND(CX248=0,CY248=0),CZ248/1,IF(AND(CX248=0,CZ248=0),CY248/1,IF(AND(CY248=0,CZ248=0),CX248/1,IF(CX248=0,FLOOR((CY248+CZ248)/2,0.1),IF(CY248=0,(CX248+CZ248)/2,IF(CZ248=0,(CY248+CX248)/2,FLOOR(((CX248+CY248+CZ248)/3),0.1))))))))</f>
        <v/>
      </c>
      <c r="DB248" s="21" t="n"/>
      <c r="DC248" s="21" t="n"/>
      <c r="DD248" s="27">
        <f>SUM(DB248:DC248)</f>
        <v/>
      </c>
      <c r="DE248" s="28" t="n"/>
      <c r="DF248" s="31" t="n"/>
      <c r="DG248" s="29">
        <f>IF(AND(DD248=0,DE248=0,DF248=0),0,IF(AND(DD248=0,DE248=0),DF248/1,IF(AND(DD248=0,DF248=0),DE248/1,IF(AND(DE248=0,DF248=0),DD248/1,IF(DD248=0,FLOOR((DE248+DF248)/2,0.1),IF(DE248=0,(DD248+DF248)/2,IF(DF248=0,(DE248+DD248)/2,FLOOR(((DD248+DE248+DF248)/3),0.1))))))))</f>
        <v/>
      </c>
      <c r="DH248" s="34">
        <f>SUM(O248,U248,AA248,AG248,AM248,AS248,AY248,BE248,BK248,BQ248,BW248,CC248,CI248,CO248,CU248,DA248,DG248)</f>
        <v/>
      </c>
      <c r="DI248" s="39">
        <f>RANK(DH248,DH$4:DH$503)</f>
        <v/>
      </c>
      <c r="DJ248" s="40" t="inlineStr">
        <is>
          <t>CHOOSE RATING</t>
        </is>
      </c>
      <c r="DK248" s="40" t="inlineStr">
        <is>
          <t>CHOOSE RATING</t>
        </is>
      </c>
      <c r="DL248" s="40" t="inlineStr">
        <is>
          <t>CHOOSE RATING</t>
        </is>
      </c>
      <c r="DM248" s="40" t="inlineStr">
        <is>
          <t>CHOOSE RATING</t>
        </is>
      </c>
      <c r="DN248" s="40" t="inlineStr">
        <is>
          <t>CHOOSE RATING</t>
        </is>
      </c>
      <c r="DO248" s="40" t="inlineStr">
        <is>
          <t>CHOOSE RATING</t>
        </is>
      </c>
      <c r="DP248" s="40" t="inlineStr">
        <is>
          <t>CHOOSE RATING</t>
        </is>
      </c>
      <c r="DQ248" s="40" t="inlineStr">
        <is>
          <t>CHOOSE RATING</t>
        </is>
      </c>
      <c r="DR248" s="43" t="inlineStr">
        <is>
          <t>2024/2025</t>
        </is>
      </c>
      <c r="DS248" s="45" t="inlineStr">
        <is>
          <t>THIRD</t>
        </is>
      </c>
      <c r="DT248" s="40" t="inlineStr">
        <is>
          <t>CHOOSE RATING</t>
        </is>
      </c>
      <c r="DU248" s="40" t="inlineStr">
        <is>
          <t>CHOOSE RATING</t>
        </is>
      </c>
      <c r="DV248" s="40" t="inlineStr">
        <is>
          <t>CHOOSE RATING</t>
        </is>
      </c>
      <c r="DW248" s="40" t="inlineStr">
        <is>
          <t>CHOOSE RATING</t>
        </is>
      </c>
      <c r="DX248" s="40" t="inlineStr">
        <is>
          <t>CHOOSE RATING</t>
        </is>
      </c>
      <c r="DY248" s="40" t="inlineStr">
        <is>
          <t>CHOOSE RATING</t>
        </is>
      </c>
      <c r="DZ248" s="53" t="inlineStr">
        <is>
          <t>CHOOSE RATING</t>
        </is>
      </c>
      <c r="EA248" s="54" t="inlineStr">
        <is>
          <t>Add the Tutor's Comment . . .</t>
        </is>
      </c>
      <c r="EB248" s="55" t="inlineStr">
        <is>
          <t>Choose Principals comment</t>
        </is>
      </c>
      <c r="EC248" s="56" t="n"/>
      <c r="ED248" s="57" t="inlineStr">
        <is>
          <t>Next Term Begins on Monday, 22nd September, 2025</t>
        </is>
      </c>
    </row>
    <row r="249" ht="30.6" customHeight="1" s="6">
      <c r="A249" s="18" t="n">
        <v>246</v>
      </c>
      <c r="B249" s="19" t="n"/>
      <c r="C249" s="20" t="n"/>
      <c r="D249" s="128" t="n"/>
      <c r="E249" s="21" t="n"/>
      <c r="F249" s="22" t="n"/>
      <c r="G249" s="22" t="n"/>
      <c r="H249" s="22" t="n"/>
      <c r="I249" s="26">
        <f>G249-H249</f>
        <v/>
      </c>
      <c r="J249" s="21" t="n"/>
      <c r="K249" s="21" t="n"/>
      <c r="L249" s="27">
        <f>SUM(J249:K249)</f>
        <v/>
      </c>
      <c r="M249" s="28" t="n"/>
      <c r="N249" s="28" t="n"/>
      <c r="O249" s="29">
        <f>IF(AND(L249=0,M249=0,N249=0),0,IF(AND(L249=0,M249=0),N249/1,IF(AND(L249=0,N249=0),M249/1,IF(AND(M249=0,N249=0),L249/1,IF(L249=0,FLOOR((M249+N249)/2,0.1),IF(M249=0,(L249+N249)/2,IF(N249=0,(M249+L249)/2,FLOOR(((L249+M249+N249)/3),0.1))))))))</f>
        <v/>
      </c>
      <c r="P249" s="21" t="n"/>
      <c r="Q249" s="21" t="n"/>
      <c r="R249" s="27">
        <f>SUM(P249:Q249)</f>
        <v/>
      </c>
      <c r="S249" s="28" t="n"/>
      <c r="T249" s="28" t="n"/>
      <c r="U249" s="29">
        <f>IF(AND(R249=0,S249=0,T249=0),0,IF(AND(R249=0,S249=0),T249/1,IF(AND(R249=0,T249=0),S249/1,IF(AND(S249=0,T249=0),R249/1,IF(R249=0,FLOOR((S249+T249)/2,0.1),IF(S249=0,(R249+T249)/2,IF(T249=0,(S249+R249)/2,FLOOR(((R249+S249+T249)/3),0.1))))))))</f>
        <v/>
      </c>
      <c r="V249" s="21" t="n"/>
      <c r="W249" s="21" t="n"/>
      <c r="X249" s="27">
        <f>SUM(V249:W249)</f>
        <v/>
      </c>
      <c r="Y249" s="28" t="n"/>
      <c r="Z249" s="28" t="n"/>
      <c r="AA249" s="29">
        <f>IF(AND(X249=0,Y249=0,Z249=0),0,IF(AND(X249=0,Y249=0),Z249/1,IF(AND(X249=0,Z249=0),Y249/1,IF(AND(Y249=0,Z249=0),X249/1,IF(X249=0,FLOOR((Y249+Z249)/2,0.1),IF(Y249=0,(X249+Z249)/2,IF(Z249=0,(Y249+X249)/2,FLOOR(((X249+Y249+Z249)/3),0.1))))))))</f>
        <v/>
      </c>
      <c r="AB249" s="21" t="n"/>
      <c r="AC249" s="21" t="n"/>
      <c r="AD249" s="27">
        <f>SUM(AB249:AC249)</f>
        <v/>
      </c>
      <c r="AE249" s="28" t="n"/>
      <c r="AF249" s="28" t="n"/>
      <c r="AG249" s="29">
        <f>IF(AND(AD249=0,AE249=0,AF249=0),0,IF(AND(AD249=0,AE249=0),AF249/1,IF(AND(AD249=0,AF249=0),AE249/1,IF(AND(AE249=0,AF249=0),AD249/1,IF(AD249=0,FLOOR((AE249+AF249)/2,0.1),IF(AE249=0,(AD249+AF249)/2,IF(AF249=0,(AE249+AD249)/2,FLOOR(((AD249+AE249+AF249)/3),0.1))))))))</f>
        <v/>
      </c>
      <c r="AH249" s="21" t="n"/>
      <c r="AI249" s="21" t="n"/>
      <c r="AJ249" s="27">
        <f>SUM(AH249:AI249)</f>
        <v/>
      </c>
      <c r="AK249" s="28" t="n"/>
      <c r="AL249" s="28" t="n"/>
      <c r="AM249" s="29">
        <f>IF(AND(AJ249=0,AK249=0,AL249=0),0,IF(AND(AJ249=0,AK249=0),AL249/1,IF(AND(AJ249=0,AL249=0),AK249/1,IF(AND(AK249=0,AL249=0),AJ249/1,IF(AJ249=0,FLOOR((AK249+AL249)/2,0.1),IF(AK249=0,(AJ249+AL249)/2,IF(AL249=0,(AK249+AJ249)/2,FLOOR(((AJ249+AK249+AL249)/3),0.1))))))))</f>
        <v/>
      </c>
      <c r="AN249" s="21" t="n"/>
      <c r="AO249" s="21" t="n"/>
      <c r="AP249" s="27">
        <f>SUM(AN249:AO249)</f>
        <v/>
      </c>
      <c r="AQ249" s="28" t="n"/>
      <c r="AR249" s="30" t="n"/>
      <c r="AS249" s="29">
        <f>IF(AND(AP249=0,AQ249=0,AR249=0),0,IF(AND(AP249=0,AQ249=0),AR249/1,IF(AND(AP249=0,AR249=0),AQ249/1,IF(AND(AQ249=0,AR249=0),AP249/1,IF(AP249=0,FLOOR((AQ249+AR249)/2,0.1),IF(AQ249=0,(AP249+AR249)/2,IF(AR249=0,(AQ249+AP249)/2,FLOOR(((AP249+AQ249+AR249)/3),0.1))))))))</f>
        <v/>
      </c>
      <c r="AT249" s="21" t="n"/>
      <c r="AU249" s="21" t="n"/>
      <c r="AV249" s="27">
        <f>SUM(AT249:AU249)</f>
        <v/>
      </c>
      <c r="AW249" s="28" t="n"/>
      <c r="AX249" s="30" t="n"/>
      <c r="AY249" s="29">
        <f>IF(AND(AV249=0,AW249=0,AX249=0),0,IF(AND(AV249=0,AW249=0),AX249/1,IF(AND(AV249=0,AX249=0),AW249/1,IF(AND(AW249=0,AX249=0),AV249/1,IF(AV249=0,FLOOR((AW249+AX249)/2,0.1),IF(AW249=0,(AV249+AX249)/2,IF(AX249=0,(AW249+AV249)/2,FLOOR(((AV249+AW249+AX249)/3),0.1))))))))</f>
        <v/>
      </c>
      <c r="AZ249" s="21" t="n"/>
      <c r="BA249" s="21" t="n"/>
      <c r="BB249" s="27">
        <f>SUM(AZ249:BA249)</f>
        <v/>
      </c>
      <c r="BC249" s="28" t="n"/>
      <c r="BD249" s="28" t="n"/>
      <c r="BE249" s="29">
        <f>IF(AND(BB249=0,BC249=0,BD249=0),0,IF(AND(BB249=0,BC249=0),BD249/1,IF(AND(BB249=0,BD249=0),BC249/1,IF(AND(BC249=0,BD249=0),BB249/1,IF(BB249=0,FLOOR((BC249+BD249)/2,0.1),IF(BC249=0,(BB249+BD249)/2,IF(BD249=0,(BC249+BB249)/2,FLOOR(((BB249+BC249+BD249)/3),0.1))))))))</f>
        <v/>
      </c>
      <c r="BF249" s="21" t="n"/>
      <c r="BG249" s="21" t="n"/>
      <c r="BH249" s="27">
        <f>SUM(BF249:BG249)</f>
        <v/>
      </c>
      <c r="BI249" s="28" t="n"/>
      <c r="BJ249" s="28" t="n"/>
      <c r="BK249" s="29">
        <f>IF(AND(BH249=0,BI249=0,BJ249=0),0,IF(AND(BH249=0,BI249=0),BJ249/1,IF(AND(BH249=0,BJ249=0),BI249/1,IF(AND(BI249=0,BJ249=0),BH249/1,IF(BH249=0,FLOOR((BI249+BJ249)/2,0.1),IF(BI249=0,(BH249+BJ249)/2,IF(BJ249=0,(BI249+BH249)/2,FLOOR(((BH249+BI249+BJ249)/3),0.1))))))))</f>
        <v/>
      </c>
      <c r="BL249" s="21" t="n"/>
      <c r="BM249" s="21" t="n"/>
      <c r="BN249" s="27">
        <f>SUM(BL249:BM249)</f>
        <v/>
      </c>
      <c r="BO249" s="28" t="n"/>
      <c r="BP249" s="31" t="n"/>
      <c r="BQ249" s="29">
        <f>IF(AND(BN249=0,BO249=0,BP249=0),0,IF(AND(BN249=0,BO249=0),BP249/1,IF(AND(BN249=0,BP249=0),BO249/1,IF(AND(BO249=0,BP249=0),BN249/1,IF(BN249=0,FLOOR((BO249+BP249)/2,0.1),IF(BO249=0,(BN249+BP249)/2,IF(BP249=0,(BO249+BN249)/2,FLOOR(((BN249+BO249+BP249)/3),0.1))))))))</f>
        <v/>
      </c>
      <c r="BR249" s="21" t="n"/>
      <c r="BS249" s="21" t="n"/>
      <c r="BT249" s="27">
        <f>SUM(BR249:BS249)</f>
        <v/>
      </c>
      <c r="BU249" s="28" t="n"/>
      <c r="BV249" s="31" t="n"/>
      <c r="BW249" s="29">
        <f>IF(AND(BT249=0,BU249=0,BV249=0),0,IF(AND(BT249=0,BU249=0),BV249/1,IF(AND(BT249=0,BV249=0),BU249/1,IF(AND(BU249=0,BV249=0),BT249/1,IF(BT249=0,FLOOR((BU249+BV249)/2,0.1),IF(BU249=0,(BT249+BV249)/2,IF(BV249=0,(BU249+BT249)/2,FLOOR(((BT249+BU249+BV249)/3),0.1))))))))</f>
        <v/>
      </c>
      <c r="BX249" s="21" t="n"/>
      <c r="BY249" s="21" t="n"/>
      <c r="BZ249" s="27">
        <f>SUM(BX249:BY249)</f>
        <v/>
      </c>
      <c r="CA249" s="28" t="n"/>
      <c r="CB249" s="31" t="n"/>
      <c r="CC249" s="29">
        <f>IF(AND(BZ249=0,CA249=0,CB249=0),0,IF(AND(BZ249=0,CA249=0),CB249/1,IF(AND(BZ249=0,CB249=0),CA249/1,IF(AND(CA249=0,CB249=0),BZ249/1,IF(BZ249=0,FLOOR((CA249+CB249)/2,0.1),IF(CA249=0,(BZ249+CB249)/2,IF(CB249=0,(CA249+BZ249)/2,FLOOR(((BZ249+CA249+CB249)/3),0.1))))))))</f>
        <v/>
      </c>
      <c r="CD249" s="21" t="n"/>
      <c r="CE249" s="21" t="n"/>
      <c r="CF249" s="27">
        <f>SUM(CD249:CE249)</f>
        <v/>
      </c>
      <c r="CG249" s="28" t="n"/>
      <c r="CH249" s="31" t="n"/>
      <c r="CI249" s="29">
        <f>IF(AND(CF249=0,CG249=0,CH249=0),0,IF(AND(CF249=0,CG249=0),CH249/1,IF(AND(CF249=0,CH249=0),CG249/1,IF(AND(CG249=0,CH249=0),CF249/1,IF(CF249=0,FLOOR((CG249+CH249)/2,0.1),IF(CG249=0,(CF249+CH249)/2,IF(CH249=0,(CG249+CF249)/2,FLOOR(((CF249+CG249+CH249)/3),0.1))))))))</f>
        <v/>
      </c>
      <c r="CJ249" s="21" t="n"/>
      <c r="CK249" s="21" t="n"/>
      <c r="CL249" s="27">
        <f>SUM(CJ249:CK249)</f>
        <v/>
      </c>
      <c r="CM249" s="28" t="n"/>
      <c r="CN249" s="31" t="n"/>
      <c r="CO249" s="29">
        <f>IF(AND(CL249=0,CM249=0,CN249=0),0,IF(AND(CL249=0,CM249=0),CN249/1,IF(AND(CL249=0,CN249=0),CM249/1,IF(AND(CM249=0,CN249=0),CL249/1,IF(CL249=0,FLOOR((CM249+CN249)/2,0.1),IF(CM249=0,(CL249+CN249)/2,IF(CN249=0,(CM249+CL249)/2,FLOOR(((CL249+CM249+CN249)/3),0.1))))))))</f>
        <v/>
      </c>
      <c r="CP249" s="21" t="n"/>
      <c r="CQ249" s="21" t="n"/>
      <c r="CR249" s="27">
        <f>SUM(CP249:CQ249)</f>
        <v/>
      </c>
      <c r="CS249" s="28" t="n"/>
      <c r="CT249" s="31" t="n"/>
      <c r="CU249" s="29">
        <f>IF(AND(CR249=0,CS249=0,CT249=0),0,IF(AND(CR249=0,CS249=0),CT249/1,IF(AND(CR249=0,CT249=0),CS249/1,IF(AND(CS249=0,CT249=0),CR249/1,IF(CR249=0,FLOOR((CS249+CT249)/2,0.1),IF(CS249=0,(CR249+CT249)/2,IF(CT249=0,(CS249+CR249)/2,FLOOR(((CR249+CS249+CT249)/3),0.1))))))))</f>
        <v/>
      </c>
      <c r="CV249" s="21" t="n"/>
      <c r="CW249" s="21" t="n"/>
      <c r="CX249" s="27">
        <f>SUM(CV249:CW249)</f>
        <v/>
      </c>
      <c r="CY249" s="28" t="n"/>
      <c r="CZ249" s="31" t="n"/>
      <c r="DA249" s="29">
        <f>IF(AND(CX249=0,CY249=0,CZ249=0),0,IF(AND(CX249=0,CY249=0),CZ249/1,IF(AND(CX249=0,CZ249=0),CY249/1,IF(AND(CY249=0,CZ249=0),CX249/1,IF(CX249=0,FLOOR((CY249+CZ249)/2,0.1),IF(CY249=0,(CX249+CZ249)/2,IF(CZ249=0,(CY249+CX249)/2,FLOOR(((CX249+CY249+CZ249)/3),0.1))))))))</f>
        <v/>
      </c>
      <c r="DB249" s="21" t="n"/>
      <c r="DC249" s="21" t="n"/>
      <c r="DD249" s="27">
        <f>SUM(DB249:DC249)</f>
        <v/>
      </c>
      <c r="DE249" s="28" t="n"/>
      <c r="DF249" s="31" t="n"/>
      <c r="DG249" s="29">
        <f>IF(AND(DD249=0,DE249=0,DF249=0),0,IF(AND(DD249=0,DE249=0),DF249/1,IF(AND(DD249=0,DF249=0),DE249/1,IF(AND(DE249=0,DF249=0),DD249/1,IF(DD249=0,FLOOR((DE249+DF249)/2,0.1),IF(DE249=0,(DD249+DF249)/2,IF(DF249=0,(DE249+DD249)/2,FLOOR(((DD249+DE249+DF249)/3),0.1))))))))</f>
        <v/>
      </c>
      <c r="DH249" s="34">
        <f>SUM(O249,U249,AA249,AG249,AM249,AS249,AY249,BE249,BK249,BQ249,BW249,CC249,CI249,CO249,CU249,DA249,DG249)</f>
        <v/>
      </c>
      <c r="DI249" s="39">
        <f>RANK(DH249,DH$4:DH$503)</f>
        <v/>
      </c>
      <c r="DJ249" s="40" t="inlineStr">
        <is>
          <t>CHOOSE RATING</t>
        </is>
      </c>
      <c r="DK249" s="40" t="inlineStr">
        <is>
          <t>CHOOSE RATING</t>
        </is>
      </c>
      <c r="DL249" s="40" t="inlineStr">
        <is>
          <t>CHOOSE RATING</t>
        </is>
      </c>
      <c r="DM249" s="40" t="inlineStr">
        <is>
          <t>CHOOSE RATING</t>
        </is>
      </c>
      <c r="DN249" s="40" t="inlineStr">
        <is>
          <t>CHOOSE RATING</t>
        </is>
      </c>
      <c r="DO249" s="40" t="inlineStr">
        <is>
          <t>CHOOSE RATING</t>
        </is>
      </c>
      <c r="DP249" s="40" t="inlineStr">
        <is>
          <t>CHOOSE RATING</t>
        </is>
      </c>
      <c r="DQ249" s="40" t="inlineStr">
        <is>
          <t>CHOOSE RATING</t>
        </is>
      </c>
      <c r="DR249" s="43" t="inlineStr">
        <is>
          <t>2024/2025</t>
        </is>
      </c>
      <c r="DS249" s="45" t="inlineStr">
        <is>
          <t>THIRD</t>
        </is>
      </c>
      <c r="DT249" s="40" t="inlineStr">
        <is>
          <t>CHOOSE RATING</t>
        </is>
      </c>
      <c r="DU249" s="40" t="inlineStr">
        <is>
          <t>CHOOSE RATING</t>
        </is>
      </c>
      <c r="DV249" s="40" t="inlineStr">
        <is>
          <t>CHOOSE RATING</t>
        </is>
      </c>
      <c r="DW249" s="40" t="inlineStr">
        <is>
          <t>CHOOSE RATING</t>
        </is>
      </c>
      <c r="DX249" s="40" t="inlineStr">
        <is>
          <t>CHOOSE RATING</t>
        </is>
      </c>
      <c r="DY249" s="40" t="inlineStr">
        <is>
          <t>CHOOSE RATING</t>
        </is>
      </c>
      <c r="DZ249" s="53" t="inlineStr">
        <is>
          <t>CHOOSE RATING</t>
        </is>
      </c>
      <c r="EA249" s="54" t="inlineStr">
        <is>
          <t>Add the Tutor's Comment . . .</t>
        </is>
      </c>
      <c r="EB249" s="55" t="inlineStr">
        <is>
          <t>Choose Principals comment</t>
        </is>
      </c>
      <c r="EC249" s="56" t="n"/>
      <c r="ED249" s="57" t="inlineStr">
        <is>
          <t>Next Term Begins on Monday, 22nd September, 2025</t>
        </is>
      </c>
    </row>
    <row r="250" ht="30.6" customHeight="1" s="6">
      <c r="A250" s="18" t="n">
        <v>247</v>
      </c>
      <c r="B250" s="19" t="n"/>
      <c r="C250" s="20" t="n"/>
      <c r="D250" s="128" t="n"/>
      <c r="E250" s="21" t="n"/>
      <c r="F250" s="22" t="n"/>
      <c r="G250" s="22" t="n"/>
      <c r="H250" s="22" t="n"/>
      <c r="I250" s="26">
        <f>G250-H250</f>
        <v/>
      </c>
      <c r="J250" s="21" t="n"/>
      <c r="K250" s="21" t="n"/>
      <c r="L250" s="27">
        <f>SUM(J250:K250)</f>
        <v/>
      </c>
      <c r="M250" s="28" t="n"/>
      <c r="N250" s="28" t="n"/>
      <c r="O250" s="29">
        <f>IF(AND(L250=0,M250=0,N250=0),0,IF(AND(L250=0,M250=0),N250/1,IF(AND(L250=0,N250=0),M250/1,IF(AND(M250=0,N250=0),L250/1,IF(L250=0,FLOOR((M250+N250)/2,0.1),IF(M250=0,(L250+N250)/2,IF(N250=0,(M250+L250)/2,FLOOR(((L250+M250+N250)/3),0.1))))))))</f>
        <v/>
      </c>
      <c r="P250" s="21" t="n"/>
      <c r="Q250" s="21" t="n"/>
      <c r="R250" s="27">
        <f>SUM(P250:Q250)</f>
        <v/>
      </c>
      <c r="S250" s="28" t="n"/>
      <c r="T250" s="28" t="n"/>
      <c r="U250" s="29">
        <f>IF(AND(R250=0,S250=0,T250=0),0,IF(AND(R250=0,S250=0),T250/1,IF(AND(R250=0,T250=0),S250/1,IF(AND(S250=0,T250=0),R250/1,IF(R250=0,FLOOR((S250+T250)/2,0.1),IF(S250=0,(R250+T250)/2,IF(T250=0,(S250+R250)/2,FLOOR(((R250+S250+T250)/3),0.1))))))))</f>
        <v/>
      </c>
      <c r="V250" s="21" t="n"/>
      <c r="W250" s="21" t="n"/>
      <c r="X250" s="27">
        <f>SUM(V250:W250)</f>
        <v/>
      </c>
      <c r="Y250" s="28" t="n"/>
      <c r="Z250" s="28" t="n"/>
      <c r="AA250" s="29">
        <f>IF(AND(X250=0,Y250=0,Z250=0),0,IF(AND(X250=0,Y250=0),Z250/1,IF(AND(X250=0,Z250=0),Y250/1,IF(AND(Y250=0,Z250=0),X250/1,IF(X250=0,FLOOR((Y250+Z250)/2,0.1),IF(Y250=0,(X250+Z250)/2,IF(Z250=0,(Y250+X250)/2,FLOOR(((X250+Y250+Z250)/3),0.1))))))))</f>
        <v/>
      </c>
      <c r="AB250" s="21" t="n"/>
      <c r="AC250" s="21" t="n"/>
      <c r="AD250" s="27">
        <f>SUM(AB250:AC250)</f>
        <v/>
      </c>
      <c r="AE250" s="28" t="n"/>
      <c r="AF250" s="28" t="n"/>
      <c r="AG250" s="29">
        <f>IF(AND(AD250=0,AE250=0,AF250=0),0,IF(AND(AD250=0,AE250=0),AF250/1,IF(AND(AD250=0,AF250=0),AE250/1,IF(AND(AE250=0,AF250=0),AD250/1,IF(AD250=0,FLOOR((AE250+AF250)/2,0.1),IF(AE250=0,(AD250+AF250)/2,IF(AF250=0,(AE250+AD250)/2,FLOOR(((AD250+AE250+AF250)/3),0.1))))))))</f>
        <v/>
      </c>
      <c r="AH250" s="21" t="n"/>
      <c r="AI250" s="21" t="n"/>
      <c r="AJ250" s="27">
        <f>SUM(AH250:AI250)</f>
        <v/>
      </c>
      <c r="AK250" s="28" t="n"/>
      <c r="AL250" s="28" t="n"/>
      <c r="AM250" s="29">
        <f>IF(AND(AJ250=0,AK250=0,AL250=0),0,IF(AND(AJ250=0,AK250=0),AL250/1,IF(AND(AJ250=0,AL250=0),AK250/1,IF(AND(AK250=0,AL250=0),AJ250/1,IF(AJ250=0,FLOOR((AK250+AL250)/2,0.1),IF(AK250=0,(AJ250+AL250)/2,IF(AL250=0,(AK250+AJ250)/2,FLOOR(((AJ250+AK250+AL250)/3),0.1))))))))</f>
        <v/>
      </c>
      <c r="AN250" s="21" t="n"/>
      <c r="AO250" s="21" t="n"/>
      <c r="AP250" s="27">
        <f>SUM(AN250:AO250)</f>
        <v/>
      </c>
      <c r="AQ250" s="28" t="n"/>
      <c r="AR250" s="30" t="n"/>
      <c r="AS250" s="29">
        <f>IF(AND(AP250=0,AQ250=0,AR250=0),0,IF(AND(AP250=0,AQ250=0),AR250/1,IF(AND(AP250=0,AR250=0),AQ250/1,IF(AND(AQ250=0,AR250=0),AP250/1,IF(AP250=0,FLOOR((AQ250+AR250)/2,0.1),IF(AQ250=0,(AP250+AR250)/2,IF(AR250=0,(AQ250+AP250)/2,FLOOR(((AP250+AQ250+AR250)/3),0.1))))))))</f>
        <v/>
      </c>
      <c r="AT250" s="21" t="n"/>
      <c r="AU250" s="21" t="n"/>
      <c r="AV250" s="27">
        <f>SUM(AT250:AU250)</f>
        <v/>
      </c>
      <c r="AW250" s="28" t="n"/>
      <c r="AX250" s="30" t="n"/>
      <c r="AY250" s="29">
        <f>IF(AND(AV250=0,AW250=0,AX250=0),0,IF(AND(AV250=0,AW250=0),AX250/1,IF(AND(AV250=0,AX250=0),AW250/1,IF(AND(AW250=0,AX250=0),AV250/1,IF(AV250=0,FLOOR((AW250+AX250)/2,0.1),IF(AW250=0,(AV250+AX250)/2,IF(AX250=0,(AW250+AV250)/2,FLOOR(((AV250+AW250+AX250)/3),0.1))))))))</f>
        <v/>
      </c>
      <c r="AZ250" s="21" t="n"/>
      <c r="BA250" s="21" t="n"/>
      <c r="BB250" s="27">
        <f>SUM(AZ250:BA250)</f>
        <v/>
      </c>
      <c r="BC250" s="28" t="n"/>
      <c r="BD250" s="28" t="n"/>
      <c r="BE250" s="29">
        <f>IF(AND(BB250=0,BC250=0,BD250=0),0,IF(AND(BB250=0,BC250=0),BD250/1,IF(AND(BB250=0,BD250=0),BC250/1,IF(AND(BC250=0,BD250=0),BB250/1,IF(BB250=0,FLOOR((BC250+BD250)/2,0.1),IF(BC250=0,(BB250+BD250)/2,IF(BD250=0,(BC250+BB250)/2,FLOOR(((BB250+BC250+BD250)/3),0.1))))))))</f>
        <v/>
      </c>
      <c r="BF250" s="21" t="n"/>
      <c r="BG250" s="21" t="n"/>
      <c r="BH250" s="27">
        <f>SUM(BF250:BG250)</f>
        <v/>
      </c>
      <c r="BI250" s="28" t="n"/>
      <c r="BJ250" s="28" t="n"/>
      <c r="BK250" s="29">
        <f>IF(AND(BH250=0,BI250=0,BJ250=0),0,IF(AND(BH250=0,BI250=0),BJ250/1,IF(AND(BH250=0,BJ250=0),BI250/1,IF(AND(BI250=0,BJ250=0),BH250/1,IF(BH250=0,FLOOR((BI250+BJ250)/2,0.1),IF(BI250=0,(BH250+BJ250)/2,IF(BJ250=0,(BI250+BH250)/2,FLOOR(((BH250+BI250+BJ250)/3),0.1))))))))</f>
        <v/>
      </c>
      <c r="BL250" s="21" t="n"/>
      <c r="BM250" s="21" t="n"/>
      <c r="BN250" s="27">
        <f>SUM(BL250:BM250)</f>
        <v/>
      </c>
      <c r="BO250" s="28" t="n"/>
      <c r="BP250" s="31" t="n"/>
      <c r="BQ250" s="29">
        <f>IF(AND(BN250=0,BO250=0,BP250=0),0,IF(AND(BN250=0,BO250=0),BP250/1,IF(AND(BN250=0,BP250=0),BO250/1,IF(AND(BO250=0,BP250=0),BN250/1,IF(BN250=0,FLOOR((BO250+BP250)/2,0.1),IF(BO250=0,(BN250+BP250)/2,IF(BP250=0,(BO250+BN250)/2,FLOOR(((BN250+BO250+BP250)/3),0.1))))))))</f>
        <v/>
      </c>
      <c r="BR250" s="21" t="n"/>
      <c r="BS250" s="21" t="n"/>
      <c r="BT250" s="27">
        <f>SUM(BR250:BS250)</f>
        <v/>
      </c>
      <c r="BU250" s="28" t="n"/>
      <c r="BV250" s="31" t="n"/>
      <c r="BW250" s="29">
        <f>IF(AND(BT250=0,BU250=0,BV250=0),0,IF(AND(BT250=0,BU250=0),BV250/1,IF(AND(BT250=0,BV250=0),BU250/1,IF(AND(BU250=0,BV250=0),BT250/1,IF(BT250=0,FLOOR((BU250+BV250)/2,0.1),IF(BU250=0,(BT250+BV250)/2,IF(BV250=0,(BU250+BT250)/2,FLOOR(((BT250+BU250+BV250)/3),0.1))))))))</f>
        <v/>
      </c>
      <c r="BX250" s="21" t="n"/>
      <c r="BY250" s="21" t="n"/>
      <c r="BZ250" s="27">
        <f>SUM(BX250:BY250)</f>
        <v/>
      </c>
      <c r="CA250" s="28" t="n"/>
      <c r="CB250" s="31" t="n"/>
      <c r="CC250" s="29">
        <f>IF(AND(BZ250=0,CA250=0,CB250=0),0,IF(AND(BZ250=0,CA250=0),CB250/1,IF(AND(BZ250=0,CB250=0),CA250/1,IF(AND(CA250=0,CB250=0),BZ250/1,IF(BZ250=0,FLOOR((CA250+CB250)/2,0.1),IF(CA250=0,(BZ250+CB250)/2,IF(CB250=0,(CA250+BZ250)/2,FLOOR(((BZ250+CA250+CB250)/3),0.1))))))))</f>
        <v/>
      </c>
      <c r="CD250" s="21" t="n"/>
      <c r="CE250" s="21" t="n"/>
      <c r="CF250" s="27">
        <f>SUM(CD250:CE250)</f>
        <v/>
      </c>
      <c r="CG250" s="28" t="n"/>
      <c r="CH250" s="31" t="n"/>
      <c r="CI250" s="29">
        <f>IF(AND(CF250=0,CG250=0,CH250=0),0,IF(AND(CF250=0,CG250=0),CH250/1,IF(AND(CF250=0,CH250=0),CG250/1,IF(AND(CG250=0,CH250=0),CF250/1,IF(CF250=0,FLOOR((CG250+CH250)/2,0.1),IF(CG250=0,(CF250+CH250)/2,IF(CH250=0,(CG250+CF250)/2,FLOOR(((CF250+CG250+CH250)/3),0.1))))))))</f>
        <v/>
      </c>
      <c r="CJ250" s="21" t="n"/>
      <c r="CK250" s="21" t="n"/>
      <c r="CL250" s="27">
        <f>SUM(CJ250:CK250)</f>
        <v/>
      </c>
      <c r="CM250" s="28" t="n"/>
      <c r="CN250" s="31" t="n"/>
      <c r="CO250" s="29">
        <f>IF(AND(CL250=0,CM250=0,CN250=0),0,IF(AND(CL250=0,CM250=0),CN250/1,IF(AND(CL250=0,CN250=0),CM250/1,IF(AND(CM250=0,CN250=0),CL250/1,IF(CL250=0,FLOOR((CM250+CN250)/2,0.1),IF(CM250=0,(CL250+CN250)/2,IF(CN250=0,(CM250+CL250)/2,FLOOR(((CL250+CM250+CN250)/3),0.1))))))))</f>
        <v/>
      </c>
      <c r="CP250" s="21" t="n"/>
      <c r="CQ250" s="21" t="n"/>
      <c r="CR250" s="27">
        <f>SUM(CP250:CQ250)</f>
        <v/>
      </c>
      <c r="CS250" s="28" t="n"/>
      <c r="CT250" s="31" t="n"/>
      <c r="CU250" s="29">
        <f>IF(AND(CR250=0,CS250=0,CT250=0),0,IF(AND(CR250=0,CS250=0),CT250/1,IF(AND(CR250=0,CT250=0),CS250/1,IF(AND(CS250=0,CT250=0),CR250/1,IF(CR250=0,FLOOR((CS250+CT250)/2,0.1),IF(CS250=0,(CR250+CT250)/2,IF(CT250=0,(CS250+CR250)/2,FLOOR(((CR250+CS250+CT250)/3),0.1))))))))</f>
        <v/>
      </c>
      <c r="CV250" s="21" t="n"/>
      <c r="CW250" s="21" t="n"/>
      <c r="CX250" s="27">
        <f>SUM(CV250:CW250)</f>
        <v/>
      </c>
      <c r="CY250" s="28" t="n"/>
      <c r="CZ250" s="31" t="n"/>
      <c r="DA250" s="29">
        <f>IF(AND(CX250=0,CY250=0,CZ250=0),0,IF(AND(CX250=0,CY250=0),CZ250/1,IF(AND(CX250=0,CZ250=0),CY250/1,IF(AND(CY250=0,CZ250=0),CX250/1,IF(CX250=0,FLOOR((CY250+CZ250)/2,0.1),IF(CY250=0,(CX250+CZ250)/2,IF(CZ250=0,(CY250+CX250)/2,FLOOR(((CX250+CY250+CZ250)/3),0.1))))))))</f>
        <v/>
      </c>
      <c r="DB250" s="21" t="n"/>
      <c r="DC250" s="21" t="n"/>
      <c r="DD250" s="27">
        <f>SUM(DB250:DC250)</f>
        <v/>
      </c>
      <c r="DE250" s="28" t="n"/>
      <c r="DF250" s="31" t="n"/>
      <c r="DG250" s="29">
        <f>IF(AND(DD250=0,DE250=0,DF250=0),0,IF(AND(DD250=0,DE250=0),DF250/1,IF(AND(DD250=0,DF250=0),DE250/1,IF(AND(DE250=0,DF250=0),DD250/1,IF(DD250=0,FLOOR((DE250+DF250)/2,0.1),IF(DE250=0,(DD250+DF250)/2,IF(DF250=0,(DE250+DD250)/2,FLOOR(((DD250+DE250+DF250)/3),0.1))))))))</f>
        <v/>
      </c>
      <c r="DH250" s="34">
        <f>SUM(O250,U250,AA250,AG250,AM250,AS250,AY250,BE250,BK250,BQ250,BW250,CC250,CI250,CO250,CU250,DA250,DG250)</f>
        <v/>
      </c>
      <c r="DI250" s="39">
        <f>RANK(DH250,DH$4:DH$503)</f>
        <v/>
      </c>
      <c r="DJ250" s="40" t="inlineStr">
        <is>
          <t>CHOOSE RATING</t>
        </is>
      </c>
      <c r="DK250" s="40" t="inlineStr">
        <is>
          <t>CHOOSE RATING</t>
        </is>
      </c>
      <c r="DL250" s="40" t="inlineStr">
        <is>
          <t>CHOOSE RATING</t>
        </is>
      </c>
      <c r="DM250" s="40" t="inlineStr">
        <is>
          <t>CHOOSE RATING</t>
        </is>
      </c>
      <c r="DN250" s="40" t="inlineStr">
        <is>
          <t>CHOOSE RATING</t>
        </is>
      </c>
      <c r="DO250" s="40" t="inlineStr">
        <is>
          <t>CHOOSE RATING</t>
        </is>
      </c>
      <c r="DP250" s="40" t="inlineStr">
        <is>
          <t>CHOOSE RATING</t>
        </is>
      </c>
      <c r="DQ250" s="40" t="inlineStr">
        <is>
          <t>CHOOSE RATING</t>
        </is>
      </c>
      <c r="DR250" s="43" t="inlineStr">
        <is>
          <t>2024/2025</t>
        </is>
      </c>
      <c r="DS250" s="45" t="inlineStr">
        <is>
          <t>THIRD</t>
        </is>
      </c>
      <c r="DT250" s="40" t="inlineStr">
        <is>
          <t>CHOOSE RATING</t>
        </is>
      </c>
      <c r="DU250" s="40" t="inlineStr">
        <is>
          <t>CHOOSE RATING</t>
        </is>
      </c>
      <c r="DV250" s="40" t="inlineStr">
        <is>
          <t>CHOOSE RATING</t>
        </is>
      </c>
      <c r="DW250" s="40" t="inlineStr">
        <is>
          <t>CHOOSE RATING</t>
        </is>
      </c>
      <c r="DX250" s="40" t="inlineStr">
        <is>
          <t>CHOOSE RATING</t>
        </is>
      </c>
      <c r="DY250" s="40" t="inlineStr">
        <is>
          <t>CHOOSE RATING</t>
        </is>
      </c>
      <c r="DZ250" s="53" t="inlineStr">
        <is>
          <t>CHOOSE RATING</t>
        </is>
      </c>
      <c r="EA250" s="54" t="inlineStr">
        <is>
          <t>Add the Tutor's Comment . . .</t>
        </is>
      </c>
      <c r="EB250" s="55" t="inlineStr">
        <is>
          <t>Choose Principals comment</t>
        </is>
      </c>
      <c r="EC250" s="56" t="n"/>
      <c r="ED250" s="57" t="inlineStr">
        <is>
          <t>Next Term Begins on Monday, 22nd September, 2025</t>
        </is>
      </c>
    </row>
    <row r="251" ht="30.6" customHeight="1" s="6">
      <c r="A251" s="18" t="n">
        <v>248</v>
      </c>
      <c r="B251" s="19" t="n"/>
      <c r="C251" s="20" t="n"/>
      <c r="D251" s="128" t="n"/>
      <c r="E251" s="21" t="n"/>
      <c r="F251" s="22" t="n"/>
      <c r="G251" s="22" t="n"/>
      <c r="H251" s="22" t="n"/>
      <c r="I251" s="26">
        <f>G251-H251</f>
        <v/>
      </c>
      <c r="J251" s="21" t="n"/>
      <c r="K251" s="21" t="n"/>
      <c r="L251" s="27">
        <f>SUM(J251:K251)</f>
        <v/>
      </c>
      <c r="M251" s="28" t="n"/>
      <c r="N251" s="28" t="n"/>
      <c r="O251" s="29">
        <f>IF(AND(L251=0,M251=0,N251=0),0,IF(AND(L251=0,M251=0),N251/1,IF(AND(L251=0,N251=0),M251/1,IF(AND(M251=0,N251=0),L251/1,IF(L251=0,FLOOR((M251+N251)/2,0.1),IF(M251=0,(L251+N251)/2,IF(N251=0,(M251+L251)/2,FLOOR(((L251+M251+N251)/3),0.1))))))))</f>
        <v/>
      </c>
      <c r="P251" s="21" t="n"/>
      <c r="Q251" s="21" t="n"/>
      <c r="R251" s="27">
        <f>SUM(P251:Q251)</f>
        <v/>
      </c>
      <c r="S251" s="28" t="n"/>
      <c r="T251" s="28" t="n"/>
      <c r="U251" s="29">
        <f>IF(AND(R251=0,S251=0,T251=0),0,IF(AND(R251=0,S251=0),T251/1,IF(AND(R251=0,T251=0),S251/1,IF(AND(S251=0,T251=0),R251/1,IF(R251=0,FLOOR((S251+T251)/2,0.1),IF(S251=0,(R251+T251)/2,IF(T251=0,(S251+R251)/2,FLOOR(((R251+S251+T251)/3),0.1))))))))</f>
        <v/>
      </c>
      <c r="V251" s="21" t="n"/>
      <c r="W251" s="21" t="n"/>
      <c r="X251" s="27">
        <f>SUM(V251:W251)</f>
        <v/>
      </c>
      <c r="Y251" s="28" t="n"/>
      <c r="Z251" s="28" t="n"/>
      <c r="AA251" s="29">
        <f>IF(AND(X251=0,Y251=0,Z251=0),0,IF(AND(X251=0,Y251=0),Z251/1,IF(AND(X251=0,Z251=0),Y251/1,IF(AND(Y251=0,Z251=0),X251/1,IF(X251=0,FLOOR((Y251+Z251)/2,0.1),IF(Y251=0,(X251+Z251)/2,IF(Z251=0,(Y251+X251)/2,FLOOR(((X251+Y251+Z251)/3),0.1))))))))</f>
        <v/>
      </c>
      <c r="AB251" s="21" t="n"/>
      <c r="AC251" s="21" t="n"/>
      <c r="AD251" s="27">
        <f>SUM(AB251:AC251)</f>
        <v/>
      </c>
      <c r="AE251" s="28" t="n"/>
      <c r="AF251" s="28" t="n"/>
      <c r="AG251" s="29">
        <f>IF(AND(AD251=0,AE251=0,AF251=0),0,IF(AND(AD251=0,AE251=0),AF251/1,IF(AND(AD251=0,AF251=0),AE251/1,IF(AND(AE251=0,AF251=0),AD251/1,IF(AD251=0,FLOOR((AE251+AF251)/2,0.1),IF(AE251=0,(AD251+AF251)/2,IF(AF251=0,(AE251+AD251)/2,FLOOR(((AD251+AE251+AF251)/3),0.1))))))))</f>
        <v/>
      </c>
      <c r="AH251" s="21" t="n"/>
      <c r="AI251" s="21" t="n"/>
      <c r="AJ251" s="27">
        <f>SUM(AH251:AI251)</f>
        <v/>
      </c>
      <c r="AK251" s="28" t="n"/>
      <c r="AL251" s="28" t="n"/>
      <c r="AM251" s="29">
        <f>IF(AND(AJ251=0,AK251=0,AL251=0),0,IF(AND(AJ251=0,AK251=0),AL251/1,IF(AND(AJ251=0,AL251=0),AK251/1,IF(AND(AK251=0,AL251=0),AJ251/1,IF(AJ251=0,FLOOR((AK251+AL251)/2,0.1),IF(AK251=0,(AJ251+AL251)/2,IF(AL251=0,(AK251+AJ251)/2,FLOOR(((AJ251+AK251+AL251)/3),0.1))))))))</f>
        <v/>
      </c>
      <c r="AN251" s="21" t="n"/>
      <c r="AO251" s="21" t="n"/>
      <c r="AP251" s="27">
        <f>SUM(AN251:AO251)</f>
        <v/>
      </c>
      <c r="AQ251" s="28" t="n"/>
      <c r="AR251" s="30" t="n"/>
      <c r="AS251" s="29">
        <f>IF(AND(AP251=0,AQ251=0,AR251=0),0,IF(AND(AP251=0,AQ251=0),AR251/1,IF(AND(AP251=0,AR251=0),AQ251/1,IF(AND(AQ251=0,AR251=0),AP251/1,IF(AP251=0,FLOOR((AQ251+AR251)/2,0.1),IF(AQ251=0,(AP251+AR251)/2,IF(AR251=0,(AQ251+AP251)/2,FLOOR(((AP251+AQ251+AR251)/3),0.1))))))))</f>
        <v/>
      </c>
      <c r="AT251" s="21" t="n"/>
      <c r="AU251" s="21" t="n"/>
      <c r="AV251" s="27">
        <f>SUM(AT251:AU251)</f>
        <v/>
      </c>
      <c r="AW251" s="28" t="n"/>
      <c r="AX251" s="30" t="n"/>
      <c r="AY251" s="29">
        <f>IF(AND(AV251=0,AW251=0,AX251=0),0,IF(AND(AV251=0,AW251=0),AX251/1,IF(AND(AV251=0,AX251=0),AW251/1,IF(AND(AW251=0,AX251=0),AV251/1,IF(AV251=0,FLOOR((AW251+AX251)/2,0.1),IF(AW251=0,(AV251+AX251)/2,IF(AX251=0,(AW251+AV251)/2,FLOOR(((AV251+AW251+AX251)/3),0.1))))))))</f>
        <v/>
      </c>
      <c r="AZ251" s="21" t="n"/>
      <c r="BA251" s="21" t="n"/>
      <c r="BB251" s="27">
        <f>SUM(AZ251:BA251)</f>
        <v/>
      </c>
      <c r="BC251" s="28" t="n"/>
      <c r="BD251" s="28" t="n"/>
      <c r="BE251" s="29">
        <f>IF(AND(BB251=0,BC251=0,BD251=0),0,IF(AND(BB251=0,BC251=0),BD251/1,IF(AND(BB251=0,BD251=0),BC251/1,IF(AND(BC251=0,BD251=0),BB251/1,IF(BB251=0,FLOOR((BC251+BD251)/2,0.1),IF(BC251=0,(BB251+BD251)/2,IF(BD251=0,(BC251+BB251)/2,FLOOR(((BB251+BC251+BD251)/3),0.1))))))))</f>
        <v/>
      </c>
      <c r="BF251" s="21" t="n"/>
      <c r="BG251" s="21" t="n"/>
      <c r="BH251" s="27">
        <f>SUM(BF251:BG251)</f>
        <v/>
      </c>
      <c r="BI251" s="28" t="n"/>
      <c r="BJ251" s="28" t="n"/>
      <c r="BK251" s="29">
        <f>IF(AND(BH251=0,BI251=0,BJ251=0),0,IF(AND(BH251=0,BI251=0),BJ251/1,IF(AND(BH251=0,BJ251=0),BI251/1,IF(AND(BI251=0,BJ251=0),BH251/1,IF(BH251=0,FLOOR((BI251+BJ251)/2,0.1),IF(BI251=0,(BH251+BJ251)/2,IF(BJ251=0,(BI251+BH251)/2,FLOOR(((BH251+BI251+BJ251)/3),0.1))))))))</f>
        <v/>
      </c>
      <c r="BL251" s="21" t="n"/>
      <c r="BM251" s="21" t="n"/>
      <c r="BN251" s="27">
        <f>SUM(BL251:BM251)</f>
        <v/>
      </c>
      <c r="BO251" s="28" t="n"/>
      <c r="BP251" s="31" t="n"/>
      <c r="BQ251" s="29">
        <f>IF(AND(BN251=0,BO251=0,BP251=0),0,IF(AND(BN251=0,BO251=0),BP251/1,IF(AND(BN251=0,BP251=0),BO251/1,IF(AND(BO251=0,BP251=0),BN251/1,IF(BN251=0,FLOOR((BO251+BP251)/2,0.1),IF(BO251=0,(BN251+BP251)/2,IF(BP251=0,(BO251+BN251)/2,FLOOR(((BN251+BO251+BP251)/3),0.1))))))))</f>
        <v/>
      </c>
      <c r="BR251" s="21" t="n"/>
      <c r="BS251" s="21" t="n"/>
      <c r="BT251" s="27">
        <f>SUM(BR251:BS251)</f>
        <v/>
      </c>
      <c r="BU251" s="28" t="n"/>
      <c r="BV251" s="31" t="n"/>
      <c r="BW251" s="29">
        <f>IF(AND(BT251=0,BU251=0,BV251=0),0,IF(AND(BT251=0,BU251=0),BV251/1,IF(AND(BT251=0,BV251=0),BU251/1,IF(AND(BU251=0,BV251=0),BT251/1,IF(BT251=0,FLOOR((BU251+BV251)/2,0.1),IF(BU251=0,(BT251+BV251)/2,IF(BV251=0,(BU251+BT251)/2,FLOOR(((BT251+BU251+BV251)/3),0.1))))))))</f>
        <v/>
      </c>
      <c r="BX251" s="21" t="n"/>
      <c r="BY251" s="21" t="n"/>
      <c r="BZ251" s="27">
        <f>SUM(BX251:BY251)</f>
        <v/>
      </c>
      <c r="CA251" s="28" t="n"/>
      <c r="CB251" s="31" t="n"/>
      <c r="CC251" s="29">
        <f>IF(AND(BZ251=0,CA251=0,CB251=0),0,IF(AND(BZ251=0,CA251=0),CB251/1,IF(AND(BZ251=0,CB251=0),CA251/1,IF(AND(CA251=0,CB251=0),BZ251/1,IF(BZ251=0,FLOOR((CA251+CB251)/2,0.1),IF(CA251=0,(BZ251+CB251)/2,IF(CB251=0,(CA251+BZ251)/2,FLOOR(((BZ251+CA251+CB251)/3),0.1))))))))</f>
        <v/>
      </c>
      <c r="CD251" s="21" t="n"/>
      <c r="CE251" s="21" t="n"/>
      <c r="CF251" s="27">
        <f>SUM(CD251:CE251)</f>
        <v/>
      </c>
      <c r="CG251" s="28" t="n"/>
      <c r="CH251" s="31" t="n"/>
      <c r="CI251" s="29">
        <f>IF(AND(CF251=0,CG251=0,CH251=0),0,IF(AND(CF251=0,CG251=0),CH251/1,IF(AND(CF251=0,CH251=0),CG251/1,IF(AND(CG251=0,CH251=0),CF251/1,IF(CF251=0,FLOOR((CG251+CH251)/2,0.1),IF(CG251=0,(CF251+CH251)/2,IF(CH251=0,(CG251+CF251)/2,FLOOR(((CF251+CG251+CH251)/3),0.1))))))))</f>
        <v/>
      </c>
      <c r="CJ251" s="21" t="n"/>
      <c r="CK251" s="21" t="n"/>
      <c r="CL251" s="27">
        <f>SUM(CJ251:CK251)</f>
        <v/>
      </c>
      <c r="CM251" s="28" t="n"/>
      <c r="CN251" s="31" t="n"/>
      <c r="CO251" s="29">
        <f>IF(AND(CL251=0,CM251=0,CN251=0),0,IF(AND(CL251=0,CM251=0),CN251/1,IF(AND(CL251=0,CN251=0),CM251/1,IF(AND(CM251=0,CN251=0),CL251/1,IF(CL251=0,FLOOR((CM251+CN251)/2,0.1),IF(CM251=0,(CL251+CN251)/2,IF(CN251=0,(CM251+CL251)/2,FLOOR(((CL251+CM251+CN251)/3),0.1))))))))</f>
        <v/>
      </c>
      <c r="CP251" s="21" t="n"/>
      <c r="CQ251" s="21" t="n"/>
      <c r="CR251" s="27">
        <f>SUM(CP251:CQ251)</f>
        <v/>
      </c>
      <c r="CS251" s="28" t="n"/>
      <c r="CT251" s="31" t="n"/>
      <c r="CU251" s="29">
        <f>IF(AND(CR251=0,CS251=0,CT251=0),0,IF(AND(CR251=0,CS251=0),CT251/1,IF(AND(CR251=0,CT251=0),CS251/1,IF(AND(CS251=0,CT251=0),CR251/1,IF(CR251=0,FLOOR((CS251+CT251)/2,0.1),IF(CS251=0,(CR251+CT251)/2,IF(CT251=0,(CS251+CR251)/2,FLOOR(((CR251+CS251+CT251)/3),0.1))))))))</f>
        <v/>
      </c>
      <c r="CV251" s="21" t="n"/>
      <c r="CW251" s="21" t="n"/>
      <c r="CX251" s="27">
        <f>SUM(CV251:CW251)</f>
        <v/>
      </c>
      <c r="CY251" s="28" t="n"/>
      <c r="CZ251" s="31" t="n"/>
      <c r="DA251" s="29">
        <f>IF(AND(CX251=0,CY251=0,CZ251=0),0,IF(AND(CX251=0,CY251=0),CZ251/1,IF(AND(CX251=0,CZ251=0),CY251/1,IF(AND(CY251=0,CZ251=0),CX251/1,IF(CX251=0,FLOOR((CY251+CZ251)/2,0.1),IF(CY251=0,(CX251+CZ251)/2,IF(CZ251=0,(CY251+CX251)/2,FLOOR(((CX251+CY251+CZ251)/3),0.1))))))))</f>
        <v/>
      </c>
      <c r="DB251" s="21" t="n"/>
      <c r="DC251" s="21" t="n"/>
      <c r="DD251" s="27">
        <f>SUM(DB251:DC251)</f>
        <v/>
      </c>
      <c r="DE251" s="28" t="n"/>
      <c r="DF251" s="31" t="n"/>
      <c r="DG251" s="29">
        <f>IF(AND(DD251=0,DE251=0,DF251=0),0,IF(AND(DD251=0,DE251=0),DF251/1,IF(AND(DD251=0,DF251=0),DE251/1,IF(AND(DE251=0,DF251=0),DD251/1,IF(DD251=0,FLOOR((DE251+DF251)/2,0.1),IF(DE251=0,(DD251+DF251)/2,IF(DF251=0,(DE251+DD251)/2,FLOOR(((DD251+DE251+DF251)/3),0.1))))))))</f>
        <v/>
      </c>
      <c r="DH251" s="34">
        <f>SUM(O251,U251,AA251,AG251,AM251,AS251,AY251,BE251,BK251,BQ251,BW251,CC251,CI251,CO251,CU251,DA251,DG251)</f>
        <v/>
      </c>
      <c r="DI251" s="39">
        <f>RANK(DH251,DH$4:DH$503)</f>
        <v/>
      </c>
      <c r="DJ251" s="40" t="inlineStr">
        <is>
          <t>CHOOSE RATING</t>
        </is>
      </c>
      <c r="DK251" s="40" t="inlineStr">
        <is>
          <t>CHOOSE RATING</t>
        </is>
      </c>
      <c r="DL251" s="40" t="inlineStr">
        <is>
          <t>CHOOSE RATING</t>
        </is>
      </c>
      <c r="DM251" s="40" t="inlineStr">
        <is>
          <t>CHOOSE RATING</t>
        </is>
      </c>
      <c r="DN251" s="40" t="inlineStr">
        <is>
          <t>CHOOSE RATING</t>
        </is>
      </c>
      <c r="DO251" s="40" t="inlineStr">
        <is>
          <t>CHOOSE RATING</t>
        </is>
      </c>
      <c r="DP251" s="40" t="inlineStr">
        <is>
          <t>CHOOSE RATING</t>
        </is>
      </c>
      <c r="DQ251" s="40" t="inlineStr">
        <is>
          <t>CHOOSE RATING</t>
        </is>
      </c>
      <c r="DR251" s="43" t="inlineStr">
        <is>
          <t>2024/2025</t>
        </is>
      </c>
      <c r="DS251" s="45" t="inlineStr">
        <is>
          <t>THIRD</t>
        </is>
      </c>
      <c r="DT251" s="40" t="inlineStr">
        <is>
          <t>CHOOSE RATING</t>
        </is>
      </c>
      <c r="DU251" s="40" t="inlineStr">
        <is>
          <t>CHOOSE RATING</t>
        </is>
      </c>
      <c r="DV251" s="40" t="inlineStr">
        <is>
          <t>CHOOSE RATING</t>
        </is>
      </c>
      <c r="DW251" s="40" t="inlineStr">
        <is>
          <t>CHOOSE RATING</t>
        </is>
      </c>
      <c r="DX251" s="40" t="inlineStr">
        <is>
          <t>CHOOSE RATING</t>
        </is>
      </c>
      <c r="DY251" s="40" t="inlineStr">
        <is>
          <t>CHOOSE RATING</t>
        </is>
      </c>
      <c r="DZ251" s="53" t="inlineStr">
        <is>
          <t>CHOOSE RATING</t>
        </is>
      </c>
      <c r="EA251" s="54" t="inlineStr">
        <is>
          <t>Add the Tutor's Comment . . .</t>
        </is>
      </c>
      <c r="EB251" s="55" t="inlineStr">
        <is>
          <t>Choose Principals comment</t>
        </is>
      </c>
      <c r="EC251" s="56" t="n"/>
      <c r="ED251" s="57" t="inlineStr">
        <is>
          <t>Next Term Begins on Monday, 22nd September, 2025</t>
        </is>
      </c>
    </row>
    <row r="252" ht="30.6" customHeight="1" s="6">
      <c r="A252" s="18" t="n">
        <v>249</v>
      </c>
      <c r="B252" s="19" t="n"/>
      <c r="C252" s="20" t="n"/>
      <c r="D252" s="128" t="n"/>
      <c r="E252" s="21" t="n"/>
      <c r="F252" s="22" t="n"/>
      <c r="G252" s="22" t="n"/>
      <c r="H252" s="22" t="n"/>
      <c r="I252" s="26">
        <f>G252-H252</f>
        <v/>
      </c>
      <c r="J252" s="21" t="n"/>
      <c r="K252" s="21" t="n"/>
      <c r="L252" s="27">
        <f>SUM(J252:K252)</f>
        <v/>
      </c>
      <c r="M252" s="28" t="n"/>
      <c r="N252" s="28" t="n"/>
      <c r="O252" s="29">
        <f>IF(AND(L252=0,M252=0,N252=0),0,IF(AND(L252=0,M252=0),N252/1,IF(AND(L252=0,N252=0),M252/1,IF(AND(M252=0,N252=0),L252/1,IF(L252=0,FLOOR((M252+N252)/2,0.1),IF(M252=0,(L252+N252)/2,IF(N252=0,(M252+L252)/2,FLOOR(((L252+M252+N252)/3),0.1))))))))</f>
        <v/>
      </c>
      <c r="P252" s="21" t="n"/>
      <c r="Q252" s="21" t="n"/>
      <c r="R252" s="27">
        <f>SUM(P252:Q252)</f>
        <v/>
      </c>
      <c r="S252" s="28" t="n"/>
      <c r="T252" s="28" t="n"/>
      <c r="U252" s="29">
        <f>IF(AND(R252=0,S252=0,T252=0),0,IF(AND(R252=0,S252=0),T252/1,IF(AND(R252=0,T252=0),S252/1,IF(AND(S252=0,T252=0),R252/1,IF(R252=0,FLOOR((S252+T252)/2,0.1),IF(S252=0,(R252+T252)/2,IF(T252=0,(S252+R252)/2,FLOOR(((R252+S252+T252)/3),0.1))))))))</f>
        <v/>
      </c>
      <c r="V252" s="21" t="n"/>
      <c r="W252" s="21" t="n"/>
      <c r="X252" s="27">
        <f>SUM(V252:W252)</f>
        <v/>
      </c>
      <c r="Y252" s="28" t="n"/>
      <c r="Z252" s="28" t="n"/>
      <c r="AA252" s="29">
        <f>IF(AND(X252=0,Y252=0,Z252=0),0,IF(AND(X252=0,Y252=0),Z252/1,IF(AND(X252=0,Z252=0),Y252/1,IF(AND(Y252=0,Z252=0),X252/1,IF(X252=0,FLOOR((Y252+Z252)/2,0.1),IF(Y252=0,(X252+Z252)/2,IF(Z252=0,(Y252+X252)/2,FLOOR(((X252+Y252+Z252)/3),0.1))))))))</f>
        <v/>
      </c>
      <c r="AB252" s="21" t="n"/>
      <c r="AC252" s="21" t="n"/>
      <c r="AD252" s="27">
        <f>SUM(AB252:AC252)</f>
        <v/>
      </c>
      <c r="AE252" s="28" t="n"/>
      <c r="AF252" s="28" t="n"/>
      <c r="AG252" s="29">
        <f>IF(AND(AD252=0,AE252=0,AF252=0),0,IF(AND(AD252=0,AE252=0),AF252/1,IF(AND(AD252=0,AF252=0),AE252/1,IF(AND(AE252=0,AF252=0),AD252/1,IF(AD252=0,FLOOR((AE252+AF252)/2,0.1),IF(AE252=0,(AD252+AF252)/2,IF(AF252=0,(AE252+AD252)/2,FLOOR(((AD252+AE252+AF252)/3),0.1))))))))</f>
        <v/>
      </c>
      <c r="AH252" s="21" t="n"/>
      <c r="AI252" s="21" t="n"/>
      <c r="AJ252" s="27">
        <f>SUM(AH252:AI252)</f>
        <v/>
      </c>
      <c r="AK252" s="28" t="n"/>
      <c r="AL252" s="28" t="n"/>
      <c r="AM252" s="29">
        <f>IF(AND(AJ252=0,AK252=0,AL252=0),0,IF(AND(AJ252=0,AK252=0),AL252/1,IF(AND(AJ252=0,AL252=0),AK252/1,IF(AND(AK252=0,AL252=0),AJ252/1,IF(AJ252=0,FLOOR((AK252+AL252)/2,0.1),IF(AK252=0,(AJ252+AL252)/2,IF(AL252=0,(AK252+AJ252)/2,FLOOR(((AJ252+AK252+AL252)/3),0.1))))))))</f>
        <v/>
      </c>
      <c r="AN252" s="21" t="n"/>
      <c r="AO252" s="21" t="n"/>
      <c r="AP252" s="27">
        <f>SUM(AN252:AO252)</f>
        <v/>
      </c>
      <c r="AQ252" s="28" t="n"/>
      <c r="AR252" s="30" t="n"/>
      <c r="AS252" s="29">
        <f>IF(AND(AP252=0,AQ252=0,AR252=0),0,IF(AND(AP252=0,AQ252=0),AR252/1,IF(AND(AP252=0,AR252=0),AQ252/1,IF(AND(AQ252=0,AR252=0),AP252/1,IF(AP252=0,FLOOR((AQ252+AR252)/2,0.1),IF(AQ252=0,(AP252+AR252)/2,IF(AR252=0,(AQ252+AP252)/2,FLOOR(((AP252+AQ252+AR252)/3),0.1))))))))</f>
        <v/>
      </c>
      <c r="AT252" s="21" t="n"/>
      <c r="AU252" s="21" t="n"/>
      <c r="AV252" s="27">
        <f>SUM(AT252:AU252)</f>
        <v/>
      </c>
      <c r="AW252" s="28" t="n"/>
      <c r="AX252" s="30" t="n"/>
      <c r="AY252" s="29">
        <f>IF(AND(AV252=0,AW252=0,AX252=0),0,IF(AND(AV252=0,AW252=0),AX252/1,IF(AND(AV252=0,AX252=0),AW252/1,IF(AND(AW252=0,AX252=0),AV252/1,IF(AV252=0,FLOOR((AW252+AX252)/2,0.1),IF(AW252=0,(AV252+AX252)/2,IF(AX252=0,(AW252+AV252)/2,FLOOR(((AV252+AW252+AX252)/3),0.1))))))))</f>
        <v/>
      </c>
      <c r="AZ252" s="21" t="n"/>
      <c r="BA252" s="21" t="n"/>
      <c r="BB252" s="27">
        <f>SUM(AZ252:BA252)</f>
        <v/>
      </c>
      <c r="BC252" s="28" t="n"/>
      <c r="BD252" s="28" t="n"/>
      <c r="BE252" s="29">
        <f>IF(AND(BB252=0,BC252=0,BD252=0),0,IF(AND(BB252=0,BC252=0),BD252/1,IF(AND(BB252=0,BD252=0),BC252/1,IF(AND(BC252=0,BD252=0),BB252/1,IF(BB252=0,FLOOR((BC252+BD252)/2,0.1),IF(BC252=0,(BB252+BD252)/2,IF(BD252=0,(BC252+BB252)/2,FLOOR(((BB252+BC252+BD252)/3),0.1))))))))</f>
        <v/>
      </c>
      <c r="BF252" s="21" t="n"/>
      <c r="BG252" s="21" t="n"/>
      <c r="BH252" s="27">
        <f>SUM(BF252:BG252)</f>
        <v/>
      </c>
      <c r="BI252" s="28" t="n"/>
      <c r="BJ252" s="28" t="n"/>
      <c r="BK252" s="29">
        <f>IF(AND(BH252=0,BI252=0,BJ252=0),0,IF(AND(BH252=0,BI252=0),BJ252/1,IF(AND(BH252=0,BJ252=0),BI252/1,IF(AND(BI252=0,BJ252=0),BH252/1,IF(BH252=0,FLOOR((BI252+BJ252)/2,0.1),IF(BI252=0,(BH252+BJ252)/2,IF(BJ252=0,(BI252+BH252)/2,FLOOR(((BH252+BI252+BJ252)/3),0.1))))))))</f>
        <v/>
      </c>
      <c r="BL252" s="21" t="n"/>
      <c r="BM252" s="21" t="n"/>
      <c r="BN252" s="27">
        <f>SUM(BL252:BM252)</f>
        <v/>
      </c>
      <c r="BO252" s="28" t="n"/>
      <c r="BP252" s="31" t="n"/>
      <c r="BQ252" s="29">
        <f>IF(AND(BN252=0,BO252=0,BP252=0),0,IF(AND(BN252=0,BO252=0),BP252/1,IF(AND(BN252=0,BP252=0),BO252/1,IF(AND(BO252=0,BP252=0),BN252/1,IF(BN252=0,FLOOR((BO252+BP252)/2,0.1),IF(BO252=0,(BN252+BP252)/2,IF(BP252=0,(BO252+BN252)/2,FLOOR(((BN252+BO252+BP252)/3),0.1))))))))</f>
        <v/>
      </c>
      <c r="BR252" s="21" t="n"/>
      <c r="BS252" s="21" t="n"/>
      <c r="BT252" s="27">
        <f>SUM(BR252:BS252)</f>
        <v/>
      </c>
      <c r="BU252" s="28" t="n"/>
      <c r="BV252" s="31" t="n"/>
      <c r="BW252" s="29">
        <f>IF(AND(BT252=0,BU252=0,BV252=0),0,IF(AND(BT252=0,BU252=0),BV252/1,IF(AND(BT252=0,BV252=0),BU252/1,IF(AND(BU252=0,BV252=0),BT252/1,IF(BT252=0,FLOOR((BU252+BV252)/2,0.1),IF(BU252=0,(BT252+BV252)/2,IF(BV252=0,(BU252+BT252)/2,FLOOR(((BT252+BU252+BV252)/3),0.1))))))))</f>
        <v/>
      </c>
      <c r="BX252" s="21" t="n"/>
      <c r="BY252" s="21" t="n"/>
      <c r="BZ252" s="27">
        <f>SUM(BX252:BY252)</f>
        <v/>
      </c>
      <c r="CA252" s="28" t="n"/>
      <c r="CB252" s="31" t="n"/>
      <c r="CC252" s="29">
        <f>IF(AND(BZ252=0,CA252=0,CB252=0),0,IF(AND(BZ252=0,CA252=0),CB252/1,IF(AND(BZ252=0,CB252=0),CA252/1,IF(AND(CA252=0,CB252=0),BZ252/1,IF(BZ252=0,FLOOR((CA252+CB252)/2,0.1),IF(CA252=0,(BZ252+CB252)/2,IF(CB252=0,(CA252+BZ252)/2,FLOOR(((BZ252+CA252+CB252)/3),0.1))))))))</f>
        <v/>
      </c>
      <c r="CD252" s="21" t="n"/>
      <c r="CE252" s="21" t="n"/>
      <c r="CF252" s="27">
        <f>SUM(CD252:CE252)</f>
        <v/>
      </c>
      <c r="CG252" s="28" t="n"/>
      <c r="CH252" s="31" t="n"/>
      <c r="CI252" s="29">
        <f>IF(AND(CF252=0,CG252=0,CH252=0),0,IF(AND(CF252=0,CG252=0),CH252/1,IF(AND(CF252=0,CH252=0),CG252/1,IF(AND(CG252=0,CH252=0),CF252/1,IF(CF252=0,FLOOR((CG252+CH252)/2,0.1),IF(CG252=0,(CF252+CH252)/2,IF(CH252=0,(CG252+CF252)/2,FLOOR(((CF252+CG252+CH252)/3),0.1))))))))</f>
        <v/>
      </c>
      <c r="CJ252" s="21" t="n"/>
      <c r="CK252" s="21" t="n"/>
      <c r="CL252" s="27">
        <f>SUM(CJ252:CK252)</f>
        <v/>
      </c>
      <c r="CM252" s="28" t="n"/>
      <c r="CN252" s="31" t="n"/>
      <c r="CO252" s="29">
        <f>IF(AND(CL252=0,CM252=0,CN252=0),0,IF(AND(CL252=0,CM252=0),CN252/1,IF(AND(CL252=0,CN252=0),CM252/1,IF(AND(CM252=0,CN252=0),CL252/1,IF(CL252=0,FLOOR((CM252+CN252)/2,0.1),IF(CM252=0,(CL252+CN252)/2,IF(CN252=0,(CM252+CL252)/2,FLOOR(((CL252+CM252+CN252)/3),0.1))))))))</f>
        <v/>
      </c>
      <c r="CP252" s="21" t="n"/>
      <c r="CQ252" s="21" t="n"/>
      <c r="CR252" s="27">
        <f>SUM(CP252:CQ252)</f>
        <v/>
      </c>
      <c r="CS252" s="28" t="n"/>
      <c r="CT252" s="31" t="n"/>
      <c r="CU252" s="29">
        <f>IF(AND(CR252=0,CS252=0,CT252=0),0,IF(AND(CR252=0,CS252=0),CT252/1,IF(AND(CR252=0,CT252=0),CS252/1,IF(AND(CS252=0,CT252=0),CR252/1,IF(CR252=0,FLOOR((CS252+CT252)/2,0.1),IF(CS252=0,(CR252+CT252)/2,IF(CT252=0,(CS252+CR252)/2,FLOOR(((CR252+CS252+CT252)/3),0.1))))))))</f>
        <v/>
      </c>
      <c r="CV252" s="21" t="n"/>
      <c r="CW252" s="21" t="n"/>
      <c r="CX252" s="27">
        <f>SUM(CV252:CW252)</f>
        <v/>
      </c>
      <c r="CY252" s="28" t="n"/>
      <c r="CZ252" s="31" t="n"/>
      <c r="DA252" s="29">
        <f>IF(AND(CX252=0,CY252=0,CZ252=0),0,IF(AND(CX252=0,CY252=0),CZ252/1,IF(AND(CX252=0,CZ252=0),CY252/1,IF(AND(CY252=0,CZ252=0),CX252/1,IF(CX252=0,FLOOR((CY252+CZ252)/2,0.1),IF(CY252=0,(CX252+CZ252)/2,IF(CZ252=0,(CY252+CX252)/2,FLOOR(((CX252+CY252+CZ252)/3),0.1))))))))</f>
        <v/>
      </c>
      <c r="DB252" s="21" t="n"/>
      <c r="DC252" s="21" t="n"/>
      <c r="DD252" s="27">
        <f>SUM(DB252:DC252)</f>
        <v/>
      </c>
      <c r="DE252" s="28" t="n"/>
      <c r="DF252" s="31" t="n"/>
      <c r="DG252" s="29">
        <f>IF(AND(DD252=0,DE252=0,DF252=0),0,IF(AND(DD252=0,DE252=0),DF252/1,IF(AND(DD252=0,DF252=0),DE252/1,IF(AND(DE252=0,DF252=0),DD252/1,IF(DD252=0,FLOOR((DE252+DF252)/2,0.1),IF(DE252=0,(DD252+DF252)/2,IF(DF252=0,(DE252+DD252)/2,FLOOR(((DD252+DE252+DF252)/3),0.1))))))))</f>
        <v/>
      </c>
      <c r="DH252" s="34">
        <f>SUM(O252,U252,AA252,AG252,AM252,AS252,AY252,BE252,BK252,BQ252,BW252,CC252,CI252,CO252,CU252,DA252,DG252)</f>
        <v/>
      </c>
      <c r="DI252" s="39">
        <f>RANK(DH252,DH$4:DH$503)</f>
        <v/>
      </c>
      <c r="DJ252" s="40" t="inlineStr">
        <is>
          <t>CHOOSE RATING</t>
        </is>
      </c>
      <c r="DK252" s="40" t="inlineStr">
        <is>
          <t>CHOOSE RATING</t>
        </is>
      </c>
      <c r="DL252" s="40" t="inlineStr">
        <is>
          <t>CHOOSE RATING</t>
        </is>
      </c>
      <c r="DM252" s="40" t="inlineStr">
        <is>
          <t>CHOOSE RATING</t>
        </is>
      </c>
      <c r="DN252" s="40" t="inlineStr">
        <is>
          <t>CHOOSE RATING</t>
        </is>
      </c>
      <c r="DO252" s="40" t="inlineStr">
        <is>
          <t>CHOOSE RATING</t>
        </is>
      </c>
      <c r="DP252" s="40" t="inlineStr">
        <is>
          <t>CHOOSE RATING</t>
        </is>
      </c>
      <c r="DQ252" s="40" t="inlineStr">
        <is>
          <t>CHOOSE RATING</t>
        </is>
      </c>
      <c r="DR252" s="43" t="inlineStr">
        <is>
          <t>2024/2025</t>
        </is>
      </c>
      <c r="DS252" s="45" t="inlineStr">
        <is>
          <t>THIRD</t>
        </is>
      </c>
      <c r="DT252" s="40" t="inlineStr">
        <is>
          <t>CHOOSE RATING</t>
        </is>
      </c>
      <c r="DU252" s="40" t="inlineStr">
        <is>
          <t>CHOOSE RATING</t>
        </is>
      </c>
      <c r="DV252" s="40" t="inlineStr">
        <is>
          <t>CHOOSE RATING</t>
        </is>
      </c>
      <c r="DW252" s="40" t="inlineStr">
        <is>
          <t>CHOOSE RATING</t>
        </is>
      </c>
      <c r="DX252" s="40" t="inlineStr">
        <is>
          <t>CHOOSE RATING</t>
        </is>
      </c>
      <c r="DY252" s="40" t="inlineStr">
        <is>
          <t>CHOOSE RATING</t>
        </is>
      </c>
      <c r="DZ252" s="53" t="inlineStr">
        <is>
          <t>CHOOSE RATING</t>
        </is>
      </c>
      <c r="EA252" s="54" t="inlineStr">
        <is>
          <t>Add the Tutor's Comment . . .</t>
        </is>
      </c>
      <c r="EB252" s="55" t="inlineStr">
        <is>
          <t>Choose Principals comment</t>
        </is>
      </c>
      <c r="EC252" s="56" t="n"/>
      <c r="ED252" s="57" t="inlineStr">
        <is>
          <t>Next Term Begins on Monday, 22nd September, 2025</t>
        </is>
      </c>
    </row>
    <row r="253" ht="30.6" customHeight="1" s="6">
      <c r="A253" s="18" t="n">
        <v>250</v>
      </c>
      <c r="B253" s="19" t="n"/>
      <c r="C253" s="20" t="n"/>
      <c r="D253" s="128" t="n"/>
      <c r="E253" s="21" t="n"/>
      <c r="F253" s="22" t="n"/>
      <c r="G253" s="22" t="n"/>
      <c r="H253" s="22" t="n"/>
      <c r="I253" s="26">
        <f>G253-H253</f>
        <v/>
      </c>
      <c r="J253" s="21" t="n"/>
      <c r="K253" s="21" t="n"/>
      <c r="L253" s="27">
        <f>SUM(J253:K253)</f>
        <v/>
      </c>
      <c r="M253" s="28" t="n"/>
      <c r="N253" s="28" t="n"/>
      <c r="O253" s="29">
        <f>IF(AND(L253=0,M253=0,N253=0),0,IF(AND(L253=0,M253=0),N253/1,IF(AND(L253=0,N253=0),M253/1,IF(AND(M253=0,N253=0),L253/1,IF(L253=0,FLOOR((M253+N253)/2,0.1),IF(M253=0,(L253+N253)/2,IF(N253=0,(M253+L253)/2,FLOOR(((L253+M253+N253)/3),0.1))))))))</f>
        <v/>
      </c>
      <c r="P253" s="21" t="n"/>
      <c r="Q253" s="21" t="n"/>
      <c r="R253" s="27">
        <f>SUM(P253:Q253)</f>
        <v/>
      </c>
      <c r="S253" s="28" t="n"/>
      <c r="T253" s="28" t="n"/>
      <c r="U253" s="29">
        <f>IF(AND(R253=0,S253=0,T253=0),0,IF(AND(R253=0,S253=0),T253/1,IF(AND(R253=0,T253=0),S253/1,IF(AND(S253=0,T253=0),R253/1,IF(R253=0,FLOOR((S253+T253)/2,0.1),IF(S253=0,(R253+T253)/2,IF(T253=0,(S253+R253)/2,FLOOR(((R253+S253+T253)/3),0.1))))))))</f>
        <v/>
      </c>
      <c r="V253" s="21" t="n"/>
      <c r="W253" s="21" t="n"/>
      <c r="X253" s="27">
        <f>SUM(V253:W253)</f>
        <v/>
      </c>
      <c r="Y253" s="28" t="n"/>
      <c r="Z253" s="28" t="n"/>
      <c r="AA253" s="29">
        <f>IF(AND(X253=0,Y253=0,Z253=0),0,IF(AND(X253=0,Y253=0),Z253/1,IF(AND(X253=0,Z253=0),Y253/1,IF(AND(Y253=0,Z253=0),X253/1,IF(X253=0,FLOOR((Y253+Z253)/2,0.1),IF(Y253=0,(X253+Z253)/2,IF(Z253=0,(Y253+X253)/2,FLOOR(((X253+Y253+Z253)/3),0.1))))))))</f>
        <v/>
      </c>
      <c r="AB253" s="21" t="n"/>
      <c r="AC253" s="21" t="n"/>
      <c r="AD253" s="27">
        <f>SUM(AB253:AC253)</f>
        <v/>
      </c>
      <c r="AE253" s="28" t="n"/>
      <c r="AF253" s="28" t="n"/>
      <c r="AG253" s="29">
        <f>IF(AND(AD253=0,AE253=0,AF253=0),0,IF(AND(AD253=0,AE253=0),AF253/1,IF(AND(AD253=0,AF253=0),AE253/1,IF(AND(AE253=0,AF253=0),AD253/1,IF(AD253=0,FLOOR((AE253+AF253)/2,0.1),IF(AE253=0,(AD253+AF253)/2,IF(AF253=0,(AE253+AD253)/2,FLOOR(((AD253+AE253+AF253)/3),0.1))))))))</f>
        <v/>
      </c>
      <c r="AH253" s="21" t="n"/>
      <c r="AI253" s="21" t="n"/>
      <c r="AJ253" s="27">
        <f>SUM(AH253:AI253)</f>
        <v/>
      </c>
      <c r="AK253" s="28" t="n"/>
      <c r="AL253" s="28" t="n"/>
      <c r="AM253" s="29">
        <f>IF(AND(AJ253=0,AK253=0,AL253=0),0,IF(AND(AJ253=0,AK253=0),AL253/1,IF(AND(AJ253=0,AL253=0),AK253/1,IF(AND(AK253=0,AL253=0),AJ253/1,IF(AJ253=0,FLOOR((AK253+AL253)/2,0.1),IF(AK253=0,(AJ253+AL253)/2,IF(AL253=0,(AK253+AJ253)/2,FLOOR(((AJ253+AK253+AL253)/3),0.1))))))))</f>
        <v/>
      </c>
      <c r="AN253" s="21" t="n"/>
      <c r="AO253" s="21" t="n"/>
      <c r="AP253" s="27">
        <f>SUM(AN253:AO253)</f>
        <v/>
      </c>
      <c r="AQ253" s="28" t="n"/>
      <c r="AR253" s="30" t="n"/>
      <c r="AS253" s="29">
        <f>IF(AND(AP253=0,AQ253=0,AR253=0),0,IF(AND(AP253=0,AQ253=0),AR253/1,IF(AND(AP253=0,AR253=0),AQ253/1,IF(AND(AQ253=0,AR253=0),AP253/1,IF(AP253=0,FLOOR((AQ253+AR253)/2,0.1),IF(AQ253=0,(AP253+AR253)/2,IF(AR253=0,(AQ253+AP253)/2,FLOOR(((AP253+AQ253+AR253)/3),0.1))))))))</f>
        <v/>
      </c>
      <c r="AT253" s="21" t="n"/>
      <c r="AU253" s="21" t="n"/>
      <c r="AV253" s="27">
        <f>SUM(AT253:AU253)</f>
        <v/>
      </c>
      <c r="AW253" s="28" t="n"/>
      <c r="AX253" s="30" t="n"/>
      <c r="AY253" s="29">
        <f>IF(AND(AV253=0,AW253=0,AX253=0),0,IF(AND(AV253=0,AW253=0),AX253/1,IF(AND(AV253=0,AX253=0),AW253/1,IF(AND(AW253=0,AX253=0),AV253/1,IF(AV253=0,FLOOR((AW253+AX253)/2,0.1),IF(AW253=0,(AV253+AX253)/2,IF(AX253=0,(AW253+AV253)/2,FLOOR(((AV253+AW253+AX253)/3),0.1))))))))</f>
        <v/>
      </c>
      <c r="AZ253" s="21" t="n"/>
      <c r="BA253" s="21" t="n"/>
      <c r="BB253" s="27">
        <f>SUM(AZ253:BA253)</f>
        <v/>
      </c>
      <c r="BC253" s="28" t="n"/>
      <c r="BD253" s="28" t="n"/>
      <c r="BE253" s="29">
        <f>IF(AND(BB253=0,BC253=0,BD253=0),0,IF(AND(BB253=0,BC253=0),BD253/1,IF(AND(BB253=0,BD253=0),BC253/1,IF(AND(BC253=0,BD253=0),BB253/1,IF(BB253=0,FLOOR((BC253+BD253)/2,0.1),IF(BC253=0,(BB253+BD253)/2,IF(BD253=0,(BC253+BB253)/2,FLOOR(((BB253+BC253+BD253)/3),0.1))))))))</f>
        <v/>
      </c>
      <c r="BF253" s="21" t="n"/>
      <c r="BG253" s="21" t="n"/>
      <c r="BH253" s="27">
        <f>SUM(BF253:BG253)</f>
        <v/>
      </c>
      <c r="BI253" s="28" t="n"/>
      <c r="BJ253" s="28" t="n"/>
      <c r="BK253" s="29">
        <f>IF(AND(BH253=0,BI253=0,BJ253=0),0,IF(AND(BH253=0,BI253=0),BJ253/1,IF(AND(BH253=0,BJ253=0),BI253/1,IF(AND(BI253=0,BJ253=0),BH253/1,IF(BH253=0,FLOOR((BI253+BJ253)/2,0.1),IF(BI253=0,(BH253+BJ253)/2,IF(BJ253=0,(BI253+BH253)/2,FLOOR(((BH253+BI253+BJ253)/3),0.1))))))))</f>
        <v/>
      </c>
      <c r="BL253" s="21" t="n"/>
      <c r="BM253" s="21" t="n"/>
      <c r="BN253" s="27">
        <f>SUM(BL253:BM253)</f>
        <v/>
      </c>
      <c r="BO253" s="28" t="n"/>
      <c r="BP253" s="31" t="n"/>
      <c r="BQ253" s="29">
        <f>IF(AND(BN253=0,BO253=0,BP253=0),0,IF(AND(BN253=0,BO253=0),BP253/1,IF(AND(BN253=0,BP253=0),BO253/1,IF(AND(BO253=0,BP253=0),BN253/1,IF(BN253=0,FLOOR((BO253+BP253)/2,0.1),IF(BO253=0,(BN253+BP253)/2,IF(BP253=0,(BO253+BN253)/2,FLOOR(((BN253+BO253+BP253)/3),0.1))))))))</f>
        <v/>
      </c>
      <c r="BR253" s="21" t="n"/>
      <c r="BS253" s="21" t="n"/>
      <c r="BT253" s="27">
        <f>SUM(BR253:BS253)</f>
        <v/>
      </c>
      <c r="BU253" s="28" t="n"/>
      <c r="BV253" s="31" t="n"/>
      <c r="BW253" s="29">
        <f>IF(AND(BT253=0,BU253=0,BV253=0),0,IF(AND(BT253=0,BU253=0),BV253/1,IF(AND(BT253=0,BV253=0),BU253/1,IF(AND(BU253=0,BV253=0),BT253/1,IF(BT253=0,FLOOR((BU253+BV253)/2,0.1),IF(BU253=0,(BT253+BV253)/2,IF(BV253=0,(BU253+BT253)/2,FLOOR(((BT253+BU253+BV253)/3),0.1))))))))</f>
        <v/>
      </c>
      <c r="BX253" s="21" t="n"/>
      <c r="BY253" s="21" t="n"/>
      <c r="BZ253" s="27">
        <f>SUM(BX253:BY253)</f>
        <v/>
      </c>
      <c r="CA253" s="28" t="n"/>
      <c r="CB253" s="31" t="n"/>
      <c r="CC253" s="29">
        <f>IF(AND(BZ253=0,CA253=0,CB253=0),0,IF(AND(BZ253=0,CA253=0),CB253/1,IF(AND(BZ253=0,CB253=0),CA253/1,IF(AND(CA253=0,CB253=0),BZ253/1,IF(BZ253=0,FLOOR((CA253+CB253)/2,0.1),IF(CA253=0,(BZ253+CB253)/2,IF(CB253=0,(CA253+BZ253)/2,FLOOR(((BZ253+CA253+CB253)/3),0.1))))))))</f>
        <v/>
      </c>
      <c r="CD253" s="21" t="n"/>
      <c r="CE253" s="21" t="n"/>
      <c r="CF253" s="27">
        <f>SUM(CD253:CE253)</f>
        <v/>
      </c>
      <c r="CG253" s="28" t="n"/>
      <c r="CH253" s="31" t="n"/>
      <c r="CI253" s="29">
        <f>IF(AND(CF253=0,CG253=0,CH253=0),0,IF(AND(CF253=0,CG253=0),CH253/1,IF(AND(CF253=0,CH253=0),CG253/1,IF(AND(CG253=0,CH253=0),CF253/1,IF(CF253=0,FLOOR((CG253+CH253)/2,0.1),IF(CG253=0,(CF253+CH253)/2,IF(CH253=0,(CG253+CF253)/2,FLOOR(((CF253+CG253+CH253)/3),0.1))))))))</f>
        <v/>
      </c>
      <c r="CJ253" s="21" t="n"/>
      <c r="CK253" s="21" t="n"/>
      <c r="CL253" s="27">
        <f>SUM(CJ253:CK253)</f>
        <v/>
      </c>
      <c r="CM253" s="28" t="n"/>
      <c r="CN253" s="31" t="n"/>
      <c r="CO253" s="29">
        <f>IF(AND(CL253=0,CM253=0,CN253=0),0,IF(AND(CL253=0,CM253=0),CN253/1,IF(AND(CL253=0,CN253=0),CM253/1,IF(AND(CM253=0,CN253=0),CL253/1,IF(CL253=0,FLOOR((CM253+CN253)/2,0.1),IF(CM253=0,(CL253+CN253)/2,IF(CN253=0,(CM253+CL253)/2,FLOOR(((CL253+CM253+CN253)/3),0.1))))))))</f>
        <v/>
      </c>
      <c r="CP253" s="21" t="n"/>
      <c r="CQ253" s="21" t="n"/>
      <c r="CR253" s="27">
        <f>SUM(CP253:CQ253)</f>
        <v/>
      </c>
      <c r="CS253" s="28" t="n"/>
      <c r="CT253" s="31" t="n"/>
      <c r="CU253" s="29">
        <f>IF(AND(CR253=0,CS253=0,CT253=0),0,IF(AND(CR253=0,CS253=0),CT253/1,IF(AND(CR253=0,CT253=0),CS253/1,IF(AND(CS253=0,CT253=0),CR253/1,IF(CR253=0,FLOOR((CS253+CT253)/2,0.1),IF(CS253=0,(CR253+CT253)/2,IF(CT253=0,(CS253+CR253)/2,FLOOR(((CR253+CS253+CT253)/3),0.1))))))))</f>
        <v/>
      </c>
      <c r="CV253" s="21" t="n"/>
      <c r="CW253" s="21" t="n"/>
      <c r="CX253" s="27">
        <f>SUM(CV253:CW253)</f>
        <v/>
      </c>
      <c r="CY253" s="28" t="n"/>
      <c r="CZ253" s="31" t="n"/>
      <c r="DA253" s="29">
        <f>IF(AND(CX253=0,CY253=0,CZ253=0),0,IF(AND(CX253=0,CY253=0),CZ253/1,IF(AND(CX253=0,CZ253=0),CY253/1,IF(AND(CY253=0,CZ253=0),CX253/1,IF(CX253=0,FLOOR((CY253+CZ253)/2,0.1),IF(CY253=0,(CX253+CZ253)/2,IF(CZ253=0,(CY253+CX253)/2,FLOOR(((CX253+CY253+CZ253)/3),0.1))))))))</f>
        <v/>
      </c>
      <c r="DB253" s="21" t="n"/>
      <c r="DC253" s="21" t="n"/>
      <c r="DD253" s="27">
        <f>SUM(DB253:DC253)</f>
        <v/>
      </c>
      <c r="DE253" s="28" t="n"/>
      <c r="DF253" s="31" t="n"/>
      <c r="DG253" s="29">
        <f>IF(AND(DD253=0,DE253=0,DF253=0),0,IF(AND(DD253=0,DE253=0),DF253/1,IF(AND(DD253=0,DF253=0),DE253/1,IF(AND(DE253=0,DF253=0),DD253/1,IF(DD253=0,FLOOR((DE253+DF253)/2,0.1),IF(DE253=0,(DD253+DF253)/2,IF(DF253=0,(DE253+DD253)/2,FLOOR(((DD253+DE253+DF253)/3),0.1))))))))</f>
        <v/>
      </c>
      <c r="DH253" s="34">
        <f>SUM(O253,U253,AA253,AG253,AM253,AS253,AY253,BE253,BK253,BQ253,BW253,CC253,CI253,CO253,CU253,DA253,DG253)</f>
        <v/>
      </c>
      <c r="DI253" s="39">
        <f>RANK(DH253,DH$4:DH$503)</f>
        <v/>
      </c>
      <c r="DJ253" s="40" t="inlineStr">
        <is>
          <t>CHOOSE RATING</t>
        </is>
      </c>
      <c r="DK253" s="40" t="inlineStr">
        <is>
          <t>CHOOSE RATING</t>
        </is>
      </c>
      <c r="DL253" s="40" t="inlineStr">
        <is>
          <t>CHOOSE RATING</t>
        </is>
      </c>
      <c r="DM253" s="40" t="inlineStr">
        <is>
          <t>CHOOSE RATING</t>
        </is>
      </c>
      <c r="DN253" s="40" t="inlineStr">
        <is>
          <t>CHOOSE RATING</t>
        </is>
      </c>
      <c r="DO253" s="40" t="inlineStr">
        <is>
          <t>CHOOSE RATING</t>
        </is>
      </c>
      <c r="DP253" s="40" t="inlineStr">
        <is>
          <t>CHOOSE RATING</t>
        </is>
      </c>
      <c r="DQ253" s="40" t="inlineStr">
        <is>
          <t>CHOOSE RATING</t>
        </is>
      </c>
      <c r="DR253" s="43" t="inlineStr">
        <is>
          <t>2024/2025</t>
        </is>
      </c>
      <c r="DS253" s="45" t="inlineStr">
        <is>
          <t>THIRD</t>
        </is>
      </c>
      <c r="DT253" s="40" t="inlineStr">
        <is>
          <t>CHOOSE RATING</t>
        </is>
      </c>
      <c r="DU253" s="40" t="inlineStr">
        <is>
          <t>CHOOSE RATING</t>
        </is>
      </c>
      <c r="DV253" s="40" t="inlineStr">
        <is>
          <t>CHOOSE RATING</t>
        </is>
      </c>
      <c r="DW253" s="40" t="inlineStr">
        <is>
          <t>CHOOSE RATING</t>
        </is>
      </c>
      <c r="DX253" s="40" t="inlineStr">
        <is>
          <t>CHOOSE RATING</t>
        </is>
      </c>
      <c r="DY253" s="40" t="inlineStr">
        <is>
          <t>CHOOSE RATING</t>
        </is>
      </c>
      <c r="DZ253" s="53" t="inlineStr">
        <is>
          <t>CHOOSE RATING</t>
        </is>
      </c>
      <c r="EA253" s="54" t="inlineStr">
        <is>
          <t>Add the Tutor's Comment . . .</t>
        </is>
      </c>
      <c r="EB253" s="55" t="inlineStr">
        <is>
          <t>Choose Principals comment</t>
        </is>
      </c>
      <c r="EC253" s="56" t="n"/>
      <c r="ED253" s="57" t="inlineStr">
        <is>
          <t>Next Term Begins on Monday, 22nd September, 2025</t>
        </is>
      </c>
    </row>
    <row r="254" ht="30.6" customHeight="1" s="6">
      <c r="A254" s="18" t="n">
        <v>251</v>
      </c>
      <c r="B254" s="19" t="n"/>
      <c r="C254" s="20" t="n"/>
      <c r="D254" s="128" t="n"/>
      <c r="E254" s="21" t="n"/>
      <c r="F254" s="22" t="n"/>
      <c r="G254" s="22" t="n"/>
      <c r="H254" s="22" t="n"/>
      <c r="I254" s="26">
        <f>G254-H254</f>
        <v/>
      </c>
      <c r="J254" s="21" t="n"/>
      <c r="K254" s="21" t="n"/>
      <c r="L254" s="27">
        <f>SUM(J254:K254)</f>
        <v/>
      </c>
      <c r="M254" s="28" t="n"/>
      <c r="N254" s="28" t="n"/>
      <c r="O254" s="29">
        <f>IF(AND(L254=0,M254=0,N254=0),0,IF(AND(L254=0,M254=0),N254/1,IF(AND(L254=0,N254=0),M254/1,IF(AND(M254=0,N254=0),L254/1,IF(L254=0,FLOOR((M254+N254)/2,0.1),IF(M254=0,(L254+N254)/2,IF(N254=0,(M254+L254)/2,FLOOR(((L254+M254+N254)/3),0.1))))))))</f>
        <v/>
      </c>
      <c r="P254" s="21" t="n"/>
      <c r="Q254" s="21" t="n"/>
      <c r="R254" s="27">
        <f>SUM(P254:Q254)</f>
        <v/>
      </c>
      <c r="S254" s="28" t="n"/>
      <c r="T254" s="28" t="n"/>
      <c r="U254" s="29">
        <f>IF(AND(R254=0,S254=0,T254=0),0,IF(AND(R254=0,S254=0),T254/1,IF(AND(R254=0,T254=0),S254/1,IF(AND(S254=0,T254=0),R254/1,IF(R254=0,FLOOR((S254+T254)/2,0.1),IF(S254=0,(R254+T254)/2,IF(T254=0,(S254+R254)/2,FLOOR(((R254+S254+T254)/3),0.1))))))))</f>
        <v/>
      </c>
      <c r="V254" s="21" t="n"/>
      <c r="W254" s="21" t="n"/>
      <c r="X254" s="27">
        <f>SUM(V254:W254)</f>
        <v/>
      </c>
      <c r="Y254" s="28" t="n"/>
      <c r="Z254" s="28" t="n"/>
      <c r="AA254" s="29">
        <f>IF(AND(X254=0,Y254=0,Z254=0),0,IF(AND(X254=0,Y254=0),Z254/1,IF(AND(X254=0,Z254=0),Y254/1,IF(AND(Y254=0,Z254=0),X254/1,IF(X254=0,FLOOR((Y254+Z254)/2,0.1),IF(Y254=0,(X254+Z254)/2,IF(Z254=0,(Y254+X254)/2,FLOOR(((X254+Y254+Z254)/3),0.1))))))))</f>
        <v/>
      </c>
      <c r="AB254" s="21" t="n"/>
      <c r="AC254" s="21" t="n"/>
      <c r="AD254" s="27">
        <f>SUM(AB254:AC254)</f>
        <v/>
      </c>
      <c r="AE254" s="28" t="n"/>
      <c r="AF254" s="28" t="n"/>
      <c r="AG254" s="29">
        <f>IF(AND(AD254=0,AE254=0,AF254=0),0,IF(AND(AD254=0,AE254=0),AF254/1,IF(AND(AD254=0,AF254=0),AE254/1,IF(AND(AE254=0,AF254=0),AD254/1,IF(AD254=0,FLOOR((AE254+AF254)/2,0.1),IF(AE254=0,(AD254+AF254)/2,IF(AF254=0,(AE254+AD254)/2,FLOOR(((AD254+AE254+AF254)/3),0.1))))))))</f>
        <v/>
      </c>
      <c r="AH254" s="21" t="n"/>
      <c r="AI254" s="21" t="n"/>
      <c r="AJ254" s="27">
        <f>SUM(AH254:AI254)</f>
        <v/>
      </c>
      <c r="AK254" s="28" t="n"/>
      <c r="AL254" s="28" t="n"/>
      <c r="AM254" s="29">
        <f>IF(AND(AJ254=0,AK254=0,AL254=0),0,IF(AND(AJ254=0,AK254=0),AL254/1,IF(AND(AJ254=0,AL254=0),AK254/1,IF(AND(AK254=0,AL254=0),AJ254/1,IF(AJ254=0,FLOOR((AK254+AL254)/2,0.1),IF(AK254=0,(AJ254+AL254)/2,IF(AL254=0,(AK254+AJ254)/2,FLOOR(((AJ254+AK254+AL254)/3),0.1))))))))</f>
        <v/>
      </c>
      <c r="AN254" s="21" t="n"/>
      <c r="AO254" s="21" t="n"/>
      <c r="AP254" s="27">
        <f>SUM(AN254:AO254)</f>
        <v/>
      </c>
      <c r="AQ254" s="28" t="n"/>
      <c r="AR254" s="30" t="n"/>
      <c r="AS254" s="29">
        <f>IF(AND(AP254=0,AQ254=0,AR254=0),0,IF(AND(AP254=0,AQ254=0),AR254/1,IF(AND(AP254=0,AR254=0),AQ254/1,IF(AND(AQ254=0,AR254=0),AP254/1,IF(AP254=0,FLOOR((AQ254+AR254)/2,0.1),IF(AQ254=0,(AP254+AR254)/2,IF(AR254=0,(AQ254+AP254)/2,FLOOR(((AP254+AQ254+AR254)/3),0.1))))))))</f>
        <v/>
      </c>
      <c r="AT254" s="21" t="n"/>
      <c r="AU254" s="21" t="n"/>
      <c r="AV254" s="27">
        <f>SUM(AT254:AU254)</f>
        <v/>
      </c>
      <c r="AW254" s="28" t="n"/>
      <c r="AX254" s="30" t="n"/>
      <c r="AY254" s="29">
        <f>IF(AND(AV254=0,AW254=0,AX254=0),0,IF(AND(AV254=0,AW254=0),AX254/1,IF(AND(AV254=0,AX254=0),AW254/1,IF(AND(AW254=0,AX254=0),AV254/1,IF(AV254=0,FLOOR((AW254+AX254)/2,0.1),IF(AW254=0,(AV254+AX254)/2,IF(AX254=0,(AW254+AV254)/2,FLOOR(((AV254+AW254+AX254)/3),0.1))))))))</f>
        <v/>
      </c>
      <c r="AZ254" s="21" t="n"/>
      <c r="BA254" s="21" t="n"/>
      <c r="BB254" s="27">
        <f>SUM(AZ254:BA254)</f>
        <v/>
      </c>
      <c r="BC254" s="28" t="n"/>
      <c r="BD254" s="28" t="n"/>
      <c r="BE254" s="29">
        <f>IF(AND(BB254=0,BC254=0,BD254=0),0,IF(AND(BB254=0,BC254=0),BD254/1,IF(AND(BB254=0,BD254=0),BC254/1,IF(AND(BC254=0,BD254=0),BB254/1,IF(BB254=0,FLOOR((BC254+BD254)/2,0.1),IF(BC254=0,(BB254+BD254)/2,IF(BD254=0,(BC254+BB254)/2,FLOOR(((BB254+BC254+BD254)/3),0.1))))))))</f>
        <v/>
      </c>
      <c r="BF254" s="21" t="n"/>
      <c r="BG254" s="21" t="n"/>
      <c r="BH254" s="27">
        <f>SUM(BF254:BG254)</f>
        <v/>
      </c>
      <c r="BI254" s="28" t="n"/>
      <c r="BJ254" s="28" t="n"/>
      <c r="BK254" s="29">
        <f>IF(AND(BH254=0,BI254=0,BJ254=0),0,IF(AND(BH254=0,BI254=0),BJ254/1,IF(AND(BH254=0,BJ254=0),BI254/1,IF(AND(BI254=0,BJ254=0),BH254/1,IF(BH254=0,FLOOR((BI254+BJ254)/2,0.1),IF(BI254=0,(BH254+BJ254)/2,IF(BJ254=0,(BI254+BH254)/2,FLOOR(((BH254+BI254+BJ254)/3),0.1))))))))</f>
        <v/>
      </c>
      <c r="BL254" s="21" t="n"/>
      <c r="BM254" s="21" t="n"/>
      <c r="BN254" s="27">
        <f>SUM(BL254:BM254)</f>
        <v/>
      </c>
      <c r="BO254" s="28" t="n"/>
      <c r="BP254" s="31" t="n"/>
      <c r="BQ254" s="29">
        <f>IF(AND(BN254=0,BO254=0,BP254=0),0,IF(AND(BN254=0,BO254=0),BP254/1,IF(AND(BN254=0,BP254=0),BO254/1,IF(AND(BO254=0,BP254=0),BN254/1,IF(BN254=0,FLOOR((BO254+BP254)/2,0.1),IF(BO254=0,(BN254+BP254)/2,IF(BP254=0,(BO254+BN254)/2,FLOOR(((BN254+BO254+BP254)/3),0.1))))))))</f>
        <v/>
      </c>
      <c r="BR254" s="21" t="n"/>
      <c r="BS254" s="21" t="n"/>
      <c r="BT254" s="27">
        <f>SUM(BR254:BS254)</f>
        <v/>
      </c>
      <c r="BU254" s="28" t="n"/>
      <c r="BV254" s="31" t="n"/>
      <c r="BW254" s="29">
        <f>IF(AND(BT254=0,BU254=0,BV254=0),0,IF(AND(BT254=0,BU254=0),BV254/1,IF(AND(BT254=0,BV254=0),BU254/1,IF(AND(BU254=0,BV254=0),BT254/1,IF(BT254=0,FLOOR((BU254+BV254)/2,0.1),IF(BU254=0,(BT254+BV254)/2,IF(BV254=0,(BU254+BT254)/2,FLOOR(((BT254+BU254+BV254)/3),0.1))))))))</f>
        <v/>
      </c>
      <c r="BX254" s="21" t="n"/>
      <c r="BY254" s="21" t="n"/>
      <c r="BZ254" s="27">
        <f>SUM(BX254:BY254)</f>
        <v/>
      </c>
      <c r="CA254" s="28" t="n"/>
      <c r="CB254" s="31" t="n"/>
      <c r="CC254" s="29">
        <f>IF(AND(BZ254=0,CA254=0,CB254=0),0,IF(AND(BZ254=0,CA254=0),CB254/1,IF(AND(BZ254=0,CB254=0),CA254/1,IF(AND(CA254=0,CB254=0),BZ254/1,IF(BZ254=0,FLOOR((CA254+CB254)/2,0.1),IF(CA254=0,(BZ254+CB254)/2,IF(CB254=0,(CA254+BZ254)/2,FLOOR(((BZ254+CA254+CB254)/3),0.1))))))))</f>
        <v/>
      </c>
      <c r="CD254" s="21" t="n"/>
      <c r="CE254" s="21" t="n"/>
      <c r="CF254" s="27">
        <f>SUM(CD254:CE254)</f>
        <v/>
      </c>
      <c r="CG254" s="28" t="n"/>
      <c r="CH254" s="31" t="n"/>
      <c r="CI254" s="29">
        <f>IF(AND(CF254=0,CG254=0,CH254=0),0,IF(AND(CF254=0,CG254=0),CH254/1,IF(AND(CF254=0,CH254=0),CG254/1,IF(AND(CG254=0,CH254=0),CF254/1,IF(CF254=0,FLOOR((CG254+CH254)/2,0.1),IF(CG254=0,(CF254+CH254)/2,IF(CH254=0,(CG254+CF254)/2,FLOOR(((CF254+CG254+CH254)/3),0.1))))))))</f>
        <v/>
      </c>
      <c r="CJ254" s="21" t="n"/>
      <c r="CK254" s="21" t="n"/>
      <c r="CL254" s="27">
        <f>SUM(CJ254:CK254)</f>
        <v/>
      </c>
      <c r="CM254" s="28" t="n"/>
      <c r="CN254" s="31" t="n"/>
      <c r="CO254" s="29">
        <f>IF(AND(CL254=0,CM254=0,CN254=0),0,IF(AND(CL254=0,CM254=0),CN254/1,IF(AND(CL254=0,CN254=0),CM254/1,IF(AND(CM254=0,CN254=0),CL254/1,IF(CL254=0,FLOOR((CM254+CN254)/2,0.1),IF(CM254=0,(CL254+CN254)/2,IF(CN254=0,(CM254+CL254)/2,FLOOR(((CL254+CM254+CN254)/3),0.1))))))))</f>
        <v/>
      </c>
      <c r="CP254" s="21" t="n"/>
      <c r="CQ254" s="21" t="n"/>
      <c r="CR254" s="27">
        <f>SUM(CP254:CQ254)</f>
        <v/>
      </c>
      <c r="CS254" s="28" t="n"/>
      <c r="CT254" s="31" t="n"/>
      <c r="CU254" s="29">
        <f>IF(AND(CR254=0,CS254=0,CT254=0),0,IF(AND(CR254=0,CS254=0),CT254/1,IF(AND(CR254=0,CT254=0),CS254/1,IF(AND(CS254=0,CT254=0),CR254/1,IF(CR254=0,FLOOR((CS254+CT254)/2,0.1),IF(CS254=0,(CR254+CT254)/2,IF(CT254=0,(CS254+CR254)/2,FLOOR(((CR254+CS254+CT254)/3),0.1))))))))</f>
        <v/>
      </c>
      <c r="CV254" s="21" t="n"/>
      <c r="CW254" s="21" t="n"/>
      <c r="CX254" s="27">
        <f>SUM(CV254:CW254)</f>
        <v/>
      </c>
      <c r="CY254" s="28" t="n"/>
      <c r="CZ254" s="31" t="n"/>
      <c r="DA254" s="29">
        <f>IF(AND(CX254=0,CY254=0,CZ254=0),0,IF(AND(CX254=0,CY254=0),CZ254/1,IF(AND(CX254=0,CZ254=0),CY254/1,IF(AND(CY254=0,CZ254=0),CX254/1,IF(CX254=0,FLOOR((CY254+CZ254)/2,0.1),IF(CY254=0,(CX254+CZ254)/2,IF(CZ254=0,(CY254+CX254)/2,FLOOR(((CX254+CY254+CZ254)/3),0.1))))))))</f>
        <v/>
      </c>
      <c r="DB254" s="21" t="n"/>
      <c r="DC254" s="21" t="n"/>
      <c r="DD254" s="27">
        <f>SUM(DB254:DC254)</f>
        <v/>
      </c>
      <c r="DE254" s="28" t="n"/>
      <c r="DF254" s="31" t="n"/>
      <c r="DG254" s="29">
        <f>IF(AND(DD254=0,DE254=0,DF254=0),0,IF(AND(DD254=0,DE254=0),DF254/1,IF(AND(DD254=0,DF254=0),DE254/1,IF(AND(DE254=0,DF254=0),DD254/1,IF(DD254=0,FLOOR((DE254+DF254)/2,0.1),IF(DE254=0,(DD254+DF254)/2,IF(DF254=0,(DE254+DD254)/2,FLOOR(((DD254+DE254+DF254)/3),0.1))))))))</f>
        <v/>
      </c>
      <c r="DH254" s="34">
        <f>SUM(O254,U254,AA254,AG254,AM254,AS254,AY254,BE254,BK254,BQ254,BW254,CC254,CI254,CO254,CU254,DA254,DG254)</f>
        <v/>
      </c>
      <c r="DI254" s="39">
        <f>RANK(DH254,DH$4:DH$503)</f>
        <v/>
      </c>
      <c r="DJ254" s="40" t="inlineStr">
        <is>
          <t>CHOOSE RATING</t>
        </is>
      </c>
      <c r="DK254" s="40" t="inlineStr">
        <is>
          <t>CHOOSE RATING</t>
        </is>
      </c>
      <c r="DL254" s="40" t="inlineStr">
        <is>
          <t>CHOOSE RATING</t>
        </is>
      </c>
      <c r="DM254" s="40" t="inlineStr">
        <is>
          <t>CHOOSE RATING</t>
        </is>
      </c>
      <c r="DN254" s="40" t="inlineStr">
        <is>
          <t>CHOOSE RATING</t>
        </is>
      </c>
      <c r="DO254" s="40" t="inlineStr">
        <is>
          <t>CHOOSE RATING</t>
        </is>
      </c>
      <c r="DP254" s="40" t="inlineStr">
        <is>
          <t>CHOOSE RATING</t>
        </is>
      </c>
      <c r="DQ254" s="40" t="inlineStr">
        <is>
          <t>CHOOSE RATING</t>
        </is>
      </c>
      <c r="DR254" s="43" t="inlineStr">
        <is>
          <t>2024/2025</t>
        </is>
      </c>
      <c r="DS254" s="45" t="inlineStr">
        <is>
          <t>THIRD</t>
        </is>
      </c>
      <c r="DT254" s="40" t="inlineStr">
        <is>
          <t>CHOOSE RATING</t>
        </is>
      </c>
      <c r="DU254" s="40" t="inlineStr">
        <is>
          <t>CHOOSE RATING</t>
        </is>
      </c>
      <c r="DV254" s="40" t="inlineStr">
        <is>
          <t>CHOOSE RATING</t>
        </is>
      </c>
      <c r="DW254" s="40" t="inlineStr">
        <is>
          <t>CHOOSE RATING</t>
        </is>
      </c>
      <c r="DX254" s="40" t="inlineStr">
        <is>
          <t>CHOOSE RATING</t>
        </is>
      </c>
      <c r="DY254" s="40" t="inlineStr">
        <is>
          <t>CHOOSE RATING</t>
        </is>
      </c>
      <c r="DZ254" s="53" t="inlineStr">
        <is>
          <t>CHOOSE RATING</t>
        </is>
      </c>
      <c r="EA254" s="54" t="inlineStr">
        <is>
          <t>Add the Tutor's Comment . . .</t>
        </is>
      </c>
      <c r="EB254" s="55" t="inlineStr">
        <is>
          <t>Choose Principals comment</t>
        </is>
      </c>
      <c r="EC254" s="56" t="n"/>
      <c r="ED254" s="57" t="inlineStr">
        <is>
          <t>Next Term Begins on Monday, 22nd September, 2025</t>
        </is>
      </c>
    </row>
    <row r="255" ht="30.6" customHeight="1" s="6">
      <c r="A255" s="18" t="n">
        <v>252</v>
      </c>
      <c r="B255" s="19" t="n"/>
      <c r="C255" s="20" t="n"/>
      <c r="D255" s="128" t="n"/>
      <c r="E255" s="21" t="n"/>
      <c r="F255" s="22" t="n"/>
      <c r="G255" s="22" t="n"/>
      <c r="H255" s="22" t="n"/>
      <c r="I255" s="26">
        <f>G255-H255</f>
        <v/>
      </c>
      <c r="J255" s="21" t="n"/>
      <c r="K255" s="21" t="n"/>
      <c r="L255" s="27">
        <f>SUM(J255:K255)</f>
        <v/>
      </c>
      <c r="M255" s="28" t="n"/>
      <c r="N255" s="28" t="n"/>
      <c r="O255" s="29">
        <f>IF(AND(L255=0,M255=0,N255=0),0,IF(AND(L255=0,M255=0),N255/1,IF(AND(L255=0,N255=0),M255/1,IF(AND(M255=0,N255=0),L255/1,IF(L255=0,FLOOR((M255+N255)/2,0.1),IF(M255=0,(L255+N255)/2,IF(N255=0,(M255+L255)/2,FLOOR(((L255+M255+N255)/3),0.1))))))))</f>
        <v/>
      </c>
      <c r="P255" s="21" t="n"/>
      <c r="Q255" s="21" t="n"/>
      <c r="R255" s="27">
        <f>SUM(P255:Q255)</f>
        <v/>
      </c>
      <c r="S255" s="28" t="n"/>
      <c r="T255" s="28" t="n"/>
      <c r="U255" s="29">
        <f>IF(AND(R255=0,S255=0,T255=0),0,IF(AND(R255=0,S255=0),T255/1,IF(AND(R255=0,T255=0),S255/1,IF(AND(S255=0,T255=0),R255/1,IF(R255=0,FLOOR((S255+T255)/2,0.1),IF(S255=0,(R255+T255)/2,IF(T255=0,(S255+R255)/2,FLOOR(((R255+S255+T255)/3),0.1))))))))</f>
        <v/>
      </c>
      <c r="V255" s="21" t="n"/>
      <c r="W255" s="21" t="n"/>
      <c r="X255" s="27">
        <f>SUM(V255:W255)</f>
        <v/>
      </c>
      <c r="Y255" s="28" t="n"/>
      <c r="Z255" s="28" t="n"/>
      <c r="AA255" s="29">
        <f>IF(AND(X255=0,Y255=0,Z255=0),0,IF(AND(X255=0,Y255=0),Z255/1,IF(AND(X255=0,Z255=0),Y255/1,IF(AND(Y255=0,Z255=0),X255/1,IF(X255=0,FLOOR((Y255+Z255)/2,0.1),IF(Y255=0,(X255+Z255)/2,IF(Z255=0,(Y255+X255)/2,FLOOR(((X255+Y255+Z255)/3),0.1))))))))</f>
        <v/>
      </c>
      <c r="AB255" s="21" t="n"/>
      <c r="AC255" s="21" t="n"/>
      <c r="AD255" s="27">
        <f>SUM(AB255:AC255)</f>
        <v/>
      </c>
      <c r="AE255" s="28" t="n"/>
      <c r="AF255" s="28" t="n"/>
      <c r="AG255" s="29">
        <f>IF(AND(AD255=0,AE255=0,AF255=0),0,IF(AND(AD255=0,AE255=0),AF255/1,IF(AND(AD255=0,AF255=0),AE255/1,IF(AND(AE255=0,AF255=0),AD255/1,IF(AD255=0,FLOOR((AE255+AF255)/2,0.1),IF(AE255=0,(AD255+AF255)/2,IF(AF255=0,(AE255+AD255)/2,FLOOR(((AD255+AE255+AF255)/3),0.1))))))))</f>
        <v/>
      </c>
      <c r="AH255" s="21" t="n"/>
      <c r="AI255" s="21" t="n"/>
      <c r="AJ255" s="27">
        <f>SUM(AH255:AI255)</f>
        <v/>
      </c>
      <c r="AK255" s="28" t="n"/>
      <c r="AL255" s="28" t="n"/>
      <c r="AM255" s="29">
        <f>IF(AND(AJ255=0,AK255=0,AL255=0),0,IF(AND(AJ255=0,AK255=0),AL255/1,IF(AND(AJ255=0,AL255=0),AK255/1,IF(AND(AK255=0,AL255=0),AJ255/1,IF(AJ255=0,FLOOR((AK255+AL255)/2,0.1),IF(AK255=0,(AJ255+AL255)/2,IF(AL255=0,(AK255+AJ255)/2,FLOOR(((AJ255+AK255+AL255)/3),0.1))))))))</f>
        <v/>
      </c>
      <c r="AN255" s="21" t="n"/>
      <c r="AO255" s="21" t="n"/>
      <c r="AP255" s="27">
        <f>SUM(AN255:AO255)</f>
        <v/>
      </c>
      <c r="AQ255" s="28" t="n"/>
      <c r="AR255" s="30" t="n"/>
      <c r="AS255" s="29">
        <f>IF(AND(AP255=0,AQ255=0,AR255=0),0,IF(AND(AP255=0,AQ255=0),AR255/1,IF(AND(AP255=0,AR255=0),AQ255/1,IF(AND(AQ255=0,AR255=0),AP255/1,IF(AP255=0,FLOOR((AQ255+AR255)/2,0.1),IF(AQ255=0,(AP255+AR255)/2,IF(AR255=0,(AQ255+AP255)/2,FLOOR(((AP255+AQ255+AR255)/3),0.1))))))))</f>
        <v/>
      </c>
      <c r="AT255" s="21" t="n"/>
      <c r="AU255" s="21" t="n"/>
      <c r="AV255" s="27">
        <f>SUM(AT255:AU255)</f>
        <v/>
      </c>
      <c r="AW255" s="28" t="n"/>
      <c r="AX255" s="30" t="n"/>
      <c r="AY255" s="29">
        <f>IF(AND(AV255=0,AW255=0,AX255=0),0,IF(AND(AV255=0,AW255=0),AX255/1,IF(AND(AV255=0,AX255=0),AW255/1,IF(AND(AW255=0,AX255=0),AV255/1,IF(AV255=0,FLOOR((AW255+AX255)/2,0.1),IF(AW255=0,(AV255+AX255)/2,IF(AX255=0,(AW255+AV255)/2,FLOOR(((AV255+AW255+AX255)/3),0.1))))))))</f>
        <v/>
      </c>
      <c r="AZ255" s="21" t="n"/>
      <c r="BA255" s="21" t="n"/>
      <c r="BB255" s="27">
        <f>SUM(AZ255:BA255)</f>
        <v/>
      </c>
      <c r="BC255" s="28" t="n"/>
      <c r="BD255" s="28" t="n"/>
      <c r="BE255" s="29">
        <f>IF(AND(BB255=0,BC255=0,BD255=0),0,IF(AND(BB255=0,BC255=0),BD255/1,IF(AND(BB255=0,BD255=0),BC255/1,IF(AND(BC255=0,BD255=0),BB255/1,IF(BB255=0,FLOOR((BC255+BD255)/2,0.1),IF(BC255=0,(BB255+BD255)/2,IF(BD255=0,(BC255+BB255)/2,FLOOR(((BB255+BC255+BD255)/3),0.1))))))))</f>
        <v/>
      </c>
      <c r="BF255" s="21" t="n"/>
      <c r="BG255" s="21" t="n"/>
      <c r="BH255" s="27">
        <f>SUM(BF255:BG255)</f>
        <v/>
      </c>
      <c r="BI255" s="28" t="n"/>
      <c r="BJ255" s="28" t="n"/>
      <c r="BK255" s="29">
        <f>IF(AND(BH255=0,BI255=0,BJ255=0),0,IF(AND(BH255=0,BI255=0),BJ255/1,IF(AND(BH255=0,BJ255=0),BI255/1,IF(AND(BI255=0,BJ255=0),BH255/1,IF(BH255=0,FLOOR((BI255+BJ255)/2,0.1),IF(BI255=0,(BH255+BJ255)/2,IF(BJ255=0,(BI255+BH255)/2,FLOOR(((BH255+BI255+BJ255)/3),0.1))))))))</f>
        <v/>
      </c>
      <c r="BL255" s="21" t="n"/>
      <c r="BM255" s="21" t="n"/>
      <c r="BN255" s="27">
        <f>SUM(BL255:BM255)</f>
        <v/>
      </c>
      <c r="BO255" s="28" t="n"/>
      <c r="BP255" s="31" t="n"/>
      <c r="BQ255" s="29">
        <f>IF(AND(BN255=0,BO255=0,BP255=0),0,IF(AND(BN255=0,BO255=0),BP255/1,IF(AND(BN255=0,BP255=0),BO255/1,IF(AND(BO255=0,BP255=0),BN255/1,IF(BN255=0,FLOOR((BO255+BP255)/2,0.1),IF(BO255=0,(BN255+BP255)/2,IF(BP255=0,(BO255+BN255)/2,FLOOR(((BN255+BO255+BP255)/3),0.1))))))))</f>
        <v/>
      </c>
      <c r="BR255" s="21" t="n"/>
      <c r="BS255" s="21" t="n"/>
      <c r="BT255" s="27">
        <f>SUM(BR255:BS255)</f>
        <v/>
      </c>
      <c r="BU255" s="28" t="n"/>
      <c r="BV255" s="31" t="n"/>
      <c r="BW255" s="29">
        <f>IF(AND(BT255=0,BU255=0,BV255=0),0,IF(AND(BT255=0,BU255=0),BV255/1,IF(AND(BT255=0,BV255=0),BU255/1,IF(AND(BU255=0,BV255=0),BT255/1,IF(BT255=0,FLOOR((BU255+BV255)/2,0.1),IF(BU255=0,(BT255+BV255)/2,IF(BV255=0,(BU255+BT255)/2,FLOOR(((BT255+BU255+BV255)/3),0.1))))))))</f>
        <v/>
      </c>
      <c r="BX255" s="21" t="n"/>
      <c r="BY255" s="21" t="n"/>
      <c r="BZ255" s="27">
        <f>SUM(BX255:BY255)</f>
        <v/>
      </c>
      <c r="CA255" s="28" t="n"/>
      <c r="CB255" s="31" t="n"/>
      <c r="CC255" s="29">
        <f>IF(AND(BZ255=0,CA255=0,CB255=0),0,IF(AND(BZ255=0,CA255=0),CB255/1,IF(AND(BZ255=0,CB255=0),CA255/1,IF(AND(CA255=0,CB255=0),BZ255/1,IF(BZ255=0,FLOOR((CA255+CB255)/2,0.1),IF(CA255=0,(BZ255+CB255)/2,IF(CB255=0,(CA255+BZ255)/2,FLOOR(((BZ255+CA255+CB255)/3),0.1))))))))</f>
        <v/>
      </c>
      <c r="CD255" s="21" t="n"/>
      <c r="CE255" s="21" t="n"/>
      <c r="CF255" s="27">
        <f>SUM(CD255:CE255)</f>
        <v/>
      </c>
      <c r="CG255" s="28" t="n"/>
      <c r="CH255" s="31" t="n"/>
      <c r="CI255" s="29">
        <f>IF(AND(CF255=0,CG255=0,CH255=0),0,IF(AND(CF255=0,CG255=0),CH255/1,IF(AND(CF255=0,CH255=0),CG255/1,IF(AND(CG255=0,CH255=0),CF255/1,IF(CF255=0,FLOOR((CG255+CH255)/2,0.1),IF(CG255=0,(CF255+CH255)/2,IF(CH255=0,(CG255+CF255)/2,FLOOR(((CF255+CG255+CH255)/3),0.1))))))))</f>
        <v/>
      </c>
      <c r="CJ255" s="21" t="n"/>
      <c r="CK255" s="21" t="n"/>
      <c r="CL255" s="27">
        <f>SUM(CJ255:CK255)</f>
        <v/>
      </c>
      <c r="CM255" s="28" t="n"/>
      <c r="CN255" s="31" t="n"/>
      <c r="CO255" s="29">
        <f>IF(AND(CL255=0,CM255=0,CN255=0),0,IF(AND(CL255=0,CM255=0),CN255/1,IF(AND(CL255=0,CN255=0),CM255/1,IF(AND(CM255=0,CN255=0),CL255/1,IF(CL255=0,FLOOR((CM255+CN255)/2,0.1),IF(CM255=0,(CL255+CN255)/2,IF(CN255=0,(CM255+CL255)/2,FLOOR(((CL255+CM255+CN255)/3),0.1))))))))</f>
        <v/>
      </c>
      <c r="CP255" s="21" t="n"/>
      <c r="CQ255" s="21" t="n"/>
      <c r="CR255" s="27">
        <f>SUM(CP255:CQ255)</f>
        <v/>
      </c>
      <c r="CS255" s="28" t="n"/>
      <c r="CT255" s="31" t="n"/>
      <c r="CU255" s="29">
        <f>IF(AND(CR255=0,CS255=0,CT255=0),0,IF(AND(CR255=0,CS255=0),CT255/1,IF(AND(CR255=0,CT255=0),CS255/1,IF(AND(CS255=0,CT255=0),CR255/1,IF(CR255=0,FLOOR((CS255+CT255)/2,0.1),IF(CS255=0,(CR255+CT255)/2,IF(CT255=0,(CS255+CR255)/2,FLOOR(((CR255+CS255+CT255)/3),0.1))))))))</f>
        <v/>
      </c>
      <c r="CV255" s="21" t="n"/>
      <c r="CW255" s="21" t="n"/>
      <c r="CX255" s="27">
        <f>SUM(CV255:CW255)</f>
        <v/>
      </c>
      <c r="CY255" s="28" t="n"/>
      <c r="CZ255" s="31" t="n"/>
      <c r="DA255" s="29">
        <f>IF(AND(CX255=0,CY255=0,CZ255=0),0,IF(AND(CX255=0,CY255=0),CZ255/1,IF(AND(CX255=0,CZ255=0),CY255/1,IF(AND(CY255=0,CZ255=0),CX255/1,IF(CX255=0,FLOOR((CY255+CZ255)/2,0.1),IF(CY255=0,(CX255+CZ255)/2,IF(CZ255=0,(CY255+CX255)/2,FLOOR(((CX255+CY255+CZ255)/3),0.1))))))))</f>
        <v/>
      </c>
      <c r="DB255" s="21" t="n"/>
      <c r="DC255" s="21" t="n"/>
      <c r="DD255" s="27">
        <f>SUM(DB255:DC255)</f>
        <v/>
      </c>
      <c r="DE255" s="28" t="n"/>
      <c r="DF255" s="31" t="n"/>
      <c r="DG255" s="29">
        <f>IF(AND(DD255=0,DE255=0,DF255=0),0,IF(AND(DD255=0,DE255=0),DF255/1,IF(AND(DD255=0,DF255=0),DE255/1,IF(AND(DE255=0,DF255=0),DD255/1,IF(DD255=0,FLOOR((DE255+DF255)/2,0.1),IF(DE255=0,(DD255+DF255)/2,IF(DF255=0,(DE255+DD255)/2,FLOOR(((DD255+DE255+DF255)/3),0.1))))))))</f>
        <v/>
      </c>
      <c r="DH255" s="34">
        <f>SUM(O255,U255,AA255,AG255,AM255,AS255,AY255,BE255,BK255,BQ255,BW255,CC255,CI255,CO255,CU255,DA255,DG255)</f>
        <v/>
      </c>
      <c r="DI255" s="39">
        <f>RANK(DH255,DH$4:DH$503)</f>
        <v/>
      </c>
      <c r="DJ255" s="40" t="inlineStr">
        <is>
          <t>CHOOSE RATING</t>
        </is>
      </c>
      <c r="DK255" s="40" t="inlineStr">
        <is>
          <t>CHOOSE RATING</t>
        </is>
      </c>
      <c r="DL255" s="40" t="inlineStr">
        <is>
          <t>CHOOSE RATING</t>
        </is>
      </c>
      <c r="DM255" s="40" t="inlineStr">
        <is>
          <t>CHOOSE RATING</t>
        </is>
      </c>
      <c r="DN255" s="40" t="inlineStr">
        <is>
          <t>CHOOSE RATING</t>
        </is>
      </c>
      <c r="DO255" s="40" t="inlineStr">
        <is>
          <t>CHOOSE RATING</t>
        </is>
      </c>
      <c r="DP255" s="40" t="inlineStr">
        <is>
          <t>CHOOSE RATING</t>
        </is>
      </c>
      <c r="DQ255" s="40" t="inlineStr">
        <is>
          <t>CHOOSE RATING</t>
        </is>
      </c>
      <c r="DR255" s="43" t="inlineStr">
        <is>
          <t>2024/2025</t>
        </is>
      </c>
      <c r="DS255" s="45" t="inlineStr">
        <is>
          <t>THIRD</t>
        </is>
      </c>
      <c r="DT255" s="40" t="inlineStr">
        <is>
          <t>CHOOSE RATING</t>
        </is>
      </c>
      <c r="DU255" s="40" t="inlineStr">
        <is>
          <t>CHOOSE RATING</t>
        </is>
      </c>
      <c r="DV255" s="40" t="inlineStr">
        <is>
          <t>CHOOSE RATING</t>
        </is>
      </c>
      <c r="DW255" s="40" t="inlineStr">
        <is>
          <t>CHOOSE RATING</t>
        </is>
      </c>
      <c r="DX255" s="40" t="inlineStr">
        <is>
          <t>CHOOSE RATING</t>
        </is>
      </c>
      <c r="DY255" s="40" t="inlineStr">
        <is>
          <t>CHOOSE RATING</t>
        </is>
      </c>
      <c r="DZ255" s="53" t="inlineStr">
        <is>
          <t>CHOOSE RATING</t>
        </is>
      </c>
      <c r="EA255" s="54" t="inlineStr">
        <is>
          <t>Add the Tutor's Comment . . .</t>
        </is>
      </c>
      <c r="EB255" s="55" t="inlineStr">
        <is>
          <t>Choose Principals comment</t>
        </is>
      </c>
      <c r="EC255" s="56" t="n"/>
      <c r="ED255" s="57" t="inlineStr">
        <is>
          <t>Next Term Begins on Monday, 22nd September, 2025</t>
        </is>
      </c>
    </row>
    <row r="256" ht="30.6" customHeight="1" s="6">
      <c r="A256" s="18" t="n">
        <v>253</v>
      </c>
      <c r="B256" s="19" t="n"/>
      <c r="C256" s="20" t="n"/>
      <c r="D256" s="128" t="n"/>
      <c r="E256" s="21" t="n"/>
      <c r="F256" s="22" t="n"/>
      <c r="G256" s="22" t="n"/>
      <c r="H256" s="22" t="n"/>
      <c r="I256" s="26">
        <f>G256-H256</f>
        <v/>
      </c>
      <c r="J256" s="21" t="n"/>
      <c r="K256" s="21" t="n"/>
      <c r="L256" s="27">
        <f>SUM(J256:K256)</f>
        <v/>
      </c>
      <c r="M256" s="28" t="n"/>
      <c r="N256" s="28" t="n"/>
      <c r="O256" s="29">
        <f>IF(AND(L256=0,M256=0,N256=0),0,IF(AND(L256=0,M256=0),N256/1,IF(AND(L256=0,N256=0),M256/1,IF(AND(M256=0,N256=0),L256/1,IF(L256=0,FLOOR((M256+N256)/2,0.1),IF(M256=0,(L256+N256)/2,IF(N256=0,(M256+L256)/2,FLOOR(((L256+M256+N256)/3),0.1))))))))</f>
        <v/>
      </c>
      <c r="P256" s="21" t="n"/>
      <c r="Q256" s="21" t="n"/>
      <c r="R256" s="27">
        <f>SUM(P256:Q256)</f>
        <v/>
      </c>
      <c r="S256" s="28" t="n"/>
      <c r="T256" s="28" t="n"/>
      <c r="U256" s="29">
        <f>IF(AND(R256=0,S256=0,T256=0),0,IF(AND(R256=0,S256=0),T256/1,IF(AND(R256=0,T256=0),S256/1,IF(AND(S256=0,T256=0),R256/1,IF(R256=0,FLOOR((S256+T256)/2,0.1),IF(S256=0,(R256+T256)/2,IF(T256=0,(S256+R256)/2,FLOOR(((R256+S256+T256)/3),0.1))))))))</f>
        <v/>
      </c>
      <c r="V256" s="21" t="n"/>
      <c r="W256" s="21" t="n"/>
      <c r="X256" s="27">
        <f>SUM(V256:W256)</f>
        <v/>
      </c>
      <c r="Y256" s="28" t="n"/>
      <c r="Z256" s="28" t="n"/>
      <c r="AA256" s="29">
        <f>IF(AND(X256=0,Y256=0,Z256=0),0,IF(AND(X256=0,Y256=0),Z256/1,IF(AND(X256=0,Z256=0),Y256/1,IF(AND(Y256=0,Z256=0),X256/1,IF(X256=0,FLOOR((Y256+Z256)/2,0.1),IF(Y256=0,(X256+Z256)/2,IF(Z256=0,(Y256+X256)/2,FLOOR(((X256+Y256+Z256)/3),0.1))))))))</f>
        <v/>
      </c>
      <c r="AB256" s="21" t="n"/>
      <c r="AC256" s="21" t="n"/>
      <c r="AD256" s="27">
        <f>SUM(AB256:AC256)</f>
        <v/>
      </c>
      <c r="AE256" s="28" t="n"/>
      <c r="AF256" s="28" t="n"/>
      <c r="AG256" s="29">
        <f>IF(AND(AD256=0,AE256=0,AF256=0),0,IF(AND(AD256=0,AE256=0),AF256/1,IF(AND(AD256=0,AF256=0),AE256/1,IF(AND(AE256=0,AF256=0),AD256/1,IF(AD256=0,FLOOR((AE256+AF256)/2,0.1),IF(AE256=0,(AD256+AF256)/2,IF(AF256=0,(AE256+AD256)/2,FLOOR(((AD256+AE256+AF256)/3),0.1))))))))</f>
        <v/>
      </c>
      <c r="AH256" s="21" t="n"/>
      <c r="AI256" s="21" t="n"/>
      <c r="AJ256" s="27">
        <f>SUM(AH256:AI256)</f>
        <v/>
      </c>
      <c r="AK256" s="28" t="n"/>
      <c r="AL256" s="28" t="n"/>
      <c r="AM256" s="29">
        <f>IF(AND(AJ256=0,AK256=0,AL256=0),0,IF(AND(AJ256=0,AK256=0),AL256/1,IF(AND(AJ256=0,AL256=0),AK256/1,IF(AND(AK256=0,AL256=0),AJ256/1,IF(AJ256=0,FLOOR((AK256+AL256)/2,0.1),IF(AK256=0,(AJ256+AL256)/2,IF(AL256=0,(AK256+AJ256)/2,FLOOR(((AJ256+AK256+AL256)/3),0.1))))))))</f>
        <v/>
      </c>
      <c r="AN256" s="21" t="n"/>
      <c r="AO256" s="21" t="n"/>
      <c r="AP256" s="27">
        <f>SUM(AN256:AO256)</f>
        <v/>
      </c>
      <c r="AQ256" s="28" t="n"/>
      <c r="AR256" s="30" t="n"/>
      <c r="AS256" s="29">
        <f>IF(AND(AP256=0,AQ256=0,AR256=0),0,IF(AND(AP256=0,AQ256=0),AR256/1,IF(AND(AP256=0,AR256=0),AQ256/1,IF(AND(AQ256=0,AR256=0),AP256/1,IF(AP256=0,FLOOR((AQ256+AR256)/2,0.1),IF(AQ256=0,(AP256+AR256)/2,IF(AR256=0,(AQ256+AP256)/2,FLOOR(((AP256+AQ256+AR256)/3),0.1))))))))</f>
        <v/>
      </c>
      <c r="AT256" s="21" t="n"/>
      <c r="AU256" s="21" t="n"/>
      <c r="AV256" s="27">
        <f>SUM(AT256:AU256)</f>
        <v/>
      </c>
      <c r="AW256" s="28" t="n"/>
      <c r="AX256" s="30" t="n"/>
      <c r="AY256" s="29">
        <f>IF(AND(AV256=0,AW256=0,AX256=0),0,IF(AND(AV256=0,AW256=0),AX256/1,IF(AND(AV256=0,AX256=0),AW256/1,IF(AND(AW256=0,AX256=0),AV256/1,IF(AV256=0,FLOOR((AW256+AX256)/2,0.1),IF(AW256=0,(AV256+AX256)/2,IF(AX256=0,(AW256+AV256)/2,FLOOR(((AV256+AW256+AX256)/3),0.1))))))))</f>
        <v/>
      </c>
      <c r="AZ256" s="21" t="n"/>
      <c r="BA256" s="21" t="n"/>
      <c r="BB256" s="27">
        <f>SUM(AZ256:BA256)</f>
        <v/>
      </c>
      <c r="BC256" s="28" t="n"/>
      <c r="BD256" s="28" t="n"/>
      <c r="BE256" s="29">
        <f>IF(AND(BB256=0,BC256=0,BD256=0),0,IF(AND(BB256=0,BC256=0),BD256/1,IF(AND(BB256=0,BD256=0),BC256/1,IF(AND(BC256=0,BD256=0),BB256/1,IF(BB256=0,FLOOR((BC256+BD256)/2,0.1),IF(BC256=0,(BB256+BD256)/2,IF(BD256=0,(BC256+BB256)/2,FLOOR(((BB256+BC256+BD256)/3),0.1))))))))</f>
        <v/>
      </c>
      <c r="BF256" s="21" t="n"/>
      <c r="BG256" s="21" t="n"/>
      <c r="BH256" s="27">
        <f>SUM(BF256:BG256)</f>
        <v/>
      </c>
      <c r="BI256" s="28" t="n"/>
      <c r="BJ256" s="28" t="n"/>
      <c r="BK256" s="29">
        <f>IF(AND(BH256=0,BI256=0,BJ256=0),0,IF(AND(BH256=0,BI256=0),BJ256/1,IF(AND(BH256=0,BJ256=0),BI256/1,IF(AND(BI256=0,BJ256=0),BH256/1,IF(BH256=0,FLOOR((BI256+BJ256)/2,0.1),IF(BI256=0,(BH256+BJ256)/2,IF(BJ256=0,(BI256+BH256)/2,FLOOR(((BH256+BI256+BJ256)/3),0.1))))))))</f>
        <v/>
      </c>
      <c r="BL256" s="21" t="n"/>
      <c r="BM256" s="21" t="n"/>
      <c r="BN256" s="27">
        <f>SUM(BL256:BM256)</f>
        <v/>
      </c>
      <c r="BO256" s="28" t="n"/>
      <c r="BP256" s="31" t="n"/>
      <c r="BQ256" s="29">
        <f>IF(AND(BN256=0,BO256=0,BP256=0),0,IF(AND(BN256=0,BO256=0),BP256/1,IF(AND(BN256=0,BP256=0),BO256/1,IF(AND(BO256=0,BP256=0),BN256/1,IF(BN256=0,FLOOR((BO256+BP256)/2,0.1),IF(BO256=0,(BN256+BP256)/2,IF(BP256=0,(BO256+BN256)/2,FLOOR(((BN256+BO256+BP256)/3),0.1))))))))</f>
        <v/>
      </c>
      <c r="BR256" s="21" t="n"/>
      <c r="BS256" s="21" t="n"/>
      <c r="BT256" s="27">
        <f>SUM(BR256:BS256)</f>
        <v/>
      </c>
      <c r="BU256" s="28" t="n"/>
      <c r="BV256" s="31" t="n"/>
      <c r="BW256" s="29">
        <f>IF(AND(BT256=0,BU256=0,BV256=0),0,IF(AND(BT256=0,BU256=0),BV256/1,IF(AND(BT256=0,BV256=0),BU256/1,IF(AND(BU256=0,BV256=0),BT256/1,IF(BT256=0,FLOOR((BU256+BV256)/2,0.1),IF(BU256=0,(BT256+BV256)/2,IF(BV256=0,(BU256+BT256)/2,FLOOR(((BT256+BU256+BV256)/3),0.1))))))))</f>
        <v/>
      </c>
      <c r="BX256" s="21" t="n"/>
      <c r="BY256" s="21" t="n"/>
      <c r="BZ256" s="27">
        <f>SUM(BX256:BY256)</f>
        <v/>
      </c>
      <c r="CA256" s="28" t="n"/>
      <c r="CB256" s="31" t="n"/>
      <c r="CC256" s="29">
        <f>IF(AND(BZ256=0,CA256=0,CB256=0),0,IF(AND(BZ256=0,CA256=0),CB256/1,IF(AND(BZ256=0,CB256=0),CA256/1,IF(AND(CA256=0,CB256=0),BZ256/1,IF(BZ256=0,FLOOR((CA256+CB256)/2,0.1),IF(CA256=0,(BZ256+CB256)/2,IF(CB256=0,(CA256+BZ256)/2,FLOOR(((BZ256+CA256+CB256)/3),0.1))))))))</f>
        <v/>
      </c>
      <c r="CD256" s="21" t="n"/>
      <c r="CE256" s="21" t="n"/>
      <c r="CF256" s="27">
        <f>SUM(CD256:CE256)</f>
        <v/>
      </c>
      <c r="CG256" s="28" t="n"/>
      <c r="CH256" s="31" t="n"/>
      <c r="CI256" s="29">
        <f>IF(AND(CF256=0,CG256=0,CH256=0),0,IF(AND(CF256=0,CG256=0),CH256/1,IF(AND(CF256=0,CH256=0),CG256/1,IF(AND(CG256=0,CH256=0),CF256/1,IF(CF256=0,FLOOR((CG256+CH256)/2,0.1),IF(CG256=0,(CF256+CH256)/2,IF(CH256=0,(CG256+CF256)/2,FLOOR(((CF256+CG256+CH256)/3),0.1))))))))</f>
        <v/>
      </c>
      <c r="CJ256" s="21" t="n"/>
      <c r="CK256" s="21" t="n"/>
      <c r="CL256" s="27">
        <f>SUM(CJ256:CK256)</f>
        <v/>
      </c>
      <c r="CM256" s="28" t="n"/>
      <c r="CN256" s="31" t="n"/>
      <c r="CO256" s="29">
        <f>IF(AND(CL256=0,CM256=0,CN256=0),0,IF(AND(CL256=0,CM256=0),CN256/1,IF(AND(CL256=0,CN256=0),CM256/1,IF(AND(CM256=0,CN256=0),CL256/1,IF(CL256=0,FLOOR((CM256+CN256)/2,0.1),IF(CM256=0,(CL256+CN256)/2,IF(CN256=0,(CM256+CL256)/2,FLOOR(((CL256+CM256+CN256)/3),0.1))))))))</f>
        <v/>
      </c>
      <c r="CP256" s="21" t="n"/>
      <c r="CQ256" s="21" t="n"/>
      <c r="CR256" s="27">
        <f>SUM(CP256:CQ256)</f>
        <v/>
      </c>
      <c r="CS256" s="28" t="n"/>
      <c r="CT256" s="31" t="n"/>
      <c r="CU256" s="29">
        <f>IF(AND(CR256=0,CS256=0,CT256=0),0,IF(AND(CR256=0,CS256=0),CT256/1,IF(AND(CR256=0,CT256=0),CS256/1,IF(AND(CS256=0,CT256=0),CR256/1,IF(CR256=0,FLOOR((CS256+CT256)/2,0.1),IF(CS256=0,(CR256+CT256)/2,IF(CT256=0,(CS256+CR256)/2,FLOOR(((CR256+CS256+CT256)/3),0.1))))))))</f>
        <v/>
      </c>
      <c r="CV256" s="21" t="n"/>
      <c r="CW256" s="21" t="n"/>
      <c r="CX256" s="27">
        <f>SUM(CV256:CW256)</f>
        <v/>
      </c>
      <c r="CY256" s="28" t="n"/>
      <c r="CZ256" s="31" t="n"/>
      <c r="DA256" s="29">
        <f>IF(AND(CX256=0,CY256=0,CZ256=0),0,IF(AND(CX256=0,CY256=0),CZ256/1,IF(AND(CX256=0,CZ256=0),CY256/1,IF(AND(CY256=0,CZ256=0),CX256/1,IF(CX256=0,FLOOR((CY256+CZ256)/2,0.1),IF(CY256=0,(CX256+CZ256)/2,IF(CZ256=0,(CY256+CX256)/2,FLOOR(((CX256+CY256+CZ256)/3),0.1))))))))</f>
        <v/>
      </c>
      <c r="DB256" s="21" t="n"/>
      <c r="DC256" s="21" t="n"/>
      <c r="DD256" s="27">
        <f>SUM(DB256:DC256)</f>
        <v/>
      </c>
      <c r="DE256" s="28" t="n"/>
      <c r="DF256" s="31" t="n"/>
      <c r="DG256" s="29">
        <f>IF(AND(DD256=0,DE256=0,DF256=0),0,IF(AND(DD256=0,DE256=0),DF256/1,IF(AND(DD256=0,DF256=0),DE256/1,IF(AND(DE256=0,DF256=0),DD256/1,IF(DD256=0,FLOOR((DE256+DF256)/2,0.1),IF(DE256=0,(DD256+DF256)/2,IF(DF256=0,(DE256+DD256)/2,FLOOR(((DD256+DE256+DF256)/3),0.1))))))))</f>
        <v/>
      </c>
      <c r="DH256" s="34">
        <f>SUM(O256,U256,AA256,AG256,AM256,AS256,AY256,BE256,BK256,BQ256,BW256,CC256,CI256,CO256,CU256,DA256,DG256)</f>
        <v/>
      </c>
      <c r="DI256" s="39">
        <f>RANK(DH256,DH$4:DH$503)</f>
        <v/>
      </c>
      <c r="DJ256" s="40" t="inlineStr">
        <is>
          <t>CHOOSE RATING</t>
        </is>
      </c>
      <c r="DK256" s="40" t="inlineStr">
        <is>
          <t>CHOOSE RATING</t>
        </is>
      </c>
      <c r="DL256" s="40" t="inlineStr">
        <is>
          <t>CHOOSE RATING</t>
        </is>
      </c>
      <c r="DM256" s="40" t="inlineStr">
        <is>
          <t>CHOOSE RATING</t>
        </is>
      </c>
      <c r="DN256" s="40" t="inlineStr">
        <is>
          <t>CHOOSE RATING</t>
        </is>
      </c>
      <c r="DO256" s="40" t="inlineStr">
        <is>
          <t>CHOOSE RATING</t>
        </is>
      </c>
      <c r="DP256" s="40" t="inlineStr">
        <is>
          <t>CHOOSE RATING</t>
        </is>
      </c>
      <c r="DQ256" s="40" t="inlineStr">
        <is>
          <t>CHOOSE RATING</t>
        </is>
      </c>
      <c r="DR256" s="43" t="inlineStr">
        <is>
          <t>2024/2025</t>
        </is>
      </c>
      <c r="DS256" s="45" t="inlineStr">
        <is>
          <t>THIRD</t>
        </is>
      </c>
      <c r="DT256" s="40" t="inlineStr">
        <is>
          <t>CHOOSE RATING</t>
        </is>
      </c>
      <c r="DU256" s="40" t="inlineStr">
        <is>
          <t>CHOOSE RATING</t>
        </is>
      </c>
      <c r="DV256" s="40" t="inlineStr">
        <is>
          <t>CHOOSE RATING</t>
        </is>
      </c>
      <c r="DW256" s="40" t="inlineStr">
        <is>
          <t>CHOOSE RATING</t>
        </is>
      </c>
      <c r="DX256" s="40" t="inlineStr">
        <is>
          <t>CHOOSE RATING</t>
        </is>
      </c>
      <c r="DY256" s="40" t="inlineStr">
        <is>
          <t>CHOOSE RATING</t>
        </is>
      </c>
      <c r="DZ256" s="53" t="inlineStr">
        <is>
          <t>CHOOSE RATING</t>
        </is>
      </c>
      <c r="EA256" s="54" t="inlineStr">
        <is>
          <t>Add the Tutor's Comment . . .</t>
        </is>
      </c>
      <c r="EB256" s="55" t="inlineStr">
        <is>
          <t>Choose Principals comment</t>
        </is>
      </c>
      <c r="EC256" s="56" t="n"/>
      <c r="ED256" s="57" t="inlineStr">
        <is>
          <t>Next Term Begins on Monday, 22nd September, 2025</t>
        </is>
      </c>
    </row>
    <row r="257" ht="30.6" customHeight="1" s="6">
      <c r="A257" s="18" t="n">
        <v>254</v>
      </c>
      <c r="B257" s="19" t="n"/>
      <c r="C257" s="20" t="n"/>
      <c r="D257" s="128" t="n"/>
      <c r="E257" s="21" t="n"/>
      <c r="F257" s="22" t="n"/>
      <c r="G257" s="22" t="n"/>
      <c r="H257" s="22" t="n"/>
      <c r="I257" s="26">
        <f>G257-H257</f>
        <v/>
      </c>
      <c r="J257" s="21" t="n"/>
      <c r="K257" s="21" t="n"/>
      <c r="L257" s="27">
        <f>SUM(J257:K257)</f>
        <v/>
      </c>
      <c r="M257" s="28" t="n"/>
      <c r="N257" s="28" t="n"/>
      <c r="O257" s="29">
        <f>IF(AND(L257=0,M257=0,N257=0),0,IF(AND(L257=0,M257=0),N257/1,IF(AND(L257=0,N257=0),M257/1,IF(AND(M257=0,N257=0),L257/1,IF(L257=0,FLOOR((M257+N257)/2,0.1),IF(M257=0,(L257+N257)/2,IF(N257=0,(M257+L257)/2,FLOOR(((L257+M257+N257)/3),0.1))))))))</f>
        <v/>
      </c>
      <c r="P257" s="21" t="n"/>
      <c r="Q257" s="21" t="n"/>
      <c r="R257" s="27">
        <f>SUM(P257:Q257)</f>
        <v/>
      </c>
      <c r="S257" s="28" t="n"/>
      <c r="T257" s="28" t="n"/>
      <c r="U257" s="29">
        <f>IF(AND(R257=0,S257=0,T257=0),0,IF(AND(R257=0,S257=0),T257/1,IF(AND(R257=0,T257=0),S257/1,IF(AND(S257=0,T257=0),R257/1,IF(R257=0,FLOOR((S257+T257)/2,0.1),IF(S257=0,(R257+T257)/2,IF(T257=0,(S257+R257)/2,FLOOR(((R257+S257+T257)/3),0.1))))))))</f>
        <v/>
      </c>
      <c r="V257" s="21" t="n"/>
      <c r="W257" s="21" t="n"/>
      <c r="X257" s="27">
        <f>SUM(V257:W257)</f>
        <v/>
      </c>
      <c r="Y257" s="28" t="n"/>
      <c r="Z257" s="28" t="n"/>
      <c r="AA257" s="29">
        <f>IF(AND(X257=0,Y257=0,Z257=0),0,IF(AND(X257=0,Y257=0),Z257/1,IF(AND(X257=0,Z257=0),Y257/1,IF(AND(Y257=0,Z257=0),X257/1,IF(X257=0,FLOOR((Y257+Z257)/2,0.1),IF(Y257=0,(X257+Z257)/2,IF(Z257=0,(Y257+X257)/2,FLOOR(((X257+Y257+Z257)/3),0.1))))))))</f>
        <v/>
      </c>
      <c r="AB257" s="21" t="n"/>
      <c r="AC257" s="21" t="n"/>
      <c r="AD257" s="27">
        <f>SUM(AB257:AC257)</f>
        <v/>
      </c>
      <c r="AE257" s="28" t="n"/>
      <c r="AF257" s="28" t="n"/>
      <c r="AG257" s="29">
        <f>IF(AND(AD257=0,AE257=0,AF257=0),0,IF(AND(AD257=0,AE257=0),AF257/1,IF(AND(AD257=0,AF257=0),AE257/1,IF(AND(AE257=0,AF257=0),AD257/1,IF(AD257=0,FLOOR((AE257+AF257)/2,0.1),IF(AE257=0,(AD257+AF257)/2,IF(AF257=0,(AE257+AD257)/2,FLOOR(((AD257+AE257+AF257)/3),0.1))))))))</f>
        <v/>
      </c>
      <c r="AH257" s="21" t="n"/>
      <c r="AI257" s="21" t="n"/>
      <c r="AJ257" s="27">
        <f>SUM(AH257:AI257)</f>
        <v/>
      </c>
      <c r="AK257" s="28" t="n"/>
      <c r="AL257" s="28" t="n"/>
      <c r="AM257" s="29">
        <f>IF(AND(AJ257=0,AK257=0,AL257=0),0,IF(AND(AJ257=0,AK257=0),AL257/1,IF(AND(AJ257=0,AL257=0),AK257/1,IF(AND(AK257=0,AL257=0),AJ257/1,IF(AJ257=0,FLOOR((AK257+AL257)/2,0.1),IF(AK257=0,(AJ257+AL257)/2,IF(AL257=0,(AK257+AJ257)/2,FLOOR(((AJ257+AK257+AL257)/3),0.1))))))))</f>
        <v/>
      </c>
      <c r="AN257" s="21" t="n"/>
      <c r="AO257" s="21" t="n"/>
      <c r="AP257" s="27">
        <f>SUM(AN257:AO257)</f>
        <v/>
      </c>
      <c r="AQ257" s="28" t="n"/>
      <c r="AR257" s="30" t="n"/>
      <c r="AS257" s="29">
        <f>IF(AND(AP257=0,AQ257=0,AR257=0),0,IF(AND(AP257=0,AQ257=0),AR257/1,IF(AND(AP257=0,AR257=0),AQ257/1,IF(AND(AQ257=0,AR257=0),AP257/1,IF(AP257=0,FLOOR((AQ257+AR257)/2,0.1),IF(AQ257=0,(AP257+AR257)/2,IF(AR257=0,(AQ257+AP257)/2,FLOOR(((AP257+AQ257+AR257)/3),0.1))))))))</f>
        <v/>
      </c>
      <c r="AT257" s="21" t="n"/>
      <c r="AU257" s="21" t="n"/>
      <c r="AV257" s="27">
        <f>SUM(AT257:AU257)</f>
        <v/>
      </c>
      <c r="AW257" s="28" t="n"/>
      <c r="AX257" s="30" t="n"/>
      <c r="AY257" s="29">
        <f>IF(AND(AV257=0,AW257=0,AX257=0),0,IF(AND(AV257=0,AW257=0),AX257/1,IF(AND(AV257=0,AX257=0),AW257/1,IF(AND(AW257=0,AX257=0),AV257/1,IF(AV257=0,FLOOR((AW257+AX257)/2,0.1),IF(AW257=0,(AV257+AX257)/2,IF(AX257=0,(AW257+AV257)/2,FLOOR(((AV257+AW257+AX257)/3),0.1))))))))</f>
        <v/>
      </c>
      <c r="AZ257" s="21" t="n"/>
      <c r="BA257" s="21" t="n"/>
      <c r="BB257" s="27">
        <f>SUM(AZ257:BA257)</f>
        <v/>
      </c>
      <c r="BC257" s="28" t="n"/>
      <c r="BD257" s="28" t="n"/>
      <c r="BE257" s="29">
        <f>IF(AND(BB257=0,BC257=0,BD257=0),0,IF(AND(BB257=0,BC257=0),BD257/1,IF(AND(BB257=0,BD257=0),BC257/1,IF(AND(BC257=0,BD257=0),BB257/1,IF(BB257=0,FLOOR((BC257+BD257)/2,0.1),IF(BC257=0,(BB257+BD257)/2,IF(BD257=0,(BC257+BB257)/2,FLOOR(((BB257+BC257+BD257)/3),0.1))))))))</f>
        <v/>
      </c>
      <c r="BF257" s="21" t="n"/>
      <c r="BG257" s="21" t="n"/>
      <c r="BH257" s="27">
        <f>SUM(BF257:BG257)</f>
        <v/>
      </c>
      <c r="BI257" s="28" t="n"/>
      <c r="BJ257" s="28" t="n"/>
      <c r="BK257" s="29">
        <f>IF(AND(BH257=0,BI257=0,BJ257=0),0,IF(AND(BH257=0,BI257=0),BJ257/1,IF(AND(BH257=0,BJ257=0),BI257/1,IF(AND(BI257=0,BJ257=0),BH257/1,IF(BH257=0,FLOOR((BI257+BJ257)/2,0.1),IF(BI257=0,(BH257+BJ257)/2,IF(BJ257=0,(BI257+BH257)/2,FLOOR(((BH257+BI257+BJ257)/3),0.1))))))))</f>
        <v/>
      </c>
      <c r="BL257" s="21" t="n"/>
      <c r="BM257" s="21" t="n"/>
      <c r="BN257" s="27">
        <f>SUM(BL257:BM257)</f>
        <v/>
      </c>
      <c r="BO257" s="28" t="n"/>
      <c r="BP257" s="31" t="n"/>
      <c r="BQ257" s="29">
        <f>IF(AND(BN257=0,BO257=0,BP257=0),0,IF(AND(BN257=0,BO257=0),BP257/1,IF(AND(BN257=0,BP257=0),BO257/1,IF(AND(BO257=0,BP257=0),BN257/1,IF(BN257=0,FLOOR((BO257+BP257)/2,0.1),IF(BO257=0,(BN257+BP257)/2,IF(BP257=0,(BO257+BN257)/2,FLOOR(((BN257+BO257+BP257)/3),0.1))))))))</f>
        <v/>
      </c>
      <c r="BR257" s="21" t="n"/>
      <c r="BS257" s="21" t="n"/>
      <c r="BT257" s="27">
        <f>SUM(BR257:BS257)</f>
        <v/>
      </c>
      <c r="BU257" s="28" t="n"/>
      <c r="BV257" s="31" t="n"/>
      <c r="BW257" s="29">
        <f>IF(AND(BT257=0,BU257=0,BV257=0),0,IF(AND(BT257=0,BU257=0),BV257/1,IF(AND(BT257=0,BV257=0),BU257/1,IF(AND(BU257=0,BV257=0),BT257/1,IF(BT257=0,FLOOR((BU257+BV257)/2,0.1),IF(BU257=0,(BT257+BV257)/2,IF(BV257=0,(BU257+BT257)/2,FLOOR(((BT257+BU257+BV257)/3),0.1))))))))</f>
        <v/>
      </c>
      <c r="BX257" s="21" t="n"/>
      <c r="BY257" s="21" t="n"/>
      <c r="BZ257" s="27">
        <f>SUM(BX257:BY257)</f>
        <v/>
      </c>
      <c r="CA257" s="28" t="n"/>
      <c r="CB257" s="31" t="n"/>
      <c r="CC257" s="29">
        <f>IF(AND(BZ257=0,CA257=0,CB257=0),0,IF(AND(BZ257=0,CA257=0),CB257/1,IF(AND(BZ257=0,CB257=0),CA257/1,IF(AND(CA257=0,CB257=0),BZ257/1,IF(BZ257=0,FLOOR((CA257+CB257)/2,0.1),IF(CA257=0,(BZ257+CB257)/2,IF(CB257=0,(CA257+BZ257)/2,FLOOR(((BZ257+CA257+CB257)/3),0.1))))))))</f>
        <v/>
      </c>
      <c r="CD257" s="21" t="n"/>
      <c r="CE257" s="21" t="n"/>
      <c r="CF257" s="27">
        <f>SUM(CD257:CE257)</f>
        <v/>
      </c>
      <c r="CG257" s="28" t="n"/>
      <c r="CH257" s="31" t="n"/>
      <c r="CI257" s="29">
        <f>IF(AND(CF257=0,CG257=0,CH257=0),0,IF(AND(CF257=0,CG257=0),CH257/1,IF(AND(CF257=0,CH257=0),CG257/1,IF(AND(CG257=0,CH257=0),CF257/1,IF(CF257=0,FLOOR((CG257+CH257)/2,0.1),IF(CG257=0,(CF257+CH257)/2,IF(CH257=0,(CG257+CF257)/2,FLOOR(((CF257+CG257+CH257)/3),0.1))))))))</f>
        <v/>
      </c>
      <c r="CJ257" s="21" t="n"/>
      <c r="CK257" s="21" t="n"/>
      <c r="CL257" s="27">
        <f>SUM(CJ257:CK257)</f>
        <v/>
      </c>
      <c r="CM257" s="28" t="n"/>
      <c r="CN257" s="31" t="n"/>
      <c r="CO257" s="29">
        <f>IF(AND(CL257=0,CM257=0,CN257=0),0,IF(AND(CL257=0,CM257=0),CN257/1,IF(AND(CL257=0,CN257=0),CM257/1,IF(AND(CM257=0,CN257=0),CL257/1,IF(CL257=0,FLOOR((CM257+CN257)/2,0.1),IF(CM257=0,(CL257+CN257)/2,IF(CN257=0,(CM257+CL257)/2,FLOOR(((CL257+CM257+CN257)/3),0.1))))))))</f>
        <v/>
      </c>
      <c r="CP257" s="21" t="n"/>
      <c r="CQ257" s="21" t="n"/>
      <c r="CR257" s="27">
        <f>SUM(CP257:CQ257)</f>
        <v/>
      </c>
      <c r="CS257" s="28" t="n"/>
      <c r="CT257" s="31" t="n"/>
      <c r="CU257" s="29">
        <f>IF(AND(CR257=0,CS257=0,CT257=0),0,IF(AND(CR257=0,CS257=0),CT257/1,IF(AND(CR257=0,CT257=0),CS257/1,IF(AND(CS257=0,CT257=0),CR257/1,IF(CR257=0,FLOOR((CS257+CT257)/2,0.1),IF(CS257=0,(CR257+CT257)/2,IF(CT257=0,(CS257+CR257)/2,FLOOR(((CR257+CS257+CT257)/3),0.1))))))))</f>
        <v/>
      </c>
      <c r="CV257" s="21" t="n"/>
      <c r="CW257" s="21" t="n"/>
      <c r="CX257" s="27">
        <f>SUM(CV257:CW257)</f>
        <v/>
      </c>
      <c r="CY257" s="28" t="n"/>
      <c r="CZ257" s="31" t="n"/>
      <c r="DA257" s="29">
        <f>IF(AND(CX257=0,CY257=0,CZ257=0),0,IF(AND(CX257=0,CY257=0),CZ257/1,IF(AND(CX257=0,CZ257=0),CY257/1,IF(AND(CY257=0,CZ257=0),CX257/1,IF(CX257=0,FLOOR((CY257+CZ257)/2,0.1),IF(CY257=0,(CX257+CZ257)/2,IF(CZ257=0,(CY257+CX257)/2,FLOOR(((CX257+CY257+CZ257)/3),0.1))))))))</f>
        <v/>
      </c>
      <c r="DB257" s="21" t="n"/>
      <c r="DC257" s="21" t="n"/>
      <c r="DD257" s="27">
        <f>SUM(DB257:DC257)</f>
        <v/>
      </c>
      <c r="DE257" s="28" t="n"/>
      <c r="DF257" s="31" t="n"/>
      <c r="DG257" s="29">
        <f>IF(AND(DD257=0,DE257=0,DF257=0),0,IF(AND(DD257=0,DE257=0),DF257/1,IF(AND(DD257=0,DF257=0),DE257/1,IF(AND(DE257=0,DF257=0),DD257/1,IF(DD257=0,FLOOR((DE257+DF257)/2,0.1),IF(DE257=0,(DD257+DF257)/2,IF(DF257=0,(DE257+DD257)/2,FLOOR(((DD257+DE257+DF257)/3),0.1))))))))</f>
        <v/>
      </c>
      <c r="DH257" s="34">
        <f>SUM(O257,U257,AA257,AG257,AM257,AS257,AY257,BE257,BK257,BQ257,BW257,CC257,CI257,CO257,CU257,DA257,DG257)</f>
        <v/>
      </c>
      <c r="DI257" s="39">
        <f>RANK(DH257,DH$4:DH$503)</f>
        <v/>
      </c>
      <c r="DJ257" s="40" t="inlineStr">
        <is>
          <t>CHOOSE RATING</t>
        </is>
      </c>
      <c r="DK257" s="40" t="inlineStr">
        <is>
          <t>CHOOSE RATING</t>
        </is>
      </c>
      <c r="DL257" s="40" t="inlineStr">
        <is>
          <t>CHOOSE RATING</t>
        </is>
      </c>
      <c r="DM257" s="40" t="inlineStr">
        <is>
          <t>CHOOSE RATING</t>
        </is>
      </c>
      <c r="DN257" s="40" t="inlineStr">
        <is>
          <t>CHOOSE RATING</t>
        </is>
      </c>
      <c r="DO257" s="40" t="inlineStr">
        <is>
          <t>CHOOSE RATING</t>
        </is>
      </c>
      <c r="DP257" s="40" t="inlineStr">
        <is>
          <t>CHOOSE RATING</t>
        </is>
      </c>
      <c r="DQ257" s="40" t="inlineStr">
        <is>
          <t>CHOOSE RATING</t>
        </is>
      </c>
      <c r="DR257" s="43" t="inlineStr">
        <is>
          <t>2024/2025</t>
        </is>
      </c>
      <c r="DS257" s="45" t="inlineStr">
        <is>
          <t>THIRD</t>
        </is>
      </c>
      <c r="DT257" s="40" t="inlineStr">
        <is>
          <t>CHOOSE RATING</t>
        </is>
      </c>
      <c r="DU257" s="40" t="inlineStr">
        <is>
          <t>CHOOSE RATING</t>
        </is>
      </c>
      <c r="DV257" s="40" t="inlineStr">
        <is>
          <t>CHOOSE RATING</t>
        </is>
      </c>
      <c r="DW257" s="40" t="inlineStr">
        <is>
          <t>CHOOSE RATING</t>
        </is>
      </c>
      <c r="DX257" s="40" t="inlineStr">
        <is>
          <t>CHOOSE RATING</t>
        </is>
      </c>
      <c r="DY257" s="40" t="inlineStr">
        <is>
          <t>CHOOSE RATING</t>
        </is>
      </c>
      <c r="DZ257" s="53" t="inlineStr">
        <is>
          <t>CHOOSE RATING</t>
        </is>
      </c>
      <c r="EA257" s="54" t="inlineStr">
        <is>
          <t>Add the Tutor's Comment . . .</t>
        </is>
      </c>
      <c r="EB257" s="55" t="inlineStr">
        <is>
          <t>Choose Principals comment</t>
        </is>
      </c>
      <c r="EC257" s="56" t="n"/>
      <c r="ED257" s="57" t="inlineStr">
        <is>
          <t>Next Term Begins on Monday, 22nd September, 2025</t>
        </is>
      </c>
    </row>
    <row r="258" ht="30.6" customHeight="1" s="6">
      <c r="A258" s="18" t="n">
        <v>255</v>
      </c>
      <c r="B258" s="19" t="n"/>
      <c r="C258" s="20" t="n"/>
      <c r="D258" s="128" t="n"/>
      <c r="E258" s="21" t="n"/>
      <c r="F258" s="22" t="n"/>
      <c r="G258" s="22" t="n"/>
      <c r="H258" s="22" t="n"/>
      <c r="I258" s="26">
        <f>G258-H258</f>
        <v/>
      </c>
      <c r="J258" s="21" t="n"/>
      <c r="K258" s="21" t="n"/>
      <c r="L258" s="27">
        <f>SUM(J258:K258)</f>
        <v/>
      </c>
      <c r="M258" s="28" t="n"/>
      <c r="N258" s="28" t="n"/>
      <c r="O258" s="29">
        <f>IF(AND(L258=0,M258=0,N258=0),0,IF(AND(L258=0,M258=0),N258/1,IF(AND(L258=0,N258=0),M258/1,IF(AND(M258=0,N258=0),L258/1,IF(L258=0,FLOOR((M258+N258)/2,0.1),IF(M258=0,(L258+N258)/2,IF(N258=0,(M258+L258)/2,FLOOR(((L258+M258+N258)/3),0.1))))))))</f>
        <v/>
      </c>
      <c r="P258" s="21" t="n"/>
      <c r="Q258" s="21" t="n"/>
      <c r="R258" s="27">
        <f>SUM(P258:Q258)</f>
        <v/>
      </c>
      <c r="S258" s="28" t="n"/>
      <c r="T258" s="28" t="n"/>
      <c r="U258" s="29">
        <f>IF(AND(R258=0,S258=0,T258=0),0,IF(AND(R258=0,S258=0),T258/1,IF(AND(R258=0,T258=0),S258/1,IF(AND(S258=0,T258=0),R258/1,IF(R258=0,FLOOR((S258+T258)/2,0.1),IF(S258=0,(R258+T258)/2,IF(T258=0,(S258+R258)/2,FLOOR(((R258+S258+T258)/3),0.1))))))))</f>
        <v/>
      </c>
      <c r="V258" s="21" t="n"/>
      <c r="W258" s="21" t="n"/>
      <c r="X258" s="27">
        <f>SUM(V258:W258)</f>
        <v/>
      </c>
      <c r="Y258" s="28" t="n"/>
      <c r="Z258" s="28" t="n"/>
      <c r="AA258" s="29">
        <f>IF(AND(X258=0,Y258=0,Z258=0),0,IF(AND(X258=0,Y258=0),Z258/1,IF(AND(X258=0,Z258=0),Y258/1,IF(AND(Y258=0,Z258=0),X258/1,IF(X258=0,FLOOR((Y258+Z258)/2,0.1),IF(Y258=0,(X258+Z258)/2,IF(Z258=0,(Y258+X258)/2,FLOOR(((X258+Y258+Z258)/3),0.1))))))))</f>
        <v/>
      </c>
      <c r="AB258" s="21" t="n"/>
      <c r="AC258" s="21" t="n"/>
      <c r="AD258" s="27">
        <f>SUM(AB258:AC258)</f>
        <v/>
      </c>
      <c r="AE258" s="28" t="n"/>
      <c r="AF258" s="28" t="n"/>
      <c r="AG258" s="29">
        <f>IF(AND(AD258=0,AE258=0,AF258=0),0,IF(AND(AD258=0,AE258=0),AF258/1,IF(AND(AD258=0,AF258=0),AE258/1,IF(AND(AE258=0,AF258=0),AD258/1,IF(AD258=0,FLOOR((AE258+AF258)/2,0.1),IF(AE258=0,(AD258+AF258)/2,IF(AF258=0,(AE258+AD258)/2,FLOOR(((AD258+AE258+AF258)/3),0.1))))))))</f>
        <v/>
      </c>
      <c r="AH258" s="21" t="n"/>
      <c r="AI258" s="21" t="n"/>
      <c r="AJ258" s="27">
        <f>SUM(AH258:AI258)</f>
        <v/>
      </c>
      <c r="AK258" s="28" t="n"/>
      <c r="AL258" s="28" t="n"/>
      <c r="AM258" s="29">
        <f>IF(AND(AJ258=0,AK258=0,AL258=0),0,IF(AND(AJ258=0,AK258=0),AL258/1,IF(AND(AJ258=0,AL258=0),AK258/1,IF(AND(AK258=0,AL258=0),AJ258/1,IF(AJ258=0,FLOOR((AK258+AL258)/2,0.1),IF(AK258=0,(AJ258+AL258)/2,IF(AL258=0,(AK258+AJ258)/2,FLOOR(((AJ258+AK258+AL258)/3),0.1))))))))</f>
        <v/>
      </c>
      <c r="AN258" s="21" t="n"/>
      <c r="AO258" s="21" t="n"/>
      <c r="AP258" s="27">
        <f>SUM(AN258:AO258)</f>
        <v/>
      </c>
      <c r="AQ258" s="28" t="n"/>
      <c r="AR258" s="30" t="n"/>
      <c r="AS258" s="29">
        <f>IF(AND(AP258=0,AQ258=0,AR258=0),0,IF(AND(AP258=0,AQ258=0),AR258/1,IF(AND(AP258=0,AR258=0),AQ258/1,IF(AND(AQ258=0,AR258=0),AP258/1,IF(AP258=0,FLOOR((AQ258+AR258)/2,0.1),IF(AQ258=0,(AP258+AR258)/2,IF(AR258=0,(AQ258+AP258)/2,FLOOR(((AP258+AQ258+AR258)/3),0.1))))))))</f>
        <v/>
      </c>
      <c r="AT258" s="21" t="n"/>
      <c r="AU258" s="21" t="n"/>
      <c r="AV258" s="27">
        <f>SUM(AT258:AU258)</f>
        <v/>
      </c>
      <c r="AW258" s="28" t="n"/>
      <c r="AX258" s="30" t="n"/>
      <c r="AY258" s="29">
        <f>IF(AND(AV258=0,AW258=0,AX258=0),0,IF(AND(AV258=0,AW258=0),AX258/1,IF(AND(AV258=0,AX258=0),AW258/1,IF(AND(AW258=0,AX258=0),AV258/1,IF(AV258=0,FLOOR((AW258+AX258)/2,0.1),IF(AW258=0,(AV258+AX258)/2,IF(AX258=0,(AW258+AV258)/2,FLOOR(((AV258+AW258+AX258)/3),0.1))))))))</f>
        <v/>
      </c>
      <c r="AZ258" s="21" t="n"/>
      <c r="BA258" s="21" t="n"/>
      <c r="BB258" s="27">
        <f>SUM(AZ258:BA258)</f>
        <v/>
      </c>
      <c r="BC258" s="28" t="n"/>
      <c r="BD258" s="28" t="n"/>
      <c r="BE258" s="29">
        <f>IF(AND(BB258=0,BC258=0,BD258=0),0,IF(AND(BB258=0,BC258=0),BD258/1,IF(AND(BB258=0,BD258=0),BC258/1,IF(AND(BC258=0,BD258=0),BB258/1,IF(BB258=0,FLOOR((BC258+BD258)/2,0.1),IF(BC258=0,(BB258+BD258)/2,IF(BD258=0,(BC258+BB258)/2,FLOOR(((BB258+BC258+BD258)/3),0.1))))))))</f>
        <v/>
      </c>
      <c r="BF258" s="21" t="n"/>
      <c r="BG258" s="21" t="n"/>
      <c r="BH258" s="27">
        <f>SUM(BF258:BG258)</f>
        <v/>
      </c>
      <c r="BI258" s="28" t="n"/>
      <c r="BJ258" s="28" t="n"/>
      <c r="BK258" s="29">
        <f>IF(AND(BH258=0,BI258=0,BJ258=0),0,IF(AND(BH258=0,BI258=0),BJ258/1,IF(AND(BH258=0,BJ258=0),BI258/1,IF(AND(BI258=0,BJ258=0),BH258/1,IF(BH258=0,FLOOR((BI258+BJ258)/2,0.1),IF(BI258=0,(BH258+BJ258)/2,IF(BJ258=0,(BI258+BH258)/2,FLOOR(((BH258+BI258+BJ258)/3),0.1))))))))</f>
        <v/>
      </c>
      <c r="BL258" s="21" t="n"/>
      <c r="BM258" s="21" t="n"/>
      <c r="BN258" s="27">
        <f>SUM(BL258:BM258)</f>
        <v/>
      </c>
      <c r="BO258" s="28" t="n"/>
      <c r="BP258" s="31" t="n"/>
      <c r="BQ258" s="29">
        <f>IF(AND(BN258=0,BO258=0,BP258=0),0,IF(AND(BN258=0,BO258=0),BP258/1,IF(AND(BN258=0,BP258=0),BO258/1,IF(AND(BO258=0,BP258=0),BN258/1,IF(BN258=0,FLOOR((BO258+BP258)/2,0.1),IF(BO258=0,(BN258+BP258)/2,IF(BP258=0,(BO258+BN258)/2,FLOOR(((BN258+BO258+BP258)/3),0.1))))))))</f>
        <v/>
      </c>
      <c r="BR258" s="21" t="n"/>
      <c r="BS258" s="21" t="n"/>
      <c r="BT258" s="27">
        <f>SUM(BR258:BS258)</f>
        <v/>
      </c>
      <c r="BU258" s="28" t="n"/>
      <c r="BV258" s="31" t="n"/>
      <c r="BW258" s="29">
        <f>IF(AND(BT258=0,BU258=0,BV258=0),0,IF(AND(BT258=0,BU258=0),BV258/1,IF(AND(BT258=0,BV258=0),BU258/1,IF(AND(BU258=0,BV258=0),BT258/1,IF(BT258=0,FLOOR((BU258+BV258)/2,0.1),IF(BU258=0,(BT258+BV258)/2,IF(BV258=0,(BU258+BT258)/2,FLOOR(((BT258+BU258+BV258)/3),0.1))))))))</f>
        <v/>
      </c>
      <c r="BX258" s="21" t="n"/>
      <c r="BY258" s="21" t="n"/>
      <c r="BZ258" s="27">
        <f>SUM(BX258:BY258)</f>
        <v/>
      </c>
      <c r="CA258" s="28" t="n"/>
      <c r="CB258" s="31" t="n"/>
      <c r="CC258" s="29">
        <f>IF(AND(BZ258=0,CA258=0,CB258=0),0,IF(AND(BZ258=0,CA258=0),CB258/1,IF(AND(BZ258=0,CB258=0),CA258/1,IF(AND(CA258=0,CB258=0),BZ258/1,IF(BZ258=0,FLOOR((CA258+CB258)/2,0.1),IF(CA258=0,(BZ258+CB258)/2,IF(CB258=0,(CA258+BZ258)/2,FLOOR(((BZ258+CA258+CB258)/3),0.1))))))))</f>
        <v/>
      </c>
      <c r="CD258" s="21" t="n"/>
      <c r="CE258" s="21" t="n"/>
      <c r="CF258" s="27">
        <f>SUM(CD258:CE258)</f>
        <v/>
      </c>
      <c r="CG258" s="28" t="n"/>
      <c r="CH258" s="31" t="n"/>
      <c r="CI258" s="29">
        <f>IF(AND(CF258=0,CG258=0,CH258=0),0,IF(AND(CF258=0,CG258=0),CH258/1,IF(AND(CF258=0,CH258=0),CG258/1,IF(AND(CG258=0,CH258=0),CF258/1,IF(CF258=0,FLOOR((CG258+CH258)/2,0.1),IF(CG258=0,(CF258+CH258)/2,IF(CH258=0,(CG258+CF258)/2,FLOOR(((CF258+CG258+CH258)/3),0.1))))))))</f>
        <v/>
      </c>
      <c r="CJ258" s="21" t="n"/>
      <c r="CK258" s="21" t="n"/>
      <c r="CL258" s="27">
        <f>SUM(CJ258:CK258)</f>
        <v/>
      </c>
      <c r="CM258" s="28" t="n"/>
      <c r="CN258" s="31" t="n"/>
      <c r="CO258" s="29">
        <f>IF(AND(CL258=0,CM258=0,CN258=0),0,IF(AND(CL258=0,CM258=0),CN258/1,IF(AND(CL258=0,CN258=0),CM258/1,IF(AND(CM258=0,CN258=0),CL258/1,IF(CL258=0,FLOOR((CM258+CN258)/2,0.1),IF(CM258=0,(CL258+CN258)/2,IF(CN258=0,(CM258+CL258)/2,FLOOR(((CL258+CM258+CN258)/3),0.1))))))))</f>
        <v/>
      </c>
      <c r="CP258" s="21" t="n"/>
      <c r="CQ258" s="21" t="n"/>
      <c r="CR258" s="27">
        <f>SUM(CP258:CQ258)</f>
        <v/>
      </c>
      <c r="CS258" s="28" t="n"/>
      <c r="CT258" s="31" t="n"/>
      <c r="CU258" s="29">
        <f>IF(AND(CR258=0,CS258=0,CT258=0),0,IF(AND(CR258=0,CS258=0),CT258/1,IF(AND(CR258=0,CT258=0),CS258/1,IF(AND(CS258=0,CT258=0),CR258/1,IF(CR258=0,FLOOR((CS258+CT258)/2,0.1),IF(CS258=0,(CR258+CT258)/2,IF(CT258=0,(CS258+CR258)/2,FLOOR(((CR258+CS258+CT258)/3),0.1))))))))</f>
        <v/>
      </c>
      <c r="CV258" s="21" t="n"/>
      <c r="CW258" s="21" t="n"/>
      <c r="CX258" s="27">
        <f>SUM(CV258:CW258)</f>
        <v/>
      </c>
      <c r="CY258" s="28" t="n"/>
      <c r="CZ258" s="31" t="n"/>
      <c r="DA258" s="29">
        <f>IF(AND(CX258=0,CY258=0,CZ258=0),0,IF(AND(CX258=0,CY258=0),CZ258/1,IF(AND(CX258=0,CZ258=0),CY258/1,IF(AND(CY258=0,CZ258=0),CX258/1,IF(CX258=0,FLOOR((CY258+CZ258)/2,0.1),IF(CY258=0,(CX258+CZ258)/2,IF(CZ258=0,(CY258+CX258)/2,FLOOR(((CX258+CY258+CZ258)/3),0.1))))))))</f>
        <v/>
      </c>
      <c r="DB258" s="21" t="n"/>
      <c r="DC258" s="21" t="n"/>
      <c r="DD258" s="27">
        <f>SUM(DB258:DC258)</f>
        <v/>
      </c>
      <c r="DE258" s="28" t="n"/>
      <c r="DF258" s="31" t="n"/>
      <c r="DG258" s="29">
        <f>IF(AND(DD258=0,DE258=0,DF258=0),0,IF(AND(DD258=0,DE258=0),DF258/1,IF(AND(DD258=0,DF258=0),DE258/1,IF(AND(DE258=0,DF258=0),DD258/1,IF(DD258=0,FLOOR((DE258+DF258)/2,0.1),IF(DE258=0,(DD258+DF258)/2,IF(DF258=0,(DE258+DD258)/2,FLOOR(((DD258+DE258+DF258)/3),0.1))))))))</f>
        <v/>
      </c>
      <c r="DH258" s="34">
        <f>SUM(O258,U258,AA258,AG258,AM258,AS258,AY258,BE258,BK258,BQ258,BW258,CC258,CI258,CO258,CU258,DA258,DG258)</f>
        <v/>
      </c>
      <c r="DI258" s="39">
        <f>RANK(DH258,DH$4:DH$503)</f>
        <v/>
      </c>
      <c r="DJ258" s="40" t="inlineStr">
        <is>
          <t>CHOOSE RATING</t>
        </is>
      </c>
      <c r="DK258" s="40" t="inlineStr">
        <is>
          <t>CHOOSE RATING</t>
        </is>
      </c>
      <c r="DL258" s="40" t="inlineStr">
        <is>
          <t>CHOOSE RATING</t>
        </is>
      </c>
      <c r="DM258" s="40" t="inlineStr">
        <is>
          <t>CHOOSE RATING</t>
        </is>
      </c>
      <c r="DN258" s="40" t="inlineStr">
        <is>
          <t>CHOOSE RATING</t>
        </is>
      </c>
      <c r="DO258" s="40" t="inlineStr">
        <is>
          <t>CHOOSE RATING</t>
        </is>
      </c>
      <c r="DP258" s="40" t="inlineStr">
        <is>
          <t>CHOOSE RATING</t>
        </is>
      </c>
      <c r="DQ258" s="40" t="inlineStr">
        <is>
          <t>CHOOSE RATING</t>
        </is>
      </c>
      <c r="DR258" s="43" t="inlineStr">
        <is>
          <t>2024/2025</t>
        </is>
      </c>
      <c r="DS258" s="45" t="inlineStr">
        <is>
          <t>THIRD</t>
        </is>
      </c>
      <c r="DT258" s="40" t="inlineStr">
        <is>
          <t>CHOOSE RATING</t>
        </is>
      </c>
      <c r="DU258" s="40" t="inlineStr">
        <is>
          <t>CHOOSE RATING</t>
        </is>
      </c>
      <c r="DV258" s="40" t="inlineStr">
        <is>
          <t>CHOOSE RATING</t>
        </is>
      </c>
      <c r="DW258" s="40" t="inlineStr">
        <is>
          <t>CHOOSE RATING</t>
        </is>
      </c>
      <c r="DX258" s="40" t="inlineStr">
        <is>
          <t>CHOOSE RATING</t>
        </is>
      </c>
      <c r="DY258" s="40" t="inlineStr">
        <is>
          <t>CHOOSE RATING</t>
        </is>
      </c>
      <c r="DZ258" s="53" t="inlineStr">
        <is>
          <t>CHOOSE RATING</t>
        </is>
      </c>
      <c r="EA258" s="54" t="inlineStr">
        <is>
          <t>Add the Tutor's Comment . . .</t>
        </is>
      </c>
      <c r="EB258" s="55" t="inlineStr">
        <is>
          <t>Choose Principals comment</t>
        </is>
      </c>
      <c r="EC258" s="56" t="n"/>
      <c r="ED258" s="57" t="inlineStr">
        <is>
          <t>Next Term Begins on Monday, 22nd September, 2025</t>
        </is>
      </c>
    </row>
    <row r="259" ht="30.6" customHeight="1" s="6">
      <c r="A259" s="18" t="n">
        <v>256</v>
      </c>
      <c r="B259" s="19" t="n"/>
      <c r="C259" s="20" t="n"/>
      <c r="D259" s="128" t="n"/>
      <c r="E259" s="21" t="n"/>
      <c r="F259" s="22" t="n"/>
      <c r="G259" s="22" t="n"/>
      <c r="H259" s="22" t="n"/>
      <c r="I259" s="26">
        <f>G259-H259</f>
        <v/>
      </c>
      <c r="J259" s="21" t="n"/>
      <c r="K259" s="21" t="n"/>
      <c r="L259" s="27">
        <f>SUM(J259:K259)</f>
        <v/>
      </c>
      <c r="M259" s="28" t="n"/>
      <c r="N259" s="28" t="n"/>
      <c r="O259" s="29">
        <f>IF(AND(L259=0,M259=0,N259=0),0,IF(AND(L259=0,M259=0),N259/1,IF(AND(L259=0,N259=0),M259/1,IF(AND(M259=0,N259=0),L259/1,IF(L259=0,FLOOR((M259+N259)/2,0.1),IF(M259=0,(L259+N259)/2,IF(N259=0,(M259+L259)/2,FLOOR(((L259+M259+N259)/3),0.1))))))))</f>
        <v/>
      </c>
      <c r="P259" s="21" t="n"/>
      <c r="Q259" s="21" t="n"/>
      <c r="R259" s="27">
        <f>SUM(P259:Q259)</f>
        <v/>
      </c>
      <c r="S259" s="28" t="n"/>
      <c r="T259" s="28" t="n"/>
      <c r="U259" s="29">
        <f>IF(AND(R259=0,S259=0,T259=0),0,IF(AND(R259=0,S259=0),T259/1,IF(AND(R259=0,T259=0),S259/1,IF(AND(S259=0,T259=0),R259/1,IF(R259=0,FLOOR((S259+T259)/2,0.1),IF(S259=0,(R259+T259)/2,IF(T259=0,(S259+R259)/2,FLOOR(((R259+S259+T259)/3),0.1))))))))</f>
        <v/>
      </c>
      <c r="V259" s="21" t="n"/>
      <c r="W259" s="21" t="n"/>
      <c r="X259" s="27">
        <f>SUM(V259:W259)</f>
        <v/>
      </c>
      <c r="Y259" s="28" t="n"/>
      <c r="Z259" s="28" t="n"/>
      <c r="AA259" s="29">
        <f>IF(AND(X259=0,Y259=0,Z259=0),0,IF(AND(X259=0,Y259=0),Z259/1,IF(AND(X259=0,Z259=0),Y259/1,IF(AND(Y259=0,Z259=0),X259/1,IF(X259=0,FLOOR((Y259+Z259)/2,0.1),IF(Y259=0,(X259+Z259)/2,IF(Z259=0,(Y259+X259)/2,FLOOR(((X259+Y259+Z259)/3),0.1))))))))</f>
        <v/>
      </c>
      <c r="AB259" s="21" t="n"/>
      <c r="AC259" s="21" t="n"/>
      <c r="AD259" s="27">
        <f>SUM(AB259:AC259)</f>
        <v/>
      </c>
      <c r="AE259" s="28" t="n"/>
      <c r="AF259" s="28" t="n"/>
      <c r="AG259" s="29">
        <f>IF(AND(AD259=0,AE259=0,AF259=0),0,IF(AND(AD259=0,AE259=0),AF259/1,IF(AND(AD259=0,AF259=0),AE259/1,IF(AND(AE259=0,AF259=0),AD259/1,IF(AD259=0,FLOOR((AE259+AF259)/2,0.1),IF(AE259=0,(AD259+AF259)/2,IF(AF259=0,(AE259+AD259)/2,FLOOR(((AD259+AE259+AF259)/3),0.1))))))))</f>
        <v/>
      </c>
      <c r="AH259" s="21" t="n"/>
      <c r="AI259" s="21" t="n"/>
      <c r="AJ259" s="27">
        <f>SUM(AH259:AI259)</f>
        <v/>
      </c>
      <c r="AK259" s="28" t="n"/>
      <c r="AL259" s="28" t="n"/>
      <c r="AM259" s="29">
        <f>IF(AND(AJ259=0,AK259=0,AL259=0),0,IF(AND(AJ259=0,AK259=0),AL259/1,IF(AND(AJ259=0,AL259=0),AK259/1,IF(AND(AK259=0,AL259=0),AJ259/1,IF(AJ259=0,FLOOR((AK259+AL259)/2,0.1),IF(AK259=0,(AJ259+AL259)/2,IF(AL259=0,(AK259+AJ259)/2,FLOOR(((AJ259+AK259+AL259)/3),0.1))))))))</f>
        <v/>
      </c>
      <c r="AN259" s="21" t="n"/>
      <c r="AO259" s="21" t="n"/>
      <c r="AP259" s="27">
        <f>SUM(AN259:AO259)</f>
        <v/>
      </c>
      <c r="AQ259" s="28" t="n"/>
      <c r="AR259" s="30" t="n"/>
      <c r="AS259" s="29">
        <f>IF(AND(AP259=0,AQ259=0,AR259=0),0,IF(AND(AP259=0,AQ259=0),AR259/1,IF(AND(AP259=0,AR259=0),AQ259/1,IF(AND(AQ259=0,AR259=0),AP259/1,IF(AP259=0,FLOOR((AQ259+AR259)/2,0.1),IF(AQ259=0,(AP259+AR259)/2,IF(AR259=0,(AQ259+AP259)/2,FLOOR(((AP259+AQ259+AR259)/3),0.1))))))))</f>
        <v/>
      </c>
      <c r="AT259" s="21" t="n"/>
      <c r="AU259" s="21" t="n"/>
      <c r="AV259" s="27">
        <f>SUM(AT259:AU259)</f>
        <v/>
      </c>
      <c r="AW259" s="28" t="n"/>
      <c r="AX259" s="30" t="n"/>
      <c r="AY259" s="29">
        <f>IF(AND(AV259=0,AW259=0,AX259=0),0,IF(AND(AV259=0,AW259=0),AX259/1,IF(AND(AV259=0,AX259=0),AW259/1,IF(AND(AW259=0,AX259=0),AV259/1,IF(AV259=0,FLOOR((AW259+AX259)/2,0.1),IF(AW259=0,(AV259+AX259)/2,IF(AX259=0,(AW259+AV259)/2,FLOOR(((AV259+AW259+AX259)/3),0.1))))))))</f>
        <v/>
      </c>
      <c r="AZ259" s="21" t="n"/>
      <c r="BA259" s="21" t="n"/>
      <c r="BB259" s="27">
        <f>SUM(AZ259:BA259)</f>
        <v/>
      </c>
      <c r="BC259" s="28" t="n"/>
      <c r="BD259" s="28" t="n"/>
      <c r="BE259" s="29">
        <f>IF(AND(BB259=0,BC259=0,BD259=0),0,IF(AND(BB259=0,BC259=0),BD259/1,IF(AND(BB259=0,BD259=0),BC259/1,IF(AND(BC259=0,BD259=0),BB259/1,IF(BB259=0,FLOOR((BC259+BD259)/2,0.1),IF(BC259=0,(BB259+BD259)/2,IF(BD259=0,(BC259+BB259)/2,FLOOR(((BB259+BC259+BD259)/3),0.1))))))))</f>
        <v/>
      </c>
      <c r="BF259" s="21" t="n"/>
      <c r="BG259" s="21" t="n"/>
      <c r="BH259" s="27">
        <f>SUM(BF259:BG259)</f>
        <v/>
      </c>
      <c r="BI259" s="28" t="n"/>
      <c r="BJ259" s="28" t="n"/>
      <c r="BK259" s="29">
        <f>IF(AND(BH259=0,BI259=0,BJ259=0),0,IF(AND(BH259=0,BI259=0),BJ259/1,IF(AND(BH259=0,BJ259=0),BI259/1,IF(AND(BI259=0,BJ259=0),BH259/1,IF(BH259=0,FLOOR((BI259+BJ259)/2,0.1),IF(BI259=0,(BH259+BJ259)/2,IF(BJ259=0,(BI259+BH259)/2,FLOOR(((BH259+BI259+BJ259)/3),0.1))))))))</f>
        <v/>
      </c>
      <c r="BL259" s="21" t="n"/>
      <c r="BM259" s="21" t="n"/>
      <c r="BN259" s="27">
        <f>SUM(BL259:BM259)</f>
        <v/>
      </c>
      <c r="BO259" s="28" t="n"/>
      <c r="BP259" s="31" t="n"/>
      <c r="BQ259" s="29">
        <f>IF(AND(BN259=0,BO259=0,BP259=0),0,IF(AND(BN259=0,BO259=0),BP259/1,IF(AND(BN259=0,BP259=0),BO259/1,IF(AND(BO259=0,BP259=0),BN259/1,IF(BN259=0,FLOOR((BO259+BP259)/2,0.1),IF(BO259=0,(BN259+BP259)/2,IF(BP259=0,(BO259+BN259)/2,FLOOR(((BN259+BO259+BP259)/3),0.1))))))))</f>
        <v/>
      </c>
      <c r="BR259" s="21" t="n"/>
      <c r="BS259" s="21" t="n"/>
      <c r="BT259" s="27">
        <f>SUM(BR259:BS259)</f>
        <v/>
      </c>
      <c r="BU259" s="28" t="n"/>
      <c r="BV259" s="31" t="n"/>
      <c r="BW259" s="29">
        <f>IF(AND(BT259=0,BU259=0,BV259=0),0,IF(AND(BT259=0,BU259=0),BV259/1,IF(AND(BT259=0,BV259=0),BU259/1,IF(AND(BU259=0,BV259=0),BT259/1,IF(BT259=0,FLOOR((BU259+BV259)/2,0.1),IF(BU259=0,(BT259+BV259)/2,IF(BV259=0,(BU259+BT259)/2,FLOOR(((BT259+BU259+BV259)/3),0.1))))))))</f>
        <v/>
      </c>
      <c r="BX259" s="21" t="n"/>
      <c r="BY259" s="21" t="n"/>
      <c r="BZ259" s="27">
        <f>SUM(BX259:BY259)</f>
        <v/>
      </c>
      <c r="CA259" s="28" t="n"/>
      <c r="CB259" s="31" t="n"/>
      <c r="CC259" s="29">
        <f>IF(AND(BZ259=0,CA259=0,CB259=0),0,IF(AND(BZ259=0,CA259=0),CB259/1,IF(AND(BZ259=0,CB259=0),CA259/1,IF(AND(CA259=0,CB259=0),BZ259/1,IF(BZ259=0,FLOOR((CA259+CB259)/2,0.1),IF(CA259=0,(BZ259+CB259)/2,IF(CB259=0,(CA259+BZ259)/2,FLOOR(((BZ259+CA259+CB259)/3),0.1))))))))</f>
        <v/>
      </c>
      <c r="CD259" s="21" t="n"/>
      <c r="CE259" s="21" t="n"/>
      <c r="CF259" s="27">
        <f>SUM(CD259:CE259)</f>
        <v/>
      </c>
      <c r="CG259" s="28" t="n"/>
      <c r="CH259" s="31" t="n"/>
      <c r="CI259" s="29">
        <f>IF(AND(CF259=0,CG259=0,CH259=0),0,IF(AND(CF259=0,CG259=0),CH259/1,IF(AND(CF259=0,CH259=0),CG259/1,IF(AND(CG259=0,CH259=0),CF259/1,IF(CF259=0,FLOOR((CG259+CH259)/2,0.1),IF(CG259=0,(CF259+CH259)/2,IF(CH259=0,(CG259+CF259)/2,FLOOR(((CF259+CG259+CH259)/3),0.1))))))))</f>
        <v/>
      </c>
      <c r="CJ259" s="21" t="n"/>
      <c r="CK259" s="21" t="n"/>
      <c r="CL259" s="27">
        <f>SUM(CJ259:CK259)</f>
        <v/>
      </c>
      <c r="CM259" s="28" t="n"/>
      <c r="CN259" s="31" t="n"/>
      <c r="CO259" s="29">
        <f>IF(AND(CL259=0,CM259=0,CN259=0),0,IF(AND(CL259=0,CM259=0),CN259/1,IF(AND(CL259=0,CN259=0),CM259/1,IF(AND(CM259=0,CN259=0),CL259/1,IF(CL259=0,FLOOR((CM259+CN259)/2,0.1),IF(CM259=0,(CL259+CN259)/2,IF(CN259=0,(CM259+CL259)/2,FLOOR(((CL259+CM259+CN259)/3),0.1))))))))</f>
        <v/>
      </c>
      <c r="CP259" s="21" t="n"/>
      <c r="CQ259" s="21" t="n"/>
      <c r="CR259" s="27">
        <f>SUM(CP259:CQ259)</f>
        <v/>
      </c>
      <c r="CS259" s="28" t="n"/>
      <c r="CT259" s="31" t="n"/>
      <c r="CU259" s="29">
        <f>IF(AND(CR259=0,CS259=0,CT259=0),0,IF(AND(CR259=0,CS259=0),CT259/1,IF(AND(CR259=0,CT259=0),CS259/1,IF(AND(CS259=0,CT259=0),CR259/1,IF(CR259=0,FLOOR((CS259+CT259)/2,0.1),IF(CS259=0,(CR259+CT259)/2,IF(CT259=0,(CS259+CR259)/2,FLOOR(((CR259+CS259+CT259)/3),0.1))))))))</f>
        <v/>
      </c>
      <c r="CV259" s="21" t="n"/>
      <c r="CW259" s="21" t="n"/>
      <c r="CX259" s="27">
        <f>SUM(CV259:CW259)</f>
        <v/>
      </c>
      <c r="CY259" s="28" t="n"/>
      <c r="CZ259" s="31" t="n"/>
      <c r="DA259" s="29">
        <f>IF(AND(CX259=0,CY259=0,CZ259=0),0,IF(AND(CX259=0,CY259=0),CZ259/1,IF(AND(CX259=0,CZ259=0),CY259/1,IF(AND(CY259=0,CZ259=0),CX259/1,IF(CX259=0,FLOOR((CY259+CZ259)/2,0.1),IF(CY259=0,(CX259+CZ259)/2,IF(CZ259=0,(CY259+CX259)/2,FLOOR(((CX259+CY259+CZ259)/3),0.1))))))))</f>
        <v/>
      </c>
      <c r="DB259" s="21" t="n"/>
      <c r="DC259" s="21" t="n"/>
      <c r="DD259" s="27">
        <f>SUM(DB259:DC259)</f>
        <v/>
      </c>
      <c r="DE259" s="28" t="n"/>
      <c r="DF259" s="31" t="n"/>
      <c r="DG259" s="29">
        <f>IF(AND(DD259=0,DE259=0,DF259=0),0,IF(AND(DD259=0,DE259=0),DF259/1,IF(AND(DD259=0,DF259=0),DE259/1,IF(AND(DE259=0,DF259=0),DD259/1,IF(DD259=0,FLOOR((DE259+DF259)/2,0.1),IF(DE259=0,(DD259+DF259)/2,IF(DF259=0,(DE259+DD259)/2,FLOOR(((DD259+DE259+DF259)/3),0.1))))))))</f>
        <v/>
      </c>
      <c r="DH259" s="34">
        <f>SUM(O259,U259,AA259,AG259,AM259,AS259,AY259,BE259,BK259,BQ259,BW259,CC259,CI259,CO259,CU259,DA259,DG259)</f>
        <v/>
      </c>
      <c r="DI259" s="39">
        <f>RANK(DH259,DH$4:DH$503)</f>
        <v/>
      </c>
      <c r="DJ259" s="40" t="inlineStr">
        <is>
          <t>CHOOSE RATING</t>
        </is>
      </c>
      <c r="DK259" s="40" t="inlineStr">
        <is>
          <t>CHOOSE RATING</t>
        </is>
      </c>
      <c r="DL259" s="40" t="inlineStr">
        <is>
          <t>CHOOSE RATING</t>
        </is>
      </c>
      <c r="DM259" s="40" t="inlineStr">
        <is>
          <t>CHOOSE RATING</t>
        </is>
      </c>
      <c r="DN259" s="40" t="inlineStr">
        <is>
          <t>CHOOSE RATING</t>
        </is>
      </c>
      <c r="DO259" s="40" t="inlineStr">
        <is>
          <t>CHOOSE RATING</t>
        </is>
      </c>
      <c r="DP259" s="40" t="inlineStr">
        <is>
          <t>CHOOSE RATING</t>
        </is>
      </c>
      <c r="DQ259" s="40" t="inlineStr">
        <is>
          <t>CHOOSE RATING</t>
        </is>
      </c>
      <c r="DR259" s="43" t="inlineStr">
        <is>
          <t>2024/2025</t>
        </is>
      </c>
      <c r="DS259" s="45" t="inlineStr">
        <is>
          <t>THIRD</t>
        </is>
      </c>
      <c r="DT259" s="40" t="inlineStr">
        <is>
          <t>CHOOSE RATING</t>
        </is>
      </c>
      <c r="DU259" s="40" t="inlineStr">
        <is>
          <t>CHOOSE RATING</t>
        </is>
      </c>
      <c r="DV259" s="40" t="inlineStr">
        <is>
          <t>CHOOSE RATING</t>
        </is>
      </c>
      <c r="DW259" s="40" t="inlineStr">
        <is>
          <t>CHOOSE RATING</t>
        </is>
      </c>
      <c r="DX259" s="40" t="inlineStr">
        <is>
          <t>CHOOSE RATING</t>
        </is>
      </c>
      <c r="DY259" s="40" t="inlineStr">
        <is>
          <t>CHOOSE RATING</t>
        </is>
      </c>
      <c r="DZ259" s="53" t="inlineStr">
        <is>
          <t>CHOOSE RATING</t>
        </is>
      </c>
      <c r="EA259" s="54" t="inlineStr">
        <is>
          <t>Add the Tutor's Comment . . .</t>
        </is>
      </c>
      <c r="EB259" s="55" t="inlineStr">
        <is>
          <t>Choose Principals comment</t>
        </is>
      </c>
      <c r="EC259" s="56" t="n"/>
      <c r="ED259" s="57" t="inlineStr">
        <is>
          <t>Next Term Begins on Monday, 22nd September, 2025</t>
        </is>
      </c>
    </row>
    <row r="260" ht="30.6" customHeight="1" s="6">
      <c r="A260" s="18" t="n">
        <v>257</v>
      </c>
      <c r="B260" s="19" t="n"/>
      <c r="C260" s="20" t="n"/>
      <c r="D260" s="128" t="n"/>
      <c r="E260" s="21" t="n"/>
      <c r="F260" s="22" t="n"/>
      <c r="G260" s="22" t="n"/>
      <c r="H260" s="22" t="n"/>
      <c r="I260" s="26">
        <f>G260-H260</f>
        <v/>
      </c>
      <c r="J260" s="21" t="n"/>
      <c r="K260" s="21" t="n"/>
      <c r="L260" s="27">
        <f>SUM(J260:K260)</f>
        <v/>
      </c>
      <c r="M260" s="28" t="n"/>
      <c r="N260" s="28" t="n"/>
      <c r="O260" s="29">
        <f>IF(AND(L260=0,M260=0,N260=0),0,IF(AND(L260=0,M260=0),N260/1,IF(AND(L260=0,N260=0),M260/1,IF(AND(M260=0,N260=0),L260/1,IF(L260=0,FLOOR((M260+N260)/2,0.1),IF(M260=0,(L260+N260)/2,IF(N260=0,(M260+L260)/2,FLOOR(((L260+M260+N260)/3),0.1))))))))</f>
        <v/>
      </c>
      <c r="P260" s="21" t="n"/>
      <c r="Q260" s="21" t="n"/>
      <c r="R260" s="27">
        <f>SUM(P260:Q260)</f>
        <v/>
      </c>
      <c r="S260" s="28" t="n"/>
      <c r="T260" s="28" t="n"/>
      <c r="U260" s="29">
        <f>IF(AND(R260=0,S260=0,T260=0),0,IF(AND(R260=0,S260=0),T260/1,IF(AND(R260=0,T260=0),S260/1,IF(AND(S260=0,T260=0),R260/1,IF(R260=0,FLOOR((S260+T260)/2,0.1),IF(S260=0,(R260+T260)/2,IF(T260=0,(S260+R260)/2,FLOOR(((R260+S260+T260)/3),0.1))))))))</f>
        <v/>
      </c>
      <c r="V260" s="21" t="n"/>
      <c r="W260" s="21" t="n"/>
      <c r="X260" s="27">
        <f>SUM(V260:W260)</f>
        <v/>
      </c>
      <c r="Y260" s="28" t="n"/>
      <c r="Z260" s="28" t="n"/>
      <c r="AA260" s="29">
        <f>IF(AND(X260=0,Y260=0,Z260=0),0,IF(AND(X260=0,Y260=0),Z260/1,IF(AND(X260=0,Z260=0),Y260/1,IF(AND(Y260=0,Z260=0),X260/1,IF(X260=0,FLOOR((Y260+Z260)/2,0.1),IF(Y260=0,(X260+Z260)/2,IF(Z260=0,(Y260+X260)/2,FLOOR(((X260+Y260+Z260)/3),0.1))))))))</f>
        <v/>
      </c>
      <c r="AB260" s="21" t="n"/>
      <c r="AC260" s="21" t="n"/>
      <c r="AD260" s="27">
        <f>SUM(AB260:AC260)</f>
        <v/>
      </c>
      <c r="AE260" s="28" t="n"/>
      <c r="AF260" s="28" t="n"/>
      <c r="AG260" s="29">
        <f>IF(AND(AD260=0,AE260=0,AF260=0),0,IF(AND(AD260=0,AE260=0),AF260/1,IF(AND(AD260=0,AF260=0),AE260/1,IF(AND(AE260=0,AF260=0),AD260/1,IF(AD260=0,FLOOR((AE260+AF260)/2,0.1),IF(AE260=0,(AD260+AF260)/2,IF(AF260=0,(AE260+AD260)/2,FLOOR(((AD260+AE260+AF260)/3),0.1))))))))</f>
        <v/>
      </c>
      <c r="AH260" s="21" t="n"/>
      <c r="AI260" s="21" t="n"/>
      <c r="AJ260" s="27">
        <f>SUM(AH260:AI260)</f>
        <v/>
      </c>
      <c r="AK260" s="28" t="n"/>
      <c r="AL260" s="28" t="n"/>
      <c r="AM260" s="29">
        <f>IF(AND(AJ260=0,AK260=0,AL260=0),0,IF(AND(AJ260=0,AK260=0),AL260/1,IF(AND(AJ260=0,AL260=0),AK260/1,IF(AND(AK260=0,AL260=0),AJ260/1,IF(AJ260=0,FLOOR((AK260+AL260)/2,0.1),IF(AK260=0,(AJ260+AL260)/2,IF(AL260=0,(AK260+AJ260)/2,FLOOR(((AJ260+AK260+AL260)/3),0.1))))))))</f>
        <v/>
      </c>
      <c r="AN260" s="21" t="n"/>
      <c r="AO260" s="21" t="n"/>
      <c r="AP260" s="27">
        <f>SUM(AN260:AO260)</f>
        <v/>
      </c>
      <c r="AQ260" s="28" t="n"/>
      <c r="AR260" s="30" t="n"/>
      <c r="AS260" s="29">
        <f>IF(AND(AP260=0,AQ260=0,AR260=0),0,IF(AND(AP260=0,AQ260=0),AR260/1,IF(AND(AP260=0,AR260=0),AQ260/1,IF(AND(AQ260=0,AR260=0),AP260/1,IF(AP260=0,FLOOR((AQ260+AR260)/2,0.1),IF(AQ260=0,(AP260+AR260)/2,IF(AR260=0,(AQ260+AP260)/2,FLOOR(((AP260+AQ260+AR260)/3),0.1))))))))</f>
        <v/>
      </c>
      <c r="AT260" s="21" t="n"/>
      <c r="AU260" s="21" t="n"/>
      <c r="AV260" s="27">
        <f>SUM(AT260:AU260)</f>
        <v/>
      </c>
      <c r="AW260" s="28" t="n"/>
      <c r="AX260" s="30" t="n"/>
      <c r="AY260" s="29">
        <f>IF(AND(AV260=0,AW260=0,AX260=0),0,IF(AND(AV260=0,AW260=0),AX260/1,IF(AND(AV260=0,AX260=0),AW260/1,IF(AND(AW260=0,AX260=0),AV260/1,IF(AV260=0,FLOOR((AW260+AX260)/2,0.1),IF(AW260=0,(AV260+AX260)/2,IF(AX260=0,(AW260+AV260)/2,FLOOR(((AV260+AW260+AX260)/3),0.1))))))))</f>
        <v/>
      </c>
      <c r="AZ260" s="21" t="n"/>
      <c r="BA260" s="21" t="n"/>
      <c r="BB260" s="27">
        <f>SUM(AZ260:BA260)</f>
        <v/>
      </c>
      <c r="BC260" s="28" t="n"/>
      <c r="BD260" s="28" t="n"/>
      <c r="BE260" s="29">
        <f>IF(AND(BB260=0,BC260=0,BD260=0),0,IF(AND(BB260=0,BC260=0),BD260/1,IF(AND(BB260=0,BD260=0),BC260/1,IF(AND(BC260=0,BD260=0),BB260/1,IF(BB260=0,FLOOR((BC260+BD260)/2,0.1),IF(BC260=0,(BB260+BD260)/2,IF(BD260=0,(BC260+BB260)/2,FLOOR(((BB260+BC260+BD260)/3),0.1))))))))</f>
        <v/>
      </c>
      <c r="BF260" s="21" t="n"/>
      <c r="BG260" s="21" t="n"/>
      <c r="BH260" s="27">
        <f>SUM(BF260:BG260)</f>
        <v/>
      </c>
      <c r="BI260" s="28" t="n"/>
      <c r="BJ260" s="28" t="n"/>
      <c r="BK260" s="29">
        <f>IF(AND(BH260=0,BI260=0,BJ260=0),0,IF(AND(BH260=0,BI260=0),BJ260/1,IF(AND(BH260=0,BJ260=0),BI260/1,IF(AND(BI260=0,BJ260=0),BH260/1,IF(BH260=0,FLOOR((BI260+BJ260)/2,0.1),IF(BI260=0,(BH260+BJ260)/2,IF(BJ260=0,(BI260+BH260)/2,FLOOR(((BH260+BI260+BJ260)/3),0.1))))))))</f>
        <v/>
      </c>
      <c r="BL260" s="21" t="n"/>
      <c r="BM260" s="21" t="n"/>
      <c r="BN260" s="27">
        <f>SUM(BL260:BM260)</f>
        <v/>
      </c>
      <c r="BO260" s="28" t="n"/>
      <c r="BP260" s="31" t="n"/>
      <c r="BQ260" s="29">
        <f>IF(AND(BN260=0,BO260=0,BP260=0),0,IF(AND(BN260=0,BO260=0),BP260/1,IF(AND(BN260=0,BP260=0),BO260/1,IF(AND(BO260=0,BP260=0),BN260/1,IF(BN260=0,FLOOR((BO260+BP260)/2,0.1),IF(BO260=0,(BN260+BP260)/2,IF(BP260=0,(BO260+BN260)/2,FLOOR(((BN260+BO260+BP260)/3),0.1))))))))</f>
        <v/>
      </c>
      <c r="BR260" s="21" t="n"/>
      <c r="BS260" s="21" t="n"/>
      <c r="BT260" s="27">
        <f>SUM(BR260:BS260)</f>
        <v/>
      </c>
      <c r="BU260" s="28" t="n"/>
      <c r="BV260" s="31" t="n"/>
      <c r="BW260" s="29">
        <f>IF(AND(BT260=0,BU260=0,BV260=0),0,IF(AND(BT260=0,BU260=0),BV260/1,IF(AND(BT260=0,BV260=0),BU260/1,IF(AND(BU260=0,BV260=0),BT260/1,IF(BT260=0,FLOOR((BU260+BV260)/2,0.1),IF(BU260=0,(BT260+BV260)/2,IF(BV260=0,(BU260+BT260)/2,FLOOR(((BT260+BU260+BV260)/3),0.1))))))))</f>
        <v/>
      </c>
      <c r="BX260" s="21" t="n"/>
      <c r="BY260" s="21" t="n"/>
      <c r="BZ260" s="27">
        <f>SUM(BX260:BY260)</f>
        <v/>
      </c>
      <c r="CA260" s="28" t="n"/>
      <c r="CB260" s="31" t="n"/>
      <c r="CC260" s="29">
        <f>IF(AND(BZ260=0,CA260=0,CB260=0),0,IF(AND(BZ260=0,CA260=0),CB260/1,IF(AND(BZ260=0,CB260=0),CA260/1,IF(AND(CA260=0,CB260=0),BZ260/1,IF(BZ260=0,FLOOR((CA260+CB260)/2,0.1),IF(CA260=0,(BZ260+CB260)/2,IF(CB260=0,(CA260+BZ260)/2,FLOOR(((BZ260+CA260+CB260)/3),0.1))))))))</f>
        <v/>
      </c>
      <c r="CD260" s="21" t="n"/>
      <c r="CE260" s="21" t="n"/>
      <c r="CF260" s="27">
        <f>SUM(CD260:CE260)</f>
        <v/>
      </c>
      <c r="CG260" s="28" t="n"/>
      <c r="CH260" s="31" t="n"/>
      <c r="CI260" s="29">
        <f>IF(AND(CF260=0,CG260=0,CH260=0),0,IF(AND(CF260=0,CG260=0),CH260/1,IF(AND(CF260=0,CH260=0),CG260/1,IF(AND(CG260=0,CH260=0),CF260/1,IF(CF260=0,FLOOR((CG260+CH260)/2,0.1),IF(CG260=0,(CF260+CH260)/2,IF(CH260=0,(CG260+CF260)/2,FLOOR(((CF260+CG260+CH260)/3),0.1))))))))</f>
        <v/>
      </c>
      <c r="CJ260" s="21" t="n"/>
      <c r="CK260" s="21" t="n"/>
      <c r="CL260" s="27">
        <f>SUM(CJ260:CK260)</f>
        <v/>
      </c>
      <c r="CM260" s="28" t="n"/>
      <c r="CN260" s="31" t="n"/>
      <c r="CO260" s="29">
        <f>IF(AND(CL260=0,CM260=0,CN260=0),0,IF(AND(CL260=0,CM260=0),CN260/1,IF(AND(CL260=0,CN260=0),CM260/1,IF(AND(CM260=0,CN260=0),CL260/1,IF(CL260=0,FLOOR((CM260+CN260)/2,0.1),IF(CM260=0,(CL260+CN260)/2,IF(CN260=0,(CM260+CL260)/2,FLOOR(((CL260+CM260+CN260)/3),0.1))))))))</f>
        <v/>
      </c>
      <c r="CP260" s="21" t="n"/>
      <c r="CQ260" s="21" t="n"/>
      <c r="CR260" s="27">
        <f>SUM(CP260:CQ260)</f>
        <v/>
      </c>
      <c r="CS260" s="28" t="n"/>
      <c r="CT260" s="31" t="n"/>
      <c r="CU260" s="29">
        <f>IF(AND(CR260=0,CS260=0,CT260=0),0,IF(AND(CR260=0,CS260=0),CT260/1,IF(AND(CR260=0,CT260=0),CS260/1,IF(AND(CS260=0,CT260=0),CR260/1,IF(CR260=0,FLOOR((CS260+CT260)/2,0.1),IF(CS260=0,(CR260+CT260)/2,IF(CT260=0,(CS260+CR260)/2,FLOOR(((CR260+CS260+CT260)/3),0.1))))))))</f>
        <v/>
      </c>
      <c r="CV260" s="21" t="n"/>
      <c r="CW260" s="21" t="n"/>
      <c r="CX260" s="27">
        <f>SUM(CV260:CW260)</f>
        <v/>
      </c>
      <c r="CY260" s="28" t="n"/>
      <c r="CZ260" s="31" t="n"/>
      <c r="DA260" s="29">
        <f>IF(AND(CX260=0,CY260=0,CZ260=0),0,IF(AND(CX260=0,CY260=0),CZ260/1,IF(AND(CX260=0,CZ260=0),CY260/1,IF(AND(CY260=0,CZ260=0),CX260/1,IF(CX260=0,FLOOR((CY260+CZ260)/2,0.1),IF(CY260=0,(CX260+CZ260)/2,IF(CZ260=0,(CY260+CX260)/2,FLOOR(((CX260+CY260+CZ260)/3),0.1))))))))</f>
        <v/>
      </c>
      <c r="DB260" s="21" t="n"/>
      <c r="DC260" s="21" t="n"/>
      <c r="DD260" s="27">
        <f>SUM(DB260:DC260)</f>
        <v/>
      </c>
      <c r="DE260" s="28" t="n"/>
      <c r="DF260" s="31" t="n"/>
      <c r="DG260" s="29">
        <f>IF(AND(DD260=0,DE260=0,DF260=0),0,IF(AND(DD260=0,DE260=0),DF260/1,IF(AND(DD260=0,DF260=0),DE260/1,IF(AND(DE260=0,DF260=0),DD260/1,IF(DD260=0,FLOOR((DE260+DF260)/2,0.1),IF(DE260=0,(DD260+DF260)/2,IF(DF260=0,(DE260+DD260)/2,FLOOR(((DD260+DE260+DF260)/3),0.1))))))))</f>
        <v/>
      </c>
      <c r="DH260" s="34">
        <f>SUM(O260,U260,AA260,AG260,AM260,AS260,AY260,BE260,BK260,BQ260,BW260,CC260,CI260,CO260,CU260,DA260,DG260)</f>
        <v/>
      </c>
      <c r="DI260" s="39">
        <f>RANK(DH260,DH$4:DH$503)</f>
        <v/>
      </c>
      <c r="DJ260" s="40" t="inlineStr">
        <is>
          <t>CHOOSE RATING</t>
        </is>
      </c>
      <c r="DK260" s="40" t="inlineStr">
        <is>
          <t>CHOOSE RATING</t>
        </is>
      </c>
      <c r="DL260" s="40" t="inlineStr">
        <is>
          <t>CHOOSE RATING</t>
        </is>
      </c>
      <c r="DM260" s="40" t="inlineStr">
        <is>
          <t>CHOOSE RATING</t>
        </is>
      </c>
      <c r="DN260" s="40" t="inlineStr">
        <is>
          <t>CHOOSE RATING</t>
        </is>
      </c>
      <c r="DO260" s="40" t="inlineStr">
        <is>
          <t>CHOOSE RATING</t>
        </is>
      </c>
      <c r="DP260" s="40" t="inlineStr">
        <is>
          <t>CHOOSE RATING</t>
        </is>
      </c>
      <c r="DQ260" s="40" t="inlineStr">
        <is>
          <t>CHOOSE RATING</t>
        </is>
      </c>
      <c r="DR260" s="43" t="inlineStr">
        <is>
          <t>2024/2025</t>
        </is>
      </c>
      <c r="DS260" s="45" t="inlineStr">
        <is>
          <t>THIRD</t>
        </is>
      </c>
      <c r="DT260" s="40" t="inlineStr">
        <is>
          <t>CHOOSE RATING</t>
        </is>
      </c>
      <c r="DU260" s="40" t="inlineStr">
        <is>
          <t>CHOOSE RATING</t>
        </is>
      </c>
      <c r="DV260" s="40" t="inlineStr">
        <is>
          <t>CHOOSE RATING</t>
        </is>
      </c>
      <c r="DW260" s="40" t="inlineStr">
        <is>
          <t>CHOOSE RATING</t>
        </is>
      </c>
      <c r="DX260" s="40" t="inlineStr">
        <is>
          <t>CHOOSE RATING</t>
        </is>
      </c>
      <c r="DY260" s="40" t="inlineStr">
        <is>
          <t>CHOOSE RATING</t>
        </is>
      </c>
      <c r="DZ260" s="53" t="inlineStr">
        <is>
          <t>CHOOSE RATING</t>
        </is>
      </c>
      <c r="EA260" s="54" t="inlineStr">
        <is>
          <t>Add the Tutor's Comment . . .</t>
        </is>
      </c>
      <c r="EB260" s="55" t="inlineStr">
        <is>
          <t>Choose Principals comment</t>
        </is>
      </c>
      <c r="EC260" s="56" t="n"/>
      <c r="ED260" s="57" t="inlineStr">
        <is>
          <t>Next Term Begins on Monday, 22nd September, 2025</t>
        </is>
      </c>
    </row>
    <row r="261" ht="30.6" customHeight="1" s="6">
      <c r="A261" s="18" t="n">
        <v>258</v>
      </c>
      <c r="B261" s="19" t="n"/>
      <c r="C261" s="20" t="n"/>
      <c r="D261" s="128" t="n"/>
      <c r="E261" s="21" t="n"/>
      <c r="F261" s="22" t="n"/>
      <c r="G261" s="22" t="n"/>
      <c r="H261" s="22" t="n"/>
      <c r="I261" s="26">
        <f>G261-H261</f>
        <v/>
      </c>
      <c r="J261" s="21" t="n"/>
      <c r="K261" s="21" t="n"/>
      <c r="L261" s="27">
        <f>SUM(J261:K261)</f>
        <v/>
      </c>
      <c r="M261" s="28" t="n"/>
      <c r="N261" s="28" t="n"/>
      <c r="O261" s="29">
        <f>IF(AND(L261=0,M261=0,N261=0),0,IF(AND(L261=0,M261=0),N261/1,IF(AND(L261=0,N261=0),M261/1,IF(AND(M261=0,N261=0),L261/1,IF(L261=0,FLOOR((M261+N261)/2,0.1),IF(M261=0,(L261+N261)/2,IF(N261=0,(M261+L261)/2,FLOOR(((L261+M261+N261)/3),0.1))))))))</f>
        <v/>
      </c>
      <c r="P261" s="21" t="n"/>
      <c r="Q261" s="21" t="n"/>
      <c r="R261" s="27">
        <f>SUM(P261:Q261)</f>
        <v/>
      </c>
      <c r="S261" s="28" t="n"/>
      <c r="T261" s="28" t="n"/>
      <c r="U261" s="29">
        <f>IF(AND(R261=0,S261=0,T261=0),0,IF(AND(R261=0,S261=0),T261/1,IF(AND(R261=0,T261=0),S261/1,IF(AND(S261=0,T261=0),R261/1,IF(R261=0,FLOOR((S261+T261)/2,0.1),IF(S261=0,(R261+T261)/2,IF(T261=0,(S261+R261)/2,FLOOR(((R261+S261+T261)/3),0.1))))))))</f>
        <v/>
      </c>
      <c r="V261" s="21" t="n"/>
      <c r="W261" s="21" t="n"/>
      <c r="X261" s="27">
        <f>SUM(V261:W261)</f>
        <v/>
      </c>
      <c r="Y261" s="28" t="n"/>
      <c r="Z261" s="28" t="n"/>
      <c r="AA261" s="29">
        <f>IF(AND(X261=0,Y261=0,Z261=0),0,IF(AND(X261=0,Y261=0),Z261/1,IF(AND(X261=0,Z261=0),Y261/1,IF(AND(Y261=0,Z261=0),X261/1,IF(X261=0,FLOOR((Y261+Z261)/2,0.1),IF(Y261=0,(X261+Z261)/2,IF(Z261=0,(Y261+X261)/2,FLOOR(((X261+Y261+Z261)/3),0.1))))))))</f>
        <v/>
      </c>
      <c r="AB261" s="21" t="n"/>
      <c r="AC261" s="21" t="n"/>
      <c r="AD261" s="27">
        <f>SUM(AB261:AC261)</f>
        <v/>
      </c>
      <c r="AE261" s="28" t="n"/>
      <c r="AF261" s="28" t="n"/>
      <c r="AG261" s="29">
        <f>IF(AND(AD261=0,AE261=0,AF261=0),0,IF(AND(AD261=0,AE261=0),AF261/1,IF(AND(AD261=0,AF261=0),AE261/1,IF(AND(AE261=0,AF261=0),AD261/1,IF(AD261=0,FLOOR((AE261+AF261)/2,0.1),IF(AE261=0,(AD261+AF261)/2,IF(AF261=0,(AE261+AD261)/2,FLOOR(((AD261+AE261+AF261)/3),0.1))))))))</f>
        <v/>
      </c>
      <c r="AH261" s="21" t="n"/>
      <c r="AI261" s="21" t="n"/>
      <c r="AJ261" s="27">
        <f>SUM(AH261:AI261)</f>
        <v/>
      </c>
      <c r="AK261" s="28" t="n"/>
      <c r="AL261" s="28" t="n"/>
      <c r="AM261" s="29">
        <f>IF(AND(AJ261=0,AK261=0,AL261=0),0,IF(AND(AJ261=0,AK261=0),AL261/1,IF(AND(AJ261=0,AL261=0),AK261/1,IF(AND(AK261=0,AL261=0),AJ261/1,IF(AJ261=0,FLOOR((AK261+AL261)/2,0.1),IF(AK261=0,(AJ261+AL261)/2,IF(AL261=0,(AK261+AJ261)/2,FLOOR(((AJ261+AK261+AL261)/3),0.1))))))))</f>
        <v/>
      </c>
      <c r="AN261" s="21" t="n"/>
      <c r="AO261" s="21" t="n"/>
      <c r="AP261" s="27">
        <f>SUM(AN261:AO261)</f>
        <v/>
      </c>
      <c r="AQ261" s="28" t="n"/>
      <c r="AR261" s="30" t="n"/>
      <c r="AS261" s="29">
        <f>IF(AND(AP261=0,AQ261=0,AR261=0),0,IF(AND(AP261=0,AQ261=0),AR261/1,IF(AND(AP261=0,AR261=0),AQ261/1,IF(AND(AQ261=0,AR261=0),AP261/1,IF(AP261=0,FLOOR((AQ261+AR261)/2,0.1),IF(AQ261=0,(AP261+AR261)/2,IF(AR261=0,(AQ261+AP261)/2,FLOOR(((AP261+AQ261+AR261)/3),0.1))))))))</f>
        <v/>
      </c>
      <c r="AT261" s="21" t="n"/>
      <c r="AU261" s="21" t="n"/>
      <c r="AV261" s="27">
        <f>SUM(AT261:AU261)</f>
        <v/>
      </c>
      <c r="AW261" s="28" t="n"/>
      <c r="AX261" s="30" t="n"/>
      <c r="AY261" s="29">
        <f>IF(AND(AV261=0,AW261=0,AX261=0),0,IF(AND(AV261=0,AW261=0),AX261/1,IF(AND(AV261=0,AX261=0),AW261/1,IF(AND(AW261=0,AX261=0),AV261/1,IF(AV261=0,FLOOR((AW261+AX261)/2,0.1),IF(AW261=0,(AV261+AX261)/2,IF(AX261=0,(AW261+AV261)/2,FLOOR(((AV261+AW261+AX261)/3),0.1))))))))</f>
        <v/>
      </c>
      <c r="AZ261" s="21" t="n"/>
      <c r="BA261" s="21" t="n"/>
      <c r="BB261" s="27">
        <f>SUM(AZ261:BA261)</f>
        <v/>
      </c>
      <c r="BC261" s="28" t="n"/>
      <c r="BD261" s="28" t="n"/>
      <c r="BE261" s="29">
        <f>IF(AND(BB261=0,BC261=0,BD261=0),0,IF(AND(BB261=0,BC261=0),BD261/1,IF(AND(BB261=0,BD261=0),BC261/1,IF(AND(BC261=0,BD261=0),BB261/1,IF(BB261=0,FLOOR((BC261+BD261)/2,0.1),IF(BC261=0,(BB261+BD261)/2,IF(BD261=0,(BC261+BB261)/2,FLOOR(((BB261+BC261+BD261)/3),0.1))))))))</f>
        <v/>
      </c>
      <c r="BF261" s="21" t="n"/>
      <c r="BG261" s="21" t="n"/>
      <c r="BH261" s="27">
        <f>SUM(BF261:BG261)</f>
        <v/>
      </c>
      <c r="BI261" s="28" t="n"/>
      <c r="BJ261" s="28" t="n"/>
      <c r="BK261" s="29">
        <f>IF(AND(BH261=0,BI261=0,BJ261=0),0,IF(AND(BH261=0,BI261=0),BJ261/1,IF(AND(BH261=0,BJ261=0),BI261/1,IF(AND(BI261=0,BJ261=0),BH261/1,IF(BH261=0,FLOOR((BI261+BJ261)/2,0.1),IF(BI261=0,(BH261+BJ261)/2,IF(BJ261=0,(BI261+BH261)/2,FLOOR(((BH261+BI261+BJ261)/3),0.1))))))))</f>
        <v/>
      </c>
      <c r="BL261" s="21" t="n"/>
      <c r="BM261" s="21" t="n"/>
      <c r="BN261" s="27">
        <f>SUM(BL261:BM261)</f>
        <v/>
      </c>
      <c r="BO261" s="28" t="n"/>
      <c r="BP261" s="31" t="n"/>
      <c r="BQ261" s="29">
        <f>IF(AND(BN261=0,BO261=0,BP261=0),0,IF(AND(BN261=0,BO261=0),BP261/1,IF(AND(BN261=0,BP261=0),BO261/1,IF(AND(BO261=0,BP261=0),BN261/1,IF(BN261=0,FLOOR((BO261+BP261)/2,0.1),IF(BO261=0,(BN261+BP261)/2,IF(BP261=0,(BO261+BN261)/2,FLOOR(((BN261+BO261+BP261)/3),0.1))))))))</f>
        <v/>
      </c>
      <c r="BR261" s="21" t="n"/>
      <c r="BS261" s="21" t="n"/>
      <c r="BT261" s="27">
        <f>SUM(BR261:BS261)</f>
        <v/>
      </c>
      <c r="BU261" s="28" t="n"/>
      <c r="BV261" s="31" t="n"/>
      <c r="BW261" s="29">
        <f>IF(AND(BT261=0,BU261=0,BV261=0),0,IF(AND(BT261=0,BU261=0),BV261/1,IF(AND(BT261=0,BV261=0),BU261/1,IF(AND(BU261=0,BV261=0),BT261/1,IF(BT261=0,FLOOR((BU261+BV261)/2,0.1),IF(BU261=0,(BT261+BV261)/2,IF(BV261=0,(BU261+BT261)/2,FLOOR(((BT261+BU261+BV261)/3),0.1))))))))</f>
        <v/>
      </c>
      <c r="BX261" s="21" t="n"/>
      <c r="BY261" s="21" t="n"/>
      <c r="BZ261" s="27">
        <f>SUM(BX261:BY261)</f>
        <v/>
      </c>
      <c r="CA261" s="28" t="n"/>
      <c r="CB261" s="31" t="n"/>
      <c r="CC261" s="29">
        <f>IF(AND(BZ261=0,CA261=0,CB261=0),0,IF(AND(BZ261=0,CA261=0),CB261/1,IF(AND(BZ261=0,CB261=0),CA261/1,IF(AND(CA261=0,CB261=0),BZ261/1,IF(BZ261=0,FLOOR((CA261+CB261)/2,0.1),IF(CA261=0,(BZ261+CB261)/2,IF(CB261=0,(CA261+BZ261)/2,FLOOR(((BZ261+CA261+CB261)/3),0.1))))))))</f>
        <v/>
      </c>
      <c r="CD261" s="21" t="n"/>
      <c r="CE261" s="21" t="n"/>
      <c r="CF261" s="27">
        <f>SUM(CD261:CE261)</f>
        <v/>
      </c>
      <c r="CG261" s="28" t="n"/>
      <c r="CH261" s="31" t="n"/>
      <c r="CI261" s="29">
        <f>IF(AND(CF261=0,CG261=0,CH261=0),0,IF(AND(CF261=0,CG261=0),CH261/1,IF(AND(CF261=0,CH261=0),CG261/1,IF(AND(CG261=0,CH261=0),CF261/1,IF(CF261=0,FLOOR((CG261+CH261)/2,0.1),IF(CG261=0,(CF261+CH261)/2,IF(CH261=0,(CG261+CF261)/2,FLOOR(((CF261+CG261+CH261)/3),0.1))))))))</f>
        <v/>
      </c>
      <c r="CJ261" s="21" t="n"/>
      <c r="CK261" s="21" t="n"/>
      <c r="CL261" s="27">
        <f>SUM(CJ261:CK261)</f>
        <v/>
      </c>
      <c r="CM261" s="28" t="n"/>
      <c r="CN261" s="31" t="n"/>
      <c r="CO261" s="29">
        <f>IF(AND(CL261=0,CM261=0,CN261=0),0,IF(AND(CL261=0,CM261=0),CN261/1,IF(AND(CL261=0,CN261=0),CM261/1,IF(AND(CM261=0,CN261=0),CL261/1,IF(CL261=0,FLOOR((CM261+CN261)/2,0.1),IF(CM261=0,(CL261+CN261)/2,IF(CN261=0,(CM261+CL261)/2,FLOOR(((CL261+CM261+CN261)/3),0.1))))))))</f>
        <v/>
      </c>
      <c r="CP261" s="21" t="n"/>
      <c r="CQ261" s="21" t="n"/>
      <c r="CR261" s="27">
        <f>SUM(CP261:CQ261)</f>
        <v/>
      </c>
      <c r="CS261" s="28" t="n"/>
      <c r="CT261" s="31" t="n"/>
      <c r="CU261" s="29">
        <f>IF(AND(CR261=0,CS261=0,CT261=0),0,IF(AND(CR261=0,CS261=0),CT261/1,IF(AND(CR261=0,CT261=0),CS261/1,IF(AND(CS261=0,CT261=0),CR261/1,IF(CR261=0,FLOOR((CS261+CT261)/2,0.1),IF(CS261=0,(CR261+CT261)/2,IF(CT261=0,(CS261+CR261)/2,FLOOR(((CR261+CS261+CT261)/3),0.1))))))))</f>
        <v/>
      </c>
      <c r="CV261" s="21" t="n"/>
      <c r="CW261" s="21" t="n"/>
      <c r="CX261" s="27">
        <f>SUM(CV261:CW261)</f>
        <v/>
      </c>
      <c r="CY261" s="28" t="n"/>
      <c r="CZ261" s="31" t="n"/>
      <c r="DA261" s="29">
        <f>IF(AND(CX261=0,CY261=0,CZ261=0),0,IF(AND(CX261=0,CY261=0),CZ261/1,IF(AND(CX261=0,CZ261=0),CY261/1,IF(AND(CY261=0,CZ261=0),CX261/1,IF(CX261=0,FLOOR((CY261+CZ261)/2,0.1),IF(CY261=0,(CX261+CZ261)/2,IF(CZ261=0,(CY261+CX261)/2,FLOOR(((CX261+CY261+CZ261)/3),0.1))))))))</f>
        <v/>
      </c>
      <c r="DB261" s="21" t="n"/>
      <c r="DC261" s="21" t="n"/>
      <c r="DD261" s="27">
        <f>SUM(DB261:DC261)</f>
        <v/>
      </c>
      <c r="DE261" s="28" t="n"/>
      <c r="DF261" s="31" t="n"/>
      <c r="DG261" s="29">
        <f>IF(AND(DD261=0,DE261=0,DF261=0),0,IF(AND(DD261=0,DE261=0),DF261/1,IF(AND(DD261=0,DF261=0),DE261/1,IF(AND(DE261=0,DF261=0),DD261/1,IF(DD261=0,FLOOR((DE261+DF261)/2,0.1),IF(DE261=0,(DD261+DF261)/2,IF(DF261=0,(DE261+DD261)/2,FLOOR(((DD261+DE261+DF261)/3),0.1))))))))</f>
        <v/>
      </c>
      <c r="DH261" s="34">
        <f>SUM(O261,U261,AA261,AG261,AM261,AS261,AY261,BE261,BK261,BQ261,BW261,CC261,CI261,CO261,CU261,DA261,DG261)</f>
        <v/>
      </c>
      <c r="DI261" s="39">
        <f>RANK(DH261,DH$4:DH$503)</f>
        <v/>
      </c>
      <c r="DJ261" s="40" t="inlineStr">
        <is>
          <t>CHOOSE RATING</t>
        </is>
      </c>
      <c r="DK261" s="40" t="inlineStr">
        <is>
          <t>CHOOSE RATING</t>
        </is>
      </c>
      <c r="DL261" s="40" t="inlineStr">
        <is>
          <t>CHOOSE RATING</t>
        </is>
      </c>
      <c r="DM261" s="40" t="inlineStr">
        <is>
          <t>CHOOSE RATING</t>
        </is>
      </c>
      <c r="DN261" s="40" t="inlineStr">
        <is>
          <t>CHOOSE RATING</t>
        </is>
      </c>
      <c r="DO261" s="40" t="inlineStr">
        <is>
          <t>CHOOSE RATING</t>
        </is>
      </c>
      <c r="DP261" s="40" t="inlineStr">
        <is>
          <t>CHOOSE RATING</t>
        </is>
      </c>
      <c r="DQ261" s="40" t="inlineStr">
        <is>
          <t>CHOOSE RATING</t>
        </is>
      </c>
      <c r="DR261" s="43" t="inlineStr">
        <is>
          <t>2024/2025</t>
        </is>
      </c>
      <c r="DS261" s="45" t="inlineStr">
        <is>
          <t>THIRD</t>
        </is>
      </c>
      <c r="DT261" s="40" t="inlineStr">
        <is>
          <t>CHOOSE RATING</t>
        </is>
      </c>
      <c r="DU261" s="40" t="inlineStr">
        <is>
          <t>CHOOSE RATING</t>
        </is>
      </c>
      <c r="DV261" s="40" t="inlineStr">
        <is>
          <t>CHOOSE RATING</t>
        </is>
      </c>
      <c r="DW261" s="40" t="inlineStr">
        <is>
          <t>CHOOSE RATING</t>
        </is>
      </c>
      <c r="DX261" s="40" t="inlineStr">
        <is>
          <t>CHOOSE RATING</t>
        </is>
      </c>
      <c r="DY261" s="40" t="inlineStr">
        <is>
          <t>CHOOSE RATING</t>
        </is>
      </c>
      <c r="DZ261" s="53" t="inlineStr">
        <is>
          <t>CHOOSE RATING</t>
        </is>
      </c>
      <c r="EA261" s="54" t="inlineStr">
        <is>
          <t>Add the Tutor's Comment . . .</t>
        </is>
      </c>
      <c r="EB261" s="55" t="inlineStr">
        <is>
          <t>Choose Principals comment</t>
        </is>
      </c>
      <c r="EC261" s="56" t="n"/>
      <c r="ED261" s="57" t="inlineStr">
        <is>
          <t>Next Term Begins on Monday, 22nd September, 2025</t>
        </is>
      </c>
    </row>
    <row r="262" ht="30.6" customHeight="1" s="6">
      <c r="A262" s="18" t="n">
        <v>259</v>
      </c>
      <c r="B262" s="19" t="n"/>
      <c r="C262" s="20" t="n"/>
      <c r="D262" s="128" t="n"/>
      <c r="E262" s="21" t="n"/>
      <c r="F262" s="22" t="n"/>
      <c r="G262" s="22" t="n"/>
      <c r="H262" s="22" t="n"/>
      <c r="I262" s="26">
        <f>G262-H262</f>
        <v/>
      </c>
      <c r="J262" s="21" t="n"/>
      <c r="K262" s="21" t="n"/>
      <c r="L262" s="27">
        <f>SUM(J262:K262)</f>
        <v/>
      </c>
      <c r="M262" s="28" t="n"/>
      <c r="N262" s="28" t="n"/>
      <c r="O262" s="29">
        <f>IF(AND(L262=0,M262=0,N262=0),0,IF(AND(L262=0,M262=0),N262/1,IF(AND(L262=0,N262=0),M262/1,IF(AND(M262=0,N262=0),L262/1,IF(L262=0,FLOOR((M262+N262)/2,0.1),IF(M262=0,(L262+N262)/2,IF(N262=0,(M262+L262)/2,FLOOR(((L262+M262+N262)/3),0.1))))))))</f>
        <v/>
      </c>
      <c r="P262" s="21" t="n"/>
      <c r="Q262" s="21" t="n"/>
      <c r="R262" s="27">
        <f>SUM(P262:Q262)</f>
        <v/>
      </c>
      <c r="S262" s="28" t="n"/>
      <c r="T262" s="28" t="n"/>
      <c r="U262" s="29">
        <f>IF(AND(R262=0,S262=0,T262=0),0,IF(AND(R262=0,S262=0),T262/1,IF(AND(R262=0,T262=0),S262/1,IF(AND(S262=0,T262=0),R262/1,IF(R262=0,FLOOR((S262+T262)/2,0.1),IF(S262=0,(R262+T262)/2,IF(T262=0,(S262+R262)/2,FLOOR(((R262+S262+T262)/3),0.1))))))))</f>
        <v/>
      </c>
      <c r="V262" s="21" t="n"/>
      <c r="W262" s="21" t="n"/>
      <c r="X262" s="27">
        <f>SUM(V262:W262)</f>
        <v/>
      </c>
      <c r="Y262" s="28" t="n"/>
      <c r="Z262" s="28" t="n"/>
      <c r="AA262" s="29">
        <f>IF(AND(X262=0,Y262=0,Z262=0),0,IF(AND(X262=0,Y262=0),Z262/1,IF(AND(X262=0,Z262=0),Y262/1,IF(AND(Y262=0,Z262=0),X262/1,IF(X262=0,FLOOR((Y262+Z262)/2,0.1),IF(Y262=0,(X262+Z262)/2,IF(Z262=0,(Y262+X262)/2,FLOOR(((X262+Y262+Z262)/3),0.1))))))))</f>
        <v/>
      </c>
      <c r="AB262" s="21" t="n"/>
      <c r="AC262" s="21" t="n"/>
      <c r="AD262" s="27">
        <f>SUM(AB262:AC262)</f>
        <v/>
      </c>
      <c r="AE262" s="28" t="n"/>
      <c r="AF262" s="28" t="n"/>
      <c r="AG262" s="29">
        <f>IF(AND(AD262=0,AE262=0,AF262=0),0,IF(AND(AD262=0,AE262=0),AF262/1,IF(AND(AD262=0,AF262=0),AE262/1,IF(AND(AE262=0,AF262=0),AD262/1,IF(AD262=0,FLOOR((AE262+AF262)/2,0.1),IF(AE262=0,(AD262+AF262)/2,IF(AF262=0,(AE262+AD262)/2,FLOOR(((AD262+AE262+AF262)/3),0.1))))))))</f>
        <v/>
      </c>
      <c r="AH262" s="21" t="n"/>
      <c r="AI262" s="21" t="n"/>
      <c r="AJ262" s="27">
        <f>SUM(AH262:AI262)</f>
        <v/>
      </c>
      <c r="AK262" s="28" t="n"/>
      <c r="AL262" s="28" t="n"/>
      <c r="AM262" s="29">
        <f>IF(AND(AJ262=0,AK262=0,AL262=0),0,IF(AND(AJ262=0,AK262=0),AL262/1,IF(AND(AJ262=0,AL262=0),AK262/1,IF(AND(AK262=0,AL262=0),AJ262/1,IF(AJ262=0,FLOOR((AK262+AL262)/2,0.1),IF(AK262=0,(AJ262+AL262)/2,IF(AL262=0,(AK262+AJ262)/2,FLOOR(((AJ262+AK262+AL262)/3),0.1))))))))</f>
        <v/>
      </c>
      <c r="AN262" s="21" t="n"/>
      <c r="AO262" s="21" t="n"/>
      <c r="AP262" s="27">
        <f>SUM(AN262:AO262)</f>
        <v/>
      </c>
      <c r="AQ262" s="28" t="n"/>
      <c r="AR262" s="30" t="n"/>
      <c r="AS262" s="29">
        <f>IF(AND(AP262=0,AQ262=0,AR262=0),0,IF(AND(AP262=0,AQ262=0),AR262/1,IF(AND(AP262=0,AR262=0),AQ262/1,IF(AND(AQ262=0,AR262=0),AP262/1,IF(AP262=0,FLOOR((AQ262+AR262)/2,0.1),IF(AQ262=0,(AP262+AR262)/2,IF(AR262=0,(AQ262+AP262)/2,FLOOR(((AP262+AQ262+AR262)/3),0.1))))))))</f>
        <v/>
      </c>
      <c r="AT262" s="21" t="n"/>
      <c r="AU262" s="21" t="n"/>
      <c r="AV262" s="27">
        <f>SUM(AT262:AU262)</f>
        <v/>
      </c>
      <c r="AW262" s="28" t="n"/>
      <c r="AX262" s="30" t="n"/>
      <c r="AY262" s="29">
        <f>IF(AND(AV262=0,AW262=0,AX262=0),0,IF(AND(AV262=0,AW262=0),AX262/1,IF(AND(AV262=0,AX262=0),AW262/1,IF(AND(AW262=0,AX262=0),AV262/1,IF(AV262=0,FLOOR((AW262+AX262)/2,0.1),IF(AW262=0,(AV262+AX262)/2,IF(AX262=0,(AW262+AV262)/2,FLOOR(((AV262+AW262+AX262)/3),0.1))))))))</f>
        <v/>
      </c>
      <c r="AZ262" s="21" t="n"/>
      <c r="BA262" s="21" t="n"/>
      <c r="BB262" s="27">
        <f>SUM(AZ262:BA262)</f>
        <v/>
      </c>
      <c r="BC262" s="28" t="n"/>
      <c r="BD262" s="28" t="n"/>
      <c r="BE262" s="29">
        <f>IF(AND(BB262=0,BC262=0,BD262=0),0,IF(AND(BB262=0,BC262=0),BD262/1,IF(AND(BB262=0,BD262=0),BC262/1,IF(AND(BC262=0,BD262=0),BB262/1,IF(BB262=0,FLOOR((BC262+BD262)/2,0.1),IF(BC262=0,(BB262+BD262)/2,IF(BD262=0,(BC262+BB262)/2,FLOOR(((BB262+BC262+BD262)/3),0.1))))))))</f>
        <v/>
      </c>
      <c r="BF262" s="21" t="n"/>
      <c r="BG262" s="21" t="n"/>
      <c r="BH262" s="27">
        <f>SUM(BF262:BG262)</f>
        <v/>
      </c>
      <c r="BI262" s="28" t="n"/>
      <c r="BJ262" s="28" t="n"/>
      <c r="BK262" s="29">
        <f>IF(AND(BH262=0,BI262=0,BJ262=0),0,IF(AND(BH262=0,BI262=0),BJ262/1,IF(AND(BH262=0,BJ262=0),BI262/1,IF(AND(BI262=0,BJ262=0),BH262/1,IF(BH262=0,FLOOR((BI262+BJ262)/2,0.1),IF(BI262=0,(BH262+BJ262)/2,IF(BJ262=0,(BI262+BH262)/2,FLOOR(((BH262+BI262+BJ262)/3),0.1))))))))</f>
        <v/>
      </c>
      <c r="BL262" s="21" t="n"/>
      <c r="BM262" s="21" t="n"/>
      <c r="BN262" s="27">
        <f>SUM(BL262:BM262)</f>
        <v/>
      </c>
      <c r="BO262" s="28" t="n"/>
      <c r="BP262" s="31" t="n"/>
      <c r="BQ262" s="29">
        <f>IF(AND(BN262=0,BO262=0,BP262=0),0,IF(AND(BN262=0,BO262=0),BP262/1,IF(AND(BN262=0,BP262=0),BO262/1,IF(AND(BO262=0,BP262=0),BN262/1,IF(BN262=0,FLOOR((BO262+BP262)/2,0.1),IF(BO262=0,(BN262+BP262)/2,IF(BP262=0,(BO262+BN262)/2,FLOOR(((BN262+BO262+BP262)/3),0.1))))))))</f>
        <v/>
      </c>
      <c r="BR262" s="21" t="n"/>
      <c r="BS262" s="21" t="n"/>
      <c r="BT262" s="27">
        <f>SUM(BR262:BS262)</f>
        <v/>
      </c>
      <c r="BU262" s="28" t="n"/>
      <c r="BV262" s="31" t="n"/>
      <c r="BW262" s="29">
        <f>IF(AND(BT262=0,BU262=0,BV262=0),0,IF(AND(BT262=0,BU262=0),BV262/1,IF(AND(BT262=0,BV262=0),BU262/1,IF(AND(BU262=0,BV262=0),BT262/1,IF(BT262=0,FLOOR((BU262+BV262)/2,0.1),IF(BU262=0,(BT262+BV262)/2,IF(BV262=0,(BU262+BT262)/2,FLOOR(((BT262+BU262+BV262)/3),0.1))))))))</f>
        <v/>
      </c>
      <c r="BX262" s="21" t="n"/>
      <c r="BY262" s="21" t="n"/>
      <c r="BZ262" s="27">
        <f>SUM(BX262:BY262)</f>
        <v/>
      </c>
      <c r="CA262" s="28" t="n"/>
      <c r="CB262" s="31" t="n"/>
      <c r="CC262" s="29">
        <f>IF(AND(BZ262=0,CA262=0,CB262=0),0,IF(AND(BZ262=0,CA262=0),CB262/1,IF(AND(BZ262=0,CB262=0),CA262/1,IF(AND(CA262=0,CB262=0),BZ262/1,IF(BZ262=0,FLOOR((CA262+CB262)/2,0.1),IF(CA262=0,(BZ262+CB262)/2,IF(CB262=0,(CA262+BZ262)/2,FLOOR(((BZ262+CA262+CB262)/3),0.1))))))))</f>
        <v/>
      </c>
      <c r="CD262" s="21" t="n"/>
      <c r="CE262" s="21" t="n"/>
      <c r="CF262" s="27">
        <f>SUM(CD262:CE262)</f>
        <v/>
      </c>
      <c r="CG262" s="28" t="n"/>
      <c r="CH262" s="31" t="n"/>
      <c r="CI262" s="29">
        <f>IF(AND(CF262=0,CG262=0,CH262=0),0,IF(AND(CF262=0,CG262=0),CH262/1,IF(AND(CF262=0,CH262=0),CG262/1,IF(AND(CG262=0,CH262=0),CF262/1,IF(CF262=0,FLOOR((CG262+CH262)/2,0.1),IF(CG262=0,(CF262+CH262)/2,IF(CH262=0,(CG262+CF262)/2,FLOOR(((CF262+CG262+CH262)/3),0.1))))))))</f>
        <v/>
      </c>
      <c r="CJ262" s="21" t="n"/>
      <c r="CK262" s="21" t="n"/>
      <c r="CL262" s="27">
        <f>SUM(CJ262:CK262)</f>
        <v/>
      </c>
      <c r="CM262" s="28" t="n"/>
      <c r="CN262" s="31" t="n"/>
      <c r="CO262" s="29">
        <f>IF(AND(CL262=0,CM262=0,CN262=0),0,IF(AND(CL262=0,CM262=0),CN262/1,IF(AND(CL262=0,CN262=0),CM262/1,IF(AND(CM262=0,CN262=0),CL262/1,IF(CL262=0,FLOOR((CM262+CN262)/2,0.1),IF(CM262=0,(CL262+CN262)/2,IF(CN262=0,(CM262+CL262)/2,FLOOR(((CL262+CM262+CN262)/3),0.1))))))))</f>
        <v/>
      </c>
      <c r="CP262" s="21" t="n"/>
      <c r="CQ262" s="21" t="n"/>
      <c r="CR262" s="27">
        <f>SUM(CP262:CQ262)</f>
        <v/>
      </c>
      <c r="CS262" s="28" t="n"/>
      <c r="CT262" s="31" t="n"/>
      <c r="CU262" s="29">
        <f>IF(AND(CR262=0,CS262=0,CT262=0),0,IF(AND(CR262=0,CS262=0),CT262/1,IF(AND(CR262=0,CT262=0),CS262/1,IF(AND(CS262=0,CT262=0),CR262/1,IF(CR262=0,FLOOR((CS262+CT262)/2,0.1),IF(CS262=0,(CR262+CT262)/2,IF(CT262=0,(CS262+CR262)/2,FLOOR(((CR262+CS262+CT262)/3),0.1))))))))</f>
        <v/>
      </c>
      <c r="CV262" s="21" t="n"/>
      <c r="CW262" s="21" t="n"/>
      <c r="CX262" s="27">
        <f>SUM(CV262:CW262)</f>
        <v/>
      </c>
      <c r="CY262" s="28" t="n"/>
      <c r="CZ262" s="31" t="n"/>
      <c r="DA262" s="29">
        <f>IF(AND(CX262=0,CY262=0,CZ262=0),0,IF(AND(CX262=0,CY262=0),CZ262/1,IF(AND(CX262=0,CZ262=0),CY262/1,IF(AND(CY262=0,CZ262=0),CX262/1,IF(CX262=0,FLOOR((CY262+CZ262)/2,0.1),IF(CY262=0,(CX262+CZ262)/2,IF(CZ262=0,(CY262+CX262)/2,FLOOR(((CX262+CY262+CZ262)/3),0.1))))))))</f>
        <v/>
      </c>
      <c r="DB262" s="21" t="n"/>
      <c r="DC262" s="21" t="n"/>
      <c r="DD262" s="27">
        <f>SUM(DB262:DC262)</f>
        <v/>
      </c>
      <c r="DE262" s="28" t="n"/>
      <c r="DF262" s="31" t="n"/>
      <c r="DG262" s="29">
        <f>IF(AND(DD262=0,DE262=0,DF262=0),0,IF(AND(DD262=0,DE262=0),DF262/1,IF(AND(DD262=0,DF262=0),DE262/1,IF(AND(DE262=0,DF262=0),DD262/1,IF(DD262=0,FLOOR((DE262+DF262)/2,0.1),IF(DE262=0,(DD262+DF262)/2,IF(DF262=0,(DE262+DD262)/2,FLOOR(((DD262+DE262+DF262)/3),0.1))))))))</f>
        <v/>
      </c>
      <c r="DH262" s="34">
        <f>SUM(O262,U262,AA262,AG262,AM262,AS262,AY262,BE262,BK262,BQ262,BW262,CC262,CI262,CO262,CU262,DA262,DG262)</f>
        <v/>
      </c>
      <c r="DI262" s="39">
        <f>RANK(DH262,DH$4:DH$503)</f>
        <v/>
      </c>
      <c r="DJ262" s="40" t="inlineStr">
        <is>
          <t>CHOOSE RATING</t>
        </is>
      </c>
      <c r="DK262" s="40" t="inlineStr">
        <is>
          <t>CHOOSE RATING</t>
        </is>
      </c>
      <c r="DL262" s="40" t="inlineStr">
        <is>
          <t>CHOOSE RATING</t>
        </is>
      </c>
      <c r="DM262" s="40" t="inlineStr">
        <is>
          <t>CHOOSE RATING</t>
        </is>
      </c>
      <c r="DN262" s="40" t="inlineStr">
        <is>
          <t>CHOOSE RATING</t>
        </is>
      </c>
      <c r="DO262" s="40" t="inlineStr">
        <is>
          <t>CHOOSE RATING</t>
        </is>
      </c>
      <c r="DP262" s="40" t="inlineStr">
        <is>
          <t>CHOOSE RATING</t>
        </is>
      </c>
      <c r="DQ262" s="40" t="inlineStr">
        <is>
          <t>CHOOSE RATING</t>
        </is>
      </c>
      <c r="DR262" s="43" t="inlineStr">
        <is>
          <t>2024/2025</t>
        </is>
      </c>
      <c r="DS262" s="45" t="inlineStr">
        <is>
          <t>THIRD</t>
        </is>
      </c>
      <c r="DT262" s="40" t="inlineStr">
        <is>
          <t>CHOOSE RATING</t>
        </is>
      </c>
      <c r="DU262" s="40" t="inlineStr">
        <is>
          <t>CHOOSE RATING</t>
        </is>
      </c>
      <c r="DV262" s="40" t="inlineStr">
        <is>
          <t>CHOOSE RATING</t>
        </is>
      </c>
      <c r="DW262" s="40" t="inlineStr">
        <is>
          <t>CHOOSE RATING</t>
        </is>
      </c>
      <c r="DX262" s="40" t="inlineStr">
        <is>
          <t>CHOOSE RATING</t>
        </is>
      </c>
      <c r="DY262" s="40" t="inlineStr">
        <is>
          <t>CHOOSE RATING</t>
        </is>
      </c>
      <c r="DZ262" s="53" t="inlineStr">
        <is>
          <t>CHOOSE RATING</t>
        </is>
      </c>
      <c r="EA262" s="54" t="inlineStr">
        <is>
          <t>Add the Tutor's Comment . . .</t>
        </is>
      </c>
      <c r="EB262" s="55" t="inlineStr">
        <is>
          <t>Choose Principals comment</t>
        </is>
      </c>
      <c r="EC262" s="56" t="n"/>
      <c r="ED262" s="57" t="inlineStr">
        <is>
          <t>Next Term Begins on Monday, 22nd September, 2025</t>
        </is>
      </c>
    </row>
    <row r="263" ht="30.6" customHeight="1" s="6">
      <c r="A263" s="18" t="n">
        <v>260</v>
      </c>
      <c r="B263" s="19" t="n"/>
      <c r="C263" s="20" t="n"/>
      <c r="D263" s="128" t="n"/>
      <c r="E263" s="21" t="n"/>
      <c r="F263" s="22" t="n"/>
      <c r="G263" s="22" t="n"/>
      <c r="H263" s="22" t="n"/>
      <c r="I263" s="26">
        <f>G263-H263</f>
        <v/>
      </c>
      <c r="J263" s="21" t="n"/>
      <c r="K263" s="21" t="n"/>
      <c r="L263" s="27">
        <f>SUM(J263:K263)</f>
        <v/>
      </c>
      <c r="M263" s="28" t="n"/>
      <c r="N263" s="28" t="n"/>
      <c r="O263" s="29">
        <f>IF(AND(L263=0,M263=0,N263=0),0,IF(AND(L263=0,M263=0),N263/1,IF(AND(L263=0,N263=0),M263/1,IF(AND(M263=0,N263=0),L263/1,IF(L263=0,FLOOR((M263+N263)/2,0.1),IF(M263=0,(L263+N263)/2,IF(N263=0,(M263+L263)/2,FLOOR(((L263+M263+N263)/3),0.1))))))))</f>
        <v/>
      </c>
      <c r="P263" s="21" t="n"/>
      <c r="Q263" s="21" t="n"/>
      <c r="R263" s="27">
        <f>SUM(P263:Q263)</f>
        <v/>
      </c>
      <c r="S263" s="28" t="n"/>
      <c r="T263" s="28" t="n"/>
      <c r="U263" s="29">
        <f>IF(AND(R263=0,S263=0,T263=0),0,IF(AND(R263=0,S263=0),T263/1,IF(AND(R263=0,T263=0),S263/1,IF(AND(S263=0,T263=0),R263/1,IF(R263=0,FLOOR((S263+T263)/2,0.1),IF(S263=0,(R263+T263)/2,IF(T263=0,(S263+R263)/2,FLOOR(((R263+S263+T263)/3),0.1))))))))</f>
        <v/>
      </c>
      <c r="V263" s="21" t="n"/>
      <c r="W263" s="21" t="n"/>
      <c r="X263" s="27">
        <f>SUM(V263:W263)</f>
        <v/>
      </c>
      <c r="Y263" s="28" t="n"/>
      <c r="Z263" s="28" t="n"/>
      <c r="AA263" s="29">
        <f>IF(AND(X263=0,Y263=0,Z263=0),0,IF(AND(X263=0,Y263=0),Z263/1,IF(AND(X263=0,Z263=0),Y263/1,IF(AND(Y263=0,Z263=0),X263/1,IF(X263=0,FLOOR((Y263+Z263)/2,0.1),IF(Y263=0,(X263+Z263)/2,IF(Z263=0,(Y263+X263)/2,FLOOR(((X263+Y263+Z263)/3),0.1))))))))</f>
        <v/>
      </c>
      <c r="AB263" s="21" t="n"/>
      <c r="AC263" s="21" t="n"/>
      <c r="AD263" s="27">
        <f>SUM(AB263:AC263)</f>
        <v/>
      </c>
      <c r="AE263" s="28" t="n"/>
      <c r="AF263" s="28" t="n"/>
      <c r="AG263" s="29">
        <f>IF(AND(AD263=0,AE263=0,AF263=0),0,IF(AND(AD263=0,AE263=0),AF263/1,IF(AND(AD263=0,AF263=0),AE263/1,IF(AND(AE263=0,AF263=0),AD263/1,IF(AD263=0,FLOOR((AE263+AF263)/2,0.1),IF(AE263=0,(AD263+AF263)/2,IF(AF263=0,(AE263+AD263)/2,FLOOR(((AD263+AE263+AF263)/3),0.1))))))))</f>
        <v/>
      </c>
      <c r="AH263" s="21" t="n"/>
      <c r="AI263" s="21" t="n"/>
      <c r="AJ263" s="27">
        <f>SUM(AH263:AI263)</f>
        <v/>
      </c>
      <c r="AK263" s="28" t="n"/>
      <c r="AL263" s="28" t="n"/>
      <c r="AM263" s="29">
        <f>IF(AND(AJ263=0,AK263=0,AL263=0),0,IF(AND(AJ263=0,AK263=0),AL263/1,IF(AND(AJ263=0,AL263=0),AK263/1,IF(AND(AK263=0,AL263=0),AJ263/1,IF(AJ263=0,FLOOR((AK263+AL263)/2,0.1),IF(AK263=0,(AJ263+AL263)/2,IF(AL263=0,(AK263+AJ263)/2,FLOOR(((AJ263+AK263+AL263)/3),0.1))))))))</f>
        <v/>
      </c>
      <c r="AN263" s="21" t="n"/>
      <c r="AO263" s="21" t="n"/>
      <c r="AP263" s="27">
        <f>SUM(AN263:AO263)</f>
        <v/>
      </c>
      <c r="AQ263" s="28" t="n"/>
      <c r="AR263" s="30" t="n"/>
      <c r="AS263" s="29">
        <f>IF(AND(AP263=0,AQ263=0,AR263=0),0,IF(AND(AP263=0,AQ263=0),AR263/1,IF(AND(AP263=0,AR263=0),AQ263/1,IF(AND(AQ263=0,AR263=0),AP263/1,IF(AP263=0,FLOOR((AQ263+AR263)/2,0.1),IF(AQ263=0,(AP263+AR263)/2,IF(AR263=0,(AQ263+AP263)/2,FLOOR(((AP263+AQ263+AR263)/3),0.1))))))))</f>
        <v/>
      </c>
      <c r="AT263" s="21" t="n"/>
      <c r="AU263" s="21" t="n"/>
      <c r="AV263" s="27">
        <f>SUM(AT263:AU263)</f>
        <v/>
      </c>
      <c r="AW263" s="28" t="n"/>
      <c r="AX263" s="30" t="n"/>
      <c r="AY263" s="29">
        <f>IF(AND(AV263=0,AW263=0,AX263=0),0,IF(AND(AV263=0,AW263=0),AX263/1,IF(AND(AV263=0,AX263=0),AW263/1,IF(AND(AW263=0,AX263=0),AV263/1,IF(AV263=0,FLOOR((AW263+AX263)/2,0.1),IF(AW263=0,(AV263+AX263)/2,IF(AX263=0,(AW263+AV263)/2,FLOOR(((AV263+AW263+AX263)/3),0.1))))))))</f>
        <v/>
      </c>
      <c r="AZ263" s="21" t="n"/>
      <c r="BA263" s="21" t="n"/>
      <c r="BB263" s="27">
        <f>SUM(AZ263:BA263)</f>
        <v/>
      </c>
      <c r="BC263" s="28" t="n"/>
      <c r="BD263" s="28" t="n"/>
      <c r="BE263" s="29">
        <f>IF(AND(BB263=0,BC263=0,BD263=0),0,IF(AND(BB263=0,BC263=0),BD263/1,IF(AND(BB263=0,BD263=0),BC263/1,IF(AND(BC263=0,BD263=0),BB263/1,IF(BB263=0,FLOOR((BC263+BD263)/2,0.1),IF(BC263=0,(BB263+BD263)/2,IF(BD263=0,(BC263+BB263)/2,FLOOR(((BB263+BC263+BD263)/3),0.1))))))))</f>
        <v/>
      </c>
      <c r="BF263" s="21" t="n"/>
      <c r="BG263" s="21" t="n"/>
      <c r="BH263" s="27">
        <f>SUM(BF263:BG263)</f>
        <v/>
      </c>
      <c r="BI263" s="28" t="n"/>
      <c r="BJ263" s="28" t="n"/>
      <c r="BK263" s="29">
        <f>IF(AND(BH263=0,BI263=0,BJ263=0),0,IF(AND(BH263=0,BI263=0),BJ263/1,IF(AND(BH263=0,BJ263=0),BI263/1,IF(AND(BI263=0,BJ263=0),BH263/1,IF(BH263=0,FLOOR((BI263+BJ263)/2,0.1),IF(BI263=0,(BH263+BJ263)/2,IF(BJ263=0,(BI263+BH263)/2,FLOOR(((BH263+BI263+BJ263)/3),0.1))))))))</f>
        <v/>
      </c>
      <c r="BL263" s="21" t="n"/>
      <c r="BM263" s="21" t="n"/>
      <c r="BN263" s="27">
        <f>SUM(BL263:BM263)</f>
        <v/>
      </c>
      <c r="BO263" s="28" t="n"/>
      <c r="BP263" s="31" t="n"/>
      <c r="BQ263" s="29">
        <f>IF(AND(BN263=0,BO263=0,BP263=0),0,IF(AND(BN263=0,BO263=0),BP263/1,IF(AND(BN263=0,BP263=0),BO263/1,IF(AND(BO263=0,BP263=0),BN263/1,IF(BN263=0,FLOOR((BO263+BP263)/2,0.1),IF(BO263=0,(BN263+BP263)/2,IF(BP263=0,(BO263+BN263)/2,FLOOR(((BN263+BO263+BP263)/3),0.1))))))))</f>
        <v/>
      </c>
      <c r="BR263" s="21" t="n"/>
      <c r="BS263" s="21" t="n"/>
      <c r="BT263" s="27">
        <f>SUM(BR263:BS263)</f>
        <v/>
      </c>
      <c r="BU263" s="28" t="n"/>
      <c r="BV263" s="31" t="n"/>
      <c r="BW263" s="29">
        <f>IF(AND(BT263=0,BU263=0,BV263=0),0,IF(AND(BT263=0,BU263=0),BV263/1,IF(AND(BT263=0,BV263=0),BU263/1,IF(AND(BU263=0,BV263=0),BT263/1,IF(BT263=0,FLOOR((BU263+BV263)/2,0.1),IF(BU263=0,(BT263+BV263)/2,IF(BV263=0,(BU263+BT263)/2,FLOOR(((BT263+BU263+BV263)/3),0.1))))))))</f>
        <v/>
      </c>
      <c r="BX263" s="21" t="n"/>
      <c r="BY263" s="21" t="n"/>
      <c r="BZ263" s="27">
        <f>SUM(BX263:BY263)</f>
        <v/>
      </c>
      <c r="CA263" s="28" t="n"/>
      <c r="CB263" s="31" t="n"/>
      <c r="CC263" s="29">
        <f>IF(AND(BZ263=0,CA263=0,CB263=0),0,IF(AND(BZ263=0,CA263=0),CB263/1,IF(AND(BZ263=0,CB263=0),CA263/1,IF(AND(CA263=0,CB263=0),BZ263/1,IF(BZ263=0,FLOOR((CA263+CB263)/2,0.1),IF(CA263=0,(BZ263+CB263)/2,IF(CB263=0,(CA263+BZ263)/2,FLOOR(((BZ263+CA263+CB263)/3),0.1))))))))</f>
        <v/>
      </c>
      <c r="CD263" s="21" t="n"/>
      <c r="CE263" s="21" t="n"/>
      <c r="CF263" s="27">
        <f>SUM(CD263:CE263)</f>
        <v/>
      </c>
      <c r="CG263" s="28" t="n"/>
      <c r="CH263" s="31" t="n"/>
      <c r="CI263" s="29">
        <f>IF(AND(CF263=0,CG263=0,CH263=0),0,IF(AND(CF263=0,CG263=0),CH263/1,IF(AND(CF263=0,CH263=0),CG263/1,IF(AND(CG263=0,CH263=0),CF263/1,IF(CF263=0,FLOOR((CG263+CH263)/2,0.1),IF(CG263=0,(CF263+CH263)/2,IF(CH263=0,(CG263+CF263)/2,FLOOR(((CF263+CG263+CH263)/3),0.1))))))))</f>
        <v/>
      </c>
      <c r="CJ263" s="21" t="n"/>
      <c r="CK263" s="21" t="n"/>
      <c r="CL263" s="27">
        <f>SUM(CJ263:CK263)</f>
        <v/>
      </c>
      <c r="CM263" s="28" t="n"/>
      <c r="CN263" s="31" t="n"/>
      <c r="CO263" s="29">
        <f>IF(AND(CL263=0,CM263=0,CN263=0),0,IF(AND(CL263=0,CM263=0),CN263/1,IF(AND(CL263=0,CN263=0),CM263/1,IF(AND(CM263=0,CN263=0),CL263/1,IF(CL263=0,FLOOR((CM263+CN263)/2,0.1),IF(CM263=0,(CL263+CN263)/2,IF(CN263=0,(CM263+CL263)/2,FLOOR(((CL263+CM263+CN263)/3),0.1))))))))</f>
        <v/>
      </c>
      <c r="CP263" s="21" t="n"/>
      <c r="CQ263" s="21" t="n"/>
      <c r="CR263" s="27">
        <f>SUM(CP263:CQ263)</f>
        <v/>
      </c>
      <c r="CS263" s="28" t="n"/>
      <c r="CT263" s="31" t="n"/>
      <c r="CU263" s="29">
        <f>IF(AND(CR263=0,CS263=0,CT263=0),0,IF(AND(CR263=0,CS263=0),CT263/1,IF(AND(CR263=0,CT263=0),CS263/1,IF(AND(CS263=0,CT263=0),CR263/1,IF(CR263=0,FLOOR((CS263+CT263)/2,0.1),IF(CS263=0,(CR263+CT263)/2,IF(CT263=0,(CS263+CR263)/2,FLOOR(((CR263+CS263+CT263)/3),0.1))))))))</f>
        <v/>
      </c>
      <c r="CV263" s="21" t="n"/>
      <c r="CW263" s="21" t="n"/>
      <c r="CX263" s="27">
        <f>SUM(CV263:CW263)</f>
        <v/>
      </c>
      <c r="CY263" s="28" t="n"/>
      <c r="CZ263" s="31" t="n"/>
      <c r="DA263" s="29">
        <f>IF(AND(CX263=0,CY263=0,CZ263=0),0,IF(AND(CX263=0,CY263=0),CZ263/1,IF(AND(CX263=0,CZ263=0),CY263/1,IF(AND(CY263=0,CZ263=0),CX263/1,IF(CX263=0,FLOOR((CY263+CZ263)/2,0.1),IF(CY263=0,(CX263+CZ263)/2,IF(CZ263=0,(CY263+CX263)/2,FLOOR(((CX263+CY263+CZ263)/3),0.1))))))))</f>
        <v/>
      </c>
      <c r="DB263" s="21" t="n"/>
      <c r="DC263" s="21" t="n"/>
      <c r="DD263" s="27">
        <f>SUM(DB263:DC263)</f>
        <v/>
      </c>
      <c r="DE263" s="28" t="n"/>
      <c r="DF263" s="31" t="n"/>
      <c r="DG263" s="29">
        <f>IF(AND(DD263=0,DE263=0,DF263=0),0,IF(AND(DD263=0,DE263=0),DF263/1,IF(AND(DD263=0,DF263=0),DE263/1,IF(AND(DE263=0,DF263=0),DD263/1,IF(DD263=0,FLOOR((DE263+DF263)/2,0.1),IF(DE263=0,(DD263+DF263)/2,IF(DF263=0,(DE263+DD263)/2,FLOOR(((DD263+DE263+DF263)/3),0.1))))))))</f>
        <v/>
      </c>
      <c r="DH263" s="34">
        <f>SUM(O263,U263,AA263,AG263,AM263,AS263,AY263,BE263,BK263,BQ263,BW263,CC263,CI263,CO263,CU263,DA263,DG263)</f>
        <v/>
      </c>
      <c r="DI263" s="39">
        <f>RANK(DH263,DH$4:DH$503)</f>
        <v/>
      </c>
      <c r="DJ263" s="40" t="inlineStr">
        <is>
          <t>CHOOSE RATING</t>
        </is>
      </c>
      <c r="DK263" s="40" t="inlineStr">
        <is>
          <t>CHOOSE RATING</t>
        </is>
      </c>
      <c r="DL263" s="40" t="inlineStr">
        <is>
          <t>CHOOSE RATING</t>
        </is>
      </c>
      <c r="DM263" s="40" t="inlineStr">
        <is>
          <t>CHOOSE RATING</t>
        </is>
      </c>
      <c r="DN263" s="40" t="inlineStr">
        <is>
          <t>CHOOSE RATING</t>
        </is>
      </c>
      <c r="DO263" s="40" t="inlineStr">
        <is>
          <t>CHOOSE RATING</t>
        </is>
      </c>
      <c r="DP263" s="40" t="inlineStr">
        <is>
          <t>CHOOSE RATING</t>
        </is>
      </c>
      <c r="DQ263" s="40" t="inlineStr">
        <is>
          <t>CHOOSE RATING</t>
        </is>
      </c>
      <c r="DR263" s="43" t="inlineStr">
        <is>
          <t>2024/2025</t>
        </is>
      </c>
      <c r="DS263" s="45" t="inlineStr">
        <is>
          <t>THIRD</t>
        </is>
      </c>
      <c r="DT263" s="40" t="inlineStr">
        <is>
          <t>CHOOSE RATING</t>
        </is>
      </c>
      <c r="DU263" s="40" t="inlineStr">
        <is>
          <t>CHOOSE RATING</t>
        </is>
      </c>
      <c r="DV263" s="40" t="inlineStr">
        <is>
          <t>CHOOSE RATING</t>
        </is>
      </c>
      <c r="DW263" s="40" t="inlineStr">
        <is>
          <t>CHOOSE RATING</t>
        </is>
      </c>
      <c r="DX263" s="40" t="inlineStr">
        <is>
          <t>CHOOSE RATING</t>
        </is>
      </c>
      <c r="DY263" s="40" t="inlineStr">
        <is>
          <t>CHOOSE RATING</t>
        </is>
      </c>
      <c r="DZ263" s="53" t="inlineStr">
        <is>
          <t>CHOOSE RATING</t>
        </is>
      </c>
      <c r="EA263" s="54" t="inlineStr">
        <is>
          <t>Add the Tutor's Comment . . .</t>
        </is>
      </c>
      <c r="EB263" s="55" t="inlineStr">
        <is>
          <t>Choose Principals comment</t>
        </is>
      </c>
      <c r="EC263" s="56" t="n"/>
      <c r="ED263" s="57" t="inlineStr">
        <is>
          <t>Next Term Begins on Monday, 22nd September, 2025</t>
        </is>
      </c>
    </row>
    <row r="264" ht="30.6" customHeight="1" s="6">
      <c r="A264" s="18" t="n">
        <v>261</v>
      </c>
      <c r="B264" s="19" t="n"/>
      <c r="C264" s="20" t="n"/>
      <c r="D264" s="128" t="n"/>
      <c r="E264" s="21" t="n"/>
      <c r="F264" s="22" t="n"/>
      <c r="G264" s="22" t="n"/>
      <c r="H264" s="22" t="n"/>
      <c r="I264" s="26">
        <f>G264-H264</f>
        <v/>
      </c>
      <c r="J264" s="21" t="n"/>
      <c r="K264" s="21" t="n"/>
      <c r="L264" s="27">
        <f>SUM(J264:K264)</f>
        <v/>
      </c>
      <c r="M264" s="28" t="n"/>
      <c r="N264" s="28" t="n"/>
      <c r="O264" s="29">
        <f>IF(AND(L264=0,M264=0,N264=0),0,IF(AND(L264=0,M264=0),N264/1,IF(AND(L264=0,N264=0),M264/1,IF(AND(M264=0,N264=0),L264/1,IF(L264=0,FLOOR((M264+N264)/2,0.1),IF(M264=0,(L264+N264)/2,IF(N264=0,(M264+L264)/2,FLOOR(((L264+M264+N264)/3),0.1))))))))</f>
        <v/>
      </c>
      <c r="P264" s="21" t="n"/>
      <c r="Q264" s="21" t="n"/>
      <c r="R264" s="27">
        <f>SUM(P264:Q264)</f>
        <v/>
      </c>
      <c r="S264" s="28" t="n"/>
      <c r="T264" s="28" t="n"/>
      <c r="U264" s="29">
        <f>IF(AND(R264=0,S264=0,T264=0),0,IF(AND(R264=0,S264=0),T264/1,IF(AND(R264=0,T264=0),S264/1,IF(AND(S264=0,T264=0),R264/1,IF(R264=0,FLOOR((S264+T264)/2,0.1),IF(S264=0,(R264+T264)/2,IF(T264=0,(S264+R264)/2,FLOOR(((R264+S264+T264)/3),0.1))))))))</f>
        <v/>
      </c>
      <c r="V264" s="21" t="n"/>
      <c r="W264" s="21" t="n"/>
      <c r="X264" s="27">
        <f>SUM(V264:W264)</f>
        <v/>
      </c>
      <c r="Y264" s="28" t="n"/>
      <c r="Z264" s="28" t="n"/>
      <c r="AA264" s="29">
        <f>IF(AND(X264=0,Y264=0,Z264=0),0,IF(AND(X264=0,Y264=0),Z264/1,IF(AND(X264=0,Z264=0),Y264/1,IF(AND(Y264=0,Z264=0),X264/1,IF(X264=0,FLOOR((Y264+Z264)/2,0.1),IF(Y264=0,(X264+Z264)/2,IF(Z264=0,(Y264+X264)/2,FLOOR(((X264+Y264+Z264)/3),0.1))))))))</f>
        <v/>
      </c>
      <c r="AB264" s="21" t="n"/>
      <c r="AC264" s="21" t="n"/>
      <c r="AD264" s="27">
        <f>SUM(AB264:AC264)</f>
        <v/>
      </c>
      <c r="AE264" s="28" t="n"/>
      <c r="AF264" s="28" t="n"/>
      <c r="AG264" s="29">
        <f>IF(AND(AD264=0,AE264=0,AF264=0),0,IF(AND(AD264=0,AE264=0),AF264/1,IF(AND(AD264=0,AF264=0),AE264/1,IF(AND(AE264=0,AF264=0),AD264/1,IF(AD264=0,FLOOR((AE264+AF264)/2,0.1),IF(AE264=0,(AD264+AF264)/2,IF(AF264=0,(AE264+AD264)/2,FLOOR(((AD264+AE264+AF264)/3),0.1))))))))</f>
        <v/>
      </c>
      <c r="AH264" s="21" t="n"/>
      <c r="AI264" s="21" t="n"/>
      <c r="AJ264" s="27">
        <f>SUM(AH264:AI264)</f>
        <v/>
      </c>
      <c r="AK264" s="28" t="n"/>
      <c r="AL264" s="28" t="n"/>
      <c r="AM264" s="29">
        <f>IF(AND(AJ264=0,AK264=0,AL264=0),0,IF(AND(AJ264=0,AK264=0),AL264/1,IF(AND(AJ264=0,AL264=0),AK264/1,IF(AND(AK264=0,AL264=0),AJ264/1,IF(AJ264=0,FLOOR((AK264+AL264)/2,0.1),IF(AK264=0,(AJ264+AL264)/2,IF(AL264=0,(AK264+AJ264)/2,FLOOR(((AJ264+AK264+AL264)/3),0.1))))))))</f>
        <v/>
      </c>
      <c r="AN264" s="21" t="n"/>
      <c r="AO264" s="21" t="n"/>
      <c r="AP264" s="27">
        <f>SUM(AN264:AO264)</f>
        <v/>
      </c>
      <c r="AQ264" s="28" t="n"/>
      <c r="AR264" s="30" t="n"/>
      <c r="AS264" s="29">
        <f>IF(AND(AP264=0,AQ264=0,AR264=0),0,IF(AND(AP264=0,AQ264=0),AR264/1,IF(AND(AP264=0,AR264=0),AQ264/1,IF(AND(AQ264=0,AR264=0),AP264/1,IF(AP264=0,FLOOR((AQ264+AR264)/2,0.1),IF(AQ264=0,(AP264+AR264)/2,IF(AR264=0,(AQ264+AP264)/2,FLOOR(((AP264+AQ264+AR264)/3),0.1))))))))</f>
        <v/>
      </c>
      <c r="AT264" s="21" t="n"/>
      <c r="AU264" s="21" t="n"/>
      <c r="AV264" s="27">
        <f>SUM(AT264:AU264)</f>
        <v/>
      </c>
      <c r="AW264" s="28" t="n"/>
      <c r="AX264" s="30" t="n"/>
      <c r="AY264" s="29">
        <f>IF(AND(AV264=0,AW264=0,AX264=0),0,IF(AND(AV264=0,AW264=0),AX264/1,IF(AND(AV264=0,AX264=0),AW264/1,IF(AND(AW264=0,AX264=0),AV264/1,IF(AV264=0,FLOOR((AW264+AX264)/2,0.1),IF(AW264=0,(AV264+AX264)/2,IF(AX264=0,(AW264+AV264)/2,FLOOR(((AV264+AW264+AX264)/3),0.1))))))))</f>
        <v/>
      </c>
      <c r="AZ264" s="21" t="n"/>
      <c r="BA264" s="21" t="n"/>
      <c r="BB264" s="27">
        <f>SUM(AZ264:BA264)</f>
        <v/>
      </c>
      <c r="BC264" s="28" t="n"/>
      <c r="BD264" s="28" t="n"/>
      <c r="BE264" s="29">
        <f>IF(AND(BB264=0,BC264=0,BD264=0),0,IF(AND(BB264=0,BC264=0),BD264/1,IF(AND(BB264=0,BD264=0),BC264/1,IF(AND(BC264=0,BD264=0),BB264/1,IF(BB264=0,FLOOR((BC264+BD264)/2,0.1),IF(BC264=0,(BB264+BD264)/2,IF(BD264=0,(BC264+BB264)/2,FLOOR(((BB264+BC264+BD264)/3),0.1))))))))</f>
        <v/>
      </c>
      <c r="BF264" s="21" t="n"/>
      <c r="BG264" s="21" t="n"/>
      <c r="BH264" s="27">
        <f>SUM(BF264:BG264)</f>
        <v/>
      </c>
      <c r="BI264" s="28" t="n"/>
      <c r="BJ264" s="28" t="n"/>
      <c r="BK264" s="29">
        <f>IF(AND(BH264=0,BI264=0,BJ264=0),0,IF(AND(BH264=0,BI264=0),BJ264/1,IF(AND(BH264=0,BJ264=0),BI264/1,IF(AND(BI264=0,BJ264=0),BH264/1,IF(BH264=0,FLOOR((BI264+BJ264)/2,0.1),IF(BI264=0,(BH264+BJ264)/2,IF(BJ264=0,(BI264+BH264)/2,FLOOR(((BH264+BI264+BJ264)/3),0.1))))))))</f>
        <v/>
      </c>
      <c r="BL264" s="21" t="n"/>
      <c r="BM264" s="21" t="n"/>
      <c r="BN264" s="27">
        <f>SUM(BL264:BM264)</f>
        <v/>
      </c>
      <c r="BO264" s="28" t="n"/>
      <c r="BP264" s="31" t="n"/>
      <c r="BQ264" s="29">
        <f>IF(AND(BN264=0,BO264=0,BP264=0),0,IF(AND(BN264=0,BO264=0),BP264/1,IF(AND(BN264=0,BP264=0),BO264/1,IF(AND(BO264=0,BP264=0),BN264/1,IF(BN264=0,FLOOR((BO264+BP264)/2,0.1),IF(BO264=0,(BN264+BP264)/2,IF(BP264=0,(BO264+BN264)/2,FLOOR(((BN264+BO264+BP264)/3),0.1))))))))</f>
        <v/>
      </c>
      <c r="BR264" s="21" t="n"/>
      <c r="BS264" s="21" t="n"/>
      <c r="BT264" s="27">
        <f>SUM(BR264:BS264)</f>
        <v/>
      </c>
      <c r="BU264" s="28" t="n"/>
      <c r="BV264" s="31" t="n"/>
      <c r="BW264" s="29">
        <f>IF(AND(BT264=0,BU264=0,BV264=0),0,IF(AND(BT264=0,BU264=0),BV264/1,IF(AND(BT264=0,BV264=0),BU264/1,IF(AND(BU264=0,BV264=0),BT264/1,IF(BT264=0,FLOOR((BU264+BV264)/2,0.1),IF(BU264=0,(BT264+BV264)/2,IF(BV264=0,(BU264+BT264)/2,FLOOR(((BT264+BU264+BV264)/3),0.1))))))))</f>
        <v/>
      </c>
      <c r="BX264" s="21" t="n"/>
      <c r="BY264" s="21" t="n"/>
      <c r="BZ264" s="27">
        <f>SUM(BX264:BY264)</f>
        <v/>
      </c>
      <c r="CA264" s="28" t="n"/>
      <c r="CB264" s="31" t="n"/>
      <c r="CC264" s="29">
        <f>IF(AND(BZ264=0,CA264=0,CB264=0),0,IF(AND(BZ264=0,CA264=0),CB264/1,IF(AND(BZ264=0,CB264=0),CA264/1,IF(AND(CA264=0,CB264=0),BZ264/1,IF(BZ264=0,FLOOR((CA264+CB264)/2,0.1),IF(CA264=0,(BZ264+CB264)/2,IF(CB264=0,(CA264+BZ264)/2,FLOOR(((BZ264+CA264+CB264)/3),0.1))))))))</f>
        <v/>
      </c>
      <c r="CD264" s="21" t="n"/>
      <c r="CE264" s="21" t="n"/>
      <c r="CF264" s="27">
        <f>SUM(CD264:CE264)</f>
        <v/>
      </c>
      <c r="CG264" s="28" t="n"/>
      <c r="CH264" s="31" t="n"/>
      <c r="CI264" s="29">
        <f>IF(AND(CF264=0,CG264=0,CH264=0),0,IF(AND(CF264=0,CG264=0),CH264/1,IF(AND(CF264=0,CH264=0),CG264/1,IF(AND(CG264=0,CH264=0),CF264/1,IF(CF264=0,FLOOR((CG264+CH264)/2,0.1),IF(CG264=0,(CF264+CH264)/2,IF(CH264=0,(CG264+CF264)/2,FLOOR(((CF264+CG264+CH264)/3),0.1))))))))</f>
        <v/>
      </c>
      <c r="CJ264" s="21" t="n"/>
      <c r="CK264" s="21" t="n"/>
      <c r="CL264" s="27">
        <f>SUM(CJ264:CK264)</f>
        <v/>
      </c>
      <c r="CM264" s="28" t="n"/>
      <c r="CN264" s="31" t="n"/>
      <c r="CO264" s="29">
        <f>IF(AND(CL264=0,CM264=0,CN264=0),0,IF(AND(CL264=0,CM264=0),CN264/1,IF(AND(CL264=0,CN264=0),CM264/1,IF(AND(CM264=0,CN264=0),CL264/1,IF(CL264=0,FLOOR((CM264+CN264)/2,0.1),IF(CM264=0,(CL264+CN264)/2,IF(CN264=0,(CM264+CL264)/2,FLOOR(((CL264+CM264+CN264)/3),0.1))))))))</f>
        <v/>
      </c>
      <c r="CP264" s="21" t="n"/>
      <c r="CQ264" s="21" t="n"/>
      <c r="CR264" s="27">
        <f>SUM(CP264:CQ264)</f>
        <v/>
      </c>
      <c r="CS264" s="28" t="n"/>
      <c r="CT264" s="31" t="n"/>
      <c r="CU264" s="29">
        <f>IF(AND(CR264=0,CS264=0,CT264=0),0,IF(AND(CR264=0,CS264=0),CT264/1,IF(AND(CR264=0,CT264=0),CS264/1,IF(AND(CS264=0,CT264=0),CR264/1,IF(CR264=0,FLOOR((CS264+CT264)/2,0.1),IF(CS264=0,(CR264+CT264)/2,IF(CT264=0,(CS264+CR264)/2,FLOOR(((CR264+CS264+CT264)/3),0.1))))))))</f>
        <v/>
      </c>
      <c r="CV264" s="21" t="n"/>
      <c r="CW264" s="21" t="n"/>
      <c r="CX264" s="27">
        <f>SUM(CV264:CW264)</f>
        <v/>
      </c>
      <c r="CY264" s="28" t="n"/>
      <c r="CZ264" s="31" t="n"/>
      <c r="DA264" s="29">
        <f>IF(AND(CX264=0,CY264=0,CZ264=0),0,IF(AND(CX264=0,CY264=0),CZ264/1,IF(AND(CX264=0,CZ264=0),CY264/1,IF(AND(CY264=0,CZ264=0),CX264/1,IF(CX264=0,FLOOR((CY264+CZ264)/2,0.1),IF(CY264=0,(CX264+CZ264)/2,IF(CZ264=0,(CY264+CX264)/2,FLOOR(((CX264+CY264+CZ264)/3),0.1))))))))</f>
        <v/>
      </c>
      <c r="DB264" s="21" t="n"/>
      <c r="DC264" s="21" t="n"/>
      <c r="DD264" s="27">
        <f>SUM(DB264:DC264)</f>
        <v/>
      </c>
      <c r="DE264" s="28" t="n"/>
      <c r="DF264" s="31" t="n"/>
      <c r="DG264" s="29">
        <f>IF(AND(DD264=0,DE264=0,DF264=0),0,IF(AND(DD264=0,DE264=0),DF264/1,IF(AND(DD264=0,DF264=0),DE264/1,IF(AND(DE264=0,DF264=0),DD264/1,IF(DD264=0,FLOOR((DE264+DF264)/2,0.1),IF(DE264=0,(DD264+DF264)/2,IF(DF264=0,(DE264+DD264)/2,FLOOR(((DD264+DE264+DF264)/3),0.1))))))))</f>
        <v/>
      </c>
      <c r="DH264" s="34">
        <f>SUM(O264,U264,AA264,AG264,AM264,AS264,AY264,BE264,BK264,BQ264,BW264,CC264,CI264,CO264,CU264,DA264,DG264)</f>
        <v/>
      </c>
      <c r="DI264" s="39">
        <f>RANK(DH264,DH$4:DH$503)</f>
        <v/>
      </c>
      <c r="DJ264" s="40" t="inlineStr">
        <is>
          <t>CHOOSE RATING</t>
        </is>
      </c>
      <c r="DK264" s="40" t="inlineStr">
        <is>
          <t>CHOOSE RATING</t>
        </is>
      </c>
      <c r="DL264" s="40" t="inlineStr">
        <is>
          <t>CHOOSE RATING</t>
        </is>
      </c>
      <c r="DM264" s="40" t="inlineStr">
        <is>
          <t>CHOOSE RATING</t>
        </is>
      </c>
      <c r="DN264" s="40" t="inlineStr">
        <is>
          <t>CHOOSE RATING</t>
        </is>
      </c>
      <c r="DO264" s="40" t="inlineStr">
        <is>
          <t>CHOOSE RATING</t>
        </is>
      </c>
      <c r="DP264" s="40" t="inlineStr">
        <is>
          <t>CHOOSE RATING</t>
        </is>
      </c>
      <c r="DQ264" s="40" t="inlineStr">
        <is>
          <t>CHOOSE RATING</t>
        </is>
      </c>
      <c r="DR264" s="43" t="inlineStr">
        <is>
          <t>2024/2025</t>
        </is>
      </c>
      <c r="DS264" s="45" t="inlineStr">
        <is>
          <t>THIRD</t>
        </is>
      </c>
      <c r="DT264" s="40" t="inlineStr">
        <is>
          <t>CHOOSE RATING</t>
        </is>
      </c>
      <c r="DU264" s="40" t="inlineStr">
        <is>
          <t>CHOOSE RATING</t>
        </is>
      </c>
      <c r="DV264" s="40" t="inlineStr">
        <is>
          <t>CHOOSE RATING</t>
        </is>
      </c>
      <c r="DW264" s="40" t="inlineStr">
        <is>
          <t>CHOOSE RATING</t>
        </is>
      </c>
      <c r="DX264" s="40" t="inlineStr">
        <is>
          <t>CHOOSE RATING</t>
        </is>
      </c>
      <c r="DY264" s="40" t="inlineStr">
        <is>
          <t>CHOOSE RATING</t>
        </is>
      </c>
      <c r="DZ264" s="53" t="inlineStr">
        <is>
          <t>CHOOSE RATING</t>
        </is>
      </c>
      <c r="EA264" s="54" t="inlineStr">
        <is>
          <t>Add the Tutor's Comment . . .</t>
        </is>
      </c>
      <c r="EB264" s="55" t="inlineStr">
        <is>
          <t>Choose Principals comment</t>
        </is>
      </c>
      <c r="EC264" s="56" t="n"/>
      <c r="ED264" s="57" t="inlineStr">
        <is>
          <t>Next Term Begins on Monday, 22nd September, 2025</t>
        </is>
      </c>
    </row>
    <row r="265" ht="30.6" customHeight="1" s="6">
      <c r="A265" s="18" t="n">
        <v>262</v>
      </c>
      <c r="B265" s="19" t="n"/>
      <c r="C265" s="20" t="n"/>
      <c r="D265" s="128" t="n"/>
      <c r="E265" s="21" t="n"/>
      <c r="F265" s="22" t="n"/>
      <c r="G265" s="22" t="n"/>
      <c r="H265" s="22" t="n"/>
      <c r="I265" s="26">
        <f>G265-H265</f>
        <v/>
      </c>
      <c r="J265" s="21" t="n"/>
      <c r="K265" s="21" t="n"/>
      <c r="L265" s="27">
        <f>SUM(J265:K265)</f>
        <v/>
      </c>
      <c r="M265" s="28" t="n"/>
      <c r="N265" s="28" t="n"/>
      <c r="O265" s="29">
        <f>IF(AND(L265=0,M265=0,N265=0),0,IF(AND(L265=0,M265=0),N265/1,IF(AND(L265=0,N265=0),M265/1,IF(AND(M265=0,N265=0),L265/1,IF(L265=0,FLOOR((M265+N265)/2,0.1),IF(M265=0,(L265+N265)/2,IF(N265=0,(M265+L265)/2,FLOOR(((L265+M265+N265)/3),0.1))))))))</f>
        <v/>
      </c>
      <c r="P265" s="21" t="n"/>
      <c r="Q265" s="21" t="n"/>
      <c r="R265" s="27">
        <f>SUM(P265:Q265)</f>
        <v/>
      </c>
      <c r="S265" s="28" t="n"/>
      <c r="T265" s="28" t="n"/>
      <c r="U265" s="29">
        <f>IF(AND(R265=0,S265=0,T265=0),0,IF(AND(R265=0,S265=0),T265/1,IF(AND(R265=0,T265=0),S265/1,IF(AND(S265=0,T265=0),R265/1,IF(R265=0,FLOOR((S265+T265)/2,0.1),IF(S265=0,(R265+T265)/2,IF(T265=0,(S265+R265)/2,FLOOR(((R265+S265+T265)/3),0.1))))))))</f>
        <v/>
      </c>
      <c r="V265" s="21" t="n"/>
      <c r="W265" s="21" t="n"/>
      <c r="X265" s="27">
        <f>SUM(V265:W265)</f>
        <v/>
      </c>
      <c r="Y265" s="28" t="n"/>
      <c r="Z265" s="28" t="n"/>
      <c r="AA265" s="29">
        <f>IF(AND(X265=0,Y265=0,Z265=0),0,IF(AND(X265=0,Y265=0),Z265/1,IF(AND(X265=0,Z265=0),Y265/1,IF(AND(Y265=0,Z265=0),X265/1,IF(X265=0,FLOOR((Y265+Z265)/2,0.1),IF(Y265=0,(X265+Z265)/2,IF(Z265=0,(Y265+X265)/2,FLOOR(((X265+Y265+Z265)/3),0.1))))))))</f>
        <v/>
      </c>
      <c r="AB265" s="21" t="n"/>
      <c r="AC265" s="21" t="n"/>
      <c r="AD265" s="27">
        <f>SUM(AB265:AC265)</f>
        <v/>
      </c>
      <c r="AE265" s="28" t="n"/>
      <c r="AF265" s="28" t="n"/>
      <c r="AG265" s="29">
        <f>IF(AND(AD265=0,AE265=0,AF265=0),0,IF(AND(AD265=0,AE265=0),AF265/1,IF(AND(AD265=0,AF265=0),AE265/1,IF(AND(AE265=0,AF265=0),AD265/1,IF(AD265=0,FLOOR((AE265+AF265)/2,0.1),IF(AE265=0,(AD265+AF265)/2,IF(AF265=0,(AE265+AD265)/2,FLOOR(((AD265+AE265+AF265)/3),0.1))))))))</f>
        <v/>
      </c>
      <c r="AH265" s="21" t="n"/>
      <c r="AI265" s="21" t="n"/>
      <c r="AJ265" s="27">
        <f>SUM(AH265:AI265)</f>
        <v/>
      </c>
      <c r="AK265" s="28" t="n"/>
      <c r="AL265" s="28" t="n"/>
      <c r="AM265" s="29">
        <f>IF(AND(AJ265=0,AK265=0,AL265=0),0,IF(AND(AJ265=0,AK265=0),AL265/1,IF(AND(AJ265=0,AL265=0),AK265/1,IF(AND(AK265=0,AL265=0),AJ265/1,IF(AJ265=0,FLOOR((AK265+AL265)/2,0.1),IF(AK265=0,(AJ265+AL265)/2,IF(AL265=0,(AK265+AJ265)/2,FLOOR(((AJ265+AK265+AL265)/3),0.1))))))))</f>
        <v/>
      </c>
      <c r="AN265" s="21" t="n"/>
      <c r="AO265" s="21" t="n"/>
      <c r="AP265" s="27">
        <f>SUM(AN265:AO265)</f>
        <v/>
      </c>
      <c r="AQ265" s="28" t="n"/>
      <c r="AR265" s="30" t="n"/>
      <c r="AS265" s="29">
        <f>IF(AND(AP265=0,AQ265=0,AR265=0),0,IF(AND(AP265=0,AQ265=0),AR265/1,IF(AND(AP265=0,AR265=0),AQ265/1,IF(AND(AQ265=0,AR265=0),AP265/1,IF(AP265=0,FLOOR((AQ265+AR265)/2,0.1),IF(AQ265=0,(AP265+AR265)/2,IF(AR265=0,(AQ265+AP265)/2,FLOOR(((AP265+AQ265+AR265)/3),0.1))))))))</f>
        <v/>
      </c>
      <c r="AT265" s="21" t="n"/>
      <c r="AU265" s="21" t="n"/>
      <c r="AV265" s="27">
        <f>SUM(AT265:AU265)</f>
        <v/>
      </c>
      <c r="AW265" s="28" t="n"/>
      <c r="AX265" s="30" t="n"/>
      <c r="AY265" s="29">
        <f>IF(AND(AV265=0,AW265=0,AX265=0),0,IF(AND(AV265=0,AW265=0),AX265/1,IF(AND(AV265=0,AX265=0),AW265/1,IF(AND(AW265=0,AX265=0),AV265/1,IF(AV265=0,FLOOR((AW265+AX265)/2,0.1),IF(AW265=0,(AV265+AX265)/2,IF(AX265=0,(AW265+AV265)/2,FLOOR(((AV265+AW265+AX265)/3),0.1))))))))</f>
        <v/>
      </c>
      <c r="AZ265" s="21" t="n"/>
      <c r="BA265" s="21" t="n"/>
      <c r="BB265" s="27">
        <f>SUM(AZ265:BA265)</f>
        <v/>
      </c>
      <c r="BC265" s="28" t="n"/>
      <c r="BD265" s="28" t="n"/>
      <c r="BE265" s="29">
        <f>IF(AND(BB265=0,BC265=0,BD265=0),0,IF(AND(BB265=0,BC265=0),BD265/1,IF(AND(BB265=0,BD265=0),BC265/1,IF(AND(BC265=0,BD265=0),BB265/1,IF(BB265=0,FLOOR((BC265+BD265)/2,0.1),IF(BC265=0,(BB265+BD265)/2,IF(BD265=0,(BC265+BB265)/2,FLOOR(((BB265+BC265+BD265)/3),0.1))))))))</f>
        <v/>
      </c>
      <c r="BF265" s="21" t="n"/>
      <c r="BG265" s="21" t="n"/>
      <c r="BH265" s="27">
        <f>SUM(BF265:BG265)</f>
        <v/>
      </c>
      <c r="BI265" s="28" t="n"/>
      <c r="BJ265" s="28" t="n"/>
      <c r="BK265" s="29">
        <f>IF(AND(BH265=0,BI265=0,BJ265=0),0,IF(AND(BH265=0,BI265=0),BJ265/1,IF(AND(BH265=0,BJ265=0),BI265/1,IF(AND(BI265=0,BJ265=0),BH265/1,IF(BH265=0,FLOOR((BI265+BJ265)/2,0.1),IF(BI265=0,(BH265+BJ265)/2,IF(BJ265=0,(BI265+BH265)/2,FLOOR(((BH265+BI265+BJ265)/3),0.1))))))))</f>
        <v/>
      </c>
      <c r="BL265" s="21" t="n"/>
      <c r="BM265" s="21" t="n"/>
      <c r="BN265" s="27">
        <f>SUM(BL265:BM265)</f>
        <v/>
      </c>
      <c r="BO265" s="28" t="n"/>
      <c r="BP265" s="31" t="n"/>
      <c r="BQ265" s="29">
        <f>IF(AND(BN265=0,BO265=0,BP265=0),0,IF(AND(BN265=0,BO265=0),BP265/1,IF(AND(BN265=0,BP265=0),BO265/1,IF(AND(BO265=0,BP265=0),BN265/1,IF(BN265=0,FLOOR((BO265+BP265)/2,0.1),IF(BO265=0,(BN265+BP265)/2,IF(BP265=0,(BO265+BN265)/2,FLOOR(((BN265+BO265+BP265)/3),0.1))))))))</f>
        <v/>
      </c>
      <c r="BR265" s="21" t="n"/>
      <c r="BS265" s="21" t="n"/>
      <c r="BT265" s="27">
        <f>SUM(BR265:BS265)</f>
        <v/>
      </c>
      <c r="BU265" s="28" t="n"/>
      <c r="BV265" s="31" t="n"/>
      <c r="BW265" s="29">
        <f>IF(AND(BT265=0,BU265=0,BV265=0),0,IF(AND(BT265=0,BU265=0),BV265/1,IF(AND(BT265=0,BV265=0),BU265/1,IF(AND(BU265=0,BV265=0),BT265/1,IF(BT265=0,FLOOR((BU265+BV265)/2,0.1),IF(BU265=0,(BT265+BV265)/2,IF(BV265=0,(BU265+BT265)/2,FLOOR(((BT265+BU265+BV265)/3),0.1))))))))</f>
        <v/>
      </c>
      <c r="BX265" s="21" t="n"/>
      <c r="BY265" s="21" t="n"/>
      <c r="BZ265" s="27">
        <f>SUM(BX265:BY265)</f>
        <v/>
      </c>
      <c r="CA265" s="28" t="n"/>
      <c r="CB265" s="31" t="n"/>
      <c r="CC265" s="29">
        <f>IF(AND(BZ265=0,CA265=0,CB265=0),0,IF(AND(BZ265=0,CA265=0),CB265/1,IF(AND(BZ265=0,CB265=0),CA265/1,IF(AND(CA265=0,CB265=0),BZ265/1,IF(BZ265=0,FLOOR((CA265+CB265)/2,0.1),IF(CA265=0,(BZ265+CB265)/2,IF(CB265=0,(CA265+BZ265)/2,FLOOR(((BZ265+CA265+CB265)/3),0.1))))))))</f>
        <v/>
      </c>
      <c r="CD265" s="21" t="n"/>
      <c r="CE265" s="21" t="n"/>
      <c r="CF265" s="27">
        <f>SUM(CD265:CE265)</f>
        <v/>
      </c>
      <c r="CG265" s="28" t="n"/>
      <c r="CH265" s="31" t="n"/>
      <c r="CI265" s="29">
        <f>IF(AND(CF265=0,CG265=0,CH265=0),0,IF(AND(CF265=0,CG265=0),CH265/1,IF(AND(CF265=0,CH265=0),CG265/1,IF(AND(CG265=0,CH265=0),CF265/1,IF(CF265=0,FLOOR((CG265+CH265)/2,0.1),IF(CG265=0,(CF265+CH265)/2,IF(CH265=0,(CG265+CF265)/2,FLOOR(((CF265+CG265+CH265)/3),0.1))))))))</f>
        <v/>
      </c>
      <c r="CJ265" s="21" t="n"/>
      <c r="CK265" s="21" t="n"/>
      <c r="CL265" s="27">
        <f>SUM(CJ265:CK265)</f>
        <v/>
      </c>
      <c r="CM265" s="28" t="n"/>
      <c r="CN265" s="31" t="n"/>
      <c r="CO265" s="29">
        <f>IF(AND(CL265=0,CM265=0,CN265=0),0,IF(AND(CL265=0,CM265=0),CN265/1,IF(AND(CL265=0,CN265=0),CM265/1,IF(AND(CM265=0,CN265=0),CL265/1,IF(CL265=0,FLOOR((CM265+CN265)/2,0.1),IF(CM265=0,(CL265+CN265)/2,IF(CN265=0,(CM265+CL265)/2,FLOOR(((CL265+CM265+CN265)/3),0.1))))))))</f>
        <v/>
      </c>
      <c r="CP265" s="21" t="n"/>
      <c r="CQ265" s="21" t="n"/>
      <c r="CR265" s="27">
        <f>SUM(CP265:CQ265)</f>
        <v/>
      </c>
      <c r="CS265" s="28" t="n"/>
      <c r="CT265" s="31" t="n"/>
      <c r="CU265" s="29">
        <f>IF(AND(CR265=0,CS265=0,CT265=0),0,IF(AND(CR265=0,CS265=0),CT265/1,IF(AND(CR265=0,CT265=0),CS265/1,IF(AND(CS265=0,CT265=0),CR265/1,IF(CR265=0,FLOOR((CS265+CT265)/2,0.1),IF(CS265=0,(CR265+CT265)/2,IF(CT265=0,(CS265+CR265)/2,FLOOR(((CR265+CS265+CT265)/3),0.1))))))))</f>
        <v/>
      </c>
      <c r="CV265" s="21" t="n"/>
      <c r="CW265" s="21" t="n"/>
      <c r="CX265" s="27">
        <f>SUM(CV265:CW265)</f>
        <v/>
      </c>
      <c r="CY265" s="28" t="n"/>
      <c r="CZ265" s="31" t="n"/>
      <c r="DA265" s="29">
        <f>IF(AND(CX265=0,CY265=0,CZ265=0),0,IF(AND(CX265=0,CY265=0),CZ265/1,IF(AND(CX265=0,CZ265=0),CY265/1,IF(AND(CY265=0,CZ265=0),CX265/1,IF(CX265=0,FLOOR((CY265+CZ265)/2,0.1),IF(CY265=0,(CX265+CZ265)/2,IF(CZ265=0,(CY265+CX265)/2,FLOOR(((CX265+CY265+CZ265)/3),0.1))))))))</f>
        <v/>
      </c>
      <c r="DB265" s="21" t="n"/>
      <c r="DC265" s="21" t="n"/>
      <c r="DD265" s="27">
        <f>SUM(DB265:DC265)</f>
        <v/>
      </c>
      <c r="DE265" s="28" t="n"/>
      <c r="DF265" s="31" t="n"/>
      <c r="DG265" s="29">
        <f>IF(AND(DD265=0,DE265=0,DF265=0),0,IF(AND(DD265=0,DE265=0),DF265/1,IF(AND(DD265=0,DF265=0),DE265/1,IF(AND(DE265=0,DF265=0),DD265/1,IF(DD265=0,FLOOR((DE265+DF265)/2,0.1),IF(DE265=0,(DD265+DF265)/2,IF(DF265=0,(DE265+DD265)/2,FLOOR(((DD265+DE265+DF265)/3),0.1))))))))</f>
        <v/>
      </c>
      <c r="DH265" s="34">
        <f>SUM(O265,U265,AA265,AG265,AM265,AS265,AY265,BE265,BK265,BQ265,BW265,CC265,CI265,CO265,CU265,DA265,DG265)</f>
        <v/>
      </c>
      <c r="DI265" s="39">
        <f>RANK(DH265,DH$4:DH$503)</f>
        <v/>
      </c>
      <c r="DJ265" s="40" t="inlineStr">
        <is>
          <t>CHOOSE RATING</t>
        </is>
      </c>
      <c r="DK265" s="40" t="inlineStr">
        <is>
          <t>CHOOSE RATING</t>
        </is>
      </c>
      <c r="DL265" s="40" t="inlineStr">
        <is>
          <t>CHOOSE RATING</t>
        </is>
      </c>
      <c r="DM265" s="40" t="inlineStr">
        <is>
          <t>CHOOSE RATING</t>
        </is>
      </c>
      <c r="DN265" s="40" t="inlineStr">
        <is>
          <t>CHOOSE RATING</t>
        </is>
      </c>
      <c r="DO265" s="40" t="inlineStr">
        <is>
          <t>CHOOSE RATING</t>
        </is>
      </c>
      <c r="DP265" s="40" t="inlineStr">
        <is>
          <t>CHOOSE RATING</t>
        </is>
      </c>
      <c r="DQ265" s="40" t="inlineStr">
        <is>
          <t>CHOOSE RATING</t>
        </is>
      </c>
      <c r="DR265" s="43" t="inlineStr">
        <is>
          <t>2024/2025</t>
        </is>
      </c>
      <c r="DS265" s="45" t="inlineStr">
        <is>
          <t>THIRD</t>
        </is>
      </c>
      <c r="DT265" s="40" t="inlineStr">
        <is>
          <t>CHOOSE RATING</t>
        </is>
      </c>
      <c r="DU265" s="40" t="inlineStr">
        <is>
          <t>CHOOSE RATING</t>
        </is>
      </c>
      <c r="DV265" s="40" t="inlineStr">
        <is>
          <t>CHOOSE RATING</t>
        </is>
      </c>
      <c r="DW265" s="40" t="inlineStr">
        <is>
          <t>CHOOSE RATING</t>
        </is>
      </c>
      <c r="DX265" s="40" t="inlineStr">
        <is>
          <t>CHOOSE RATING</t>
        </is>
      </c>
      <c r="DY265" s="40" t="inlineStr">
        <is>
          <t>CHOOSE RATING</t>
        </is>
      </c>
      <c r="DZ265" s="53" t="inlineStr">
        <is>
          <t>CHOOSE RATING</t>
        </is>
      </c>
      <c r="EA265" s="54" t="inlineStr">
        <is>
          <t>Add the Tutor's Comment . . .</t>
        </is>
      </c>
      <c r="EB265" s="55" t="inlineStr">
        <is>
          <t>Choose Principals comment</t>
        </is>
      </c>
      <c r="EC265" s="56" t="n"/>
      <c r="ED265" s="57" t="inlineStr">
        <is>
          <t>Next Term Begins on Monday, 22nd September, 2025</t>
        </is>
      </c>
    </row>
    <row r="266" ht="30.6" customHeight="1" s="6">
      <c r="A266" s="18" t="n">
        <v>263</v>
      </c>
      <c r="B266" s="19" t="n"/>
      <c r="C266" s="20" t="n"/>
      <c r="D266" s="128" t="n"/>
      <c r="E266" s="21" t="n"/>
      <c r="F266" s="22" t="n"/>
      <c r="G266" s="22" t="n"/>
      <c r="H266" s="22" t="n"/>
      <c r="I266" s="26">
        <f>G266-H266</f>
        <v/>
      </c>
      <c r="J266" s="21" t="n"/>
      <c r="K266" s="21" t="n"/>
      <c r="L266" s="27">
        <f>SUM(J266:K266)</f>
        <v/>
      </c>
      <c r="M266" s="28" t="n"/>
      <c r="N266" s="28" t="n"/>
      <c r="O266" s="29">
        <f>IF(AND(L266=0,M266=0,N266=0),0,IF(AND(L266=0,M266=0),N266/1,IF(AND(L266=0,N266=0),M266/1,IF(AND(M266=0,N266=0),L266/1,IF(L266=0,FLOOR((M266+N266)/2,0.1),IF(M266=0,(L266+N266)/2,IF(N266=0,(M266+L266)/2,FLOOR(((L266+M266+N266)/3),0.1))))))))</f>
        <v/>
      </c>
      <c r="P266" s="21" t="n"/>
      <c r="Q266" s="21" t="n"/>
      <c r="R266" s="27">
        <f>SUM(P266:Q266)</f>
        <v/>
      </c>
      <c r="S266" s="28" t="n"/>
      <c r="T266" s="28" t="n"/>
      <c r="U266" s="29">
        <f>IF(AND(R266=0,S266=0,T266=0),0,IF(AND(R266=0,S266=0),T266/1,IF(AND(R266=0,T266=0),S266/1,IF(AND(S266=0,T266=0),R266/1,IF(R266=0,FLOOR((S266+T266)/2,0.1),IF(S266=0,(R266+T266)/2,IF(T266=0,(S266+R266)/2,FLOOR(((R266+S266+T266)/3),0.1))))))))</f>
        <v/>
      </c>
      <c r="V266" s="21" t="n"/>
      <c r="W266" s="21" t="n"/>
      <c r="X266" s="27">
        <f>SUM(V266:W266)</f>
        <v/>
      </c>
      <c r="Y266" s="28" t="n"/>
      <c r="Z266" s="28" t="n"/>
      <c r="AA266" s="29">
        <f>IF(AND(X266=0,Y266=0,Z266=0),0,IF(AND(X266=0,Y266=0),Z266/1,IF(AND(X266=0,Z266=0),Y266/1,IF(AND(Y266=0,Z266=0),X266/1,IF(X266=0,FLOOR((Y266+Z266)/2,0.1),IF(Y266=0,(X266+Z266)/2,IF(Z266=0,(Y266+X266)/2,FLOOR(((X266+Y266+Z266)/3),0.1))))))))</f>
        <v/>
      </c>
      <c r="AB266" s="21" t="n"/>
      <c r="AC266" s="21" t="n"/>
      <c r="AD266" s="27">
        <f>SUM(AB266:AC266)</f>
        <v/>
      </c>
      <c r="AE266" s="28" t="n"/>
      <c r="AF266" s="28" t="n"/>
      <c r="AG266" s="29">
        <f>IF(AND(AD266=0,AE266=0,AF266=0),0,IF(AND(AD266=0,AE266=0),AF266/1,IF(AND(AD266=0,AF266=0),AE266/1,IF(AND(AE266=0,AF266=0),AD266/1,IF(AD266=0,FLOOR((AE266+AF266)/2,0.1),IF(AE266=0,(AD266+AF266)/2,IF(AF266=0,(AE266+AD266)/2,FLOOR(((AD266+AE266+AF266)/3),0.1))))))))</f>
        <v/>
      </c>
      <c r="AH266" s="21" t="n"/>
      <c r="AI266" s="21" t="n"/>
      <c r="AJ266" s="27">
        <f>SUM(AH266:AI266)</f>
        <v/>
      </c>
      <c r="AK266" s="28" t="n"/>
      <c r="AL266" s="28" t="n"/>
      <c r="AM266" s="29">
        <f>IF(AND(AJ266=0,AK266=0,AL266=0),0,IF(AND(AJ266=0,AK266=0),AL266/1,IF(AND(AJ266=0,AL266=0),AK266/1,IF(AND(AK266=0,AL266=0),AJ266/1,IF(AJ266=0,FLOOR((AK266+AL266)/2,0.1),IF(AK266=0,(AJ266+AL266)/2,IF(AL266=0,(AK266+AJ266)/2,FLOOR(((AJ266+AK266+AL266)/3),0.1))))))))</f>
        <v/>
      </c>
      <c r="AN266" s="21" t="n"/>
      <c r="AO266" s="21" t="n"/>
      <c r="AP266" s="27">
        <f>SUM(AN266:AO266)</f>
        <v/>
      </c>
      <c r="AQ266" s="28" t="n"/>
      <c r="AR266" s="30" t="n"/>
      <c r="AS266" s="29">
        <f>IF(AND(AP266=0,AQ266=0,AR266=0),0,IF(AND(AP266=0,AQ266=0),AR266/1,IF(AND(AP266=0,AR266=0),AQ266/1,IF(AND(AQ266=0,AR266=0),AP266/1,IF(AP266=0,FLOOR((AQ266+AR266)/2,0.1),IF(AQ266=0,(AP266+AR266)/2,IF(AR266=0,(AQ266+AP266)/2,FLOOR(((AP266+AQ266+AR266)/3),0.1))))))))</f>
        <v/>
      </c>
      <c r="AT266" s="21" t="n"/>
      <c r="AU266" s="21" t="n"/>
      <c r="AV266" s="27">
        <f>SUM(AT266:AU266)</f>
        <v/>
      </c>
      <c r="AW266" s="28" t="n"/>
      <c r="AX266" s="30" t="n"/>
      <c r="AY266" s="29">
        <f>IF(AND(AV266=0,AW266=0,AX266=0),0,IF(AND(AV266=0,AW266=0),AX266/1,IF(AND(AV266=0,AX266=0),AW266/1,IF(AND(AW266=0,AX266=0),AV266/1,IF(AV266=0,FLOOR((AW266+AX266)/2,0.1),IF(AW266=0,(AV266+AX266)/2,IF(AX266=0,(AW266+AV266)/2,FLOOR(((AV266+AW266+AX266)/3),0.1))))))))</f>
        <v/>
      </c>
      <c r="AZ266" s="21" t="n"/>
      <c r="BA266" s="21" t="n"/>
      <c r="BB266" s="27">
        <f>SUM(AZ266:BA266)</f>
        <v/>
      </c>
      <c r="BC266" s="28" t="n"/>
      <c r="BD266" s="28" t="n"/>
      <c r="BE266" s="29">
        <f>IF(AND(BB266=0,BC266=0,BD266=0),0,IF(AND(BB266=0,BC266=0),BD266/1,IF(AND(BB266=0,BD266=0),BC266/1,IF(AND(BC266=0,BD266=0),BB266/1,IF(BB266=0,FLOOR((BC266+BD266)/2,0.1),IF(BC266=0,(BB266+BD266)/2,IF(BD266=0,(BC266+BB266)/2,FLOOR(((BB266+BC266+BD266)/3),0.1))))))))</f>
        <v/>
      </c>
      <c r="BF266" s="21" t="n"/>
      <c r="BG266" s="21" t="n"/>
      <c r="BH266" s="27">
        <f>SUM(BF266:BG266)</f>
        <v/>
      </c>
      <c r="BI266" s="28" t="n"/>
      <c r="BJ266" s="28" t="n"/>
      <c r="BK266" s="29">
        <f>IF(AND(BH266=0,BI266=0,BJ266=0),0,IF(AND(BH266=0,BI266=0),BJ266/1,IF(AND(BH266=0,BJ266=0),BI266/1,IF(AND(BI266=0,BJ266=0),BH266/1,IF(BH266=0,FLOOR((BI266+BJ266)/2,0.1),IF(BI266=0,(BH266+BJ266)/2,IF(BJ266=0,(BI266+BH266)/2,FLOOR(((BH266+BI266+BJ266)/3),0.1))))))))</f>
        <v/>
      </c>
      <c r="BL266" s="21" t="n"/>
      <c r="BM266" s="21" t="n"/>
      <c r="BN266" s="27">
        <f>SUM(BL266:BM266)</f>
        <v/>
      </c>
      <c r="BO266" s="28" t="n"/>
      <c r="BP266" s="31" t="n"/>
      <c r="BQ266" s="29">
        <f>IF(AND(BN266=0,BO266=0,BP266=0),0,IF(AND(BN266=0,BO266=0),BP266/1,IF(AND(BN266=0,BP266=0),BO266/1,IF(AND(BO266=0,BP266=0),BN266/1,IF(BN266=0,FLOOR((BO266+BP266)/2,0.1),IF(BO266=0,(BN266+BP266)/2,IF(BP266=0,(BO266+BN266)/2,FLOOR(((BN266+BO266+BP266)/3),0.1))))))))</f>
        <v/>
      </c>
      <c r="BR266" s="21" t="n"/>
      <c r="BS266" s="21" t="n"/>
      <c r="BT266" s="27">
        <f>SUM(BR266:BS266)</f>
        <v/>
      </c>
      <c r="BU266" s="28" t="n"/>
      <c r="BV266" s="31" t="n"/>
      <c r="BW266" s="29">
        <f>IF(AND(BT266=0,BU266=0,BV266=0),0,IF(AND(BT266=0,BU266=0),BV266/1,IF(AND(BT266=0,BV266=0),BU266/1,IF(AND(BU266=0,BV266=0),BT266/1,IF(BT266=0,FLOOR((BU266+BV266)/2,0.1),IF(BU266=0,(BT266+BV266)/2,IF(BV266=0,(BU266+BT266)/2,FLOOR(((BT266+BU266+BV266)/3),0.1))))))))</f>
        <v/>
      </c>
      <c r="BX266" s="21" t="n"/>
      <c r="BY266" s="21" t="n"/>
      <c r="BZ266" s="27">
        <f>SUM(BX266:BY266)</f>
        <v/>
      </c>
      <c r="CA266" s="28" t="n"/>
      <c r="CB266" s="31" t="n"/>
      <c r="CC266" s="29">
        <f>IF(AND(BZ266=0,CA266=0,CB266=0),0,IF(AND(BZ266=0,CA266=0),CB266/1,IF(AND(BZ266=0,CB266=0),CA266/1,IF(AND(CA266=0,CB266=0),BZ266/1,IF(BZ266=0,FLOOR((CA266+CB266)/2,0.1),IF(CA266=0,(BZ266+CB266)/2,IF(CB266=0,(CA266+BZ266)/2,FLOOR(((BZ266+CA266+CB266)/3),0.1))))))))</f>
        <v/>
      </c>
      <c r="CD266" s="21" t="n"/>
      <c r="CE266" s="21" t="n"/>
      <c r="CF266" s="27">
        <f>SUM(CD266:CE266)</f>
        <v/>
      </c>
      <c r="CG266" s="28" t="n"/>
      <c r="CH266" s="31" t="n"/>
      <c r="CI266" s="29">
        <f>IF(AND(CF266=0,CG266=0,CH266=0),0,IF(AND(CF266=0,CG266=0),CH266/1,IF(AND(CF266=0,CH266=0),CG266/1,IF(AND(CG266=0,CH266=0),CF266/1,IF(CF266=0,FLOOR((CG266+CH266)/2,0.1),IF(CG266=0,(CF266+CH266)/2,IF(CH266=0,(CG266+CF266)/2,FLOOR(((CF266+CG266+CH266)/3),0.1))))))))</f>
        <v/>
      </c>
      <c r="CJ266" s="21" t="n"/>
      <c r="CK266" s="21" t="n"/>
      <c r="CL266" s="27">
        <f>SUM(CJ266:CK266)</f>
        <v/>
      </c>
      <c r="CM266" s="28" t="n"/>
      <c r="CN266" s="31" t="n"/>
      <c r="CO266" s="29">
        <f>IF(AND(CL266=0,CM266=0,CN266=0),0,IF(AND(CL266=0,CM266=0),CN266/1,IF(AND(CL266=0,CN266=0),CM266/1,IF(AND(CM266=0,CN266=0),CL266/1,IF(CL266=0,FLOOR((CM266+CN266)/2,0.1),IF(CM266=0,(CL266+CN266)/2,IF(CN266=0,(CM266+CL266)/2,FLOOR(((CL266+CM266+CN266)/3),0.1))))))))</f>
        <v/>
      </c>
      <c r="CP266" s="21" t="n"/>
      <c r="CQ266" s="21" t="n"/>
      <c r="CR266" s="27">
        <f>SUM(CP266:CQ266)</f>
        <v/>
      </c>
      <c r="CS266" s="28" t="n"/>
      <c r="CT266" s="31" t="n"/>
      <c r="CU266" s="29">
        <f>IF(AND(CR266=0,CS266=0,CT266=0),0,IF(AND(CR266=0,CS266=0),CT266/1,IF(AND(CR266=0,CT266=0),CS266/1,IF(AND(CS266=0,CT266=0),CR266/1,IF(CR266=0,FLOOR((CS266+CT266)/2,0.1),IF(CS266=0,(CR266+CT266)/2,IF(CT266=0,(CS266+CR266)/2,FLOOR(((CR266+CS266+CT266)/3),0.1))))))))</f>
        <v/>
      </c>
      <c r="CV266" s="21" t="n"/>
      <c r="CW266" s="21" t="n"/>
      <c r="CX266" s="27">
        <f>SUM(CV266:CW266)</f>
        <v/>
      </c>
      <c r="CY266" s="28" t="n"/>
      <c r="CZ266" s="31" t="n"/>
      <c r="DA266" s="29">
        <f>IF(AND(CX266=0,CY266=0,CZ266=0),0,IF(AND(CX266=0,CY266=0),CZ266/1,IF(AND(CX266=0,CZ266=0),CY266/1,IF(AND(CY266=0,CZ266=0),CX266/1,IF(CX266=0,FLOOR((CY266+CZ266)/2,0.1),IF(CY266=0,(CX266+CZ266)/2,IF(CZ266=0,(CY266+CX266)/2,FLOOR(((CX266+CY266+CZ266)/3),0.1))))))))</f>
        <v/>
      </c>
      <c r="DB266" s="21" t="n"/>
      <c r="DC266" s="21" t="n"/>
      <c r="DD266" s="27">
        <f>SUM(DB266:DC266)</f>
        <v/>
      </c>
      <c r="DE266" s="28" t="n"/>
      <c r="DF266" s="31" t="n"/>
      <c r="DG266" s="29">
        <f>IF(AND(DD266=0,DE266=0,DF266=0),0,IF(AND(DD266=0,DE266=0),DF266/1,IF(AND(DD266=0,DF266=0),DE266/1,IF(AND(DE266=0,DF266=0),DD266/1,IF(DD266=0,FLOOR((DE266+DF266)/2,0.1),IF(DE266=0,(DD266+DF266)/2,IF(DF266=0,(DE266+DD266)/2,FLOOR(((DD266+DE266+DF266)/3),0.1))))))))</f>
        <v/>
      </c>
      <c r="DH266" s="34">
        <f>SUM(O266,U266,AA266,AG266,AM266,AS266,AY266,BE266,BK266,BQ266,BW266,CC266,CI266,CO266,CU266,DA266,DG266)</f>
        <v/>
      </c>
      <c r="DI266" s="39">
        <f>RANK(DH266,DH$4:DH$503)</f>
        <v/>
      </c>
      <c r="DJ266" s="40" t="inlineStr">
        <is>
          <t>CHOOSE RATING</t>
        </is>
      </c>
      <c r="DK266" s="40" t="inlineStr">
        <is>
          <t>CHOOSE RATING</t>
        </is>
      </c>
      <c r="DL266" s="40" t="inlineStr">
        <is>
          <t>CHOOSE RATING</t>
        </is>
      </c>
      <c r="DM266" s="40" t="inlineStr">
        <is>
          <t>CHOOSE RATING</t>
        </is>
      </c>
      <c r="DN266" s="40" t="inlineStr">
        <is>
          <t>CHOOSE RATING</t>
        </is>
      </c>
      <c r="DO266" s="40" t="inlineStr">
        <is>
          <t>CHOOSE RATING</t>
        </is>
      </c>
      <c r="DP266" s="40" t="inlineStr">
        <is>
          <t>CHOOSE RATING</t>
        </is>
      </c>
      <c r="DQ266" s="40" t="inlineStr">
        <is>
          <t>CHOOSE RATING</t>
        </is>
      </c>
      <c r="DR266" s="43" t="inlineStr">
        <is>
          <t>2024/2025</t>
        </is>
      </c>
      <c r="DS266" s="45" t="inlineStr">
        <is>
          <t>THIRD</t>
        </is>
      </c>
      <c r="DT266" s="40" t="inlineStr">
        <is>
          <t>CHOOSE RATING</t>
        </is>
      </c>
      <c r="DU266" s="40" t="inlineStr">
        <is>
          <t>CHOOSE RATING</t>
        </is>
      </c>
      <c r="DV266" s="40" t="inlineStr">
        <is>
          <t>CHOOSE RATING</t>
        </is>
      </c>
      <c r="DW266" s="40" t="inlineStr">
        <is>
          <t>CHOOSE RATING</t>
        </is>
      </c>
      <c r="DX266" s="40" t="inlineStr">
        <is>
          <t>CHOOSE RATING</t>
        </is>
      </c>
      <c r="DY266" s="40" t="inlineStr">
        <is>
          <t>CHOOSE RATING</t>
        </is>
      </c>
      <c r="DZ266" s="53" t="inlineStr">
        <is>
          <t>CHOOSE RATING</t>
        </is>
      </c>
      <c r="EA266" s="54" t="inlineStr">
        <is>
          <t>Add the Tutor's Comment . . .</t>
        </is>
      </c>
      <c r="EB266" s="55" t="inlineStr">
        <is>
          <t>Choose Principals comment</t>
        </is>
      </c>
      <c r="EC266" s="56" t="n"/>
      <c r="ED266" s="57" t="inlineStr">
        <is>
          <t>Next Term Begins on Monday, 22nd September, 2025</t>
        </is>
      </c>
    </row>
    <row r="267" ht="30.6" customHeight="1" s="6">
      <c r="A267" s="18" t="n">
        <v>264</v>
      </c>
      <c r="B267" s="19" t="n"/>
      <c r="C267" s="20" t="n"/>
      <c r="D267" s="128" t="n"/>
      <c r="E267" s="21" t="n"/>
      <c r="F267" s="22" t="n"/>
      <c r="G267" s="22" t="n"/>
      <c r="H267" s="22" t="n"/>
      <c r="I267" s="26">
        <f>G267-H267</f>
        <v/>
      </c>
      <c r="J267" s="21" t="n"/>
      <c r="K267" s="21" t="n"/>
      <c r="L267" s="27">
        <f>SUM(J267:K267)</f>
        <v/>
      </c>
      <c r="M267" s="28" t="n"/>
      <c r="N267" s="28" t="n"/>
      <c r="O267" s="29">
        <f>IF(AND(L267=0,M267=0,N267=0),0,IF(AND(L267=0,M267=0),N267/1,IF(AND(L267=0,N267=0),M267/1,IF(AND(M267=0,N267=0),L267/1,IF(L267=0,FLOOR((M267+N267)/2,0.1),IF(M267=0,(L267+N267)/2,IF(N267=0,(M267+L267)/2,FLOOR(((L267+M267+N267)/3),0.1))))))))</f>
        <v/>
      </c>
      <c r="P267" s="21" t="n"/>
      <c r="Q267" s="21" t="n"/>
      <c r="R267" s="27">
        <f>SUM(P267:Q267)</f>
        <v/>
      </c>
      <c r="S267" s="28" t="n"/>
      <c r="T267" s="28" t="n"/>
      <c r="U267" s="29">
        <f>IF(AND(R267=0,S267=0,T267=0),0,IF(AND(R267=0,S267=0),T267/1,IF(AND(R267=0,T267=0),S267/1,IF(AND(S267=0,T267=0),R267/1,IF(R267=0,FLOOR((S267+T267)/2,0.1),IF(S267=0,(R267+T267)/2,IF(T267=0,(S267+R267)/2,FLOOR(((R267+S267+T267)/3),0.1))))))))</f>
        <v/>
      </c>
      <c r="V267" s="21" t="n"/>
      <c r="W267" s="21" t="n"/>
      <c r="X267" s="27">
        <f>SUM(V267:W267)</f>
        <v/>
      </c>
      <c r="Y267" s="28" t="n"/>
      <c r="Z267" s="28" t="n"/>
      <c r="AA267" s="29">
        <f>IF(AND(X267=0,Y267=0,Z267=0),0,IF(AND(X267=0,Y267=0),Z267/1,IF(AND(X267=0,Z267=0),Y267/1,IF(AND(Y267=0,Z267=0),X267/1,IF(X267=0,FLOOR((Y267+Z267)/2,0.1),IF(Y267=0,(X267+Z267)/2,IF(Z267=0,(Y267+X267)/2,FLOOR(((X267+Y267+Z267)/3),0.1))))))))</f>
        <v/>
      </c>
      <c r="AB267" s="21" t="n"/>
      <c r="AC267" s="21" t="n"/>
      <c r="AD267" s="27">
        <f>SUM(AB267:AC267)</f>
        <v/>
      </c>
      <c r="AE267" s="28" t="n"/>
      <c r="AF267" s="28" t="n"/>
      <c r="AG267" s="29">
        <f>IF(AND(AD267=0,AE267=0,AF267=0),0,IF(AND(AD267=0,AE267=0),AF267/1,IF(AND(AD267=0,AF267=0),AE267/1,IF(AND(AE267=0,AF267=0),AD267/1,IF(AD267=0,FLOOR((AE267+AF267)/2,0.1),IF(AE267=0,(AD267+AF267)/2,IF(AF267=0,(AE267+AD267)/2,FLOOR(((AD267+AE267+AF267)/3),0.1))))))))</f>
        <v/>
      </c>
      <c r="AH267" s="21" t="n"/>
      <c r="AI267" s="21" t="n"/>
      <c r="AJ267" s="27">
        <f>SUM(AH267:AI267)</f>
        <v/>
      </c>
      <c r="AK267" s="28" t="n"/>
      <c r="AL267" s="28" t="n"/>
      <c r="AM267" s="29">
        <f>IF(AND(AJ267=0,AK267=0,AL267=0),0,IF(AND(AJ267=0,AK267=0),AL267/1,IF(AND(AJ267=0,AL267=0),AK267/1,IF(AND(AK267=0,AL267=0),AJ267/1,IF(AJ267=0,FLOOR((AK267+AL267)/2,0.1),IF(AK267=0,(AJ267+AL267)/2,IF(AL267=0,(AK267+AJ267)/2,FLOOR(((AJ267+AK267+AL267)/3),0.1))))))))</f>
        <v/>
      </c>
      <c r="AN267" s="21" t="n"/>
      <c r="AO267" s="21" t="n"/>
      <c r="AP267" s="27">
        <f>SUM(AN267:AO267)</f>
        <v/>
      </c>
      <c r="AQ267" s="28" t="n"/>
      <c r="AR267" s="30" t="n"/>
      <c r="AS267" s="29">
        <f>IF(AND(AP267=0,AQ267=0,AR267=0),0,IF(AND(AP267=0,AQ267=0),AR267/1,IF(AND(AP267=0,AR267=0),AQ267/1,IF(AND(AQ267=0,AR267=0),AP267/1,IF(AP267=0,FLOOR((AQ267+AR267)/2,0.1),IF(AQ267=0,(AP267+AR267)/2,IF(AR267=0,(AQ267+AP267)/2,FLOOR(((AP267+AQ267+AR267)/3),0.1))))))))</f>
        <v/>
      </c>
      <c r="AT267" s="21" t="n"/>
      <c r="AU267" s="21" t="n"/>
      <c r="AV267" s="27">
        <f>SUM(AT267:AU267)</f>
        <v/>
      </c>
      <c r="AW267" s="28" t="n"/>
      <c r="AX267" s="30" t="n"/>
      <c r="AY267" s="29">
        <f>IF(AND(AV267=0,AW267=0,AX267=0),0,IF(AND(AV267=0,AW267=0),AX267/1,IF(AND(AV267=0,AX267=0),AW267/1,IF(AND(AW267=0,AX267=0),AV267/1,IF(AV267=0,FLOOR((AW267+AX267)/2,0.1),IF(AW267=0,(AV267+AX267)/2,IF(AX267=0,(AW267+AV267)/2,FLOOR(((AV267+AW267+AX267)/3),0.1))))))))</f>
        <v/>
      </c>
      <c r="AZ267" s="21" t="n"/>
      <c r="BA267" s="21" t="n"/>
      <c r="BB267" s="27">
        <f>SUM(AZ267:BA267)</f>
        <v/>
      </c>
      <c r="BC267" s="28" t="n"/>
      <c r="BD267" s="28" t="n"/>
      <c r="BE267" s="29">
        <f>IF(AND(BB267=0,BC267=0,BD267=0),0,IF(AND(BB267=0,BC267=0),BD267/1,IF(AND(BB267=0,BD267=0),BC267/1,IF(AND(BC267=0,BD267=0),BB267/1,IF(BB267=0,FLOOR((BC267+BD267)/2,0.1),IF(BC267=0,(BB267+BD267)/2,IF(BD267=0,(BC267+BB267)/2,FLOOR(((BB267+BC267+BD267)/3),0.1))))))))</f>
        <v/>
      </c>
      <c r="BF267" s="21" t="n"/>
      <c r="BG267" s="21" t="n"/>
      <c r="BH267" s="27">
        <f>SUM(BF267:BG267)</f>
        <v/>
      </c>
      <c r="BI267" s="28" t="n"/>
      <c r="BJ267" s="28" t="n"/>
      <c r="BK267" s="29">
        <f>IF(AND(BH267=0,BI267=0,BJ267=0),0,IF(AND(BH267=0,BI267=0),BJ267/1,IF(AND(BH267=0,BJ267=0),BI267/1,IF(AND(BI267=0,BJ267=0),BH267/1,IF(BH267=0,FLOOR((BI267+BJ267)/2,0.1),IF(BI267=0,(BH267+BJ267)/2,IF(BJ267=0,(BI267+BH267)/2,FLOOR(((BH267+BI267+BJ267)/3),0.1))))))))</f>
        <v/>
      </c>
      <c r="BL267" s="21" t="n"/>
      <c r="BM267" s="21" t="n"/>
      <c r="BN267" s="27">
        <f>SUM(BL267:BM267)</f>
        <v/>
      </c>
      <c r="BO267" s="28" t="n"/>
      <c r="BP267" s="31" t="n"/>
      <c r="BQ267" s="29">
        <f>IF(AND(BN267=0,BO267=0,BP267=0),0,IF(AND(BN267=0,BO267=0),BP267/1,IF(AND(BN267=0,BP267=0),BO267/1,IF(AND(BO267=0,BP267=0),BN267/1,IF(BN267=0,FLOOR((BO267+BP267)/2,0.1),IF(BO267=0,(BN267+BP267)/2,IF(BP267=0,(BO267+BN267)/2,FLOOR(((BN267+BO267+BP267)/3),0.1))))))))</f>
        <v/>
      </c>
      <c r="BR267" s="21" t="n"/>
      <c r="BS267" s="21" t="n"/>
      <c r="BT267" s="27">
        <f>SUM(BR267:BS267)</f>
        <v/>
      </c>
      <c r="BU267" s="28" t="n"/>
      <c r="BV267" s="31" t="n"/>
      <c r="BW267" s="29">
        <f>IF(AND(BT267=0,BU267=0,BV267=0),0,IF(AND(BT267=0,BU267=0),BV267/1,IF(AND(BT267=0,BV267=0),BU267/1,IF(AND(BU267=0,BV267=0),BT267/1,IF(BT267=0,FLOOR((BU267+BV267)/2,0.1),IF(BU267=0,(BT267+BV267)/2,IF(BV267=0,(BU267+BT267)/2,FLOOR(((BT267+BU267+BV267)/3),0.1))))))))</f>
        <v/>
      </c>
      <c r="BX267" s="21" t="n"/>
      <c r="BY267" s="21" t="n"/>
      <c r="BZ267" s="27">
        <f>SUM(BX267:BY267)</f>
        <v/>
      </c>
      <c r="CA267" s="28" t="n"/>
      <c r="CB267" s="31" t="n"/>
      <c r="CC267" s="29">
        <f>IF(AND(BZ267=0,CA267=0,CB267=0),0,IF(AND(BZ267=0,CA267=0),CB267/1,IF(AND(BZ267=0,CB267=0),CA267/1,IF(AND(CA267=0,CB267=0),BZ267/1,IF(BZ267=0,FLOOR((CA267+CB267)/2,0.1),IF(CA267=0,(BZ267+CB267)/2,IF(CB267=0,(CA267+BZ267)/2,FLOOR(((BZ267+CA267+CB267)/3),0.1))))))))</f>
        <v/>
      </c>
      <c r="CD267" s="21" t="n"/>
      <c r="CE267" s="21" t="n"/>
      <c r="CF267" s="27">
        <f>SUM(CD267:CE267)</f>
        <v/>
      </c>
      <c r="CG267" s="28" t="n"/>
      <c r="CH267" s="31" t="n"/>
      <c r="CI267" s="29">
        <f>IF(AND(CF267=0,CG267=0,CH267=0),0,IF(AND(CF267=0,CG267=0),CH267/1,IF(AND(CF267=0,CH267=0),CG267/1,IF(AND(CG267=0,CH267=0),CF267/1,IF(CF267=0,FLOOR((CG267+CH267)/2,0.1),IF(CG267=0,(CF267+CH267)/2,IF(CH267=0,(CG267+CF267)/2,FLOOR(((CF267+CG267+CH267)/3),0.1))))))))</f>
        <v/>
      </c>
      <c r="CJ267" s="21" t="n"/>
      <c r="CK267" s="21" t="n"/>
      <c r="CL267" s="27">
        <f>SUM(CJ267:CK267)</f>
        <v/>
      </c>
      <c r="CM267" s="28" t="n"/>
      <c r="CN267" s="31" t="n"/>
      <c r="CO267" s="29">
        <f>IF(AND(CL267=0,CM267=0,CN267=0),0,IF(AND(CL267=0,CM267=0),CN267/1,IF(AND(CL267=0,CN267=0),CM267/1,IF(AND(CM267=0,CN267=0),CL267/1,IF(CL267=0,FLOOR((CM267+CN267)/2,0.1),IF(CM267=0,(CL267+CN267)/2,IF(CN267=0,(CM267+CL267)/2,FLOOR(((CL267+CM267+CN267)/3),0.1))))))))</f>
        <v/>
      </c>
      <c r="CP267" s="21" t="n"/>
      <c r="CQ267" s="21" t="n"/>
      <c r="CR267" s="27">
        <f>SUM(CP267:CQ267)</f>
        <v/>
      </c>
      <c r="CS267" s="28" t="n"/>
      <c r="CT267" s="31" t="n"/>
      <c r="CU267" s="29">
        <f>IF(AND(CR267=0,CS267=0,CT267=0),0,IF(AND(CR267=0,CS267=0),CT267/1,IF(AND(CR267=0,CT267=0),CS267/1,IF(AND(CS267=0,CT267=0),CR267/1,IF(CR267=0,FLOOR((CS267+CT267)/2,0.1),IF(CS267=0,(CR267+CT267)/2,IF(CT267=0,(CS267+CR267)/2,FLOOR(((CR267+CS267+CT267)/3),0.1))))))))</f>
        <v/>
      </c>
      <c r="CV267" s="21" t="n"/>
      <c r="CW267" s="21" t="n"/>
      <c r="CX267" s="27">
        <f>SUM(CV267:CW267)</f>
        <v/>
      </c>
      <c r="CY267" s="28" t="n"/>
      <c r="CZ267" s="31" t="n"/>
      <c r="DA267" s="29">
        <f>IF(AND(CX267=0,CY267=0,CZ267=0),0,IF(AND(CX267=0,CY267=0),CZ267/1,IF(AND(CX267=0,CZ267=0),CY267/1,IF(AND(CY267=0,CZ267=0),CX267/1,IF(CX267=0,FLOOR((CY267+CZ267)/2,0.1),IF(CY267=0,(CX267+CZ267)/2,IF(CZ267=0,(CY267+CX267)/2,FLOOR(((CX267+CY267+CZ267)/3),0.1))))))))</f>
        <v/>
      </c>
      <c r="DB267" s="21" t="n"/>
      <c r="DC267" s="21" t="n"/>
      <c r="DD267" s="27">
        <f>SUM(DB267:DC267)</f>
        <v/>
      </c>
      <c r="DE267" s="28" t="n"/>
      <c r="DF267" s="31" t="n"/>
      <c r="DG267" s="29">
        <f>IF(AND(DD267=0,DE267=0,DF267=0),0,IF(AND(DD267=0,DE267=0),DF267/1,IF(AND(DD267=0,DF267=0),DE267/1,IF(AND(DE267=0,DF267=0),DD267/1,IF(DD267=0,FLOOR((DE267+DF267)/2,0.1),IF(DE267=0,(DD267+DF267)/2,IF(DF267=0,(DE267+DD267)/2,FLOOR(((DD267+DE267+DF267)/3),0.1))))))))</f>
        <v/>
      </c>
      <c r="DH267" s="34">
        <f>SUM(O267,U267,AA267,AG267,AM267,AS267,AY267,BE267,BK267,BQ267,BW267,CC267,CI267,CO267,CU267,DA267,DG267)</f>
        <v/>
      </c>
      <c r="DI267" s="39">
        <f>RANK(DH267,DH$4:DH$503)</f>
        <v/>
      </c>
      <c r="DJ267" s="40" t="inlineStr">
        <is>
          <t>CHOOSE RATING</t>
        </is>
      </c>
      <c r="DK267" s="40" t="inlineStr">
        <is>
          <t>CHOOSE RATING</t>
        </is>
      </c>
      <c r="DL267" s="40" t="inlineStr">
        <is>
          <t>CHOOSE RATING</t>
        </is>
      </c>
      <c r="DM267" s="40" t="inlineStr">
        <is>
          <t>CHOOSE RATING</t>
        </is>
      </c>
      <c r="DN267" s="40" t="inlineStr">
        <is>
          <t>CHOOSE RATING</t>
        </is>
      </c>
      <c r="DO267" s="40" t="inlineStr">
        <is>
          <t>CHOOSE RATING</t>
        </is>
      </c>
      <c r="DP267" s="40" t="inlineStr">
        <is>
          <t>CHOOSE RATING</t>
        </is>
      </c>
      <c r="DQ267" s="40" t="inlineStr">
        <is>
          <t>CHOOSE RATING</t>
        </is>
      </c>
      <c r="DR267" s="43" t="inlineStr">
        <is>
          <t>2024/2025</t>
        </is>
      </c>
      <c r="DS267" s="45" t="inlineStr">
        <is>
          <t>THIRD</t>
        </is>
      </c>
      <c r="DT267" s="40" t="inlineStr">
        <is>
          <t>CHOOSE RATING</t>
        </is>
      </c>
      <c r="DU267" s="40" t="inlineStr">
        <is>
          <t>CHOOSE RATING</t>
        </is>
      </c>
      <c r="DV267" s="40" t="inlineStr">
        <is>
          <t>CHOOSE RATING</t>
        </is>
      </c>
      <c r="DW267" s="40" t="inlineStr">
        <is>
          <t>CHOOSE RATING</t>
        </is>
      </c>
      <c r="DX267" s="40" t="inlineStr">
        <is>
          <t>CHOOSE RATING</t>
        </is>
      </c>
      <c r="DY267" s="40" t="inlineStr">
        <is>
          <t>CHOOSE RATING</t>
        </is>
      </c>
      <c r="DZ267" s="53" t="inlineStr">
        <is>
          <t>CHOOSE RATING</t>
        </is>
      </c>
      <c r="EA267" s="54" t="inlineStr">
        <is>
          <t>Add the Tutor's Comment . . .</t>
        </is>
      </c>
      <c r="EB267" s="55" t="inlineStr">
        <is>
          <t>Choose Principals comment</t>
        </is>
      </c>
      <c r="EC267" s="56" t="n"/>
      <c r="ED267" s="57" t="inlineStr">
        <is>
          <t>Next Term Begins on Monday, 22nd September, 2025</t>
        </is>
      </c>
    </row>
    <row r="268" ht="30.6" customHeight="1" s="6">
      <c r="A268" s="18" t="n">
        <v>265</v>
      </c>
      <c r="B268" s="19" t="n"/>
      <c r="C268" s="20" t="n"/>
      <c r="D268" s="128" t="n"/>
      <c r="E268" s="21" t="n"/>
      <c r="F268" s="22" t="n"/>
      <c r="G268" s="22" t="n"/>
      <c r="H268" s="22" t="n"/>
      <c r="I268" s="26">
        <f>G268-H268</f>
        <v/>
      </c>
      <c r="J268" s="21" t="n"/>
      <c r="K268" s="21" t="n"/>
      <c r="L268" s="27">
        <f>SUM(J268:K268)</f>
        <v/>
      </c>
      <c r="M268" s="28" t="n"/>
      <c r="N268" s="28" t="n"/>
      <c r="O268" s="29">
        <f>IF(AND(L268=0,M268=0,N268=0),0,IF(AND(L268=0,M268=0),N268/1,IF(AND(L268=0,N268=0),M268/1,IF(AND(M268=0,N268=0),L268/1,IF(L268=0,FLOOR((M268+N268)/2,0.1),IF(M268=0,(L268+N268)/2,IF(N268=0,(M268+L268)/2,FLOOR(((L268+M268+N268)/3),0.1))))))))</f>
        <v/>
      </c>
      <c r="P268" s="21" t="n"/>
      <c r="Q268" s="21" t="n"/>
      <c r="R268" s="27">
        <f>SUM(P268:Q268)</f>
        <v/>
      </c>
      <c r="S268" s="28" t="n"/>
      <c r="T268" s="28" t="n"/>
      <c r="U268" s="29">
        <f>IF(AND(R268=0,S268=0,T268=0),0,IF(AND(R268=0,S268=0),T268/1,IF(AND(R268=0,T268=0),S268/1,IF(AND(S268=0,T268=0),R268/1,IF(R268=0,FLOOR((S268+T268)/2,0.1),IF(S268=0,(R268+T268)/2,IF(T268=0,(S268+R268)/2,FLOOR(((R268+S268+T268)/3),0.1))))))))</f>
        <v/>
      </c>
      <c r="V268" s="21" t="n"/>
      <c r="W268" s="21" t="n"/>
      <c r="X268" s="27">
        <f>SUM(V268:W268)</f>
        <v/>
      </c>
      <c r="Y268" s="28" t="n"/>
      <c r="Z268" s="28" t="n"/>
      <c r="AA268" s="29">
        <f>IF(AND(X268=0,Y268=0,Z268=0),0,IF(AND(X268=0,Y268=0),Z268/1,IF(AND(X268=0,Z268=0),Y268/1,IF(AND(Y268=0,Z268=0),X268/1,IF(X268=0,FLOOR((Y268+Z268)/2,0.1),IF(Y268=0,(X268+Z268)/2,IF(Z268=0,(Y268+X268)/2,FLOOR(((X268+Y268+Z268)/3),0.1))))))))</f>
        <v/>
      </c>
      <c r="AB268" s="21" t="n"/>
      <c r="AC268" s="21" t="n"/>
      <c r="AD268" s="27">
        <f>SUM(AB268:AC268)</f>
        <v/>
      </c>
      <c r="AE268" s="28" t="n"/>
      <c r="AF268" s="28" t="n"/>
      <c r="AG268" s="29">
        <f>IF(AND(AD268=0,AE268=0,AF268=0),0,IF(AND(AD268=0,AE268=0),AF268/1,IF(AND(AD268=0,AF268=0),AE268/1,IF(AND(AE268=0,AF268=0),AD268/1,IF(AD268=0,FLOOR((AE268+AF268)/2,0.1),IF(AE268=0,(AD268+AF268)/2,IF(AF268=0,(AE268+AD268)/2,FLOOR(((AD268+AE268+AF268)/3),0.1))))))))</f>
        <v/>
      </c>
      <c r="AH268" s="21" t="n"/>
      <c r="AI268" s="21" t="n"/>
      <c r="AJ268" s="27">
        <f>SUM(AH268:AI268)</f>
        <v/>
      </c>
      <c r="AK268" s="28" t="n"/>
      <c r="AL268" s="28" t="n"/>
      <c r="AM268" s="29">
        <f>IF(AND(AJ268=0,AK268=0,AL268=0),0,IF(AND(AJ268=0,AK268=0),AL268/1,IF(AND(AJ268=0,AL268=0),AK268/1,IF(AND(AK268=0,AL268=0),AJ268/1,IF(AJ268=0,FLOOR((AK268+AL268)/2,0.1),IF(AK268=0,(AJ268+AL268)/2,IF(AL268=0,(AK268+AJ268)/2,FLOOR(((AJ268+AK268+AL268)/3),0.1))))))))</f>
        <v/>
      </c>
      <c r="AN268" s="21" t="n"/>
      <c r="AO268" s="21" t="n"/>
      <c r="AP268" s="27">
        <f>SUM(AN268:AO268)</f>
        <v/>
      </c>
      <c r="AQ268" s="28" t="n"/>
      <c r="AR268" s="30" t="n"/>
      <c r="AS268" s="29">
        <f>IF(AND(AP268=0,AQ268=0,AR268=0),0,IF(AND(AP268=0,AQ268=0),AR268/1,IF(AND(AP268=0,AR268=0),AQ268/1,IF(AND(AQ268=0,AR268=0),AP268/1,IF(AP268=0,FLOOR((AQ268+AR268)/2,0.1),IF(AQ268=0,(AP268+AR268)/2,IF(AR268=0,(AQ268+AP268)/2,FLOOR(((AP268+AQ268+AR268)/3),0.1))))))))</f>
        <v/>
      </c>
      <c r="AT268" s="21" t="n"/>
      <c r="AU268" s="21" t="n"/>
      <c r="AV268" s="27">
        <f>SUM(AT268:AU268)</f>
        <v/>
      </c>
      <c r="AW268" s="28" t="n"/>
      <c r="AX268" s="30" t="n"/>
      <c r="AY268" s="29">
        <f>IF(AND(AV268=0,AW268=0,AX268=0),0,IF(AND(AV268=0,AW268=0),AX268/1,IF(AND(AV268=0,AX268=0),AW268/1,IF(AND(AW268=0,AX268=0),AV268/1,IF(AV268=0,FLOOR((AW268+AX268)/2,0.1),IF(AW268=0,(AV268+AX268)/2,IF(AX268=0,(AW268+AV268)/2,FLOOR(((AV268+AW268+AX268)/3),0.1))))))))</f>
        <v/>
      </c>
      <c r="AZ268" s="21" t="n"/>
      <c r="BA268" s="21" t="n"/>
      <c r="BB268" s="27">
        <f>SUM(AZ268:BA268)</f>
        <v/>
      </c>
      <c r="BC268" s="28" t="n"/>
      <c r="BD268" s="28" t="n"/>
      <c r="BE268" s="29">
        <f>IF(AND(BB268=0,BC268=0,BD268=0),0,IF(AND(BB268=0,BC268=0),BD268/1,IF(AND(BB268=0,BD268=0),BC268/1,IF(AND(BC268=0,BD268=0),BB268/1,IF(BB268=0,FLOOR((BC268+BD268)/2,0.1),IF(BC268=0,(BB268+BD268)/2,IF(BD268=0,(BC268+BB268)/2,FLOOR(((BB268+BC268+BD268)/3),0.1))))))))</f>
        <v/>
      </c>
      <c r="BF268" s="21" t="n"/>
      <c r="BG268" s="21" t="n"/>
      <c r="BH268" s="27">
        <f>SUM(BF268:BG268)</f>
        <v/>
      </c>
      <c r="BI268" s="28" t="n"/>
      <c r="BJ268" s="28" t="n"/>
      <c r="BK268" s="29">
        <f>IF(AND(BH268=0,BI268=0,BJ268=0),0,IF(AND(BH268=0,BI268=0),BJ268/1,IF(AND(BH268=0,BJ268=0),BI268/1,IF(AND(BI268=0,BJ268=0),BH268/1,IF(BH268=0,FLOOR((BI268+BJ268)/2,0.1),IF(BI268=0,(BH268+BJ268)/2,IF(BJ268=0,(BI268+BH268)/2,FLOOR(((BH268+BI268+BJ268)/3),0.1))))))))</f>
        <v/>
      </c>
      <c r="BL268" s="21" t="n"/>
      <c r="BM268" s="21" t="n"/>
      <c r="BN268" s="27">
        <f>SUM(BL268:BM268)</f>
        <v/>
      </c>
      <c r="BO268" s="28" t="n"/>
      <c r="BP268" s="31" t="n"/>
      <c r="BQ268" s="29">
        <f>IF(AND(BN268=0,BO268=0,BP268=0),0,IF(AND(BN268=0,BO268=0),BP268/1,IF(AND(BN268=0,BP268=0),BO268/1,IF(AND(BO268=0,BP268=0),BN268/1,IF(BN268=0,FLOOR((BO268+BP268)/2,0.1),IF(BO268=0,(BN268+BP268)/2,IF(BP268=0,(BO268+BN268)/2,FLOOR(((BN268+BO268+BP268)/3),0.1))))))))</f>
        <v/>
      </c>
      <c r="BR268" s="21" t="n"/>
      <c r="BS268" s="21" t="n"/>
      <c r="BT268" s="27">
        <f>SUM(BR268:BS268)</f>
        <v/>
      </c>
      <c r="BU268" s="28" t="n"/>
      <c r="BV268" s="31" t="n"/>
      <c r="BW268" s="29">
        <f>IF(AND(BT268=0,BU268=0,BV268=0),0,IF(AND(BT268=0,BU268=0),BV268/1,IF(AND(BT268=0,BV268=0),BU268/1,IF(AND(BU268=0,BV268=0),BT268/1,IF(BT268=0,FLOOR((BU268+BV268)/2,0.1),IF(BU268=0,(BT268+BV268)/2,IF(BV268=0,(BU268+BT268)/2,FLOOR(((BT268+BU268+BV268)/3),0.1))))))))</f>
        <v/>
      </c>
      <c r="BX268" s="21" t="n"/>
      <c r="BY268" s="21" t="n"/>
      <c r="BZ268" s="27">
        <f>SUM(BX268:BY268)</f>
        <v/>
      </c>
      <c r="CA268" s="28" t="n"/>
      <c r="CB268" s="31" t="n"/>
      <c r="CC268" s="29">
        <f>IF(AND(BZ268=0,CA268=0,CB268=0),0,IF(AND(BZ268=0,CA268=0),CB268/1,IF(AND(BZ268=0,CB268=0),CA268/1,IF(AND(CA268=0,CB268=0),BZ268/1,IF(BZ268=0,FLOOR((CA268+CB268)/2,0.1),IF(CA268=0,(BZ268+CB268)/2,IF(CB268=0,(CA268+BZ268)/2,FLOOR(((BZ268+CA268+CB268)/3),0.1))))))))</f>
        <v/>
      </c>
      <c r="CD268" s="21" t="n"/>
      <c r="CE268" s="21" t="n"/>
      <c r="CF268" s="27">
        <f>SUM(CD268:CE268)</f>
        <v/>
      </c>
      <c r="CG268" s="28" t="n"/>
      <c r="CH268" s="31" t="n"/>
      <c r="CI268" s="29">
        <f>IF(AND(CF268=0,CG268=0,CH268=0),0,IF(AND(CF268=0,CG268=0),CH268/1,IF(AND(CF268=0,CH268=0),CG268/1,IF(AND(CG268=0,CH268=0),CF268/1,IF(CF268=0,FLOOR((CG268+CH268)/2,0.1),IF(CG268=0,(CF268+CH268)/2,IF(CH268=0,(CG268+CF268)/2,FLOOR(((CF268+CG268+CH268)/3),0.1))))))))</f>
        <v/>
      </c>
      <c r="CJ268" s="21" t="n"/>
      <c r="CK268" s="21" t="n"/>
      <c r="CL268" s="27">
        <f>SUM(CJ268:CK268)</f>
        <v/>
      </c>
      <c r="CM268" s="28" t="n"/>
      <c r="CN268" s="31" t="n"/>
      <c r="CO268" s="29">
        <f>IF(AND(CL268=0,CM268=0,CN268=0),0,IF(AND(CL268=0,CM268=0),CN268/1,IF(AND(CL268=0,CN268=0),CM268/1,IF(AND(CM268=0,CN268=0),CL268/1,IF(CL268=0,FLOOR((CM268+CN268)/2,0.1),IF(CM268=0,(CL268+CN268)/2,IF(CN268=0,(CM268+CL268)/2,FLOOR(((CL268+CM268+CN268)/3),0.1))))))))</f>
        <v/>
      </c>
      <c r="CP268" s="21" t="n"/>
      <c r="CQ268" s="21" t="n"/>
      <c r="CR268" s="27">
        <f>SUM(CP268:CQ268)</f>
        <v/>
      </c>
      <c r="CS268" s="28" t="n"/>
      <c r="CT268" s="31" t="n"/>
      <c r="CU268" s="29">
        <f>IF(AND(CR268=0,CS268=0,CT268=0),0,IF(AND(CR268=0,CS268=0),CT268/1,IF(AND(CR268=0,CT268=0),CS268/1,IF(AND(CS268=0,CT268=0),CR268/1,IF(CR268=0,FLOOR((CS268+CT268)/2,0.1),IF(CS268=0,(CR268+CT268)/2,IF(CT268=0,(CS268+CR268)/2,FLOOR(((CR268+CS268+CT268)/3),0.1))))))))</f>
        <v/>
      </c>
      <c r="CV268" s="21" t="n"/>
      <c r="CW268" s="21" t="n"/>
      <c r="CX268" s="27">
        <f>SUM(CV268:CW268)</f>
        <v/>
      </c>
      <c r="CY268" s="28" t="n"/>
      <c r="CZ268" s="31" t="n"/>
      <c r="DA268" s="29">
        <f>IF(AND(CX268=0,CY268=0,CZ268=0),0,IF(AND(CX268=0,CY268=0),CZ268/1,IF(AND(CX268=0,CZ268=0),CY268/1,IF(AND(CY268=0,CZ268=0),CX268/1,IF(CX268=0,FLOOR((CY268+CZ268)/2,0.1),IF(CY268=0,(CX268+CZ268)/2,IF(CZ268=0,(CY268+CX268)/2,FLOOR(((CX268+CY268+CZ268)/3),0.1))))))))</f>
        <v/>
      </c>
      <c r="DB268" s="21" t="n"/>
      <c r="DC268" s="21" t="n"/>
      <c r="DD268" s="27">
        <f>SUM(DB268:DC268)</f>
        <v/>
      </c>
      <c r="DE268" s="28" t="n"/>
      <c r="DF268" s="31" t="n"/>
      <c r="DG268" s="29">
        <f>IF(AND(DD268=0,DE268=0,DF268=0),0,IF(AND(DD268=0,DE268=0),DF268/1,IF(AND(DD268=0,DF268=0),DE268/1,IF(AND(DE268=0,DF268=0),DD268/1,IF(DD268=0,FLOOR((DE268+DF268)/2,0.1),IF(DE268=0,(DD268+DF268)/2,IF(DF268=0,(DE268+DD268)/2,FLOOR(((DD268+DE268+DF268)/3),0.1))))))))</f>
        <v/>
      </c>
      <c r="DH268" s="34">
        <f>SUM(O268,U268,AA268,AG268,AM268,AS268,AY268,BE268,BK268,BQ268,BW268,CC268,CI268,CO268,CU268,DA268,DG268)</f>
        <v/>
      </c>
      <c r="DI268" s="39">
        <f>RANK(DH268,DH$4:DH$503)</f>
        <v/>
      </c>
      <c r="DJ268" s="40" t="inlineStr">
        <is>
          <t>CHOOSE RATING</t>
        </is>
      </c>
      <c r="DK268" s="40" t="inlineStr">
        <is>
          <t>CHOOSE RATING</t>
        </is>
      </c>
      <c r="DL268" s="40" t="inlineStr">
        <is>
          <t>CHOOSE RATING</t>
        </is>
      </c>
      <c r="DM268" s="40" t="inlineStr">
        <is>
          <t>CHOOSE RATING</t>
        </is>
      </c>
      <c r="DN268" s="40" t="inlineStr">
        <is>
          <t>CHOOSE RATING</t>
        </is>
      </c>
      <c r="DO268" s="40" t="inlineStr">
        <is>
          <t>CHOOSE RATING</t>
        </is>
      </c>
      <c r="DP268" s="40" t="inlineStr">
        <is>
          <t>CHOOSE RATING</t>
        </is>
      </c>
      <c r="DQ268" s="40" t="inlineStr">
        <is>
          <t>CHOOSE RATING</t>
        </is>
      </c>
      <c r="DR268" s="43" t="inlineStr">
        <is>
          <t>2024/2025</t>
        </is>
      </c>
      <c r="DS268" s="45" t="inlineStr">
        <is>
          <t>THIRD</t>
        </is>
      </c>
      <c r="DT268" s="40" t="inlineStr">
        <is>
          <t>CHOOSE RATING</t>
        </is>
      </c>
      <c r="DU268" s="40" t="inlineStr">
        <is>
          <t>CHOOSE RATING</t>
        </is>
      </c>
      <c r="DV268" s="40" t="inlineStr">
        <is>
          <t>CHOOSE RATING</t>
        </is>
      </c>
      <c r="DW268" s="40" t="inlineStr">
        <is>
          <t>CHOOSE RATING</t>
        </is>
      </c>
      <c r="DX268" s="40" t="inlineStr">
        <is>
          <t>CHOOSE RATING</t>
        </is>
      </c>
      <c r="DY268" s="40" t="inlineStr">
        <is>
          <t>CHOOSE RATING</t>
        </is>
      </c>
      <c r="DZ268" s="53" t="inlineStr">
        <is>
          <t>CHOOSE RATING</t>
        </is>
      </c>
      <c r="EA268" s="54" t="inlineStr">
        <is>
          <t>Add the Tutor's Comment . . .</t>
        </is>
      </c>
      <c r="EB268" s="55" t="inlineStr">
        <is>
          <t>Choose Principals comment</t>
        </is>
      </c>
      <c r="EC268" s="56" t="n"/>
      <c r="ED268" s="57" t="inlineStr">
        <is>
          <t>Next Term Begins on Monday, 22nd September, 2025</t>
        </is>
      </c>
    </row>
    <row r="269" ht="30.6" customHeight="1" s="6">
      <c r="A269" s="18" t="n">
        <v>266</v>
      </c>
      <c r="B269" s="19" t="n"/>
      <c r="C269" s="20" t="n"/>
      <c r="D269" s="128" t="n"/>
      <c r="E269" s="21" t="n"/>
      <c r="F269" s="22" t="n"/>
      <c r="G269" s="22" t="n"/>
      <c r="H269" s="22" t="n"/>
      <c r="I269" s="26">
        <f>G269-H269</f>
        <v/>
      </c>
      <c r="J269" s="21" t="n"/>
      <c r="K269" s="21" t="n"/>
      <c r="L269" s="27">
        <f>SUM(J269:K269)</f>
        <v/>
      </c>
      <c r="M269" s="28" t="n"/>
      <c r="N269" s="28" t="n"/>
      <c r="O269" s="29">
        <f>IF(AND(L269=0,M269=0,N269=0),0,IF(AND(L269=0,M269=0),N269/1,IF(AND(L269=0,N269=0),M269/1,IF(AND(M269=0,N269=0),L269/1,IF(L269=0,FLOOR((M269+N269)/2,0.1),IF(M269=0,(L269+N269)/2,IF(N269=0,(M269+L269)/2,FLOOR(((L269+M269+N269)/3),0.1))))))))</f>
        <v/>
      </c>
      <c r="P269" s="21" t="n"/>
      <c r="Q269" s="21" t="n"/>
      <c r="R269" s="27">
        <f>SUM(P269:Q269)</f>
        <v/>
      </c>
      <c r="S269" s="28" t="n"/>
      <c r="T269" s="28" t="n"/>
      <c r="U269" s="29">
        <f>IF(AND(R269=0,S269=0,T269=0),0,IF(AND(R269=0,S269=0),T269/1,IF(AND(R269=0,T269=0),S269/1,IF(AND(S269=0,T269=0),R269/1,IF(R269=0,FLOOR((S269+T269)/2,0.1),IF(S269=0,(R269+T269)/2,IF(T269=0,(S269+R269)/2,FLOOR(((R269+S269+T269)/3),0.1))))))))</f>
        <v/>
      </c>
      <c r="V269" s="21" t="n"/>
      <c r="W269" s="21" t="n"/>
      <c r="X269" s="27">
        <f>SUM(V269:W269)</f>
        <v/>
      </c>
      <c r="Y269" s="28" t="n"/>
      <c r="Z269" s="28" t="n"/>
      <c r="AA269" s="29">
        <f>IF(AND(X269=0,Y269=0,Z269=0),0,IF(AND(X269=0,Y269=0),Z269/1,IF(AND(X269=0,Z269=0),Y269/1,IF(AND(Y269=0,Z269=0),X269/1,IF(X269=0,FLOOR((Y269+Z269)/2,0.1),IF(Y269=0,(X269+Z269)/2,IF(Z269=0,(Y269+X269)/2,FLOOR(((X269+Y269+Z269)/3),0.1))))))))</f>
        <v/>
      </c>
      <c r="AB269" s="21" t="n"/>
      <c r="AC269" s="21" t="n"/>
      <c r="AD269" s="27">
        <f>SUM(AB269:AC269)</f>
        <v/>
      </c>
      <c r="AE269" s="28" t="n"/>
      <c r="AF269" s="28" t="n"/>
      <c r="AG269" s="29">
        <f>IF(AND(AD269=0,AE269=0,AF269=0),0,IF(AND(AD269=0,AE269=0),AF269/1,IF(AND(AD269=0,AF269=0),AE269/1,IF(AND(AE269=0,AF269=0),AD269/1,IF(AD269=0,FLOOR((AE269+AF269)/2,0.1),IF(AE269=0,(AD269+AF269)/2,IF(AF269=0,(AE269+AD269)/2,FLOOR(((AD269+AE269+AF269)/3),0.1))))))))</f>
        <v/>
      </c>
      <c r="AH269" s="21" t="n"/>
      <c r="AI269" s="21" t="n"/>
      <c r="AJ269" s="27">
        <f>SUM(AH269:AI269)</f>
        <v/>
      </c>
      <c r="AK269" s="28" t="n"/>
      <c r="AL269" s="28" t="n"/>
      <c r="AM269" s="29">
        <f>IF(AND(AJ269=0,AK269=0,AL269=0),0,IF(AND(AJ269=0,AK269=0),AL269/1,IF(AND(AJ269=0,AL269=0),AK269/1,IF(AND(AK269=0,AL269=0),AJ269/1,IF(AJ269=0,FLOOR((AK269+AL269)/2,0.1),IF(AK269=0,(AJ269+AL269)/2,IF(AL269=0,(AK269+AJ269)/2,FLOOR(((AJ269+AK269+AL269)/3),0.1))))))))</f>
        <v/>
      </c>
      <c r="AN269" s="21" t="n"/>
      <c r="AO269" s="21" t="n"/>
      <c r="AP269" s="27">
        <f>SUM(AN269:AO269)</f>
        <v/>
      </c>
      <c r="AQ269" s="28" t="n"/>
      <c r="AR269" s="30" t="n"/>
      <c r="AS269" s="29">
        <f>IF(AND(AP269=0,AQ269=0,AR269=0),0,IF(AND(AP269=0,AQ269=0),AR269/1,IF(AND(AP269=0,AR269=0),AQ269/1,IF(AND(AQ269=0,AR269=0),AP269/1,IF(AP269=0,FLOOR((AQ269+AR269)/2,0.1),IF(AQ269=0,(AP269+AR269)/2,IF(AR269=0,(AQ269+AP269)/2,FLOOR(((AP269+AQ269+AR269)/3),0.1))))))))</f>
        <v/>
      </c>
      <c r="AT269" s="21" t="n"/>
      <c r="AU269" s="21" t="n"/>
      <c r="AV269" s="27">
        <f>SUM(AT269:AU269)</f>
        <v/>
      </c>
      <c r="AW269" s="28" t="n"/>
      <c r="AX269" s="30" t="n"/>
      <c r="AY269" s="29">
        <f>IF(AND(AV269=0,AW269=0,AX269=0),0,IF(AND(AV269=0,AW269=0),AX269/1,IF(AND(AV269=0,AX269=0),AW269/1,IF(AND(AW269=0,AX269=0),AV269/1,IF(AV269=0,FLOOR((AW269+AX269)/2,0.1),IF(AW269=0,(AV269+AX269)/2,IF(AX269=0,(AW269+AV269)/2,FLOOR(((AV269+AW269+AX269)/3),0.1))))))))</f>
        <v/>
      </c>
      <c r="AZ269" s="21" t="n"/>
      <c r="BA269" s="21" t="n"/>
      <c r="BB269" s="27">
        <f>SUM(AZ269:BA269)</f>
        <v/>
      </c>
      <c r="BC269" s="28" t="n"/>
      <c r="BD269" s="28" t="n"/>
      <c r="BE269" s="29">
        <f>IF(AND(BB269=0,BC269=0,BD269=0),0,IF(AND(BB269=0,BC269=0),BD269/1,IF(AND(BB269=0,BD269=0),BC269/1,IF(AND(BC269=0,BD269=0),BB269/1,IF(BB269=0,FLOOR((BC269+BD269)/2,0.1),IF(BC269=0,(BB269+BD269)/2,IF(BD269=0,(BC269+BB269)/2,FLOOR(((BB269+BC269+BD269)/3),0.1))))))))</f>
        <v/>
      </c>
      <c r="BF269" s="21" t="n"/>
      <c r="BG269" s="21" t="n"/>
      <c r="BH269" s="27">
        <f>SUM(BF269:BG269)</f>
        <v/>
      </c>
      <c r="BI269" s="28" t="n"/>
      <c r="BJ269" s="28" t="n"/>
      <c r="BK269" s="29">
        <f>IF(AND(BH269=0,BI269=0,BJ269=0),0,IF(AND(BH269=0,BI269=0),BJ269/1,IF(AND(BH269=0,BJ269=0),BI269/1,IF(AND(BI269=0,BJ269=0),BH269/1,IF(BH269=0,FLOOR((BI269+BJ269)/2,0.1),IF(BI269=0,(BH269+BJ269)/2,IF(BJ269=0,(BI269+BH269)/2,FLOOR(((BH269+BI269+BJ269)/3),0.1))))))))</f>
        <v/>
      </c>
      <c r="BL269" s="21" t="n"/>
      <c r="BM269" s="21" t="n"/>
      <c r="BN269" s="27">
        <f>SUM(BL269:BM269)</f>
        <v/>
      </c>
      <c r="BO269" s="28" t="n"/>
      <c r="BP269" s="31" t="n"/>
      <c r="BQ269" s="29">
        <f>IF(AND(BN269=0,BO269=0,BP269=0),0,IF(AND(BN269=0,BO269=0),BP269/1,IF(AND(BN269=0,BP269=0),BO269/1,IF(AND(BO269=0,BP269=0),BN269/1,IF(BN269=0,FLOOR((BO269+BP269)/2,0.1),IF(BO269=0,(BN269+BP269)/2,IF(BP269=0,(BO269+BN269)/2,FLOOR(((BN269+BO269+BP269)/3),0.1))))))))</f>
        <v/>
      </c>
      <c r="BR269" s="21" t="n"/>
      <c r="BS269" s="21" t="n"/>
      <c r="BT269" s="27">
        <f>SUM(BR269:BS269)</f>
        <v/>
      </c>
      <c r="BU269" s="28" t="n"/>
      <c r="BV269" s="31" t="n"/>
      <c r="BW269" s="29">
        <f>IF(AND(BT269=0,BU269=0,BV269=0),0,IF(AND(BT269=0,BU269=0),BV269/1,IF(AND(BT269=0,BV269=0),BU269/1,IF(AND(BU269=0,BV269=0),BT269/1,IF(BT269=0,FLOOR((BU269+BV269)/2,0.1),IF(BU269=0,(BT269+BV269)/2,IF(BV269=0,(BU269+BT269)/2,FLOOR(((BT269+BU269+BV269)/3),0.1))))))))</f>
        <v/>
      </c>
      <c r="BX269" s="21" t="n"/>
      <c r="BY269" s="21" t="n"/>
      <c r="BZ269" s="27">
        <f>SUM(BX269:BY269)</f>
        <v/>
      </c>
      <c r="CA269" s="28" t="n"/>
      <c r="CB269" s="31" t="n"/>
      <c r="CC269" s="29">
        <f>IF(AND(BZ269=0,CA269=0,CB269=0),0,IF(AND(BZ269=0,CA269=0),CB269/1,IF(AND(BZ269=0,CB269=0),CA269/1,IF(AND(CA269=0,CB269=0),BZ269/1,IF(BZ269=0,FLOOR((CA269+CB269)/2,0.1),IF(CA269=0,(BZ269+CB269)/2,IF(CB269=0,(CA269+BZ269)/2,FLOOR(((BZ269+CA269+CB269)/3),0.1))))))))</f>
        <v/>
      </c>
      <c r="CD269" s="21" t="n"/>
      <c r="CE269" s="21" t="n"/>
      <c r="CF269" s="27">
        <f>SUM(CD269:CE269)</f>
        <v/>
      </c>
      <c r="CG269" s="28" t="n"/>
      <c r="CH269" s="31" t="n"/>
      <c r="CI269" s="29">
        <f>IF(AND(CF269=0,CG269=0,CH269=0),0,IF(AND(CF269=0,CG269=0),CH269/1,IF(AND(CF269=0,CH269=0),CG269/1,IF(AND(CG269=0,CH269=0),CF269/1,IF(CF269=0,FLOOR((CG269+CH269)/2,0.1),IF(CG269=0,(CF269+CH269)/2,IF(CH269=0,(CG269+CF269)/2,FLOOR(((CF269+CG269+CH269)/3),0.1))))))))</f>
        <v/>
      </c>
      <c r="CJ269" s="21" t="n"/>
      <c r="CK269" s="21" t="n"/>
      <c r="CL269" s="27">
        <f>SUM(CJ269:CK269)</f>
        <v/>
      </c>
      <c r="CM269" s="28" t="n"/>
      <c r="CN269" s="31" t="n"/>
      <c r="CO269" s="29">
        <f>IF(AND(CL269=0,CM269=0,CN269=0),0,IF(AND(CL269=0,CM269=0),CN269/1,IF(AND(CL269=0,CN269=0),CM269/1,IF(AND(CM269=0,CN269=0),CL269/1,IF(CL269=0,FLOOR((CM269+CN269)/2,0.1),IF(CM269=0,(CL269+CN269)/2,IF(CN269=0,(CM269+CL269)/2,FLOOR(((CL269+CM269+CN269)/3),0.1))))))))</f>
        <v/>
      </c>
      <c r="CP269" s="21" t="n"/>
      <c r="CQ269" s="21" t="n"/>
      <c r="CR269" s="27">
        <f>SUM(CP269:CQ269)</f>
        <v/>
      </c>
      <c r="CS269" s="28" t="n"/>
      <c r="CT269" s="31" t="n"/>
      <c r="CU269" s="29">
        <f>IF(AND(CR269=0,CS269=0,CT269=0),0,IF(AND(CR269=0,CS269=0),CT269/1,IF(AND(CR269=0,CT269=0),CS269/1,IF(AND(CS269=0,CT269=0),CR269/1,IF(CR269=0,FLOOR((CS269+CT269)/2,0.1),IF(CS269=0,(CR269+CT269)/2,IF(CT269=0,(CS269+CR269)/2,FLOOR(((CR269+CS269+CT269)/3),0.1))))))))</f>
        <v/>
      </c>
      <c r="CV269" s="21" t="n"/>
      <c r="CW269" s="21" t="n"/>
      <c r="CX269" s="27">
        <f>SUM(CV269:CW269)</f>
        <v/>
      </c>
      <c r="CY269" s="28" t="n"/>
      <c r="CZ269" s="31" t="n"/>
      <c r="DA269" s="29">
        <f>IF(AND(CX269=0,CY269=0,CZ269=0),0,IF(AND(CX269=0,CY269=0),CZ269/1,IF(AND(CX269=0,CZ269=0),CY269/1,IF(AND(CY269=0,CZ269=0),CX269/1,IF(CX269=0,FLOOR((CY269+CZ269)/2,0.1),IF(CY269=0,(CX269+CZ269)/2,IF(CZ269=0,(CY269+CX269)/2,FLOOR(((CX269+CY269+CZ269)/3),0.1))))))))</f>
        <v/>
      </c>
      <c r="DB269" s="21" t="n"/>
      <c r="DC269" s="21" t="n"/>
      <c r="DD269" s="27">
        <f>SUM(DB269:DC269)</f>
        <v/>
      </c>
      <c r="DE269" s="28" t="n"/>
      <c r="DF269" s="31" t="n"/>
      <c r="DG269" s="29">
        <f>IF(AND(DD269=0,DE269=0,DF269=0),0,IF(AND(DD269=0,DE269=0),DF269/1,IF(AND(DD269=0,DF269=0),DE269/1,IF(AND(DE269=0,DF269=0),DD269/1,IF(DD269=0,FLOOR((DE269+DF269)/2,0.1),IF(DE269=0,(DD269+DF269)/2,IF(DF269=0,(DE269+DD269)/2,FLOOR(((DD269+DE269+DF269)/3),0.1))))))))</f>
        <v/>
      </c>
      <c r="DH269" s="34">
        <f>SUM(O269,U269,AA269,AG269,AM269,AS269,AY269,BE269,BK269,BQ269,BW269,CC269,CI269,CO269,CU269,DA269,DG269)</f>
        <v/>
      </c>
      <c r="DI269" s="39">
        <f>RANK(DH269,DH$4:DH$503)</f>
        <v/>
      </c>
      <c r="DJ269" s="40" t="inlineStr">
        <is>
          <t>CHOOSE RATING</t>
        </is>
      </c>
      <c r="DK269" s="40" t="inlineStr">
        <is>
          <t>CHOOSE RATING</t>
        </is>
      </c>
      <c r="DL269" s="40" t="inlineStr">
        <is>
          <t>CHOOSE RATING</t>
        </is>
      </c>
      <c r="DM269" s="40" t="inlineStr">
        <is>
          <t>CHOOSE RATING</t>
        </is>
      </c>
      <c r="DN269" s="40" t="inlineStr">
        <is>
          <t>CHOOSE RATING</t>
        </is>
      </c>
      <c r="DO269" s="40" t="inlineStr">
        <is>
          <t>CHOOSE RATING</t>
        </is>
      </c>
      <c r="DP269" s="40" t="inlineStr">
        <is>
          <t>CHOOSE RATING</t>
        </is>
      </c>
      <c r="DQ269" s="40" t="inlineStr">
        <is>
          <t>CHOOSE RATING</t>
        </is>
      </c>
      <c r="DR269" s="43" t="inlineStr">
        <is>
          <t>2024/2025</t>
        </is>
      </c>
      <c r="DS269" s="45" t="inlineStr">
        <is>
          <t>THIRD</t>
        </is>
      </c>
      <c r="DT269" s="40" t="inlineStr">
        <is>
          <t>CHOOSE RATING</t>
        </is>
      </c>
      <c r="DU269" s="40" t="inlineStr">
        <is>
          <t>CHOOSE RATING</t>
        </is>
      </c>
      <c r="DV269" s="40" t="inlineStr">
        <is>
          <t>CHOOSE RATING</t>
        </is>
      </c>
      <c r="DW269" s="40" t="inlineStr">
        <is>
          <t>CHOOSE RATING</t>
        </is>
      </c>
      <c r="DX269" s="40" t="inlineStr">
        <is>
          <t>CHOOSE RATING</t>
        </is>
      </c>
      <c r="DY269" s="40" t="inlineStr">
        <is>
          <t>CHOOSE RATING</t>
        </is>
      </c>
      <c r="DZ269" s="53" t="inlineStr">
        <is>
          <t>CHOOSE RATING</t>
        </is>
      </c>
      <c r="EA269" s="54" t="inlineStr">
        <is>
          <t>Add the Tutor's Comment . . .</t>
        </is>
      </c>
      <c r="EB269" s="55" t="inlineStr">
        <is>
          <t>Choose Principals comment</t>
        </is>
      </c>
      <c r="EC269" s="56" t="n"/>
      <c r="ED269" s="57" t="inlineStr">
        <is>
          <t>Next Term Begins on Monday, 22nd September, 2025</t>
        </is>
      </c>
    </row>
    <row r="270" ht="30.6" customHeight="1" s="6">
      <c r="A270" s="18" t="n">
        <v>267</v>
      </c>
      <c r="B270" s="19" t="n"/>
      <c r="C270" s="20" t="n"/>
      <c r="D270" s="128" t="n"/>
      <c r="E270" s="21" t="n"/>
      <c r="F270" s="22" t="n"/>
      <c r="G270" s="22" t="n"/>
      <c r="H270" s="22" t="n"/>
      <c r="I270" s="26">
        <f>G270-H270</f>
        <v/>
      </c>
      <c r="J270" s="21" t="n"/>
      <c r="K270" s="21" t="n"/>
      <c r="L270" s="27">
        <f>SUM(J270:K270)</f>
        <v/>
      </c>
      <c r="M270" s="28" t="n"/>
      <c r="N270" s="28" t="n"/>
      <c r="O270" s="29">
        <f>IF(AND(L270=0,M270=0,N270=0),0,IF(AND(L270=0,M270=0),N270/1,IF(AND(L270=0,N270=0),M270/1,IF(AND(M270=0,N270=0),L270/1,IF(L270=0,FLOOR((M270+N270)/2,0.1),IF(M270=0,(L270+N270)/2,IF(N270=0,(M270+L270)/2,FLOOR(((L270+M270+N270)/3),0.1))))))))</f>
        <v/>
      </c>
      <c r="P270" s="21" t="n"/>
      <c r="Q270" s="21" t="n"/>
      <c r="R270" s="27">
        <f>SUM(P270:Q270)</f>
        <v/>
      </c>
      <c r="S270" s="28" t="n"/>
      <c r="T270" s="28" t="n"/>
      <c r="U270" s="29">
        <f>IF(AND(R270=0,S270=0,T270=0),0,IF(AND(R270=0,S270=0),T270/1,IF(AND(R270=0,T270=0),S270/1,IF(AND(S270=0,T270=0),R270/1,IF(R270=0,FLOOR((S270+T270)/2,0.1),IF(S270=0,(R270+T270)/2,IF(T270=0,(S270+R270)/2,FLOOR(((R270+S270+T270)/3),0.1))))))))</f>
        <v/>
      </c>
      <c r="V270" s="21" t="n"/>
      <c r="W270" s="21" t="n"/>
      <c r="X270" s="27">
        <f>SUM(V270:W270)</f>
        <v/>
      </c>
      <c r="Y270" s="28" t="n"/>
      <c r="Z270" s="28" t="n"/>
      <c r="AA270" s="29">
        <f>IF(AND(X270=0,Y270=0,Z270=0),0,IF(AND(X270=0,Y270=0),Z270/1,IF(AND(X270=0,Z270=0),Y270/1,IF(AND(Y270=0,Z270=0),X270/1,IF(X270=0,FLOOR((Y270+Z270)/2,0.1),IF(Y270=0,(X270+Z270)/2,IF(Z270=0,(Y270+X270)/2,FLOOR(((X270+Y270+Z270)/3),0.1))))))))</f>
        <v/>
      </c>
      <c r="AB270" s="21" t="n"/>
      <c r="AC270" s="21" t="n"/>
      <c r="AD270" s="27">
        <f>SUM(AB270:AC270)</f>
        <v/>
      </c>
      <c r="AE270" s="28" t="n"/>
      <c r="AF270" s="28" t="n"/>
      <c r="AG270" s="29">
        <f>IF(AND(AD270=0,AE270=0,AF270=0),0,IF(AND(AD270=0,AE270=0),AF270/1,IF(AND(AD270=0,AF270=0),AE270/1,IF(AND(AE270=0,AF270=0),AD270/1,IF(AD270=0,FLOOR((AE270+AF270)/2,0.1),IF(AE270=0,(AD270+AF270)/2,IF(AF270=0,(AE270+AD270)/2,FLOOR(((AD270+AE270+AF270)/3),0.1))))))))</f>
        <v/>
      </c>
      <c r="AH270" s="21" t="n"/>
      <c r="AI270" s="21" t="n"/>
      <c r="AJ270" s="27">
        <f>SUM(AH270:AI270)</f>
        <v/>
      </c>
      <c r="AK270" s="28" t="n"/>
      <c r="AL270" s="28" t="n"/>
      <c r="AM270" s="29">
        <f>IF(AND(AJ270=0,AK270=0,AL270=0),0,IF(AND(AJ270=0,AK270=0),AL270/1,IF(AND(AJ270=0,AL270=0),AK270/1,IF(AND(AK270=0,AL270=0),AJ270/1,IF(AJ270=0,FLOOR((AK270+AL270)/2,0.1),IF(AK270=0,(AJ270+AL270)/2,IF(AL270=0,(AK270+AJ270)/2,FLOOR(((AJ270+AK270+AL270)/3),0.1))))))))</f>
        <v/>
      </c>
      <c r="AN270" s="21" t="n"/>
      <c r="AO270" s="21" t="n"/>
      <c r="AP270" s="27">
        <f>SUM(AN270:AO270)</f>
        <v/>
      </c>
      <c r="AQ270" s="28" t="n"/>
      <c r="AR270" s="30" t="n"/>
      <c r="AS270" s="29">
        <f>IF(AND(AP270=0,AQ270=0,AR270=0),0,IF(AND(AP270=0,AQ270=0),AR270/1,IF(AND(AP270=0,AR270=0),AQ270/1,IF(AND(AQ270=0,AR270=0),AP270/1,IF(AP270=0,FLOOR((AQ270+AR270)/2,0.1),IF(AQ270=0,(AP270+AR270)/2,IF(AR270=0,(AQ270+AP270)/2,FLOOR(((AP270+AQ270+AR270)/3),0.1))))))))</f>
        <v/>
      </c>
      <c r="AT270" s="21" t="n"/>
      <c r="AU270" s="21" t="n"/>
      <c r="AV270" s="27">
        <f>SUM(AT270:AU270)</f>
        <v/>
      </c>
      <c r="AW270" s="28" t="n"/>
      <c r="AX270" s="30" t="n"/>
      <c r="AY270" s="29">
        <f>IF(AND(AV270=0,AW270=0,AX270=0),0,IF(AND(AV270=0,AW270=0),AX270/1,IF(AND(AV270=0,AX270=0),AW270/1,IF(AND(AW270=0,AX270=0),AV270/1,IF(AV270=0,FLOOR((AW270+AX270)/2,0.1),IF(AW270=0,(AV270+AX270)/2,IF(AX270=0,(AW270+AV270)/2,FLOOR(((AV270+AW270+AX270)/3),0.1))))))))</f>
        <v/>
      </c>
      <c r="AZ270" s="21" t="n"/>
      <c r="BA270" s="21" t="n"/>
      <c r="BB270" s="27">
        <f>SUM(AZ270:BA270)</f>
        <v/>
      </c>
      <c r="BC270" s="28" t="n"/>
      <c r="BD270" s="28" t="n"/>
      <c r="BE270" s="29">
        <f>IF(AND(BB270=0,BC270=0,BD270=0),0,IF(AND(BB270=0,BC270=0),BD270/1,IF(AND(BB270=0,BD270=0),BC270/1,IF(AND(BC270=0,BD270=0),BB270/1,IF(BB270=0,FLOOR((BC270+BD270)/2,0.1),IF(BC270=0,(BB270+BD270)/2,IF(BD270=0,(BC270+BB270)/2,FLOOR(((BB270+BC270+BD270)/3),0.1))))))))</f>
        <v/>
      </c>
      <c r="BF270" s="21" t="n"/>
      <c r="BG270" s="21" t="n"/>
      <c r="BH270" s="27">
        <f>SUM(BF270:BG270)</f>
        <v/>
      </c>
      <c r="BI270" s="28" t="n"/>
      <c r="BJ270" s="28" t="n"/>
      <c r="BK270" s="29">
        <f>IF(AND(BH270=0,BI270=0,BJ270=0),0,IF(AND(BH270=0,BI270=0),BJ270/1,IF(AND(BH270=0,BJ270=0),BI270/1,IF(AND(BI270=0,BJ270=0),BH270/1,IF(BH270=0,FLOOR((BI270+BJ270)/2,0.1),IF(BI270=0,(BH270+BJ270)/2,IF(BJ270=0,(BI270+BH270)/2,FLOOR(((BH270+BI270+BJ270)/3),0.1))))))))</f>
        <v/>
      </c>
      <c r="BL270" s="21" t="n"/>
      <c r="BM270" s="21" t="n"/>
      <c r="BN270" s="27">
        <f>SUM(BL270:BM270)</f>
        <v/>
      </c>
      <c r="BO270" s="28" t="n"/>
      <c r="BP270" s="31" t="n"/>
      <c r="BQ270" s="29">
        <f>IF(AND(BN270=0,BO270=0,BP270=0),0,IF(AND(BN270=0,BO270=0),BP270/1,IF(AND(BN270=0,BP270=0),BO270/1,IF(AND(BO270=0,BP270=0),BN270/1,IF(BN270=0,FLOOR((BO270+BP270)/2,0.1),IF(BO270=0,(BN270+BP270)/2,IF(BP270=0,(BO270+BN270)/2,FLOOR(((BN270+BO270+BP270)/3),0.1))))))))</f>
        <v/>
      </c>
      <c r="BR270" s="21" t="n"/>
      <c r="BS270" s="21" t="n"/>
      <c r="BT270" s="27">
        <f>SUM(BR270:BS270)</f>
        <v/>
      </c>
      <c r="BU270" s="28" t="n"/>
      <c r="BV270" s="31" t="n"/>
      <c r="BW270" s="29">
        <f>IF(AND(BT270=0,BU270=0,BV270=0),0,IF(AND(BT270=0,BU270=0),BV270/1,IF(AND(BT270=0,BV270=0),BU270/1,IF(AND(BU270=0,BV270=0),BT270/1,IF(BT270=0,FLOOR((BU270+BV270)/2,0.1),IF(BU270=0,(BT270+BV270)/2,IF(BV270=0,(BU270+BT270)/2,FLOOR(((BT270+BU270+BV270)/3),0.1))))))))</f>
        <v/>
      </c>
      <c r="BX270" s="21" t="n"/>
      <c r="BY270" s="21" t="n"/>
      <c r="BZ270" s="27">
        <f>SUM(BX270:BY270)</f>
        <v/>
      </c>
      <c r="CA270" s="28" t="n"/>
      <c r="CB270" s="31" t="n"/>
      <c r="CC270" s="29">
        <f>IF(AND(BZ270=0,CA270=0,CB270=0),0,IF(AND(BZ270=0,CA270=0),CB270/1,IF(AND(BZ270=0,CB270=0),CA270/1,IF(AND(CA270=0,CB270=0),BZ270/1,IF(BZ270=0,FLOOR((CA270+CB270)/2,0.1),IF(CA270=0,(BZ270+CB270)/2,IF(CB270=0,(CA270+BZ270)/2,FLOOR(((BZ270+CA270+CB270)/3),0.1))))))))</f>
        <v/>
      </c>
      <c r="CD270" s="21" t="n"/>
      <c r="CE270" s="21" t="n"/>
      <c r="CF270" s="27">
        <f>SUM(CD270:CE270)</f>
        <v/>
      </c>
      <c r="CG270" s="28" t="n"/>
      <c r="CH270" s="31" t="n"/>
      <c r="CI270" s="29">
        <f>IF(AND(CF270=0,CG270=0,CH270=0),0,IF(AND(CF270=0,CG270=0),CH270/1,IF(AND(CF270=0,CH270=0),CG270/1,IF(AND(CG270=0,CH270=0),CF270/1,IF(CF270=0,FLOOR((CG270+CH270)/2,0.1),IF(CG270=0,(CF270+CH270)/2,IF(CH270=0,(CG270+CF270)/2,FLOOR(((CF270+CG270+CH270)/3),0.1))))))))</f>
        <v/>
      </c>
      <c r="CJ270" s="21" t="n"/>
      <c r="CK270" s="21" t="n"/>
      <c r="CL270" s="27">
        <f>SUM(CJ270:CK270)</f>
        <v/>
      </c>
      <c r="CM270" s="28" t="n"/>
      <c r="CN270" s="31" t="n"/>
      <c r="CO270" s="29">
        <f>IF(AND(CL270=0,CM270=0,CN270=0),0,IF(AND(CL270=0,CM270=0),CN270/1,IF(AND(CL270=0,CN270=0),CM270/1,IF(AND(CM270=0,CN270=0),CL270/1,IF(CL270=0,FLOOR((CM270+CN270)/2,0.1),IF(CM270=0,(CL270+CN270)/2,IF(CN270=0,(CM270+CL270)/2,FLOOR(((CL270+CM270+CN270)/3),0.1))))))))</f>
        <v/>
      </c>
      <c r="CP270" s="21" t="n"/>
      <c r="CQ270" s="21" t="n"/>
      <c r="CR270" s="27">
        <f>SUM(CP270:CQ270)</f>
        <v/>
      </c>
      <c r="CS270" s="28" t="n"/>
      <c r="CT270" s="31" t="n"/>
      <c r="CU270" s="29">
        <f>IF(AND(CR270=0,CS270=0,CT270=0),0,IF(AND(CR270=0,CS270=0),CT270/1,IF(AND(CR270=0,CT270=0),CS270/1,IF(AND(CS270=0,CT270=0),CR270/1,IF(CR270=0,FLOOR((CS270+CT270)/2,0.1),IF(CS270=0,(CR270+CT270)/2,IF(CT270=0,(CS270+CR270)/2,FLOOR(((CR270+CS270+CT270)/3),0.1))))))))</f>
        <v/>
      </c>
      <c r="CV270" s="21" t="n"/>
      <c r="CW270" s="21" t="n"/>
      <c r="CX270" s="27">
        <f>SUM(CV270:CW270)</f>
        <v/>
      </c>
      <c r="CY270" s="28" t="n"/>
      <c r="CZ270" s="31" t="n"/>
      <c r="DA270" s="29">
        <f>IF(AND(CX270=0,CY270=0,CZ270=0),0,IF(AND(CX270=0,CY270=0),CZ270/1,IF(AND(CX270=0,CZ270=0),CY270/1,IF(AND(CY270=0,CZ270=0),CX270/1,IF(CX270=0,FLOOR((CY270+CZ270)/2,0.1),IF(CY270=0,(CX270+CZ270)/2,IF(CZ270=0,(CY270+CX270)/2,FLOOR(((CX270+CY270+CZ270)/3),0.1))))))))</f>
        <v/>
      </c>
      <c r="DB270" s="21" t="n"/>
      <c r="DC270" s="21" t="n"/>
      <c r="DD270" s="27">
        <f>SUM(DB270:DC270)</f>
        <v/>
      </c>
      <c r="DE270" s="28" t="n"/>
      <c r="DF270" s="31" t="n"/>
      <c r="DG270" s="29">
        <f>IF(AND(DD270=0,DE270=0,DF270=0),0,IF(AND(DD270=0,DE270=0),DF270/1,IF(AND(DD270=0,DF270=0),DE270/1,IF(AND(DE270=0,DF270=0),DD270/1,IF(DD270=0,FLOOR((DE270+DF270)/2,0.1),IF(DE270=0,(DD270+DF270)/2,IF(DF270=0,(DE270+DD270)/2,FLOOR(((DD270+DE270+DF270)/3),0.1))))))))</f>
        <v/>
      </c>
      <c r="DH270" s="34">
        <f>SUM(O270,U270,AA270,AG270,AM270,AS270,AY270,BE270,BK270,BQ270,BW270,CC270,CI270,CO270,CU270,DA270,DG270)</f>
        <v/>
      </c>
      <c r="DI270" s="39">
        <f>RANK(DH270,DH$4:DH$503)</f>
        <v/>
      </c>
      <c r="DJ270" s="40" t="inlineStr">
        <is>
          <t>CHOOSE RATING</t>
        </is>
      </c>
      <c r="DK270" s="40" t="inlineStr">
        <is>
          <t>CHOOSE RATING</t>
        </is>
      </c>
      <c r="DL270" s="40" t="inlineStr">
        <is>
          <t>CHOOSE RATING</t>
        </is>
      </c>
      <c r="DM270" s="40" t="inlineStr">
        <is>
          <t>CHOOSE RATING</t>
        </is>
      </c>
      <c r="DN270" s="40" t="inlineStr">
        <is>
          <t>CHOOSE RATING</t>
        </is>
      </c>
      <c r="DO270" s="40" t="inlineStr">
        <is>
          <t>CHOOSE RATING</t>
        </is>
      </c>
      <c r="DP270" s="40" t="inlineStr">
        <is>
          <t>CHOOSE RATING</t>
        </is>
      </c>
      <c r="DQ270" s="40" t="inlineStr">
        <is>
          <t>CHOOSE RATING</t>
        </is>
      </c>
      <c r="DR270" s="43" t="inlineStr">
        <is>
          <t>2024/2025</t>
        </is>
      </c>
      <c r="DS270" s="45" t="inlineStr">
        <is>
          <t>THIRD</t>
        </is>
      </c>
      <c r="DT270" s="40" t="inlineStr">
        <is>
          <t>CHOOSE RATING</t>
        </is>
      </c>
      <c r="DU270" s="40" t="inlineStr">
        <is>
          <t>CHOOSE RATING</t>
        </is>
      </c>
      <c r="DV270" s="40" t="inlineStr">
        <is>
          <t>CHOOSE RATING</t>
        </is>
      </c>
      <c r="DW270" s="40" t="inlineStr">
        <is>
          <t>CHOOSE RATING</t>
        </is>
      </c>
      <c r="DX270" s="40" t="inlineStr">
        <is>
          <t>CHOOSE RATING</t>
        </is>
      </c>
      <c r="DY270" s="40" t="inlineStr">
        <is>
          <t>CHOOSE RATING</t>
        </is>
      </c>
      <c r="DZ270" s="53" t="inlineStr">
        <is>
          <t>CHOOSE RATING</t>
        </is>
      </c>
      <c r="EA270" s="54" t="inlineStr">
        <is>
          <t>Add the Tutor's Comment . . .</t>
        </is>
      </c>
      <c r="EB270" s="55" t="inlineStr">
        <is>
          <t>Choose Principals comment</t>
        </is>
      </c>
      <c r="EC270" s="56" t="n"/>
      <c r="ED270" s="57" t="inlineStr">
        <is>
          <t>Next Term Begins on Monday, 22nd September, 2025</t>
        </is>
      </c>
    </row>
    <row r="271" ht="30.6" customHeight="1" s="6">
      <c r="A271" s="18" t="n">
        <v>268</v>
      </c>
      <c r="B271" s="19" t="n"/>
      <c r="C271" s="20" t="n"/>
      <c r="D271" s="128" t="n"/>
      <c r="E271" s="21" t="n"/>
      <c r="F271" s="22" t="n"/>
      <c r="G271" s="22" t="n"/>
      <c r="H271" s="22" t="n"/>
      <c r="I271" s="26">
        <f>G271-H271</f>
        <v/>
      </c>
      <c r="J271" s="21" t="n"/>
      <c r="K271" s="21" t="n"/>
      <c r="L271" s="27">
        <f>SUM(J271:K271)</f>
        <v/>
      </c>
      <c r="M271" s="28" t="n"/>
      <c r="N271" s="28" t="n"/>
      <c r="O271" s="29">
        <f>IF(AND(L271=0,M271=0,N271=0),0,IF(AND(L271=0,M271=0),N271/1,IF(AND(L271=0,N271=0),M271/1,IF(AND(M271=0,N271=0),L271/1,IF(L271=0,FLOOR((M271+N271)/2,0.1),IF(M271=0,(L271+N271)/2,IF(N271=0,(M271+L271)/2,FLOOR(((L271+M271+N271)/3),0.1))))))))</f>
        <v/>
      </c>
      <c r="P271" s="21" t="n"/>
      <c r="Q271" s="21" t="n"/>
      <c r="R271" s="27">
        <f>SUM(P271:Q271)</f>
        <v/>
      </c>
      <c r="S271" s="28" t="n"/>
      <c r="T271" s="28" t="n"/>
      <c r="U271" s="29">
        <f>IF(AND(R271=0,S271=0,T271=0),0,IF(AND(R271=0,S271=0),T271/1,IF(AND(R271=0,T271=0),S271/1,IF(AND(S271=0,T271=0),R271/1,IF(R271=0,FLOOR((S271+T271)/2,0.1),IF(S271=0,(R271+T271)/2,IF(T271=0,(S271+R271)/2,FLOOR(((R271+S271+T271)/3),0.1))))))))</f>
        <v/>
      </c>
      <c r="V271" s="21" t="n"/>
      <c r="W271" s="21" t="n"/>
      <c r="X271" s="27">
        <f>SUM(V271:W271)</f>
        <v/>
      </c>
      <c r="Y271" s="28" t="n"/>
      <c r="Z271" s="28" t="n"/>
      <c r="AA271" s="29">
        <f>IF(AND(X271=0,Y271=0,Z271=0),0,IF(AND(X271=0,Y271=0),Z271/1,IF(AND(X271=0,Z271=0),Y271/1,IF(AND(Y271=0,Z271=0),X271/1,IF(X271=0,FLOOR((Y271+Z271)/2,0.1),IF(Y271=0,(X271+Z271)/2,IF(Z271=0,(Y271+X271)/2,FLOOR(((X271+Y271+Z271)/3),0.1))))))))</f>
        <v/>
      </c>
      <c r="AB271" s="21" t="n"/>
      <c r="AC271" s="21" t="n"/>
      <c r="AD271" s="27">
        <f>SUM(AB271:AC271)</f>
        <v/>
      </c>
      <c r="AE271" s="28" t="n"/>
      <c r="AF271" s="28" t="n"/>
      <c r="AG271" s="29">
        <f>IF(AND(AD271=0,AE271=0,AF271=0),0,IF(AND(AD271=0,AE271=0),AF271/1,IF(AND(AD271=0,AF271=0),AE271/1,IF(AND(AE271=0,AF271=0),AD271/1,IF(AD271=0,FLOOR((AE271+AF271)/2,0.1),IF(AE271=0,(AD271+AF271)/2,IF(AF271=0,(AE271+AD271)/2,FLOOR(((AD271+AE271+AF271)/3),0.1))))))))</f>
        <v/>
      </c>
      <c r="AH271" s="21" t="n"/>
      <c r="AI271" s="21" t="n"/>
      <c r="AJ271" s="27">
        <f>SUM(AH271:AI271)</f>
        <v/>
      </c>
      <c r="AK271" s="28" t="n"/>
      <c r="AL271" s="28" t="n"/>
      <c r="AM271" s="29">
        <f>IF(AND(AJ271=0,AK271=0,AL271=0),0,IF(AND(AJ271=0,AK271=0),AL271/1,IF(AND(AJ271=0,AL271=0),AK271/1,IF(AND(AK271=0,AL271=0),AJ271/1,IF(AJ271=0,FLOOR((AK271+AL271)/2,0.1),IF(AK271=0,(AJ271+AL271)/2,IF(AL271=0,(AK271+AJ271)/2,FLOOR(((AJ271+AK271+AL271)/3),0.1))))))))</f>
        <v/>
      </c>
      <c r="AN271" s="21" t="n"/>
      <c r="AO271" s="21" t="n"/>
      <c r="AP271" s="27">
        <f>SUM(AN271:AO271)</f>
        <v/>
      </c>
      <c r="AQ271" s="28" t="n"/>
      <c r="AR271" s="30" t="n"/>
      <c r="AS271" s="29">
        <f>IF(AND(AP271=0,AQ271=0,AR271=0),0,IF(AND(AP271=0,AQ271=0),AR271/1,IF(AND(AP271=0,AR271=0),AQ271/1,IF(AND(AQ271=0,AR271=0),AP271/1,IF(AP271=0,FLOOR((AQ271+AR271)/2,0.1),IF(AQ271=0,(AP271+AR271)/2,IF(AR271=0,(AQ271+AP271)/2,FLOOR(((AP271+AQ271+AR271)/3),0.1))))))))</f>
        <v/>
      </c>
      <c r="AT271" s="21" t="n"/>
      <c r="AU271" s="21" t="n"/>
      <c r="AV271" s="27">
        <f>SUM(AT271:AU271)</f>
        <v/>
      </c>
      <c r="AW271" s="28" t="n"/>
      <c r="AX271" s="30" t="n"/>
      <c r="AY271" s="29">
        <f>IF(AND(AV271=0,AW271=0,AX271=0),0,IF(AND(AV271=0,AW271=0),AX271/1,IF(AND(AV271=0,AX271=0),AW271/1,IF(AND(AW271=0,AX271=0),AV271/1,IF(AV271=0,FLOOR((AW271+AX271)/2,0.1),IF(AW271=0,(AV271+AX271)/2,IF(AX271=0,(AW271+AV271)/2,FLOOR(((AV271+AW271+AX271)/3),0.1))))))))</f>
        <v/>
      </c>
      <c r="AZ271" s="21" t="n"/>
      <c r="BA271" s="21" t="n"/>
      <c r="BB271" s="27">
        <f>SUM(AZ271:BA271)</f>
        <v/>
      </c>
      <c r="BC271" s="28" t="n"/>
      <c r="BD271" s="28" t="n"/>
      <c r="BE271" s="29">
        <f>IF(AND(BB271=0,BC271=0,BD271=0),0,IF(AND(BB271=0,BC271=0),BD271/1,IF(AND(BB271=0,BD271=0),BC271/1,IF(AND(BC271=0,BD271=0),BB271/1,IF(BB271=0,FLOOR((BC271+BD271)/2,0.1),IF(BC271=0,(BB271+BD271)/2,IF(BD271=0,(BC271+BB271)/2,FLOOR(((BB271+BC271+BD271)/3),0.1))))))))</f>
        <v/>
      </c>
      <c r="BF271" s="21" t="n"/>
      <c r="BG271" s="21" t="n"/>
      <c r="BH271" s="27">
        <f>SUM(BF271:BG271)</f>
        <v/>
      </c>
      <c r="BI271" s="28" t="n"/>
      <c r="BJ271" s="28" t="n"/>
      <c r="BK271" s="29">
        <f>IF(AND(BH271=0,BI271=0,BJ271=0),0,IF(AND(BH271=0,BI271=0),BJ271/1,IF(AND(BH271=0,BJ271=0),BI271/1,IF(AND(BI271=0,BJ271=0),BH271/1,IF(BH271=0,FLOOR((BI271+BJ271)/2,0.1),IF(BI271=0,(BH271+BJ271)/2,IF(BJ271=0,(BI271+BH271)/2,FLOOR(((BH271+BI271+BJ271)/3),0.1))))))))</f>
        <v/>
      </c>
      <c r="BL271" s="21" t="n"/>
      <c r="BM271" s="21" t="n"/>
      <c r="BN271" s="27">
        <f>SUM(BL271:BM271)</f>
        <v/>
      </c>
      <c r="BO271" s="28" t="n"/>
      <c r="BP271" s="31" t="n"/>
      <c r="BQ271" s="29">
        <f>IF(AND(BN271=0,BO271=0,BP271=0),0,IF(AND(BN271=0,BO271=0),BP271/1,IF(AND(BN271=0,BP271=0),BO271/1,IF(AND(BO271=0,BP271=0),BN271/1,IF(BN271=0,FLOOR((BO271+BP271)/2,0.1),IF(BO271=0,(BN271+BP271)/2,IF(BP271=0,(BO271+BN271)/2,FLOOR(((BN271+BO271+BP271)/3),0.1))))))))</f>
        <v/>
      </c>
      <c r="BR271" s="21" t="n"/>
      <c r="BS271" s="21" t="n"/>
      <c r="BT271" s="27">
        <f>SUM(BR271:BS271)</f>
        <v/>
      </c>
      <c r="BU271" s="28" t="n"/>
      <c r="BV271" s="31" t="n"/>
      <c r="BW271" s="29">
        <f>IF(AND(BT271=0,BU271=0,BV271=0),0,IF(AND(BT271=0,BU271=0),BV271/1,IF(AND(BT271=0,BV271=0),BU271/1,IF(AND(BU271=0,BV271=0),BT271/1,IF(BT271=0,FLOOR((BU271+BV271)/2,0.1),IF(BU271=0,(BT271+BV271)/2,IF(BV271=0,(BU271+BT271)/2,FLOOR(((BT271+BU271+BV271)/3),0.1))))))))</f>
        <v/>
      </c>
      <c r="BX271" s="21" t="n"/>
      <c r="BY271" s="21" t="n"/>
      <c r="BZ271" s="27">
        <f>SUM(BX271:BY271)</f>
        <v/>
      </c>
      <c r="CA271" s="28" t="n"/>
      <c r="CB271" s="31" t="n"/>
      <c r="CC271" s="29">
        <f>IF(AND(BZ271=0,CA271=0,CB271=0),0,IF(AND(BZ271=0,CA271=0),CB271/1,IF(AND(BZ271=0,CB271=0),CA271/1,IF(AND(CA271=0,CB271=0),BZ271/1,IF(BZ271=0,FLOOR((CA271+CB271)/2,0.1),IF(CA271=0,(BZ271+CB271)/2,IF(CB271=0,(CA271+BZ271)/2,FLOOR(((BZ271+CA271+CB271)/3),0.1))))))))</f>
        <v/>
      </c>
      <c r="CD271" s="21" t="n"/>
      <c r="CE271" s="21" t="n"/>
      <c r="CF271" s="27">
        <f>SUM(CD271:CE271)</f>
        <v/>
      </c>
      <c r="CG271" s="28" t="n"/>
      <c r="CH271" s="31" t="n"/>
      <c r="CI271" s="29">
        <f>IF(AND(CF271=0,CG271=0,CH271=0),0,IF(AND(CF271=0,CG271=0),CH271/1,IF(AND(CF271=0,CH271=0),CG271/1,IF(AND(CG271=0,CH271=0),CF271/1,IF(CF271=0,FLOOR((CG271+CH271)/2,0.1),IF(CG271=0,(CF271+CH271)/2,IF(CH271=0,(CG271+CF271)/2,FLOOR(((CF271+CG271+CH271)/3),0.1))))))))</f>
        <v/>
      </c>
      <c r="CJ271" s="21" t="n"/>
      <c r="CK271" s="21" t="n"/>
      <c r="CL271" s="27">
        <f>SUM(CJ271:CK271)</f>
        <v/>
      </c>
      <c r="CM271" s="28" t="n"/>
      <c r="CN271" s="31" t="n"/>
      <c r="CO271" s="29">
        <f>IF(AND(CL271=0,CM271=0,CN271=0),0,IF(AND(CL271=0,CM271=0),CN271/1,IF(AND(CL271=0,CN271=0),CM271/1,IF(AND(CM271=0,CN271=0),CL271/1,IF(CL271=0,FLOOR((CM271+CN271)/2,0.1),IF(CM271=0,(CL271+CN271)/2,IF(CN271=0,(CM271+CL271)/2,FLOOR(((CL271+CM271+CN271)/3),0.1))))))))</f>
        <v/>
      </c>
      <c r="CP271" s="21" t="n"/>
      <c r="CQ271" s="21" t="n"/>
      <c r="CR271" s="27">
        <f>SUM(CP271:CQ271)</f>
        <v/>
      </c>
      <c r="CS271" s="28" t="n"/>
      <c r="CT271" s="31" t="n"/>
      <c r="CU271" s="29">
        <f>IF(AND(CR271=0,CS271=0,CT271=0),0,IF(AND(CR271=0,CS271=0),CT271/1,IF(AND(CR271=0,CT271=0),CS271/1,IF(AND(CS271=0,CT271=0),CR271/1,IF(CR271=0,FLOOR((CS271+CT271)/2,0.1),IF(CS271=0,(CR271+CT271)/2,IF(CT271=0,(CS271+CR271)/2,FLOOR(((CR271+CS271+CT271)/3),0.1))))))))</f>
        <v/>
      </c>
      <c r="CV271" s="21" t="n"/>
      <c r="CW271" s="21" t="n"/>
      <c r="CX271" s="27">
        <f>SUM(CV271:CW271)</f>
        <v/>
      </c>
      <c r="CY271" s="28" t="n"/>
      <c r="CZ271" s="31" t="n"/>
      <c r="DA271" s="29">
        <f>IF(AND(CX271=0,CY271=0,CZ271=0),0,IF(AND(CX271=0,CY271=0),CZ271/1,IF(AND(CX271=0,CZ271=0),CY271/1,IF(AND(CY271=0,CZ271=0),CX271/1,IF(CX271=0,FLOOR((CY271+CZ271)/2,0.1),IF(CY271=0,(CX271+CZ271)/2,IF(CZ271=0,(CY271+CX271)/2,FLOOR(((CX271+CY271+CZ271)/3),0.1))))))))</f>
        <v/>
      </c>
      <c r="DB271" s="21" t="n"/>
      <c r="DC271" s="21" t="n"/>
      <c r="DD271" s="27">
        <f>SUM(DB271:DC271)</f>
        <v/>
      </c>
      <c r="DE271" s="28" t="n"/>
      <c r="DF271" s="31" t="n"/>
      <c r="DG271" s="29">
        <f>IF(AND(DD271=0,DE271=0,DF271=0),0,IF(AND(DD271=0,DE271=0),DF271/1,IF(AND(DD271=0,DF271=0),DE271/1,IF(AND(DE271=0,DF271=0),DD271/1,IF(DD271=0,FLOOR((DE271+DF271)/2,0.1),IF(DE271=0,(DD271+DF271)/2,IF(DF271=0,(DE271+DD271)/2,FLOOR(((DD271+DE271+DF271)/3),0.1))))))))</f>
        <v/>
      </c>
      <c r="DH271" s="34">
        <f>SUM(O271,U271,AA271,AG271,AM271,AS271,AY271,BE271,BK271,BQ271,BW271,CC271,CI271,CO271,CU271,DA271,DG271)</f>
        <v/>
      </c>
      <c r="DI271" s="39">
        <f>RANK(DH271,DH$4:DH$503)</f>
        <v/>
      </c>
      <c r="DJ271" s="40" t="inlineStr">
        <is>
          <t>CHOOSE RATING</t>
        </is>
      </c>
      <c r="DK271" s="40" t="inlineStr">
        <is>
          <t>CHOOSE RATING</t>
        </is>
      </c>
      <c r="DL271" s="40" t="inlineStr">
        <is>
          <t>CHOOSE RATING</t>
        </is>
      </c>
      <c r="DM271" s="40" t="inlineStr">
        <is>
          <t>CHOOSE RATING</t>
        </is>
      </c>
      <c r="DN271" s="40" t="inlineStr">
        <is>
          <t>CHOOSE RATING</t>
        </is>
      </c>
      <c r="DO271" s="40" t="inlineStr">
        <is>
          <t>CHOOSE RATING</t>
        </is>
      </c>
      <c r="DP271" s="40" t="inlineStr">
        <is>
          <t>CHOOSE RATING</t>
        </is>
      </c>
      <c r="DQ271" s="40" t="inlineStr">
        <is>
          <t>CHOOSE RATING</t>
        </is>
      </c>
      <c r="DR271" s="43" t="inlineStr">
        <is>
          <t>2024/2025</t>
        </is>
      </c>
      <c r="DS271" s="45" t="inlineStr">
        <is>
          <t>THIRD</t>
        </is>
      </c>
      <c r="DT271" s="40" t="inlineStr">
        <is>
          <t>CHOOSE RATING</t>
        </is>
      </c>
      <c r="DU271" s="40" t="inlineStr">
        <is>
          <t>CHOOSE RATING</t>
        </is>
      </c>
      <c r="DV271" s="40" t="inlineStr">
        <is>
          <t>CHOOSE RATING</t>
        </is>
      </c>
      <c r="DW271" s="40" t="inlineStr">
        <is>
          <t>CHOOSE RATING</t>
        </is>
      </c>
      <c r="DX271" s="40" t="inlineStr">
        <is>
          <t>CHOOSE RATING</t>
        </is>
      </c>
      <c r="DY271" s="40" t="inlineStr">
        <is>
          <t>CHOOSE RATING</t>
        </is>
      </c>
      <c r="DZ271" s="53" t="inlineStr">
        <is>
          <t>CHOOSE RATING</t>
        </is>
      </c>
      <c r="EA271" s="54" t="inlineStr">
        <is>
          <t>Add the Tutor's Comment . . .</t>
        </is>
      </c>
      <c r="EB271" s="55" t="inlineStr">
        <is>
          <t>Choose Principals comment</t>
        </is>
      </c>
      <c r="EC271" s="56" t="n"/>
      <c r="ED271" s="57" t="inlineStr">
        <is>
          <t>Next Term Begins on Monday, 22nd September, 2025</t>
        </is>
      </c>
    </row>
    <row r="272" ht="30.6" customHeight="1" s="6">
      <c r="A272" s="18" t="n">
        <v>269</v>
      </c>
      <c r="B272" s="19" t="n"/>
      <c r="C272" s="20" t="n"/>
      <c r="D272" s="128" t="n"/>
      <c r="E272" s="21" t="n"/>
      <c r="F272" s="22" t="n"/>
      <c r="G272" s="22" t="n"/>
      <c r="H272" s="22" t="n"/>
      <c r="I272" s="26">
        <f>G272-H272</f>
        <v/>
      </c>
      <c r="J272" s="21" t="n"/>
      <c r="K272" s="21" t="n"/>
      <c r="L272" s="27">
        <f>SUM(J272:K272)</f>
        <v/>
      </c>
      <c r="M272" s="28" t="n"/>
      <c r="N272" s="28" t="n"/>
      <c r="O272" s="29">
        <f>IF(AND(L272=0,M272=0,N272=0),0,IF(AND(L272=0,M272=0),N272/1,IF(AND(L272=0,N272=0),M272/1,IF(AND(M272=0,N272=0),L272/1,IF(L272=0,FLOOR((M272+N272)/2,0.1),IF(M272=0,(L272+N272)/2,IF(N272=0,(M272+L272)/2,FLOOR(((L272+M272+N272)/3),0.1))))))))</f>
        <v/>
      </c>
      <c r="P272" s="21" t="n"/>
      <c r="Q272" s="21" t="n"/>
      <c r="R272" s="27">
        <f>SUM(P272:Q272)</f>
        <v/>
      </c>
      <c r="S272" s="28" t="n"/>
      <c r="T272" s="28" t="n"/>
      <c r="U272" s="29">
        <f>IF(AND(R272=0,S272=0,T272=0),0,IF(AND(R272=0,S272=0),T272/1,IF(AND(R272=0,T272=0),S272/1,IF(AND(S272=0,T272=0),R272/1,IF(R272=0,FLOOR((S272+T272)/2,0.1),IF(S272=0,(R272+T272)/2,IF(T272=0,(S272+R272)/2,FLOOR(((R272+S272+T272)/3),0.1))))))))</f>
        <v/>
      </c>
      <c r="V272" s="21" t="n"/>
      <c r="W272" s="21" t="n"/>
      <c r="X272" s="27">
        <f>SUM(V272:W272)</f>
        <v/>
      </c>
      <c r="Y272" s="28" t="n"/>
      <c r="Z272" s="28" t="n"/>
      <c r="AA272" s="29">
        <f>IF(AND(X272=0,Y272=0,Z272=0),0,IF(AND(X272=0,Y272=0),Z272/1,IF(AND(X272=0,Z272=0),Y272/1,IF(AND(Y272=0,Z272=0),X272/1,IF(X272=0,FLOOR((Y272+Z272)/2,0.1),IF(Y272=0,(X272+Z272)/2,IF(Z272=0,(Y272+X272)/2,FLOOR(((X272+Y272+Z272)/3),0.1))))))))</f>
        <v/>
      </c>
      <c r="AB272" s="21" t="n"/>
      <c r="AC272" s="21" t="n"/>
      <c r="AD272" s="27">
        <f>SUM(AB272:AC272)</f>
        <v/>
      </c>
      <c r="AE272" s="28" t="n"/>
      <c r="AF272" s="28" t="n"/>
      <c r="AG272" s="29">
        <f>IF(AND(AD272=0,AE272=0,AF272=0),0,IF(AND(AD272=0,AE272=0),AF272/1,IF(AND(AD272=0,AF272=0),AE272/1,IF(AND(AE272=0,AF272=0),AD272/1,IF(AD272=0,FLOOR((AE272+AF272)/2,0.1),IF(AE272=0,(AD272+AF272)/2,IF(AF272=0,(AE272+AD272)/2,FLOOR(((AD272+AE272+AF272)/3),0.1))))))))</f>
        <v/>
      </c>
      <c r="AH272" s="21" t="n"/>
      <c r="AI272" s="21" t="n"/>
      <c r="AJ272" s="27">
        <f>SUM(AH272:AI272)</f>
        <v/>
      </c>
      <c r="AK272" s="28" t="n"/>
      <c r="AL272" s="28" t="n"/>
      <c r="AM272" s="29">
        <f>IF(AND(AJ272=0,AK272=0,AL272=0),0,IF(AND(AJ272=0,AK272=0),AL272/1,IF(AND(AJ272=0,AL272=0),AK272/1,IF(AND(AK272=0,AL272=0),AJ272/1,IF(AJ272=0,FLOOR((AK272+AL272)/2,0.1),IF(AK272=0,(AJ272+AL272)/2,IF(AL272=0,(AK272+AJ272)/2,FLOOR(((AJ272+AK272+AL272)/3),0.1))))))))</f>
        <v/>
      </c>
      <c r="AN272" s="21" t="n"/>
      <c r="AO272" s="21" t="n"/>
      <c r="AP272" s="27">
        <f>SUM(AN272:AO272)</f>
        <v/>
      </c>
      <c r="AQ272" s="28" t="n"/>
      <c r="AR272" s="30" t="n"/>
      <c r="AS272" s="29">
        <f>IF(AND(AP272=0,AQ272=0,AR272=0),0,IF(AND(AP272=0,AQ272=0),AR272/1,IF(AND(AP272=0,AR272=0),AQ272/1,IF(AND(AQ272=0,AR272=0),AP272/1,IF(AP272=0,FLOOR((AQ272+AR272)/2,0.1),IF(AQ272=0,(AP272+AR272)/2,IF(AR272=0,(AQ272+AP272)/2,FLOOR(((AP272+AQ272+AR272)/3),0.1))))))))</f>
        <v/>
      </c>
      <c r="AT272" s="21" t="n"/>
      <c r="AU272" s="21" t="n"/>
      <c r="AV272" s="27">
        <f>SUM(AT272:AU272)</f>
        <v/>
      </c>
      <c r="AW272" s="28" t="n"/>
      <c r="AX272" s="30" t="n"/>
      <c r="AY272" s="29">
        <f>IF(AND(AV272=0,AW272=0,AX272=0),0,IF(AND(AV272=0,AW272=0),AX272/1,IF(AND(AV272=0,AX272=0),AW272/1,IF(AND(AW272=0,AX272=0),AV272/1,IF(AV272=0,FLOOR((AW272+AX272)/2,0.1),IF(AW272=0,(AV272+AX272)/2,IF(AX272=0,(AW272+AV272)/2,FLOOR(((AV272+AW272+AX272)/3),0.1))))))))</f>
        <v/>
      </c>
      <c r="AZ272" s="21" t="n"/>
      <c r="BA272" s="21" t="n"/>
      <c r="BB272" s="27">
        <f>SUM(AZ272:BA272)</f>
        <v/>
      </c>
      <c r="BC272" s="28" t="n"/>
      <c r="BD272" s="28" t="n"/>
      <c r="BE272" s="29">
        <f>IF(AND(BB272=0,BC272=0,BD272=0),0,IF(AND(BB272=0,BC272=0),BD272/1,IF(AND(BB272=0,BD272=0),BC272/1,IF(AND(BC272=0,BD272=0),BB272/1,IF(BB272=0,FLOOR((BC272+BD272)/2,0.1),IF(BC272=0,(BB272+BD272)/2,IF(BD272=0,(BC272+BB272)/2,FLOOR(((BB272+BC272+BD272)/3),0.1))))))))</f>
        <v/>
      </c>
      <c r="BF272" s="21" t="n"/>
      <c r="BG272" s="21" t="n"/>
      <c r="BH272" s="27">
        <f>SUM(BF272:BG272)</f>
        <v/>
      </c>
      <c r="BI272" s="28" t="n"/>
      <c r="BJ272" s="28" t="n"/>
      <c r="BK272" s="29">
        <f>IF(AND(BH272=0,BI272=0,BJ272=0),0,IF(AND(BH272=0,BI272=0),BJ272/1,IF(AND(BH272=0,BJ272=0),BI272/1,IF(AND(BI272=0,BJ272=0),BH272/1,IF(BH272=0,FLOOR((BI272+BJ272)/2,0.1),IF(BI272=0,(BH272+BJ272)/2,IF(BJ272=0,(BI272+BH272)/2,FLOOR(((BH272+BI272+BJ272)/3),0.1))))))))</f>
        <v/>
      </c>
      <c r="BL272" s="21" t="n"/>
      <c r="BM272" s="21" t="n"/>
      <c r="BN272" s="27">
        <f>SUM(BL272:BM272)</f>
        <v/>
      </c>
      <c r="BO272" s="28" t="n"/>
      <c r="BP272" s="31" t="n"/>
      <c r="BQ272" s="29">
        <f>IF(AND(BN272=0,BO272=0,BP272=0),0,IF(AND(BN272=0,BO272=0),BP272/1,IF(AND(BN272=0,BP272=0),BO272/1,IF(AND(BO272=0,BP272=0),BN272/1,IF(BN272=0,FLOOR((BO272+BP272)/2,0.1),IF(BO272=0,(BN272+BP272)/2,IF(BP272=0,(BO272+BN272)/2,FLOOR(((BN272+BO272+BP272)/3),0.1))))))))</f>
        <v/>
      </c>
      <c r="BR272" s="21" t="n"/>
      <c r="BS272" s="21" t="n"/>
      <c r="BT272" s="27">
        <f>SUM(BR272:BS272)</f>
        <v/>
      </c>
      <c r="BU272" s="28" t="n"/>
      <c r="BV272" s="31" t="n"/>
      <c r="BW272" s="29">
        <f>IF(AND(BT272=0,BU272=0,BV272=0),0,IF(AND(BT272=0,BU272=0),BV272/1,IF(AND(BT272=0,BV272=0),BU272/1,IF(AND(BU272=0,BV272=0),BT272/1,IF(BT272=0,FLOOR((BU272+BV272)/2,0.1),IF(BU272=0,(BT272+BV272)/2,IF(BV272=0,(BU272+BT272)/2,FLOOR(((BT272+BU272+BV272)/3),0.1))))))))</f>
        <v/>
      </c>
      <c r="BX272" s="21" t="n"/>
      <c r="BY272" s="21" t="n"/>
      <c r="BZ272" s="27">
        <f>SUM(BX272:BY272)</f>
        <v/>
      </c>
      <c r="CA272" s="28" t="n"/>
      <c r="CB272" s="31" t="n"/>
      <c r="CC272" s="29">
        <f>IF(AND(BZ272=0,CA272=0,CB272=0),0,IF(AND(BZ272=0,CA272=0),CB272/1,IF(AND(BZ272=0,CB272=0),CA272/1,IF(AND(CA272=0,CB272=0),BZ272/1,IF(BZ272=0,FLOOR((CA272+CB272)/2,0.1),IF(CA272=0,(BZ272+CB272)/2,IF(CB272=0,(CA272+BZ272)/2,FLOOR(((BZ272+CA272+CB272)/3),0.1))))))))</f>
        <v/>
      </c>
      <c r="CD272" s="21" t="n"/>
      <c r="CE272" s="21" t="n"/>
      <c r="CF272" s="27">
        <f>SUM(CD272:CE272)</f>
        <v/>
      </c>
      <c r="CG272" s="28" t="n"/>
      <c r="CH272" s="31" t="n"/>
      <c r="CI272" s="29">
        <f>IF(AND(CF272=0,CG272=0,CH272=0),0,IF(AND(CF272=0,CG272=0),CH272/1,IF(AND(CF272=0,CH272=0),CG272/1,IF(AND(CG272=0,CH272=0),CF272/1,IF(CF272=0,FLOOR((CG272+CH272)/2,0.1),IF(CG272=0,(CF272+CH272)/2,IF(CH272=0,(CG272+CF272)/2,FLOOR(((CF272+CG272+CH272)/3),0.1))))))))</f>
        <v/>
      </c>
      <c r="CJ272" s="21" t="n"/>
      <c r="CK272" s="21" t="n"/>
      <c r="CL272" s="27">
        <f>SUM(CJ272:CK272)</f>
        <v/>
      </c>
      <c r="CM272" s="28" t="n"/>
      <c r="CN272" s="31" t="n"/>
      <c r="CO272" s="29">
        <f>IF(AND(CL272=0,CM272=0,CN272=0),0,IF(AND(CL272=0,CM272=0),CN272/1,IF(AND(CL272=0,CN272=0),CM272/1,IF(AND(CM272=0,CN272=0),CL272/1,IF(CL272=0,FLOOR((CM272+CN272)/2,0.1),IF(CM272=0,(CL272+CN272)/2,IF(CN272=0,(CM272+CL272)/2,FLOOR(((CL272+CM272+CN272)/3),0.1))))))))</f>
        <v/>
      </c>
      <c r="CP272" s="21" t="n"/>
      <c r="CQ272" s="21" t="n"/>
      <c r="CR272" s="27">
        <f>SUM(CP272:CQ272)</f>
        <v/>
      </c>
      <c r="CS272" s="28" t="n"/>
      <c r="CT272" s="31" t="n"/>
      <c r="CU272" s="29">
        <f>IF(AND(CR272=0,CS272=0,CT272=0),0,IF(AND(CR272=0,CS272=0),CT272/1,IF(AND(CR272=0,CT272=0),CS272/1,IF(AND(CS272=0,CT272=0),CR272/1,IF(CR272=0,FLOOR((CS272+CT272)/2,0.1),IF(CS272=0,(CR272+CT272)/2,IF(CT272=0,(CS272+CR272)/2,FLOOR(((CR272+CS272+CT272)/3),0.1))))))))</f>
        <v/>
      </c>
      <c r="CV272" s="21" t="n"/>
      <c r="CW272" s="21" t="n"/>
      <c r="CX272" s="27">
        <f>SUM(CV272:CW272)</f>
        <v/>
      </c>
      <c r="CY272" s="28" t="n"/>
      <c r="CZ272" s="31" t="n"/>
      <c r="DA272" s="29">
        <f>IF(AND(CX272=0,CY272=0,CZ272=0),0,IF(AND(CX272=0,CY272=0),CZ272/1,IF(AND(CX272=0,CZ272=0),CY272/1,IF(AND(CY272=0,CZ272=0),CX272/1,IF(CX272=0,FLOOR((CY272+CZ272)/2,0.1),IF(CY272=0,(CX272+CZ272)/2,IF(CZ272=0,(CY272+CX272)/2,FLOOR(((CX272+CY272+CZ272)/3),0.1))))))))</f>
        <v/>
      </c>
      <c r="DB272" s="21" t="n"/>
      <c r="DC272" s="21" t="n"/>
      <c r="DD272" s="27">
        <f>SUM(DB272:DC272)</f>
        <v/>
      </c>
      <c r="DE272" s="28" t="n"/>
      <c r="DF272" s="31" t="n"/>
      <c r="DG272" s="29">
        <f>IF(AND(DD272=0,DE272=0,DF272=0),0,IF(AND(DD272=0,DE272=0),DF272/1,IF(AND(DD272=0,DF272=0),DE272/1,IF(AND(DE272=0,DF272=0),DD272/1,IF(DD272=0,FLOOR((DE272+DF272)/2,0.1),IF(DE272=0,(DD272+DF272)/2,IF(DF272=0,(DE272+DD272)/2,FLOOR(((DD272+DE272+DF272)/3),0.1))))))))</f>
        <v/>
      </c>
      <c r="DH272" s="34">
        <f>SUM(O272,U272,AA272,AG272,AM272,AS272,AY272,BE272,BK272,BQ272,BW272,CC272,CI272,CO272,CU272,DA272,DG272)</f>
        <v/>
      </c>
      <c r="DI272" s="39">
        <f>RANK(DH272,DH$4:DH$503)</f>
        <v/>
      </c>
      <c r="DJ272" s="40" t="inlineStr">
        <is>
          <t>CHOOSE RATING</t>
        </is>
      </c>
      <c r="DK272" s="40" t="inlineStr">
        <is>
          <t>CHOOSE RATING</t>
        </is>
      </c>
      <c r="DL272" s="40" t="inlineStr">
        <is>
          <t>CHOOSE RATING</t>
        </is>
      </c>
      <c r="DM272" s="40" t="inlineStr">
        <is>
          <t>CHOOSE RATING</t>
        </is>
      </c>
      <c r="DN272" s="40" t="inlineStr">
        <is>
          <t>CHOOSE RATING</t>
        </is>
      </c>
      <c r="DO272" s="40" t="inlineStr">
        <is>
          <t>CHOOSE RATING</t>
        </is>
      </c>
      <c r="DP272" s="40" t="inlineStr">
        <is>
          <t>CHOOSE RATING</t>
        </is>
      </c>
      <c r="DQ272" s="40" t="inlineStr">
        <is>
          <t>CHOOSE RATING</t>
        </is>
      </c>
      <c r="DR272" s="43" t="inlineStr">
        <is>
          <t>2024/2025</t>
        </is>
      </c>
      <c r="DS272" s="45" t="inlineStr">
        <is>
          <t>THIRD</t>
        </is>
      </c>
      <c r="DT272" s="40" t="inlineStr">
        <is>
          <t>CHOOSE RATING</t>
        </is>
      </c>
      <c r="DU272" s="40" t="inlineStr">
        <is>
          <t>CHOOSE RATING</t>
        </is>
      </c>
      <c r="DV272" s="40" t="inlineStr">
        <is>
          <t>CHOOSE RATING</t>
        </is>
      </c>
      <c r="DW272" s="40" t="inlineStr">
        <is>
          <t>CHOOSE RATING</t>
        </is>
      </c>
      <c r="DX272" s="40" t="inlineStr">
        <is>
          <t>CHOOSE RATING</t>
        </is>
      </c>
      <c r="DY272" s="40" t="inlineStr">
        <is>
          <t>CHOOSE RATING</t>
        </is>
      </c>
      <c r="DZ272" s="53" t="inlineStr">
        <is>
          <t>CHOOSE RATING</t>
        </is>
      </c>
      <c r="EA272" s="54" t="inlineStr">
        <is>
          <t>Add the Tutor's Comment . . .</t>
        </is>
      </c>
      <c r="EB272" s="55" t="inlineStr">
        <is>
          <t>Choose Principals comment</t>
        </is>
      </c>
      <c r="EC272" s="56" t="n"/>
      <c r="ED272" s="57" t="inlineStr">
        <is>
          <t>Next Term Begins on Monday, 22nd September, 2025</t>
        </is>
      </c>
    </row>
    <row r="273" ht="30.6" customHeight="1" s="6">
      <c r="A273" s="18" t="n">
        <v>270</v>
      </c>
      <c r="B273" s="19" t="n"/>
      <c r="C273" s="20" t="n"/>
      <c r="D273" s="128" t="n"/>
      <c r="E273" s="21" t="n"/>
      <c r="F273" s="22" t="n"/>
      <c r="G273" s="22" t="n"/>
      <c r="H273" s="22" t="n"/>
      <c r="I273" s="26">
        <f>G273-H273</f>
        <v/>
      </c>
      <c r="J273" s="21" t="n"/>
      <c r="K273" s="21" t="n"/>
      <c r="L273" s="27">
        <f>SUM(J273:K273)</f>
        <v/>
      </c>
      <c r="M273" s="28" t="n"/>
      <c r="N273" s="28" t="n"/>
      <c r="O273" s="29">
        <f>IF(AND(L273=0,M273=0,N273=0),0,IF(AND(L273=0,M273=0),N273/1,IF(AND(L273=0,N273=0),M273/1,IF(AND(M273=0,N273=0),L273/1,IF(L273=0,FLOOR((M273+N273)/2,0.1),IF(M273=0,(L273+N273)/2,IF(N273=0,(M273+L273)/2,FLOOR(((L273+M273+N273)/3),0.1))))))))</f>
        <v/>
      </c>
      <c r="P273" s="21" t="n"/>
      <c r="Q273" s="21" t="n"/>
      <c r="R273" s="27">
        <f>SUM(P273:Q273)</f>
        <v/>
      </c>
      <c r="S273" s="28" t="n"/>
      <c r="T273" s="28" t="n"/>
      <c r="U273" s="29">
        <f>IF(AND(R273=0,S273=0,T273=0),0,IF(AND(R273=0,S273=0),T273/1,IF(AND(R273=0,T273=0),S273/1,IF(AND(S273=0,T273=0),R273/1,IF(R273=0,FLOOR((S273+T273)/2,0.1),IF(S273=0,(R273+T273)/2,IF(T273=0,(S273+R273)/2,FLOOR(((R273+S273+T273)/3),0.1))))))))</f>
        <v/>
      </c>
      <c r="V273" s="21" t="n"/>
      <c r="W273" s="21" t="n"/>
      <c r="X273" s="27">
        <f>SUM(V273:W273)</f>
        <v/>
      </c>
      <c r="Y273" s="28" t="n"/>
      <c r="Z273" s="28" t="n"/>
      <c r="AA273" s="29">
        <f>IF(AND(X273=0,Y273=0,Z273=0),0,IF(AND(X273=0,Y273=0),Z273/1,IF(AND(X273=0,Z273=0),Y273/1,IF(AND(Y273=0,Z273=0),X273/1,IF(X273=0,FLOOR((Y273+Z273)/2,0.1),IF(Y273=0,(X273+Z273)/2,IF(Z273=0,(Y273+X273)/2,FLOOR(((X273+Y273+Z273)/3),0.1))))))))</f>
        <v/>
      </c>
      <c r="AB273" s="21" t="n"/>
      <c r="AC273" s="21" t="n"/>
      <c r="AD273" s="27">
        <f>SUM(AB273:AC273)</f>
        <v/>
      </c>
      <c r="AE273" s="28" t="n"/>
      <c r="AF273" s="28" t="n"/>
      <c r="AG273" s="29">
        <f>IF(AND(AD273=0,AE273=0,AF273=0),0,IF(AND(AD273=0,AE273=0),AF273/1,IF(AND(AD273=0,AF273=0),AE273/1,IF(AND(AE273=0,AF273=0),AD273/1,IF(AD273=0,FLOOR((AE273+AF273)/2,0.1),IF(AE273=0,(AD273+AF273)/2,IF(AF273=0,(AE273+AD273)/2,FLOOR(((AD273+AE273+AF273)/3),0.1))))))))</f>
        <v/>
      </c>
      <c r="AH273" s="21" t="n"/>
      <c r="AI273" s="21" t="n"/>
      <c r="AJ273" s="27">
        <f>SUM(AH273:AI273)</f>
        <v/>
      </c>
      <c r="AK273" s="28" t="n"/>
      <c r="AL273" s="28" t="n"/>
      <c r="AM273" s="29">
        <f>IF(AND(AJ273=0,AK273=0,AL273=0),0,IF(AND(AJ273=0,AK273=0),AL273/1,IF(AND(AJ273=0,AL273=0),AK273/1,IF(AND(AK273=0,AL273=0),AJ273/1,IF(AJ273=0,FLOOR((AK273+AL273)/2,0.1),IF(AK273=0,(AJ273+AL273)/2,IF(AL273=0,(AK273+AJ273)/2,FLOOR(((AJ273+AK273+AL273)/3),0.1))))))))</f>
        <v/>
      </c>
      <c r="AN273" s="21" t="n"/>
      <c r="AO273" s="21" t="n"/>
      <c r="AP273" s="27">
        <f>SUM(AN273:AO273)</f>
        <v/>
      </c>
      <c r="AQ273" s="28" t="n"/>
      <c r="AR273" s="30" t="n"/>
      <c r="AS273" s="29">
        <f>IF(AND(AP273=0,AQ273=0,AR273=0),0,IF(AND(AP273=0,AQ273=0),AR273/1,IF(AND(AP273=0,AR273=0),AQ273/1,IF(AND(AQ273=0,AR273=0),AP273/1,IF(AP273=0,FLOOR((AQ273+AR273)/2,0.1),IF(AQ273=0,(AP273+AR273)/2,IF(AR273=0,(AQ273+AP273)/2,FLOOR(((AP273+AQ273+AR273)/3),0.1))))))))</f>
        <v/>
      </c>
      <c r="AT273" s="21" t="n"/>
      <c r="AU273" s="21" t="n"/>
      <c r="AV273" s="27">
        <f>SUM(AT273:AU273)</f>
        <v/>
      </c>
      <c r="AW273" s="28" t="n"/>
      <c r="AX273" s="30" t="n"/>
      <c r="AY273" s="29">
        <f>IF(AND(AV273=0,AW273=0,AX273=0),0,IF(AND(AV273=0,AW273=0),AX273/1,IF(AND(AV273=0,AX273=0),AW273/1,IF(AND(AW273=0,AX273=0),AV273/1,IF(AV273=0,FLOOR((AW273+AX273)/2,0.1),IF(AW273=0,(AV273+AX273)/2,IF(AX273=0,(AW273+AV273)/2,FLOOR(((AV273+AW273+AX273)/3),0.1))))))))</f>
        <v/>
      </c>
      <c r="AZ273" s="21" t="n"/>
      <c r="BA273" s="21" t="n"/>
      <c r="BB273" s="27">
        <f>SUM(AZ273:BA273)</f>
        <v/>
      </c>
      <c r="BC273" s="28" t="n"/>
      <c r="BD273" s="28" t="n"/>
      <c r="BE273" s="29">
        <f>IF(AND(BB273=0,BC273=0,BD273=0),0,IF(AND(BB273=0,BC273=0),BD273/1,IF(AND(BB273=0,BD273=0),BC273/1,IF(AND(BC273=0,BD273=0),BB273/1,IF(BB273=0,FLOOR((BC273+BD273)/2,0.1),IF(BC273=0,(BB273+BD273)/2,IF(BD273=0,(BC273+BB273)/2,FLOOR(((BB273+BC273+BD273)/3),0.1))))))))</f>
        <v/>
      </c>
      <c r="BF273" s="21" t="n"/>
      <c r="BG273" s="21" t="n"/>
      <c r="BH273" s="27">
        <f>SUM(BF273:BG273)</f>
        <v/>
      </c>
      <c r="BI273" s="28" t="n"/>
      <c r="BJ273" s="28" t="n"/>
      <c r="BK273" s="29">
        <f>IF(AND(BH273=0,BI273=0,BJ273=0),0,IF(AND(BH273=0,BI273=0),BJ273/1,IF(AND(BH273=0,BJ273=0),BI273/1,IF(AND(BI273=0,BJ273=0),BH273/1,IF(BH273=0,FLOOR((BI273+BJ273)/2,0.1),IF(BI273=0,(BH273+BJ273)/2,IF(BJ273=0,(BI273+BH273)/2,FLOOR(((BH273+BI273+BJ273)/3),0.1))))))))</f>
        <v/>
      </c>
      <c r="BL273" s="21" t="n"/>
      <c r="BM273" s="21" t="n"/>
      <c r="BN273" s="27">
        <f>SUM(BL273:BM273)</f>
        <v/>
      </c>
      <c r="BO273" s="28" t="n"/>
      <c r="BP273" s="31" t="n"/>
      <c r="BQ273" s="29">
        <f>IF(AND(BN273=0,BO273=0,BP273=0),0,IF(AND(BN273=0,BO273=0),BP273/1,IF(AND(BN273=0,BP273=0),BO273/1,IF(AND(BO273=0,BP273=0),BN273/1,IF(BN273=0,FLOOR((BO273+BP273)/2,0.1),IF(BO273=0,(BN273+BP273)/2,IF(BP273=0,(BO273+BN273)/2,FLOOR(((BN273+BO273+BP273)/3),0.1))))))))</f>
        <v/>
      </c>
      <c r="BR273" s="21" t="n"/>
      <c r="BS273" s="21" t="n"/>
      <c r="BT273" s="27">
        <f>SUM(BR273:BS273)</f>
        <v/>
      </c>
      <c r="BU273" s="28" t="n"/>
      <c r="BV273" s="31" t="n"/>
      <c r="BW273" s="29">
        <f>IF(AND(BT273=0,BU273=0,BV273=0),0,IF(AND(BT273=0,BU273=0),BV273/1,IF(AND(BT273=0,BV273=0),BU273/1,IF(AND(BU273=0,BV273=0),BT273/1,IF(BT273=0,FLOOR((BU273+BV273)/2,0.1),IF(BU273=0,(BT273+BV273)/2,IF(BV273=0,(BU273+BT273)/2,FLOOR(((BT273+BU273+BV273)/3),0.1))))))))</f>
        <v/>
      </c>
      <c r="BX273" s="21" t="n"/>
      <c r="BY273" s="21" t="n"/>
      <c r="BZ273" s="27">
        <f>SUM(BX273:BY273)</f>
        <v/>
      </c>
      <c r="CA273" s="28" t="n"/>
      <c r="CB273" s="31" t="n"/>
      <c r="CC273" s="29">
        <f>IF(AND(BZ273=0,CA273=0,CB273=0),0,IF(AND(BZ273=0,CA273=0),CB273/1,IF(AND(BZ273=0,CB273=0),CA273/1,IF(AND(CA273=0,CB273=0),BZ273/1,IF(BZ273=0,FLOOR((CA273+CB273)/2,0.1),IF(CA273=0,(BZ273+CB273)/2,IF(CB273=0,(CA273+BZ273)/2,FLOOR(((BZ273+CA273+CB273)/3),0.1))))))))</f>
        <v/>
      </c>
      <c r="CD273" s="21" t="n"/>
      <c r="CE273" s="21" t="n"/>
      <c r="CF273" s="27">
        <f>SUM(CD273:CE273)</f>
        <v/>
      </c>
      <c r="CG273" s="28" t="n"/>
      <c r="CH273" s="31" t="n"/>
      <c r="CI273" s="29">
        <f>IF(AND(CF273=0,CG273=0,CH273=0),0,IF(AND(CF273=0,CG273=0),CH273/1,IF(AND(CF273=0,CH273=0),CG273/1,IF(AND(CG273=0,CH273=0),CF273/1,IF(CF273=0,FLOOR((CG273+CH273)/2,0.1),IF(CG273=0,(CF273+CH273)/2,IF(CH273=0,(CG273+CF273)/2,FLOOR(((CF273+CG273+CH273)/3),0.1))))))))</f>
        <v/>
      </c>
      <c r="CJ273" s="21" t="n"/>
      <c r="CK273" s="21" t="n"/>
      <c r="CL273" s="27">
        <f>SUM(CJ273:CK273)</f>
        <v/>
      </c>
      <c r="CM273" s="28" t="n"/>
      <c r="CN273" s="31" t="n"/>
      <c r="CO273" s="29">
        <f>IF(AND(CL273=0,CM273=0,CN273=0),0,IF(AND(CL273=0,CM273=0),CN273/1,IF(AND(CL273=0,CN273=0),CM273/1,IF(AND(CM273=0,CN273=0),CL273/1,IF(CL273=0,FLOOR((CM273+CN273)/2,0.1),IF(CM273=0,(CL273+CN273)/2,IF(CN273=0,(CM273+CL273)/2,FLOOR(((CL273+CM273+CN273)/3),0.1))))))))</f>
        <v/>
      </c>
      <c r="CP273" s="21" t="n"/>
      <c r="CQ273" s="21" t="n"/>
      <c r="CR273" s="27">
        <f>SUM(CP273:CQ273)</f>
        <v/>
      </c>
      <c r="CS273" s="28" t="n"/>
      <c r="CT273" s="31" t="n"/>
      <c r="CU273" s="29">
        <f>IF(AND(CR273=0,CS273=0,CT273=0),0,IF(AND(CR273=0,CS273=0),CT273/1,IF(AND(CR273=0,CT273=0),CS273/1,IF(AND(CS273=0,CT273=0),CR273/1,IF(CR273=0,FLOOR((CS273+CT273)/2,0.1),IF(CS273=0,(CR273+CT273)/2,IF(CT273=0,(CS273+CR273)/2,FLOOR(((CR273+CS273+CT273)/3),0.1))))))))</f>
        <v/>
      </c>
      <c r="CV273" s="21" t="n"/>
      <c r="CW273" s="21" t="n"/>
      <c r="CX273" s="27">
        <f>SUM(CV273:CW273)</f>
        <v/>
      </c>
      <c r="CY273" s="28" t="n"/>
      <c r="CZ273" s="31" t="n"/>
      <c r="DA273" s="29">
        <f>IF(AND(CX273=0,CY273=0,CZ273=0),0,IF(AND(CX273=0,CY273=0),CZ273/1,IF(AND(CX273=0,CZ273=0),CY273/1,IF(AND(CY273=0,CZ273=0),CX273/1,IF(CX273=0,FLOOR((CY273+CZ273)/2,0.1),IF(CY273=0,(CX273+CZ273)/2,IF(CZ273=0,(CY273+CX273)/2,FLOOR(((CX273+CY273+CZ273)/3),0.1))))))))</f>
        <v/>
      </c>
      <c r="DB273" s="21" t="n"/>
      <c r="DC273" s="21" t="n"/>
      <c r="DD273" s="27">
        <f>SUM(DB273:DC273)</f>
        <v/>
      </c>
      <c r="DE273" s="28" t="n"/>
      <c r="DF273" s="31" t="n"/>
      <c r="DG273" s="29">
        <f>IF(AND(DD273=0,DE273=0,DF273=0),0,IF(AND(DD273=0,DE273=0),DF273/1,IF(AND(DD273=0,DF273=0),DE273/1,IF(AND(DE273=0,DF273=0),DD273/1,IF(DD273=0,FLOOR((DE273+DF273)/2,0.1),IF(DE273=0,(DD273+DF273)/2,IF(DF273=0,(DE273+DD273)/2,FLOOR(((DD273+DE273+DF273)/3),0.1))))))))</f>
        <v/>
      </c>
      <c r="DH273" s="34">
        <f>SUM(O273,U273,AA273,AG273,AM273,AS273,AY273,BE273,BK273,BQ273,BW273,CC273,CI273,CO273,CU273,DA273,DG273)</f>
        <v/>
      </c>
      <c r="DI273" s="39">
        <f>RANK(DH273,DH$4:DH$503)</f>
        <v/>
      </c>
      <c r="DJ273" s="40" t="inlineStr">
        <is>
          <t>CHOOSE RATING</t>
        </is>
      </c>
      <c r="DK273" s="40" t="inlineStr">
        <is>
          <t>CHOOSE RATING</t>
        </is>
      </c>
      <c r="DL273" s="40" t="inlineStr">
        <is>
          <t>CHOOSE RATING</t>
        </is>
      </c>
      <c r="DM273" s="40" t="inlineStr">
        <is>
          <t>CHOOSE RATING</t>
        </is>
      </c>
      <c r="DN273" s="40" t="inlineStr">
        <is>
          <t>CHOOSE RATING</t>
        </is>
      </c>
      <c r="DO273" s="40" t="inlineStr">
        <is>
          <t>CHOOSE RATING</t>
        </is>
      </c>
      <c r="DP273" s="40" t="inlineStr">
        <is>
          <t>CHOOSE RATING</t>
        </is>
      </c>
      <c r="DQ273" s="40" t="inlineStr">
        <is>
          <t>CHOOSE RATING</t>
        </is>
      </c>
      <c r="DR273" s="43" t="inlineStr">
        <is>
          <t>2024/2025</t>
        </is>
      </c>
      <c r="DS273" s="45" t="inlineStr">
        <is>
          <t>THIRD</t>
        </is>
      </c>
      <c r="DT273" s="40" t="inlineStr">
        <is>
          <t>CHOOSE RATING</t>
        </is>
      </c>
      <c r="DU273" s="40" t="inlineStr">
        <is>
          <t>CHOOSE RATING</t>
        </is>
      </c>
      <c r="DV273" s="40" t="inlineStr">
        <is>
          <t>CHOOSE RATING</t>
        </is>
      </c>
      <c r="DW273" s="40" t="inlineStr">
        <is>
          <t>CHOOSE RATING</t>
        </is>
      </c>
      <c r="DX273" s="40" t="inlineStr">
        <is>
          <t>CHOOSE RATING</t>
        </is>
      </c>
      <c r="DY273" s="40" t="inlineStr">
        <is>
          <t>CHOOSE RATING</t>
        </is>
      </c>
      <c r="DZ273" s="53" t="inlineStr">
        <is>
          <t>CHOOSE RATING</t>
        </is>
      </c>
      <c r="EA273" s="54" t="inlineStr">
        <is>
          <t>Add the Tutor's Comment . . .</t>
        </is>
      </c>
      <c r="EB273" s="55" t="inlineStr">
        <is>
          <t>Choose Principals comment</t>
        </is>
      </c>
      <c r="EC273" s="56" t="n"/>
      <c r="ED273" s="57" t="inlineStr">
        <is>
          <t>Next Term Begins on Monday, 22nd September, 2025</t>
        </is>
      </c>
    </row>
    <row r="274" ht="30.6" customHeight="1" s="6">
      <c r="A274" s="18" t="n">
        <v>271</v>
      </c>
      <c r="B274" s="19" t="n"/>
      <c r="C274" s="20" t="n"/>
      <c r="D274" s="128" t="n"/>
      <c r="E274" s="21" t="n"/>
      <c r="F274" s="22" t="n"/>
      <c r="G274" s="22" t="n"/>
      <c r="H274" s="22" t="n"/>
      <c r="I274" s="26">
        <f>G274-H274</f>
        <v/>
      </c>
      <c r="J274" s="21" t="n"/>
      <c r="K274" s="21" t="n"/>
      <c r="L274" s="27">
        <f>SUM(J274:K274)</f>
        <v/>
      </c>
      <c r="M274" s="28" t="n"/>
      <c r="N274" s="28" t="n"/>
      <c r="O274" s="29">
        <f>IF(AND(L274=0,M274=0,N274=0),0,IF(AND(L274=0,M274=0),N274/1,IF(AND(L274=0,N274=0),M274/1,IF(AND(M274=0,N274=0),L274/1,IF(L274=0,FLOOR((M274+N274)/2,0.1),IF(M274=0,(L274+N274)/2,IF(N274=0,(M274+L274)/2,FLOOR(((L274+M274+N274)/3),0.1))))))))</f>
        <v/>
      </c>
      <c r="P274" s="21" t="n"/>
      <c r="Q274" s="21" t="n"/>
      <c r="R274" s="27">
        <f>SUM(P274:Q274)</f>
        <v/>
      </c>
      <c r="S274" s="28" t="n"/>
      <c r="T274" s="28" t="n"/>
      <c r="U274" s="29">
        <f>IF(AND(R274=0,S274=0,T274=0),0,IF(AND(R274=0,S274=0),T274/1,IF(AND(R274=0,T274=0),S274/1,IF(AND(S274=0,T274=0),R274/1,IF(R274=0,FLOOR((S274+T274)/2,0.1),IF(S274=0,(R274+T274)/2,IF(T274=0,(S274+R274)/2,FLOOR(((R274+S274+T274)/3),0.1))))))))</f>
        <v/>
      </c>
      <c r="V274" s="21" t="n"/>
      <c r="W274" s="21" t="n"/>
      <c r="X274" s="27">
        <f>SUM(V274:W274)</f>
        <v/>
      </c>
      <c r="Y274" s="28" t="n"/>
      <c r="Z274" s="28" t="n"/>
      <c r="AA274" s="29">
        <f>IF(AND(X274=0,Y274=0,Z274=0),0,IF(AND(X274=0,Y274=0),Z274/1,IF(AND(X274=0,Z274=0),Y274/1,IF(AND(Y274=0,Z274=0),X274/1,IF(X274=0,FLOOR((Y274+Z274)/2,0.1),IF(Y274=0,(X274+Z274)/2,IF(Z274=0,(Y274+X274)/2,FLOOR(((X274+Y274+Z274)/3),0.1))))))))</f>
        <v/>
      </c>
      <c r="AB274" s="21" t="n"/>
      <c r="AC274" s="21" t="n"/>
      <c r="AD274" s="27">
        <f>SUM(AB274:AC274)</f>
        <v/>
      </c>
      <c r="AE274" s="28" t="n"/>
      <c r="AF274" s="28" t="n"/>
      <c r="AG274" s="29">
        <f>IF(AND(AD274=0,AE274=0,AF274=0),0,IF(AND(AD274=0,AE274=0),AF274/1,IF(AND(AD274=0,AF274=0),AE274/1,IF(AND(AE274=0,AF274=0),AD274/1,IF(AD274=0,FLOOR((AE274+AF274)/2,0.1),IF(AE274=0,(AD274+AF274)/2,IF(AF274=0,(AE274+AD274)/2,FLOOR(((AD274+AE274+AF274)/3),0.1))))))))</f>
        <v/>
      </c>
      <c r="AH274" s="21" t="n"/>
      <c r="AI274" s="21" t="n"/>
      <c r="AJ274" s="27">
        <f>SUM(AH274:AI274)</f>
        <v/>
      </c>
      <c r="AK274" s="28" t="n"/>
      <c r="AL274" s="28" t="n"/>
      <c r="AM274" s="29">
        <f>IF(AND(AJ274=0,AK274=0,AL274=0),0,IF(AND(AJ274=0,AK274=0),AL274/1,IF(AND(AJ274=0,AL274=0),AK274/1,IF(AND(AK274=0,AL274=0),AJ274/1,IF(AJ274=0,FLOOR((AK274+AL274)/2,0.1),IF(AK274=0,(AJ274+AL274)/2,IF(AL274=0,(AK274+AJ274)/2,FLOOR(((AJ274+AK274+AL274)/3),0.1))))))))</f>
        <v/>
      </c>
      <c r="AN274" s="21" t="n"/>
      <c r="AO274" s="21" t="n"/>
      <c r="AP274" s="27">
        <f>SUM(AN274:AO274)</f>
        <v/>
      </c>
      <c r="AQ274" s="28" t="n"/>
      <c r="AR274" s="30" t="n"/>
      <c r="AS274" s="29">
        <f>IF(AND(AP274=0,AQ274=0,AR274=0),0,IF(AND(AP274=0,AQ274=0),AR274/1,IF(AND(AP274=0,AR274=0),AQ274/1,IF(AND(AQ274=0,AR274=0),AP274/1,IF(AP274=0,FLOOR((AQ274+AR274)/2,0.1),IF(AQ274=0,(AP274+AR274)/2,IF(AR274=0,(AQ274+AP274)/2,FLOOR(((AP274+AQ274+AR274)/3),0.1))))))))</f>
        <v/>
      </c>
      <c r="AT274" s="21" t="n"/>
      <c r="AU274" s="21" t="n"/>
      <c r="AV274" s="27">
        <f>SUM(AT274:AU274)</f>
        <v/>
      </c>
      <c r="AW274" s="28" t="n"/>
      <c r="AX274" s="30" t="n"/>
      <c r="AY274" s="29">
        <f>IF(AND(AV274=0,AW274=0,AX274=0),0,IF(AND(AV274=0,AW274=0),AX274/1,IF(AND(AV274=0,AX274=0),AW274/1,IF(AND(AW274=0,AX274=0),AV274/1,IF(AV274=0,FLOOR((AW274+AX274)/2,0.1),IF(AW274=0,(AV274+AX274)/2,IF(AX274=0,(AW274+AV274)/2,FLOOR(((AV274+AW274+AX274)/3),0.1))))))))</f>
        <v/>
      </c>
      <c r="AZ274" s="21" t="n"/>
      <c r="BA274" s="21" t="n"/>
      <c r="BB274" s="27">
        <f>SUM(AZ274:BA274)</f>
        <v/>
      </c>
      <c r="BC274" s="28" t="n"/>
      <c r="BD274" s="28" t="n"/>
      <c r="BE274" s="29">
        <f>IF(AND(BB274=0,BC274=0,BD274=0),0,IF(AND(BB274=0,BC274=0),BD274/1,IF(AND(BB274=0,BD274=0),BC274/1,IF(AND(BC274=0,BD274=0),BB274/1,IF(BB274=0,FLOOR((BC274+BD274)/2,0.1),IF(BC274=0,(BB274+BD274)/2,IF(BD274=0,(BC274+BB274)/2,FLOOR(((BB274+BC274+BD274)/3),0.1))))))))</f>
        <v/>
      </c>
      <c r="BF274" s="21" t="n"/>
      <c r="BG274" s="21" t="n"/>
      <c r="BH274" s="27">
        <f>SUM(BF274:BG274)</f>
        <v/>
      </c>
      <c r="BI274" s="28" t="n"/>
      <c r="BJ274" s="28" t="n"/>
      <c r="BK274" s="29">
        <f>IF(AND(BH274=0,BI274=0,BJ274=0),0,IF(AND(BH274=0,BI274=0),BJ274/1,IF(AND(BH274=0,BJ274=0),BI274/1,IF(AND(BI274=0,BJ274=0),BH274/1,IF(BH274=0,FLOOR((BI274+BJ274)/2,0.1),IF(BI274=0,(BH274+BJ274)/2,IF(BJ274=0,(BI274+BH274)/2,FLOOR(((BH274+BI274+BJ274)/3),0.1))))))))</f>
        <v/>
      </c>
      <c r="BL274" s="21" t="n"/>
      <c r="BM274" s="21" t="n"/>
      <c r="BN274" s="27">
        <f>SUM(BL274:BM274)</f>
        <v/>
      </c>
      <c r="BO274" s="28" t="n"/>
      <c r="BP274" s="31" t="n"/>
      <c r="BQ274" s="29">
        <f>IF(AND(BN274=0,BO274=0,BP274=0),0,IF(AND(BN274=0,BO274=0),BP274/1,IF(AND(BN274=0,BP274=0),BO274/1,IF(AND(BO274=0,BP274=0),BN274/1,IF(BN274=0,FLOOR((BO274+BP274)/2,0.1),IF(BO274=0,(BN274+BP274)/2,IF(BP274=0,(BO274+BN274)/2,FLOOR(((BN274+BO274+BP274)/3),0.1))))))))</f>
        <v/>
      </c>
      <c r="BR274" s="21" t="n"/>
      <c r="BS274" s="21" t="n"/>
      <c r="BT274" s="27">
        <f>SUM(BR274:BS274)</f>
        <v/>
      </c>
      <c r="BU274" s="28" t="n"/>
      <c r="BV274" s="31" t="n"/>
      <c r="BW274" s="29">
        <f>IF(AND(BT274=0,BU274=0,BV274=0),0,IF(AND(BT274=0,BU274=0),BV274/1,IF(AND(BT274=0,BV274=0),BU274/1,IF(AND(BU274=0,BV274=0),BT274/1,IF(BT274=0,FLOOR((BU274+BV274)/2,0.1),IF(BU274=0,(BT274+BV274)/2,IF(BV274=0,(BU274+BT274)/2,FLOOR(((BT274+BU274+BV274)/3),0.1))))))))</f>
        <v/>
      </c>
      <c r="BX274" s="21" t="n"/>
      <c r="BY274" s="21" t="n"/>
      <c r="BZ274" s="27">
        <f>SUM(BX274:BY274)</f>
        <v/>
      </c>
      <c r="CA274" s="28" t="n"/>
      <c r="CB274" s="31" t="n"/>
      <c r="CC274" s="29">
        <f>IF(AND(BZ274=0,CA274=0,CB274=0),0,IF(AND(BZ274=0,CA274=0),CB274/1,IF(AND(BZ274=0,CB274=0),CA274/1,IF(AND(CA274=0,CB274=0),BZ274/1,IF(BZ274=0,FLOOR((CA274+CB274)/2,0.1),IF(CA274=0,(BZ274+CB274)/2,IF(CB274=0,(CA274+BZ274)/2,FLOOR(((BZ274+CA274+CB274)/3),0.1))))))))</f>
        <v/>
      </c>
      <c r="CD274" s="21" t="n"/>
      <c r="CE274" s="21" t="n"/>
      <c r="CF274" s="27">
        <f>SUM(CD274:CE274)</f>
        <v/>
      </c>
      <c r="CG274" s="28" t="n"/>
      <c r="CH274" s="31" t="n"/>
      <c r="CI274" s="29">
        <f>IF(AND(CF274=0,CG274=0,CH274=0),0,IF(AND(CF274=0,CG274=0),CH274/1,IF(AND(CF274=0,CH274=0),CG274/1,IF(AND(CG274=0,CH274=0),CF274/1,IF(CF274=0,FLOOR((CG274+CH274)/2,0.1),IF(CG274=0,(CF274+CH274)/2,IF(CH274=0,(CG274+CF274)/2,FLOOR(((CF274+CG274+CH274)/3),0.1))))))))</f>
        <v/>
      </c>
      <c r="CJ274" s="21" t="n"/>
      <c r="CK274" s="21" t="n"/>
      <c r="CL274" s="27">
        <f>SUM(CJ274:CK274)</f>
        <v/>
      </c>
      <c r="CM274" s="28" t="n"/>
      <c r="CN274" s="31" t="n"/>
      <c r="CO274" s="29">
        <f>IF(AND(CL274=0,CM274=0,CN274=0),0,IF(AND(CL274=0,CM274=0),CN274/1,IF(AND(CL274=0,CN274=0),CM274/1,IF(AND(CM274=0,CN274=0),CL274/1,IF(CL274=0,FLOOR((CM274+CN274)/2,0.1),IF(CM274=0,(CL274+CN274)/2,IF(CN274=0,(CM274+CL274)/2,FLOOR(((CL274+CM274+CN274)/3),0.1))))))))</f>
        <v/>
      </c>
      <c r="CP274" s="21" t="n"/>
      <c r="CQ274" s="21" t="n"/>
      <c r="CR274" s="27">
        <f>SUM(CP274:CQ274)</f>
        <v/>
      </c>
      <c r="CS274" s="28" t="n"/>
      <c r="CT274" s="31" t="n"/>
      <c r="CU274" s="29">
        <f>IF(AND(CR274=0,CS274=0,CT274=0),0,IF(AND(CR274=0,CS274=0),CT274/1,IF(AND(CR274=0,CT274=0),CS274/1,IF(AND(CS274=0,CT274=0),CR274/1,IF(CR274=0,FLOOR((CS274+CT274)/2,0.1),IF(CS274=0,(CR274+CT274)/2,IF(CT274=0,(CS274+CR274)/2,FLOOR(((CR274+CS274+CT274)/3),0.1))))))))</f>
        <v/>
      </c>
      <c r="CV274" s="21" t="n"/>
      <c r="CW274" s="21" t="n"/>
      <c r="CX274" s="27">
        <f>SUM(CV274:CW274)</f>
        <v/>
      </c>
      <c r="CY274" s="28" t="n"/>
      <c r="CZ274" s="31" t="n"/>
      <c r="DA274" s="29">
        <f>IF(AND(CX274=0,CY274=0,CZ274=0),0,IF(AND(CX274=0,CY274=0),CZ274/1,IF(AND(CX274=0,CZ274=0),CY274/1,IF(AND(CY274=0,CZ274=0),CX274/1,IF(CX274=0,FLOOR((CY274+CZ274)/2,0.1),IF(CY274=0,(CX274+CZ274)/2,IF(CZ274=0,(CY274+CX274)/2,FLOOR(((CX274+CY274+CZ274)/3),0.1))))))))</f>
        <v/>
      </c>
      <c r="DB274" s="21" t="n"/>
      <c r="DC274" s="21" t="n"/>
      <c r="DD274" s="27">
        <f>SUM(DB274:DC274)</f>
        <v/>
      </c>
      <c r="DE274" s="28" t="n"/>
      <c r="DF274" s="31" t="n"/>
      <c r="DG274" s="29">
        <f>IF(AND(DD274=0,DE274=0,DF274=0),0,IF(AND(DD274=0,DE274=0),DF274/1,IF(AND(DD274=0,DF274=0),DE274/1,IF(AND(DE274=0,DF274=0),DD274/1,IF(DD274=0,FLOOR((DE274+DF274)/2,0.1),IF(DE274=0,(DD274+DF274)/2,IF(DF274=0,(DE274+DD274)/2,FLOOR(((DD274+DE274+DF274)/3),0.1))))))))</f>
        <v/>
      </c>
      <c r="DH274" s="34">
        <f>SUM(O274,U274,AA274,AG274,AM274,AS274,AY274,BE274,BK274,BQ274,BW274,CC274,CI274,CO274,CU274,DA274,DG274)</f>
        <v/>
      </c>
      <c r="DI274" s="39">
        <f>RANK(DH274,DH$4:DH$503)</f>
        <v/>
      </c>
      <c r="DJ274" s="40" t="inlineStr">
        <is>
          <t>CHOOSE RATING</t>
        </is>
      </c>
      <c r="DK274" s="40" t="inlineStr">
        <is>
          <t>CHOOSE RATING</t>
        </is>
      </c>
      <c r="DL274" s="40" t="inlineStr">
        <is>
          <t>CHOOSE RATING</t>
        </is>
      </c>
      <c r="DM274" s="40" t="inlineStr">
        <is>
          <t>CHOOSE RATING</t>
        </is>
      </c>
      <c r="DN274" s="40" t="inlineStr">
        <is>
          <t>CHOOSE RATING</t>
        </is>
      </c>
      <c r="DO274" s="40" t="inlineStr">
        <is>
          <t>CHOOSE RATING</t>
        </is>
      </c>
      <c r="DP274" s="40" t="inlineStr">
        <is>
          <t>CHOOSE RATING</t>
        </is>
      </c>
      <c r="DQ274" s="40" t="inlineStr">
        <is>
          <t>CHOOSE RATING</t>
        </is>
      </c>
      <c r="DR274" s="43" t="inlineStr">
        <is>
          <t>2024/2025</t>
        </is>
      </c>
      <c r="DS274" s="45" t="inlineStr">
        <is>
          <t>THIRD</t>
        </is>
      </c>
      <c r="DT274" s="40" t="inlineStr">
        <is>
          <t>CHOOSE RATING</t>
        </is>
      </c>
      <c r="DU274" s="40" t="inlineStr">
        <is>
          <t>CHOOSE RATING</t>
        </is>
      </c>
      <c r="DV274" s="40" t="inlineStr">
        <is>
          <t>CHOOSE RATING</t>
        </is>
      </c>
      <c r="DW274" s="40" t="inlineStr">
        <is>
          <t>CHOOSE RATING</t>
        </is>
      </c>
      <c r="DX274" s="40" t="inlineStr">
        <is>
          <t>CHOOSE RATING</t>
        </is>
      </c>
      <c r="DY274" s="40" t="inlineStr">
        <is>
          <t>CHOOSE RATING</t>
        </is>
      </c>
      <c r="DZ274" s="53" t="inlineStr">
        <is>
          <t>CHOOSE RATING</t>
        </is>
      </c>
      <c r="EA274" s="54" t="inlineStr">
        <is>
          <t>Add the Tutor's Comment . . .</t>
        </is>
      </c>
      <c r="EB274" s="55" t="inlineStr">
        <is>
          <t>Choose Principals comment</t>
        </is>
      </c>
      <c r="EC274" s="56" t="n"/>
      <c r="ED274" s="57" t="inlineStr">
        <is>
          <t>Next Term Begins on Monday, 22nd September, 2025</t>
        </is>
      </c>
    </row>
    <row r="275" ht="30.6" customHeight="1" s="6">
      <c r="A275" s="18" t="n">
        <v>272</v>
      </c>
      <c r="B275" s="19" t="n"/>
      <c r="C275" s="20" t="n"/>
      <c r="D275" s="128" t="n"/>
      <c r="E275" s="21" t="n"/>
      <c r="F275" s="22" t="n"/>
      <c r="G275" s="22" t="n"/>
      <c r="H275" s="22" t="n"/>
      <c r="I275" s="26">
        <f>G275-H275</f>
        <v/>
      </c>
      <c r="J275" s="21" t="n"/>
      <c r="K275" s="21" t="n"/>
      <c r="L275" s="27">
        <f>SUM(J275:K275)</f>
        <v/>
      </c>
      <c r="M275" s="28" t="n"/>
      <c r="N275" s="28" t="n"/>
      <c r="O275" s="29">
        <f>IF(AND(L275=0,M275=0,N275=0),0,IF(AND(L275=0,M275=0),N275/1,IF(AND(L275=0,N275=0),M275/1,IF(AND(M275=0,N275=0),L275/1,IF(L275=0,FLOOR((M275+N275)/2,0.1),IF(M275=0,(L275+N275)/2,IF(N275=0,(M275+L275)/2,FLOOR(((L275+M275+N275)/3),0.1))))))))</f>
        <v/>
      </c>
      <c r="P275" s="21" t="n"/>
      <c r="Q275" s="21" t="n"/>
      <c r="R275" s="27">
        <f>SUM(P275:Q275)</f>
        <v/>
      </c>
      <c r="S275" s="28" t="n"/>
      <c r="T275" s="28" t="n"/>
      <c r="U275" s="29">
        <f>IF(AND(R275=0,S275=0,T275=0),0,IF(AND(R275=0,S275=0),T275/1,IF(AND(R275=0,T275=0),S275/1,IF(AND(S275=0,T275=0),R275/1,IF(R275=0,FLOOR((S275+T275)/2,0.1),IF(S275=0,(R275+T275)/2,IF(T275=0,(S275+R275)/2,FLOOR(((R275+S275+T275)/3),0.1))))))))</f>
        <v/>
      </c>
      <c r="V275" s="21" t="n"/>
      <c r="W275" s="21" t="n"/>
      <c r="X275" s="27">
        <f>SUM(V275:W275)</f>
        <v/>
      </c>
      <c r="Y275" s="28" t="n"/>
      <c r="Z275" s="28" t="n"/>
      <c r="AA275" s="29">
        <f>IF(AND(X275=0,Y275=0,Z275=0),0,IF(AND(X275=0,Y275=0),Z275/1,IF(AND(X275=0,Z275=0),Y275/1,IF(AND(Y275=0,Z275=0),X275/1,IF(X275=0,FLOOR((Y275+Z275)/2,0.1),IF(Y275=0,(X275+Z275)/2,IF(Z275=0,(Y275+X275)/2,FLOOR(((X275+Y275+Z275)/3),0.1))))))))</f>
        <v/>
      </c>
      <c r="AB275" s="21" t="n"/>
      <c r="AC275" s="21" t="n"/>
      <c r="AD275" s="27">
        <f>SUM(AB275:AC275)</f>
        <v/>
      </c>
      <c r="AE275" s="28" t="n"/>
      <c r="AF275" s="28" t="n"/>
      <c r="AG275" s="29">
        <f>IF(AND(AD275=0,AE275=0,AF275=0),0,IF(AND(AD275=0,AE275=0),AF275/1,IF(AND(AD275=0,AF275=0),AE275/1,IF(AND(AE275=0,AF275=0),AD275/1,IF(AD275=0,FLOOR((AE275+AF275)/2,0.1),IF(AE275=0,(AD275+AF275)/2,IF(AF275=0,(AE275+AD275)/2,FLOOR(((AD275+AE275+AF275)/3),0.1))))))))</f>
        <v/>
      </c>
      <c r="AH275" s="21" t="n"/>
      <c r="AI275" s="21" t="n"/>
      <c r="AJ275" s="27">
        <f>SUM(AH275:AI275)</f>
        <v/>
      </c>
      <c r="AK275" s="28" t="n"/>
      <c r="AL275" s="28" t="n"/>
      <c r="AM275" s="29">
        <f>IF(AND(AJ275=0,AK275=0,AL275=0),0,IF(AND(AJ275=0,AK275=0),AL275/1,IF(AND(AJ275=0,AL275=0),AK275/1,IF(AND(AK275=0,AL275=0),AJ275/1,IF(AJ275=0,FLOOR((AK275+AL275)/2,0.1),IF(AK275=0,(AJ275+AL275)/2,IF(AL275=0,(AK275+AJ275)/2,FLOOR(((AJ275+AK275+AL275)/3),0.1))))))))</f>
        <v/>
      </c>
      <c r="AN275" s="21" t="n"/>
      <c r="AO275" s="21" t="n"/>
      <c r="AP275" s="27">
        <f>SUM(AN275:AO275)</f>
        <v/>
      </c>
      <c r="AQ275" s="28" t="n"/>
      <c r="AR275" s="30" t="n"/>
      <c r="AS275" s="29">
        <f>IF(AND(AP275=0,AQ275=0,AR275=0),0,IF(AND(AP275=0,AQ275=0),AR275/1,IF(AND(AP275=0,AR275=0),AQ275/1,IF(AND(AQ275=0,AR275=0),AP275/1,IF(AP275=0,FLOOR((AQ275+AR275)/2,0.1),IF(AQ275=0,(AP275+AR275)/2,IF(AR275=0,(AQ275+AP275)/2,FLOOR(((AP275+AQ275+AR275)/3),0.1))))))))</f>
        <v/>
      </c>
      <c r="AT275" s="21" t="n"/>
      <c r="AU275" s="21" t="n"/>
      <c r="AV275" s="27">
        <f>SUM(AT275:AU275)</f>
        <v/>
      </c>
      <c r="AW275" s="28" t="n"/>
      <c r="AX275" s="30" t="n"/>
      <c r="AY275" s="29">
        <f>IF(AND(AV275=0,AW275=0,AX275=0),0,IF(AND(AV275=0,AW275=0),AX275/1,IF(AND(AV275=0,AX275=0),AW275/1,IF(AND(AW275=0,AX275=0),AV275/1,IF(AV275=0,FLOOR((AW275+AX275)/2,0.1),IF(AW275=0,(AV275+AX275)/2,IF(AX275=0,(AW275+AV275)/2,FLOOR(((AV275+AW275+AX275)/3),0.1))))))))</f>
        <v/>
      </c>
      <c r="AZ275" s="21" t="n"/>
      <c r="BA275" s="21" t="n"/>
      <c r="BB275" s="27">
        <f>SUM(AZ275:BA275)</f>
        <v/>
      </c>
      <c r="BC275" s="28" t="n"/>
      <c r="BD275" s="28" t="n"/>
      <c r="BE275" s="29">
        <f>IF(AND(BB275=0,BC275=0,BD275=0),0,IF(AND(BB275=0,BC275=0),BD275/1,IF(AND(BB275=0,BD275=0),BC275/1,IF(AND(BC275=0,BD275=0),BB275/1,IF(BB275=0,FLOOR((BC275+BD275)/2,0.1),IF(BC275=0,(BB275+BD275)/2,IF(BD275=0,(BC275+BB275)/2,FLOOR(((BB275+BC275+BD275)/3),0.1))))))))</f>
        <v/>
      </c>
      <c r="BF275" s="21" t="n"/>
      <c r="BG275" s="21" t="n"/>
      <c r="BH275" s="27">
        <f>SUM(BF275:BG275)</f>
        <v/>
      </c>
      <c r="BI275" s="28" t="n"/>
      <c r="BJ275" s="28" t="n"/>
      <c r="BK275" s="29">
        <f>IF(AND(BH275=0,BI275=0,BJ275=0),0,IF(AND(BH275=0,BI275=0),BJ275/1,IF(AND(BH275=0,BJ275=0),BI275/1,IF(AND(BI275=0,BJ275=0),BH275/1,IF(BH275=0,FLOOR((BI275+BJ275)/2,0.1),IF(BI275=0,(BH275+BJ275)/2,IF(BJ275=0,(BI275+BH275)/2,FLOOR(((BH275+BI275+BJ275)/3),0.1))))))))</f>
        <v/>
      </c>
      <c r="BL275" s="21" t="n"/>
      <c r="BM275" s="21" t="n"/>
      <c r="BN275" s="27">
        <f>SUM(BL275:BM275)</f>
        <v/>
      </c>
      <c r="BO275" s="28" t="n"/>
      <c r="BP275" s="31" t="n"/>
      <c r="BQ275" s="29">
        <f>IF(AND(BN275=0,BO275=0,BP275=0),0,IF(AND(BN275=0,BO275=0),BP275/1,IF(AND(BN275=0,BP275=0),BO275/1,IF(AND(BO275=0,BP275=0),BN275/1,IF(BN275=0,FLOOR((BO275+BP275)/2,0.1),IF(BO275=0,(BN275+BP275)/2,IF(BP275=0,(BO275+BN275)/2,FLOOR(((BN275+BO275+BP275)/3),0.1))))))))</f>
        <v/>
      </c>
      <c r="BR275" s="21" t="n"/>
      <c r="BS275" s="21" t="n"/>
      <c r="BT275" s="27">
        <f>SUM(BR275:BS275)</f>
        <v/>
      </c>
      <c r="BU275" s="28" t="n"/>
      <c r="BV275" s="31" t="n"/>
      <c r="BW275" s="29">
        <f>IF(AND(BT275=0,BU275=0,BV275=0),0,IF(AND(BT275=0,BU275=0),BV275/1,IF(AND(BT275=0,BV275=0),BU275/1,IF(AND(BU275=0,BV275=0),BT275/1,IF(BT275=0,FLOOR((BU275+BV275)/2,0.1),IF(BU275=0,(BT275+BV275)/2,IF(BV275=0,(BU275+BT275)/2,FLOOR(((BT275+BU275+BV275)/3),0.1))))))))</f>
        <v/>
      </c>
      <c r="BX275" s="21" t="n"/>
      <c r="BY275" s="21" t="n"/>
      <c r="BZ275" s="27">
        <f>SUM(BX275:BY275)</f>
        <v/>
      </c>
      <c r="CA275" s="28" t="n"/>
      <c r="CB275" s="31" t="n"/>
      <c r="CC275" s="29">
        <f>IF(AND(BZ275=0,CA275=0,CB275=0),0,IF(AND(BZ275=0,CA275=0),CB275/1,IF(AND(BZ275=0,CB275=0),CA275/1,IF(AND(CA275=0,CB275=0),BZ275/1,IF(BZ275=0,FLOOR((CA275+CB275)/2,0.1),IF(CA275=0,(BZ275+CB275)/2,IF(CB275=0,(CA275+BZ275)/2,FLOOR(((BZ275+CA275+CB275)/3),0.1))))))))</f>
        <v/>
      </c>
      <c r="CD275" s="21" t="n"/>
      <c r="CE275" s="21" t="n"/>
      <c r="CF275" s="27">
        <f>SUM(CD275:CE275)</f>
        <v/>
      </c>
      <c r="CG275" s="28" t="n"/>
      <c r="CH275" s="31" t="n"/>
      <c r="CI275" s="29">
        <f>IF(AND(CF275=0,CG275=0,CH275=0),0,IF(AND(CF275=0,CG275=0),CH275/1,IF(AND(CF275=0,CH275=0),CG275/1,IF(AND(CG275=0,CH275=0),CF275/1,IF(CF275=0,FLOOR((CG275+CH275)/2,0.1),IF(CG275=0,(CF275+CH275)/2,IF(CH275=0,(CG275+CF275)/2,FLOOR(((CF275+CG275+CH275)/3),0.1))))))))</f>
        <v/>
      </c>
      <c r="CJ275" s="21" t="n"/>
      <c r="CK275" s="21" t="n"/>
      <c r="CL275" s="27">
        <f>SUM(CJ275:CK275)</f>
        <v/>
      </c>
      <c r="CM275" s="28" t="n"/>
      <c r="CN275" s="31" t="n"/>
      <c r="CO275" s="29">
        <f>IF(AND(CL275=0,CM275=0,CN275=0),0,IF(AND(CL275=0,CM275=0),CN275/1,IF(AND(CL275=0,CN275=0),CM275/1,IF(AND(CM275=0,CN275=0),CL275/1,IF(CL275=0,FLOOR((CM275+CN275)/2,0.1),IF(CM275=0,(CL275+CN275)/2,IF(CN275=0,(CM275+CL275)/2,FLOOR(((CL275+CM275+CN275)/3),0.1))))))))</f>
        <v/>
      </c>
      <c r="CP275" s="21" t="n"/>
      <c r="CQ275" s="21" t="n"/>
      <c r="CR275" s="27">
        <f>SUM(CP275:CQ275)</f>
        <v/>
      </c>
      <c r="CS275" s="28" t="n"/>
      <c r="CT275" s="31" t="n"/>
      <c r="CU275" s="29">
        <f>IF(AND(CR275=0,CS275=0,CT275=0),0,IF(AND(CR275=0,CS275=0),CT275/1,IF(AND(CR275=0,CT275=0),CS275/1,IF(AND(CS275=0,CT275=0),CR275/1,IF(CR275=0,FLOOR((CS275+CT275)/2,0.1),IF(CS275=0,(CR275+CT275)/2,IF(CT275=0,(CS275+CR275)/2,FLOOR(((CR275+CS275+CT275)/3),0.1))))))))</f>
        <v/>
      </c>
      <c r="CV275" s="21" t="n"/>
      <c r="CW275" s="21" t="n"/>
      <c r="CX275" s="27">
        <f>SUM(CV275:CW275)</f>
        <v/>
      </c>
      <c r="CY275" s="28" t="n"/>
      <c r="CZ275" s="31" t="n"/>
      <c r="DA275" s="29">
        <f>IF(AND(CX275=0,CY275=0,CZ275=0),0,IF(AND(CX275=0,CY275=0),CZ275/1,IF(AND(CX275=0,CZ275=0),CY275/1,IF(AND(CY275=0,CZ275=0),CX275/1,IF(CX275=0,FLOOR((CY275+CZ275)/2,0.1),IF(CY275=0,(CX275+CZ275)/2,IF(CZ275=0,(CY275+CX275)/2,FLOOR(((CX275+CY275+CZ275)/3),0.1))))))))</f>
        <v/>
      </c>
      <c r="DB275" s="21" t="n"/>
      <c r="DC275" s="21" t="n"/>
      <c r="DD275" s="27">
        <f>SUM(DB275:DC275)</f>
        <v/>
      </c>
      <c r="DE275" s="28" t="n"/>
      <c r="DF275" s="31" t="n"/>
      <c r="DG275" s="29">
        <f>IF(AND(DD275=0,DE275=0,DF275=0),0,IF(AND(DD275=0,DE275=0),DF275/1,IF(AND(DD275=0,DF275=0),DE275/1,IF(AND(DE275=0,DF275=0),DD275/1,IF(DD275=0,FLOOR((DE275+DF275)/2,0.1),IF(DE275=0,(DD275+DF275)/2,IF(DF275=0,(DE275+DD275)/2,FLOOR(((DD275+DE275+DF275)/3),0.1))))))))</f>
        <v/>
      </c>
      <c r="DH275" s="34">
        <f>SUM(O275,U275,AA275,AG275,AM275,AS275,AY275,BE275,BK275,BQ275,BW275,CC275,CI275,CO275,CU275,DA275,DG275)</f>
        <v/>
      </c>
      <c r="DI275" s="39">
        <f>RANK(DH275,DH$4:DH$503)</f>
        <v/>
      </c>
      <c r="DJ275" s="40" t="inlineStr">
        <is>
          <t>CHOOSE RATING</t>
        </is>
      </c>
      <c r="DK275" s="40" t="inlineStr">
        <is>
          <t>CHOOSE RATING</t>
        </is>
      </c>
      <c r="DL275" s="40" t="inlineStr">
        <is>
          <t>CHOOSE RATING</t>
        </is>
      </c>
      <c r="DM275" s="40" t="inlineStr">
        <is>
          <t>CHOOSE RATING</t>
        </is>
      </c>
      <c r="DN275" s="40" t="inlineStr">
        <is>
          <t>CHOOSE RATING</t>
        </is>
      </c>
      <c r="DO275" s="40" t="inlineStr">
        <is>
          <t>CHOOSE RATING</t>
        </is>
      </c>
      <c r="DP275" s="40" t="inlineStr">
        <is>
          <t>CHOOSE RATING</t>
        </is>
      </c>
      <c r="DQ275" s="40" t="inlineStr">
        <is>
          <t>CHOOSE RATING</t>
        </is>
      </c>
      <c r="DR275" s="43" t="inlineStr">
        <is>
          <t>2024/2025</t>
        </is>
      </c>
      <c r="DS275" s="45" t="inlineStr">
        <is>
          <t>THIRD</t>
        </is>
      </c>
      <c r="DT275" s="40" t="inlineStr">
        <is>
          <t>CHOOSE RATING</t>
        </is>
      </c>
      <c r="DU275" s="40" t="inlineStr">
        <is>
          <t>CHOOSE RATING</t>
        </is>
      </c>
      <c r="DV275" s="40" t="inlineStr">
        <is>
          <t>CHOOSE RATING</t>
        </is>
      </c>
      <c r="DW275" s="40" t="inlineStr">
        <is>
          <t>CHOOSE RATING</t>
        </is>
      </c>
      <c r="DX275" s="40" t="inlineStr">
        <is>
          <t>CHOOSE RATING</t>
        </is>
      </c>
      <c r="DY275" s="40" t="inlineStr">
        <is>
          <t>CHOOSE RATING</t>
        </is>
      </c>
      <c r="DZ275" s="53" t="inlineStr">
        <is>
          <t>CHOOSE RATING</t>
        </is>
      </c>
      <c r="EA275" s="54" t="inlineStr">
        <is>
          <t>Add the Tutor's Comment . . .</t>
        </is>
      </c>
      <c r="EB275" s="55" t="inlineStr">
        <is>
          <t>Choose Principals comment</t>
        </is>
      </c>
      <c r="EC275" s="56" t="n"/>
      <c r="ED275" s="57" t="inlineStr">
        <is>
          <t>Next Term Begins on Monday, 22nd September, 2025</t>
        </is>
      </c>
    </row>
    <row r="276" ht="30.6" customHeight="1" s="6">
      <c r="A276" s="18" t="n">
        <v>273</v>
      </c>
      <c r="B276" s="19" t="n"/>
      <c r="C276" s="20" t="n"/>
      <c r="D276" s="128" t="n"/>
      <c r="E276" s="21" t="n"/>
      <c r="F276" s="22" t="n"/>
      <c r="G276" s="22" t="n"/>
      <c r="H276" s="22" t="n"/>
      <c r="I276" s="26">
        <f>G276-H276</f>
        <v/>
      </c>
      <c r="J276" s="21" t="n"/>
      <c r="K276" s="21" t="n"/>
      <c r="L276" s="27">
        <f>SUM(J276:K276)</f>
        <v/>
      </c>
      <c r="M276" s="28" t="n"/>
      <c r="N276" s="28" t="n"/>
      <c r="O276" s="29">
        <f>IF(AND(L276=0,M276=0,N276=0),0,IF(AND(L276=0,M276=0),N276/1,IF(AND(L276=0,N276=0),M276/1,IF(AND(M276=0,N276=0),L276/1,IF(L276=0,FLOOR((M276+N276)/2,0.1),IF(M276=0,(L276+N276)/2,IF(N276=0,(M276+L276)/2,FLOOR(((L276+M276+N276)/3),0.1))))))))</f>
        <v/>
      </c>
      <c r="P276" s="21" t="n"/>
      <c r="Q276" s="21" t="n"/>
      <c r="R276" s="27">
        <f>SUM(P276:Q276)</f>
        <v/>
      </c>
      <c r="S276" s="28" t="n"/>
      <c r="T276" s="28" t="n"/>
      <c r="U276" s="29">
        <f>IF(AND(R276=0,S276=0,T276=0),0,IF(AND(R276=0,S276=0),T276/1,IF(AND(R276=0,T276=0),S276/1,IF(AND(S276=0,T276=0),R276/1,IF(R276=0,FLOOR((S276+T276)/2,0.1),IF(S276=0,(R276+T276)/2,IF(T276=0,(S276+R276)/2,FLOOR(((R276+S276+T276)/3),0.1))))))))</f>
        <v/>
      </c>
      <c r="V276" s="21" t="n"/>
      <c r="W276" s="21" t="n"/>
      <c r="X276" s="27">
        <f>SUM(V276:W276)</f>
        <v/>
      </c>
      <c r="Y276" s="28" t="n"/>
      <c r="Z276" s="28" t="n"/>
      <c r="AA276" s="29">
        <f>IF(AND(X276=0,Y276=0,Z276=0),0,IF(AND(X276=0,Y276=0),Z276/1,IF(AND(X276=0,Z276=0),Y276/1,IF(AND(Y276=0,Z276=0),X276/1,IF(X276=0,FLOOR((Y276+Z276)/2,0.1),IF(Y276=0,(X276+Z276)/2,IF(Z276=0,(Y276+X276)/2,FLOOR(((X276+Y276+Z276)/3),0.1))))))))</f>
        <v/>
      </c>
      <c r="AB276" s="21" t="n"/>
      <c r="AC276" s="21" t="n"/>
      <c r="AD276" s="27">
        <f>SUM(AB276:AC276)</f>
        <v/>
      </c>
      <c r="AE276" s="28" t="n"/>
      <c r="AF276" s="28" t="n"/>
      <c r="AG276" s="29">
        <f>IF(AND(AD276=0,AE276=0,AF276=0),0,IF(AND(AD276=0,AE276=0),AF276/1,IF(AND(AD276=0,AF276=0),AE276/1,IF(AND(AE276=0,AF276=0),AD276/1,IF(AD276=0,FLOOR((AE276+AF276)/2,0.1),IF(AE276=0,(AD276+AF276)/2,IF(AF276=0,(AE276+AD276)/2,FLOOR(((AD276+AE276+AF276)/3),0.1))))))))</f>
        <v/>
      </c>
      <c r="AH276" s="21" t="n"/>
      <c r="AI276" s="21" t="n"/>
      <c r="AJ276" s="27">
        <f>SUM(AH276:AI276)</f>
        <v/>
      </c>
      <c r="AK276" s="28" t="n"/>
      <c r="AL276" s="28" t="n"/>
      <c r="AM276" s="29">
        <f>IF(AND(AJ276=0,AK276=0,AL276=0),0,IF(AND(AJ276=0,AK276=0),AL276/1,IF(AND(AJ276=0,AL276=0),AK276/1,IF(AND(AK276=0,AL276=0),AJ276/1,IF(AJ276=0,FLOOR((AK276+AL276)/2,0.1),IF(AK276=0,(AJ276+AL276)/2,IF(AL276=0,(AK276+AJ276)/2,FLOOR(((AJ276+AK276+AL276)/3),0.1))))))))</f>
        <v/>
      </c>
      <c r="AN276" s="21" t="n"/>
      <c r="AO276" s="21" t="n"/>
      <c r="AP276" s="27">
        <f>SUM(AN276:AO276)</f>
        <v/>
      </c>
      <c r="AQ276" s="28" t="n"/>
      <c r="AR276" s="30" t="n"/>
      <c r="AS276" s="29">
        <f>IF(AND(AP276=0,AQ276=0,AR276=0),0,IF(AND(AP276=0,AQ276=0),AR276/1,IF(AND(AP276=0,AR276=0),AQ276/1,IF(AND(AQ276=0,AR276=0),AP276/1,IF(AP276=0,FLOOR((AQ276+AR276)/2,0.1),IF(AQ276=0,(AP276+AR276)/2,IF(AR276=0,(AQ276+AP276)/2,FLOOR(((AP276+AQ276+AR276)/3),0.1))))))))</f>
        <v/>
      </c>
      <c r="AT276" s="21" t="n"/>
      <c r="AU276" s="21" t="n"/>
      <c r="AV276" s="27">
        <f>SUM(AT276:AU276)</f>
        <v/>
      </c>
      <c r="AW276" s="28" t="n"/>
      <c r="AX276" s="30" t="n"/>
      <c r="AY276" s="29">
        <f>IF(AND(AV276=0,AW276=0,AX276=0),0,IF(AND(AV276=0,AW276=0),AX276/1,IF(AND(AV276=0,AX276=0),AW276/1,IF(AND(AW276=0,AX276=0),AV276/1,IF(AV276=0,FLOOR((AW276+AX276)/2,0.1),IF(AW276=0,(AV276+AX276)/2,IF(AX276=0,(AW276+AV276)/2,FLOOR(((AV276+AW276+AX276)/3),0.1))))))))</f>
        <v/>
      </c>
      <c r="AZ276" s="21" t="n"/>
      <c r="BA276" s="21" t="n"/>
      <c r="BB276" s="27">
        <f>SUM(AZ276:BA276)</f>
        <v/>
      </c>
      <c r="BC276" s="28" t="n"/>
      <c r="BD276" s="28" t="n"/>
      <c r="BE276" s="29">
        <f>IF(AND(BB276=0,BC276=0,BD276=0),0,IF(AND(BB276=0,BC276=0),BD276/1,IF(AND(BB276=0,BD276=0),BC276/1,IF(AND(BC276=0,BD276=0),BB276/1,IF(BB276=0,FLOOR((BC276+BD276)/2,0.1),IF(BC276=0,(BB276+BD276)/2,IF(BD276=0,(BC276+BB276)/2,FLOOR(((BB276+BC276+BD276)/3),0.1))))))))</f>
        <v/>
      </c>
      <c r="BF276" s="21" t="n"/>
      <c r="BG276" s="21" t="n"/>
      <c r="BH276" s="27">
        <f>SUM(BF276:BG276)</f>
        <v/>
      </c>
      <c r="BI276" s="28" t="n"/>
      <c r="BJ276" s="28" t="n"/>
      <c r="BK276" s="29">
        <f>IF(AND(BH276=0,BI276=0,BJ276=0),0,IF(AND(BH276=0,BI276=0),BJ276/1,IF(AND(BH276=0,BJ276=0),BI276/1,IF(AND(BI276=0,BJ276=0),BH276/1,IF(BH276=0,FLOOR((BI276+BJ276)/2,0.1),IF(BI276=0,(BH276+BJ276)/2,IF(BJ276=0,(BI276+BH276)/2,FLOOR(((BH276+BI276+BJ276)/3),0.1))))))))</f>
        <v/>
      </c>
      <c r="BL276" s="21" t="n"/>
      <c r="BM276" s="21" t="n"/>
      <c r="BN276" s="27">
        <f>SUM(BL276:BM276)</f>
        <v/>
      </c>
      <c r="BO276" s="28" t="n"/>
      <c r="BP276" s="31" t="n"/>
      <c r="BQ276" s="29">
        <f>IF(AND(BN276=0,BO276=0,BP276=0),0,IF(AND(BN276=0,BO276=0),BP276/1,IF(AND(BN276=0,BP276=0),BO276/1,IF(AND(BO276=0,BP276=0),BN276/1,IF(BN276=0,FLOOR((BO276+BP276)/2,0.1),IF(BO276=0,(BN276+BP276)/2,IF(BP276=0,(BO276+BN276)/2,FLOOR(((BN276+BO276+BP276)/3),0.1))))))))</f>
        <v/>
      </c>
      <c r="BR276" s="21" t="n"/>
      <c r="BS276" s="21" t="n"/>
      <c r="BT276" s="27">
        <f>SUM(BR276:BS276)</f>
        <v/>
      </c>
      <c r="BU276" s="28" t="n"/>
      <c r="BV276" s="31" t="n"/>
      <c r="BW276" s="29">
        <f>IF(AND(BT276=0,BU276=0,BV276=0),0,IF(AND(BT276=0,BU276=0),BV276/1,IF(AND(BT276=0,BV276=0),BU276/1,IF(AND(BU276=0,BV276=0),BT276/1,IF(BT276=0,FLOOR((BU276+BV276)/2,0.1),IF(BU276=0,(BT276+BV276)/2,IF(BV276=0,(BU276+BT276)/2,FLOOR(((BT276+BU276+BV276)/3),0.1))))))))</f>
        <v/>
      </c>
      <c r="BX276" s="21" t="n"/>
      <c r="BY276" s="21" t="n"/>
      <c r="BZ276" s="27">
        <f>SUM(BX276:BY276)</f>
        <v/>
      </c>
      <c r="CA276" s="28" t="n"/>
      <c r="CB276" s="31" t="n"/>
      <c r="CC276" s="29">
        <f>IF(AND(BZ276=0,CA276=0,CB276=0),0,IF(AND(BZ276=0,CA276=0),CB276/1,IF(AND(BZ276=0,CB276=0),CA276/1,IF(AND(CA276=0,CB276=0),BZ276/1,IF(BZ276=0,FLOOR((CA276+CB276)/2,0.1),IF(CA276=0,(BZ276+CB276)/2,IF(CB276=0,(CA276+BZ276)/2,FLOOR(((BZ276+CA276+CB276)/3),0.1))))))))</f>
        <v/>
      </c>
      <c r="CD276" s="21" t="n"/>
      <c r="CE276" s="21" t="n"/>
      <c r="CF276" s="27">
        <f>SUM(CD276:CE276)</f>
        <v/>
      </c>
      <c r="CG276" s="28" t="n"/>
      <c r="CH276" s="31" t="n"/>
      <c r="CI276" s="29">
        <f>IF(AND(CF276=0,CG276=0,CH276=0),0,IF(AND(CF276=0,CG276=0),CH276/1,IF(AND(CF276=0,CH276=0),CG276/1,IF(AND(CG276=0,CH276=0),CF276/1,IF(CF276=0,FLOOR((CG276+CH276)/2,0.1),IF(CG276=0,(CF276+CH276)/2,IF(CH276=0,(CG276+CF276)/2,FLOOR(((CF276+CG276+CH276)/3),0.1))))))))</f>
        <v/>
      </c>
      <c r="CJ276" s="21" t="n"/>
      <c r="CK276" s="21" t="n"/>
      <c r="CL276" s="27">
        <f>SUM(CJ276:CK276)</f>
        <v/>
      </c>
      <c r="CM276" s="28" t="n"/>
      <c r="CN276" s="31" t="n"/>
      <c r="CO276" s="29">
        <f>IF(AND(CL276=0,CM276=0,CN276=0),0,IF(AND(CL276=0,CM276=0),CN276/1,IF(AND(CL276=0,CN276=0),CM276/1,IF(AND(CM276=0,CN276=0),CL276/1,IF(CL276=0,FLOOR((CM276+CN276)/2,0.1),IF(CM276=0,(CL276+CN276)/2,IF(CN276=0,(CM276+CL276)/2,FLOOR(((CL276+CM276+CN276)/3),0.1))))))))</f>
        <v/>
      </c>
      <c r="CP276" s="21" t="n"/>
      <c r="CQ276" s="21" t="n"/>
      <c r="CR276" s="27">
        <f>SUM(CP276:CQ276)</f>
        <v/>
      </c>
      <c r="CS276" s="28" t="n"/>
      <c r="CT276" s="31" t="n"/>
      <c r="CU276" s="29">
        <f>IF(AND(CR276=0,CS276=0,CT276=0),0,IF(AND(CR276=0,CS276=0),CT276/1,IF(AND(CR276=0,CT276=0),CS276/1,IF(AND(CS276=0,CT276=0),CR276/1,IF(CR276=0,FLOOR((CS276+CT276)/2,0.1),IF(CS276=0,(CR276+CT276)/2,IF(CT276=0,(CS276+CR276)/2,FLOOR(((CR276+CS276+CT276)/3),0.1))))))))</f>
        <v/>
      </c>
      <c r="CV276" s="21" t="n"/>
      <c r="CW276" s="21" t="n"/>
      <c r="CX276" s="27">
        <f>SUM(CV276:CW276)</f>
        <v/>
      </c>
      <c r="CY276" s="28" t="n"/>
      <c r="CZ276" s="31" t="n"/>
      <c r="DA276" s="29">
        <f>IF(AND(CX276=0,CY276=0,CZ276=0),0,IF(AND(CX276=0,CY276=0),CZ276/1,IF(AND(CX276=0,CZ276=0),CY276/1,IF(AND(CY276=0,CZ276=0),CX276/1,IF(CX276=0,FLOOR((CY276+CZ276)/2,0.1),IF(CY276=0,(CX276+CZ276)/2,IF(CZ276=0,(CY276+CX276)/2,FLOOR(((CX276+CY276+CZ276)/3),0.1))))))))</f>
        <v/>
      </c>
      <c r="DB276" s="21" t="n"/>
      <c r="DC276" s="21" t="n"/>
      <c r="DD276" s="27">
        <f>SUM(DB276:DC276)</f>
        <v/>
      </c>
      <c r="DE276" s="28" t="n"/>
      <c r="DF276" s="31" t="n"/>
      <c r="DG276" s="29">
        <f>IF(AND(DD276=0,DE276=0,DF276=0),0,IF(AND(DD276=0,DE276=0),DF276/1,IF(AND(DD276=0,DF276=0),DE276/1,IF(AND(DE276=0,DF276=0),DD276/1,IF(DD276=0,FLOOR((DE276+DF276)/2,0.1),IF(DE276=0,(DD276+DF276)/2,IF(DF276=0,(DE276+DD276)/2,FLOOR(((DD276+DE276+DF276)/3),0.1))))))))</f>
        <v/>
      </c>
      <c r="DH276" s="34">
        <f>SUM(O276,U276,AA276,AG276,AM276,AS276,AY276,BE276,BK276,BQ276,BW276,CC276,CI276,CO276,CU276,DA276,DG276)</f>
        <v/>
      </c>
      <c r="DI276" s="39">
        <f>RANK(DH276,DH$4:DH$503)</f>
        <v/>
      </c>
      <c r="DJ276" s="40" t="inlineStr">
        <is>
          <t>CHOOSE RATING</t>
        </is>
      </c>
      <c r="DK276" s="40" t="inlineStr">
        <is>
          <t>CHOOSE RATING</t>
        </is>
      </c>
      <c r="DL276" s="40" t="inlineStr">
        <is>
          <t>CHOOSE RATING</t>
        </is>
      </c>
      <c r="DM276" s="40" t="inlineStr">
        <is>
          <t>CHOOSE RATING</t>
        </is>
      </c>
      <c r="DN276" s="40" t="inlineStr">
        <is>
          <t>CHOOSE RATING</t>
        </is>
      </c>
      <c r="DO276" s="40" t="inlineStr">
        <is>
          <t>CHOOSE RATING</t>
        </is>
      </c>
      <c r="DP276" s="40" t="inlineStr">
        <is>
          <t>CHOOSE RATING</t>
        </is>
      </c>
      <c r="DQ276" s="40" t="inlineStr">
        <is>
          <t>CHOOSE RATING</t>
        </is>
      </c>
      <c r="DR276" s="43" t="inlineStr">
        <is>
          <t>2024/2025</t>
        </is>
      </c>
      <c r="DS276" s="45" t="inlineStr">
        <is>
          <t>THIRD</t>
        </is>
      </c>
      <c r="DT276" s="40" t="inlineStr">
        <is>
          <t>CHOOSE RATING</t>
        </is>
      </c>
      <c r="DU276" s="40" t="inlineStr">
        <is>
          <t>CHOOSE RATING</t>
        </is>
      </c>
      <c r="DV276" s="40" t="inlineStr">
        <is>
          <t>CHOOSE RATING</t>
        </is>
      </c>
      <c r="DW276" s="40" t="inlineStr">
        <is>
          <t>CHOOSE RATING</t>
        </is>
      </c>
      <c r="DX276" s="40" t="inlineStr">
        <is>
          <t>CHOOSE RATING</t>
        </is>
      </c>
      <c r="DY276" s="40" t="inlineStr">
        <is>
          <t>CHOOSE RATING</t>
        </is>
      </c>
      <c r="DZ276" s="53" t="inlineStr">
        <is>
          <t>CHOOSE RATING</t>
        </is>
      </c>
      <c r="EA276" s="54" t="inlineStr">
        <is>
          <t>Add the Tutor's Comment . . .</t>
        </is>
      </c>
      <c r="EB276" s="55" t="inlineStr">
        <is>
          <t>Choose Principals comment</t>
        </is>
      </c>
      <c r="EC276" s="56" t="n"/>
      <c r="ED276" s="57" t="inlineStr">
        <is>
          <t>Next Term Begins on Monday, 22nd September, 2025</t>
        </is>
      </c>
    </row>
    <row r="277" ht="30.6" customHeight="1" s="6">
      <c r="A277" s="18" t="n">
        <v>274</v>
      </c>
      <c r="B277" s="19" t="n"/>
      <c r="C277" s="20" t="n"/>
      <c r="D277" s="128" t="n"/>
      <c r="E277" s="21" t="n"/>
      <c r="F277" s="22" t="n"/>
      <c r="G277" s="22" t="n"/>
      <c r="H277" s="22" t="n"/>
      <c r="I277" s="26">
        <f>G277-H277</f>
        <v/>
      </c>
      <c r="J277" s="21" t="n"/>
      <c r="K277" s="21" t="n"/>
      <c r="L277" s="27">
        <f>SUM(J277:K277)</f>
        <v/>
      </c>
      <c r="M277" s="28" t="n"/>
      <c r="N277" s="28" t="n"/>
      <c r="O277" s="29">
        <f>IF(AND(L277=0,M277=0,N277=0),0,IF(AND(L277=0,M277=0),N277/1,IF(AND(L277=0,N277=0),M277/1,IF(AND(M277=0,N277=0),L277/1,IF(L277=0,FLOOR((M277+N277)/2,0.1),IF(M277=0,(L277+N277)/2,IF(N277=0,(M277+L277)/2,FLOOR(((L277+M277+N277)/3),0.1))))))))</f>
        <v/>
      </c>
      <c r="P277" s="21" t="n"/>
      <c r="Q277" s="21" t="n"/>
      <c r="R277" s="27">
        <f>SUM(P277:Q277)</f>
        <v/>
      </c>
      <c r="S277" s="28" t="n"/>
      <c r="T277" s="28" t="n"/>
      <c r="U277" s="29">
        <f>IF(AND(R277=0,S277=0,T277=0),0,IF(AND(R277=0,S277=0),T277/1,IF(AND(R277=0,T277=0),S277/1,IF(AND(S277=0,T277=0),R277/1,IF(R277=0,FLOOR((S277+T277)/2,0.1),IF(S277=0,(R277+T277)/2,IF(T277=0,(S277+R277)/2,FLOOR(((R277+S277+T277)/3),0.1))))))))</f>
        <v/>
      </c>
      <c r="V277" s="21" t="n"/>
      <c r="W277" s="21" t="n"/>
      <c r="X277" s="27">
        <f>SUM(V277:W277)</f>
        <v/>
      </c>
      <c r="Y277" s="28" t="n"/>
      <c r="Z277" s="28" t="n"/>
      <c r="AA277" s="29">
        <f>IF(AND(X277=0,Y277=0,Z277=0),0,IF(AND(X277=0,Y277=0),Z277/1,IF(AND(X277=0,Z277=0),Y277/1,IF(AND(Y277=0,Z277=0),X277/1,IF(X277=0,FLOOR((Y277+Z277)/2,0.1),IF(Y277=0,(X277+Z277)/2,IF(Z277=0,(Y277+X277)/2,FLOOR(((X277+Y277+Z277)/3),0.1))))))))</f>
        <v/>
      </c>
      <c r="AB277" s="21" t="n"/>
      <c r="AC277" s="21" t="n"/>
      <c r="AD277" s="27">
        <f>SUM(AB277:AC277)</f>
        <v/>
      </c>
      <c r="AE277" s="28" t="n"/>
      <c r="AF277" s="28" t="n"/>
      <c r="AG277" s="29">
        <f>IF(AND(AD277=0,AE277=0,AF277=0),0,IF(AND(AD277=0,AE277=0),AF277/1,IF(AND(AD277=0,AF277=0),AE277/1,IF(AND(AE277=0,AF277=0),AD277/1,IF(AD277=0,FLOOR((AE277+AF277)/2,0.1),IF(AE277=0,(AD277+AF277)/2,IF(AF277=0,(AE277+AD277)/2,FLOOR(((AD277+AE277+AF277)/3),0.1))))))))</f>
        <v/>
      </c>
      <c r="AH277" s="21" t="n"/>
      <c r="AI277" s="21" t="n"/>
      <c r="AJ277" s="27">
        <f>SUM(AH277:AI277)</f>
        <v/>
      </c>
      <c r="AK277" s="28" t="n"/>
      <c r="AL277" s="28" t="n"/>
      <c r="AM277" s="29">
        <f>IF(AND(AJ277=0,AK277=0,AL277=0),0,IF(AND(AJ277=0,AK277=0),AL277/1,IF(AND(AJ277=0,AL277=0),AK277/1,IF(AND(AK277=0,AL277=0),AJ277/1,IF(AJ277=0,FLOOR((AK277+AL277)/2,0.1),IF(AK277=0,(AJ277+AL277)/2,IF(AL277=0,(AK277+AJ277)/2,FLOOR(((AJ277+AK277+AL277)/3),0.1))))))))</f>
        <v/>
      </c>
      <c r="AN277" s="21" t="n"/>
      <c r="AO277" s="21" t="n"/>
      <c r="AP277" s="27">
        <f>SUM(AN277:AO277)</f>
        <v/>
      </c>
      <c r="AQ277" s="28" t="n"/>
      <c r="AR277" s="30" t="n"/>
      <c r="AS277" s="29">
        <f>IF(AND(AP277=0,AQ277=0,AR277=0),0,IF(AND(AP277=0,AQ277=0),AR277/1,IF(AND(AP277=0,AR277=0),AQ277/1,IF(AND(AQ277=0,AR277=0),AP277/1,IF(AP277=0,FLOOR((AQ277+AR277)/2,0.1),IF(AQ277=0,(AP277+AR277)/2,IF(AR277=0,(AQ277+AP277)/2,FLOOR(((AP277+AQ277+AR277)/3),0.1))))))))</f>
        <v/>
      </c>
      <c r="AT277" s="21" t="n"/>
      <c r="AU277" s="21" t="n"/>
      <c r="AV277" s="27">
        <f>SUM(AT277:AU277)</f>
        <v/>
      </c>
      <c r="AW277" s="28" t="n"/>
      <c r="AX277" s="30" t="n"/>
      <c r="AY277" s="29">
        <f>IF(AND(AV277=0,AW277=0,AX277=0),0,IF(AND(AV277=0,AW277=0),AX277/1,IF(AND(AV277=0,AX277=0),AW277/1,IF(AND(AW277=0,AX277=0),AV277/1,IF(AV277=0,FLOOR((AW277+AX277)/2,0.1),IF(AW277=0,(AV277+AX277)/2,IF(AX277=0,(AW277+AV277)/2,FLOOR(((AV277+AW277+AX277)/3),0.1))))))))</f>
        <v/>
      </c>
      <c r="AZ277" s="21" t="n"/>
      <c r="BA277" s="21" t="n"/>
      <c r="BB277" s="27">
        <f>SUM(AZ277:BA277)</f>
        <v/>
      </c>
      <c r="BC277" s="28" t="n"/>
      <c r="BD277" s="28" t="n"/>
      <c r="BE277" s="29">
        <f>IF(AND(BB277=0,BC277=0,BD277=0),0,IF(AND(BB277=0,BC277=0),BD277/1,IF(AND(BB277=0,BD277=0),BC277/1,IF(AND(BC277=0,BD277=0),BB277/1,IF(BB277=0,FLOOR((BC277+BD277)/2,0.1),IF(BC277=0,(BB277+BD277)/2,IF(BD277=0,(BC277+BB277)/2,FLOOR(((BB277+BC277+BD277)/3),0.1))))))))</f>
        <v/>
      </c>
      <c r="BF277" s="21" t="n"/>
      <c r="BG277" s="21" t="n"/>
      <c r="BH277" s="27">
        <f>SUM(BF277:BG277)</f>
        <v/>
      </c>
      <c r="BI277" s="28" t="n"/>
      <c r="BJ277" s="28" t="n"/>
      <c r="BK277" s="29">
        <f>IF(AND(BH277=0,BI277=0,BJ277=0),0,IF(AND(BH277=0,BI277=0),BJ277/1,IF(AND(BH277=0,BJ277=0),BI277/1,IF(AND(BI277=0,BJ277=0),BH277/1,IF(BH277=0,FLOOR((BI277+BJ277)/2,0.1),IF(BI277=0,(BH277+BJ277)/2,IF(BJ277=0,(BI277+BH277)/2,FLOOR(((BH277+BI277+BJ277)/3),0.1))))))))</f>
        <v/>
      </c>
      <c r="BL277" s="21" t="n"/>
      <c r="BM277" s="21" t="n"/>
      <c r="BN277" s="27">
        <f>SUM(BL277:BM277)</f>
        <v/>
      </c>
      <c r="BO277" s="28" t="n"/>
      <c r="BP277" s="31" t="n"/>
      <c r="BQ277" s="29">
        <f>IF(AND(BN277=0,BO277=0,BP277=0),0,IF(AND(BN277=0,BO277=0),BP277/1,IF(AND(BN277=0,BP277=0),BO277/1,IF(AND(BO277=0,BP277=0),BN277/1,IF(BN277=0,FLOOR((BO277+BP277)/2,0.1),IF(BO277=0,(BN277+BP277)/2,IF(BP277=0,(BO277+BN277)/2,FLOOR(((BN277+BO277+BP277)/3),0.1))))))))</f>
        <v/>
      </c>
      <c r="BR277" s="21" t="n"/>
      <c r="BS277" s="21" t="n"/>
      <c r="BT277" s="27">
        <f>SUM(BR277:BS277)</f>
        <v/>
      </c>
      <c r="BU277" s="28" t="n"/>
      <c r="BV277" s="31" t="n"/>
      <c r="BW277" s="29">
        <f>IF(AND(BT277=0,BU277=0,BV277=0),0,IF(AND(BT277=0,BU277=0),BV277/1,IF(AND(BT277=0,BV277=0),BU277/1,IF(AND(BU277=0,BV277=0),BT277/1,IF(BT277=0,FLOOR((BU277+BV277)/2,0.1),IF(BU277=0,(BT277+BV277)/2,IF(BV277=0,(BU277+BT277)/2,FLOOR(((BT277+BU277+BV277)/3),0.1))))))))</f>
        <v/>
      </c>
      <c r="BX277" s="21" t="n"/>
      <c r="BY277" s="21" t="n"/>
      <c r="BZ277" s="27">
        <f>SUM(BX277:BY277)</f>
        <v/>
      </c>
      <c r="CA277" s="28" t="n"/>
      <c r="CB277" s="31" t="n"/>
      <c r="CC277" s="29">
        <f>IF(AND(BZ277=0,CA277=0,CB277=0),0,IF(AND(BZ277=0,CA277=0),CB277/1,IF(AND(BZ277=0,CB277=0),CA277/1,IF(AND(CA277=0,CB277=0),BZ277/1,IF(BZ277=0,FLOOR((CA277+CB277)/2,0.1),IF(CA277=0,(BZ277+CB277)/2,IF(CB277=0,(CA277+BZ277)/2,FLOOR(((BZ277+CA277+CB277)/3),0.1))))))))</f>
        <v/>
      </c>
      <c r="CD277" s="21" t="n"/>
      <c r="CE277" s="21" t="n"/>
      <c r="CF277" s="27">
        <f>SUM(CD277:CE277)</f>
        <v/>
      </c>
      <c r="CG277" s="28" t="n"/>
      <c r="CH277" s="31" t="n"/>
      <c r="CI277" s="29">
        <f>IF(AND(CF277=0,CG277=0,CH277=0),0,IF(AND(CF277=0,CG277=0),CH277/1,IF(AND(CF277=0,CH277=0),CG277/1,IF(AND(CG277=0,CH277=0),CF277/1,IF(CF277=0,FLOOR((CG277+CH277)/2,0.1),IF(CG277=0,(CF277+CH277)/2,IF(CH277=0,(CG277+CF277)/2,FLOOR(((CF277+CG277+CH277)/3),0.1))))))))</f>
        <v/>
      </c>
      <c r="CJ277" s="21" t="n"/>
      <c r="CK277" s="21" t="n"/>
      <c r="CL277" s="27">
        <f>SUM(CJ277:CK277)</f>
        <v/>
      </c>
      <c r="CM277" s="28" t="n"/>
      <c r="CN277" s="31" t="n"/>
      <c r="CO277" s="29">
        <f>IF(AND(CL277=0,CM277=0,CN277=0),0,IF(AND(CL277=0,CM277=0),CN277/1,IF(AND(CL277=0,CN277=0),CM277/1,IF(AND(CM277=0,CN277=0),CL277/1,IF(CL277=0,FLOOR((CM277+CN277)/2,0.1),IF(CM277=0,(CL277+CN277)/2,IF(CN277=0,(CM277+CL277)/2,FLOOR(((CL277+CM277+CN277)/3),0.1))))))))</f>
        <v/>
      </c>
      <c r="CP277" s="21" t="n"/>
      <c r="CQ277" s="21" t="n"/>
      <c r="CR277" s="27">
        <f>SUM(CP277:CQ277)</f>
        <v/>
      </c>
      <c r="CS277" s="28" t="n"/>
      <c r="CT277" s="31" t="n"/>
      <c r="CU277" s="29">
        <f>IF(AND(CR277=0,CS277=0,CT277=0),0,IF(AND(CR277=0,CS277=0),CT277/1,IF(AND(CR277=0,CT277=0),CS277/1,IF(AND(CS277=0,CT277=0),CR277/1,IF(CR277=0,FLOOR((CS277+CT277)/2,0.1),IF(CS277=0,(CR277+CT277)/2,IF(CT277=0,(CS277+CR277)/2,FLOOR(((CR277+CS277+CT277)/3),0.1))))))))</f>
        <v/>
      </c>
      <c r="CV277" s="21" t="n"/>
      <c r="CW277" s="21" t="n"/>
      <c r="CX277" s="27">
        <f>SUM(CV277:CW277)</f>
        <v/>
      </c>
      <c r="CY277" s="28" t="n"/>
      <c r="CZ277" s="31" t="n"/>
      <c r="DA277" s="29">
        <f>IF(AND(CX277=0,CY277=0,CZ277=0),0,IF(AND(CX277=0,CY277=0),CZ277/1,IF(AND(CX277=0,CZ277=0),CY277/1,IF(AND(CY277=0,CZ277=0),CX277/1,IF(CX277=0,FLOOR((CY277+CZ277)/2,0.1),IF(CY277=0,(CX277+CZ277)/2,IF(CZ277=0,(CY277+CX277)/2,FLOOR(((CX277+CY277+CZ277)/3),0.1))))))))</f>
        <v/>
      </c>
      <c r="DB277" s="21" t="n"/>
      <c r="DC277" s="21" t="n"/>
      <c r="DD277" s="27">
        <f>SUM(DB277:DC277)</f>
        <v/>
      </c>
      <c r="DE277" s="28" t="n"/>
      <c r="DF277" s="31" t="n"/>
      <c r="DG277" s="29">
        <f>IF(AND(DD277=0,DE277=0,DF277=0),0,IF(AND(DD277=0,DE277=0),DF277/1,IF(AND(DD277=0,DF277=0),DE277/1,IF(AND(DE277=0,DF277=0),DD277/1,IF(DD277=0,FLOOR((DE277+DF277)/2,0.1),IF(DE277=0,(DD277+DF277)/2,IF(DF277=0,(DE277+DD277)/2,FLOOR(((DD277+DE277+DF277)/3),0.1))))))))</f>
        <v/>
      </c>
      <c r="DH277" s="34">
        <f>SUM(O277,U277,AA277,AG277,AM277,AS277,AY277,BE277,BK277,BQ277,BW277,CC277,CI277,CO277,CU277,DA277,DG277)</f>
        <v/>
      </c>
      <c r="DI277" s="39">
        <f>RANK(DH277,DH$4:DH$503)</f>
        <v/>
      </c>
      <c r="DJ277" s="40" t="inlineStr">
        <is>
          <t>CHOOSE RATING</t>
        </is>
      </c>
      <c r="DK277" s="40" t="inlineStr">
        <is>
          <t>CHOOSE RATING</t>
        </is>
      </c>
      <c r="DL277" s="40" t="inlineStr">
        <is>
          <t>CHOOSE RATING</t>
        </is>
      </c>
      <c r="DM277" s="40" t="inlineStr">
        <is>
          <t>CHOOSE RATING</t>
        </is>
      </c>
      <c r="DN277" s="40" t="inlineStr">
        <is>
          <t>CHOOSE RATING</t>
        </is>
      </c>
      <c r="DO277" s="40" t="inlineStr">
        <is>
          <t>CHOOSE RATING</t>
        </is>
      </c>
      <c r="DP277" s="40" t="inlineStr">
        <is>
          <t>CHOOSE RATING</t>
        </is>
      </c>
      <c r="DQ277" s="40" t="inlineStr">
        <is>
          <t>CHOOSE RATING</t>
        </is>
      </c>
      <c r="DR277" s="43" t="inlineStr">
        <is>
          <t>2024/2025</t>
        </is>
      </c>
      <c r="DS277" s="45" t="inlineStr">
        <is>
          <t>THIRD</t>
        </is>
      </c>
      <c r="DT277" s="40" t="inlineStr">
        <is>
          <t>CHOOSE RATING</t>
        </is>
      </c>
      <c r="DU277" s="40" t="inlineStr">
        <is>
          <t>CHOOSE RATING</t>
        </is>
      </c>
      <c r="DV277" s="40" t="inlineStr">
        <is>
          <t>CHOOSE RATING</t>
        </is>
      </c>
      <c r="DW277" s="40" t="inlineStr">
        <is>
          <t>CHOOSE RATING</t>
        </is>
      </c>
      <c r="DX277" s="40" t="inlineStr">
        <is>
          <t>CHOOSE RATING</t>
        </is>
      </c>
      <c r="DY277" s="40" t="inlineStr">
        <is>
          <t>CHOOSE RATING</t>
        </is>
      </c>
      <c r="DZ277" s="53" t="inlineStr">
        <is>
          <t>CHOOSE RATING</t>
        </is>
      </c>
      <c r="EA277" s="54" t="inlineStr">
        <is>
          <t>Add the Tutor's Comment . . .</t>
        </is>
      </c>
      <c r="EB277" s="55" t="inlineStr">
        <is>
          <t>Choose Principals comment</t>
        </is>
      </c>
      <c r="EC277" s="56" t="n"/>
      <c r="ED277" s="57" t="inlineStr">
        <is>
          <t>Next Term Begins on Monday, 22nd September, 2025</t>
        </is>
      </c>
    </row>
    <row r="278" ht="30.6" customHeight="1" s="6">
      <c r="A278" s="18" t="n">
        <v>275</v>
      </c>
      <c r="B278" s="19" t="n"/>
      <c r="C278" s="20" t="n"/>
      <c r="D278" s="128" t="n"/>
      <c r="E278" s="21" t="n"/>
      <c r="F278" s="22" t="n"/>
      <c r="G278" s="22" t="n"/>
      <c r="H278" s="22" t="n"/>
      <c r="I278" s="26">
        <f>G278-H278</f>
        <v/>
      </c>
      <c r="J278" s="21" t="n"/>
      <c r="K278" s="21" t="n"/>
      <c r="L278" s="27">
        <f>SUM(J278:K278)</f>
        <v/>
      </c>
      <c r="M278" s="28" t="n"/>
      <c r="N278" s="28" t="n"/>
      <c r="O278" s="29">
        <f>IF(AND(L278=0,M278=0,N278=0),0,IF(AND(L278=0,M278=0),N278/1,IF(AND(L278=0,N278=0),M278/1,IF(AND(M278=0,N278=0),L278/1,IF(L278=0,FLOOR((M278+N278)/2,0.1),IF(M278=0,(L278+N278)/2,IF(N278=0,(M278+L278)/2,FLOOR(((L278+M278+N278)/3),0.1))))))))</f>
        <v/>
      </c>
      <c r="P278" s="21" t="n"/>
      <c r="Q278" s="21" t="n"/>
      <c r="R278" s="27">
        <f>SUM(P278:Q278)</f>
        <v/>
      </c>
      <c r="S278" s="28" t="n"/>
      <c r="T278" s="28" t="n"/>
      <c r="U278" s="29">
        <f>IF(AND(R278=0,S278=0,T278=0),0,IF(AND(R278=0,S278=0),T278/1,IF(AND(R278=0,T278=0),S278/1,IF(AND(S278=0,T278=0),R278/1,IF(R278=0,FLOOR((S278+T278)/2,0.1),IF(S278=0,(R278+T278)/2,IF(T278=0,(S278+R278)/2,FLOOR(((R278+S278+T278)/3),0.1))))))))</f>
        <v/>
      </c>
      <c r="V278" s="21" t="n"/>
      <c r="W278" s="21" t="n"/>
      <c r="X278" s="27">
        <f>SUM(V278:W278)</f>
        <v/>
      </c>
      <c r="Y278" s="28" t="n"/>
      <c r="Z278" s="28" t="n"/>
      <c r="AA278" s="29">
        <f>IF(AND(X278=0,Y278=0,Z278=0),0,IF(AND(X278=0,Y278=0),Z278/1,IF(AND(X278=0,Z278=0),Y278/1,IF(AND(Y278=0,Z278=0),X278/1,IF(X278=0,FLOOR((Y278+Z278)/2,0.1),IF(Y278=0,(X278+Z278)/2,IF(Z278=0,(Y278+X278)/2,FLOOR(((X278+Y278+Z278)/3),0.1))))))))</f>
        <v/>
      </c>
      <c r="AB278" s="21" t="n"/>
      <c r="AC278" s="21" t="n"/>
      <c r="AD278" s="27">
        <f>SUM(AB278:AC278)</f>
        <v/>
      </c>
      <c r="AE278" s="28" t="n"/>
      <c r="AF278" s="28" t="n"/>
      <c r="AG278" s="29">
        <f>IF(AND(AD278=0,AE278=0,AF278=0),0,IF(AND(AD278=0,AE278=0),AF278/1,IF(AND(AD278=0,AF278=0),AE278/1,IF(AND(AE278=0,AF278=0),AD278/1,IF(AD278=0,FLOOR((AE278+AF278)/2,0.1),IF(AE278=0,(AD278+AF278)/2,IF(AF278=0,(AE278+AD278)/2,FLOOR(((AD278+AE278+AF278)/3),0.1))))))))</f>
        <v/>
      </c>
      <c r="AH278" s="21" t="n"/>
      <c r="AI278" s="21" t="n"/>
      <c r="AJ278" s="27">
        <f>SUM(AH278:AI278)</f>
        <v/>
      </c>
      <c r="AK278" s="28" t="n"/>
      <c r="AL278" s="28" t="n"/>
      <c r="AM278" s="29">
        <f>IF(AND(AJ278=0,AK278=0,AL278=0),0,IF(AND(AJ278=0,AK278=0),AL278/1,IF(AND(AJ278=0,AL278=0),AK278/1,IF(AND(AK278=0,AL278=0),AJ278/1,IF(AJ278=0,FLOOR((AK278+AL278)/2,0.1),IF(AK278=0,(AJ278+AL278)/2,IF(AL278=0,(AK278+AJ278)/2,FLOOR(((AJ278+AK278+AL278)/3),0.1))))))))</f>
        <v/>
      </c>
      <c r="AN278" s="21" t="n"/>
      <c r="AO278" s="21" t="n"/>
      <c r="AP278" s="27">
        <f>SUM(AN278:AO278)</f>
        <v/>
      </c>
      <c r="AQ278" s="28" t="n"/>
      <c r="AR278" s="30" t="n"/>
      <c r="AS278" s="29">
        <f>IF(AND(AP278=0,AQ278=0,AR278=0),0,IF(AND(AP278=0,AQ278=0),AR278/1,IF(AND(AP278=0,AR278=0),AQ278/1,IF(AND(AQ278=0,AR278=0),AP278/1,IF(AP278=0,FLOOR((AQ278+AR278)/2,0.1),IF(AQ278=0,(AP278+AR278)/2,IF(AR278=0,(AQ278+AP278)/2,FLOOR(((AP278+AQ278+AR278)/3),0.1))))))))</f>
        <v/>
      </c>
      <c r="AT278" s="21" t="n"/>
      <c r="AU278" s="21" t="n"/>
      <c r="AV278" s="27">
        <f>SUM(AT278:AU278)</f>
        <v/>
      </c>
      <c r="AW278" s="28" t="n"/>
      <c r="AX278" s="30" t="n"/>
      <c r="AY278" s="29">
        <f>IF(AND(AV278=0,AW278=0,AX278=0),0,IF(AND(AV278=0,AW278=0),AX278/1,IF(AND(AV278=0,AX278=0),AW278/1,IF(AND(AW278=0,AX278=0),AV278/1,IF(AV278=0,FLOOR((AW278+AX278)/2,0.1),IF(AW278=0,(AV278+AX278)/2,IF(AX278=0,(AW278+AV278)/2,FLOOR(((AV278+AW278+AX278)/3),0.1))))))))</f>
        <v/>
      </c>
      <c r="AZ278" s="21" t="n"/>
      <c r="BA278" s="21" t="n"/>
      <c r="BB278" s="27">
        <f>SUM(AZ278:BA278)</f>
        <v/>
      </c>
      <c r="BC278" s="28" t="n"/>
      <c r="BD278" s="28" t="n"/>
      <c r="BE278" s="29">
        <f>IF(AND(BB278=0,BC278=0,BD278=0),0,IF(AND(BB278=0,BC278=0),BD278/1,IF(AND(BB278=0,BD278=0),BC278/1,IF(AND(BC278=0,BD278=0),BB278/1,IF(BB278=0,FLOOR((BC278+BD278)/2,0.1),IF(BC278=0,(BB278+BD278)/2,IF(BD278=0,(BC278+BB278)/2,FLOOR(((BB278+BC278+BD278)/3),0.1))))))))</f>
        <v/>
      </c>
      <c r="BF278" s="21" t="n"/>
      <c r="BG278" s="21" t="n"/>
      <c r="BH278" s="27">
        <f>SUM(BF278:BG278)</f>
        <v/>
      </c>
      <c r="BI278" s="28" t="n"/>
      <c r="BJ278" s="28" t="n"/>
      <c r="BK278" s="29">
        <f>IF(AND(BH278=0,BI278=0,BJ278=0),0,IF(AND(BH278=0,BI278=0),BJ278/1,IF(AND(BH278=0,BJ278=0),BI278/1,IF(AND(BI278=0,BJ278=0),BH278/1,IF(BH278=0,FLOOR((BI278+BJ278)/2,0.1),IF(BI278=0,(BH278+BJ278)/2,IF(BJ278=0,(BI278+BH278)/2,FLOOR(((BH278+BI278+BJ278)/3),0.1))))))))</f>
        <v/>
      </c>
      <c r="BL278" s="21" t="n"/>
      <c r="BM278" s="21" t="n"/>
      <c r="BN278" s="27">
        <f>SUM(BL278:BM278)</f>
        <v/>
      </c>
      <c r="BO278" s="28" t="n"/>
      <c r="BP278" s="31" t="n"/>
      <c r="BQ278" s="29">
        <f>IF(AND(BN278=0,BO278=0,BP278=0),0,IF(AND(BN278=0,BO278=0),BP278/1,IF(AND(BN278=0,BP278=0),BO278/1,IF(AND(BO278=0,BP278=0),BN278/1,IF(BN278=0,FLOOR((BO278+BP278)/2,0.1),IF(BO278=0,(BN278+BP278)/2,IF(BP278=0,(BO278+BN278)/2,FLOOR(((BN278+BO278+BP278)/3),0.1))))))))</f>
        <v/>
      </c>
      <c r="BR278" s="21" t="n"/>
      <c r="BS278" s="21" t="n"/>
      <c r="BT278" s="27">
        <f>SUM(BR278:BS278)</f>
        <v/>
      </c>
      <c r="BU278" s="28" t="n"/>
      <c r="BV278" s="31" t="n"/>
      <c r="BW278" s="29">
        <f>IF(AND(BT278=0,BU278=0,BV278=0),0,IF(AND(BT278=0,BU278=0),BV278/1,IF(AND(BT278=0,BV278=0),BU278/1,IF(AND(BU278=0,BV278=0),BT278/1,IF(BT278=0,FLOOR((BU278+BV278)/2,0.1),IF(BU278=0,(BT278+BV278)/2,IF(BV278=0,(BU278+BT278)/2,FLOOR(((BT278+BU278+BV278)/3),0.1))))))))</f>
        <v/>
      </c>
      <c r="BX278" s="21" t="n"/>
      <c r="BY278" s="21" t="n"/>
      <c r="BZ278" s="27">
        <f>SUM(BX278:BY278)</f>
        <v/>
      </c>
      <c r="CA278" s="28" t="n"/>
      <c r="CB278" s="31" t="n"/>
      <c r="CC278" s="29">
        <f>IF(AND(BZ278=0,CA278=0,CB278=0),0,IF(AND(BZ278=0,CA278=0),CB278/1,IF(AND(BZ278=0,CB278=0),CA278/1,IF(AND(CA278=0,CB278=0),BZ278/1,IF(BZ278=0,FLOOR((CA278+CB278)/2,0.1),IF(CA278=0,(BZ278+CB278)/2,IF(CB278=0,(CA278+BZ278)/2,FLOOR(((BZ278+CA278+CB278)/3),0.1))))))))</f>
        <v/>
      </c>
      <c r="CD278" s="21" t="n"/>
      <c r="CE278" s="21" t="n"/>
      <c r="CF278" s="27">
        <f>SUM(CD278:CE278)</f>
        <v/>
      </c>
      <c r="CG278" s="28" t="n"/>
      <c r="CH278" s="31" t="n"/>
      <c r="CI278" s="29">
        <f>IF(AND(CF278=0,CG278=0,CH278=0),0,IF(AND(CF278=0,CG278=0),CH278/1,IF(AND(CF278=0,CH278=0),CG278/1,IF(AND(CG278=0,CH278=0),CF278/1,IF(CF278=0,FLOOR((CG278+CH278)/2,0.1),IF(CG278=0,(CF278+CH278)/2,IF(CH278=0,(CG278+CF278)/2,FLOOR(((CF278+CG278+CH278)/3),0.1))))))))</f>
        <v/>
      </c>
      <c r="CJ278" s="21" t="n"/>
      <c r="CK278" s="21" t="n"/>
      <c r="CL278" s="27">
        <f>SUM(CJ278:CK278)</f>
        <v/>
      </c>
      <c r="CM278" s="28" t="n"/>
      <c r="CN278" s="31" t="n"/>
      <c r="CO278" s="29">
        <f>IF(AND(CL278=0,CM278=0,CN278=0),0,IF(AND(CL278=0,CM278=0),CN278/1,IF(AND(CL278=0,CN278=0),CM278/1,IF(AND(CM278=0,CN278=0),CL278/1,IF(CL278=0,FLOOR((CM278+CN278)/2,0.1),IF(CM278=0,(CL278+CN278)/2,IF(CN278=0,(CM278+CL278)/2,FLOOR(((CL278+CM278+CN278)/3),0.1))))))))</f>
        <v/>
      </c>
      <c r="CP278" s="21" t="n"/>
      <c r="CQ278" s="21" t="n"/>
      <c r="CR278" s="27">
        <f>SUM(CP278:CQ278)</f>
        <v/>
      </c>
      <c r="CS278" s="28" t="n"/>
      <c r="CT278" s="31" t="n"/>
      <c r="CU278" s="29">
        <f>IF(AND(CR278=0,CS278=0,CT278=0),0,IF(AND(CR278=0,CS278=0),CT278/1,IF(AND(CR278=0,CT278=0),CS278/1,IF(AND(CS278=0,CT278=0),CR278/1,IF(CR278=0,FLOOR((CS278+CT278)/2,0.1),IF(CS278=0,(CR278+CT278)/2,IF(CT278=0,(CS278+CR278)/2,FLOOR(((CR278+CS278+CT278)/3),0.1))))))))</f>
        <v/>
      </c>
      <c r="CV278" s="21" t="n"/>
      <c r="CW278" s="21" t="n"/>
      <c r="CX278" s="27">
        <f>SUM(CV278:CW278)</f>
        <v/>
      </c>
      <c r="CY278" s="28" t="n"/>
      <c r="CZ278" s="31" t="n"/>
      <c r="DA278" s="29">
        <f>IF(AND(CX278=0,CY278=0,CZ278=0),0,IF(AND(CX278=0,CY278=0),CZ278/1,IF(AND(CX278=0,CZ278=0),CY278/1,IF(AND(CY278=0,CZ278=0),CX278/1,IF(CX278=0,FLOOR((CY278+CZ278)/2,0.1),IF(CY278=0,(CX278+CZ278)/2,IF(CZ278=0,(CY278+CX278)/2,FLOOR(((CX278+CY278+CZ278)/3),0.1))))))))</f>
        <v/>
      </c>
      <c r="DB278" s="21" t="n"/>
      <c r="DC278" s="21" t="n"/>
      <c r="DD278" s="27">
        <f>SUM(DB278:DC278)</f>
        <v/>
      </c>
      <c r="DE278" s="28" t="n"/>
      <c r="DF278" s="31" t="n"/>
      <c r="DG278" s="29">
        <f>IF(AND(DD278=0,DE278=0,DF278=0),0,IF(AND(DD278=0,DE278=0),DF278/1,IF(AND(DD278=0,DF278=0),DE278/1,IF(AND(DE278=0,DF278=0),DD278/1,IF(DD278=0,FLOOR((DE278+DF278)/2,0.1),IF(DE278=0,(DD278+DF278)/2,IF(DF278=0,(DE278+DD278)/2,FLOOR(((DD278+DE278+DF278)/3),0.1))))))))</f>
        <v/>
      </c>
      <c r="DH278" s="34">
        <f>SUM(O278,U278,AA278,AG278,AM278,AS278,AY278,BE278,BK278,BQ278,BW278,CC278,CI278,CO278,CU278,DA278,DG278)</f>
        <v/>
      </c>
      <c r="DI278" s="39">
        <f>RANK(DH278,DH$4:DH$503)</f>
        <v/>
      </c>
      <c r="DJ278" s="40" t="inlineStr">
        <is>
          <t>CHOOSE RATING</t>
        </is>
      </c>
      <c r="DK278" s="40" t="inlineStr">
        <is>
          <t>CHOOSE RATING</t>
        </is>
      </c>
      <c r="DL278" s="40" t="inlineStr">
        <is>
          <t>CHOOSE RATING</t>
        </is>
      </c>
      <c r="DM278" s="40" t="inlineStr">
        <is>
          <t>CHOOSE RATING</t>
        </is>
      </c>
      <c r="DN278" s="40" t="inlineStr">
        <is>
          <t>CHOOSE RATING</t>
        </is>
      </c>
      <c r="DO278" s="40" t="inlineStr">
        <is>
          <t>CHOOSE RATING</t>
        </is>
      </c>
      <c r="DP278" s="40" t="inlineStr">
        <is>
          <t>CHOOSE RATING</t>
        </is>
      </c>
      <c r="DQ278" s="40" t="inlineStr">
        <is>
          <t>CHOOSE RATING</t>
        </is>
      </c>
      <c r="DR278" s="43" t="inlineStr">
        <is>
          <t>2024/2025</t>
        </is>
      </c>
      <c r="DS278" s="45" t="inlineStr">
        <is>
          <t>THIRD</t>
        </is>
      </c>
      <c r="DT278" s="40" t="inlineStr">
        <is>
          <t>CHOOSE RATING</t>
        </is>
      </c>
      <c r="DU278" s="40" t="inlineStr">
        <is>
          <t>CHOOSE RATING</t>
        </is>
      </c>
      <c r="DV278" s="40" t="inlineStr">
        <is>
          <t>CHOOSE RATING</t>
        </is>
      </c>
      <c r="DW278" s="40" t="inlineStr">
        <is>
          <t>CHOOSE RATING</t>
        </is>
      </c>
      <c r="DX278" s="40" t="inlineStr">
        <is>
          <t>CHOOSE RATING</t>
        </is>
      </c>
      <c r="DY278" s="40" t="inlineStr">
        <is>
          <t>CHOOSE RATING</t>
        </is>
      </c>
      <c r="DZ278" s="53" t="inlineStr">
        <is>
          <t>CHOOSE RATING</t>
        </is>
      </c>
      <c r="EA278" s="54" t="inlineStr">
        <is>
          <t>Add the Tutor's Comment . . .</t>
        </is>
      </c>
      <c r="EB278" s="55" t="inlineStr">
        <is>
          <t>Choose Principals comment</t>
        </is>
      </c>
      <c r="EC278" s="56" t="n"/>
      <c r="ED278" s="57" t="inlineStr">
        <is>
          <t>Next Term Begins on Monday, 22nd September, 2025</t>
        </is>
      </c>
    </row>
    <row r="279" ht="30.6" customHeight="1" s="6">
      <c r="A279" s="18" t="n">
        <v>276</v>
      </c>
      <c r="B279" s="19" t="n"/>
      <c r="C279" s="20" t="n"/>
      <c r="D279" s="128" t="n"/>
      <c r="E279" s="21" t="n"/>
      <c r="F279" s="22" t="n"/>
      <c r="G279" s="22" t="n"/>
      <c r="H279" s="22" t="n"/>
      <c r="I279" s="26">
        <f>G279-H279</f>
        <v/>
      </c>
      <c r="J279" s="21" t="n"/>
      <c r="K279" s="21" t="n"/>
      <c r="L279" s="27">
        <f>SUM(J279:K279)</f>
        <v/>
      </c>
      <c r="M279" s="28" t="n"/>
      <c r="N279" s="28" t="n"/>
      <c r="O279" s="29">
        <f>IF(AND(L279=0,M279=0,N279=0),0,IF(AND(L279=0,M279=0),N279/1,IF(AND(L279=0,N279=0),M279/1,IF(AND(M279=0,N279=0),L279/1,IF(L279=0,FLOOR((M279+N279)/2,0.1),IF(M279=0,(L279+N279)/2,IF(N279=0,(M279+L279)/2,FLOOR(((L279+M279+N279)/3),0.1))))))))</f>
        <v/>
      </c>
      <c r="P279" s="21" t="n"/>
      <c r="Q279" s="21" t="n"/>
      <c r="R279" s="27">
        <f>SUM(P279:Q279)</f>
        <v/>
      </c>
      <c r="S279" s="28" t="n"/>
      <c r="T279" s="28" t="n"/>
      <c r="U279" s="29">
        <f>IF(AND(R279=0,S279=0,T279=0),0,IF(AND(R279=0,S279=0),T279/1,IF(AND(R279=0,T279=0),S279/1,IF(AND(S279=0,T279=0),R279/1,IF(R279=0,FLOOR((S279+T279)/2,0.1),IF(S279=0,(R279+T279)/2,IF(T279=0,(S279+R279)/2,FLOOR(((R279+S279+T279)/3),0.1))))))))</f>
        <v/>
      </c>
      <c r="V279" s="21" t="n"/>
      <c r="W279" s="21" t="n"/>
      <c r="X279" s="27">
        <f>SUM(V279:W279)</f>
        <v/>
      </c>
      <c r="Y279" s="28" t="n"/>
      <c r="Z279" s="28" t="n"/>
      <c r="AA279" s="29">
        <f>IF(AND(X279=0,Y279=0,Z279=0),0,IF(AND(X279=0,Y279=0),Z279/1,IF(AND(X279=0,Z279=0),Y279/1,IF(AND(Y279=0,Z279=0),X279/1,IF(X279=0,FLOOR((Y279+Z279)/2,0.1),IF(Y279=0,(X279+Z279)/2,IF(Z279=0,(Y279+X279)/2,FLOOR(((X279+Y279+Z279)/3),0.1))))))))</f>
        <v/>
      </c>
      <c r="AB279" s="21" t="n"/>
      <c r="AC279" s="21" t="n"/>
      <c r="AD279" s="27">
        <f>SUM(AB279:AC279)</f>
        <v/>
      </c>
      <c r="AE279" s="28" t="n"/>
      <c r="AF279" s="28" t="n"/>
      <c r="AG279" s="29">
        <f>IF(AND(AD279=0,AE279=0,AF279=0),0,IF(AND(AD279=0,AE279=0),AF279/1,IF(AND(AD279=0,AF279=0),AE279/1,IF(AND(AE279=0,AF279=0),AD279/1,IF(AD279=0,FLOOR((AE279+AF279)/2,0.1),IF(AE279=0,(AD279+AF279)/2,IF(AF279=0,(AE279+AD279)/2,FLOOR(((AD279+AE279+AF279)/3),0.1))))))))</f>
        <v/>
      </c>
      <c r="AH279" s="21" t="n"/>
      <c r="AI279" s="21" t="n"/>
      <c r="AJ279" s="27">
        <f>SUM(AH279:AI279)</f>
        <v/>
      </c>
      <c r="AK279" s="28" t="n"/>
      <c r="AL279" s="28" t="n"/>
      <c r="AM279" s="29">
        <f>IF(AND(AJ279=0,AK279=0,AL279=0),0,IF(AND(AJ279=0,AK279=0),AL279/1,IF(AND(AJ279=0,AL279=0),AK279/1,IF(AND(AK279=0,AL279=0),AJ279/1,IF(AJ279=0,FLOOR((AK279+AL279)/2,0.1),IF(AK279=0,(AJ279+AL279)/2,IF(AL279=0,(AK279+AJ279)/2,FLOOR(((AJ279+AK279+AL279)/3),0.1))))))))</f>
        <v/>
      </c>
      <c r="AN279" s="21" t="n"/>
      <c r="AO279" s="21" t="n"/>
      <c r="AP279" s="27">
        <f>SUM(AN279:AO279)</f>
        <v/>
      </c>
      <c r="AQ279" s="28" t="n"/>
      <c r="AR279" s="30" t="n"/>
      <c r="AS279" s="29">
        <f>IF(AND(AP279=0,AQ279=0,AR279=0),0,IF(AND(AP279=0,AQ279=0),AR279/1,IF(AND(AP279=0,AR279=0),AQ279/1,IF(AND(AQ279=0,AR279=0),AP279/1,IF(AP279=0,FLOOR((AQ279+AR279)/2,0.1),IF(AQ279=0,(AP279+AR279)/2,IF(AR279=0,(AQ279+AP279)/2,FLOOR(((AP279+AQ279+AR279)/3),0.1))))))))</f>
        <v/>
      </c>
      <c r="AT279" s="21" t="n"/>
      <c r="AU279" s="21" t="n"/>
      <c r="AV279" s="27">
        <f>SUM(AT279:AU279)</f>
        <v/>
      </c>
      <c r="AW279" s="28" t="n"/>
      <c r="AX279" s="30" t="n"/>
      <c r="AY279" s="29">
        <f>IF(AND(AV279=0,AW279=0,AX279=0),0,IF(AND(AV279=0,AW279=0),AX279/1,IF(AND(AV279=0,AX279=0),AW279/1,IF(AND(AW279=0,AX279=0),AV279/1,IF(AV279=0,FLOOR((AW279+AX279)/2,0.1),IF(AW279=0,(AV279+AX279)/2,IF(AX279=0,(AW279+AV279)/2,FLOOR(((AV279+AW279+AX279)/3),0.1))))))))</f>
        <v/>
      </c>
      <c r="AZ279" s="21" t="n"/>
      <c r="BA279" s="21" t="n"/>
      <c r="BB279" s="27">
        <f>SUM(AZ279:BA279)</f>
        <v/>
      </c>
      <c r="BC279" s="28" t="n"/>
      <c r="BD279" s="28" t="n"/>
      <c r="BE279" s="29">
        <f>IF(AND(BB279=0,BC279=0,BD279=0),0,IF(AND(BB279=0,BC279=0),BD279/1,IF(AND(BB279=0,BD279=0),BC279/1,IF(AND(BC279=0,BD279=0),BB279/1,IF(BB279=0,FLOOR((BC279+BD279)/2,0.1),IF(BC279=0,(BB279+BD279)/2,IF(BD279=0,(BC279+BB279)/2,FLOOR(((BB279+BC279+BD279)/3),0.1))))))))</f>
        <v/>
      </c>
      <c r="BF279" s="21" t="n"/>
      <c r="BG279" s="21" t="n"/>
      <c r="BH279" s="27">
        <f>SUM(BF279:BG279)</f>
        <v/>
      </c>
      <c r="BI279" s="28" t="n"/>
      <c r="BJ279" s="28" t="n"/>
      <c r="BK279" s="29">
        <f>IF(AND(BH279=0,BI279=0,BJ279=0),0,IF(AND(BH279=0,BI279=0),BJ279/1,IF(AND(BH279=0,BJ279=0),BI279/1,IF(AND(BI279=0,BJ279=0),BH279/1,IF(BH279=0,FLOOR((BI279+BJ279)/2,0.1),IF(BI279=0,(BH279+BJ279)/2,IF(BJ279=0,(BI279+BH279)/2,FLOOR(((BH279+BI279+BJ279)/3),0.1))))))))</f>
        <v/>
      </c>
      <c r="BL279" s="21" t="n"/>
      <c r="BM279" s="21" t="n"/>
      <c r="BN279" s="27">
        <f>SUM(BL279:BM279)</f>
        <v/>
      </c>
      <c r="BO279" s="28" t="n"/>
      <c r="BP279" s="31" t="n"/>
      <c r="BQ279" s="29">
        <f>IF(AND(BN279=0,BO279=0,BP279=0),0,IF(AND(BN279=0,BO279=0),BP279/1,IF(AND(BN279=0,BP279=0),BO279/1,IF(AND(BO279=0,BP279=0),BN279/1,IF(BN279=0,FLOOR((BO279+BP279)/2,0.1),IF(BO279=0,(BN279+BP279)/2,IF(BP279=0,(BO279+BN279)/2,FLOOR(((BN279+BO279+BP279)/3),0.1))))))))</f>
        <v/>
      </c>
      <c r="BR279" s="21" t="n"/>
      <c r="BS279" s="21" t="n"/>
      <c r="BT279" s="27">
        <f>SUM(BR279:BS279)</f>
        <v/>
      </c>
      <c r="BU279" s="28" t="n"/>
      <c r="BV279" s="31" t="n"/>
      <c r="BW279" s="29">
        <f>IF(AND(BT279=0,BU279=0,BV279=0),0,IF(AND(BT279=0,BU279=0),BV279/1,IF(AND(BT279=0,BV279=0),BU279/1,IF(AND(BU279=0,BV279=0),BT279/1,IF(BT279=0,FLOOR((BU279+BV279)/2,0.1),IF(BU279=0,(BT279+BV279)/2,IF(BV279=0,(BU279+BT279)/2,FLOOR(((BT279+BU279+BV279)/3),0.1))))))))</f>
        <v/>
      </c>
      <c r="BX279" s="21" t="n"/>
      <c r="BY279" s="21" t="n"/>
      <c r="BZ279" s="27">
        <f>SUM(BX279:BY279)</f>
        <v/>
      </c>
      <c r="CA279" s="28" t="n"/>
      <c r="CB279" s="31" t="n"/>
      <c r="CC279" s="29">
        <f>IF(AND(BZ279=0,CA279=0,CB279=0),0,IF(AND(BZ279=0,CA279=0),CB279/1,IF(AND(BZ279=0,CB279=0),CA279/1,IF(AND(CA279=0,CB279=0),BZ279/1,IF(BZ279=0,FLOOR((CA279+CB279)/2,0.1),IF(CA279=0,(BZ279+CB279)/2,IF(CB279=0,(CA279+BZ279)/2,FLOOR(((BZ279+CA279+CB279)/3),0.1))))))))</f>
        <v/>
      </c>
      <c r="CD279" s="21" t="n"/>
      <c r="CE279" s="21" t="n"/>
      <c r="CF279" s="27">
        <f>SUM(CD279:CE279)</f>
        <v/>
      </c>
      <c r="CG279" s="28" t="n"/>
      <c r="CH279" s="31" t="n"/>
      <c r="CI279" s="29">
        <f>IF(AND(CF279=0,CG279=0,CH279=0),0,IF(AND(CF279=0,CG279=0),CH279/1,IF(AND(CF279=0,CH279=0),CG279/1,IF(AND(CG279=0,CH279=0),CF279/1,IF(CF279=0,FLOOR((CG279+CH279)/2,0.1),IF(CG279=0,(CF279+CH279)/2,IF(CH279=0,(CG279+CF279)/2,FLOOR(((CF279+CG279+CH279)/3),0.1))))))))</f>
        <v/>
      </c>
      <c r="CJ279" s="21" t="n"/>
      <c r="CK279" s="21" t="n"/>
      <c r="CL279" s="27">
        <f>SUM(CJ279:CK279)</f>
        <v/>
      </c>
      <c r="CM279" s="28" t="n"/>
      <c r="CN279" s="31" t="n"/>
      <c r="CO279" s="29">
        <f>IF(AND(CL279=0,CM279=0,CN279=0),0,IF(AND(CL279=0,CM279=0),CN279/1,IF(AND(CL279=0,CN279=0),CM279/1,IF(AND(CM279=0,CN279=0),CL279/1,IF(CL279=0,FLOOR((CM279+CN279)/2,0.1),IF(CM279=0,(CL279+CN279)/2,IF(CN279=0,(CM279+CL279)/2,FLOOR(((CL279+CM279+CN279)/3),0.1))))))))</f>
        <v/>
      </c>
      <c r="CP279" s="21" t="n"/>
      <c r="CQ279" s="21" t="n"/>
      <c r="CR279" s="27">
        <f>SUM(CP279:CQ279)</f>
        <v/>
      </c>
      <c r="CS279" s="28" t="n"/>
      <c r="CT279" s="31" t="n"/>
      <c r="CU279" s="29">
        <f>IF(AND(CR279=0,CS279=0,CT279=0),0,IF(AND(CR279=0,CS279=0),CT279/1,IF(AND(CR279=0,CT279=0),CS279/1,IF(AND(CS279=0,CT279=0),CR279/1,IF(CR279=0,FLOOR((CS279+CT279)/2,0.1),IF(CS279=0,(CR279+CT279)/2,IF(CT279=0,(CS279+CR279)/2,FLOOR(((CR279+CS279+CT279)/3),0.1))))))))</f>
        <v/>
      </c>
      <c r="CV279" s="21" t="n"/>
      <c r="CW279" s="21" t="n"/>
      <c r="CX279" s="27">
        <f>SUM(CV279:CW279)</f>
        <v/>
      </c>
      <c r="CY279" s="28" t="n"/>
      <c r="CZ279" s="31" t="n"/>
      <c r="DA279" s="29">
        <f>IF(AND(CX279=0,CY279=0,CZ279=0),0,IF(AND(CX279=0,CY279=0),CZ279/1,IF(AND(CX279=0,CZ279=0),CY279/1,IF(AND(CY279=0,CZ279=0),CX279/1,IF(CX279=0,FLOOR((CY279+CZ279)/2,0.1),IF(CY279=0,(CX279+CZ279)/2,IF(CZ279=0,(CY279+CX279)/2,FLOOR(((CX279+CY279+CZ279)/3),0.1))))))))</f>
        <v/>
      </c>
      <c r="DB279" s="21" t="n"/>
      <c r="DC279" s="21" t="n"/>
      <c r="DD279" s="27">
        <f>SUM(DB279:DC279)</f>
        <v/>
      </c>
      <c r="DE279" s="28" t="n"/>
      <c r="DF279" s="31" t="n"/>
      <c r="DG279" s="29">
        <f>IF(AND(DD279=0,DE279=0,DF279=0),0,IF(AND(DD279=0,DE279=0),DF279/1,IF(AND(DD279=0,DF279=0),DE279/1,IF(AND(DE279=0,DF279=0),DD279/1,IF(DD279=0,FLOOR((DE279+DF279)/2,0.1),IF(DE279=0,(DD279+DF279)/2,IF(DF279=0,(DE279+DD279)/2,FLOOR(((DD279+DE279+DF279)/3),0.1))))))))</f>
        <v/>
      </c>
      <c r="DH279" s="34">
        <f>SUM(O279,U279,AA279,AG279,AM279,AS279,AY279,BE279,BK279,BQ279,BW279,CC279,CI279,CO279,CU279,DA279,DG279)</f>
        <v/>
      </c>
      <c r="DI279" s="39">
        <f>RANK(DH279,DH$4:DH$503)</f>
        <v/>
      </c>
      <c r="DJ279" s="40" t="inlineStr">
        <is>
          <t>CHOOSE RATING</t>
        </is>
      </c>
      <c r="DK279" s="40" t="inlineStr">
        <is>
          <t>CHOOSE RATING</t>
        </is>
      </c>
      <c r="DL279" s="40" t="inlineStr">
        <is>
          <t>CHOOSE RATING</t>
        </is>
      </c>
      <c r="DM279" s="40" t="inlineStr">
        <is>
          <t>CHOOSE RATING</t>
        </is>
      </c>
      <c r="DN279" s="40" t="inlineStr">
        <is>
          <t>CHOOSE RATING</t>
        </is>
      </c>
      <c r="DO279" s="40" t="inlineStr">
        <is>
          <t>CHOOSE RATING</t>
        </is>
      </c>
      <c r="DP279" s="40" t="inlineStr">
        <is>
          <t>CHOOSE RATING</t>
        </is>
      </c>
      <c r="DQ279" s="40" t="inlineStr">
        <is>
          <t>CHOOSE RATING</t>
        </is>
      </c>
      <c r="DR279" s="43" t="inlineStr">
        <is>
          <t>2024/2025</t>
        </is>
      </c>
      <c r="DS279" s="45" t="inlineStr">
        <is>
          <t>THIRD</t>
        </is>
      </c>
      <c r="DT279" s="40" t="inlineStr">
        <is>
          <t>CHOOSE RATING</t>
        </is>
      </c>
      <c r="DU279" s="40" t="inlineStr">
        <is>
          <t>CHOOSE RATING</t>
        </is>
      </c>
      <c r="DV279" s="40" t="inlineStr">
        <is>
          <t>CHOOSE RATING</t>
        </is>
      </c>
      <c r="DW279" s="40" t="inlineStr">
        <is>
          <t>CHOOSE RATING</t>
        </is>
      </c>
      <c r="DX279" s="40" t="inlineStr">
        <is>
          <t>CHOOSE RATING</t>
        </is>
      </c>
      <c r="DY279" s="40" t="inlineStr">
        <is>
          <t>CHOOSE RATING</t>
        </is>
      </c>
      <c r="DZ279" s="53" t="inlineStr">
        <is>
          <t>CHOOSE RATING</t>
        </is>
      </c>
      <c r="EA279" s="54" t="inlineStr">
        <is>
          <t>Add the Tutor's Comment . . .</t>
        </is>
      </c>
      <c r="EB279" s="55" t="inlineStr">
        <is>
          <t>Choose Principals comment</t>
        </is>
      </c>
      <c r="EC279" s="56" t="n"/>
      <c r="ED279" s="57" t="inlineStr">
        <is>
          <t>Next Term Begins on Monday, 22nd September, 2025</t>
        </is>
      </c>
    </row>
    <row r="280" ht="30.6" customHeight="1" s="6">
      <c r="A280" s="18" t="n">
        <v>277</v>
      </c>
      <c r="B280" s="19" t="n"/>
      <c r="C280" s="20" t="n"/>
      <c r="D280" s="128" t="n"/>
      <c r="E280" s="21" t="n"/>
      <c r="F280" s="22" t="n"/>
      <c r="G280" s="22" t="n"/>
      <c r="H280" s="22" t="n"/>
      <c r="I280" s="26">
        <f>G280-H280</f>
        <v/>
      </c>
      <c r="J280" s="21" t="n"/>
      <c r="K280" s="21" t="n"/>
      <c r="L280" s="27">
        <f>SUM(J280:K280)</f>
        <v/>
      </c>
      <c r="M280" s="28" t="n"/>
      <c r="N280" s="28" t="n"/>
      <c r="O280" s="29">
        <f>IF(AND(L280=0,M280=0,N280=0),0,IF(AND(L280=0,M280=0),N280/1,IF(AND(L280=0,N280=0),M280/1,IF(AND(M280=0,N280=0),L280/1,IF(L280=0,FLOOR((M280+N280)/2,0.1),IF(M280=0,(L280+N280)/2,IF(N280=0,(M280+L280)/2,FLOOR(((L280+M280+N280)/3),0.1))))))))</f>
        <v/>
      </c>
      <c r="P280" s="21" t="n"/>
      <c r="Q280" s="21" t="n"/>
      <c r="R280" s="27">
        <f>SUM(P280:Q280)</f>
        <v/>
      </c>
      <c r="S280" s="28" t="n"/>
      <c r="T280" s="28" t="n"/>
      <c r="U280" s="29">
        <f>IF(AND(R280=0,S280=0,T280=0),0,IF(AND(R280=0,S280=0),T280/1,IF(AND(R280=0,T280=0),S280/1,IF(AND(S280=0,T280=0),R280/1,IF(R280=0,FLOOR((S280+T280)/2,0.1),IF(S280=0,(R280+T280)/2,IF(T280=0,(S280+R280)/2,FLOOR(((R280+S280+T280)/3),0.1))))))))</f>
        <v/>
      </c>
      <c r="V280" s="21" t="n"/>
      <c r="W280" s="21" t="n"/>
      <c r="X280" s="27">
        <f>SUM(V280:W280)</f>
        <v/>
      </c>
      <c r="Y280" s="28" t="n"/>
      <c r="Z280" s="28" t="n"/>
      <c r="AA280" s="29">
        <f>IF(AND(X280=0,Y280=0,Z280=0),0,IF(AND(X280=0,Y280=0),Z280/1,IF(AND(X280=0,Z280=0),Y280/1,IF(AND(Y280=0,Z280=0),X280/1,IF(X280=0,FLOOR((Y280+Z280)/2,0.1),IF(Y280=0,(X280+Z280)/2,IF(Z280=0,(Y280+X280)/2,FLOOR(((X280+Y280+Z280)/3),0.1))))))))</f>
        <v/>
      </c>
      <c r="AB280" s="21" t="n"/>
      <c r="AC280" s="21" t="n"/>
      <c r="AD280" s="27">
        <f>SUM(AB280:AC280)</f>
        <v/>
      </c>
      <c r="AE280" s="28" t="n"/>
      <c r="AF280" s="28" t="n"/>
      <c r="AG280" s="29">
        <f>IF(AND(AD280=0,AE280=0,AF280=0),0,IF(AND(AD280=0,AE280=0),AF280/1,IF(AND(AD280=0,AF280=0),AE280/1,IF(AND(AE280=0,AF280=0),AD280/1,IF(AD280=0,FLOOR((AE280+AF280)/2,0.1),IF(AE280=0,(AD280+AF280)/2,IF(AF280=0,(AE280+AD280)/2,FLOOR(((AD280+AE280+AF280)/3),0.1))))))))</f>
        <v/>
      </c>
      <c r="AH280" s="21" t="n"/>
      <c r="AI280" s="21" t="n"/>
      <c r="AJ280" s="27">
        <f>SUM(AH280:AI280)</f>
        <v/>
      </c>
      <c r="AK280" s="28" t="n"/>
      <c r="AL280" s="28" t="n"/>
      <c r="AM280" s="29">
        <f>IF(AND(AJ280=0,AK280=0,AL280=0),0,IF(AND(AJ280=0,AK280=0),AL280/1,IF(AND(AJ280=0,AL280=0),AK280/1,IF(AND(AK280=0,AL280=0),AJ280/1,IF(AJ280=0,FLOOR((AK280+AL280)/2,0.1),IF(AK280=0,(AJ280+AL280)/2,IF(AL280=0,(AK280+AJ280)/2,FLOOR(((AJ280+AK280+AL280)/3),0.1))))))))</f>
        <v/>
      </c>
      <c r="AN280" s="21" t="n"/>
      <c r="AO280" s="21" t="n"/>
      <c r="AP280" s="27">
        <f>SUM(AN280:AO280)</f>
        <v/>
      </c>
      <c r="AQ280" s="28" t="n"/>
      <c r="AR280" s="30" t="n"/>
      <c r="AS280" s="29">
        <f>IF(AND(AP280=0,AQ280=0,AR280=0),0,IF(AND(AP280=0,AQ280=0),AR280/1,IF(AND(AP280=0,AR280=0),AQ280/1,IF(AND(AQ280=0,AR280=0),AP280/1,IF(AP280=0,FLOOR((AQ280+AR280)/2,0.1),IF(AQ280=0,(AP280+AR280)/2,IF(AR280=0,(AQ280+AP280)/2,FLOOR(((AP280+AQ280+AR280)/3),0.1))))))))</f>
        <v/>
      </c>
      <c r="AT280" s="21" t="n"/>
      <c r="AU280" s="21" t="n"/>
      <c r="AV280" s="27">
        <f>SUM(AT280:AU280)</f>
        <v/>
      </c>
      <c r="AW280" s="28" t="n"/>
      <c r="AX280" s="30" t="n"/>
      <c r="AY280" s="29">
        <f>IF(AND(AV280=0,AW280=0,AX280=0),0,IF(AND(AV280=0,AW280=0),AX280/1,IF(AND(AV280=0,AX280=0),AW280/1,IF(AND(AW280=0,AX280=0),AV280/1,IF(AV280=0,FLOOR((AW280+AX280)/2,0.1),IF(AW280=0,(AV280+AX280)/2,IF(AX280=0,(AW280+AV280)/2,FLOOR(((AV280+AW280+AX280)/3),0.1))))))))</f>
        <v/>
      </c>
      <c r="AZ280" s="21" t="n"/>
      <c r="BA280" s="21" t="n"/>
      <c r="BB280" s="27">
        <f>SUM(AZ280:BA280)</f>
        <v/>
      </c>
      <c r="BC280" s="28" t="n"/>
      <c r="BD280" s="28" t="n"/>
      <c r="BE280" s="29">
        <f>IF(AND(BB280=0,BC280=0,BD280=0),0,IF(AND(BB280=0,BC280=0),BD280/1,IF(AND(BB280=0,BD280=0),BC280/1,IF(AND(BC280=0,BD280=0),BB280/1,IF(BB280=0,FLOOR((BC280+BD280)/2,0.1),IF(BC280=0,(BB280+BD280)/2,IF(BD280=0,(BC280+BB280)/2,FLOOR(((BB280+BC280+BD280)/3),0.1))))))))</f>
        <v/>
      </c>
      <c r="BF280" s="21" t="n"/>
      <c r="BG280" s="21" t="n"/>
      <c r="BH280" s="27">
        <f>SUM(BF280:BG280)</f>
        <v/>
      </c>
      <c r="BI280" s="28" t="n"/>
      <c r="BJ280" s="28" t="n"/>
      <c r="BK280" s="29">
        <f>IF(AND(BH280=0,BI280=0,BJ280=0),0,IF(AND(BH280=0,BI280=0),BJ280/1,IF(AND(BH280=0,BJ280=0),BI280/1,IF(AND(BI280=0,BJ280=0),BH280/1,IF(BH280=0,FLOOR((BI280+BJ280)/2,0.1),IF(BI280=0,(BH280+BJ280)/2,IF(BJ280=0,(BI280+BH280)/2,FLOOR(((BH280+BI280+BJ280)/3),0.1))))))))</f>
        <v/>
      </c>
      <c r="BL280" s="21" t="n"/>
      <c r="BM280" s="21" t="n"/>
      <c r="BN280" s="27">
        <f>SUM(BL280:BM280)</f>
        <v/>
      </c>
      <c r="BO280" s="28" t="n"/>
      <c r="BP280" s="31" t="n"/>
      <c r="BQ280" s="29">
        <f>IF(AND(BN280=0,BO280=0,BP280=0),0,IF(AND(BN280=0,BO280=0),BP280/1,IF(AND(BN280=0,BP280=0),BO280/1,IF(AND(BO280=0,BP280=0),BN280/1,IF(BN280=0,FLOOR((BO280+BP280)/2,0.1),IF(BO280=0,(BN280+BP280)/2,IF(BP280=0,(BO280+BN280)/2,FLOOR(((BN280+BO280+BP280)/3),0.1))))))))</f>
        <v/>
      </c>
      <c r="BR280" s="21" t="n"/>
      <c r="BS280" s="21" t="n"/>
      <c r="BT280" s="27">
        <f>SUM(BR280:BS280)</f>
        <v/>
      </c>
      <c r="BU280" s="28" t="n"/>
      <c r="BV280" s="31" t="n"/>
      <c r="BW280" s="29">
        <f>IF(AND(BT280=0,BU280=0,BV280=0),0,IF(AND(BT280=0,BU280=0),BV280/1,IF(AND(BT280=0,BV280=0),BU280/1,IF(AND(BU280=0,BV280=0),BT280/1,IF(BT280=0,FLOOR((BU280+BV280)/2,0.1),IF(BU280=0,(BT280+BV280)/2,IF(BV280=0,(BU280+BT280)/2,FLOOR(((BT280+BU280+BV280)/3),0.1))))))))</f>
        <v/>
      </c>
      <c r="BX280" s="21" t="n"/>
      <c r="BY280" s="21" t="n"/>
      <c r="BZ280" s="27">
        <f>SUM(BX280:BY280)</f>
        <v/>
      </c>
      <c r="CA280" s="28" t="n"/>
      <c r="CB280" s="31" t="n"/>
      <c r="CC280" s="29">
        <f>IF(AND(BZ280=0,CA280=0,CB280=0),0,IF(AND(BZ280=0,CA280=0),CB280/1,IF(AND(BZ280=0,CB280=0),CA280/1,IF(AND(CA280=0,CB280=0),BZ280/1,IF(BZ280=0,FLOOR((CA280+CB280)/2,0.1),IF(CA280=0,(BZ280+CB280)/2,IF(CB280=0,(CA280+BZ280)/2,FLOOR(((BZ280+CA280+CB280)/3),0.1))))))))</f>
        <v/>
      </c>
      <c r="CD280" s="21" t="n"/>
      <c r="CE280" s="21" t="n"/>
      <c r="CF280" s="27">
        <f>SUM(CD280:CE280)</f>
        <v/>
      </c>
      <c r="CG280" s="28" t="n"/>
      <c r="CH280" s="31" t="n"/>
      <c r="CI280" s="29">
        <f>IF(AND(CF280=0,CG280=0,CH280=0),0,IF(AND(CF280=0,CG280=0),CH280/1,IF(AND(CF280=0,CH280=0),CG280/1,IF(AND(CG280=0,CH280=0),CF280/1,IF(CF280=0,FLOOR((CG280+CH280)/2,0.1),IF(CG280=0,(CF280+CH280)/2,IF(CH280=0,(CG280+CF280)/2,FLOOR(((CF280+CG280+CH280)/3),0.1))))))))</f>
        <v/>
      </c>
      <c r="CJ280" s="21" t="n"/>
      <c r="CK280" s="21" t="n"/>
      <c r="CL280" s="27">
        <f>SUM(CJ280:CK280)</f>
        <v/>
      </c>
      <c r="CM280" s="28" t="n"/>
      <c r="CN280" s="31" t="n"/>
      <c r="CO280" s="29">
        <f>IF(AND(CL280=0,CM280=0,CN280=0),0,IF(AND(CL280=0,CM280=0),CN280/1,IF(AND(CL280=0,CN280=0),CM280/1,IF(AND(CM280=0,CN280=0),CL280/1,IF(CL280=0,FLOOR((CM280+CN280)/2,0.1),IF(CM280=0,(CL280+CN280)/2,IF(CN280=0,(CM280+CL280)/2,FLOOR(((CL280+CM280+CN280)/3),0.1))))))))</f>
        <v/>
      </c>
      <c r="CP280" s="21" t="n"/>
      <c r="CQ280" s="21" t="n"/>
      <c r="CR280" s="27">
        <f>SUM(CP280:CQ280)</f>
        <v/>
      </c>
      <c r="CS280" s="28" t="n"/>
      <c r="CT280" s="31" t="n"/>
      <c r="CU280" s="29">
        <f>IF(AND(CR280=0,CS280=0,CT280=0),0,IF(AND(CR280=0,CS280=0),CT280/1,IF(AND(CR280=0,CT280=0),CS280/1,IF(AND(CS280=0,CT280=0),CR280/1,IF(CR280=0,FLOOR((CS280+CT280)/2,0.1),IF(CS280=0,(CR280+CT280)/2,IF(CT280=0,(CS280+CR280)/2,FLOOR(((CR280+CS280+CT280)/3),0.1))))))))</f>
        <v/>
      </c>
      <c r="CV280" s="21" t="n"/>
      <c r="CW280" s="21" t="n"/>
      <c r="CX280" s="27">
        <f>SUM(CV280:CW280)</f>
        <v/>
      </c>
      <c r="CY280" s="28" t="n"/>
      <c r="CZ280" s="31" t="n"/>
      <c r="DA280" s="29">
        <f>IF(AND(CX280=0,CY280=0,CZ280=0),0,IF(AND(CX280=0,CY280=0),CZ280/1,IF(AND(CX280=0,CZ280=0),CY280/1,IF(AND(CY280=0,CZ280=0),CX280/1,IF(CX280=0,FLOOR((CY280+CZ280)/2,0.1),IF(CY280=0,(CX280+CZ280)/2,IF(CZ280=0,(CY280+CX280)/2,FLOOR(((CX280+CY280+CZ280)/3),0.1))))))))</f>
        <v/>
      </c>
      <c r="DB280" s="21" t="n"/>
      <c r="DC280" s="21" t="n"/>
      <c r="DD280" s="27">
        <f>SUM(DB280:DC280)</f>
        <v/>
      </c>
      <c r="DE280" s="28" t="n"/>
      <c r="DF280" s="31" t="n"/>
      <c r="DG280" s="29">
        <f>IF(AND(DD280=0,DE280=0,DF280=0),0,IF(AND(DD280=0,DE280=0),DF280/1,IF(AND(DD280=0,DF280=0),DE280/1,IF(AND(DE280=0,DF280=0),DD280/1,IF(DD280=0,FLOOR((DE280+DF280)/2,0.1),IF(DE280=0,(DD280+DF280)/2,IF(DF280=0,(DE280+DD280)/2,FLOOR(((DD280+DE280+DF280)/3),0.1))))))))</f>
        <v/>
      </c>
      <c r="DH280" s="34">
        <f>SUM(O280,U280,AA280,AG280,AM280,AS280,AY280,BE280,BK280,BQ280,BW280,CC280,CI280,CO280,CU280,DA280,DG280)</f>
        <v/>
      </c>
      <c r="DI280" s="39">
        <f>RANK(DH280,DH$4:DH$503)</f>
        <v/>
      </c>
      <c r="DJ280" s="40" t="inlineStr">
        <is>
          <t>CHOOSE RATING</t>
        </is>
      </c>
      <c r="DK280" s="40" t="inlineStr">
        <is>
          <t>CHOOSE RATING</t>
        </is>
      </c>
      <c r="DL280" s="40" t="inlineStr">
        <is>
          <t>CHOOSE RATING</t>
        </is>
      </c>
      <c r="DM280" s="40" t="inlineStr">
        <is>
          <t>CHOOSE RATING</t>
        </is>
      </c>
      <c r="DN280" s="40" t="inlineStr">
        <is>
          <t>CHOOSE RATING</t>
        </is>
      </c>
      <c r="DO280" s="40" t="inlineStr">
        <is>
          <t>CHOOSE RATING</t>
        </is>
      </c>
      <c r="DP280" s="40" t="inlineStr">
        <is>
          <t>CHOOSE RATING</t>
        </is>
      </c>
      <c r="DQ280" s="40" t="inlineStr">
        <is>
          <t>CHOOSE RATING</t>
        </is>
      </c>
      <c r="DR280" s="43" t="inlineStr">
        <is>
          <t>2024/2025</t>
        </is>
      </c>
      <c r="DS280" s="45" t="inlineStr">
        <is>
          <t>THIRD</t>
        </is>
      </c>
      <c r="DT280" s="40" t="inlineStr">
        <is>
          <t>CHOOSE RATING</t>
        </is>
      </c>
      <c r="DU280" s="40" t="inlineStr">
        <is>
          <t>CHOOSE RATING</t>
        </is>
      </c>
      <c r="DV280" s="40" t="inlineStr">
        <is>
          <t>CHOOSE RATING</t>
        </is>
      </c>
      <c r="DW280" s="40" t="inlineStr">
        <is>
          <t>CHOOSE RATING</t>
        </is>
      </c>
      <c r="DX280" s="40" t="inlineStr">
        <is>
          <t>CHOOSE RATING</t>
        </is>
      </c>
      <c r="DY280" s="40" t="inlineStr">
        <is>
          <t>CHOOSE RATING</t>
        </is>
      </c>
      <c r="DZ280" s="53" t="inlineStr">
        <is>
          <t>CHOOSE RATING</t>
        </is>
      </c>
      <c r="EA280" s="54" t="inlineStr">
        <is>
          <t>Add the Tutor's Comment . . .</t>
        </is>
      </c>
      <c r="EB280" s="55" t="inlineStr">
        <is>
          <t>Choose Principals comment</t>
        </is>
      </c>
      <c r="EC280" s="56" t="n"/>
      <c r="ED280" s="57" t="inlineStr">
        <is>
          <t>Next Term Begins on Monday, 22nd September, 2025</t>
        </is>
      </c>
    </row>
    <row r="281" ht="30.6" customHeight="1" s="6">
      <c r="A281" s="18" t="n">
        <v>278</v>
      </c>
      <c r="B281" s="19" t="n"/>
      <c r="C281" s="20" t="n"/>
      <c r="D281" s="128" t="n"/>
      <c r="E281" s="21" t="n"/>
      <c r="F281" s="22" t="n"/>
      <c r="G281" s="22" t="n"/>
      <c r="H281" s="22" t="n"/>
      <c r="I281" s="26">
        <f>G281-H281</f>
        <v/>
      </c>
      <c r="J281" s="21" t="n"/>
      <c r="K281" s="21" t="n"/>
      <c r="L281" s="27">
        <f>SUM(J281:K281)</f>
        <v/>
      </c>
      <c r="M281" s="28" t="n"/>
      <c r="N281" s="28" t="n"/>
      <c r="O281" s="29">
        <f>IF(AND(L281=0,M281=0,N281=0),0,IF(AND(L281=0,M281=0),N281/1,IF(AND(L281=0,N281=0),M281/1,IF(AND(M281=0,N281=0),L281/1,IF(L281=0,FLOOR((M281+N281)/2,0.1),IF(M281=0,(L281+N281)/2,IF(N281=0,(M281+L281)/2,FLOOR(((L281+M281+N281)/3),0.1))))))))</f>
        <v/>
      </c>
      <c r="P281" s="21" t="n"/>
      <c r="Q281" s="21" t="n"/>
      <c r="R281" s="27">
        <f>SUM(P281:Q281)</f>
        <v/>
      </c>
      <c r="S281" s="28" t="n"/>
      <c r="T281" s="28" t="n"/>
      <c r="U281" s="29">
        <f>IF(AND(R281=0,S281=0,T281=0),0,IF(AND(R281=0,S281=0),T281/1,IF(AND(R281=0,T281=0),S281/1,IF(AND(S281=0,T281=0),R281/1,IF(R281=0,FLOOR((S281+T281)/2,0.1),IF(S281=0,(R281+T281)/2,IF(T281=0,(S281+R281)/2,FLOOR(((R281+S281+T281)/3),0.1))))))))</f>
        <v/>
      </c>
      <c r="V281" s="21" t="n"/>
      <c r="W281" s="21" t="n"/>
      <c r="X281" s="27">
        <f>SUM(V281:W281)</f>
        <v/>
      </c>
      <c r="Y281" s="28" t="n"/>
      <c r="Z281" s="28" t="n"/>
      <c r="AA281" s="29">
        <f>IF(AND(X281=0,Y281=0,Z281=0),0,IF(AND(X281=0,Y281=0),Z281/1,IF(AND(X281=0,Z281=0),Y281/1,IF(AND(Y281=0,Z281=0),X281/1,IF(X281=0,FLOOR((Y281+Z281)/2,0.1),IF(Y281=0,(X281+Z281)/2,IF(Z281=0,(Y281+X281)/2,FLOOR(((X281+Y281+Z281)/3),0.1))))))))</f>
        <v/>
      </c>
      <c r="AB281" s="21" t="n"/>
      <c r="AC281" s="21" t="n"/>
      <c r="AD281" s="27">
        <f>SUM(AB281:AC281)</f>
        <v/>
      </c>
      <c r="AE281" s="28" t="n"/>
      <c r="AF281" s="28" t="n"/>
      <c r="AG281" s="29">
        <f>IF(AND(AD281=0,AE281=0,AF281=0),0,IF(AND(AD281=0,AE281=0),AF281/1,IF(AND(AD281=0,AF281=0),AE281/1,IF(AND(AE281=0,AF281=0),AD281/1,IF(AD281=0,FLOOR((AE281+AF281)/2,0.1),IF(AE281=0,(AD281+AF281)/2,IF(AF281=0,(AE281+AD281)/2,FLOOR(((AD281+AE281+AF281)/3),0.1))))))))</f>
        <v/>
      </c>
      <c r="AH281" s="21" t="n"/>
      <c r="AI281" s="21" t="n"/>
      <c r="AJ281" s="27">
        <f>SUM(AH281:AI281)</f>
        <v/>
      </c>
      <c r="AK281" s="28" t="n"/>
      <c r="AL281" s="28" t="n"/>
      <c r="AM281" s="29">
        <f>IF(AND(AJ281=0,AK281=0,AL281=0),0,IF(AND(AJ281=0,AK281=0),AL281/1,IF(AND(AJ281=0,AL281=0),AK281/1,IF(AND(AK281=0,AL281=0),AJ281/1,IF(AJ281=0,FLOOR((AK281+AL281)/2,0.1),IF(AK281=0,(AJ281+AL281)/2,IF(AL281=0,(AK281+AJ281)/2,FLOOR(((AJ281+AK281+AL281)/3),0.1))))))))</f>
        <v/>
      </c>
      <c r="AN281" s="21" t="n"/>
      <c r="AO281" s="21" t="n"/>
      <c r="AP281" s="27">
        <f>SUM(AN281:AO281)</f>
        <v/>
      </c>
      <c r="AQ281" s="28" t="n"/>
      <c r="AR281" s="30" t="n"/>
      <c r="AS281" s="29">
        <f>IF(AND(AP281=0,AQ281=0,AR281=0),0,IF(AND(AP281=0,AQ281=0),AR281/1,IF(AND(AP281=0,AR281=0),AQ281/1,IF(AND(AQ281=0,AR281=0),AP281/1,IF(AP281=0,FLOOR((AQ281+AR281)/2,0.1),IF(AQ281=0,(AP281+AR281)/2,IF(AR281=0,(AQ281+AP281)/2,FLOOR(((AP281+AQ281+AR281)/3),0.1))))))))</f>
        <v/>
      </c>
      <c r="AT281" s="21" t="n"/>
      <c r="AU281" s="21" t="n"/>
      <c r="AV281" s="27">
        <f>SUM(AT281:AU281)</f>
        <v/>
      </c>
      <c r="AW281" s="28" t="n"/>
      <c r="AX281" s="30" t="n"/>
      <c r="AY281" s="29">
        <f>IF(AND(AV281=0,AW281=0,AX281=0),0,IF(AND(AV281=0,AW281=0),AX281/1,IF(AND(AV281=0,AX281=0),AW281/1,IF(AND(AW281=0,AX281=0),AV281/1,IF(AV281=0,FLOOR((AW281+AX281)/2,0.1),IF(AW281=0,(AV281+AX281)/2,IF(AX281=0,(AW281+AV281)/2,FLOOR(((AV281+AW281+AX281)/3),0.1))))))))</f>
        <v/>
      </c>
      <c r="AZ281" s="21" t="n"/>
      <c r="BA281" s="21" t="n"/>
      <c r="BB281" s="27">
        <f>SUM(AZ281:BA281)</f>
        <v/>
      </c>
      <c r="BC281" s="28" t="n"/>
      <c r="BD281" s="28" t="n"/>
      <c r="BE281" s="29">
        <f>IF(AND(BB281=0,BC281=0,BD281=0),0,IF(AND(BB281=0,BC281=0),BD281/1,IF(AND(BB281=0,BD281=0),BC281/1,IF(AND(BC281=0,BD281=0),BB281/1,IF(BB281=0,FLOOR((BC281+BD281)/2,0.1),IF(BC281=0,(BB281+BD281)/2,IF(BD281=0,(BC281+BB281)/2,FLOOR(((BB281+BC281+BD281)/3),0.1))))))))</f>
        <v/>
      </c>
      <c r="BF281" s="21" t="n"/>
      <c r="BG281" s="21" t="n"/>
      <c r="BH281" s="27">
        <f>SUM(BF281:BG281)</f>
        <v/>
      </c>
      <c r="BI281" s="28" t="n"/>
      <c r="BJ281" s="28" t="n"/>
      <c r="BK281" s="29">
        <f>IF(AND(BH281=0,BI281=0,BJ281=0),0,IF(AND(BH281=0,BI281=0),BJ281/1,IF(AND(BH281=0,BJ281=0),BI281/1,IF(AND(BI281=0,BJ281=0),BH281/1,IF(BH281=0,FLOOR((BI281+BJ281)/2,0.1),IF(BI281=0,(BH281+BJ281)/2,IF(BJ281=0,(BI281+BH281)/2,FLOOR(((BH281+BI281+BJ281)/3),0.1))))))))</f>
        <v/>
      </c>
      <c r="BL281" s="21" t="n"/>
      <c r="BM281" s="21" t="n"/>
      <c r="BN281" s="27">
        <f>SUM(BL281:BM281)</f>
        <v/>
      </c>
      <c r="BO281" s="28" t="n"/>
      <c r="BP281" s="31" t="n"/>
      <c r="BQ281" s="29">
        <f>IF(AND(BN281=0,BO281=0,BP281=0),0,IF(AND(BN281=0,BO281=0),BP281/1,IF(AND(BN281=0,BP281=0),BO281/1,IF(AND(BO281=0,BP281=0),BN281/1,IF(BN281=0,FLOOR((BO281+BP281)/2,0.1),IF(BO281=0,(BN281+BP281)/2,IF(BP281=0,(BO281+BN281)/2,FLOOR(((BN281+BO281+BP281)/3),0.1))))))))</f>
        <v/>
      </c>
      <c r="BR281" s="21" t="n"/>
      <c r="BS281" s="21" t="n"/>
      <c r="BT281" s="27">
        <f>SUM(BR281:BS281)</f>
        <v/>
      </c>
      <c r="BU281" s="28" t="n"/>
      <c r="BV281" s="31" t="n"/>
      <c r="BW281" s="29">
        <f>IF(AND(BT281=0,BU281=0,BV281=0),0,IF(AND(BT281=0,BU281=0),BV281/1,IF(AND(BT281=0,BV281=0),BU281/1,IF(AND(BU281=0,BV281=0),BT281/1,IF(BT281=0,FLOOR((BU281+BV281)/2,0.1),IF(BU281=0,(BT281+BV281)/2,IF(BV281=0,(BU281+BT281)/2,FLOOR(((BT281+BU281+BV281)/3),0.1))))))))</f>
        <v/>
      </c>
      <c r="BX281" s="21" t="n"/>
      <c r="BY281" s="21" t="n"/>
      <c r="BZ281" s="27">
        <f>SUM(BX281:BY281)</f>
        <v/>
      </c>
      <c r="CA281" s="28" t="n"/>
      <c r="CB281" s="31" t="n"/>
      <c r="CC281" s="29">
        <f>IF(AND(BZ281=0,CA281=0,CB281=0),0,IF(AND(BZ281=0,CA281=0),CB281/1,IF(AND(BZ281=0,CB281=0),CA281/1,IF(AND(CA281=0,CB281=0),BZ281/1,IF(BZ281=0,FLOOR((CA281+CB281)/2,0.1),IF(CA281=0,(BZ281+CB281)/2,IF(CB281=0,(CA281+BZ281)/2,FLOOR(((BZ281+CA281+CB281)/3),0.1))))))))</f>
        <v/>
      </c>
      <c r="CD281" s="21" t="n"/>
      <c r="CE281" s="21" t="n"/>
      <c r="CF281" s="27">
        <f>SUM(CD281:CE281)</f>
        <v/>
      </c>
      <c r="CG281" s="28" t="n"/>
      <c r="CH281" s="31" t="n"/>
      <c r="CI281" s="29">
        <f>IF(AND(CF281=0,CG281=0,CH281=0),0,IF(AND(CF281=0,CG281=0),CH281/1,IF(AND(CF281=0,CH281=0),CG281/1,IF(AND(CG281=0,CH281=0),CF281/1,IF(CF281=0,FLOOR((CG281+CH281)/2,0.1),IF(CG281=0,(CF281+CH281)/2,IF(CH281=0,(CG281+CF281)/2,FLOOR(((CF281+CG281+CH281)/3),0.1))))))))</f>
        <v/>
      </c>
      <c r="CJ281" s="21" t="n"/>
      <c r="CK281" s="21" t="n"/>
      <c r="CL281" s="27">
        <f>SUM(CJ281:CK281)</f>
        <v/>
      </c>
      <c r="CM281" s="28" t="n"/>
      <c r="CN281" s="31" t="n"/>
      <c r="CO281" s="29">
        <f>IF(AND(CL281=0,CM281=0,CN281=0),0,IF(AND(CL281=0,CM281=0),CN281/1,IF(AND(CL281=0,CN281=0),CM281/1,IF(AND(CM281=0,CN281=0),CL281/1,IF(CL281=0,FLOOR((CM281+CN281)/2,0.1),IF(CM281=0,(CL281+CN281)/2,IF(CN281=0,(CM281+CL281)/2,FLOOR(((CL281+CM281+CN281)/3),0.1))))))))</f>
        <v/>
      </c>
      <c r="CP281" s="21" t="n"/>
      <c r="CQ281" s="21" t="n"/>
      <c r="CR281" s="27">
        <f>SUM(CP281:CQ281)</f>
        <v/>
      </c>
      <c r="CS281" s="28" t="n"/>
      <c r="CT281" s="31" t="n"/>
      <c r="CU281" s="29">
        <f>IF(AND(CR281=0,CS281=0,CT281=0),0,IF(AND(CR281=0,CS281=0),CT281/1,IF(AND(CR281=0,CT281=0),CS281/1,IF(AND(CS281=0,CT281=0),CR281/1,IF(CR281=0,FLOOR((CS281+CT281)/2,0.1),IF(CS281=0,(CR281+CT281)/2,IF(CT281=0,(CS281+CR281)/2,FLOOR(((CR281+CS281+CT281)/3),0.1))))))))</f>
        <v/>
      </c>
      <c r="CV281" s="21" t="n"/>
      <c r="CW281" s="21" t="n"/>
      <c r="CX281" s="27">
        <f>SUM(CV281:CW281)</f>
        <v/>
      </c>
      <c r="CY281" s="28" t="n"/>
      <c r="CZ281" s="31" t="n"/>
      <c r="DA281" s="29">
        <f>IF(AND(CX281=0,CY281=0,CZ281=0),0,IF(AND(CX281=0,CY281=0),CZ281/1,IF(AND(CX281=0,CZ281=0),CY281/1,IF(AND(CY281=0,CZ281=0),CX281/1,IF(CX281=0,FLOOR((CY281+CZ281)/2,0.1),IF(CY281=0,(CX281+CZ281)/2,IF(CZ281=0,(CY281+CX281)/2,FLOOR(((CX281+CY281+CZ281)/3),0.1))))))))</f>
        <v/>
      </c>
      <c r="DB281" s="21" t="n"/>
      <c r="DC281" s="21" t="n"/>
      <c r="DD281" s="27">
        <f>SUM(DB281:DC281)</f>
        <v/>
      </c>
      <c r="DE281" s="28" t="n"/>
      <c r="DF281" s="31" t="n"/>
      <c r="DG281" s="29">
        <f>IF(AND(DD281=0,DE281=0,DF281=0),0,IF(AND(DD281=0,DE281=0),DF281/1,IF(AND(DD281=0,DF281=0),DE281/1,IF(AND(DE281=0,DF281=0),DD281/1,IF(DD281=0,FLOOR((DE281+DF281)/2,0.1),IF(DE281=0,(DD281+DF281)/2,IF(DF281=0,(DE281+DD281)/2,FLOOR(((DD281+DE281+DF281)/3),0.1))))))))</f>
        <v/>
      </c>
      <c r="DH281" s="34">
        <f>SUM(O281,U281,AA281,AG281,AM281,AS281,AY281,BE281,BK281,BQ281,BW281,CC281,CI281,CO281,CU281,DA281,DG281)</f>
        <v/>
      </c>
      <c r="DI281" s="39">
        <f>RANK(DH281,DH$4:DH$503)</f>
        <v/>
      </c>
      <c r="DJ281" s="40" t="inlineStr">
        <is>
          <t>CHOOSE RATING</t>
        </is>
      </c>
      <c r="DK281" s="40" t="inlineStr">
        <is>
          <t>CHOOSE RATING</t>
        </is>
      </c>
      <c r="DL281" s="40" t="inlineStr">
        <is>
          <t>CHOOSE RATING</t>
        </is>
      </c>
      <c r="DM281" s="40" t="inlineStr">
        <is>
          <t>CHOOSE RATING</t>
        </is>
      </c>
      <c r="DN281" s="40" t="inlineStr">
        <is>
          <t>CHOOSE RATING</t>
        </is>
      </c>
      <c r="DO281" s="40" t="inlineStr">
        <is>
          <t>CHOOSE RATING</t>
        </is>
      </c>
      <c r="DP281" s="40" t="inlineStr">
        <is>
          <t>CHOOSE RATING</t>
        </is>
      </c>
      <c r="DQ281" s="40" t="inlineStr">
        <is>
          <t>CHOOSE RATING</t>
        </is>
      </c>
      <c r="DR281" s="43" t="inlineStr">
        <is>
          <t>2024/2025</t>
        </is>
      </c>
      <c r="DS281" s="45" t="inlineStr">
        <is>
          <t>THIRD</t>
        </is>
      </c>
      <c r="DT281" s="40" t="inlineStr">
        <is>
          <t>CHOOSE RATING</t>
        </is>
      </c>
      <c r="DU281" s="40" t="inlineStr">
        <is>
          <t>CHOOSE RATING</t>
        </is>
      </c>
      <c r="DV281" s="40" t="inlineStr">
        <is>
          <t>CHOOSE RATING</t>
        </is>
      </c>
      <c r="DW281" s="40" t="inlineStr">
        <is>
          <t>CHOOSE RATING</t>
        </is>
      </c>
      <c r="DX281" s="40" t="inlineStr">
        <is>
          <t>CHOOSE RATING</t>
        </is>
      </c>
      <c r="DY281" s="40" t="inlineStr">
        <is>
          <t>CHOOSE RATING</t>
        </is>
      </c>
      <c r="DZ281" s="53" t="inlineStr">
        <is>
          <t>CHOOSE RATING</t>
        </is>
      </c>
      <c r="EA281" s="54" t="inlineStr">
        <is>
          <t>Add the Tutor's Comment . . .</t>
        </is>
      </c>
      <c r="EB281" s="55" t="inlineStr">
        <is>
          <t>Choose Principals comment</t>
        </is>
      </c>
      <c r="EC281" s="56" t="n"/>
      <c r="ED281" s="57" t="inlineStr">
        <is>
          <t>Next Term Begins on Monday, 22nd September, 2025</t>
        </is>
      </c>
    </row>
    <row r="282" ht="30.6" customHeight="1" s="6">
      <c r="A282" s="18" t="n">
        <v>279</v>
      </c>
      <c r="B282" s="19" t="n"/>
      <c r="C282" s="20" t="n"/>
      <c r="D282" s="128" t="n"/>
      <c r="E282" s="21" t="n"/>
      <c r="F282" s="22" t="n"/>
      <c r="G282" s="22" t="n"/>
      <c r="H282" s="22" t="n"/>
      <c r="I282" s="26">
        <f>G282-H282</f>
        <v/>
      </c>
      <c r="J282" s="21" t="n"/>
      <c r="K282" s="21" t="n"/>
      <c r="L282" s="27">
        <f>SUM(J282:K282)</f>
        <v/>
      </c>
      <c r="M282" s="28" t="n"/>
      <c r="N282" s="28" t="n"/>
      <c r="O282" s="29">
        <f>IF(AND(L282=0,M282=0,N282=0),0,IF(AND(L282=0,M282=0),N282/1,IF(AND(L282=0,N282=0),M282/1,IF(AND(M282=0,N282=0),L282/1,IF(L282=0,FLOOR((M282+N282)/2,0.1),IF(M282=0,(L282+N282)/2,IF(N282=0,(M282+L282)/2,FLOOR(((L282+M282+N282)/3),0.1))))))))</f>
        <v/>
      </c>
      <c r="P282" s="21" t="n"/>
      <c r="Q282" s="21" t="n"/>
      <c r="R282" s="27">
        <f>SUM(P282:Q282)</f>
        <v/>
      </c>
      <c r="S282" s="28" t="n"/>
      <c r="T282" s="28" t="n"/>
      <c r="U282" s="29">
        <f>IF(AND(R282=0,S282=0,T282=0),0,IF(AND(R282=0,S282=0),T282/1,IF(AND(R282=0,T282=0),S282/1,IF(AND(S282=0,T282=0),R282/1,IF(R282=0,FLOOR((S282+T282)/2,0.1),IF(S282=0,(R282+T282)/2,IF(T282=0,(S282+R282)/2,FLOOR(((R282+S282+T282)/3),0.1))))))))</f>
        <v/>
      </c>
      <c r="V282" s="21" t="n"/>
      <c r="W282" s="21" t="n"/>
      <c r="X282" s="27">
        <f>SUM(V282:W282)</f>
        <v/>
      </c>
      <c r="Y282" s="28" t="n"/>
      <c r="Z282" s="28" t="n"/>
      <c r="AA282" s="29">
        <f>IF(AND(X282=0,Y282=0,Z282=0),0,IF(AND(X282=0,Y282=0),Z282/1,IF(AND(X282=0,Z282=0),Y282/1,IF(AND(Y282=0,Z282=0),X282/1,IF(X282=0,FLOOR((Y282+Z282)/2,0.1),IF(Y282=0,(X282+Z282)/2,IF(Z282=0,(Y282+X282)/2,FLOOR(((X282+Y282+Z282)/3),0.1))))))))</f>
        <v/>
      </c>
      <c r="AB282" s="21" t="n"/>
      <c r="AC282" s="21" t="n"/>
      <c r="AD282" s="27">
        <f>SUM(AB282:AC282)</f>
        <v/>
      </c>
      <c r="AE282" s="28" t="n"/>
      <c r="AF282" s="28" t="n"/>
      <c r="AG282" s="29">
        <f>IF(AND(AD282=0,AE282=0,AF282=0),0,IF(AND(AD282=0,AE282=0),AF282/1,IF(AND(AD282=0,AF282=0),AE282/1,IF(AND(AE282=0,AF282=0),AD282/1,IF(AD282=0,FLOOR((AE282+AF282)/2,0.1),IF(AE282=0,(AD282+AF282)/2,IF(AF282=0,(AE282+AD282)/2,FLOOR(((AD282+AE282+AF282)/3),0.1))))))))</f>
        <v/>
      </c>
      <c r="AH282" s="21" t="n"/>
      <c r="AI282" s="21" t="n"/>
      <c r="AJ282" s="27">
        <f>SUM(AH282:AI282)</f>
        <v/>
      </c>
      <c r="AK282" s="28" t="n"/>
      <c r="AL282" s="28" t="n"/>
      <c r="AM282" s="29">
        <f>IF(AND(AJ282=0,AK282=0,AL282=0),0,IF(AND(AJ282=0,AK282=0),AL282/1,IF(AND(AJ282=0,AL282=0),AK282/1,IF(AND(AK282=0,AL282=0),AJ282/1,IF(AJ282=0,FLOOR((AK282+AL282)/2,0.1),IF(AK282=0,(AJ282+AL282)/2,IF(AL282=0,(AK282+AJ282)/2,FLOOR(((AJ282+AK282+AL282)/3),0.1))))))))</f>
        <v/>
      </c>
      <c r="AN282" s="21" t="n"/>
      <c r="AO282" s="21" t="n"/>
      <c r="AP282" s="27">
        <f>SUM(AN282:AO282)</f>
        <v/>
      </c>
      <c r="AQ282" s="28" t="n"/>
      <c r="AR282" s="30" t="n"/>
      <c r="AS282" s="29">
        <f>IF(AND(AP282=0,AQ282=0,AR282=0),0,IF(AND(AP282=0,AQ282=0),AR282/1,IF(AND(AP282=0,AR282=0),AQ282/1,IF(AND(AQ282=0,AR282=0),AP282/1,IF(AP282=0,FLOOR((AQ282+AR282)/2,0.1),IF(AQ282=0,(AP282+AR282)/2,IF(AR282=0,(AQ282+AP282)/2,FLOOR(((AP282+AQ282+AR282)/3),0.1))))))))</f>
        <v/>
      </c>
      <c r="AT282" s="21" t="n"/>
      <c r="AU282" s="21" t="n"/>
      <c r="AV282" s="27">
        <f>SUM(AT282:AU282)</f>
        <v/>
      </c>
      <c r="AW282" s="28" t="n"/>
      <c r="AX282" s="30" t="n"/>
      <c r="AY282" s="29">
        <f>IF(AND(AV282=0,AW282=0,AX282=0),0,IF(AND(AV282=0,AW282=0),AX282/1,IF(AND(AV282=0,AX282=0),AW282/1,IF(AND(AW282=0,AX282=0),AV282/1,IF(AV282=0,FLOOR((AW282+AX282)/2,0.1),IF(AW282=0,(AV282+AX282)/2,IF(AX282=0,(AW282+AV282)/2,FLOOR(((AV282+AW282+AX282)/3),0.1))))))))</f>
        <v/>
      </c>
      <c r="AZ282" s="21" t="n"/>
      <c r="BA282" s="21" t="n"/>
      <c r="BB282" s="27">
        <f>SUM(AZ282:BA282)</f>
        <v/>
      </c>
      <c r="BC282" s="28" t="n"/>
      <c r="BD282" s="28" t="n"/>
      <c r="BE282" s="29">
        <f>IF(AND(BB282=0,BC282=0,BD282=0),0,IF(AND(BB282=0,BC282=0),BD282/1,IF(AND(BB282=0,BD282=0),BC282/1,IF(AND(BC282=0,BD282=0),BB282/1,IF(BB282=0,FLOOR((BC282+BD282)/2,0.1),IF(BC282=0,(BB282+BD282)/2,IF(BD282=0,(BC282+BB282)/2,FLOOR(((BB282+BC282+BD282)/3),0.1))))))))</f>
        <v/>
      </c>
      <c r="BF282" s="21" t="n"/>
      <c r="BG282" s="21" t="n"/>
      <c r="BH282" s="27">
        <f>SUM(BF282:BG282)</f>
        <v/>
      </c>
      <c r="BI282" s="28" t="n"/>
      <c r="BJ282" s="28" t="n"/>
      <c r="BK282" s="29">
        <f>IF(AND(BH282=0,BI282=0,BJ282=0),0,IF(AND(BH282=0,BI282=0),BJ282/1,IF(AND(BH282=0,BJ282=0),BI282/1,IF(AND(BI282=0,BJ282=0),BH282/1,IF(BH282=0,FLOOR((BI282+BJ282)/2,0.1),IF(BI282=0,(BH282+BJ282)/2,IF(BJ282=0,(BI282+BH282)/2,FLOOR(((BH282+BI282+BJ282)/3),0.1))))))))</f>
        <v/>
      </c>
      <c r="BL282" s="21" t="n"/>
      <c r="BM282" s="21" t="n"/>
      <c r="BN282" s="27">
        <f>SUM(BL282:BM282)</f>
        <v/>
      </c>
      <c r="BO282" s="28" t="n"/>
      <c r="BP282" s="31" t="n"/>
      <c r="BQ282" s="29">
        <f>IF(AND(BN282=0,BO282=0,BP282=0),0,IF(AND(BN282=0,BO282=0),BP282/1,IF(AND(BN282=0,BP282=0),BO282/1,IF(AND(BO282=0,BP282=0),BN282/1,IF(BN282=0,FLOOR((BO282+BP282)/2,0.1),IF(BO282=0,(BN282+BP282)/2,IF(BP282=0,(BO282+BN282)/2,FLOOR(((BN282+BO282+BP282)/3),0.1))))))))</f>
        <v/>
      </c>
      <c r="BR282" s="21" t="n"/>
      <c r="BS282" s="21" t="n"/>
      <c r="BT282" s="27">
        <f>SUM(BR282:BS282)</f>
        <v/>
      </c>
      <c r="BU282" s="28" t="n"/>
      <c r="BV282" s="31" t="n"/>
      <c r="BW282" s="29">
        <f>IF(AND(BT282=0,BU282=0,BV282=0),0,IF(AND(BT282=0,BU282=0),BV282/1,IF(AND(BT282=0,BV282=0),BU282/1,IF(AND(BU282=0,BV282=0),BT282/1,IF(BT282=0,FLOOR((BU282+BV282)/2,0.1),IF(BU282=0,(BT282+BV282)/2,IF(BV282=0,(BU282+BT282)/2,FLOOR(((BT282+BU282+BV282)/3),0.1))))))))</f>
        <v/>
      </c>
      <c r="BX282" s="21" t="n"/>
      <c r="BY282" s="21" t="n"/>
      <c r="BZ282" s="27">
        <f>SUM(BX282:BY282)</f>
        <v/>
      </c>
      <c r="CA282" s="28" t="n"/>
      <c r="CB282" s="31" t="n"/>
      <c r="CC282" s="29">
        <f>IF(AND(BZ282=0,CA282=0,CB282=0),0,IF(AND(BZ282=0,CA282=0),CB282/1,IF(AND(BZ282=0,CB282=0),CA282/1,IF(AND(CA282=0,CB282=0),BZ282/1,IF(BZ282=0,FLOOR((CA282+CB282)/2,0.1),IF(CA282=0,(BZ282+CB282)/2,IF(CB282=0,(CA282+BZ282)/2,FLOOR(((BZ282+CA282+CB282)/3),0.1))))))))</f>
        <v/>
      </c>
      <c r="CD282" s="21" t="n"/>
      <c r="CE282" s="21" t="n"/>
      <c r="CF282" s="27">
        <f>SUM(CD282:CE282)</f>
        <v/>
      </c>
      <c r="CG282" s="28" t="n"/>
      <c r="CH282" s="31" t="n"/>
      <c r="CI282" s="29">
        <f>IF(AND(CF282=0,CG282=0,CH282=0),0,IF(AND(CF282=0,CG282=0),CH282/1,IF(AND(CF282=0,CH282=0),CG282/1,IF(AND(CG282=0,CH282=0),CF282/1,IF(CF282=0,FLOOR((CG282+CH282)/2,0.1),IF(CG282=0,(CF282+CH282)/2,IF(CH282=0,(CG282+CF282)/2,FLOOR(((CF282+CG282+CH282)/3),0.1))))))))</f>
        <v/>
      </c>
      <c r="CJ282" s="21" t="n"/>
      <c r="CK282" s="21" t="n"/>
      <c r="CL282" s="27">
        <f>SUM(CJ282:CK282)</f>
        <v/>
      </c>
      <c r="CM282" s="28" t="n"/>
      <c r="CN282" s="31" t="n"/>
      <c r="CO282" s="29">
        <f>IF(AND(CL282=0,CM282=0,CN282=0),0,IF(AND(CL282=0,CM282=0),CN282/1,IF(AND(CL282=0,CN282=0),CM282/1,IF(AND(CM282=0,CN282=0),CL282/1,IF(CL282=0,FLOOR((CM282+CN282)/2,0.1),IF(CM282=0,(CL282+CN282)/2,IF(CN282=0,(CM282+CL282)/2,FLOOR(((CL282+CM282+CN282)/3),0.1))))))))</f>
        <v/>
      </c>
      <c r="CP282" s="21" t="n"/>
      <c r="CQ282" s="21" t="n"/>
      <c r="CR282" s="27">
        <f>SUM(CP282:CQ282)</f>
        <v/>
      </c>
      <c r="CS282" s="28" t="n"/>
      <c r="CT282" s="31" t="n"/>
      <c r="CU282" s="29">
        <f>IF(AND(CR282=0,CS282=0,CT282=0),0,IF(AND(CR282=0,CS282=0),CT282/1,IF(AND(CR282=0,CT282=0),CS282/1,IF(AND(CS282=0,CT282=0),CR282/1,IF(CR282=0,FLOOR((CS282+CT282)/2,0.1),IF(CS282=0,(CR282+CT282)/2,IF(CT282=0,(CS282+CR282)/2,FLOOR(((CR282+CS282+CT282)/3),0.1))))))))</f>
        <v/>
      </c>
      <c r="CV282" s="21" t="n"/>
      <c r="CW282" s="21" t="n"/>
      <c r="CX282" s="27">
        <f>SUM(CV282:CW282)</f>
        <v/>
      </c>
      <c r="CY282" s="28" t="n"/>
      <c r="CZ282" s="31" t="n"/>
      <c r="DA282" s="29">
        <f>IF(AND(CX282=0,CY282=0,CZ282=0),0,IF(AND(CX282=0,CY282=0),CZ282/1,IF(AND(CX282=0,CZ282=0),CY282/1,IF(AND(CY282=0,CZ282=0),CX282/1,IF(CX282=0,FLOOR((CY282+CZ282)/2,0.1),IF(CY282=0,(CX282+CZ282)/2,IF(CZ282=0,(CY282+CX282)/2,FLOOR(((CX282+CY282+CZ282)/3),0.1))))))))</f>
        <v/>
      </c>
      <c r="DB282" s="21" t="n"/>
      <c r="DC282" s="21" t="n"/>
      <c r="DD282" s="27">
        <f>SUM(DB282:DC282)</f>
        <v/>
      </c>
      <c r="DE282" s="28" t="n"/>
      <c r="DF282" s="31" t="n"/>
      <c r="DG282" s="29">
        <f>IF(AND(DD282=0,DE282=0,DF282=0),0,IF(AND(DD282=0,DE282=0),DF282/1,IF(AND(DD282=0,DF282=0),DE282/1,IF(AND(DE282=0,DF282=0),DD282/1,IF(DD282=0,FLOOR((DE282+DF282)/2,0.1),IF(DE282=0,(DD282+DF282)/2,IF(DF282=0,(DE282+DD282)/2,FLOOR(((DD282+DE282+DF282)/3),0.1))))))))</f>
        <v/>
      </c>
      <c r="DH282" s="34">
        <f>SUM(O282,U282,AA282,AG282,AM282,AS282,AY282,BE282,BK282,BQ282,BW282,CC282,CI282,CO282,CU282,DA282,DG282)</f>
        <v/>
      </c>
      <c r="DI282" s="39">
        <f>RANK(DH282,DH$4:DH$503)</f>
        <v/>
      </c>
      <c r="DJ282" s="40" t="inlineStr">
        <is>
          <t>CHOOSE RATING</t>
        </is>
      </c>
      <c r="DK282" s="40" t="inlineStr">
        <is>
          <t>CHOOSE RATING</t>
        </is>
      </c>
      <c r="DL282" s="40" t="inlineStr">
        <is>
          <t>CHOOSE RATING</t>
        </is>
      </c>
      <c r="DM282" s="40" t="inlineStr">
        <is>
          <t>CHOOSE RATING</t>
        </is>
      </c>
      <c r="DN282" s="40" t="inlineStr">
        <is>
          <t>CHOOSE RATING</t>
        </is>
      </c>
      <c r="DO282" s="40" t="inlineStr">
        <is>
          <t>CHOOSE RATING</t>
        </is>
      </c>
      <c r="DP282" s="40" t="inlineStr">
        <is>
          <t>CHOOSE RATING</t>
        </is>
      </c>
      <c r="DQ282" s="40" t="inlineStr">
        <is>
          <t>CHOOSE RATING</t>
        </is>
      </c>
      <c r="DR282" s="43" t="inlineStr">
        <is>
          <t>2024/2025</t>
        </is>
      </c>
      <c r="DS282" s="45" t="inlineStr">
        <is>
          <t>THIRD</t>
        </is>
      </c>
      <c r="DT282" s="40" t="inlineStr">
        <is>
          <t>CHOOSE RATING</t>
        </is>
      </c>
      <c r="DU282" s="40" t="inlineStr">
        <is>
          <t>CHOOSE RATING</t>
        </is>
      </c>
      <c r="DV282" s="40" t="inlineStr">
        <is>
          <t>CHOOSE RATING</t>
        </is>
      </c>
      <c r="DW282" s="40" t="inlineStr">
        <is>
          <t>CHOOSE RATING</t>
        </is>
      </c>
      <c r="DX282" s="40" t="inlineStr">
        <is>
          <t>CHOOSE RATING</t>
        </is>
      </c>
      <c r="DY282" s="40" t="inlineStr">
        <is>
          <t>CHOOSE RATING</t>
        </is>
      </c>
      <c r="DZ282" s="53" t="inlineStr">
        <is>
          <t>CHOOSE RATING</t>
        </is>
      </c>
      <c r="EA282" s="54" t="inlineStr">
        <is>
          <t>Add the Tutor's Comment . . .</t>
        </is>
      </c>
      <c r="EB282" s="55" t="inlineStr">
        <is>
          <t>Choose Principals comment</t>
        </is>
      </c>
      <c r="EC282" s="56" t="n"/>
      <c r="ED282" s="57" t="inlineStr">
        <is>
          <t>Next Term Begins on Monday, 22nd September, 2025</t>
        </is>
      </c>
    </row>
    <row r="283" ht="30.6" customHeight="1" s="6">
      <c r="A283" s="18" t="n">
        <v>280</v>
      </c>
      <c r="B283" s="19" t="n"/>
      <c r="C283" s="20" t="n"/>
      <c r="D283" s="128" t="n"/>
      <c r="E283" s="21" t="n"/>
      <c r="F283" s="22" t="n"/>
      <c r="G283" s="22" t="n"/>
      <c r="H283" s="22" t="n"/>
      <c r="I283" s="26">
        <f>G283-H283</f>
        <v/>
      </c>
      <c r="J283" s="21" t="n"/>
      <c r="K283" s="21" t="n"/>
      <c r="L283" s="27">
        <f>SUM(J283:K283)</f>
        <v/>
      </c>
      <c r="M283" s="28" t="n"/>
      <c r="N283" s="28" t="n"/>
      <c r="O283" s="29">
        <f>IF(AND(L283=0,M283=0,N283=0),0,IF(AND(L283=0,M283=0),N283/1,IF(AND(L283=0,N283=0),M283/1,IF(AND(M283=0,N283=0),L283/1,IF(L283=0,FLOOR((M283+N283)/2,0.1),IF(M283=0,(L283+N283)/2,IF(N283=0,(M283+L283)/2,FLOOR(((L283+M283+N283)/3),0.1))))))))</f>
        <v/>
      </c>
      <c r="P283" s="21" t="n"/>
      <c r="Q283" s="21" t="n"/>
      <c r="R283" s="27">
        <f>SUM(P283:Q283)</f>
        <v/>
      </c>
      <c r="S283" s="28" t="n"/>
      <c r="T283" s="28" t="n"/>
      <c r="U283" s="29">
        <f>IF(AND(R283=0,S283=0,T283=0),0,IF(AND(R283=0,S283=0),T283/1,IF(AND(R283=0,T283=0),S283/1,IF(AND(S283=0,T283=0),R283/1,IF(R283=0,FLOOR((S283+T283)/2,0.1),IF(S283=0,(R283+T283)/2,IF(T283=0,(S283+R283)/2,FLOOR(((R283+S283+T283)/3),0.1))))))))</f>
        <v/>
      </c>
      <c r="V283" s="21" t="n"/>
      <c r="W283" s="21" t="n"/>
      <c r="X283" s="27">
        <f>SUM(V283:W283)</f>
        <v/>
      </c>
      <c r="Y283" s="28" t="n"/>
      <c r="Z283" s="28" t="n"/>
      <c r="AA283" s="29">
        <f>IF(AND(X283=0,Y283=0,Z283=0),0,IF(AND(X283=0,Y283=0),Z283/1,IF(AND(X283=0,Z283=0),Y283/1,IF(AND(Y283=0,Z283=0),X283/1,IF(X283=0,FLOOR((Y283+Z283)/2,0.1),IF(Y283=0,(X283+Z283)/2,IF(Z283=0,(Y283+X283)/2,FLOOR(((X283+Y283+Z283)/3),0.1))))))))</f>
        <v/>
      </c>
      <c r="AB283" s="21" t="n"/>
      <c r="AC283" s="21" t="n"/>
      <c r="AD283" s="27">
        <f>SUM(AB283:AC283)</f>
        <v/>
      </c>
      <c r="AE283" s="28" t="n"/>
      <c r="AF283" s="28" t="n"/>
      <c r="AG283" s="29">
        <f>IF(AND(AD283=0,AE283=0,AF283=0),0,IF(AND(AD283=0,AE283=0),AF283/1,IF(AND(AD283=0,AF283=0),AE283/1,IF(AND(AE283=0,AF283=0),AD283/1,IF(AD283=0,FLOOR((AE283+AF283)/2,0.1),IF(AE283=0,(AD283+AF283)/2,IF(AF283=0,(AE283+AD283)/2,FLOOR(((AD283+AE283+AF283)/3),0.1))))))))</f>
        <v/>
      </c>
      <c r="AH283" s="21" t="n"/>
      <c r="AI283" s="21" t="n"/>
      <c r="AJ283" s="27">
        <f>SUM(AH283:AI283)</f>
        <v/>
      </c>
      <c r="AK283" s="28" t="n"/>
      <c r="AL283" s="28" t="n"/>
      <c r="AM283" s="29">
        <f>IF(AND(AJ283=0,AK283=0,AL283=0),0,IF(AND(AJ283=0,AK283=0),AL283/1,IF(AND(AJ283=0,AL283=0),AK283/1,IF(AND(AK283=0,AL283=0),AJ283/1,IF(AJ283=0,FLOOR((AK283+AL283)/2,0.1),IF(AK283=0,(AJ283+AL283)/2,IF(AL283=0,(AK283+AJ283)/2,FLOOR(((AJ283+AK283+AL283)/3),0.1))))))))</f>
        <v/>
      </c>
      <c r="AN283" s="21" t="n"/>
      <c r="AO283" s="21" t="n"/>
      <c r="AP283" s="27">
        <f>SUM(AN283:AO283)</f>
        <v/>
      </c>
      <c r="AQ283" s="28" t="n"/>
      <c r="AR283" s="30" t="n"/>
      <c r="AS283" s="29">
        <f>IF(AND(AP283=0,AQ283=0,AR283=0),0,IF(AND(AP283=0,AQ283=0),AR283/1,IF(AND(AP283=0,AR283=0),AQ283/1,IF(AND(AQ283=0,AR283=0),AP283/1,IF(AP283=0,FLOOR((AQ283+AR283)/2,0.1),IF(AQ283=0,(AP283+AR283)/2,IF(AR283=0,(AQ283+AP283)/2,FLOOR(((AP283+AQ283+AR283)/3),0.1))))))))</f>
        <v/>
      </c>
      <c r="AT283" s="21" t="n"/>
      <c r="AU283" s="21" t="n"/>
      <c r="AV283" s="27">
        <f>SUM(AT283:AU283)</f>
        <v/>
      </c>
      <c r="AW283" s="28" t="n"/>
      <c r="AX283" s="30" t="n"/>
      <c r="AY283" s="29">
        <f>IF(AND(AV283=0,AW283=0,AX283=0),0,IF(AND(AV283=0,AW283=0),AX283/1,IF(AND(AV283=0,AX283=0),AW283/1,IF(AND(AW283=0,AX283=0),AV283/1,IF(AV283=0,FLOOR((AW283+AX283)/2,0.1),IF(AW283=0,(AV283+AX283)/2,IF(AX283=0,(AW283+AV283)/2,FLOOR(((AV283+AW283+AX283)/3),0.1))))))))</f>
        <v/>
      </c>
      <c r="AZ283" s="21" t="n"/>
      <c r="BA283" s="21" t="n"/>
      <c r="BB283" s="27">
        <f>SUM(AZ283:BA283)</f>
        <v/>
      </c>
      <c r="BC283" s="28" t="n"/>
      <c r="BD283" s="28" t="n"/>
      <c r="BE283" s="29">
        <f>IF(AND(BB283=0,BC283=0,BD283=0),0,IF(AND(BB283=0,BC283=0),BD283/1,IF(AND(BB283=0,BD283=0),BC283/1,IF(AND(BC283=0,BD283=0),BB283/1,IF(BB283=0,FLOOR((BC283+BD283)/2,0.1),IF(BC283=0,(BB283+BD283)/2,IF(BD283=0,(BC283+BB283)/2,FLOOR(((BB283+BC283+BD283)/3),0.1))))))))</f>
        <v/>
      </c>
      <c r="BF283" s="21" t="n"/>
      <c r="BG283" s="21" t="n"/>
      <c r="BH283" s="27">
        <f>SUM(BF283:BG283)</f>
        <v/>
      </c>
      <c r="BI283" s="28" t="n"/>
      <c r="BJ283" s="28" t="n"/>
      <c r="BK283" s="29">
        <f>IF(AND(BH283=0,BI283=0,BJ283=0),0,IF(AND(BH283=0,BI283=0),BJ283/1,IF(AND(BH283=0,BJ283=0),BI283/1,IF(AND(BI283=0,BJ283=0),BH283/1,IF(BH283=0,FLOOR((BI283+BJ283)/2,0.1),IF(BI283=0,(BH283+BJ283)/2,IF(BJ283=0,(BI283+BH283)/2,FLOOR(((BH283+BI283+BJ283)/3),0.1))))))))</f>
        <v/>
      </c>
      <c r="BL283" s="21" t="n"/>
      <c r="BM283" s="21" t="n"/>
      <c r="BN283" s="27">
        <f>SUM(BL283:BM283)</f>
        <v/>
      </c>
      <c r="BO283" s="28" t="n"/>
      <c r="BP283" s="31" t="n"/>
      <c r="BQ283" s="29">
        <f>IF(AND(BN283=0,BO283=0,BP283=0),0,IF(AND(BN283=0,BO283=0),BP283/1,IF(AND(BN283=0,BP283=0),BO283/1,IF(AND(BO283=0,BP283=0),BN283/1,IF(BN283=0,FLOOR((BO283+BP283)/2,0.1),IF(BO283=0,(BN283+BP283)/2,IF(BP283=0,(BO283+BN283)/2,FLOOR(((BN283+BO283+BP283)/3),0.1))))))))</f>
        <v/>
      </c>
      <c r="BR283" s="21" t="n"/>
      <c r="BS283" s="21" t="n"/>
      <c r="BT283" s="27">
        <f>SUM(BR283:BS283)</f>
        <v/>
      </c>
      <c r="BU283" s="28" t="n"/>
      <c r="BV283" s="31" t="n"/>
      <c r="BW283" s="29">
        <f>IF(AND(BT283=0,BU283=0,BV283=0),0,IF(AND(BT283=0,BU283=0),BV283/1,IF(AND(BT283=0,BV283=0),BU283/1,IF(AND(BU283=0,BV283=0),BT283/1,IF(BT283=0,FLOOR((BU283+BV283)/2,0.1),IF(BU283=0,(BT283+BV283)/2,IF(BV283=0,(BU283+BT283)/2,FLOOR(((BT283+BU283+BV283)/3),0.1))))))))</f>
        <v/>
      </c>
      <c r="BX283" s="21" t="n"/>
      <c r="BY283" s="21" t="n"/>
      <c r="BZ283" s="27">
        <f>SUM(BX283:BY283)</f>
        <v/>
      </c>
      <c r="CA283" s="28" t="n"/>
      <c r="CB283" s="31" t="n"/>
      <c r="CC283" s="29">
        <f>IF(AND(BZ283=0,CA283=0,CB283=0),0,IF(AND(BZ283=0,CA283=0),CB283/1,IF(AND(BZ283=0,CB283=0),CA283/1,IF(AND(CA283=0,CB283=0),BZ283/1,IF(BZ283=0,FLOOR((CA283+CB283)/2,0.1),IF(CA283=0,(BZ283+CB283)/2,IF(CB283=0,(CA283+BZ283)/2,FLOOR(((BZ283+CA283+CB283)/3),0.1))))))))</f>
        <v/>
      </c>
      <c r="CD283" s="21" t="n"/>
      <c r="CE283" s="21" t="n"/>
      <c r="CF283" s="27">
        <f>SUM(CD283:CE283)</f>
        <v/>
      </c>
      <c r="CG283" s="28" t="n"/>
      <c r="CH283" s="31" t="n"/>
      <c r="CI283" s="29">
        <f>IF(AND(CF283=0,CG283=0,CH283=0),0,IF(AND(CF283=0,CG283=0),CH283/1,IF(AND(CF283=0,CH283=0),CG283/1,IF(AND(CG283=0,CH283=0),CF283/1,IF(CF283=0,FLOOR((CG283+CH283)/2,0.1),IF(CG283=0,(CF283+CH283)/2,IF(CH283=0,(CG283+CF283)/2,FLOOR(((CF283+CG283+CH283)/3),0.1))))))))</f>
        <v/>
      </c>
      <c r="CJ283" s="21" t="n"/>
      <c r="CK283" s="21" t="n"/>
      <c r="CL283" s="27">
        <f>SUM(CJ283:CK283)</f>
        <v/>
      </c>
      <c r="CM283" s="28" t="n"/>
      <c r="CN283" s="31" t="n"/>
      <c r="CO283" s="29">
        <f>IF(AND(CL283=0,CM283=0,CN283=0),0,IF(AND(CL283=0,CM283=0),CN283/1,IF(AND(CL283=0,CN283=0),CM283/1,IF(AND(CM283=0,CN283=0),CL283/1,IF(CL283=0,FLOOR((CM283+CN283)/2,0.1),IF(CM283=0,(CL283+CN283)/2,IF(CN283=0,(CM283+CL283)/2,FLOOR(((CL283+CM283+CN283)/3),0.1))))))))</f>
        <v/>
      </c>
      <c r="CP283" s="21" t="n"/>
      <c r="CQ283" s="21" t="n"/>
      <c r="CR283" s="27">
        <f>SUM(CP283:CQ283)</f>
        <v/>
      </c>
      <c r="CS283" s="28" t="n"/>
      <c r="CT283" s="31" t="n"/>
      <c r="CU283" s="29">
        <f>IF(AND(CR283=0,CS283=0,CT283=0),0,IF(AND(CR283=0,CS283=0),CT283/1,IF(AND(CR283=0,CT283=0),CS283/1,IF(AND(CS283=0,CT283=0),CR283/1,IF(CR283=0,FLOOR((CS283+CT283)/2,0.1),IF(CS283=0,(CR283+CT283)/2,IF(CT283=0,(CS283+CR283)/2,FLOOR(((CR283+CS283+CT283)/3),0.1))))))))</f>
        <v/>
      </c>
      <c r="CV283" s="21" t="n"/>
      <c r="CW283" s="21" t="n"/>
      <c r="CX283" s="27">
        <f>SUM(CV283:CW283)</f>
        <v/>
      </c>
      <c r="CY283" s="28" t="n"/>
      <c r="CZ283" s="31" t="n"/>
      <c r="DA283" s="29">
        <f>IF(AND(CX283=0,CY283=0,CZ283=0),0,IF(AND(CX283=0,CY283=0),CZ283/1,IF(AND(CX283=0,CZ283=0),CY283/1,IF(AND(CY283=0,CZ283=0),CX283/1,IF(CX283=0,FLOOR((CY283+CZ283)/2,0.1),IF(CY283=0,(CX283+CZ283)/2,IF(CZ283=0,(CY283+CX283)/2,FLOOR(((CX283+CY283+CZ283)/3),0.1))))))))</f>
        <v/>
      </c>
      <c r="DB283" s="21" t="n"/>
      <c r="DC283" s="21" t="n"/>
      <c r="DD283" s="27">
        <f>SUM(DB283:DC283)</f>
        <v/>
      </c>
      <c r="DE283" s="28" t="n"/>
      <c r="DF283" s="31" t="n"/>
      <c r="DG283" s="29">
        <f>IF(AND(DD283=0,DE283=0,DF283=0),0,IF(AND(DD283=0,DE283=0),DF283/1,IF(AND(DD283=0,DF283=0),DE283/1,IF(AND(DE283=0,DF283=0),DD283/1,IF(DD283=0,FLOOR((DE283+DF283)/2,0.1),IF(DE283=0,(DD283+DF283)/2,IF(DF283=0,(DE283+DD283)/2,FLOOR(((DD283+DE283+DF283)/3),0.1))))))))</f>
        <v/>
      </c>
      <c r="DH283" s="34">
        <f>SUM(O283,U283,AA283,AG283,AM283,AS283,AY283,BE283,BK283,BQ283,BW283,CC283,CI283,CO283,CU283,DA283,DG283)</f>
        <v/>
      </c>
      <c r="DI283" s="39">
        <f>RANK(DH283,DH$4:DH$503)</f>
        <v/>
      </c>
      <c r="DJ283" s="40" t="inlineStr">
        <is>
          <t>CHOOSE RATING</t>
        </is>
      </c>
      <c r="DK283" s="40" t="inlineStr">
        <is>
          <t>CHOOSE RATING</t>
        </is>
      </c>
      <c r="DL283" s="40" t="inlineStr">
        <is>
          <t>CHOOSE RATING</t>
        </is>
      </c>
      <c r="DM283" s="40" t="inlineStr">
        <is>
          <t>CHOOSE RATING</t>
        </is>
      </c>
      <c r="DN283" s="40" t="inlineStr">
        <is>
          <t>CHOOSE RATING</t>
        </is>
      </c>
      <c r="DO283" s="40" t="inlineStr">
        <is>
          <t>CHOOSE RATING</t>
        </is>
      </c>
      <c r="DP283" s="40" t="inlineStr">
        <is>
          <t>CHOOSE RATING</t>
        </is>
      </c>
      <c r="DQ283" s="40" t="inlineStr">
        <is>
          <t>CHOOSE RATING</t>
        </is>
      </c>
      <c r="DR283" s="43" t="inlineStr">
        <is>
          <t>2024/2025</t>
        </is>
      </c>
      <c r="DS283" s="45" t="inlineStr">
        <is>
          <t>THIRD</t>
        </is>
      </c>
      <c r="DT283" s="40" t="inlineStr">
        <is>
          <t>CHOOSE RATING</t>
        </is>
      </c>
      <c r="DU283" s="40" t="inlineStr">
        <is>
          <t>CHOOSE RATING</t>
        </is>
      </c>
      <c r="DV283" s="40" t="inlineStr">
        <is>
          <t>CHOOSE RATING</t>
        </is>
      </c>
      <c r="DW283" s="40" t="inlineStr">
        <is>
          <t>CHOOSE RATING</t>
        </is>
      </c>
      <c r="DX283" s="40" t="inlineStr">
        <is>
          <t>CHOOSE RATING</t>
        </is>
      </c>
      <c r="DY283" s="40" t="inlineStr">
        <is>
          <t>CHOOSE RATING</t>
        </is>
      </c>
      <c r="DZ283" s="53" t="inlineStr">
        <is>
          <t>CHOOSE RATING</t>
        </is>
      </c>
      <c r="EA283" s="54" t="inlineStr">
        <is>
          <t>Add the Tutor's Comment . . .</t>
        </is>
      </c>
      <c r="EB283" s="55" t="inlineStr">
        <is>
          <t>Choose Principals comment</t>
        </is>
      </c>
      <c r="EC283" s="56" t="n"/>
      <c r="ED283" s="57" t="inlineStr">
        <is>
          <t>Next Term Begins on Monday, 22nd September, 2025</t>
        </is>
      </c>
    </row>
    <row r="284" ht="30.6" customHeight="1" s="6">
      <c r="A284" s="18" t="n">
        <v>281</v>
      </c>
      <c r="B284" s="19" t="n"/>
      <c r="C284" s="20" t="n"/>
      <c r="D284" s="128" t="n"/>
      <c r="E284" s="21" t="n"/>
      <c r="F284" s="22" t="n"/>
      <c r="G284" s="22" t="n"/>
      <c r="H284" s="22" t="n"/>
      <c r="I284" s="26">
        <f>G284-H284</f>
        <v/>
      </c>
      <c r="J284" s="21" t="n"/>
      <c r="K284" s="21" t="n"/>
      <c r="L284" s="27">
        <f>SUM(J284:K284)</f>
        <v/>
      </c>
      <c r="M284" s="28" t="n"/>
      <c r="N284" s="28" t="n"/>
      <c r="O284" s="29">
        <f>IF(AND(L284=0,M284=0,N284=0),0,IF(AND(L284=0,M284=0),N284/1,IF(AND(L284=0,N284=0),M284/1,IF(AND(M284=0,N284=0),L284/1,IF(L284=0,FLOOR((M284+N284)/2,0.1),IF(M284=0,(L284+N284)/2,IF(N284=0,(M284+L284)/2,FLOOR(((L284+M284+N284)/3),0.1))))))))</f>
        <v/>
      </c>
      <c r="P284" s="21" t="n"/>
      <c r="Q284" s="21" t="n"/>
      <c r="R284" s="27">
        <f>SUM(P284:Q284)</f>
        <v/>
      </c>
      <c r="S284" s="28" t="n"/>
      <c r="T284" s="28" t="n"/>
      <c r="U284" s="29">
        <f>IF(AND(R284=0,S284=0,T284=0),0,IF(AND(R284=0,S284=0),T284/1,IF(AND(R284=0,T284=0),S284/1,IF(AND(S284=0,T284=0),R284/1,IF(R284=0,FLOOR((S284+T284)/2,0.1),IF(S284=0,(R284+T284)/2,IF(T284=0,(S284+R284)/2,FLOOR(((R284+S284+T284)/3),0.1))))))))</f>
        <v/>
      </c>
      <c r="V284" s="21" t="n"/>
      <c r="W284" s="21" t="n"/>
      <c r="X284" s="27">
        <f>SUM(V284:W284)</f>
        <v/>
      </c>
      <c r="Y284" s="28" t="n"/>
      <c r="Z284" s="28" t="n"/>
      <c r="AA284" s="29">
        <f>IF(AND(X284=0,Y284=0,Z284=0),0,IF(AND(X284=0,Y284=0),Z284/1,IF(AND(X284=0,Z284=0),Y284/1,IF(AND(Y284=0,Z284=0),X284/1,IF(X284=0,FLOOR((Y284+Z284)/2,0.1),IF(Y284=0,(X284+Z284)/2,IF(Z284=0,(Y284+X284)/2,FLOOR(((X284+Y284+Z284)/3),0.1))))))))</f>
        <v/>
      </c>
      <c r="AB284" s="21" t="n"/>
      <c r="AC284" s="21" t="n"/>
      <c r="AD284" s="27">
        <f>SUM(AB284:AC284)</f>
        <v/>
      </c>
      <c r="AE284" s="28" t="n"/>
      <c r="AF284" s="28" t="n"/>
      <c r="AG284" s="29">
        <f>IF(AND(AD284=0,AE284=0,AF284=0),0,IF(AND(AD284=0,AE284=0),AF284/1,IF(AND(AD284=0,AF284=0),AE284/1,IF(AND(AE284=0,AF284=0),AD284/1,IF(AD284=0,FLOOR((AE284+AF284)/2,0.1),IF(AE284=0,(AD284+AF284)/2,IF(AF284=0,(AE284+AD284)/2,FLOOR(((AD284+AE284+AF284)/3),0.1))))))))</f>
        <v/>
      </c>
      <c r="AH284" s="21" t="n"/>
      <c r="AI284" s="21" t="n"/>
      <c r="AJ284" s="27">
        <f>SUM(AH284:AI284)</f>
        <v/>
      </c>
      <c r="AK284" s="28" t="n"/>
      <c r="AL284" s="28" t="n"/>
      <c r="AM284" s="29">
        <f>IF(AND(AJ284=0,AK284=0,AL284=0),0,IF(AND(AJ284=0,AK284=0),AL284/1,IF(AND(AJ284=0,AL284=0),AK284/1,IF(AND(AK284=0,AL284=0),AJ284/1,IF(AJ284=0,FLOOR((AK284+AL284)/2,0.1),IF(AK284=0,(AJ284+AL284)/2,IF(AL284=0,(AK284+AJ284)/2,FLOOR(((AJ284+AK284+AL284)/3),0.1))))))))</f>
        <v/>
      </c>
      <c r="AN284" s="21" t="n"/>
      <c r="AO284" s="21" t="n"/>
      <c r="AP284" s="27">
        <f>SUM(AN284:AO284)</f>
        <v/>
      </c>
      <c r="AQ284" s="28" t="n"/>
      <c r="AR284" s="30" t="n"/>
      <c r="AS284" s="29">
        <f>IF(AND(AP284=0,AQ284=0,AR284=0),0,IF(AND(AP284=0,AQ284=0),AR284/1,IF(AND(AP284=0,AR284=0),AQ284/1,IF(AND(AQ284=0,AR284=0),AP284/1,IF(AP284=0,FLOOR((AQ284+AR284)/2,0.1),IF(AQ284=0,(AP284+AR284)/2,IF(AR284=0,(AQ284+AP284)/2,FLOOR(((AP284+AQ284+AR284)/3),0.1))))))))</f>
        <v/>
      </c>
      <c r="AT284" s="21" t="n"/>
      <c r="AU284" s="21" t="n"/>
      <c r="AV284" s="27">
        <f>SUM(AT284:AU284)</f>
        <v/>
      </c>
      <c r="AW284" s="28" t="n"/>
      <c r="AX284" s="30" t="n"/>
      <c r="AY284" s="29">
        <f>IF(AND(AV284=0,AW284=0,AX284=0),0,IF(AND(AV284=0,AW284=0),AX284/1,IF(AND(AV284=0,AX284=0),AW284/1,IF(AND(AW284=0,AX284=0),AV284/1,IF(AV284=0,FLOOR((AW284+AX284)/2,0.1),IF(AW284=0,(AV284+AX284)/2,IF(AX284=0,(AW284+AV284)/2,FLOOR(((AV284+AW284+AX284)/3),0.1))))))))</f>
        <v/>
      </c>
      <c r="AZ284" s="21" t="n"/>
      <c r="BA284" s="21" t="n"/>
      <c r="BB284" s="27">
        <f>SUM(AZ284:BA284)</f>
        <v/>
      </c>
      <c r="BC284" s="28" t="n"/>
      <c r="BD284" s="28" t="n"/>
      <c r="BE284" s="29">
        <f>IF(AND(BB284=0,BC284=0,BD284=0),0,IF(AND(BB284=0,BC284=0),BD284/1,IF(AND(BB284=0,BD284=0),BC284/1,IF(AND(BC284=0,BD284=0),BB284/1,IF(BB284=0,FLOOR((BC284+BD284)/2,0.1),IF(BC284=0,(BB284+BD284)/2,IF(BD284=0,(BC284+BB284)/2,FLOOR(((BB284+BC284+BD284)/3),0.1))))))))</f>
        <v/>
      </c>
      <c r="BF284" s="21" t="n"/>
      <c r="BG284" s="21" t="n"/>
      <c r="BH284" s="27">
        <f>SUM(BF284:BG284)</f>
        <v/>
      </c>
      <c r="BI284" s="28" t="n"/>
      <c r="BJ284" s="28" t="n"/>
      <c r="BK284" s="29">
        <f>IF(AND(BH284=0,BI284=0,BJ284=0),0,IF(AND(BH284=0,BI284=0),BJ284/1,IF(AND(BH284=0,BJ284=0),BI284/1,IF(AND(BI284=0,BJ284=0),BH284/1,IF(BH284=0,FLOOR((BI284+BJ284)/2,0.1),IF(BI284=0,(BH284+BJ284)/2,IF(BJ284=0,(BI284+BH284)/2,FLOOR(((BH284+BI284+BJ284)/3),0.1))))))))</f>
        <v/>
      </c>
      <c r="BL284" s="21" t="n"/>
      <c r="BM284" s="21" t="n"/>
      <c r="BN284" s="27">
        <f>SUM(BL284:BM284)</f>
        <v/>
      </c>
      <c r="BO284" s="28" t="n"/>
      <c r="BP284" s="31" t="n"/>
      <c r="BQ284" s="29">
        <f>IF(AND(BN284=0,BO284=0,BP284=0),0,IF(AND(BN284=0,BO284=0),BP284/1,IF(AND(BN284=0,BP284=0),BO284/1,IF(AND(BO284=0,BP284=0),BN284/1,IF(BN284=0,FLOOR((BO284+BP284)/2,0.1),IF(BO284=0,(BN284+BP284)/2,IF(BP284=0,(BO284+BN284)/2,FLOOR(((BN284+BO284+BP284)/3),0.1))))))))</f>
        <v/>
      </c>
      <c r="BR284" s="21" t="n"/>
      <c r="BS284" s="21" t="n"/>
      <c r="BT284" s="27">
        <f>SUM(BR284:BS284)</f>
        <v/>
      </c>
      <c r="BU284" s="28" t="n"/>
      <c r="BV284" s="31" t="n"/>
      <c r="BW284" s="29">
        <f>IF(AND(BT284=0,BU284=0,BV284=0),0,IF(AND(BT284=0,BU284=0),BV284/1,IF(AND(BT284=0,BV284=0),BU284/1,IF(AND(BU284=0,BV284=0),BT284/1,IF(BT284=0,FLOOR((BU284+BV284)/2,0.1),IF(BU284=0,(BT284+BV284)/2,IF(BV284=0,(BU284+BT284)/2,FLOOR(((BT284+BU284+BV284)/3),0.1))))))))</f>
        <v/>
      </c>
      <c r="BX284" s="21" t="n"/>
      <c r="BY284" s="21" t="n"/>
      <c r="BZ284" s="27">
        <f>SUM(BX284:BY284)</f>
        <v/>
      </c>
      <c r="CA284" s="28" t="n"/>
      <c r="CB284" s="31" t="n"/>
      <c r="CC284" s="29">
        <f>IF(AND(BZ284=0,CA284=0,CB284=0),0,IF(AND(BZ284=0,CA284=0),CB284/1,IF(AND(BZ284=0,CB284=0),CA284/1,IF(AND(CA284=0,CB284=0),BZ284/1,IF(BZ284=0,FLOOR((CA284+CB284)/2,0.1),IF(CA284=0,(BZ284+CB284)/2,IF(CB284=0,(CA284+BZ284)/2,FLOOR(((BZ284+CA284+CB284)/3),0.1))))))))</f>
        <v/>
      </c>
      <c r="CD284" s="21" t="n"/>
      <c r="CE284" s="21" t="n"/>
      <c r="CF284" s="27">
        <f>SUM(CD284:CE284)</f>
        <v/>
      </c>
      <c r="CG284" s="28" t="n"/>
      <c r="CH284" s="31" t="n"/>
      <c r="CI284" s="29">
        <f>IF(AND(CF284=0,CG284=0,CH284=0),0,IF(AND(CF284=0,CG284=0),CH284/1,IF(AND(CF284=0,CH284=0),CG284/1,IF(AND(CG284=0,CH284=0),CF284/1,IF(CF284=0,FLOOR((CG284+CH284)/2,0.1),IF(CG284=0,(CF284+CH284)/2,IF(CH284=0,(CG284+CF284)/2,FLOOR(((CF284+CG284+CH284)/3),0.1))))))))</f>
        <v/>
      </c>
      <c r="CJ284" s="21" t="n"/>
      <c r="CK284" s="21" t="n"/>
      <c r="CL284" s="27">
        <f>SUM(CJ284:CK284)</f>
        <v/>
      </c>
      <c r="CM284" s="28" t="n"/>
      <c r="CN284" s="31" t="n"/>
      <c r="CO284" s="29">
        <f>IF(AND(CL284=0,CM284=0,CN284=0),0,IF(AND(CL284=0,CM284=0),CN284/1,IF(AND(CL284=0,CN284=0),CM284/1,IF(AND(CM284=0,CN284=0),CL284/1,IF(CL284=0,FLOOR((CM284+CN284)/2,0.1),IF(CM284=0,(CL284+CN284)/2,IF(CN284=0,(CM284+CL284)/2,FLOOR(((CL284+CM284+CN284)/3),0.1))))))))</f>
        <v/>
      </c>
      <c r="CP284" s="21" t="n"/>
      <c r="CQ284" s="21" t="n"/>
      <c r="CR284" s="27">
        <f>SUM(CP284:CQ284)</f>
        <v/>
      </c>
      <c r="CS284" s="28" t="n"/>
      <c r="CT284" s="31" t="n"/>
      <c r="CU284" s="29">
        <f>IF(AND(CR284=0,CS284=0,CT284=0),0,IF(AND(CR284=0,CS284=0),CT284/1,IF(AND(CR284=0,CT284=0),CS284/1,IF(AND(CS284=0,CT284=0),CR284/1,IF(CR284=0,FLOOR((CS284+CT284)/2,0.1),IF(CS284=0,(CR284+CT284)/2,IF(CT284=0,(CS284+CR284)/2,FLOOR(((CR284+CS284+CT284)/3),0.1))))))))</f>
        <v/>
      </c>
      <c r="CV284" s="21" t="n"/>
      <c r="CW284" s="21" t="n"/>
      <c r="CX284" s="27">
        <f>SUM(CV284:CW284)</f>
        <v/>
      </c>
      <c r="CY284" s="28" t="n"/>
      <c r="CZ284" s="31" t="n"/>
      <c r="DA284" s="29">
        <f>IF(AND(CX284=0,CY284=0,CZ284=0),0,IF(AND(CX284=0,CY284=0),CZ284/1,IF(AND(CX284=0,CZ284=0),CY284/1,IF(AND(CY284=0,CZ284=0),CX284/1,IF(CX284=0,FLOOR((CY284+CZ284)/2,0.1),IF(CY284=0,(CX284+CZ284)/2,IF(CZ284=0,(CY284+CX284)/2,FLOOR(((CX284+CY284+CZ284)/3),0.1))))))))</f>
        <v/>
      </c>
      <c r="DB284" s="21" t="n"/>
      <c r="DC284" s="21" t="n"/>
      <c r="DD284" s="27">
        <f>SUM(DB284:DC284)</f>
        <v/>
      </c>
      <c r="DE284" s="28" t="n"/>
      <c r="DF284" s="31" t="n"/>
      <c r="DG284" s="29">
        <f>IF(AND(DD284=0,DE284=0,DF284=0),0,IF(AND(DD284=0,DE284=0),DF284/1,IF(AND(DD284=0,DF284=0),DE284/1,IF(AND(DE284=0,DF284=0),DD284/1,IF(DD284=0,FLOOR((DE284+DF284)/2,0.1),IF(DE284=0,(DD284+DF284)/2,IF(DF284=0,(DE284+DD284)/2,FLOOR(((DD284+DE284+DF284)/3),0.1))))))))</f>
        <v/>
      </c>
      <c r="DH284" s="34">
        <f>SUM(O284,U284,AA284,AG284,AM284,AS284,AY284,BE284,BK284,BQ284,BW284,CC284,CI284,CO284,CU284,DA284,DG284)</f>
        <v/>
      </c>
      <c r="DI284" s="39">
        <f>RANK(DH284,DH$4:DH$503)</f>
        <v/>
      </c>
      <c r="DJ284" s="40" t="inlineStr">
        <is>
          <t>CHOOSE RATING</t>
        </is>
      </c>
      <c r="DK284" s="40" t="inlineStr">
        <is>
          <t>CHOOSE RATING</t>
        </is>
      </c>
      <c r="DL284" s="40" t="inlineStr">
        <is>
          <t>CHOOSE RATING</t>
        </is>
      </c>
      <c r="DM284" s="40" t="inlineStr">
        <is>
          <t>CHOOSE RATING</t>
        </is>
      </c>
      <c r="DN284" s="40" t="inlineStr">
        <is>
          <t>CHOOSE RATING</t>
        </is>
      </c>
      <c r="DO284" s="40" t="inlineStr">
        <is>
          <t>CHOOSE RATING</t>
        </is>
      </c>
      <c r="DP284" s="40" t="inlineStr">
        <is>
          <t>CHOOSE RATING</t>
        </is>
      </c>
      <c r="DQ284" s="40" t="inlineStr">
        <is>
          <t>CHOOSE RATING</t>
        </is>
      </c>
      <c r="DR284" s="43" t="inlineStr">
        <is>
          <t>2024/2025</t>
        </is>
      </c>
      <c r="DS284" s="45" t="inlineStr">
        <is>
          <t>THIRD</t>
        </is>
      </c>
      <c r="DT284" s="40" t="inlineStr">
        <is>
          <t>CHOOSE RATING</t>
        </is>
      </c>
      <c r="DU284" s="40" t="inlineStr">
        <is>
          <t>CHOOSE RATING</t>
        </is>
      </c>
      <c r="DV284" s="40" t="inlineStr">
        <is>
          <t>CHOOSE RATING</t>
        </is>
      </c>
      <c r="DW284" s="40" t="inlineStr">
        <is>
          <t>CHOOSE RATING</t>
        </is>
      </c>
      <c r="DX284" s="40" t="inlineStr">
        <is>
          <t>CHOOSE RATING</t>
        </is>
      </c>
      <c r="DY284" s="40" t="inlineStr">
        <is>
          <t>CHOOSE RATING</t>
        </is>
      </c>
      <c r="DZ284" s="53" t="inlineStr">
        <is>
          <t>CHOOSE RATING</t>
        </is>
      </c>
      <c r="EA284" s="54" t="inlineStr">
        <is>
          <t>Add the Tutor's Comment . . .</t>
        </is>
      </c>
      <c r="EB284" s="55" t="inlineStr">
        <is>
          <t>Choose Principals comment</t>
        </is>
      </c>
      <c r="EC284" s="56" t="n"/>
      <c r="ED284" s="57" t="inlineStr">
        <is>
          <t>Next Term Begins on Monday, 22nd September, 2025</t>
        </is>
      </c>
    </row>
    <row r="285" ht="30.6" customHeight="1" s="6">
      <c r="A285" s="18" t="n">
        <v>282</v>
      </c>
      <c r="B285" s="19" t="n"/>
      <c r="C285" s="20" t="n"/>
      <c r="D285" s="128" t="n"/>
      <c r="E285" s="21" t="n"/>
      <c r="F285" s="22" t="n"/>
      <c r="G285" s="22" t="n"/>
      <c r="H285" s="22" t="n"/>
      <c r="I285" s="26">
        <f>G285-H285</f>
        <v/>
      </c>
      <c r="J285" s="21" t="n"/>
      <c r="K285" s="21" t="n"/>
      <c r="L285" s="27">
        <f>SUM(J285:K285)</f>
        <v/>
      </c>
      <c r="M285" s="28" t="n"/>
      <c r="N285" s="28" t="n"/>
      <c r="O285" s="29">
        <f>IF(AND(L285=0,M285=0,N285=0),0,IF(AND(L285=0,M285=0),N285/1,IF(AND(L285=0,N285=0),M285/1,IF(AND(M285=0,N285=0),L285/1,IF(L285=0,FLOOR((M285+N285)/2,0.1),IF(M285=0,(L285+N285)/2,IF(N285=0,(M285+L285)/2,FLOOR(((L285+M285+N285)/3),0.1))))))))</f>
        <v/>
      </c>
      <c r="P285" s="21" t="n"/>
      <c r="Q285" s="21" t="n"/>
      <c r="R285" s="27">
        <f>SUM(P285:Q285)</f>
        <v/>
      </c>
      <c r="S285" s="28" t="n"/>
      <c r="T285" s="28" t="n"/>
      <c r="U285" s="29">
        <f>IF(AND(R285=0,S285=0,T285=0),0,IF(AND(R285=0,S285=0),T285/1,IF(AND(R285=0,T285=0),S285/1,IF(AND(S285=0,T285=0),R285/1,IF(R285=0,FLOOR((S285+T285)/2,0.1),IF(S285=0,(R285+T285)/2,IF(T285=0,(S285+R285)/2,FLOOR(((R285+S285+T285)/3),0.1))))))))</f>
        <v/>
      </c>
      <c r="V285" s="21" t="n"/>
      <c r="W285" s="21" t="n"/>
      <c r="X285" s="27">
        <f>SUM(V285:W285)</f>
        <v/>
      </c>
      <c r="Y285" s="28" t="n"/>
      <c r="Z285" s="28" t="n"/>
      <c r="AA285" s="29">
        <f>IF(AND(X285=0,Y285=0,Z285=0),0,IF(AND(X285=0,Y285=0),Z285/1,IF(AND(X285=0,Z285=0),Y285/1,IF(AND(Y285=0,Z285=0),X285/1,IF(X285=0,FLOOR((Y285+Z285)/2,0.1),IF(Y285=0,(X285+Z285)/2,IF(Z285=0,(Y285+X285)/2,FLOOR(((X285+Y285+Z285)/3),0.1))))))))</f>
        <v/>
      </c>
      <c r="AB285" s="21" t="n"/>
      <c r="AC285" s="21" t="n"/>
      <c r="AD285" s="27">
        <f>SUM(AB285:AC285)</f>
        <v/>
      </c>
      <c r="AE285" s="28" t="n"/>
      <c r="AF285" s="28" t="n"/>
      <c r="AG285" s="29">
        <f>IF(AND(AD285=0,AE285=0,AF285=0),0,IF(AND(AD285=0,AE285=0),AF285/1,IF(AND(AD285=0,AF285=0),AE285/1,IF(AND(AE285=0,AF285=0),AD285/1,IF(AD285=0,FLOOR((AE285+AF285)/2,0.1),IF(AE285=0,(AD285+AF285)/2,IF(AF285=0,(AE285+AD285)/2,FLOOR(((AD285+AE285+AF285)/3),0.1))))))))</f>
        <v/>
      </c>
      <c r="AH285" s="21" t="n"/>
      <c r="AI285" s="21" t="n"/>
      <c r="AJ285" s="27">
        <f>SUM(AH285:AI285)</f>
        <v/>
      </c>
      <c r="AK285" s="28" t="n"/>
      <c r="AL285" s="28" t="n"/>
      <c r="AM285" s="29">
        <f>IF(AND(AJ285=0,AK285=0,AL285=0),0,IF(AND(AJ285=0,AK285=0),AL285/1,IF(AND(AJ285=0,AL285=0),AK285/1,IF(AND(AK285=0,AL285=0),AJ285/1,IF(AJ285=0,FLOOR((AK285+AL285)/2,0.1),IF(AK285=0,(AJ285+AL285)/2,IF(AL285=0,(AK285+AJ285)/2,FLOOR(((AJ285+AK285+AL285)/3),0.1))))))))</f>
        <v/>
      </c>
      <c r="AN285" s="21" t="n"/>
      <c r="AO285" s="21" t="n"/>
      <c r="AP285" s="27">
        <f>SUM(AN285:AO285)</f>
        <v/>
      </c>
      <c r="AQ285" s="28" t="n"/>
      <c r="AR285" s="30" t="n"/>
      <c r="AS285" s="29">
        <f>IF(AND(AP285=0,AQ285=0,AR285=0),0,IF(AND(AP285=0,AQ285=0),AR285/1,IF(AND(AP285=0,AR285=0),AQ285/1,IF(AND(AQ285=0,AR285=0),AP285/1,IF(AP285=0,FLOOR((AQ285+AR285)/2,0.1),IF(AQ285=0,(AP285+AR285)/2,IF(AR285=0,(AQ285+AP285)/2,FLOOR(((AP285+AQ285+AR285)/3),0.1))))))))</f>
        <v/>
      </c>
      <c r="AT285" s="21" t="n"/>
      <c r="AU285" s="21" t="n"/>
      <c r="AV285" s="27">
        <f>SUM(AT285:AU285)</f>
        <v/>
      </c>
      <c r="AW285" s="28" t="n"/>
      <c r="AX285" s="30" t="n"/>
      <c r="AY285" s="29">
        <f>IF(AND(AV285=0,AW285=0,AX285=0),0,IF(AND(AV285=0,AW285=0),AX285/1,IF(AND(AV285=0,AX285=0),AW285/1,IF(AND(AW285=0,AX285=0),AV285/1,IF(AV285=0,FLOOR((AW285+AX285)/2,0.1),IF(AW285=0,(AV285+AX285)/2,IF(AX285=0,(AW285+AV285)/2,FLOOR(((AV285+AW285+AX285)/3),0.1))))))))</f>
        <v/>
      </c>
      <c r="AZ285" s="21" t="n"/>
      <c r="BA285" s="21" t="n"/>
      <c r="BB285" s="27">
        <f>SUM(AZ285:BA285)</f>
        <v/>
      </c>
      <c r="BC285" s="28" t="n"/>
      <c r="BD285" s="28" t="n"/>
      <c r="BE285" s="29">
        <f>IF(AND(BB285=0,BC285=0,BD285=0),0,IF(AND(BB285=0,BC285=0),BD285/1,IF(AND(BB285=0,BD285=0),BC285/1,IF(AND(BC285=0,BD285=0),BB285/1,IF(BB285=0,FLOOR((BC285+BD285)/2,0.1),IF(BC285=0,(BB285+BD285)/2,IF(BD285=0,(BC285+BB285)/2,FLOOR(((BB285+BC285+BD285)/3),0.1))))))))</f>
        <v/>
      </c>
      <c r="BF285" s="21" t="n"/>
      <c r="BG285" s="21" t="n"/>
      <c r="BH285" s="27">
        <f>SUM(BF285:BG285)</f>
        <v/>
      </c>
      <c r="BI285" s="28" t="n"/>
      <c r="BJ285" s="28" t="n"/>
      <c r="BK285" s="29">
        <f>IF(AND(BH285=0,BI285=0,BJ285=0),0,IF(AND(BH285=0,BI285=0),BJ285/1,IF(AND(BH285=0,BJ285=0),BI285/1,IF(AND(BI285=0,BJ285=0),BH285/1,IF(BH285=0,FLOOR((BI285+BJ285)/2,0.1),IF(BI285=0,(BH285+BJ285)/2,IF(BJ285=0,(BI285+BH285)/2,FLOOR(((BH285+BI285+BJ285)/3),0.1))))))))</f>
        <v/>
      </c>
      <c r="BL285" s="21" t="n"/>
      <c r="BM285" s="21" t="n"/>
      <c r="BN285" s="27">
        <f>SUM(BL285:BM285)</f>
        <v/>
      </c>
      <c r="BO285" s="28" t="n"/>
      <c r="BP285" s="31" t="n"/>
      <c r="BQ285" s="29">
        <f>IF(AND(BN285=0,BO285=0,BP285=0),0,IF(AND(BN285=0,BO285=0),BP285/1,IF(AND(BN285=0,BP285=0),BO285/1,IF(AND(BO285=0,BP285=0),BN285/1,IF(BN285=0,FLOOR((BO285+BP285)/2,0.1),IF(BO285=0,(BN285+BP285)/2,IF(BP285=0,(BO285+BN285)/2,FLOOR(((BN285+BO285+BP285)/3),0.1))))))))</f>
        <v/>
      </c>
      <c r="BR285" s="21" t="n"/>
      <c r="BS285" s="21" t="n"/>
      <c r="BT285" s="27">
        <f>SUM(BR285:BS285)</f>
        <v/>
      </c>
      <c r="BU285" s="28" t="n"/>
      <c r="BV285" s="31" t="n"/>
      <c r="BW285" s="29">
        <f>IF(AND(BT285=0,BU285=0,BV285=0),0,IF(AND(BT285=0,BU285=0),BV285/1,IF(AND(BT285=0,BV285=0),BU285/1,IF(AND(BU285=0,BV285=0),BT285/1,IF(BT285=0,FLOOR((BU285+BV285)/2,0.1),IF(BU285=0,(BT285+BV285)/2,IF(BV285=0,(BU285+BT285)/2,FLOOR(((BT285+BU285+BV285)/3),0.1))))))))</f>
        <v/>
      </c>
      <c r="BX285" s="21" t="n"/>
      <c r="BY285" s="21" t="n"/>
      <c r="BZ285" s="27">
        <f>SUM(BX285:BY285)</f>
        <v/>
      </c>
      <c r="CA285" s="28" t="n"/>
      <c r="CB285" s="31" t="n"/>
      <c r="CC285" s="29">
        <f>IF(AND(BZ285=0,CA285=0,CB285=0),0,IF(AND(BZ285=0,CA285=0),CB285/1,IF(AND(BZ285=0,CB285=0),CA285/1,IF(AND(CA285=0,CB285=0),BZ285/1,IF(BZ285=0,FLOOR((CA285+CB285)/2,0.1),IF(CA285=0,(BZ285+CB285)/2,IF(CB285=0,(CA285+BZ285)/2,FLOOR(((BZ285+CA285+CB285)/3),0.1))))))))</f>
        <v/>
      </c>
      <c r="CD285" s="21" t="n"/>
      <c r="CE285" s="21" t="n"/>
      <c r="CF285" s="27">
        <f>SUM(CD285:CE285)</f>
        <v/>
      </c>
      <c r="CG285" s="28" t="n"/>
      <c r="CH285" s="31" t="n"/>
      <c r="CI285" s="29">
        <f>IF(AND(CF285=0,CG285=0,CH285=0),0,IF(AND(CF285=0,CG285=0),CH285/1,IF(AND(CF285=0,CH285=0),CG285/1,IF(AND(CG285=0,CH285=0),CF285/1,IF(CF285=0,FLOOR((CG285+CH285)/2,0.1),IF(CG285=0,(CF285+CH285)/2,IF(CH285=0,(CG285+CF285)/2,FLOOR(((CF285+CG285+CH285)/3),0.1))))))))</f>
        <v/>
      </c>
      <c r="CJ285" s="21" t="n"/>
      <c r="CK285" s="21" t="n"/>
      <c r="CL285" s="27">
        <f>SUM(CJ285:CK285)</f>
        <v/>
      </c>
      <c r="CM285" s="28" t="n"/>
      <c r="CN285" s="31" t="n"/>
      <c r="CO285" s="29">
        <f>IF(AND(CL285=0,CM285=0,CN285=0),0,IF(AND(CL285=0,CM285=0),CN285/1,IF(AND(CL285=0,CN285=0),CM285/1,IF(AND(CM285=0,CN285=0),CL285/1,IF(CL285=0,FLOOR((CM285+CN285)/2,0.1),IF(CM285=0,(CL285+CN285)/2,IF(CN285=0,(CM285+CL285)/2,FLOOR(((CL285+CM285+CN285)/3),0.1))))))))</f>
        <v/>
      </c>
      <c r="CP285" s="21" t="n"/>
      <c r="CQ285" s="21" t="n"/>
      <c r="CR285" s="27">
        <f>SUM(CP285:CQ285)</f>
        <v/>
      </c>
      <c r="CS285" s="28" t="n"/>
      <c r="CT285" s="31" t="n"/>
      <c r="CU285" s="29">
        <f>IF(AND(CR285=0,CS285=0,CT285=0),0,IF(AND(CR285=0,CS285=0),CT285/1,IF(AND(CR285=0,CT285=0),CS285/1,IF(AND(CS285=0,CT285=0),CR285/1,IF(CR285=0,FLOOR((CS285+CT285)/2,0.1),IF(CS285=0,(CR285+CT285)/2,IF(CT285=0,(CS285+CR285)/2,FLOOR(((CR285+CS285+CT285)/3),0.1))))))))</f>
        <v/>
      </c>
      <c r="CV285" s="21" t="n"/>
      <c r="CW285" s="21" t="n"/>
      <c r="CX285" s="27">
        <f>SUM(CV285:CW285)</f>
        <v/>
      </c>
      <c r="CY285" s="28" t="n"/>
      <c r="CZ285" s="31" t="n"/>
      <c r="DA285" s="29">
        <f>IF(AND(CX285=0,CY285=0,CZ285=0),0,IF(AND(CX285=0,CY285=0),CZ285/1,IF(AND(CX285=0,CZ285=0),CY285/1,IF(AND(CY285=0,CZ285=0),CX285/1,IF(CX285=0,FLOOR((CY285+CZ285)/2,0.1),IF(CY285=0,(CX285+CZ285)/2,IF(CZ285=0,(CY285+CX285)/2,FLOOR(((CX285+CY285+CZ285)/3),0.1))))))))</f>
        <v/>
      </c>
      <c r="DB285" s="21" t="n"/>
      <c r="DC285" s="21" t="n"/>
      <c r="DD285" s="27">
        <f>SUM(DB285:DC285)</f>
        <v/>
      </c>
      <c r="DE285" s="28" t="n"/>
      <c r="DF285" s="31" t="n"/>
      <c r="DG285" s="29">
        <f>IF(AND(DD285=0,DE285=0,DF285=0),0,IF(AND(DD285=0,DE285=0),DF285/1,IF(AND(DD285=0,DF285=0),DE285/1,IF(AND(DE285=0,DF285=0),DD285/1,IF(DD285=0,FLOOR((DE285+DF285)/2,0.1),IF(DE285=0,(DD285+DF285)/2,IF(DF285=0,(DE285+DD285)/2,FLOOR(((DD285+DE285+DF285)/3),0.1))))))))</f>
        <v/>
      </c>
      <c r="DH285" s="34">
        <f>SUM(O285,U285,AA285,AG285,AM285,AS285,AY285,BE285,BK285,BQ285,BW285,CC285,CI285,CO285,CU285,DA285,DG285)</f>
        <v/>
      </c>
      <c r="DI285" s="39">
        <f>RANK(DH285,DH$4:DH$503)</f>
        <v/>
      </c>
      <c r="DJ285" s="40" t="inlineStr">
        <is>
          <t>CHOOSE RATING</t>
        </is>
      </c>
      <c r="DK285" s="40" t="inlineStr">
        <is>
          <t>CHOOSE RATING</t>
        </is>
      </c>
      <c r="DL285" s="40" t="inlineStr">
        <is>
          <t>CHOOSE RATING</t>
        </is>
      </c>
      <c r="DM285" s="40" t="inlineStr">
        <is>
          <t>CHOOSE RATING</t>
        </is>
      </c>
      <c r="DN285" s="40" t="inlineStr">
        <is>
          <t>CHOOSE RATING</t>
        </is>
      </c>
      <c r="DO285" s="40" t="inlineStr">
        <is>
          <t>CHOOSE RATING</t>
        </is>
      </c>
      <c r="DP285" s="40" t="inlineStr">
        <is>
          <t>CHOOSE RATING</t>
        </is>
      </c>
      <c r="DQ285" s="40" t="inlineStr">
        <is>
          <t>CHOOSE RATING</t>
        </is>
      </c>
      <c r="DR285" s="43" t="inlineStr">
        <is>
          <t>2024/2025</t>
        </is>
      </c>
      <c r="DS285" s="45" t="inlineStr">
        <is>
          <t>THIRD</t>
        </is>
      </c>
      <c r="DT285" s="40" t="inlineStr">
        <is>
          <t>CHOOSE RATING</t>
        </is>
      </c>
      <c r="DU285" s="40" t="inlineStr">
        <is>
          <t>CHOOSE RATING</t>
        </is>
      </c>
      <c r="DV285" s="40" t="inlineStr">
        <is>
          <t>CHOOSE RATING</t>
        </is>
      </c>
      <c r="DW285" s="40" t="inlineStr">
        <is>
          <t>CHOOSE RATING</t>
        </is>
      </c>
      <c r="DX285" s="40" t="inlineStr">
        <is>
          <t>CHOOSE RATING</t>
        </is>
      </c>
      <c r="DY285" s="40" t="inlineStr">
        <is>
          <t>CHOOSE RATING</t>
        </is>
      </c>
      <c r="DZ285" s="53" t="inlineStr">
        <is>
          <t>CHOOSE RATING</t>
        </is>
      </c>
      <c r="EA285" s="54" t="inlineStr">
        <is>
          <t>Add the Tutor's Comment . . .</t>
        </is>
      </c>
      <c r="EB285" s="55" t="inlineStr">
        <is>
          <t>Choose Principals comment</t>
        </is>
      </c>
      <c r="EC285" s="56" t="n"/>
      <c r="ED285" s="57" t="inlineStr">
        <is>
          <t>Next Term Begins on Monday, 22nd September, 2025</t>
        </is>
      </c>
    </row>
    <row r="286" ht="30.6" customHeight="1" s="6">
      <c r="A286" s="18" t="n">
        <v>283</v>
      </c>
      <c r="B286" s="19" t="n"/>
      <c r="C286" s="20" t="n"/>
      <c r="D286" s="128" t="n"/>
      <c r="E286" s="21" t="n"/>
      <c r="F286" s="22" t="n"/>
      <c r="G286" s="22" t="n"/>
      <c r="H286" s="22" t="n"/>
      <c r="I286" s="26">
        <f>G286-H286</f>
        <v/>
      </c>
      <c r="J286" s="21" t="n"/>
      <c r="K286" s="21" t="n"/>
      <c r="L286" s="27">
        <f>SUM(J286:K286)</f>
        <v/>
      </c>
      <c r="M286" s="28" t="n"/>
      <c r="N286" s="28" t="n"/>
      <c r="O286" s="29">
        <f>IF(AND(L286=0,M286=0,N286=0),0,IF(AND(L286=0,M286=0),N286/1,IF(AND(L286=0,N286=0),M286/1,IF(AND(M286=0,N286=0),L286/1,IF(L286=0,FLOOR((M286+N286)/2,0.1),IF(M286=0,(L286+N286)/2,IF(N286=0,(M286+L286)/2,FLOOR(((L286+M286+N286)/3),0.1))))))))</f>
        <v/>
      </c>
      <c r="P286" s="21" t="n"/>
      <c r="Q286" s="21" t="n"/>
      <c r="R286" s="27">
        <f>SUM(P286:Q286)</f>
        <v/>
      </c>
      <c r="S286" s="28" t="n"/>
      <c r="T286" s="28" t="n"/>
      <c r="U286" s="29">
        <f>IF(AND(R286=0,S286=0,T286=0),0,IF(AND(R286=0,S286=0),T286/1,IF(AND(R286=0,T286=0),S286/1,IF(AND(S286=0,T286=0),R286/1,IF(R286=0,FLOOR((S286+T286)/2,0.1),IF(S286=0,(R286+T286)/2,IF(T286=0,(S286+R286)/2,FLOOR(((R286+S286+T286)/3),0.1))))))))</f>
        <v/>
      </c>
      <c r="V286" s="21" t="n"/>
      <c r="W286" s="21" t="n"/>
      <c r="X286" s="27">
        <f>SUM(V286:W286)</f>
        <v/>
      </c>
      <c r="Y286" s="28" t="n"/>
      <c r="Z286" s="28" t="n"/>
      <c r="AA286" s="29">
        <f>IF(AND(X286=0,Y286=0,Z286=0),0,IF(AND(X286=0,Y286=0),Z286/1,IF(AND(X286=0,Z286=0),Y286/1,IF(AND(Y286=0,Z286=0),X286/1,IF(X286=0,FLOOR((Y286+Z286)/2,0.1),IF(Y286=0,(X286+Z286)/2,IF(Z286=0,(Y286+X286)/2,FLOOR(((X286+Y286+Z286)/3),0.1))))))))</f>
        <v/>
      </c>
      <c r="AB286" s="21" t="n"/>
      <c r="AC286" s="21" t="n"/>
      <c r="AD286" s="27">
        <f>SUM(AB286:AC286)</f>
        <v/>
      </c>
      <c r="AE286" s="28" t="n"/>
      <c r="AF286" s="28" t="n"/>
      <c r="AG286" s="29">
        <f>IF(AND(AD286=0,AE286=0,AF286=0),0,IF(AND(AD286=0,AE286=0),AF286/1,IF(AND(AD286=0,AF286=0),AE286/1,IF(AND(AE286=0,AF286=0),AD286/1,IF(AD286=0,FLOOR((AE286+AF286)/2,0.1),IF(AE286=0,(AD286+AF286)/2,IF(AF286=0,(AE286+AD286)/2,FLOOR(((AD286+AE286+AF286)/3),0.1))))))))</f>
        <v/>
      </c>
      <c r="AH286" s="21" t="n"/>
      <c r="AI286" s="21" t="n"/>
      <c r="AJ286" s="27">
        <f>SUM(AH286:AI286)</f>
        <v/>
      </c>
      <c r="AK286" s="28" t="n"/>
      <c r="AL286" s="28" t="n"/>
      <c r="AM286" s="29">
        <f>IF(AND(AJ286=0,AK286=0,AL286=0),0,IF(AND(AJ286=0,AK286=0),AL286/1,IF(AND(AJ286=0,AL286=0),AK286/1,IF(AND(AK286=0,AL286=0),AJ286/1,IF(AJ286=0,FLOOR((AK286+AL286)/2,0.1),IF(AK286=0,(AJ286+AL286)/2,IF(AL286=0,(AK286+AJ286)/2,FLOOR(((AJ286+AK286+AL286)/3),0.1))))))))</f>
        <v/>
      </c>
      <c r="AN286" s="21" t="n"/>
      <c r="AO286" s="21" t="n"/>
      <c r="AP286" s="27">
        <f>SUM(AN286:AO286)</f>
        <v/>
      </c>
      <c r="AQ286" s="28" t="n"/>
      <c r="AR286" s="30" t="n"/>
      <c r="AS286" s="29">
        <f>IF(AND(AP286=0,AQ286=0,AR286=0),0,IF(AND(AP286=0,AQ286=0),AR286/1,IF(AND(AP286=0,AR286=0),AQ286/1,IF(AND(AQ286=0,AR286=0),AP286/1,IF(AP286=0,FLOOR((AQ286+AR286)/2,0.1),IF(AQ286=0,(AP286+AR286)/2,IF(AR286=0,(AQ286+AP286)/2,FLOOR(((AP286+AQ286+AR286)/3),0.1))))))))</f>
        <v/>
      </c>
      <c r="AT286" s="21" t="n"/>
      <c r="AU286" s="21" t="n"/>
      <c r="AV286" s="27">
        <f>SUM(AT286:AU286)</f>
        <v/>
      </c>
      <c r="AW286" s="28" t="n"/>
      <c r="AX286" s="30" t="n"/>
      <c r="AY286" s="29">
        <f>IF(AND(AV286=0,AW286=0,AX286=0),0,IF(AND(AV286=0,AW286=0),AX286/1,IF(AND(AV286=0,AX286=0),AW286/1,IF(AND(AW286=0,AX286=0),AV286/1,IF(AV286=0,FLOOR((AW286+AX286)/2,0.1),IF(AW286=0,(AV286+AX286)/2,IF(AX286=0,(AW286+AV286)/2,FLOOR(((AV286+AW286+AX286)/3),0.1))))))))</f>
        <v/>
      </c>
      <c r="AZ286" s="21" t="n"/>
      <c r="BA286" s="21" t="n"/>
      <c r="BB286" s="27">
        <f>SUM(AZ286:BA286)</f>
        <v/>
      </c>
      <c r="BC286" s="28" t="n"/>
      <c r="BD286" s="28" t="n"/>
      <c r="BE286" s="29">
        <f>IF(AND(BB286=0,BC286=0,BD286=0),0,IF(AND(BB286=0,BC286=0),BD286/1,IF(AND(BB286=0,BD286=0),BC286/1,IF(AND(BC286=0,BD286=0),BB286/1,IF(BB286=0,FLOOR((BC286+BD286)/2,0.1),IF(BC286=0,(BB286+BD286)/2,IF(BD286=0,(BC286+BB286)/2,FLOOR(((BB286+BC286+BD286)/3),0.1))))))))</f>
        <v/>
      </c>
      <c r="BF286" s="21" t="n"/>
      <c r="BG286" s="21" t="n"/>
      <c r="BH286" s="27">
        <f>SUM(BF286:BG286)</f>
        <v/>
      </c>
      <c r="BI286" s="28" t="n"/>
      <c r="BJ286" s="28" t="n"/>
      <c r="BK286" s="29">
        <f>IF(AND(BH286=0,BI286=0,BJ286=0),0,IF(AND(BH286=0,BI286=0),BJ286/1,IF(AND(BH286=0,BJ286=0),BI286/1,IF(AND(BI286=0,BJ286=0),BH286/1,IF(BH286=0,FLOOR((BI286+BJ286)/2,0.1),IF(BI286=0,(BH286+BJ286)/2,IF(BJ286=0,(BI286+BH286)/2,FLOOR(((BH286+BI286+BJ286)/3),0.1))))))))</f>
        <v/>
      </c>
      <c r="BL286" s="21" t="n"/>
      <c r="BM286" s="21" t="n"/>
      <c r="BN286" s="27">
        <f>SUM(BL286:BM286)</f>
        <v/>
      </c>
      <c r="BO286" s="28" t="n"/>
      <c r="BP286" s="31" t="n"/>
      <c r="BQ286" s="29">
        <f>IF(AND(BN286=0,BO286=0,BP286=0),0,IF(AND(BN286=0,BO286=0),BP286/1,IF(AND(BN286=0,BP286=0),BO286/1,IF(AND(BO286=0,BP286=0),BN286/1,IF(BN286=0,FLOOR((BO286+BP286)/2,0.1),IF(BO286=0,(BN286+BP286)/2,IF(BP286=0,(BO286+BN286)/2,FLOOR(((BN286+BO286+BP286)/3),0.1))))))))</f>
        <v/>
      </c>
      <c r="BR286" s="21" t="n"/>
      <c r="BS286" s="21" t="n"/>
      <c r="BT286" s="27">
        <f>SUM(BR286:BS286)</f>
        <v/>
      </c>
      <c r="BU286" s="28" t="n"/>
      <c r="BV286" s="31" t="n"/>
      <c r="BW286" s="29">
        <f>IF(AND(BT286=0,BU286=0,BV286=0),0,IF(AND(BT286=0,BU286=0),BV286/1,IF(AND(BT286=0,BV286=0),BU286/1,IF(AND(BU286=0,BV286=0),BT286/1,IF(BT286=0,FLOOR((BU286+BV286)/2,0.1),IF(BU286=0,(BT286+BV286)/2,IF(BV286=0,(BU286+BT286)/2,FLOOR(((BT286+BU286+BV286)/3),0.1))))))))</f>
        <v/>
      </c>
      <c r="BX286" s="21" t="n"/>
      <c r="BY286" s="21" t="n"/>
      <c r="BZ286" s="27">
        <f>SUM(BX286:BY286)</f>
        <v/>
      </c>
      <c r="CA286" s="28" t="n"/>
      <c r="CB286" s="31" t="n"/>
      <c r="CC286" s="29">
        <f>IF(AND(BZ286=0,CA286=0,CB286=0),0,IF(AND(BZ286=0,CA286=0),CB286/1,IF(AND(BZ286=0,CB286=0),CA286/1,IF(AND(CA286=0,CB286=0),BZ286/1,IF(BZ286=0,FLOOR((CA286+CB286)/2,0.1),IF(CA286=0,(BZ286+CB286)/2,IF(CB286=0,(CA286+BZ286)/2,FLOOR(((BZ286+CA286+CB286)/3),0.1))))))))</f>
        <v/>
      </c>
      <c r="CD286" s="21" t="n"/>
      <c r="CE286" s="21" t="n"/>
      <c r="CF286" s="27">
        <f>SUM(CD286:CE286)</f>
        <v/>
      </c>
      <c r="CG286" s="28" t="n"/>
      <c r="CH286" s="31" t="n"/>
      <c r="CI286" s="29">
        <f>IF(AND(CF286=0,CG286=0,CH286=0),0,IF(AND(CF286=0,CG286=0),CH286/1,IF(AND(CF286=0,CH286=0),CG286/1,IF(AND(CG286=0,CH286=0),CF286/1,IF(CF286=0,FLOOR((CG286+CH286)/2,0.1),IF(CG286=0,(CF286+CH286)/2,IF(CH286=0,(CG286+CF286)/2,FLOOR(((CF286+CG286+CH286)/3),0.1))))))))</f>
        <v/>
      </c>
      <c r="CJ286" s="21" t="n"/>
      <c r="CK286" s="21" t="n"/>
      <c r="CL286" s="27">
        <f>SUM(CJ286:CK286)</f>
        <v/>
      </c>
      <c r="CM286" s="28" t="n"/>
      <c r="CN286" s="31" t="n"/>
      <c r="CO286" s="29">
        <f>IF(AND(CL286=0,CM286=0,CN286=0),0,IF(AND(CL286=0,CM286=0),CN286/1,IF(AND(CL286=0,CN286=0),CM286/1,IF(AND(CM286=0,CN286=0),CL286/1,IF(CL286=0,FLOOR((CM286+CN286)/2,0.1),IF(CM286=0,(CL286+CN286)/2,IF(CN286=0,(CM286+CL286)/2,FLOOR(((CL286+CM286+CN286)/3),0.1))))))))</f>
        <v/>
      </c>
      <c r="CP286" s="21" t="n"/>
      <c r="CQ286" s="21" t="n"/>
      <c r="CR286" s="27">
        <f>SUM(CP286:CQ286)</f>
        <v/>
      </c>
      <c r="CS286" s="28" t="n"/>
      <c r="CT286" s="31" t="n"/>
      <c r="CU286" s="29">
        <f>IF(AND(CR286=0,CS286=0,CT286=0),0,IF(AND(CR286=0,CS286=0),CT286/1,IF(AND(CR286=0,CT286=0),CS286/1,IF(AND(CS286=0,CT286=0),CR286/1,IF(CR286=0,FLOOR((CS286+CT286)/2,0.1),IF(CS286=0,(CR286+CT286)/2,IF(CT286=0,(CS286+CR286)/2,FLOOR(((CR286+CS286+CT286)/3),0.1))))))))</f>
        <v/>
      </c>
      <c r="CV286" s="21" t="n"/>
      <c r="CW286" s="21" t="n"/>
      <c r="CX286" s="27">
        <f>SUM(CV286:CW286)</f>
        <v/>
      </c>
      <c r="CY286" s="28" t="n"/>
      <c r="CZ286" s="31" t="n"/>
      <c r="DA286" s="29">
        <f>IF(AND(CX286=0,CY286=0,CZ286=0),0,IF(AND(CX286=0,CY286=0),CZ286/1,IF(AND(CX286=0,CZ286=0),CY286/1,IF(AND(CY286=0,CZ286=0),CX286/1,IF(CX286=0,FLOOR((CY286+CZ286)/2,0.1),IF(CY286=0,(CX286+CZ286)/2,IF(CZ286=0,(CY286+CX286)/2,FLOOR(((CX286+CY286+CZ286)/3),0.1))))))))</f>
        <v/>
      </c>
      <c r="DB286" s="21" t="n"/>
      <c r="DC286" s="21" t="n"/>
      <c r="DD286" s="27">
        <f>SUM(DB286:DC286)</f>
        <v/>
      </c>
      <c r="DE286" s="28" t="n"/>
      <c r="DF286" s="31" t="n"/>
      <c r="DG286" s="29">
        <f>IF(AND(DD286=0,DE286=0,DF286=0),0,IF(AND(DD286=0,DE286=0),DF286/1,IF(AND(DD286=0,DF286=0),DE286/1,IF(AND(DE286=0,DF286=0),DD286/1,IF(DD286=0,FLOOR((DE286+DF286)/2,0.1),IF(DE286=0,(DD286+DF286)/2,IF(DF286=0,(DE286+DD286)/2,FLOOR(((DD286+DE286+DF286)/3),0.1))))))))</f>
        <v/>
      </c>
      <c r="DH286" s="34">
        <f>SUM(O286,U286,AA286,AG286,AM286,AS286,AY286,BE286,BK286,BQ286,BW286,CC286,CI286,CO286,CU286,DA286,DG286)</f>
        <v/>
      </c>
      <c r="DI286" s="39">
        <f>RANK(DH286,DH$4:DH$503)</f>
        <v/>
      </c>
      <c r="DJ286" s="40" t="inlineStr">
        <is>
          <t>CHOOSE RATING</t>
        </is>
      </c>
      <c r="DK286" s="40" t="inlineStr">
        <is>
          <t>CHOOSE RATING</t>
        </is>
      </c>
      <c r="DL286" s="40" t="inlineStr">
        <is>
          <t>CHOOSE RATING</t>
        </is>
      </c>
      <c r="DM286" s="40" t="inlineStr">
        <is>
          <t>CHOOSE RATING</t>
        </is>
      </c>
      <c r="DN286" s="40" t="inlineStr">
        <is>
          <t>CHOOSE RATING</t>
        </is>
      </c>
      <c r="DO286" s="40" t="inlineStr">
        <is>
          <t>CHOOSE RATING</t>
        </is>
      </c>
      <c r="DP286" s="40" t="inlineStr">
        <is>
          <t>CHOOSE RATING</t>
        </is>
      </c>
      <c r="DQ286" s="40" t="inlineStr">
        <is>
          <t>CHOOSE RATING</t>
        </is>
      </c>
      <c r="DR286" s="43" t="inlineStr">
        <is>
          <t>2024/2025</t>
        </is>
      </c>
      <c r="DS286" s="45" t="inlineStr">
        <is>
          <t>THIRD</t>
        </is>
      </c>
      <c r="DT286" s="40" t="inlineStr">
        <is>
          <t>CHOOSE RATING</t>
        </is>
      </c>
      <c r="DU286" s="40" t="inlineStr">
        <is>
          <t>CHOOSE RATING</t>
        </is>
      </c>
      <c r="DV286" s="40" t="inlineStr">
        <is>
          <t>CHOOSE RATING</t>
        </is>
      </c>
      <c r="DW286" s="40" t="inlineStr">
        <is>
          <t>CHOOSE RATING</t>
        </is>
      </c>
      <c r="DX286" s="40" t="inlineStr">
        <is>
          <t>CHOOSE RATING</t>
        </is>
      </c>
      <c r="DY286" s="40" t="inlineStr">
        <is>
          <t>CHOOSE RATING</t>
        </is>
      </c>
      <c r="DZ286" s="53" t="inlineStr">
        <is>
          <t>CHOOSE RATING</t>
        </is>
      </c>
      <c r="EA286" s="54" t="inlineStr">
        <is>
          <t>Add the Tutor's Comment . . .</t>
        </is>
      </c>
      <c r="EB286" s="55" t="inlineStr">
        <is>
          <t>Choose Principals comment</t>
        </is>
      </c>
      <c r="EC286" s="56" t="n"/>
      <c r="ED286" s="57" t="inlineStr">
        <is>
          <t>Next Term Begins on Monday, 22nd September, 2025</t>
        </is>
      </c>
    </row>
    <row r="287" ht="30.6" customHeight="1" s="6">
      <c r="A287" s="18" t="n">
        <v>284</v>
      </c>
      <c r="B287" s="19" t="n"/>
      <c r="C287" s="20" t="n"/>
      <c r="D287" s="128" t="n"/>
      <c r="E287" s="21" t="n"/>
      <c r="F287" s="22" t="n"/>
      <c r="G287" s="22" t="n"/>
      <c r="H287" s="22" t="n"/>
      <c r="I287" s="26">
        <f>G287-H287</f>
        <v/>
      </c>
      <c r="J287" s="21" t="n"/>
      <c r="K287" s="21" t="n"/>
      <c r="L287" s="27">
        <f>SUM(J287:K287)</f>
        <v/>
      </c>
      <c r="M287" s="28" t="n"/>
      <c r="N287" s="28" t="n"/>
      <c r="O287" s="29">
        <f>IF(AND(L287=0,M287=0,N287=0),0,IF(AND(L287=0,M287=0),N287/1,IF(AND(L287=0,N287=0),M287/1,IF(AND(M287=0,N287=0),L287/1,IF(L287=0,FLOOR((M287+N287)/2,0.1),IF(M287=0,(L287+N287)/2,IF(N287=0,(M287+L287)/2,FLOOR(((L287+M287+N287)/3),0.1))))))))</f>
        <v/>
      </c>
      <c r="P287" s="21" t="n"/>
      <c r="Q287" s="21" t="n"/>
      <c r="R287" s="27">
        <f>SUM(P287:Q287)</f>
        <v/>
      </c>
      <c r="S287" s="28" t="n"/>
      <c r="T287" s="28" t="n"/>
      <c r="U287" s="29">
        <f>IF(AND(R287=0,S287=0,T287=0),0,IF(AND(R287=0,S287=0),T287/1,IF(AND(R287=0,T287=0),S287/1,IF(AND(S287=0,T287=0),R287/1,IF(R287=0,FLOOR((S287+T287)/2,0.1),IF(S287=0,(R287+T287)/2,IF(T287=0,(S287+R287)/2,FLOOR(((R287+S287+T287)/3),0.1))))))))</f>
        <v/>
      </c>
      <c r="V287" s="21" t="n"/>
      <c r="W287" s="21" t="n"/>
      <c r="X287" s="27">
        <f>SUM(V287:W287)</f>
        <v/>
      </c>
      <c r="Y287" s="28" t="n"/>
      <c r="Z287" s="28" t="n"/>
      <c r="AA287" s="29">
        <f>IF(AND(X287=0,Y287=0,Z287=0),0,IF(AND(X287=0,Y287=0),Z287/1,IF(AND(X287=0,Z287=0),Y287/1,IF(AND(Y287=0,Z287=0),X287/1,IF(X287=0,FLOOR((Y287+Z287)/2,0.1),IF(Y287=0,(X287+Z287)/2,IF(Z287=0,(Y287+X287)/2,FLOOR(((X287+Y287+Z287)/3),0.1))))))))</f>
        <v/>
      </c>
      <c r="AB287" s="21" t="n"/>
      <c r="AC287" s="21" t="n"/>
      <c r="AD287" s="27">
        <f>SUM(AB287:AC287)</f>
        <v/>
      </c>
      <c r="AE287" s="28" t="n"/>
      <c r="AF287" s="28" t="n"/>
      <c r="AG287" s="29">
        <f>IF(AND(AD287=0,AE287=0,AF287=0),0,IF(AND(AD287=0,AE287=0),AF287/1,IF(AND(AD287=0,AF287=0),AE287/1,IF(AND(AE287=0,AF287=0),AD287/1,IF(AD287=0,FLOOR((AE287+AF287)/2,0.1),IF(AE287=0,(AD287+AF287)/2,IF(AF287=0,(AE287+AD287)/2,FLOOR(((AD287+AE287+AF287)/3),0.1))))))))</f>
        <v/>
      </c>
      <c r="AH287" s="21" t="n"/>
      <c r="AI287" s="21" t="n"/>
      <c r="AJ287" s="27">
        <f>SUM(AH287:AI287)</f>
        <v/>
      </c>
      <c r="AK287" s="28" t="n"/>
      <c r="AL287" s="28" t="n"/>
      <c r="AM287" s="29">
        <f>IF(AND(AJ287=0,AK287=0,AL287=0),0,IF(AND(AJ287=0,AK287=0),AL287/1,IF(AND(AJ287=0,AL287=0),AK287/1,IF(AND(AK287=0,AL287=0),AJ287/1,IF(AJ287=0,FLOOR((AK287+AL287)/2,0.1),IF(AK287=0,(AJ287+AL287)/2,IF(AL287=0,(AK287+AJ287)/2,FLOOR(((AJ287+AK287+AL287)/3),0.1))))))))</f>
        <v/>
      </c>
      <c r="AN287" s="21" t="n"/>
      <c r="AO287" s="21" t="n"/>
      <c r="AP287" s="27">
        <f>SUM(AN287:AO287)</f>
        <v/>
      </c>
      <c r="AQ287" s="28" t="n"/>
      <c r="AR287" s="30" t="n"/>
      <c r="AS287" s="29">
        <f>IF(AND(AP287=0,AQ287=0,AR287=0),0,IF(AND(AP287=0,AQ287=0),AR287/1,IF(AND(AP287=0,AR287=0),AQ287/1,IF(AND(AQ287=0,AR287=0),AP287/1,IF(AP287=0,FLOOR((AQ287+AR287)/2,0.1),IF(AQ287=0,(AP287+AR287)/2,IF(AR287=0,(AQ287+AP287)/2,FLOOR(((AP287+AQ287+AR287)/3),0.1))))))))</f>
        <v/>
      </c>
      <c r="AT287" s="21" t="n"/>
      <c r="AU287" s="21" t="n"/>
      <c r="AV287" s="27">
        <f>SUM(AT287:AU287)</f>
        <v/>
      </c>
      <c r="AW287" s="28" t="n"/>
      <c r="AX287" s="30" t="n"/>
      <c r="AY287" s="29">
        <f>IF(AND(AV287=0,AW287=0,AX287=0),0,IF(AND(AV287=0,AW287=0),AX287/1,IF(AND(AV287=0,AX287=0),AW287/1,IF(AND(AW287=0,AX287=0),AV287/1,IF(AV287=0,FLOOR((AW287+AX287)/2,0.1),IF(AW287=0,(AV287+AX287)/2,IF(AX287=0,(AW287+AV287)/2,FLOOR(((AV287+AW287+AX287)/3),0.1))))))))</f>
        <v/>
      </c>
      <c r="AZ287" s="21" t="n"/>
      <c r="BA287" s="21" t="n"/>
      <c r="BB287" s="27">
        <f>SUM(AZ287:BA287)</f>
        <v/>
      </c>
      <c r="BC287" s="28" t="n"/>
      <c r="BD287" s="28" t="n"/>
      <c r="BE287" s="29">
        <f>IF(AND(BB287=0,BC287=0,BD287=0),0,IF(AND(BB287=0,BC287=0),BD287/1,IF(AND(BB287=0,BD287=0),BC287/1,IF(AND(BC287=0,BD287=0),BB287/1,IF(BB287=0,FLOOR((BC287+BD287)/2,0.1),IF(BC287=0,(BB287+BD287)/2,IF(BD287=0,(BC287+BB287)/2,FLOOR(((BB287+BC287+BD287)/3),0.1))))))))</f>
        <v/>
      </c>
      <c r="BF287" s="21" t="n"/>
      <c r="BG287" s="21" t="n"/>
      <c r="BH287" s="27">
        <f>SUM(BF287:BG287)</f>
        <v/>
      </c>
      <c r="BI287" s="28" t="n"/>
      <c r="BJ287" s="28" t="n"/>
      <c r="BK287" s="29">
        <f>IF(AND(BH287=0,BI287=0,BJ287=0),0,IF(AND(BH287=0,BI287=0),BJ287/1,IF(AND(BH287=0,BJ287=0),BI287/1,IF(AND(BI287=0,BJ287=0),BH287/1,IF(BH287=0,FLOOR((BI287+BJ287)/2,0.1),IF(BI287=0,(BH287+BJ287)/2,IF(BJ287=0,(BI287+BH287)/2,FLOOR(((BH287+BI287+BJ287)/3),0.1))))))))</f>
        <v/>
      </c>
      <c r="BL287" s="21" t="n"/>
      <c r="BM287" s="21" t="n"/>
      <c r="BN287" s="27">
        <f>SUM(BL287:BM287)</f>
        <v/>
      </c>
      <c r="BO287" s="28" t="n"/>
      <c r="BP287" s="31" t="n"/>
      <c r="BQ287" s="29">
        <f>IF(AND(BN287=0,BO287=0,BP287=0),0,IF(AND(BN287=0,BO287=0),BP287/1,IF(AND(BN287=0,BP287=0),BO287/1,IF(AND(BO287=0,BP287=0),BN287/1,IF(BN287=0,FLOOR((BO287+BP287)/2,0.1),IF(BO287=0,(BN287+BP287)/2,IF(BP287=0,(BO287+BN287)/2,FLOOR(((BN287+BO287+BP287)/3),0.1))))))))</f>
        <v/>
      </c>
      <c r="BR287" s="21" t="n"/>
      <c r="BS287" s="21" t="n"/>
      <c r="BT287" s="27">
        <f>SUM(BR287:BS287)</f>
        <v/>
      </c>
      <c r="BU287" s="28" t="n"/>
      <c r="BV287" s="31" t="n"/>
      <c r="BW287" s="29">
        <f>IF(AND(BT287=0,BU287=0,BV287=0),0,IF(AND(BT287=0,BU287=0),BV287/1,IF(AND(BT287=0,BV287=0),BU287/1,IF(AND(BU287=0,BV287=0),BT287/1,IF(BT287=0,FLOOR((BU287+BV287)/2,0.1),IF(BU287=0,(BT287+BV287)/2,IF(BV287=0,(BU287+BT287)/2,FLOOR(((BT287+BU287+BV287)/3),0.1))))))))</f>
        <v/>
      </c>
      <c r="BX287" s="21" t="n"/>
      <c r="BY287" s="21" t="n"/>
      <c r="BZ287" s="27">
        <f>SUM(BX287:BY287)</f>
        <v/>
      </c>
      <c r="CA287" s="28" t="n"/>
      <c r="CB287" s="31" t="n"/>
      <c r="CC287" s="29">
        <f>IF(AND(BZ287=0,CA287=0,CB287=0),0,IF(AND(BZ287=0,CA287=0),CB287/1,IF(AND(BZ287=0,CB287=0),CA287/1,IF(AND(CA287=0,CB287=0),BZ287/1,IF(BZ287=0,FLOOR((CA287+CB287)/2,0.1),IF(CA287=0,(BZ287+CB287)/2,IF(CB287=0,(CA287+BZ287)/2,FLOOR(((BZ287+CA287+CB287)/3),0.1))))))))</f>
        <v/>
      </c>
      <c r="CD287" s="21" t="n"/>
      <c r="CE287" s="21" t="n"/>
      <c r="CF287" s="27">
        <f>SUM(CD287:CE287)</f>
        <v/>
      </c>
      <c r="CG287" s="28" t="n"/>
      <c r="CH287" s="31" t="n"/>
      <c r="CI287" s="29">
        <f>IF(AND(CF287=0,CG287=0,CH287=0),0,IF(AND(CF287=0,CG287=0),CH287/1,IF(AND(CF287=0,CH287=0),CG287/1,IF(AND(CG287=0,CH287=0),CF287/1,IF(CF287=0,FLOOR((CG287+CH287)/2,0.1),IF(CG287=0,(CF287+CH287)/2,IF(CH287=0,(CG287+CF287)/2,FLOOR(((CF287+CG287+CH287)/3),0.1))))))))</f>
        <v/>
      </c>
      <c r="CJ287" s="21" t="n"/>
      <c r="CK287" s="21" t="n"/>
      <c r="CL287" s="27">
        <f>SUM(CJ287:CK287)</f>
        <v/>
      </c>
      <c r="CM287" s="28" t="n"/>
      <c r="CN287" s="31" t="n"/>
      <c r="CO287" s="29">
        <f>IF(AND(CL287=0,CM287=0,CN287=0),0,IF(AND(CL287=0,CM287=0),CN287/1,IF(AND(CL287=0,CN287=0),CM287/1,IF(AND(CM287=0,CN287=0),CL287/1,IF(CL287=0,FLOOR((CM287+CN287)/2,0.1),IF(CM287=0,(CL287+CN287)/2,IF(CN287=0,(CM287+CL287)/2,FLOOR(((CL287+CM287+CN287)/3),0.1))))))))</f>
        <v/>
      </c>
      <c r="CP287" s="21" t="n"/>
      <c r="CQ287" s="21" t="n"/>
      <c r="CR287" s="27">
        <f>SUM(CP287:CQ287)</f>
        <v/>
      </c>
      <c r="CS287" s="28" t="n"/>
      <c r="CT287" s="31" t="n"/>
      <c r="CU287" s="29">
        <f>IF(AND(CR287=0,CS287=0,CT287=0),0,IF(AND(CR287=0,CS287=0),CT287/1,IF(AND(CR287=0,CT287=0),CS287/1,IF(AND(CS287=0,CT287=0),CR287/1,IF(CR287=0,FLOOR((CS287+CT287)/2,0.1),IF(CS287=0,(CR287+CT287)/2,IF(CT287=0,(CS287+CR287)/2,FLOOR(((CR287+CS287+CT287)/3),0.1))))))))</f>
        <v/>
      </c>
      <c r="CV287" s="21" t="n"/>
      <c r="CW287" s="21" t="n"/>
      <c r="CX287" s="27">
        <f>SUM(CV287:CW287)</f>
        <v/>
      </c>
      <c r="CY287" s="28" t="n"/>
      <c r="CZ287" s="31" t="n"/>
      <c r="DA287" s="29">
        <f>IF(AND(CX287=0,CY287=0,CZ287=0),0,IF(AND(CX287=0,CY287=0),CZ287/1,IF(AND(CX287=0,CZ287=0),CY287/1,IF(AND(CY287=0,CZ287=0),CX287/1,IF(CX287=0,FLOOR((CY287+CZ287)/2,0.1),IF(CY287=0,(CX287+CZ287)/2,IF(CZ287=0,(CY287+CX287)/2,FLOOR(((CX287+CY287+CZ287)/3),0.1))))))))</f>
        <v/>
      </c>
      <c r="DB287" s="21" t="n"/>
      <c r="DC287" s="21" t="n"/>
      <c r="DD287" s="27">
        <f>SUM(DB287:DC287)</f>
        <v/>
      </c>
      <c r="DE287" s="28" t="n"/>
      <c r="DF287" s="31" t="n"/>
      <c r="DG287" s="29">
        <f>IF(AND(DD287=0,DE287=0,DF287=0),0,IF(AND(DD287=0,DE287=0),DF287/1,IF(AND(DD287=0,DF287=0),DE287/1,IF(AND(DE287=0,DF287=0),DD287/1,IF(DD287=0,FLOOR((DE287+DF287)/2,0.1),IF(DE287=0,(DD287+DF287)/2,IF(DF287=0,(DE287+DD287)/2,FLOOR(((DD287+DE287+DF287)/3),0.1))))))))</f>
        <v/>
      </c>
      <c r="DH287" s="34">
        <f>SUM(O287,U287,AA287,AG287,AM287,AS287,AY287,BE287,BK287,BQ287,BW287,CC287,CI287,CO287,CU287,DA287,DG287)</f>
        <v/>
      </c>
      <c r="DI287" s="39">
        <f>RANK(DH287,DH$4:DH$503)</f>
        <v/>
      </c>
      <c r="DJ287" s="40" t="inlineStr">
        <is>
          <t>CHOOSE RATING</t>
        </is>
      </c>
      <c r="DK287" s="40" t="inlineStr">
        <is>
          <t>CHOOSE RATING</t>
        </is>
      </c>
      <c r="DL287" s="40" t="inlineStr">
        <is>
          <t>CHOOSE RATING</t>
        </is>
      </c>
      <c r="DM287" s="40" t="inlineStr">
        <is>
          <t>CHOOSE RATING</t>
        </is>
      </c>
      <c r="DN287" s="40" t="inlineStr">
        <is>
          <t>CHOOSE RATING</t>
        </is>
      </c>
      <c r="DO287" s="40" t="inlineStr">
        <is>
          <t>CHOOSE RATING</t>
        </is>
      </c>
      <c r="DP287" s="40" t="inlineStr">
        <is>
          <t>CHOOSE RATING</t>
        </is>
      </c>
      <c r="DQ287" s="40" t="inlineStr">
        <is>
          <t>CHOOSE RATING</t>
        </is>
      </c>
      <c r="DR287" s="43" t="inlineStr">
        <is>
          <t>2024/2025</t>
        </is>
      </c>
      <c r="DS287" s="45" t="inlineStr">
        <is>
          <t>THIRD</t>
        </is>
      </c>
      <c r="DT287" s="40" t="inlineStr">
        <is>
          <t>CHOOSE RATING</t>
        </is>
      </c>
      <c r="DU287" s="40" t="inlineStr">
        <is>
          <t>CHOOSE RATING</t>
        </is>
      </c>
      <c r="DV287" s="40" t="inlineStr">
        <is>
          <t>CHOOSE RATING</t>
        </is>
      </c>
      <c r="DW287" s="40" t="inlineStr">
        <is>
          <t>CHOOSE RATING</t>
        </is>
      </c>
      <c r="DX287" s="40" t="inlineStr">
        <is>
          <t>CHOOSE RATING</t>
        </is>
      </c>
      <c r="DY287" s="40" t="inlineStr">
        <is>
          <t>CHOOSE RATING</t>
        </is>
      </c>
      <c r="DZ287" s="53" t="inlineStr">
        <is>
          <t>CHOOSE RATING</t>
        </is>
      </c>
      <c r="EA287" s="54" t="inlineStr">
        <is>
          <t>Add the Tutor's Comment . . .</t>
        </is>
      </c>
      <c r="EB287" s="55" t="inlineStr">
        <is>
          <t>Choose Principals comment</t>
        </is>
      </c>
      <c r="EC287" s="56" t="n"/>
      <c r="ED287" s="57" t="inlineStr">
        <is>
          <t>Next Term Begins on Monday, 22nd September, 2025</t>
        </is>
      </c>
    </row>
    <row r="288" ht="30.6" customHeight="1" s="6">
      <c r="A288" s="18" t="n">
        <v>285</v>
      </c>
      <c r="B288" s="19" t="n"/>
      <c r="C288" s="20" t="n"/>
      <c r="D288" s="128" t="n"/>
      <c r="E288" s="21" t="n"/>
      <c r="F288" s="22" t="n"/>
      <c r="G288" s="22" t="n"/>
      <c r="H288" s="22" t="n"/>
      <c r="I288" s="26">
        <f>G288-H288</f>
        <v/>
      </c>
      <c r="J288" s="21" t="n"/>
      <c r="K288" s="21" t="n"/>
      <c r="L288" s="27">
        <f>SUM(J288:K288)</f>
        <v/>
      </c>
      <c r="M288" s="28" t="n"/>
      <c r="N288" s="28" t="n"/>
      <c r="O288" s="29">
        <f>IF(AND(L288=0,M288=0,N288=0),0,IF(AND(L288=0,M288=0),N288/1,IF(AND(L288=0,N288=0),M288/1,IF(AND(M288=0,N288=0),L288/1,IF(L288=0,FLOOR((M288+N288)/2,0.1),IF(M288=0,(L288+N288)/2,IF(N288=0,(M288+L288)/2,FLOOR(((L288+M288+N288)/3),0.1))))))))</f>
        <v/>
      </c>
      <c r="P288" s="21" t="n"/>
      <c r="Q288" s="21" t="n"/>
      <c r="R288" s="27">
        <f>SUM(P288:Q288)</f>
        <v/>
      </c>
      <c r="S288" s="28" t="n"/>
      <c r="T288" s="28" t="n"/>
      <c r="U288" s="29">
        <f>IF(AND(R288=0,S288=0,T288=0),0,IF(AND(R288=0,S288=0),T288/1,IF(AND(R288=0,T288=0),S288/1,IF(AND(S288=0,T288=0),R288/1,IF(R288=0,FLOOR((S288+T288)/2,0.1),IF(S288=0,(R288+T288)/2,IF(T288=0,(S288+R288)/2,FLOOR(((R288+S288+T288)/3),0.1))))))))</f>
        <v/>
      </c>
      <c r="V288" s="21" t="n"/>
      <c r="W288" s="21" t="n"/>
      <c r="X288" s="27">
        <f>SUM(V288:W288)</f>
        <v/>
      </c>
      <c r="Y288" s="28" t="n"/>
      <c r="Z288" s="28" t="n"/>
      <c r="AA288" s="29">
        <f>IF(AND(X288=0,Y288=0,Z288=0),0,IF(AND(X288=0,Y288=0),Z288/1,IF(AND(X288=0,Z288=0),Y288/1,IF(AND(Y288=0,Z288=0),X288/1,IF(X288=0,FLOOR((Y288+Z288)/2,0.1),IF(Y288=0,(X288+Z288)/2,IF(Z288=0,(Y288+X288)/2,FLOOR(((X288+Y288+Z288)/3),0.1))))))))</f>
        <v/>
      </c>
      <c r="AB288" s="21" t="n"/>
      <c r="AC288" s="21" t="n"/>
      <c r="AD288" s="27">
        <f>SUM(AB288:AC288)</f>
        <v/>
      </c>
      <c r="AE288" s="28" t="n"/>
      <c r="AF288" s="28" t="n"/>
      <c r="AG288" s="29">
        <f>IF(AND(AD288=0,AE288=0,AF288=0),0,IF(AND(AD288=0,AE288=0),AF288/1,IF(AND(AD288=0,AF288=0),AE288/1,IF(AND(AE288=0,AF288=0),AD288/1,IF(AD288=0,FLOOR((AE288+AF288)/2,0.1),IF(AE288=0,(AD288+AF288)/2,IF(AF288=0,(AE288+AD288)/2,FLOOR(((AD288+AE288+AF288)/3),0.1))))))))</f>
        <v/>
      </c>
      <c r="AH288" s="21" t="n"/>
      <c r="AI288" s="21" t="n"/>
      <c r="AJ288" s="27">
        <f>SUM(AH288:AI288)</f>
        <v/>
      </c>
      <c r="AK288" s="28" t="n"/>
      <c r="AL288" s="28" t="n"/>
      <c r="AM288" s="29">
        <f>IF(AND(AJ288=0,AK288=0,AL288=0),0,IF(AND(AJ288=0,AK288=0),AL288/1,IF(AND(AJ288=0,AL288=0),AK288/1,IF(AND(AK288=0,AL288=0),AJ288/1,IF(AJ288=0,FLOOR((AK288+AL288)/2,0.1),IF(AK288=0,(AJ288+AL288)/2,IF(AL288=0,(AK288+AJ288)/2,FLOOR(((AJ288+AK288+AL288)/3),0.1))))))))</f>
        <v/>
      </c>
      <c r="AN288" s="21" t="n"/>
      <c r="AO288" s="21" t="n"/>
      <c r="AP288" s="27">
        <f>SUM(AN288:AO288)</f>
        <v/>
      </c>
      <c r="AQ288" s="28" t="n"/>
      <c r="AR288" s="30" t="n"/>
      <c r="AS288" s="29">
        <f>IF(AND(AP288=0,AQ288=0,AR288=0),0,IF(AND(AP288=0,AQ288=0),AR288/1,IF(AND(AP288=0,AR288=0),AQ288/1,IF(AND(AQ288=0,AR288=0),AP288/1,IF(AP288=0,FLOOR((AQ288+AR288)/2,0.1),IF(AQ288=0,(AP288+AR288)/2,IF(AR288=0,(AQ288+AP288)/2,FLOOR(((AP288+AQ288+AR288)/3),0.1))))))))</f>
        <v/>
      </c>
      <c r="AT288" s="21" t="n"/>
      <c r="AU288" s="21" t="n"/>
      <c r="AV288" s="27">
        <f>SUM(AT288:AU288)</f>
        <v/>
      </c>
      <c r="AW288" s="28" t="n"/>
      <c r="AX288" s="30" t="n"/>
      <c r="AY288" s="29">
        <f>IF(AND(AV288=0,AW288=0,AX288=0),0,IF(AND(AV288=0,AW288=0),AX288/1,IF(AND(AV288=0,AX288=0),AW288/1,IF(AND(AW288=0,AX288=0),AV288/1,IF(AV288=0,FLOOR((AW288+AX288)/2,0.1),IF(AW288=0,(AV288+AX288)/2,IF(AX288=0,(AW288+AV288)/2,FLOOR(((AV288+AW288+AX288)/3),0.1))))))))</f>
        <v/>
      </c>
      <c r="AZ288" s="21" t="n"/>
      <c r="BA288" s="21" t="n"/>
      <c r="BB288" s="27">
        <f>SUM(AZ288:BA288)</f>
        <v/>
      </c>
      <c r="BC288" s="28" t="n"/>
      <c r="BD288" s="28" t="n"/>
      <c r="BE288" s="29">
        <f>IF(AND(BB288=0,BC288=0,BD288=0),0,IF(AND(BB288=0,BC288=0),BD288/1,IF(AND(BB288=0,BD288=0),BC288/1,IF(AND(BC288=0,BD288=0),BB288/1,IF(BB288=0,FLOOR((BC288+BD288)/2,0.1),IF(BC288=0,(BB288+BD288)/2,IF(BD288=0,(BC288+BB288)/2,FLOOR(((BB288+BC288+BD288)/3),0.1))))))))</f>
        <v/>
      </c>
      <c r="BF288" s="21" t="n"/>
      <c r="BG288" s="21" t="n"/>
      <c r="BH288" s="27">
        <f>SUM(BF288:BG288)</f>
        <v/>
      </c>
      <c r="BI288" s="28" t="n"/>
      <c r="BJ288" s="28" t="n"/>
      <c r="BK288" s="29">
        <f>IF(AND(BH288=0,BI288=0,BJ288=0),0,IF(AND(BH288=0,BI288=0),BJ288/1,IF(AND(BH288=0,BJ288=0),BI288/1,IF(AND(BI288=0,BJ288=0),BH288/1,IF(BH288=0,FLOOR((BI288+BJ288)/2,0.1),IF(BI288=0,(BH288+BJ288)/2,IF(BJ288=0,(BI288+BH288)/2,FLOOR(((BH288+BI288+BJ288)/3),0.1))))))))</f>
        <v/>
      </c>
      <c r="BL288" s="21" t="n"/>
      <c r="BM288" s="21" t="n"/>
      <c r="BN288" s="27">
        <f>SUM(BL288:BM288)</f>
        <v/>
      </c>
      <c r="BO288" s="28" t="n"/>
      <c r="BP288" s="31" t="n"/>
      <c r="BQ288" s="29">
        <f>IF(AND(BN288=0,BO288=0,BP288=0),0,IF(AND(BN288=0,BO288=0),BP288/1,IF(AND(BN288=0,BP288=0),BO288/1,IF(AND(BO288=0,BP288=0),BN288/1,IF(BN288=0,FLOOR((BO288+BP288)/2,0.1),IF(BO288=0,(BN288+BP288)/2,IF(BP288=0,(BO288+BN288)/2,FLOOR(((BN288+BO288+BP288)/3),0.1))))))))</f>
        <v/>
      </c>
      <c r="BR288" s="21" t="n"/>
      <c r="BS288" s="21" t="n"/>
      <c r="BT288" s="27">
        <f>SUM(BR288:BS288)</f>
        <v/>
      </c>
      <c r="BU288" s="28" t="n"/>
      <c r="BV288" s="31" t="n"/>
      <c r="BW288" s="29">
        <f>IF(AND(BT288=0,BU288=0,BV288=0),0,IF(AND(BT288=0,BU288=0),BV288/1,IF(AND(BT288=0,BV288=0),BU288/1,IF(AND(BU288=0,BV288=0),BT288/1,IF(BT288=0,FLOOR((BU288+BV288)/2,0.1),IF(BU288=0,(BT288+BV288)/2,IF(BV288=0,(BU288+BT288)/2,FLOOR(((BT288+BU288+BV288)/3),0.1))))))))</f>
        <v/>
      </c>
      <c r="BX288" s="21" t="n"/>
      <c r="BY288" s="21" t="n"/>
      <c r="BZ288" s="27">
        <f>SUM(BX288:BY288)</f>
        <v/>
      </c>
      <c r="CA288" s="28" t="n"/>
      <c r="CB288" s="31" t="n"/>
      <c r="CC288" s="29">
        <f>IF(AND(BZ288=0,CA288=0,CB288=0),0,IF(AND(BZ288=0,CA288=0),CB288/1,IF(AND(BZ288=0,CB288=0),CA288/1,IF(AND(CA288=0,CB288=0),BZ288/1,IF(BZ288=0,FLOOR((CA288+CB288)/2,0.1),IF(CA288=0,(BZ288+CB288)/2,IF(CB288=0,(CA288+BZ288)/2,FLOOR(((BZ288+CA288+CB288)/3),0.1))))))))</f>
        <v/>
      </c>
      <c r="CD288" s="21" t="n"/>
      <c r="CE288" s="21" t="n"/>
      <c r="CF288" s="27">
        <f>SUM(CD288:CE288)</f>
        <v/>
      </c>
      <c r="CG288" s="28" t="n"/>
      <c r="CH288" s="31" t="n"/>
      <c r="CI288" s="29">
        <f>IF(AND(CF288=0,CG288=0,CH288=0),0,IF(AND(CF288=0,CG288=0),CH288/1,IF(AND(CF288=0,CH288=0),CG288/1,IF(AND(CG288=0,CH288=0),CF288/1,IF(CF288=0,FLOOR((CG288+CH288)/2,0.1),IF(CG288=0,(CF288+CH288)/2,IF(CH288=0,(CG288+CF288)/2,FLOOR(((CF288+CG288+CH288)/3),0.1))))))))</f>
        <v/>
      </c>
      <c r="CJ288" s="21" t="n"/>
      <c r="CK288" s="21" t="n"/>
      <c r="CL288" s="27">
        <f>SUM(CJ288:CK288)</f>
        <v/>
      </c>
      <c r="CM288" s="28" t="n"/>
      <c r="CN288" s="31" t="n"/>
      <c r="CO288" s="29">
        <f>IF(AND(CL288=0,CM288=0,CN288=0),0,IF(AND(CL288=0,CM288=0),CN288/1,IF(AND(CL288=0,CN288=0),CM288/1,IF(AND(CM288=0,CN288=0),CL288/1,IF(CL288=0,FLOOR((CM288+CN288)/2,0.1),IF(CM288=0,(CL288+CN288)/2,IF(CN288=0,(CM288+CL288)/2,FLOOR(((CL288+CM288+CN288)/3),0.1))))))))</f>
        <v/>
      </c>
      <c r="CP288" s="21" t="n"/>
      <c r="CQ288" s="21" t="n"/>
      <c r="CR288" s="27">
        <f>SUM(CP288:CQ288)</f>
        <v/>
      </c>
      <c r="CS288" s="28" t="n"/>
      <c r="CT288" s="31" t="n"/>
      <c r="CU288" s="29">
        <f>IF(AND(CR288=0,CS288=0,CT288=0),0,IF(AND(CR288=0,CS288=0),CT288/1,IF(AND(CR288=0,CT288=0),CS288/1,IF(AND(CS288=0,CT288=0),CR288/1,IF(CR288=0,FLOOR((CS288+CT288)/2,0.1),IF(CS288=0,(CR288+CT288)/2,IF(CT288=0,(CS288+CR288)/2,FLOOR(((CR288+CS288+CT288)/3),0.1))))))))</f>
        <v/>
      </c>
      <c r="CV288" s="21" t="n"/>
      <c r="CW288" s="21" t="n"/>
      <c r="CX288" s="27">
        <f>SUM(CV288:CW288)</f>
        <v/>
      </c>
      <c r="CY288" s="28" t="n"/>
      <c r="CZ288" s="31" t="n"/>
      <c r="DA288" s="29">
        <f>IF(AND(CX288=0,CY288=0,CZ288=0),0,IF(AND(CX288=0,CY288=0),CZ288/1,IF(AND(CX288=0,CZ288=0),CY288/1,IF(AND(CY288=0,CZ288=0),CX288/1,IF(CX288=0,FLOOR((CY288+CZ288)/2,0.1),IF(CY288=0,(CX288+CZ288)/2,IF(CZ288=0,(CY288+CX288)/2,FLOOR(((CX288+CY288+CZ288)/3),0.1))))))))</f>
        <v/>
      </c>
      <c r="DB288" s="21" t="n"/>
      <c r="DC288" s="21" t="n"/>
      <c r="DD288" s="27">
        <f>SUM(DB288:DC288)</f>
        <v/>
      </c>
      <c r="DE288" s="28" t="n"/>
      <c r="DF288" s="31" t="n"/>
      <c r="DG288" s="29">
        <f>IF(AND(DD288=0,DE288=0,DF288=0),0,IF(AND(DD288=0,DE288=0),DF288/1,IF(AND(DD288=0,DF288=0),DE288/1,IF(AND(DE288=0,DF288=0),DD288/1,IF(DD288=0,FLOOR((DE288+DF288)/2,0.1),IF(DE288=0,(DD288+DF288)/2,IF(DF288=0,(DE288+DD288)/2,FLOOR(((DD288+DE288+DF288)/3),0.1))))))))</f>
        <v/>
      </c>
      <c r="DH288" s="34">
        <f>SUM(O288,U288,AA288,AG288,AM288,AS288,AY288,BE288,BK288,BQ288,BW288,CC288,CI288,CO288,CU288,DA288,DG288)</f>
        <v/>
      </c>
      <c r="DI288" s="39">
        <f>RANK(DH288,DH$4:DH$503)</f>
        <v/>
      </c>
      <c r="DJ288" s="40" t="inlineStr">
        <is>
          <t>CHOOSE RATING</t>
        </is>
      </c>
      <c r="DK288" s="40" t="inlineStr">
        <is>
          <t>CHOOSE RATING</t>
        </is>
      </c>
      <c r="DL288" s="40" t="inlineStr">
        <is>
          <t>CHOOSE RATING</t>
        </is>
      </c>
      <c r="DM288" s="40" t="inlineStr">
        <is>
          <t>CHOOSE RATING</t>
        </is>
      </c>
      <c r="DN288" s="40" t="inlineStr">
        <is>
          <t>CHOOSE RATING</t>
        </is>
      </c>
      <c r="DO288" s="40" t="inlineStr">
        <is>
          <t>CHOOSE RATING</t>
        </is>
      </c>
      <c r="DP288" s="40" t="inlineStr">
        <is>
          <t>CHOOSE RATING</t>
        </is>
      </c>
      <c r="DQ288" s="40" t="inlineStr">
        <is>
          <t>CHOOSE RATING</t>
        </is>
      </c>
      <c r="DR288" s="43" t="inlineStr">
        <is>
          <t>2024/2025</t>
        </is>
      </c>
      <c r="DS288" s="45" t="inlineStr">
        <is>
          <t>THIRD</t>
        </is>
      </c>
      <c r="DT288" s="40" t="inlineStr">
        <is>
          <t>CHOOSE RATING</t>
        </is>
      </c>
      <c r="DU288" s="40" t="inlineStr">
        <is>
          <t>CHOOSE RATING</t>
        </is>
      </c>
      <c r="DV288" s="40" t="inlineStr">
        <is>
          <t>CHOOSE RATING</t>
        </is>
      </c>
      <c r="DW288" s="40" t="inlineStr">
        <is>
          <t>CHOOSE RATING</t>
        </is>
      </c>
      <c r="DX288" s="40" t="inlineStr">
        <is>
          <t>CHOOSE RATING</t>
        </is>
      </c>
      <c r="DY288" s="40" t="inlineStr">
        <is>
          <t>CHOOSE RATING</t>
        </is>
      </c>
      <c r="DZ288" s="53" t="inlineStr">
        <is>
          <t>CHOOSE RATING</t>
        </is>
      </c>
      <c r="EA288" s="54" t="inlineStr">
        <is>
          <t>Add the Tutor's Comment . . .</t>
        </is>
      </c>
      <c r="EB288" s="55" t="inlineStr">
        <is>
          <t>Choose Principals comment</t>
        </is>
      </c>
      <c r="EC288" s="56" t="n"/>
      <c r="ED288" s="57" t="inlineStr">
        <is>
          <t>Next Term Begins on Monday, 22nd September, 2025</t>
        </is>
      </c>
    </row>
    <row r="289" ht="30.6" customHeight="1" s="6">
      <c r="A289" s="18" t="n">
        <v>286</v>
      </c>
      <c r="B289" s="19" t="n"/>
      <c r="C289" s="20" t="n"/>
      <c r="D289" s="128" t="n"/>
      <c r="E289" s="21" t="n"/>
      <c r="F289" s="22" t="n"/>
      <c r="G289" s="22" t="n"/>
      <c r="H289" s="22" t="n"/>
      <c r="I289" s="26">
        <f>G289-H289</f>
        <v/>
      </c>
      <c r="J289" s="21" t="n"/>
      <c r="K289" s="21" t="n"/>
      <c r="L289" s="27">
        <f>SUM(J289:K289)</f>
        <v/>
      </c>
      <c r="M289" s="28" t="n"/>
      <c r="N289" s="28" t="n"/>
      <c r="O289" s="29">
        <f>IF(AND(L289=0,M289=0,N289=0),0,IF(AND(L289=0,M289=0),N289/1,IF(AND(L289=0,N289=0),M289/1,IF(AND(M289=0,N289=0),L289/1,IF(L289=0,FLOOR((M289+N289)/2,0.1),IF(M289=0,(L289+N289)/2,IF(N289=0,(M289+L289)/2,FLOOR(((L289+M289+N289)/3),0.1))))))))</f>
        <v/>
      </c>
      <c r="P289" s="21" t="n"/>
      <c r="Q289" s="21" t="n"/>
      <c r="R289" s="27">
        <f>SUM(P289:Q289)</f>
        <v/>
      </c>
      <c r="S289" s="28" t="n"/>
      <c r="T289" s="28" t="n"/>
      <c r="U289" s="29">
        <f>IF(AND(R289=0,S289=0,T289=0),0,IF(AND(R289=0,S289=0),T289/1,IF(AND(R289=0,T289=0),S289/1,IF(AND(S289=0,T289=0),R289/1,IF(R289=0,FLOOR((S289+T289)/2,0.1),IF(S289=0,(R289+T289)/2,IF(T289=0,(S289+R289)/2,FLOOR(((R289+S289+T289)/3),0.1))))))))</f>
        <v/>
      </c>
      <c r="V289" s="21" t="n"/>
      <c r="W289" s="21" t="n"/>
      <c r="X289" s="27">
        <f>SUM(V289:W289)</f>
        <v/>
      </c>
      <c r="Y289" s="28" t="n"/>
      <c r="Z289" s="28" t="n"/>
      <c r="AA289" s="29">
        <f>IF(AND(X289=0,Y289=0,Z289=0),0,IF(AND(X289=0,Y289=0),Z289/1,IF(AND(X289=0,Z289=0),Y289/1,IF(AND(Y289=0,Z289=0),X289/1,IF(X289=0,FLOOR((Y289+Z289)/2,0.1),IF(Y289=0,(X289+Z289)/2,IF(Z289=0,(Y289+X289)/2,FLOOR(((X289+Y289+Z289)/3),0.1))))))))</f>
        <v/>
      </c>
      <c r="AB289" s="21" t="n"/>
      <c r="AC289" s="21" t="n"/>
      <c r="AD289" s="27">
        <f>SUM(AB289:AC289)</f>
        <v/>
      </c>
      <c r="AE289" s="28" t="n"/>
      <c r="AF289" s="28" t="n"/>
      <c r="AG289" s="29">
        <f>IF(AND(AD289=0,AE289=0,AF289=0),0,IF(AND(AD289=0,AE289=0),AF289/1,IF(AND(AD289=0,AF289=0),AE289/1,IF(AND(AE289=0,AF289=0),AD289/1,IF(AD289=0,FLOOR((AE289+AF289)/2,0.1),IF(AE289=0,(AD289+AF289)/2,IF(AF289=0,(AE289+AD289)/2,FLOOR(((AD289+AE289+AF289)/3),0.1))))))))</f>
        <v/>
      </c>
      <c r="AH289" s="21" t="n"/>
      <c r="AI289" s="21" t="n"/>
      <c r="AJ289" s="27">
        <f>SUM(AH289:AI289)</f>
        <v/>
      </c>
      <c r="AK289" s="28" t="n"/>
      <c r="AL289" s="28" t="n"/>
      <c r="AM289" s="29">
        <f>IF(AND(AJ289=0,AK289=0,AL289=0),0,IF(AND(AJ289=0,AK289=0),AL289/1,IF(AND(AJ289=0,AL289=0),AK289/1,IF(AND(AK289=0,AL289=0),AJ289/1,IF(AJ289=0,FLOOR((AK289+AL289)/2,0.1),IF(AK289=0,(AJ289+AL289)/2,IF(AL289=0,(AK289+AJ289)/2,FLOOR(((AJ289+AK289+AL289)/3),0.1))))))))</f>
        <v/>
      </c>
      <c r="AN289" s="21" t="n"/>
      <c r="AO289" s="21" t="n"/>
      <c r="AP289" s="27">
        <f>SUM(AN289:AO289)</f>
        <v/>
      </c>
      <c r="AQ289" s="28" t="n"/>
      <c r="AR289" s="30" t="n"/>
      <c r="AS289" s="29">
        <f>IF(AND(AP289=0,AQ289=0,AR289=0),0,IF(AND(AP289=0,AQ289=0),AR289/1,IF(AND(AP289=0,AR289=0),AQ289/1,IF(AND(AQ289=0,AR289=0),AP289/1,IF(AP289=0,FLOOR((AQ289+AR289)/2,0.1),IF(AQ289=0,(AP289+AR289)/2,IF(AR289=0,(AQ289+AP289)/2,FLOOR(((AP289+AQ289+AR289)/3),0.1))))))))</f>
        <v/>
      </c>
      <c r="AT289" s="21" t="n"/>
      <c r="AU289" s="21" t="n"/>
      <c r="AV289" s="27">
        <f>SUM(AT289:AU289)</f>
        <v/>
      </c>
      <c r="AW289" s="28" t="n"/>
      <c r="AX289" s="30" t="n"/>
      <c r="AY289" s="29">
        <f>IF(AND(AV289=0,AW289=0,AX289=0),0,IF(AND(AV289=0,AW289=0),AX289/1,IF(AND(AV289=0,AX289=0),AW289/1,IF(AND(AW289=0,AX289=0),AV289/1,IF(AV289=0,FLOOR((AW289+AX289)/2,0.1),IF(AW289=0,(AV289+AX289)/2,IF(AX289=0,(AW289+AV289)/2,FLOOR(((AV289+AW289+AX289)/3),0.1))))))))</f>
        <v/>
      </c>
      <c r="AZ289" s="21" t="n"/>
      <c r="BA289" s="21" t="n"/>
      <c r="BB289" s="27">
        <f>SUM(AZ289:BA289)</f>
        <v/>
      </c>
      <c r="BC289" s="28" t="n"/>
      <c r="BD289" s="28" t="n"/>
      <c r="BE289" s="29">
        <f>IF(AND(BB289=0,BC289=0,BD289=0),0,IF(AND(BB289=0,BC289=0),BD289/1,IF(AND(BB289=0,BD289=0),BC289/1,IF(AND(BC289=0,BD289=0),BB289/1,IF(BB289=0,FLOOR((BC289+BD289)/2,0.1),IF(BC289=0,(BB289+BD289)/2,IF(BD289=0,(BC289+BB289)/2,FLOOR(((BB289+BC289+BD289)/3),0.1))))))))</f>
        <v/>
      </c>
      <c r="BF289" s="21" t="n"/>
      <c r="BG289" s="21" t="n"/>
      <c r="BH289" s="27">
        <f>SUM(BF289:BG289)</f>
        <v/>
      </c>
      <c r="BI289" s="28" t="n"/>
      <c r="BJ289" s="28" t="n"/>
      <c r="BK289" s="29">
        <f>IF(AND(BH289=0,BI289=0,BJ289=0),0,IF(AND(BH289=0,BI289=0),BJ289/1,IF(AND(BH289=0,BJ289=0),BI289/1,IF(AND(BI289=0,BJ289=0),BH289/1,IF(BH289=0,FLOOR((BI289+BJ289)/2,0.1),IF(BI289=0,(BH289+BJ289)/2,IF(BJ289=0,(BI289+BH289)/2,FLOOR(((BH289+BI289+BJ289)/3),0.1))))))))</f>
        <v/>
      </c>
      <c r="BL289" s="21" t="n"/>
      <c r="BM289" s="21" t="n"/>
      <c r="BN289" s="27">
        <f>SUM(BL289:BM289)</f>
        <v/>
      </c>
      <c r="BO289" s="28" t="n"/>
      <c r="BP289" s="31" t="n"/>
      <c r="BQ289" s="29">
        <f>IF(AND(BN289=0,BO289=0,BP289=0),0,IF(AND(BN289=0,BO289=0),BP289/1,IF(AND(BN289=0,BP289=0),BO289/1,IF(AND(BO289=0,BP289=0),BN289/1,IF(BN289=0,FLOOR((BO289+BP289)/2,0.1),IF(BO289=0,(BN289+BP289)/2,IF(BP289=0,(BO289+BN289)/2,FLOOR(((BN289+BO289+BP289)/3),0.1))))))))</f>
        <v/>
      </c>
      <c r="BR289" s="21" t="n"/>
      <c r="BS289" s="21" t="n"/>
      <c r="BT289" s="27">
        <f>SUM(BR289:BS289)</f>
        <v/>
      </c>
      <c r="BU289" s="28" t="n"/>
      <c r="BV289" s="31" t="n"/>
      <c r="BW289" s="29">
        <f>IF(AND(BT289=0,BU289=0,BV289=0),0,IF(AND(BT289=0,BU289=0),BV289/1,IF(AND(BT289=0,BV289=0),BU289/1,IF(AND(BU289=0,BV289=0),BT289/1,IF(BT289=0,FLOOR((BU289+BV289)/2,0.1),IF(BU289=0,(BT289+BV289)/2,IF(BV289=0,(BU289+BT289)/2,FLOOR(((BT289+BU289+BV289)/3),0.1))))))))</f>
        <v/>
      </c>
      <c r="BX289" s="21" t="n"/>
      <c r="BY289" s="21" t="n"/>
      <c r="BZ289" s="27">
        <f>SUM(BX289:BY289)</f>
        <v/>
      </c>
      <c r="CA289" s="28" t="n"/>
      <c r="CB289" s="31" t="n"/>
      <c r="CC289" s="29">
        <f>IF(AND(BZ289=0,CA289=0,CB289=0),0,IF(AND(BZ289=0,CA289=0),CB289/1,IF(AND(BZ289=0,CB289=0),CA289/1,IF(AND(CA289=0,CB289=0),BZ289/1,IF(BZ289=0,FLOOR((CA289+CB289)/2,0.1),IF(CA289=0,(BZ289+CB289)/2,IF(CB289=0,(CA289+BZ289)/2,FLOOR(((BZ289+CA289+CB289)/3),0.1))))))))</f>
        <v/>
      </c>
      <c r="CD289" s="21" t="n"/>
      <c r="CE289" s="21" t="n"/>
      <c r="CF289" s="27">
        <f>SUM(CD289:CE289)</f>
        <v/>
      </c>
      <c r="CG289" s="28" t="n"/>
      <c r="CH289" s="31" t="n"/>
      <c r="CI289" s="29">
        <f>IF(AND(CF289=0,CG289=0,CH289=0),0,IF(AND(CF289=0,CG289=0),CH289/1,IF(AND(CF289=0,CH289=0),CG289/1,IF(AND(CG289=0,CH289=0),CF289/1,IF(CF289=0,FLOOR((CG289+CH289)/2,0.1),IF(CG289=0,(CF289+CH289)/2,IF(CH289=0,(CG289+CF289)/2,FLOOR(((CF289+CG289+CH289)/3),0.1))))))))</f>
        <v/>
      </c>
      <c r="CJ289" s="21" t="n"/>
      <c r="CK289" s="21" t="n"/>
      <c r="CL289" s="27">
        <f>SUM(CJ289:CK289)</f>
        <v/>
      </c>
      <c r="CM289" s="28" t="n"/>
      <c r="CN289" s="31" t="n"/>
      <c r="CO289" s="29">
        <f>IF(AND(CL289=0,CM289=0,CN289=0),0,IF(AND(CL289=0,CM289=0),CN289/1,IF(AND(CL289=0,CN289=0),CM289/1,IF(AND(CM289=0,CN289=0),CL289/1,IF(CL289=0,FLOOR((CM289+CN289)/2,0.1),IF(CM289=0,(CL289+CN289)/2,IF(CN289=0,(CM289+CL289)/2,FLOOR(((CL289+CM289+CN289)/3),0.1))))))))</f>
        <v/>
      </c>
      <c r="CP289" s="21" t="n"/>
      <c r="CQ289" s="21" t="n"/>
      <c r="CR289" s="27">
        <f>SUM(CP289:CQ289)</f>
        <v/>
      </c>
      <c r="CS289" s="28" t="n"/>
      <c r="CT289" s="31" t="n"/>
      <c r="CU289" s="29">
        <f>IF(AND(CR289=0,CS289=0,CT289=0),0,IF(AND(CR289=0,CS289=0),CT289/1,IF(AND(CR289=0,CT289=0),CS289/1,IF(AND(CS289=0,CT289=0),CR289/1,IF(CR289=0,FLOOR((CS289+CT289)/2,0.1),IF(CS289=0,(CR289+CT289)/2,IF(CT289=0,(CS289+CR289)/2,FLOOR(((CR289+CS289+CT289)/3),0.1))))))))</f>
        <v/>
      </c>
      <c r="CV289" s="21" t="n"/>
      <c r="CW289" s="21" t="n"/>
      <c r="CX289" s="27">
        <f>SUM(CV289:CW289)</f>
        <v/>
      </c>
      <c r="CY289" s="28" t="n"/>
      <c r="CZ289" s="31" t="n"/>
      <c r="DA289" s="29">
        <f>IF(AND(CX289=0,CY289=0,CZ289=0),0,IF(AND(CX289=0,CY289=0),CZ289/1,IF(AND(CX289=0,CZ289=0),CY289/1,IF(AND(CY289=0,CZ289=0),CX289/1,IF(CX289=0,FLOOR((CY289+CZ289)/2,0.1),IF(CY289=0,(CX289+CZ289)/2,IF(CZ289=0,(CY289+CX289)/2,FLOOR(((CX289+CY289+CZ289)/3),0.1))))))))</f>
        <v/>
      </c>
      <c r="DB289" s="21" t="n"/>
      <c r="DC289" s="21" t="n"/>
      <c r="DD289" s="27">
        <f>SUM(DB289:DC289)</f>
        <v/>
      </c>
      <c r="DE289" s="28" t="n"/>
      <c r="DF289" s="31" t="n"/>
      <c r="DG289" s="29">
        <f>IF(AND(DD289=0,DE289=0,DF289=0),0,IF(AND(DD289=0,DE289=0),DF289/1,IF(AND(DD289=0,DF289=0),DE289/1,IF(AND(DE289=0,DF289=0),DD289/1,IF(DD289=0,FLOOR((DE289+DF289)/2,0.1),IF(DE289=0,(DD289+DF289)/2,IF(DF289=0,(DE289+DD289)/2,FLOOR(((DD289+DE289+DF289)/3),0.1))))))))</f>
        <v/>
      </c>
      <c r="DH289" s="34">
        <f>SUM(O289,U289,AA289,AG289,AM289,AS289,AY289,BE289,BK289,BQ289,BW289,CC289,CI289,CO289,CU289,DA289,DG289)</f>
        <v/>
      </c>
      <c r="DI289" s="39">
        <f>RANK(DH289,DH$4:DH$503)</f>
        <v/>
      </c>
      <c r="DJ289" s="40" t="inlineStr">
        <is>
          <t>CHOOSE RATING</t>
        </is>
      </c>
      <c r="DK289" s="40" t="inlineStr">
        <is>
          <t>CHOOSE RATING</t>
        </is>
      </c>
      <c r="DL289" s="40" t="inlineStr">
        <is>
          <t>CHOOSE RATING</t>
        </is>
      </c>
      <c r="DM289" s="40" t="inlineStr">
        <is>
          <t>CHOOSE RATING</t>
        </is>
      </c>
      <c r="DN289" s="40" t="inlineStr">
        <is>
          <t>CHOOSE RATING</t>
        </is>
      </c>
      <c r="DO289" s="40" t="inlineStr">
        <is>
          <t>CHOOSE RATING</t>
        </is>
      </c>
      <c r="DP289" s="40" t="inlineStr">
        <is>
          <t>CHOOSE RATING</t>
        </is>
      </c>
      <c r="DQ289" s="40" t="inlineStr">
        <is>
          <t>CHOOSE RATING</t>
        </is>
      </c>
      <c r="DR289" s="43" t="inlineStr">
        <is>
          <t>2024/2025</t>
        </is>
      </c>
      <c r="DS289" s="45" t="inlineStr">
        <is>
          <t>THIRD</t>
        </is>
      </c>
      <c r="DT289" s="40" t="inlineStr">
        <is>
          <t>CHOOSE RATING</t>
        </is>
      </c>
      <c r="DU289" s="40" t="inlineStr">
        <is>
          <t>CHOOSE RATING</t>
        </is>
      </c>
      <c r="DV289" s="40" t="inlineStr">
        <is>
          <t>CHOOSE RATING</t>
        </is>
      </c>
      <c r="DW289" s="40" t="inlineStr">
        <is>
          <t>CHOOSE RATING</t>
        </is>
      </c>
      <c r="DX289" s="40" t="inlineStr">
        <is>
          <t>CHOOSE RATING</t>
        </is>
      </c>
      <c r="DY289" s="40" t="inlineStr">
        <is>
          <t>CHOOSE RATING</t>
        </is>
      </c>
      <c r="DZ289" s="53" t="inlineStr">
        <is>
          <t>CHOOSE RATING</t>
        </is>
      </c>
      <c r="EA289" s="54" t="inlineStr">
        <is>
          <t>Add the Tutor's Comment . . .</t>
        </is>
      </c>
      <c r="EB289" s="55" t="inlineStr">
        <is>
          <t>Choose Principals comment</t>
        </is>
      </c>
      <c r="EC289" s="56" t="n"/>
      <c r="ED289" s="57" t="inlineStr">
        <is>
          <t>Next Term Begins on Monday, 22nd September, 2025</t>
        </is>
      </c>
    </row>
    <row r="290" ht="30.6" customHeight="1" s="6">
      <c r="A290" s="18" t="n">
        <v>287</v>
      </c>
      <c r="B290" s="19" t="n"/>
      <c r="C290" s="20" t="n"/>
      <c r="D290" s="128" t="n"/>
      <c r="E290" s="21" t="n"/>
      <c r="F290" s="22" t="n"/>
      <c r="G290" s="22" t="n"/>
      <c r="H290" s="22" t="n"/>
      <c r="I290" s="26">
        <f>G290-H290</f>
        <v/>
      </c>
      <c r="J290" s="21" t="n"/>
      <c r="K290" s="21" t="n"/>
      <c r="L290" s="27">
        <f>SUM(J290:K290)</f>
        <v/>
      </c>
      <c r="M290" s="28" t="n"/>
      <c r="N290" s="28" t="n"/>
      <c r="O290" s="29">
        <f>IF(AND(L290=0,M290=0,N290=0),0,IF(AND(L290=0,M290=0),N290/1,IF(AND(L290=0,N290=0),M290/1,IF(AND(M290=0,N290=0),L290/1,IF(L290=0,FLOOR((M290+N290)/2,0.1),IF(M290=0,(L290+N290)/2,IF(N290=0,(M290+L290)/2,FLOOR(((L290+M290+N290)/3),0.1))))))))</f>
        <v/>
      </c>
      <c r="P290" s="21" t="n"/>
      <c r="Q290" s="21" t="n"/>
      <c r="R290" s="27">
        <f>SUM(P290:Q290)</f>
        <v/>
      </c>
      <c r="S290" s="28" t="n"/>
      <c r="T290" s="28" t="n"/>
      <c r="U290" s="29">
        <f>IF(AND(R290=0,S290=0,T290=0),0,IF(AND(R290=0,S290=0),T290/1,IF(AND(R290=0,T290=0),S290/1,IF(AND(S290=0,T290=0),R290/1,IF(R290=0,FLOOR((S290+T290)/2,0.1),IF(S290=0,(R290+T290)/2,IF(T290=0,(S290+R290)/2,FLOOR(((R290+S290+T290)/3),0.1))))))))</f>
        <v/>
      </c>
      <c r="V290" s="21" t="n"/>
      <c r="W290" s="21" t="n"/>
      <c r="X290" s="27">
        <f>SUM(V290:W290)</f>
        <v/>
      </c>
      <c r="Y290" s="28" t="n"/>
      <c r="Z290" s="28" t="n"/>
      <c r="AA290" s="29">
        <f>IF(AND(X290=0,Y290=0,Z290=0),0,IF(AND(X290=0,Y290=0),Z290/1,IF(AND(X290=0,Z290=0),Y290/1,IF(AND(Y290=0,Z290=0),X290/1,IF(X290=0,FLOOR((Y290+Z290)/2,0.1),IF(Y290=0,(X290+Z290)/2,IF(Z290=0,(Y290+X290)/2,FLOOR(((X290+Y290+Z290)/3),0.1))))))))</f>
        <v/>
      </c>
      <c r="AB290" s="21" t="n"/>
      <c r="AC290" s="21" t="n"/>
      <c r="AD290" s="27">
        <f>SUM(AB290:AC290)</f>
        <v/>
      </c>
      <c r="AE290" s="28" t="n"/>
      <c r="AF290" s="28" t="n"/>
      <c r="AG290" s="29">
        <f>IF(AND(AD290=0,AE290=0,AF290=0),0,IF(AND(AD290=0,AE290=0),AF290/1,IF(AND(AD290=0,AF290=0),AE290/1,IF(AND(AE290=0,AF290=0),AD290/1,IF(AD290=0,FLOOR((AE290+AF290)/2,0.1),IF(AE290=0,(AD290+AF290)/2,IF(AF290=0,(AE290+AD290)/2,FLOOR(((AD290+AE290+AF290)/3),0.1))))))))</f>
        <v/>
      </c>
      <c r="AH290" s="21" t="n"/>
      <c r="AI290" s="21" t="n"/>
      <c r="AJ290" s="27">
        <f>SUM(AH290:AI290)</f>
        <v/>
      </c>
      <c r="AK290" s="28" t="n"/>
      <c r="AL290" s="28" t="n"/>
      <c r="AM290" s="29">
        <f>IF(AND(AJ290=0,AK290=0,AL290=0),0,IF(AND(AJ290=0,AK290=0),AL290/1,IF(AND(AJ290=0,AL290=0),AK290/1,IF(AND(AK290=0,AL290=0),AJ290/1,IF(AJ290=0,FLOOR((AK290+AL290)/2,0.1),IF(AK290=0,(AJ290+AL290)/2,IF(AL290=0,(AK290+AJ290)/2,FLOOR(((AJ290+AK290+AL290)/3),0.1))))))))</f>
        <v/>
      </c>
      <c r="AN290" s="21" t="n"/>
      <c r="AO290" s="21" t="n"/>
      <c r="AP290" s="27">
        <f>SUM(AN290:AO290)</f>
        <v/>
      </c>
      <c r="AQ290" s="28" t="n"/>
      <c r="AR290" s="30" t="n"/>
      <c r="AS290" s="29">
        <f>IF(AND(AP290=0,AQ290=0,AR290=0),0,IF(AND(AP290=0,AQ290=0),AR290/1,IF(AND(AP290=0,AR290=0),AQ290/1,IF(AND(AQ290=0,AR290=0),AP290/1,IF(AP290=0,FLOOR((AQ290+AR290)/2,0.1),IF(AQ290=0,(AP290+AR290)/2,IF(AR290=0,(AQ290+AP290)/2,FLOOR(((AP290+AQ290+AR290)/3),0.1))))))))</f>
        <v/>
      </c>
      <c r="AT290" s="21" t="n"/>
      <c r="AU290" s="21" t="n"/>
      <c r="AV290" s="27">
        <f>SUM(AT290:AU290)</f>
        <v/>
      </c>
      <c r="AW290" s="28" t="n"/>
      <c r="AX290" s="30" t="n"/>
      <c r="AY290" s="29">
        <f>IF(AND(AV290=0,AW290=0,AX290=0),0,IF(AND(AV290=0,AW290=0),AX290/1,IF(AND(AV290=0,AX290=0),AW290/1,IF(AND(AW290=0,AX290=0),AV290/1,IF(AV290=0,FLOOR((AW290+AX290)/2,0.1),IF(AW290=0,(AV290+AX290)/2,IF(AX290=0,(AW290+AV290)/2,FLOOR(((AV290+AW290+AX290)/3),0.1))))))))</f>
        <v/>
      </c>
      <c r="AZ290" s="21" t="n"/>
      <c r="BA290" s="21" t="n"/>
      <c r="BB290" s="27">
        <f>SUM(AZ290:BA290)</f>
        <v/>
      </c>
      <c r="BC290" s="28" t="n"/>
      <c r="BD290" s="28" t="n"/>
      <c r="BE290" s="29">
        <f>IF(AND(BB290=0,BC290=0,BD290=0),0,IF(AND(BB290=0,BC290=0),BD290/1,IF(AND(BB290=0,BD290=0),BC290/1,IF(AND(BC290=0,BD290=0),BB290/1,IF(BB290=0,FLOOR((BC290+BD290)/2,0.1),IF(BC290=0,(BB290+BD290)/2,IF(BD290=0,(BC290+BB290)/2,FLOOR(((BB290+BC290+BD290)/3),0.1))))))))</f>
        <v/>
      </c>
      <c r="BF290" s="21" t="n"/>
      <c r="BG290" s="21" t="n"/>
      <c r="BH290" s="27">
        <f>SUM(BF290:BG290)</f>
        <v/>
      </c>
      <c r="BI290" s="28" t="n"/>
      <c r="BJ290" s="28" t="n"/>
      <c r="BK290" s="29">
        <f>IF(AND(BH290=0,BI290=0,BJ290=0),0,IF(AND(BH290=0,BI290=0),BJ290/1,IF(AND(BH290=0,BJ290=0),BI290/1,IF(AND(BI290=0,BJ290=0),BH290/1,IF(BH290=0,FLOOR((BI290+BJ290)/2,0.1),IF(BI290=0,(BH290+BJ290)/2,IF(BJ290=0,(BI290+BH290)/2,FLOOR(((BH290+BI290+BJ290)/3),0.1))))))))</f>
        <v/>
      </c>
      <c r="BL290" s="21" t="n"/>
      <c r="BM290" s="21" t="n"/>
      <c r="BN290" s="27">
        <f>SUM(BL290:BM290)</f>
        <v/>
      </c>
      <c r="BO290" s="28" t="n"/>
      <c r="BP290" s="31" t="n"/>
      <c r="BQ290" s="29">
        <f>IF(AND(BN290=0,BO290=0,BP290=0),0,IF(AND(BN290=0,BO290=0),BP290/1,IF(AND(BN290=0,BP290=0),BO290/1,IF(AND(BO290=0,BP290=0),BN290/1,IF(BN290=0,FLOOR((BO290+BP290)/2,0.1),IF(BO290=0,(BN290+BP290)/2,IF(BP290=0,(BO290+BN290)/2,FLOOR(((BN290+BO290+BP290)/3),0.1))))))))</f>
        <v/>
      </c>
      <c r="BR290" s="21" t="n"/>
      <c r="BS290" s="21" t="n"/>
      <c r="BT290" s="27">
        <f>SUM(BR290:BS290)</f>
        <v/>
      </c>
      <c r="BU290" s="28" t="n"/>
      <c r="BV290" s="31" t="n"/>
      <c r="BW290" s="29">
        <f>IF(AND(BT290=0,BU290=0,BV290=0),0,IF(AND(BT290=0,BU290=0),BV290/1,IF(AND(BT290=0,BV290=0),BU290/1,IF(AND(BU290=0,BV290=0),BT290/1,IF(BT290=0,FLOOR((BU290+BV290)/2,0.1),IF(BU290=0,(BT290+BV290)/2,IF(BV290=0,(BU290+BT290)/2,FLOOR(((BT290+BU290+BV290)/3),0.1))))))))</f>
        <v/>
      </c>
      <c r="BX290" s="21" t="n"/>
      <c r="BY290" s="21" t="n"/>
      <c r="BZ290" s="27">
        <f>SUM(BX290:BY290)</f>
        <v/>
      </c>
      <c r="CA290" s="28" t="n"/>
      <c r="CB290" s="31" t="n"/>
      <c r="CC290" s="29">
        <f>IF(AND(BZ290=0,CA290=0,CB290=0),0,IF(AND(BZ290=0,CA290=0),CB290/1,IF(AND(BZ290=0,CB290=0),CA290/1,IF(AND(CA290=0,CB290=0),BZ290/1,IF(BZ290=0,FLOOR((CA290+CB290)/2,0.1),IF(CA290=0,(BZ290+CB290)/2,IF(CB290=0,(CA290+BZ290)/2,FLOOR(((BZ290+CA290+CB290)/3),0.1))))))))</f>
        <v/>
      </c>
      <c r="CD290" s="21" t="n"/>
      <c r="CE290" s="21" t="n"/>
      <c r="CF290" s="27">
        <f>SUM(CD290:CE290)</f>
        <v/>
      </c>
      <c r="CG290" s="28" t="n"/>
      <c r="CH290" s="31" t="n"/>
      <c r="CI290" s="29">
        <f>IF(AND(CF290=0,CG290=0,CH290=0),0,IF(AND(CF290=0,CG290=0),CH290/1,IF(AND(CF290=0,CH290=0),CG290/1,IF(AND(CG290=0,CH290=0),CF290/1,IF(CF290=0,FLOOR((CG290+CH290)/2,0.1),IF(CG290=0,(CF290+CH290)/2,IF(CH290=0,(CG290+CF290)/2,FLOOR(((CF290+CG290+CH290)/3),0.1))))))))</f>
        <v/>
      </c>
      <c r="CJ290" s="21" t="n"/>
      <c r="CK290" s="21" t="n"/>
      <c r="CL290" s="27">
        <f>SUM(CJ290:CK290)</f>
        <v/>
      </c>
      <c r="CM290" s="28" t="n"/>
      <c r="CN290" s="31" t="n"/>
      <c r="CO290" s="29">
        <f>IF(AND(CL290=0,CM290=0,CN290=0),0,IF(AND(CL290=0,CM290=0),CN290/1,IF(AND(CL290=0,CN290=0),CM290/1,IF(AND(CM290=0,CN290=0),CL290/1,IF(CL290=0,FLOOR((CM290+CN290)/2,0.1),IF(CM290=0,(CL290+CN290)/2,IF(CN290=0,(CM290+CL290)/2,FLOOR(((CL290+CM290+CN290)/3),0.1))))))))</f>
        <v/>
      </c>
      <c r="CP290" s="21" t="n"/>
      <c r="CQ290" s="21" t="n"/>
      <c r="CR290" s="27">
        <f>SUM(CP290:CQ290)</f>
        <v/>
      </c>
      <c r="CS290" s="28" t="n"/>
      <c r="CT290" s="31" t="n"/>
      <c r="CU290" s="29">
        <f>IF(AND(CR290=0,CS290=0,CT290=0),0,IF(AND(CR290=0,CS290=0),CT290/1,IF(AND(CR290=0,CT290=0),CS290/1,IF(AND(CS290=0,CT290=0),CR290/1,IF(CR290=0,FLOOR((CS290+CT290)/2,0.1),IF(CS290=0,(CR290+CT290)/2,IF(CT290=0,(CS290+CR290)/2,FLOOR(((CR290+CS290+CT290)/3),0.1))))))))</f>
        <v/>
      </c>
      <c r="CV290" s="21" t="n"/>
      <c r="CW290" s="21" t="n"/>
      <c r="CX290" s="27">
        <f>SUM(CV290:CW290)</f>
        <v/>
      </c>
      <c r="CY290" s="28" t="n"/>
      <c r="CZ290" s="31" t="n"/>
      <c r="DA290" s="29">
        <f>IF(AND(CX290=0,CY290=0,CZ290=0),0,IF(AND(CX290=0,CY290=0),CZ290/1,IF(AND(CX290=0,CZ290=0),CY290/1,IF(AND(CY290=0,CZ290=0),CX290/1,IF(CX290=0,FLOOR((CY290+CZ290)/2,0.1),IF(CY290=0,(CX290+CZ290)/2,IF(CZ290=0,(CY290+CX290)/2,FLOOR(((CX290+CY290+CZ290)/3),0.1))))))))</f>
        <v/>
      </c>
      <c r="DB290" s="21" t="n"/>
      <c r="DC290" s="21" t="n"/>
      <c r="DD290" s="27">
        <f>SUM(DB290:DC290)</f>
        <v/>
      </c>
      <c r="DE290" s="28" t="n"/>
      <c r="DF290" s="31" t="n"/>
      <c r="DG290" s="29">
        <f>IF(AND(DD290=0,DE290=0,DF290=0),0,IF(AND(DD290=0,DE290=0),DF290/1,IF(AND(DD290=0,DF290=0),DE290/1,IF(AND(DE290=0,DF290=0),DD290/1,IF(DD290=0,FLOOR((DE290+DF290)/2,0.1),IF(DE290=0,(DD290+DF290)/2,IF(DF290=0,(DE290+DD290)/2,FLOOR(((DD290+DE290+DF290)/3),0.1))))))))</f>
        <v/>
      </c>
      <c r="DH290" s="34">
        <f>SUM(O290,U290,AA290,AG290,AM290,AS290,AY290,BE290,BK290,BQ290,BW290,CC290,CI290,CO290,CU290,DA290,DG290)</f>
        <v/>
      </c>
      <c r="DI290" s="39">
        <f>RANK(DH290,DH$4:DH$503)</f>
        <v/>
      </c>
      <c r="DJ290" s="40" t="inlineStr">
        <is>
          <t>CHOOSE RATING</t>
        </is>
      </c>
      <c r="DK290" s="40" t="inlineStr">
        <is>
          <t>CHOOSE RATING</t>
        </is>
      </c>
      <c r="DL290" s="40" t="inlineStr">
        <is>
          <t>CHOOSE RATING</t>
        </is>
      </c>
      <c r="DM290" s="40" t="inlineStr">
        <is>
          <t>CHOOSE RATING</t>
        </is>
      </c>
      <c r="DN290" s="40" t="inlineStr">
        <is>
          <t>CHOOSE RATING</t>
        </is>
      </c>
      <c r="DO290" s="40" t="inlineStr">
        <is>
          <t>CHOOSE RATING</t>
        </is>
      </c>
      <c r="DP290" s="40" t="inlineStr">
        <is>
          <t>CHOOSE RATING</t>
        </is>
      </c>
      <c r="DQ290" s="40" t="inlineStr">
        <is>
          <t>CHOOSE RATING</t>
        </is>
      </c>
      <c r="DR290" s="43" t="inlineStr">
        <is>
          <t>2024/2025</t>
        </is>
      </c>
      <c r="DS290" s="45" t="inlineStr">
        <is>
          <t>THIRD</t>
        </is>
      </c>
      <c r="DT290" s="40" t="inlineStr">
        <is>
          <t>CHOOSE RATING</t>
        </is>
      </c>
      <c r="DU290" s="40" t="inlineStr">
        <is>
          <t>CHOOSE RATING</t>
        </is>
      </c>
      <c r="DV290" s="40" t="inlineStr">
        <is>
          <t>CHOOSE RATING</t>
        </is>
      </c>
      <c r="DW290" s="40" t="inlineStr">
        <is>
          <t>CHOOSE RATING</t>
        </is>
      </c>
      <c r="DX290" s="40" t="inlineStr">
        <is>
          <t>CHOOSE RATING</t>
        </is>
      </c>
      <c r="DY290" s="40" t="inlineStr">
        <is>
          <t>CHOOSE RATING</t>
        </is>
      </c>
      <c r="DZ290" s="53" t="inlineStr">
        <is>
          <t>CHOOSE RATING</t>
        </is>
      </c>
      <c r="EA290" s="54" t="inlineStr">
        <is>
          <t>Add the Tutor's Comment . . .</t>
        </is>
      </c>
      <c r="EB290" s="55" t="inlineStr">
        <is>
          <t>Choose Principals comment</t>
        </is>
      </c>
      <c r="EC290" s="56" t="n"/>
      <c r="ED290" s="57" t="inlineStr">
        <is>
          <t>Next Term Begins on Monday, 22nd September, 2025</t>
        </is>
      </c>
    </row>
    <row r="291" ht="30.6" customHeight="1" s="6">
      <c r="A291" s="18" t="n">
        <v>288</v>
      </c>
      <c r="B291" s="19" t="n"/>
      <c r="C291" s="20" t="n"/>
      <c r="D291" s="128" t="n"/>
      <c r="E291" s="21" t="n"/>
      <c r="F291" s="22" t="n"/>
      <c r="G291" s="22" t="n"/>
      <c r="H291" s="22" t="n"/>
      <c r="I291" s="26">
        <f>G291-H291</f>
        <v/>
      </c>
      <c r="J291" s="21" t="n"/>
      <c r="K291" s="21" t="n"/>
      <c r="L291" s="27">
        <f>SUM(J291:K291)</f>
        <v/>
      </c>
      <c r="M291" s="28" t="n"/>
      <c r="N291" s="28" t="n"/>
      <c r="O291" s="29">
        <f>IF(AND(L291=0,M291=0,N291=0),0,IF(AND(L291=0,M291=0),N291/1,IF(AND(L291=0,N291=0),M291/1,IF(AND(M291=0,N291=0),L291/1,IF(L291=0,FLOOR((M291+N291)/2,0.1),IF(M291=0,(L291+N291)/2,IF(N291=0,(M291+L291)/2,FLOOR(((L291+M291+N291)/3),0.1))))))))</f>
        <v/>
      </c>
      <c r="P291" s="21" t="n"/>
      <c r="Q291" s="21" t="n"/>
      <c r="R291" s="27">
        <f>SUM(P291:Q291)</f>
        <v/>
      </c>
      <c r="S291" s="28" t="n"/>
      <c r="T291" s="28" t="n"/>
      <c r="U291" s="29">
        <f>IF(AND(R291=0,S291=0,T291=0),0,IF(AND(R291=0,S291=0),T291/1,IF(AND(R291=0,T291=0),S291/1,IF(AND(S291=0,T291=0),R291/1,IF(R291=0,FLOOR((S291+T291)/2,0.1),IF(S291=0,(R291+T291)/2,IF(T291=0,(S291+R291)/2,FLOOR(((R291+S291+T291)/3),0.1))))))))</f>
        <v/>
      </c>
      <c r="V291" s="21" t="n"/>
      <c r="W291" s="21" t="n"/>
      <c r="X291" s="27">
        <f>SUM(V291:W291)</f>
        <v/>
      </c>
      <c r="Y291" s="28" t="n"/>
      <c r="Z291" s="28" t="n"/>
      <c r="AA291" s="29">
        <f>IF(AND(X291=0,Y291=0,Z291=0),0,IF(AND(X291=0,Y291=0),Z291/1,IF(AND(X291=0,Z291=0),Y291/1,IF(AND(Y291=0,Z291=0),X291/1,IF(X291=0,FLOOR((Y291+Z291)/2,0.1),IF(Y291=0,(X291+Z291)/2,IF(Z291=0,(Y291+X291)/2,FLOOR(((X291+Y291+Z291)/3),0.1))))))))</f>
        <v/>
      </c>
      <c r="AB291" s="21" t="n"/>
      <c r="AC291" s="21" t="n"/>
      <c r="AD291" s="27">
        <f>SUM(AB291:AC291)</f>
        <v/>
      </c>
      <c r="AE291" s="28" t="n"/>
      <c r="AF291" s="28" t="n"/>
      <c r="AG291" s="29">
        <f>IF(AND(AD291=0,AE291=0,AF291=0),0,IF(AND(AD291=0,AE291=0),AF291/1,IF(AND(AD291=0,AF291=0),AE291/1,IF(AND(AE291=0,AF291=0),AD291/1,IF(AD291=0,FLOOR((AE291+AF291)/2,0.1),IF(AE291=0,(AD291+AF291)/2,IF(AF291=0,(AE291+AD291)/2,FLOOR(((AD291+AE291+AF291)/3),0.1))))))))</f>
        <v/>
      </c>
      <c r="AH291" s="21" t="n"/>
      <c r="AI291" s="21" t="n"/>
      <c r="AJ291" s="27">
        <f>SUM(AH291:AI291)</f>
        <v/>
      </c>
      <c r="AK291" s="28" t="n"/>
      <c r="AL291" s="28" t="n"/>
      <c r="AM291" s="29">
        <f>IF(AND(AJ291=0,AK291=0,AL291=0),0,IF(AND(AJ291=0,AK291=0),AL291/1,IF(AND(AJ291=0,AL291=0),AK291/1,IF(AND(AK291=0,AL291=0),AJ291/1,IF(AJ291=0,FLOOR((AK291+AL291)/2,0.1),IF(AK291=0,(AJ291+AL291)/2,IF(AL291=0,(AK291+AJ291)/2,FLOOR(((AJ291+AK291+AL291)/3),0.1))))))))</f>
        <v/>
      </c>
      <c r="AN291" s="21" t="n"/>
      <c r="AO291" s="21" t="n"/>
      <c r="AP291" s="27">
        <f>SUM(AN291:AO291)</f>
        <v/>
      </c>
      <c r="AQ291" s="28" t="n"/>
      <c r="AR291" s="30" t="n"/>
      <c r="AS291" s="29">
        <f>IF(AND(AP291=0,AQ291=0,AR291=0),0,IF(AND(AP291=0,AQ291=0),AR291/1,IF(AND(AP291=0,AR291=0),AQ291/1,IF(AND(AQ291=0,AR291=0),AP291/1,IF(AP291=0,FLOOR((AQ291+AR291)/2,0.1),IF(AQ291=0,(AP291+AR291)/2,IF(AR291=0,(AQ291+AP291)/2,FLOOR(((AP291+AQ291+AR291)/3),0.1))))))))</f>
        <v/>
      </c>
      <c r="AT291" s="21" t="n"/>
      <c r="AU291" s="21" t="n"/>
      <c r="AV291" s="27">
        <f>SUM(AT291:AU291)</f>
        <v/>
      </c>
      <c r="AW291" s="28" t="n"/>
      <c r="AX291" s="30" t="n"/>
      <c r="AY291" s="29">
        <f>IF(AND(AV291=0,AW291=0,AX291=0),0,IF(AND(AV291=0,AW291=0),AX291/1,IF(AND(AV291=0,AX291=0),AW291/1,IF(AND(AW291=0,AX291=0),AV291/1,IF(AV291=0,FLOOR((AW291+AX291)/2,0.1),IF(AW291=0,(AV291+AX291)/2,IF(AX291=0,(AW291+AV291)/2,FLOOR(((AV291+AW291+AX291)/3),0.1))))))))</f>
        <v/>
      </c>
      <c r="AZ291" s="21" t="n"/>
      <c r="BA291" s="21" t="n"/>
      <c r="BB291" s="27">
        <f>SUM(AZ291:BA291)</f>
        <v/>
      </c>
      <c r="BC291" s="28" t="n"/>
      <c r="BD291" s="28" t="n"/>
      <c r="BE291" s="29">
        <f>IF(AND(BB291=0,BC291=0,BD291=0),0,IF(AND(BB291=0,BC291=0),BD291/1,IF(AND(BB291=0,BD291=0),BC291/1,IF(AND(BC291=0,BD291=0),BB291/1,IF(BB291=0,FLOOR((BC291+BD291)/2,0.1),IF(BC291=0,(BB291+BD291)/2,IF(BD291=0,(BC291+BB291)/2,FLOOR(((BB291+BC291+BD291)/3),0.1))))))))</f>
        <v/>
      </c>
      <c r="BF291" s="21" t="n"/>
      <c r="BG291" s="21" t="n"/>
      <c r="BH291" s="27">
        <f>SUM(BF291:BG291)</f>
        <v/>
      </c>
      <c r="BI291" s="28" t="n"/>
      <c r="BJ291" s="28" t="n"/>
      <c r="BK291" s="29">
        <f>IF(AND(BH291=0,BI291=0,BJ291=0),0,IF(AND(BH291=0,BI291=0),BJ291/1,IF(AND(BH291=0,BJ291=0),BI291/1,IF(AND(BI291=0,BJ291=0),BH291/1,IF(BH291=0,FLOOR((BI291+BJ291)/2,0.1),IF(BI291=0,(BH291+BJ291)/2,IF(BJ291=0,(BI291+BH291)/2,FLOOR(((BH291+BI291+BJ291)/3),0.1))))))))</f>
        <v/>
      </c>
      <c r="BL291" s="21" t="n"/>
      <c r="BM291" s="21" t="n"/>
      <c r="BN291" s="27">
        <f>SUM(BL291:BM291)</f>
        <v/>
      </c>
      <c r="BO291" s="28" t="n"/>
      <c r="BP291" s="31" t="n"/>
      <c r="BQ291" s="29">
        <f>IF(AND(BN291=0,BO291=0,BP291=0),0,IF(AND(BN291=0,BO291=0),BP291/1,IF(AND(BN291=0,BP291=0),BO291/1,IF(AND(BO291=0,BP291=0),BN291/1,IF(BN291=0,FLOOR((BO291+BP291)/2,0.1),IF(BO291=0,(BN291+BP291)/2,IF(BP291=0,(BO291+BN291)/2,FLOOR(((BN291+BO291+BP291)/3),0.1))))))))</f>
        <v/>
      </c>
      <c r="BR291" s="21" t="n"/>
      <c r="BS291" s="21" t="n"/>
      <c r="BT291" s="27">
        <f>SUM(BR291:BS291)</f>
        <v/>
      </c>
      <c r="BU291" s="28" t="n"/>
      <c r="BV291" s="31" t="n"/>
      <c r="BW291" s="29">
        <f>IF(AND(BT291=0,BU291=0,BV291=0),0,IF(AND(BT291=0,BU291=0),BV291/1,IF(AND(BT291=0,BV291=0),BU291/1,IF(AND(BU291=0,BV291=0),BT291/1,IF(BT291=0,FLOOR((BU291+BV291)/2,0.1),IF(BU291=0,(BT291+BV291)/2,IF(BV291=0,(BU291+BT291)/2,FLOOR(((BT291+BU291+BV291)/3),0.1))))))))</f>
        <v/>
      </c>
      <c r="BX291" s="21" t="n"/>
      <c r="BY291" s="21" t="n"/>
      <c r="BZ291" s="27">
        <f>SUM(BX291:BY291)</f>
        <v/>
      </c>
      <c r="CA291" s="28" t="n"/>
      <c r="CB291" s="31" t="n"/>
      <c r="CC291" s="29">
        <f>IF(AND(BZ291=0,CA291=0,CB291=0),0,IF(AND(BZ291=0,CA291=0),CB291/1,IF(AND(BZ291=0,CB291=0),CA291/1,IF(AND(CA291=0,CB291=0),BZ291/1,IF(BZ291=0,FLOOR((CA291+CB291)/2,0.1),IF(CA291=0,(BZ291+CB291)/2,IF(CB291=0,(CA291+BZ291)/2,FLOOR(((BZ291+CA291+CB291)/3),0.1))))))))</f>
        <v/>
      </c>
      <c r="CD291" s="21" t="n"/>
      <c r="CE291" s="21" t="n"/>
      <c r="CF291" s="27">
        <f>SUM(CD291:CE291)</f>
        <v/>
      </c>
      <c r="CG291" s="28" t="n"/>
      <c r="CH291" s="31" t="n"/>
      <c r="CI291" s="29">
        <f>IF(AND(CF291=0,CG291=0,CH291=0),0,IF(AND(CF291=0,CG291=0),CH291/1,IF(AND(CF291=0,CH291=0),CG291/1,IF(AND(CG291=0,CH291=0),CF291/1,IF(CF291=0,FLOOR((CG291+CH291)/2,0.1),IF(CG291=0,(CF291+CH291)/2,IF(CH291=0,(CG291+CF291)/2,FLOOR(((CF291+CG291+CH291)/3),0.1))))))))</f>
        <v/>
      </c>
      <c r="CJ291" s="21" t="n"/>
      <c r="CK291" s="21" t="n"/>
      <c r="CL291" s="27">
        <f>SUM(CJ291:CK291)</f>
        <v/>
      </c>
      <c r="CM291" s="28" t="n"/>
      <c r="CN291" s="31" t="n"/>
      <c r="CO291" s="29">
        <f>IF(AND(CL291=0,CM291=0,CN291=0),0,IF(AND(CL291=0,CM291=0),CN291/1,IF(AND(CL291=0,CN291=0),CM291/1,IF(AND(CM291=0,CN291=0),CL291/1,IF(CL291=0,FLOOR((CM291+CN291)/2,0.1),IF(CM291=0,(CL291+CN291)/2,IF(CN291=0,(CM291+CL291)/2,FLOOR(((CL291+CM291+CN291)/3),0.1))))))))</f>
        <v/>
      </c>
      <c r="CP291" s="21" t="n"/>
      <c r="CQ291" s="21" t="n"/>
      <c r="CR291" s="27">
        <f>SUM(CP291:CQ291)</f>
        <v/>
      </c>
      <c r="CS291" s="28" t="n"/>
      <c r="CT291" s="31" t="n"/>
      <c r="CU291" s="29">
        <f>IF(AND(CR291=0,CS291=0,CT291=0),0,IF(AND(CR291=0,CS291=0),CT291/1,IF(AND(CR291=0,CT291=0),CS291/1,IF(AND(CS291=0,CT291=0),CR291/1,IF(CR291=0,FLOOR((CS291+CT291)/2,0.1),IF(CS291=0,(CR291+CT291)/2,IF(CT291=0,(CS291+CR291)/2,FLOOR(((CR291+CS291+CT291)/3),0.1))))))))</f>
        <v/>
      </c>
      <c r="CV291" s="21" t="n"/>
      <c r="CW291" s="21" t="n"/>
      <c r="CX291" s="27">
        <f>SUM(CV291:CW291)</f>
        <v/>
      </c>
      <c r="CY291" s="28" t="n"/>
      <c r="CZ291" s="31" t="n"/>
      <c r="DA291" s="29">
        <f>IF(AND(CX291=0,CY291=0,CZ291=0),0,IF(AND(CX291=0,CY291=0),CZ291/1,IF(AND(CX291=0,CZ291=0),CY291/1,IF(AND(CY291=0,CZ291=0),CX291/1,IF(CX291=0,FLOOR((CY291+CZ291)/2,0.1),IF(CY291=0,(CX291+CZ291)/2,IF(CZ291=0,(CY291+CX291)/2,FLOOR(((CX291+CY291+CZ291)/3),0.1))))))))</f>
        <v/>
      </c>
      <c r="DB291" s="21" t="n"/>
      <c r="DC291" s="21" t="n"/>
      <c r="DD291" s="27">
        <f>SUM(DB291:DC291)</f>
        <v/>
      </c>
      <c r="DE291" s="28" t="n"/>
      <c r="DF291" s="31" t="n"/>
      <c r="DG291" s="29">
        <f>IF(AND(DD291=0,DE291=0,DF291=0),0,IF(AND(DD291=0,DE291=0),DF291/1,IF(AND(DD291=0,DF291=0),DE291/1,IF(AND(DE291=0,DF291=0),DD291/1,IF(DD291=0,FLOOR((DE291+DF291)/2,0.1),IF(DE291=0,(DD291+DF291)/2,IF(DF291=0,(DE291+DD291)/2,FLOOR(((DD291+DE291+DF291)/3),0.1))))))))</f>
        <v/>
      </c>
      <c r="DH291" s="34">
        <f>SUM(O291,U291,AA291,AG291,AM291,AS291,AY291,BE291,BK291,BQ291,BW291,CC291,CI291,CO291,CU291,DA291,DG291)</f>
        <v/>
      </c>
      <c r="DI291" s="39">
        <f>RANK(DH291,DH$4:DH$503)</f>
        <v/>
      </c>
      <c r="DJ291" s="40" t="inlineStr">
        <is>
          <t>CHOOSE RATING</t>
        </is>
      </c>
      <c r="DK291" s="40" t="inlineStr">
        <is>
          <t>CHOOSE RATING</t>
        </is>
      </c>
      <c r="DL291" s="40" t="inlineStr">
        <is>
          <t>CHOOSE RATING</t>
        </is>
      </c>
      <c r="DM291" s="40" t="inlineStr">
        <is>
          <t>CHOOSE RATING</t>
        </is>
      </c>
      <c r="DN291" s="40" t="inlineStr">
        <is>
          <t>CHOOSE RATING</t>
        </is>
      </c>
      <c r="DO291" s="40" t="inlineStr">
        <is>
          <t>CHOOSE RATING</t>
        </is>
      </c>
      <c r="DP291" s="40" t="inlineStr">
        <is>
          <t>CHOOSE RATING</t>
        </is>
      </c>
      <c r="DQ291" s="40" t="inlineStr">
        <is>
          <t>CHOOSE RATING</t>
        </is>
      </c>
      <c r="DR291" s="43" t="inlineStr">
        <is>
          <t>2024/2025</t>
        </is>
      </c>
      <c r="DS291" s="45" t="inlineStr">
        <is>
          <t>THIRD</t>
        </is>
      </c>
      <c r="DT291" s="40" t="inlineStr">
        <is>
          <t>CHOOSE RATING</t>
        </is>
      </c>
      <c r="DU291" s="40" t="inlineStr">
        <is>
          <t>CHOOSE RATING</t>
        </is>
      </c>
      <c r="DV291" s="40" t="inlineStr">
        <is>
          <t>CHOOSE RATING</t>
        </is>
      </c>
      <c r="DW291" s="40" t="inlineStr">
        <is>
          <t>CHOOSE RATING</t>
        </is>
      </c>
      <c r="DX291" s="40" t="inlineStr">
        <is>
          <t>CHOOSE RATING</t>
        </is>
      </c>
      <c r="DY291" s="40" t="inlineStr">
        <is>
          <t>CHOOSE RATING</t>
        </is>
      </c>
      <c r="DZ291" s="53" t="inlineStr">
        <is>
          <t>CHOOSE RATING</t>
        </is>
      </c>
      <c r="EA291" s="54" t="inlineStr">
        <is>
          <t>Add the Tutor's Comment . . .</t>
        </is>
      </c>
      <c r="EB291" s="55" t="inlineStr">
        <is>
          <t>Choose Principals comment</t>
        </is>
      </c>
      <c r="EC291" s="56" t="n"/>
      <c r="ED291" s="57" t="inlineStr">
        <is>
          <t>Next Term Begins on Monday, 22nd September, 2025</t>
        </is>
      </c>
    </row>
    <row r="292" ht="30.6" customHeight="1" s="6">
      <c r="A292" s="18" t="n">
        <v>289</v>
      </c>
      <c r="B292" s="19" t="n"/>
      <c r="C292" s="20" t="n"/>
      <c r="D292" s="128" t="n"/>
      <c r="E292" s="21" t="n"/>
      <c r="F292" s="22" t="n"/>
      <c r="G292" s="22" t="n"/>
      <c r="H292" s="22" t="n"/>
      <c r="I292" s="26">
        <f>G292-H292</f>
        <v/>
      </c>
      <c r="J292" s="21" t="n"/>
      <c r="K292" s="21" t="n"/>
      <c r="L292" s="27">
        <f>SUM(J292:K292)</f>
        <v/>
      </c>
      <c r="M292" s="28" t="n"/>
      <c r="N292" s="28" t="n"/>
      <c r="O292" s="29">
        <f>IF(AND(L292=0,M292=0,N292=0),0,IF(AND(L292=0,M292=0),N292/1,IF(AND(L292=0,N292=0),M292/1,IF(AND(M292=0,N292=0),L292/1,IF(L292=0,FLOOR((M292+N292)/2,0.1),IF(M292=0,(L292+N292)/2,IF(N292=0,(M292+L292)/2,FLOOR(((L292+M292+N292)/3),0.1))))))))</f>
        <v/>
      </c>
      <c r="P292" s="21" t="n"/>
      <c r="Q292" s="21" t="n"/>
      <c r="R292" s="27">
        <f>SUM(P292:Q292)</f>
        <v/>
      </c>
      <c r="S292" s="28" t="n"/>
      <c r="T292" s="28" t="n"/>
      <c r="U292" s="29">
        <f>IF(AND(R292=0,S292=0,T292=0),0,IF(AND(R292=0,S292=0),T292/1,IF(AND(R292=0,T292=0),S292/1,IF(AND(S292=0,T292=0),R292/1,IF(R292=0,FLOOR((S292+T292)/2,0.1),IF(S292=0,(R292+T292)/2,IF(T292=0,(S292+R292)/2,FLOOR(((R292+S292+T292)/3),0.1))))))))</f>
        <v/>
      </c>
      <c r="V292" s="21" t="n"/>
      <c r="W292" s="21" t="n"/>
      <c r="X292" s="27">
        <f>SUM(V292:W292)</f>
        <v/>
      </c>
      <c r="Y292" s="28" t="n"/>
      <c r="Z292" s="28" t="n"/>
      <c r="AA292" s="29">
        <f>IF(AND(X292=0,Y292=0,Z292=0),0,IF(AND(X292=0,Y292=0),Z292/1,IF(AND(X292=0,Z292=0),Y292/1,IF(AND(Y292=0,Z292=0),X292/1,IF(X292=0,FLOOR((Y292+Z292)/2,0.1),IF(Y292=0,(X292+Z292)/2,IF(Z292=0,(Y292+X292)/2,FLOOR(((X292+Y292+Z292)/3),0.1))))))))</f>
        <v/>
      </c>
      <c r="AB292" s="21" t="n"/>
      <c r="AC292" s="21" t="n"/>
      <c r="AD292" s="27">
        <f>SUM(AB292:AC292)</f>
        <v/>
      </c>
      <c r="AE292" s="28" t="n"/>
      <c r="AF292" s="28" t="n"/>
      <c r="AG292" s="29">
        <f>IF(AND(AD292=0,AE292=0,AF292=0),0,IF(AND(AD292=0,AE292=0),AF292/1,IF(AND(AD292=0,AF292=0),AE292/1,IF(AND(AE292=0,AF292=0),AD292/1,IF(AD292=0,FLOOR((AE292+AF292)/2,0.1),IF(AE292=0,(AD292+AF292)/2,IF(AF292=0,(AE292+AD292)/2,FLOOR(((AD292+AE292+AF292)/3),0.1))))))))</f>
        <v/>
      </c>
      <c r="AH292" s="21" t="n"/>
      <c r="AI292" s="21" t="n"/>
      <c r="AJ292" s="27">
        <f>SUM(AH292:AI292)</f>
        <v/>
      </c>
      <c r="AK292" s="28" t="n"/>
      <c r="AL292" s="28" t="n"/>
      <c r="AM292" s="29">
        <f>IF(AND(AJ292=0,AK292=0,AL292=0),0,IF(AND(AJ292=0,AK292=0),AL292/1,IF(AND(AJ292=0,AL292=0),AK292/1,IF(AND(AK292=0,AL292=0),AJ292/1,IF(AJ292=0,FLOOR((AK292+AL292)/2,0.1),IF(AK292=0,(AJ292+AL292)/2,IF(AL292=0,(AK292+AJ292)/2,FLOOR(((AJ292+AK292+AL292)/3),0.1))))))))</f>
        <v/>
      </c>
      <c r="AN292" s="21" t="n"/>
      <c r="AO292" s="21" t="n"/>
      <c r="AP292" s="27">
        <f>SUM(AN292:AO292)</f>
        <v/>
      </c>
      <c r="AQ292" s="28" t="n"/>
      <c r="AR292" s="30" t="n"/>
      <c r="AS292" s="29">
        <f>IF(AND(AP292=0,AQ292=0,AR292=0),0,IF(AND(AP292=0,AQ292=0),AR292/1,IF(AND(AP292=0,AR292=0),AQ292/1,IF(AND(AQ292=0,AR292=0),AP292/1,IF(AP292=0,FLOOR((AQ292+AR292)/2,0.1),IF(AQ292=0,(AP292+AR292)/2,IF(AR292=0,(AQ292+AP292)/2,FLOOR(((AP292+AQ292+AR292)/3),0.1))))))))</f>
        <v/>
      </c>
      <c r="AT292" s="21" t="n"/>
      <c r="AU292" s="21" t="n"/>
      <c r="AV292" s="27">
        <f>SUM(AT292:AU292)</f>
        <v/>
      </c>
      <c r="AW292" s="28" t="n"/>
      <c r="AX292" s="30" t="n"/>
      <c r="AY292" s="29">
        <f>IF(AND(AV292=0,AW292=0,AX292=0),0,IF(AND(AV292=0,AW292=0),AX292/1,IF(AND(AV292=0,AX292=0),AW292/1,IF(AND(AW292=0,AX292=0),AV292/1,IF(AV292=0,FLOOR((AW292+AX292)/2,0.1),IF(AW292=0,(AV292+AX292)/2,IF(AX292=0,(AW292+AV292)/2,FLOOR(((AV292+AW292+AX292)/3),0.1))))))))</f>
        <v/>
      </c>
      <c r="AZ292" s="21" t="n"/>
      <c r="BA292" s="21" t="n"/>
      <c r="BB292" s="27">
        <f>SUM(AZ292:BA292)</f>
        <v/>
      </c>
      <c r="BC292" s="28" t="n"/>
      <c r="BD292" s="28" t="n"/>
      <c r="BE292" s="29">
        <f>IF(AND(BB292=0,BC292=0,BD292=0),0,IF(AND(BB292=0,BC292=0),BD292/1,IF(AND(BB292=0,BD292=0),BC292/1,IF(AND(BC292=0,BD292=0),BB292/1,IF(BB292=0,FLOOR((BC292+BD292)/2,0.1),IF(BC292=0,(BB292+BD292)/2,IF(BD292=0,(BC292+BB292)/2,FLOOR(((BB292+BC292+BD292)/3),0.1))))))))</f>
        <v/>
      </c>
      <c r="BF292" s="21" t="n"/>
      <c r="BG292" s="21" t="n"/>
      <c r="BH292" s="27">
        <f>SUM(BF292:BG292)</f>
        <v/>
      </c>
      <c r="BI292" s="28" t="n"/>
      <c r="BJ292" s="28" t="n"/>
      <c r="BK292" s="29">
        <f>IF(AND(BH292=0,BI292=0,BJ292=0),0,IF(AND(BH292=0,BI292=0),BJ292/1,IF(AND(BH292=0,BJ292=0),BI292/1,IF(AND(BI292=0,BJ292=0),BH292/1,IF(BH292=0,FLOOR((BI292+BJ292)/2,0.1),IF(BI292=0,(BH292+BJ292)/2,IF(BJ292=0,(BI292+BH292)/2,FLOOR(((BH292+BI292+BJ292)/3),0.1))))))))</f>
        <v/>
      </c>
      <c r="BL292" s="21" t="n"/>
      <c r="BM292" s="21" t="n"/>
      <c r="BN292" s="27">
        <f>SUM(BL292:BM292)</f>
        <v/>
      </c>
      <c r="BO292" s="28" t="n"/>
      <c r="BP292" s="31" t="n"/>
      <c r="BQ292" s="29">
        <f>IF(AND(BN292=0,BO292=0,BP292=0),0,IF(AND(BN292=0,BO292=0),BP292/1,IF(AND(BN292=0,BP292=0),BO292/1,IF(AND(BO292=0,BP292=0),BN292/1,IF(BN292=0,FLOOR((BO292+BP292)/2,0.1),IF(BO292=0,(BN292+BP292)/2,IF(BP292=0,(BO292+BN292)/2,FLOOR(((BN292+BO292+BP292)/3),0.1))))))))</f>
        <v/>
      </c>
      <c r="BR292" s="21" t="n"/>
      <c r="BS292" s="21" t="n"/>
      <c r="BT292" s="27">
        <f>SUM(BR292:BS292)</f>
        <v/>
      </c>
      <c r="BU292" s="28" t="n"/>
      <c r="BV292" s="31" t="n"/>
      <c r="BW292" s="29">
        <f>IF(AND(BT292=0,BU292=0,BV292=0),0,IF(AND(BT292=0,BU292=0),BV292/1,IF(AND(BT292=0,BV292=0),BU292/1,IF(AND(BU292=0,BV292=0),BT292/1,IF(BT292=0,FLOOR((BU292+BV292)/2,0.1),IF(BU292=0,(BT292+BV292)/2,IF(BV292=0,(BU292+BT292)/2,FLOOR(((BT292+BU292+BV292)/3),0.1))))))))</f>
        <v/>
      </c>
      <c r="BX292" s="21" t="n"/>
      <c r="BY292" s="21" t="n"/>
      <c r="BZ292" s="27">
        <f>SUM(BX292:BY292)</f>
        <v/>
      </c>
      <c r="CA292" s="28" t="n"/>
      <c r="CB292" s="31" t="n"/>
      <c r="CC292" s="29">
        <f>IF(AND(BZ292=0,CA292=0,CB292=0),0,IF(AND(BZ292=0,CA292=0),CB292/1,IF(AND(BZ292=0,CB292=0),CA292/1,IF(AND(CA292=0,CB292=0),BZ292/1,IF(BZ292=0,FLOOR((CA292+CB292)/2,0.1),IF(CA292=0,(BZ292+CB292)/2,IF(CB292=0,(CA292+BZ292)/2,FLOOR(((BZ292+CA292+CB292)/3),0.1))))))))</f>
        <v/>
      </c>
      <c r="CD292" s="21" t="n"/>
      <c r="CE292" s="21" t="n"/>
      <c r="CF292" s="27">
        <f>SUM(CD292:CE292)</f>
        <v/>
      </c>
      <c r="CG292" s="28" t="n"/>
      <c r="CH292" s="31" t="n"/>
      <c r="CI292" s="29">
        <f>IF(AND(CF292=0,CG292=0,CH292=0),0,IF(AND(CF292=0,CG292=0),CH292/1,IF(AND(CF292=0,CH292=0),CG292/1,IF(AND(CG292=0,CH292=0),CF292/1,IF(CF292=0,FLOOR((CG292+CH292)/2,0.1),IF(CG292=0,(CF292+CH292)/2,IF(CH292=0,(CG292+CF292)/2,FLOOR(((CF292+CG292+CH292)/3),0.1))))))))</f>
        <v/>
      </c>
      <c r="CJ292" s="21" t="n"/>
      <c r="CK292" s="21" t="n"/>
      <c r="CL292" s="27">
        <f>SUM(CJ292:CK292)</f>
        <v/>
      </c>
      <c r="CM292" s="28" t="n"/>
      <c r="CN292" s="31" t="n"/>
      <c r="CO292" s="29">
        <f>IF(AND(CL292=0,CM292=0,CN292=0),0,IF(AND(CL292=0,CM292=0),CN292/1,IF(AND(CL292=0,CN292=0),CM292/1,IF(AND(CM292=0,CN292=0),CL292/1,IF(CL292=0,FLOOR((CM292+CN292)/2,0.1),IF(CM292=0,(CL292+CN292)/2,IF(CN292=0,(CM292+CL292)/2,FLOOR(((CL292+CM292+CN292)/3),0.1))))))))</f>
        <v/>
      </c>
      <c r="CP292" s="21" t="n"/>
      <c r="CQ292" s="21" t="n"/>
      <c r="CR292" s="27">
        <f>SUM(CP292:CQ292)</f>
        <v/>
      </c>
      <c r="CS292" s="28" t="n"/>
      <c r="CT292" s="31" t="n"/>
      <c r="CU292" s="29">
        <f>IF(AND(CR292=0,CS292=0,CT292=0),0,IF(AND(CR292=0,CS292=0),CT292/1,IF(AND(CR292=0,CT292=0),CS292/1,IF(AND(CS292=0,CT292=0),CR292/1,IF(CR292=0,FLOOR((CS292+CT292)/2,0.1),IF(CS292=0,(CR292+CT292)/2,IF(CT292=0,(CS292+CR292)/2,FLOOR(((CR292+CS292+CT292)/3),0.1))))))))</f>
        <v/>
      </c>
      <c r="CV292" s="21" t="n"/>
      <c r="CW292" s="21" t="n"/>
      <c r="CX292" s="27">
        <f>SUM(CV292:CW292)</f>
        <v/>
      </c>
      <c r="CY292" s="28" t="n"/>
      <c r="CZ292" s="31" t="n"/>
      <c r="DA292" s="29">
        <f>IF(AND(CX292=0,CY292=0,CZ292=0),0,IF(AND(CX292=0,CY292=0),CZ292/1,IF(AND(CX292=0,CZ292=0),CY292/1,IF(AND(CY292=0,CZ292=0),CX292/1,IF(CX292=0,FLOOR((CY292+CZ292)/2,0.1),IF(CY292=0,(CX292+CZ292)/2,IF(CZ292=0,(CY292+CX292)/2,FLOOR(((CX292+CY292+CZ292)/3),0.1))))))))</f>
        <v/>
      </c>
      <c r="DB292" s="21" t="n"/>
      <c r="DC292" s="21" t="n"/>
      <c r="DD292" s="27">
        <f>SUM(DB292:DC292)</f>
        <v/>
      </c>
      <c r="DE292" s="28" t="n"/>
      <c r="DF292" s="31" t="n"/>
      <c r="DG292" s="29">
        <f>IF(AND(DD292=0,DE292=0,DF292=0),0,IF(AND(DD292=0,DE292=0),DF292/1,IF(AND(DD292=0,DF292=0),DE292/1,IF(AND(DE292=0,DF292=0),DD292/1,IF(DD292=0,FLOOR((DE292+DF292)/2,0.1),IF(DE292=0,(DD292+DF292)/2,IF(DF292=0,(DE292+DD292)/2,FLOOR(((DD292+DE292+DF292)/3),0.1))))))))</f>
        <v/>
      </c>
      <c r="DH292" s="34">
        <f>SUM(O292,U292,AA292,AG292,AM292,AS292,AY292,BE292,BK292,BQ292,BW292,CC292,CI292,CO292,CU292,DA292,DG292)</f>
        <v/>
      </c>
      <c r="DI292" s="39">
        <f>RANK(DH292,DH$4:DH$503)</f>
        <v/>
      </c>
      <c r="DJ292" s="40" t="inlineStr">
        <is>
          <t>CHOOSE RATING</t>
        </is>
      </c>
      <c r="DK292" s="40" t="inlineStr">
        <is>
          <t>CHOOSE RATING</t>
        </is>
      </c>
      <c r="DL292" s="40" t="inlineStr">
        <is>
          <t>CHOOSE RATING</t>
        </is>
      </c>
      <c r="DM292" s="40" t="inlineStr">
        <is>
          <t>CHOOSE RATING</t>
        </is>
      </c>
      <c r="DN292" s="40" t="inlineStr">
        <is>
          <t>CHOOSE RATING</t>
        </is>
      </c>
      <c r="DO292" s="40" t="inlineStr">
        <is>
          <t>CHOOSE RATING</t>
        </is>
      </c>
      <c r="DP292" s="40" t="inlineStr">
        <is>
          <t>CHOOSE RATING</t>
        </is>
      </c>
      <c r="DQ292" s="40" t="inlineStr">
        <is>
          <t>CHOOSE RATING</t>
        </is>
      </c>
      <c r="DR292" s="43" t="inlineStr">
        <is>
          <t>2024/2025</t>
        </is>
      </c>
      <c r="DS292" s="45" t="inlineStr">
        <is>
          <t>THIRD</t>
        </is>
      </c>
      <c r="DT292" s="40" t="inlineStr">
        <is>
          <t>CHOOSE RATING</t>
        </is>
      </c>
      <c r="DU292" s="40" t="inlineStr">
        <is>
          <t>CHOOSE RATING</t>
        </is>
      </c>
      <c r="DV292" s="40" t="inlineStr">
        <is>
          <t>CHOOSE RATING</t>
        </is>
      </c>
      <c r="DW292" s="40" t="inlineStr">
        <is>
          <t>CHOOSE RATING</t>
        </is>
      </c>
      <c r="DX292" s="40" t="inlineStr">
        <is>
          <t>CHOOSE RATING</t>
        </is>
      </c>
      <c r="DY292" s="40" t="inlineStr">
        <is>
          <t>CHOOSE RATING</t>
        </is>
      </c>
      <c r="DZ292" s="53" t="inlineStr">
        <is>
          <t>CHOOSE RATING</t>
        </is>
      </c>
      <c r="EA292" s="54" t="inlineStr">
        <is>
          <t>Add the Tutor's Comment . . .</t>
        </is>
      </c>
      <c r="EB292" s="55" t="inlineStr">
        <is>
          <t>Choose Principals comment</t>
        </is>
      </c>
      <c r="EC292" s="56" t="n"/>
      <c r="ED292" s="57" t="inlineStr">
        <is>
          <t>Next Term Begins on Monday, 22nd September, 2025</t>
        </is>
      </c>
    </row>
    <row r="293" ht="30.6" customHeight="1" s="6">
      <c r="A293" s="18" t="n">
        <v>290</v>
      </c>
      <c r="B293" s="19" t="n"/>
      <c r="C293" s="20" t="n"/>
      <c r="D293" s="128" t="n"/>
      <c r="E293" s="21" t="n"/>
      <c r="F293" s="22" t="n"/>
      <c r="G293" s="22" t="n"/>
      <c r="H293" s="22" t="n"/>
      <c r="I293" s="26">
        <f>G293-H293</f>
        <v/>
      </c>
      <c r="J293" s="21" t="n"/>
      <c r="K293" s="21" t="n"/>
      <c r="L293" s="27">
        <f>SUM(J293:K293)</f>
        <v/>
      </c>
      <c r="M293" s="28" t="n"/>
      <c r="N293" s="28" t="n"/>
      <c r="O293" s="29">
        <f>IF(AND(L293=0,M293=0,N293=0),0,IF(AND(L293=0,M293=0),N293/1,IF(AND(L293=0,N293=0),M293/1,IF(AND(M293=0,N293=0),L293/1,IF(L293=0,FLOOR((M293+N293)/2,0.1),IF(M293=0,(L293+N293)/2,IF(N293=0,(M293+L293)/2,FLOOR(((L293+M293+N293)/3),0.1))))))))</f>
        <v/>
      </c>
      <c r="P293" s="21" t="n"/>
      <c r="Q293" s="21" t="n"/>
      <c r="R293" s="27">
        <f>SUM(P293:Q293)</f>
        <v/>
      </c>
      <c r="S293" s="28" t="n"/>
      <c r="T293" s="28" t="n"/>
      <c r="U293" s="29">
        <f>IF(AND(R293=0,S293=0,T293=0),0,IF(AND(R293=0,S293=0),T293/1,IF(AND(R293=0,T293=0),S293/1,IF(AND(S293=0,T293=0),R293/1,IF(R293=0,FLOOR((S293+T293)/2,0.1),IF(S293=0,(R293+T293)/2,IF(T293=0,(S293+R293)/2,FLOOR(((R293+S293+T293)/3),0.1))))))))</f>
        <v/>
      </c>
      <c r="V293" s="21" t="n"/>
      <c r="W293" s="21" t="n"/>
      <c r="X293" s="27">
        <f>SUM(V293:W293)</f>
        <v/>
      </c>
      <c r="Y293" s="28" t="n"/>
      <c r="Z293" s="28" t="n"/>
      <c r="AA293" s="29">
        <f>IF(AND(X293=0,Y293=0,Z293=0),0,IF(AND(X293=0,Y293=0),Z293/1,IF(AND(X293=0,Z293=0),Y293/1,IF(AND(Y293=0,Z293=0),X293/1,IF(X293=0,FLOOR((Y293+Z293)/2,0.1),IF(Y293=0,(X293+Z293)/2,IF(Z293=0,(Y293+X293)/2,FLOOR(((X293+Y293+Z293)/3),0.1))))))))</f>
        <v/>
      </c>
      <c r="AB293" s="21" t="n"/>
      <c r="AC293" s="21" t="n"/>
      <c r="AD293" s="27">
        <f>SUM(AB293:AC293)</f>
        <v/>
      </c>
      <c r="AE293" s="28" t="n"/>
      <c r="AF293" s="28" t="n"/>
      <c r="AG293" s="29">
        <f>IF(AND(AD293=0,AE293=0,AF293=0),0,IF(AND(AD293=0,AE293=0),AF293/1,IF(AND(AD293=0,AF293=0),AE293/1,IF(AND(AE293=0,AF293=0),AD293/1,IF(AD293=0,FLOOR((AE293+AF293)/2,0.1),IF(AE293=0,(AD293+AF293)/2,IF(AF293=0,(AE293+AD293)/2,FLOOR(((AD293+AE293+AF293)/3),0.1))))))))</f>
        <v/>
      </c>
      <c r="AH293" s="21" t="n"/>
      <c r="AI293" s="21" t="n"/>
      <c r="AJ293" s="27">
        <f>SUM(AH293:AI293)</f>
        <v/>
      </c>
      <c r="AK293" s="28" t="n"/>
      <c r="AL293" s="28" t="n"/>
      <c r="AM293" s="29">
        <f>IF(AND(AJ293=0,AK293=0,AL293=0),0,IF(AND(AJ293=0,AK293=0),AL293/1,IF(AND(AJ293=0,AL293=0),AK293/1,IF(AND(AK293=0,AL293=0),AJ293/1,IF(AJ293=0,FLOOR((AK293+AL293)/2,0.1),IF(AK293=0,(AJ293+AL293)/2,IF(AL293=0,(AK293+AJ293)/2,FLOOR(((AJ293+AK293+AL293)/3),0.1))))))))</f>
        <v/>
      </c>
      <c r="AN293" s="21" t="n"/>
      <c r="AO293" s="21" t="n"/>
      <c r="AP293" s="27">
        <f>SUM(AN293:AO293)</f>
        <v/>
      </c>
      <c r="AQ293" s="28" t="n"/>
      <c r="AR293" s="30" t="n"/>
      <c r="AS293" s="29">
        <f>IF(AND(AP293=0,AQ293=0,AR293=0),0,IF(AND(AP293=0,AQ293=0),AR293/1,IF(AND(AP293=0,AR293=0),AQ293/1,IF(AND(AQ293=0,AR293=0),AP293/1,IF(AP293=0,FLOOR((AQ293+AR293)/2,0.1),IF(AQ293=0,(AP293+AR293)/2,IF(AR293=0,(AQ293+AP293)/2,FLOOR(((AP293+AQ293+AR293)/3),0.1))))))))</f>
        <v/>
      </c>
      <c r="AT293" s="21" t="n"/>
      <c r="AU293" s="21" t="n"/>
      <c r="AV293" s="27">
        <f>SUM(AT293:AU293)</f>
        <v/>
      </c>
      <c r="AW293" s="28" t="n"/>
      <c r="AX293" s="30" t="n"/>
      <c r="AY293" s="29">
        <f>IF(AND(AV293=0,AW293=0,AX293=0),0,IF(AND(AV293=0,AW293=0),AX293/1,IF(AND(AV293=0,AX293=0),AW293/1,IF(AND(AW293=0,AX293=0),AV293/1,IF(AV293=0,FLOOR((AW293+AX293)/2,0.1),IF(AW293=0,(AV293+AX293)/2,IF(AX293=0,(AW293+AV293)/2,FLOOR(((AV293+AW293+AX293)/3),0.1))))))))</f>
        <v/>
      </c>
      <c r="AZ293" s="21" t="n"/>
      <c r="BA293" s="21" t="n"/>
      <c r="BB293" s="27">
        <f>SUM(AZ293:BA293)</f>
        <v/>
      </c>
      <c r="BC293" s="28" t="n"/>
      <c r="BD293" s="28" t="n"/>
      <c r="BE293" s="29">
        <f>IF(AND(BB293=0,BC293=0,BD293=0),0,IF(AND(BB293=0,BC293=0),BD293/1,IF(AND(BB293=0,BD293=0),BC293/1,IF(AND(BC293=0,BD293=0),BB293/1,IF(BB293=0,FLOOR((BC293+BD293)/2,0.1),IF(BC293=0,(BB293+BD293)/2,IF(BD293=0,(BC293+BB293)/2,FLOOR(((BB293+BC293+BD293)/3),0.1))))))))</f>
        <v/>
      </c>
      <c r="BF293" s="21" t="n"/>
      <c r="BG293" s="21" t="n"/>
      <c r="BH293" s="27">
        <f>SUM(BF293:BG293)</f>
        <v/>
      </c>
      <c r="BI293" s="28" t="n"/>
      <c r="BJ293" s="28" t="n"/>
      <c r="BK293" s="29">
        <f>IF(AND(BH293=0,BI293=0,BJ293=0),0,IF(AND(BH293=0,BI293=0),BJ293/1,IF(AND(BH293=0,BJ293=0),BI293/1,IF(AND(BI293=0,BJ293=0),BH293/1,IF(BH293=0,FLOOR((BI293+BJ293)/2,0.1),IF(BI293=0,(BH293+BJ293)/2,IF(BJ293=0,(BI293+BH293)/2,FLOOR(((BH293+BI293+BJ293)/3),0.1))))))))</f>
        <v/>
      </c>
      <c r="BL293" s="21" t="n"/>
      <c r="BM293" s="21" t="n"/>
      <c r="BN293" s="27">
        <f>SUM(BL293:BM293)</f>
        <v/>
      </c>
      <c r="BO293" s="28" t="n"/>
      <c r="BP293" s="31" t="n"/>
      <c r="BQ293" s="29">
        <f>IF(AND(BN293=0,BO293=0,BP293=0),0,IF(AND(BN293=0,BO293=0),BP293/1,IF(AND(BN293=0,BP293=0),BO293/1,IF(AND(BO293=0,BP293=0),BN293/1,IF(BN293=0,FLOOR((BO293+BP293)/2,0.1),IF(BO293=0,(BN293+BP293)/2,IF(BP293=0,(BO293+BN293)/2,FLOOR(((BN293+BO293+BP293)/3),0.1))))))))</f>
        <v/>
      </c>
      <c r="BR293" s="21" t="n"/>
      <c r="BS293" s="21" t="n"/>
      <c r="BT293" s="27">
        <f>SUM(BR293:BS293)</f>
        <v/>
      </c>
      <c r="BU293" s="28" t="n"/>
      <c r="BV293" s="31" t="n"/>
      <c r="BW293" s="29">
        <f>IF(AND(BT293=0,BU293=0,BV293=0),0,IF(AND(BT293=0,BU293=0),BV293/1,IF(AND(BT293=0,BV293=0),BU293/1,IF(AND(BU293=0,BV293=0),BT293/1,IF(BT293=0,FLOOR((BU293+BV293)/2,0.1),IF(BU293=0,(BT293+BV293)/2,IF(BV293=0,(BU293+BT293)/2,FLOOR(((BT293+BU293+BV293)/3),0.1))))))))</f>
        <v/>
      </c>
      <c r="BX293" s="21" t="n"/>
      <c r="BY293" s="21" t="n"/>
      <c r="BZ293" s="27">
        <f>SUM(BX293:BY293)</f>
        <v/>
      </c>
      <c r="CA293" s="28" t="n"/>
      <c r="CB293" s="31" t="n"/>
      <c r="CC293" s="29">
        <f>IF(AND(BZ293=0,CA293=0,CB293=0),0,IF(AND(BZ293=0,CA293=0),CB293/1,IF(AND(BZ293=0,CB293=0),CA293/1,IF(AND(CA293=0,CB293=0),BZ293/1,IF(BZ293=0,FLOOR((CA293+CB293)/2,0.1),IF(CA293=0,(BZ293+CB293)/2,IF(CB293=0,(CA293+BZ293)/2,FLOOR(((BZ293+CA293+CB293)/3),0.1))))))))</f>
        <v/>
      </c>
      <c r="CD293" s="21" t="n"/>
      <c r="CE293" s="21" t="n"/>
      <c r="CF293" s="27">
        <f>SUM(CD293:CE293)</f>
        <v/>
      </c>
      <c r="CG293" s="28" t="n"/>
      <c r="CH293" s="31" t="n"/>
      <c r="CI293" s="29">
        <f>IF(AND(CF293=0,CG293=0,CH293=0),0,IF(AND(CF293=0,CG293=0),CH293/1,IF(AND(CF293=0,CH293=0),CG293/1,IF(AND(CG293=0,CH293=0),CF293/1,IF(CF293=0,FLOOR((CG293+CH293)/2,0.1),IF(CG293=0,(CF293+CH293)/2,IF(CH293=0,(CG293+CF293)/2,FLOOR(((CF293+CG293+CH293)/3),0.1))))))))</f>
        <v/>
      </c>
      <c r="CJ293" s="21" t="n"/>
      <c r="CK293" s="21" t="n"/>
      <c r="CL293" s="27">
        <f>SUM(CJ293:CK293)</f>
        <v/>
      </c>
      <c r="CM293" s="28" t="n"/>
      <c r="CN293" s="31" t="n"/>
      <c r="CO293" s="29">
        <f>IF(AND(CL293=0,CM293=0,CN293=0),0,IF(AND(CL293=0,CM293=0),CN293/1,IF(AND(CL293=0,CN293=0),CM293/1,IF(AND(CM293=0,CN293=0),CL293/1,IF(CL293=0,FLOOR((CM293+CN293)/2,0.1),IF(CM293=0,(CL293+CN293)/2,IF(CN293=0,(CM293+CL293)/2,FLOOR(((CL293+CM293+CN293)/3),0.1))))))))</f>
        <v/>
      </c>
      <c r="CP293" s="21" t="n"/>
      <c r="CQ293" s="21" t="n"/>
      <c r="CR293" s="27">
        <f>SUM(CP293:CQ293)</f>
        <v/>
      </c>
      <c r="CS293" s="28" t="n"/>
      <c r="CT293" s="31" t="n"/>
      <c r="CU293" s="29">
        <f>IF(AND(CR293=0,CS293=0,CT293=0),0,IF(AND(CR293=0,CS293=0),CT293/1,IF(AND(CR293=0,CT293=0),CS293/1,IF(AND(CS293=0,CT293=0),CR293/1,IF(CR293=0,FLOOR((CS293+CT293)/2,0.1),IF(CS293=0,(CR293+CT293)/2,IF(CT293=0,(CS293+CR293)/2,FLOOR(((CR293+CS293+CT293)/3),0.1))))))))</f>
        <v/>
      </c>
      <c r="CV293" s="21" t="n"/>
      <c r="CW293" s="21" t="n"/>
      <c r="CX293" s="27">
        <f>SUM(CV293:CW293)</f>
        <v/>
      </c>
      <c r="CY293" s="28" t="n"/>
      <c r="CZ293" s="31" t="n"/>
      <c r="DA293" s="29">
        <f>IF(AND(CX293=0,CY293=0,CZ293=0),0,IF(AND(CX293=0,CY293=0),CZ293/1,IF(AND(CX293=0,CZ293=0),CY293/1,IF(AND(CY293=0,CZ293=0),CX293/1,IF(CX293=0,FLOOR((CY293+CZ293)/2,0.1),IF(CY293=0,(CX293+CZ293)/2,IF(CZ293=0,(CY293+CX293)/2,FLOOR(((CX293+CY293+CZ293)/3),0.1))))))))</f>
        <v/>
      </c>
      <c r="DB293" s="21" t="n"/>
      <c r="DC293" s="21" t="n"/>
      <c r="DD293" s="27">
        <f>SUM(DB293:DC293)</f>
        <v/>
      </c>
      <c r="DE293" s="28" t="n"/>
      <c r="DF293" s="31" t="n"/>
      <c r="DG293" s="29">
        <f>IF(AND(DD293=0,DE293=0,DF293=0),0,IF(AND(DD293=0,DE293=0),DF293/1,IF(AND(DD293=0,DF293=0),DE293/1,IF(AND(DE293=0,DF293=0),DD293/1,IF(DD293=0,FLOOR((DE293+DF293)/2,0.1),IF(DE293=0,(DD293+DF293)/2,IF(DF293=0,(DE293+DD293)/2,FLOOR(((DD293+DE293+DF293)/3),0.1))))))))</f>
        <v/>
      </c>
      <c r="DH293" s="34">
        <f>SUM(O293,U293,AA293,AG293,AM293,AS293,AY293,BE293,BK293,BQ293,BW293,CC293,CI293,CO293,CU293,DA293,DG293)</f>
        <v/>
      </c>
      <c r="DI293" s="39">
        <f>RANK(DH293,DH$4:DH$503)</f>
        <v/>
      </c>
      <c r="DJ293" s="40" t="inlineStr">
        <is>
          <t>CHOOSE RATING</t>
        </is>
      </c>
      <c r="DK293" s="40" t="inlineStr">
        <is>
          <t>CHOOSE RATING</t>
        </is>
      </c>
      <c r="DL293" s="40" t="inlineStr">
        <is>
          <t>CHOOSE RATING</t>
        </is>
      </c>
      <c r="DM293" s="40" t="inlineStr">
        <is>
          <t>CHOOSE RATING</t>
        </is>
      </c>
      <c r="DN293" s="40" t="inlineStr">
        <is>
          <t>CHOOSE RATING</t>
        </is>
      </c>
      <c r="DO293" s="40" t="inlineStr">
        <is>
          <t>CHOOSE RATING</t>
        </is>
      </c>
      <c r="DP293" s="40" t="inlineStr">
        <is>
          <t>CHOOSE RATING</t>
        </is>
      </c>
      <c r="DQ293" s="40" t="inlineStr">
        <is>
          <t>CHOOSE RATING</t>
        </is>
      </c>
      <c r="DR293" s="43" t="inlineStr">
        <is>
          <t>2024/2025</t>
        </is>
      </c>
      <c r="DS293" s="45" t="inlineStr">
        <is>
          <t>THIRD</t>
        </is>
      </c>
      <c r="DT293" s="40" t="inlineStr">
        <is>
          <t>CHOOSE RATING</t>
        </is>
      </c>
      <c r="DU293" s="40" t="inlineStr">
        <is>
          <t>CHOOSE RATING</t>
        </is>
      </c>
      <c r="DV293" s="40" t="inlineStr">
        <is>
          <t>CHOOSE RATING</t>
        </is>
      </c>
      <c r="DW293" s="40" t="inlineStr">
        <is>
          <t>CHOOSE RATING</t>
        </is>
      </c>
      <c r="DX293" s="40" t="inlineStr">
        <is>
          <t>CHOOSE RATING</t>
        </is>
      </c>
      <c r="DY293" s="40" t="inlineStr">
        <is>
          <t>CHOOSE RATING</t>
        </is>
      </c>
      <c r="DZ293" s="53" t="inlineStr">
        <is>
          <t>CHOOSE RATING</t>
        </is>
      </c>
      <c r="EA293" s="54" t="inlineStr">
        <is>
          <t>Add the Tutor's Comment . . .</t>
        </is>
      </c>
      <c r="EB293" s="55" t="inlineStr">
        <is>
          <t>Choose Principals comment</t>
        </is>
      </c>
      <c r="EC293" s="56" t="n"/>
      <c r="ED293" s="57" t="inlineStr">
        <is>
          <t>Next Term Begins on Monday, 22nd September, 2025</t>
        </is>
      </c>
    </row>
    <row r="294" ht="30.6" customHeight="1" s="6">
      <c r="A294" s="18" t="n">
        <v>291</v>
      </c>
      <c r="B294" s="19" t="n"/>
      <c r="C294" s="20" t="n"/>
      <c r="D294" s="128" t="n"/>
      <c r="E294" s="21" t="n"/>
      <c r="F294" s="22" t="n"/>
      <c r="G294" s="22" t="n"/>
      <c r="H294" s="22" t="n"/>
      <c r="I294" s="26">
        <f>G294-H294</f>
        <v/>
      </c>
      <c r="J294" s="21" t="n"/>
      <c r="K294" s="21" t="n"/>
      <c r="L294" s="27">
        <f>SUM(J294:K294)</f>
        <v/>
      </c>
      <c r="M294" s="28" t="n"/>
      <c r="N294" s="28" t="n"/>
      <c r="O294" s="29">
        <f>IF(AND(L294=0,M294=0,N294=0),0,IF(AND(L294=0,M294=0),N294/1,IF(AND(L294=0,N294=0),M294/1,IF(AND(M294=0,N294=0),L294/1,IF(L294=0,FLOOR((M294+N294)/2,0.1),IF(M294=0,(L294+N294)/2,IF(N294=0,(M294+L294)/2,FLOOR(((L294+M294+N294)/3),0.1))))))))</f>
        <v/>
      </c>
      <c r="P294" s="21" t="n"/>
      <c r="Q294" s="21" t="n"/>
      <c r="R294" s="27">
        <f>SUM(P294:Q294)</f>
        <v/>
      </c>
      <c r="S294" s="28" t="n"/>
      <c r="T294" s="28" t="n"/>
      <c r="U294" s="29">
        <f>IF(AND(R294=0,S294=0,T294=0),0,IF(AND(R294=0,S294=0),T294/1,IF(AND(R294=0,T294=0),S294/1,IF(AND(S294=0,T294=0),R294/1,IF(R294=0,FLOOR((S294+T294)/2,0.1),IF(S294=0,(R294+T294)/2,IF(T294=0,(S294+R294)/2,FLOOR(((R294+S294+T294)/3),0.1))))))))</f>
        <v/>
      </c>
      <c r="V294" s="21" t="n"/>
      <c r="W294" s="21" t="n"/>
      <c r="X294" s="27">
        <f>SUM(V294:W294)</f>
        <v/>
      </c>
      <c r="Y294" s="28" t="n"/>
      <c r="Z294" s="28" t="n"/>
      <c r="AA294" s="29">
        <f>IF(AND(X294=0,Y294=0,Z294=0),0,IF(AND(X294=0,Y294=0),Z294/1,IF(AND(X294=0,Z294=0),Y294/1,IF(AND(Y294=0,Z294=0),X294/1,IF(X294=0,FLOOR((Y294+Z294)/2,0.1),IF(Y294=0,(X294+Z294)/2,IF(Z294=0,(Y294+X294)/2,FLOOR(((X294+Y294+Z294)/3),0.1))))))))</f>
        <v/>
      </c>
      <c r="AB294" s="21" t="n"/>
      <c r="AC294" s="21" t="n"/>
      <c r="AD294" s="27">
        <f>SUM(AB294:AC294)</f>
        <v/>
      </c>
      <c r="AE294" s="28" t="n"/>
      <c r="AF294" s="28" t="n"/>
      <c r="AG294" s="29">
        <f>IF(AND(AD294=0,AE294=0,AF294=0),0,IF(AND(AD294=0,AE294=0),AF294/1,IF(AND(AD294=0,AF294=0),AE294/1,IF(AND(AE294=0,AF294=0),AD294/1,IF(AD294=0,FLOOR((AE294+AF294)/2,0.1),IF(AE294=0,(AD294+AF294)/2,IF(AF294=0,(AE294+AD294)/2,FLOOR(((AD294+AE294+AF294)/3),0.1))))))))</f>
        <v/>
      </c>
      <c r="AH294" s="21" t="n"/>
      <c r="AI294" s="21" t="n"/>
      <c r="AJ294" s="27">
        <f>SUM(AH294:AI294)</f>
        <v/>
      </c>
      <c r="AK294" s="28" t="n"/>
      <c r="AL294" s="28" t="n"/>
      <c r="AM294" s="29">
        <f>IF(AND(AJ294=0,AK294=0,AL294=0),0,IF(AND(AJ294=0,AK294=0),AL294/1,IF(AND(AJ294=0,AL294=0),AK294/1,IF(AND(AK294=0,AL294=0),AJ294/1,IF(AJ294=0,FLOOR((AK294+AL294)/2,0.1),IF(AK294=0,(AJ294+AL294)/2,IF(AL294=0,(AK294+AJ294)/2,FLOOR(((AJ294+AK294+AL294)/3),0.1))))))))</f>
        <v/>
      </c>
      <c r="AN294" s="21" t="n"/>
      <c r="AO294" s="21" t="n"/>
      <c r="AP294" s="27">
        <f>SUM(AN294:AO294)</f>
        <v/>
      </c>
      <c r="AQ294" s="28" t="n"/>
      <c r="AR294" s="30" t="n"/>
      <c r="AS294" s="29">
        <f>IF(AND(AP294=0,AQ294=0,AR294=0),0,IF(AND(AP294=0,AQ294=0),AR294/1,IF(AND(AP294=0,AR294=0),AQ294/1,IF(AND(AQ294=0,AR294=0),AP294/1,IF(AP294=0,FLOOR((AQ294+AR294)/2,0.1),IF(AQ294=0,(AP294+AR294)/2,IF(AR294=0,(AQ294+AP294)/2,FLOOR(((AP294+AQ294+AR294)/3),0.1))))))))</f>
        <v/>
      </c>
      <c r="AT294" s="21" t="n"/>
      <c r="AU294" s="21" t="n"/>
      <c r="AV294" s="27">
        <f>SUM(AT294:AU294)</f>
        <v/>
      </c>
      <c r="AW294" s="28" t="n"/>
      <c r="AX294" s="30" t="n"/>
      <c r="AY294" s="29">
        <f>IF(AND(AV294=0,AW294=0,AX294=0),0,IF(AND(AV294=0,AW294=0),AX294/1,IF(AND(AV294=0,AX294=0),AW294/1,IF(AND(AW294=0,AX294=0),AV294/1,IF(AV294=0,FLOOR((AW294+AX294)/2,0.1),IF(AW294=0,(AV294+AX294)/2,IF(AX294=0,(AW294+AV294)/2,FLOOR(((AV294+AW294+AX294)/3),0.1))))))))</f>
        <v/>
      </c>
      <c r="AZ294" s="21" t="n"/>
      <c r="BA294" s="21" t="n"/>
      <c r="BB294" s="27">
        <f>SUM(AZ294:BA294)</f>
        <v/>
      </c>
      <c r="BC294" s="28" t="n"/>
      <c r="BD294" s="28" t="n"/>
      <c r="BE294" s="29">
        <f>IF(AND(BB294=0,BC294=0,BD294=0),0,IF(AND(BB294=0,BC294=0),BD294/1,IF(AND(BB294=0,BD294=0),BC294/1,IF(AND(BC294=0,BD294=0),BB294/1,IF(BB294=0,FLOOR((BC294+BD294)/2,0.1),IF(BC294=0,(BB294+BD294)/2,IF(BD294=0,(BC294+BB294)/2,FLOOR(((BB294+BC294+BD294)/3),0.1))))))))</f>
        <v/>
      </c>
      <c r="BF294" s="21" t="n"/>
      <c r="BG294" s="21" t="n"/>
      <c r="BH294" s="27">
        <f>SUM(BF294:BG294)</f>
        <v/>
      </c>
      <c r="BI294" s="28" t="n"/>
      <c r="BJ294" s="28" t="n"/>
      <c r="BK294" s="29">
        <f>IF(AND(BH294=0,BI294=0,BJ294=0),0,IF(AND(BH294=0,BI294=0),BJ294/1,IF(AND(BH294=0,BJ294=0),BI294/1,IF(AND(BI294=0,BJ294=0),BH294/1,IF(BH294=0,FLOOR((BI294+BJ294)/2,0.1),IF(BI294=0,(BH294+BJ294)/2,IF(BJ294=0,(BI294+BH294)/2,FLOOR(((BH294+BI294+BJ294)/3),0.1))))))))</f>
        <v/>
      </c>
      <c r="BL294" s="21" t="n"/>
      <c r="BM294" s="21" t="n"/>
      <c r="BN294" s="27">
        <f>SUM(BL294:BM294)</f>
        <v/>
      </c>
      <c r="BO294" s="28" t="n"/>
      <c r="BP294" s="31" t="n"/>
      <c r="BQ294" s="29">
        <f>IF(AND(BN294=0,BO294=0,BP294=0),0,IF(AND(BN294=0,BO294=0),BP294/1,IF(AND(BN294=0,BP294=0),BO294/1,IF(AND(BO294=0,BP294=0),BN294/1,IF(BN294=0,FLOOR((BO294+BP294)/2,0.1),IF(BO294=0,(BN294+BP294)/2,IF(BP294=0,(BO294+BN294)/2,FLOOR(((BN294+BO294+BP294)/3),0.1))))))))</f>
        <v/>
      </c>
      <c r="BR294" s="21" t="n"/>
      <c r="BS294" s="21" t="n"/>
      <c r="BT294" s="27">
        <f>SUM(BR294:BS294)</f>
        <v/>
      </c>
      <c r="BU294" s="28" t="n"/>
      <c r="BV294" s="31" t="n"/>
      <c r="BW294" s="29">
        <f>IF(AND(BT294=0,BU294=0,BV294=0),0,IF(AND(BT294=0,BU294=0),BV294/1,IF(AND(BT294=0,BV294=0),BU294/1,IF(AND(BU294=0,BV294=0),BT294/1,IF(BT294=0,FLOOR((BU294+BV294)/2,0.1),IF(BU294=0,(BT294+BV294)/2,IF(BV294=0,(BU294+BT294)/2,FLOOR(((BT294+BU294+BV294)/3),0.1))))))))</f>
        <v/>
      </c>
      <c r="BX294" s="21" t="n"/>
      <c r="BY294" s="21" t="n"/>
      <c r="BZ294" s="27">
        <f>SUM(BX294:BY294)</f>
        <v/>
      </c>
      <c r="CA294" s="28" t="n"/>
      <c r="CB294" s="31" t="n"/>
      <c r="CC294" s="29">
        <f>IF(AND(BZ294=0,CA294=0,CB294=0),0,IF(AND(BZ294=0,CA294=0),CB294/1,IF(AND(BZ294=0,CB294=0),CA294/1,IF(AND(CA294=0,CB294=0),BZ294/1,IF(BZ294=0,FLOOR((CA294+CB294)/2,0.1),IF(CA294=0,(BZ294+CB294)/2,IF(CB294=0,(CA294+BZ294)/2,FLOOR(((BZ294+CA294+CB294)/3),0.1))))))))</f>
        <v/>
      </c>
      <c r="CD294" s="21" t="n"/>
      <c r="CE294" s="21" t="n"/>
      <c r="CF294" s="27">
        <f>SUM(CD294:CE294)</f>
        <v/>
      </c>
      <c r="CG294" s="28" t="n"/>
      <c r="CH294" s="31" t="n"/>
      <c r="CI294" s="29">
        <f>IF(AND(CF294=0,CG294=0,CH294=0),0,IF(AND(CF294=0,CG294=0),CH294/1,IF(AND(CF294=0,CH294=0),CG294/1,IF(AND(CG294=0,CH294=0),CF294/1,IF(CF294=0,FLOOR((CG294+CH294)/2,0.1),IF(CG294=0,(CF294+CH294)/2,IF(CH294=0,(CG294+CF294)/2,FLOOR(((CF294+CG294+CH294)/3),0.1))))))))</f>
        <v/>
      </c>
      <c r="CJ294" s="21" t="n"/>
      <c r="CK294" s="21" t="n"/>
      <c r="CL294" s="27">
        <f>SUM(CJ294:CK294)</f>
        <v/>
      </c>
      <c r="CM294" s="28" t="n"/>
      <c r="CN294" s="31" t="n"/>
      <c r="CO294" s="29">
        <f>IF(AND(CL294=0,CM294=0,CN294=0),0,IF(AND(CL294=0,CM294=0),CN294/1,IF(AND(CL294=0,CN294=0),CM294/1,IF(AND(CM294=0,CN294=0),CL294/1,IF(CL294=0,FLOOR((CM294+CN294)/2,0.1),IF(CM294=0,(CL294+CN294)/2,IF(CN294=0,(CM294+CL294)/2,FLOOR(((CL294+CM294+CN294)/3),0.1))))))))</f>
        <v/>
      </c>
      <c r="CP294" s="21" t="n"/>
      <c r="CQ294" s="21" t="n"/>
      <c r="CR294" s="27">
        <f>SUM(CP294:CQ294)</f>
        <v/>
      </c>
      <c r="CS294" s="28" t="n"/>
      <c r="CT294" s="31" t="n"/>
      <c r="CU294" s="29">
        <f>IF(AND(CR294=0,CS294=0,CT294=0),0,IF(AND(CR294=0,CS294=0),CT294/1,IF(AND(CR294=0,CT294=0),CS294/1,IF(AND(CS294=0,CT294=0),CR294/1,IF(CR294=0,FLOOR((CS294+CT294)/2,0.1),IF(CS294=0,(CR294+CT294)/2,IF(CT294=0,(CS294+CR294)/2,FLOOR(((CR294+CS294+CT294)/3),0.1))))))))</f>
        <v/>
      </c>
      <c r="CV294" s="21" t="n"/>
      <c r="CW294" s="21" t="n"/>
      <c r="CX294" s="27">
        <f>SUM(CV294:CW294)</f>
        <v/>
      </c>
      <c r="CY294" s="28" t="n"/>
      <c r="CZ294" s="31" t="n"/>
      <c r="DA294" s="29">
        <f>IF(AND(CX294=0,CY294=0,CZ294=0),0,IF(AND(CX294=0,CY294=0),CZ294/1,IF(AND(CX294=0,CZ294=0),CY294/1,IF(AND(CY294=0,CZ294=0),CX294/1,IF(CX294=0,FLOOR((CY294+CZ294)/2,0.1),IF(CY294=0,(CX294+CZ294)/2,IF(CZ294=0,(CY294+CX294)/2,FLOOR(((CX294+CY294+CZ294)/3),0.1))))))))</f>
        <v/>
      </c>
      <c r="DB294" s="21" t="n"/>
      <c r="DC294" s="21" t="n"/>
      <c r="DD294" s="27">
        <f>SUM(DB294:DC294)</f>
        <v/>
      </c>
      <c r="DE294" s="28" t="n"/>
      <c r="DF294" s="31" t="n"/>
      <c r="DG294" s="29">
        <f>IF(AND(DD294=0,DE294=0,DF294=0),0,IF(AND(DD294=0,DE294=0),DF294/1,IF(AND(DD294=0,DF294=0),DE294/1,IF(AND(DE294=0,DF294=0),DD294/1,IF(DD294=0,FLOOR((DE294+DF294)/2,0.1),IF(DE294=0,(DD294+DF294)/2,IF(DF294=0,(DE294+DD294)/2,FLOOR(((DD294+DE294+DF294)/3),0.1))))))))</f>
        <v/>
      </c>
      <c r="DH294" s="34">
        <f>SUM(O294,U294,AA294,AG294,AM294,AS294,AY294,BE294,BK294,BQ294,BW294,CC294,CI294,CO294,CU294,DA294,DG294)</f>
        <v/>
      </c>
      <c r="DI294" s="39">
        <f>RANK(DH294,DH$4:DH$503)</f>
        <v/>
      </c>
      <c r="DJ294" s="40" t="inlineStr">
        <is>
          <t>CHOOSE RATING</t>
        </is>
      </c>
      <c r="DK294" s="40" t="inlineStr">
        <is>
          <t>CHOOSE RATING</t>
        </is>
      </c>
      <c r="DL294" s="40" t="inlineStr">
        <is>
          <t>CHOOSE RATING</t>
        </is>
      </c>
      <c r="DM294" s="40" t="inlineStr">
        <is>
          <t>CHOOSE RATING</t>
        </is>
      </c>
      <c r="DN294" s="40" t="inlineStr">
        <is>
          <t>CHOOSE RATING</t>
        </is>
      </c>
      <c r="DO294" s="40" t="inlineStr">
        <is>
          <t>CHOOSE RATING</t>
        </is>
      </c>
      <c r="DP294" s="40" t="inlineStr">
        <is>
          <t>CHOOSE RATING</t>
        </is>
      </c>
      <c r="DQ294" s="40" t="inlineStr">
        <is>
          <t>CHOOSE RATING</t>
        </is>
      </c>
      <c r="DR294" s="43" t="inlineStr">
        <is>
          <t>2024/2025</t>
        </is>
      </c>
      <c r="DS294" s="45" t="inlineStr">
        <is>
          <t>THIRD</t>
        </is>
      </c>
      <c r="DT294" s="40" t="inlineStr">
        <is>
          <t>CHOOSE RATING</t>
        </is>
      </c>
      <c r="DU294" s="40" t="inlineStr">
        <is>
          <t>CHOOSE RATING</t>
        </is>
      </c>
      <c r="DV294" s="40" t="inlineStr">
        <is>
          <t>CHOOSE RATING</t>
        </is>
      </c>
      <c r="DW294" s="40" t="inlineStr">
        <is>
          <t>CHOOSE RATING</t>
        </is>
      </c>
      <c r="DX294" s="40" t="inlineStr">
        <is>
          <t>CHOOSE RATING</t>
        </is>
      </c>
      <c r="DY294" s="40" t="inlineStr">
        <is>
          <t>CHOOSE RATING</t>
        </is>
      </c>
      <c r="DZ294" s="53" t="inlineStr">
        <is>
          <t>CHOOSE RATING</t>
        </is>
      </c>
      <c r="EA294" s="54" t="inlineStr">
        <is>
          <t>Add the Tutor's Comment . . .</t>
        </is>
      </c>
      <c r="EB294" s="55" t="inlineStr">
        <is>
          <t>Choose Principals comment</t>
        </is>
      </c>
      <c r="EC294" s="56" t="n"/>
      <c r="ED294" s="57" t="inlineStr">
        <is>
          <t>Next Term Begins on Monday, 22nd September, 2025</t>
        </is>
      </c>
    </row>
    <row r="295" ht="30.6" customHeight="1" s="6">
      <c r="A295" s="18" t="n">
        <v>292</v>
      </c>
      <c r="B295" s="19" t="n"/>
      <c r="C295" s="20" t="n"/>
      <c r="D295" s="128" t="n"/>
      <c r="E295" s="21" t="n"/>
      <c r="F295" s="22" t="n"/>
      <c r="G295" s="22" t="n"/>
      <c r="H295" s="22" t="n"/>
      <c r="I295" s="26">
        <f>G295-H295</f>
        <v/>
      </c>
      <c r="J295" s="21" t="n"/>
      <c r="K295" s="21" t="n"/>
      <c r="L295" s="27">
        <f>SUM(J295:K295)</f>
        <v/>
      </c>
      <c r="M295" s="28" t="n"/>
      <c r="N295" s="28" t="n"/>
      <c r="O295" s="29">
        <f>IF(AND(L295=0,M295=0,N295=0),0,IF(AND(L295=0,M295=0),N295/1,IF(AND(L295=0,N295=0),M295/1,IF(AND(M295=0,N295=0),L295/1,IF(L295=0,FLOOR((M295+N295)/2,0.1),IF(M295=0,(L295+N295)/2,IF(N295=0,(M295+L295)/2,FLOOR(((L295+M295+N295)/3),0.1))))))))</f>
        <v/>
      </c>
      <c r="P295" s="21" t="n"/>
      <c r="Q295" s="21" t="n"/>
      <c r="R295" s="27">
        <f>SUM(P295:Q295)</f>
        <v/>
      </c>
      <c r="S295" s="28" t="n"/>
      <c r="T295" s="28" t="n"/>
      <c r="U295" s="29">
        <f>IF(AND(R295=0,S295=0,T295=0),0,IF(AND(R295=0,S295=0),T295/1,IF(AND(R295=0,T295=0),S295/1,IF(AND(S295=0,T295=0),R295/1,IF(R295=0,FLOOR((S295+T295)/2,0.1),IF(S295=0,(R295+T295)/2,IF(T295=0,(S295+R295)/2,FLOOR(((R295+S295+T295)/3),0.1))))))))</f>
        <v/>
      </c>
      <c r="V295" s="21" t="n"/>
      <c r="W295" s="21" t="n"/>
      <c r="X295" s="27">
        <f>SUM(V295:W295)</f>
        <v/>
      </c>
      <c r="Y295" s="28" t="n"/>
      <c r="Z295" s="28" t="n"/>
      <c r="AA295" s="29">
        <f>IF(AND(X295=0,Y295=0,Z295=0),0,IF(AND(X295=0,Y295=0),Z295/1,IF(AND(X295=0,Z295=0),Y295/1,IF(AND(Y295=0,Z295=0),X295/1,IF(X295=0,FLOOR((Y295+Z295)/2,0.1),IF(Y295=0,(X295+Z295)/2,IF(Z295=0,(Y295+X295)/2,FLOOR(((X295+Y295+Z295)/3),0.1))))))))</f>
        <v/>
      </c>
      <c r="AB295" s="21" t="n"/>
      <c r="AC295" s="21" t="n"/>
      <c r="AD295" s="27">
        <f>SUM(AB295:AC295)</f>
        <v/>
      </c>
      <c r="AE295" s="28" t="n"/>
      <c r="AF295" s="28" t="n"/>
      <c r="AG295" s="29">
        <f>IF(AND(AD295=0,AE295=0,AF295=0),0,IF(AND(AD295=0,AE295=0),AF295/1,IF(AND(AD295=0,AF295=0),AE295/1,IF(AND(AE295=0,AF295=0),AD295/1,IF(AD295=0,FLOOR((AE295+AF295)/2,0.1),IF(AE295=0,(AD295+AF295)/2,IF(AF295=0,(AE295+AD295)/2,FLOOR(((AD295+AE295+AF295)/3),0.1))))))))</f>
        <v/>
      </c>
      <c r="AH295" s="21" t="n"/>
      <c r="AI295" s="21" t="n"/>
      <c r="AJ295" s="27">
        <f>SUM(AH295:AI295)</f>
        <v/>
      </c>
      <c r="AK295" s="28" t="n"/>
      <c r="AL295" s="28" t="n"/>
      <c r="AM295" s="29">
        <f>IF(AND(AJ295=0,AK295=0,AL295=0),0,IF(AND(AJ295=0,AK295=0),AL295/1,IF(AND(AJ295=0,AL295=0),AK295/1,IF(AND(AK295=0,AL295=0),AJ295/1,IF(AJ295=0,FLOOR((AK295+AL295)/2,0.1),IF(AK295=0,(AJ295+AL295)/2,IF(AL295=0,(AK295+AJ295)/2,FLOOR(((AJ295+AK295+AL295)/3),0.1))))))))</f>
        <v/>
      </c>
      <c r="AN295" s="21" t="n"/>
      <c r="AO295" s="21" t="n"/>
      <c r="AP295" s="27">
        <f>SUM(AN295:AO295)</f>
        <v/>
      </c>
      <c r="AQ295" s="28" t="n"/>
      <c r="AR295" s="30" t="n"/>
      <c r="AS295" s="29">
        <f>IF(AND(AP295=0,AQ295=0,AR295=0),0,IF(AND(AP295=0,AQ295=0),AR295/1,IF(AND(AP295=0,AR295=0),AQ295/1,IF(AND(AQ295=0,AR295=0),AP295/1,IF(AP295=0,FLOOR((AQ295+AR295)/2,0.1),IF(AQ295=0,(AP295+AR295)/2,IF(AR295=0,(AQ295+AP295)/2,FLOOR(((AP295+AQ295+AR295)/3),0.1))))))))</f>
        <v/>
      </c>
      <c r="AT295" s="21" t="n"/>
      <c r="AU295" s="21" t="n"/>
      <c r="AV295" s="27">
        <f>SUM(AT295:AU295)</f>
        <v/>
      </c>
      <c r="AW295" s="28" t="n"/>
      <c r="AX295" s="30" t="n"/>
      <c r="AY295" s="29">
        <f>IF(AND(AV295=0,AW295=0,AX295=0),0,IF(AND(AV295=0,AW295=0),AX295/1,IF(AND(AV295=0,AX295=0),AW295/1,IF(AND(AW295=0,AX295=0),AV295/1,IF(AV295=0,FLOOR((AW295+AX295)/2,0.1),IF(AW295=0,(AV295+AX295)/2,IF(AX295=0,(AW295+AV295)/2,FLOOR(((AV295+AW295+AX295)/3),0.1))))))))</f>
        <v/>
      </c>
      <c r="AZ295" s="21" t="n"/>
      <c r="BA295" s="21" t="n"/>
      <c r="BB295" s="27">
        <f>SUM(AZ295:BA295)</f>
        <v/>
      </c>
      <c r="BC295" s="28" t="n"/>
      <c r="BD295" s="28" t="n"/>
      <c r="BE295" s="29">
        <f>IF(AND(BB295=0,BC295=0,BD295=0),0,IF(AND(BB295=0,BC295=0),BD295/1,IF(AND(BB295=0,BD295=0),BC295/1,IF(AND(BC295=0,BD295=0),BB295/1,IF(BB295=0,FLOOR((BC295+BD295)/2,0.1),IF(BC295=0,(BB295+BD295)/2,IF(BD295=0,(BC295+BB295)/2,FLOOR(((BB295+BC295+BD295)/3),0.1))))))))</f>
        <v/>
      </c>
      <c r="BF295" s="21" t="n"/>
      <c r="BG295" s="21" t="n"/>
      <c r="BH295" s="27">
        <f>SUM(BF295:BG295)</f>
        <v/>
      </c>
      <c r="BI295" s="28" t="n"/>
      <c r="BJ295" s="28" t="n"/>
      <c r="BK295" s="29">
        <f>IF(AND(BH295=0,BI295=0,BJ295=0),0,IF(AND(BH295=0,BI295=0),BJ295/1,IF(AND(BH295=0,BJ295=0),BI295/1,IF(AND(BI295=0,BJ295=0),BH295/1,IF(BH295=0,FLOOR((BI295+BJ295)/2,0.1),IF(BI295=0,(BH295+BJ295)/2,IF(BJ295=0,(BI295+BH295)/2,FLOOR(((BH295+BI295+BJ295)/3),0.1))))))))</f>
        <v/>
      </c>
      <c r="BL295" s="21" t="n"/>
      <c r="BM295" s="21" t="n"/>
      <c r="BN295" s="27">
        <f>SUM(BL295:BM295)</f>
        <v/>
      </c>
      <c r="BO295" s="28" t="n"/>
      <c r="BP295" s="31" t="n"/>
      <c r="BQ295" s="29">
        <f>IF(AND(BN295=0,BO295=0,BP295=0),0,IF(AND(BN295=0,BO295=0),BP295/1,IF(AND(BN295=0,BP295=0),BO295/1,IF(AND(BO295=0,BP295=0),BN295/1,IF(BN295=0,FLOOR((BO295+BP295)/2,0.1),IF(BO295=0,(BN295+BP295)/2,IF(BP295=0,(BO295+BN295)/2,FLOOR(((BN295+BO295+BP295)/3),0.1))))))))</f>
        <v/>
      </c>
      <c r="BR295" s="21" t="n"/>
      <c r="BS295" s="21" t="n"/>
      <c r="BT295" s="27">
        <f>SUM(BR295:BS295)</f>
        <v/>
      </c>
      <c r="BU295" s="28" t="n"/>
      <c r="BV295" s="31" t="n"/>
      <c r="BW295" s="29">
        <f>IF(AND(BT295=0,BU295=0,BV295=0),0,IF(AND(BT295=0,BU295=0),BV295/1,IF(AND(BT295=0,BV295=0),BU295/1,IF(AND(BU295=0,BV295=0),BT295/1,IF(BT295=0,FLOOR((BU295+BV295)/2,0.1),IF(BU295=0,(BT295+BV295)/2,IF(BV295=0,(BU295+BT295)/2,FLOOR(((BT295+BU295+BV295)/3),0.1))))))))</f>
        <v/>
      </c>
      <c r="BX295" s="21" t="n"/>
      <c r="BY295" s="21" t="n"/>
      <c r="BZ295" s="27">
        <f>SUM(BX295:BY295)</f>
        <v/>
      </c>
      <c r="CA295" s="28" t="n"/>
      <c r="CB295" s="31" t="n"/>
      <c r="CC295" s="29">
        <f>IF(AND(BZ295=0,CA295=0,CB295=0),0,IF(AND(BZ295=0,CA295=0),CB295/1,IF(AND(BZ295=0,CB295=0),CA295/1,IF(AND(CA295=0,CB295=0),BZ295/1,IF(BZ295=0,FLOOR((CA295+CB295)/2,0.1),IF(CA295=0,(BZ295+CB295)/2,IF(CB295=0,(CA295+BZ295)/2,FLOOR(((BZ295+CA295+CB295)/3),0.1))))))))</f>
        <v/>
      </c>
      <c r="CD295" s="21" t="n"/>
      <c r="CE295" s="21" t="n"/>
      <c r="CF295" s="27">
        <f>SUM(CD295:CE295)</f>
        <v/>
      </c>
      <c r="CG295" s="28" t="n"/>
      <c r="CH295" s="31" t="n"/>
      <c r="CI295" s="29">
        <f>IF(AND(CF295=0,CG295=0,CH295=0),0,IF(AND(CF295=0,CG295=0),CH295/1,IF(AND(CF295=0,CH295=0),CG295/1,IF(AND(CG295=0,CH295=0),CF295/1,IF(CF295=0,FLOOR((CG295+CH295)/2,0.1),IF(CG295=0,(CF295+CH295)/2,IF(CH295=0,(CG295+CF295)/2,FLOOR(((CF295+CG295+CH295)/3),0.1))))))))</f>
        <v/>
      </c>
      <c r="CJ295" s="21" t="n"/>
      <c r="CK295" s="21" t="n"/>
      <c r="CL295" s="27">
        <f>SUM(CJ295:CK295)</f>
        <v/>
      </c>
      <c r="CM295" s="28" t="n"/>
      <c r="CN295" s="31" t="n"/>
      <c r="CO295" s="29">
        <f>IF(AND(CL295=0,CM295=0,CN295=0),0,IF(AND(CL295=0,CM295=0),CN295/1,IF(AND(CL295=0,CN295=0),CM295/1,IF(AND(CM295=0,CN295=0),CL295/1,IF(CL295=0,FLOOR((CM295+CN295)/2,0.1),IF(CM295=0,(CL295+CN295)/2,IF(CN295=0,(CM295+CL295)/2,FLOOR(((CL295+CM295+CN295)/3),0.1))))))))</f>
        <v/>
      </c>
      <c r="CP295" s="21" t="n"/>
      <c r="CQ295" s="21" t="n"/>
      <c r="CR295" s="27">
        <f>SUM(CP295:CQ295)</f>
        <v/>
      </c>
      <c r="CS295" s="28" t="n"/>
      <c r="CT295" s="31" t="n"/>
      <c r="CU295" s="29">
        <f>IF(AND(CR295=0,CS295=0,CT295=0),0,IF(AND(CR295=0,CS295=0),CT295/1,IF(AND(CR295=0,CT295=0),CS295/1,IF(AND(CS295=0,CT295=0),CR295/1,IF(CR295=0,FLOOR((CS295+CT295)/2,0.1),IF(CS295=0,(CR295+CT295)/2,IF(CT295=0,(CS295+CR295)/2,FLOOR(((CR295+CS295+CT295)/3),0.1))))))))</f>
        <v/>
      </c>
      <c r="CV295" s="21" t="n"/>
      <c r="CW295" s="21" t="n"/>
      <c r="CX295" s="27">
        <f>SUM(CV295:CW295)</f>
        <v/>
      </c>
      <c r="CY295" s="28" t="n"/>
      <c r="CZ295" s="31" t="n"/>
      <c r="DA295" s="29">
        <f>IF(AND(CX295=0,CY295=0,CZ295=0),0,IF(AND(CX295=0,CY295=0),CZ295/1,IF(AND(CX295=0,CZ295=0),CY295/1,IF(AND(CY295=0,CZ295=0),CX295/1,IF(CX295=0,FLOOR((CY295+CZ295)/2,0.1),IF(CY295=0,(CX295+CZ295)/2,IF(CZ295=0,(CY295+CX295)/2,FLOOR(((CX295+CY295+CZ295)/3),0.1))))))))</f>
        <v/>
      </c>
      <c r="DB295" s="21" t="n"/>
      <c r="DC295" s="21" t="n"/>
      <c r="DD295" s="27">
        <f>SUM(DB295:DC295)</f>
        <v/>
      </c>
      <c r="DE295" s="28" t="n"/>
      <c r="DF295" s="31" t="n"/>
      <c r="DG295" s="29">
        <f>IF(AND(DD295=0,DE295=0,DF295=0),0,IF(AND(DD295=0,DE295=0),DF295/1,IF(AND(DD295=0,DF295=0),DE295/1,IF(AND(DE295=0,DF295=0),DD295/1,IF(DD295=0,FLOOR((DE295+DF295)/2,0.1),IF(DE295=0,(DD295+DF295)/2,IF(DF295=0,(DE295+DD295)/2,FLOOR(((DD295+DE295+DF295)/3),0.1))))))))</f>
        <v/>
      </c>
      <c r="DH295" s="34">
        <f>SUM(O295,U295,AA295,AG295,AM295,AS295,AY295,BE295,BK295,BQ295,BW295,CC295,CI295,CO295,CU295,DA295,DG295)</f>
        <v/>
      </c>
      <c r="DI295" s="39">
        <f>RANK(DH295,DH$4:DH$503)</f>
        <v/>
      </c>
      <c r="DJ295" s="40" t="inlineStr">
        <is>
          <t>CHOOSE RATING</t>
        </is>
      </c>
      <c r="DK295" s="40" t="inlineStr">
        <is>
          <t>CHOOSE RATING</t>
        </is>
      </c>
      <c r="DL295" s="40" t="inlineStr">
        <is>
          <t>CHOOSE RATING</t>
        </is>
      </c>
      <c r="DM295" s="40" t="inlineStr">
        <is>
          <t>CHOOSE RATING</t>
        </is>
      </c>
      <c r="DN295" s="40" t="inlineStr">
        <is>
          <t>CHOOSE RATING</t>
        </is>
      </c>
      <c r="DO295" s="40" t="inlineStr">
        <is>
          <t>CHOOSE RATING</t>
        </is>
      </c>
      <c r="DP295" s="40" t="inlineStr">
        <is>
          <t>CHOOSE RATING</t>
        </is>
      </c>
      <c r="DQ295" s="40" t="inlineStr">
        <is>
          <t>CHOOSE RATING</t>
        </is>
      </c>
      <c r="DR295" s="43" t="inlineStr">
        <is>
          <t>2024/2025</t>
        </is>
      </c>
      <c r="DS295" s="45" t="inlineStr">
        <is>
          <t>THIRD</t>
        </is>
      </c>
      <c r="DT295" s="40" t="inlineStr">
        <is>
          <t>CHOOSE RATING</t>
        </is>
      </c>
      <c r="DU295" s="40" t="inlineStr">
        <is>
          <t>CHOOSE RATING</t>
        </is>
      </c>
      <c r="DV295" s="40" t="inlineStr">
        <is>
          <t>CHOOSE RATING</t>
        </is>
      </c>
      <c r="DW295" s="40" t="inlineStr">
        <is>
          <t>CHOOSE RATING</t>
        </is>
      </c>
      <c r="DX295" s="40" t="inlineStr">
        <is>
          <t>CHOOSE RATING</t>
        </is>
      </c>
      <c r="DY295" s="40" t="inlineStr">
        <is>
          <t>CHOOSE RATING</t>
        </is>
      </c>
      <c r="DZ295" s="53" t="inlineStr">
        <is>
          <t>CHOOSE RATING</t>
        </is>
      </c>
      <c r="EA295" s="54" t="inlineStr">
        <is>
          <t>Add the Tutor's Comment . . .</t>
        </is>
      </c>
      <c r="EB295" s="55" t="inlineStr">
        <is>
          <t>Choose Principals comment</t>
        </is>
      </c>
      <c r="EC295" s="56" t="n"/>
      <c r="ED295" s="57" t="inlineStr">
        <is>
          <t>Next Term Begins on Monday, 22nd September, 2025</t>
        </is>
      </c>
    </row>
    <row r="296" ht="30.6" customHeight="1" s="6">
      <c r="A296" s="18" t="n">
        <v>293</v>
      </c>
      <c r="B296" s="19" t="n"/>
      <c r="C296" s="20" t="n"/>
      <c r="D296" s="128" t="n"/>
      <c r="E296" s="21" t="n"/>
      <c r="F296" s="22" t="n"/>
      <c r="G296" s="22" t="n"/>
      <c r="H296" s="22" t="n"/>
      <c r="I296" s="26">
        <f>G296-H296</f>
        <v/>
      </c>
      <c r="J296" s="21" t="n"/>
      <c r="K296" s="21" t="n"/>
      <c r="L296" s="27">
        <f>SUM(J296:K296)</f>
        <v/>
      </c>
      <c r="M296" s="28" t="n"/>
      <c r="N296" s="28" t="n"/>
      <c r="O296" s="29">
        <f>IF(AND(L296=0,M296=0,N296=0),0,IF(AND(L296=0,M296=0),N296/1,IF(AND(L296=0,N296=0),M296/1,IF(AND(M296=0,N296=0),L296/1,IF(L296=0,FLOOR((M296+N296)/2,0.1),IF(M296=0,(L296+N296)/2,IF(N296=0,(M296+L296)/2,FLOOR(((L296+M296+N296)/3),0.1))))))))</f>
        <v/>
      </c>
      <c r="P296" s="21" t="n"/>
      <c r="Q296" s="21" t="n"/>
      <c r="R296" s="27">
        <f>SUM(P296:Q296)</f>
        <v/>
      </c>
      <c r="S296" s="28" t="n"/>
      <c r="T296" s="28" t="n"/>
      <c r="U296" s="29">
        <f>IF(AND(R296=0,S296=0,T296=0),0,IF(AND(R296=0,S296=0),T296/1,IF(AND(R296=0,T296=0),S296/1,IF(AND(S296=0,T296=0),R296/1,IF(R296=0,FLOOR((S296+T296)/2,0.1),IF(S296=0,(R296+T296)/2,IF(T296=0,(S296+R296)/2,FLOOR(((R296+S296+T296)/3),0.1))))))))</f>
        <v/>
      </c>
      <c r="V296" s="21" t="n"/>
      <c r="W296" s="21" t="n"/>
      <c r="X296" s="27">
        <f>SUM(V296:W296)</f>
        <v/>
      </c>
      <c r="Y296" s="28" t="n"/>
      <c r="Z296" s="28" t="n"/>
      <c r="AA296" s="29">
        <f>IF(AND(X296=0,Y296=0,Z296=0),0,IF(AND(X296=0,Y296=0),Z296/1,IF(AND(X296=0,Z296=0),Y296/1,IF(AND(Y296=0,Z296=0),X296/1,IF(X296=0,FLOOR((Y296+Z296)/2,0.1),IF(Y296=0,(X296+Z296)/2,IF(Z296=0,(Y296+X296)/2,FLOOR(((X296+Y296+Z296)/3),0.1))))))))</f>
        <v/>
      </c>
      <c r="AB296" s="21" t="n"/>
      <c r="AC296" s="21" t="n"/>
      <c r="AD296" s="27">
        <f>SUM(AB296:AC296)</f>
        <v/>
      </c>
      <c r="AE296" s="28" t="n"/>
      <c r="AF296" s="28" t="n"/>
      <c r="AG296" s="29">
        <f>IF(AND(AD296=0,AE296=0,AF296=0),0,IF(AND(AD296=0,AE296=0),AF296/1,IF(AND(AD296=0,AF296=0),AE296/1,IF(AND(AE296=0,AF296=0),AD296/1,IF(AD296=0,FLOOR((AE296+AF296)/2,0.1),IF(AE296=0,(AD296+AF296)/2,IF(AF296=0,(AE296+AD296)/2,FLOOR(((AD296+AE296+AF296)/3),0.1))))))))</f>
        <v/>
      </c>
      <c r="AH296" s="21" t="n"/>
      <c r="AI296" s="21" t="n"/>
      <c r="AJ296" s="27">
        <f>SUM(AH296:AI296)</f>
        <v/>
      </c>
      <c r="AK296" s="28" t="n"/>
      <c r="AL296" s="28" t="n"/>
      <c r="AM296" s="29">
        <f>IF(AND(AJ296=0,AK296=0,AL296=0),0,IF(AND(AJ296=0,AK296=0),AL296/1,IF(AND(AJ296=0,AL296=0),AK296/1,IF(AND(AK296=0,AL296=0),AJ296/1,IF(AJ296=0,FLOOR((AK296+AL296)/2,0.1),IF(AK296=0,(AJ296+AL296)/2,IF(AL296=0,(AK296+AJ296)/2,FLOOR(((AJ296+AK296+AL296)/3),0.1))))))))</f>
        <v/>
      </c>
      <c r="AN296" s="21" t="n"/>
      <c r="AO296" s="21" t="n"/>
      <c r="AP296" s="27">
        <f>SUM(AN296:AO296)</f>
        <v/>
      </c>
      <c r="AQ296" s="28" t="n"/>
      <c r="AR296" s="30" t="n"/>
      <c r="AS296" s="29">
        <f>IF(AND(AP296=0,AQ296=0,AR296=0),0,IF(AND(AP296=0,AQ296=0),AR296/1,IF(AND(AP296=0,AR296=0),AQ296/1,IF(AND(AQ296=0,AR296=0),AP296/1,IF(AP296=0,FLOOR((AQ296+AR296)/2,0.1),IF(AQ296=0,(AP296+AR296)/2,IF(AR296=0,(AQ296+AP296)/2,FLOOR(((AP296+AQ296+AR296)/3),0.1))))))))</f>
        <v/>
      </c>
      <c r="AT296" s="21" t="n"/>
      <c r="AU296" s="21" t="n"/>
      <c r="AV296" s="27">
        <f>SUM(AT296:AU296)</f>
        <v/>
      </c>
      <c r="AW296" s="28" t="n"/>
      <c r="AX296" s="30" t="n"/>
      <c r="AY296" s="29">
        <f>IF(AND(AV296=0,AW296=0,AX296=0),0,IF(AND(AV296=0,AW296=0),AX296/1,IF(AND(AV296=0,AX296=0),AW296/1,IF(AND(AW296=0,AX296=0),AV296/1,IF(AV296=0,FLOOR((AW296+AX296)/2,0.1),IF(AW296=0,(AV296+AX296)/2,IF(AX296=0,(AW296+AV296)/2,FLOOR(((AV296+AW296+AX296)/3),0.1))))))))</f>
        <v/>
      </c>
      <c r="AZ296" s="21" t="n"/>
      <c r="BA296" s="21" t="n"/>
      <c r="BB296" s="27">
        <f>SUM(AZ296:BA296)</f>
        <v/>
      </c>
      <c r="BC296" s="28" t="n"/>
      <c r="BD296" s="28" t="n"/>
      <c r="BE296" s="29">
        <f>IF(AND(BB296=0,BC296=0,BD296=0),0,IF(AND(BB296=0,BC296=0),BD296/1,IF(AND(BB296=0,BD296=0),BC296/1,IF(AND(BC296=0,BD296=0),BB296/1,IF(BB296=0,FLOOR((BC296+BD296)/2,0.1),IF(BC296=0,(BB296+BD296)/2,IF(BD296=0,(BC296+BB296)/2,FLOOR(((BB296+BC296+BD296)/3),0.1))))))))</f>
        <v/>
      </c>
      <c r="BF296" s="21" t="n"/>
      <c r="BG296" s="21" t="n"/>
      <c r="BH296" s="27">
        <f>SUM(BF296:BG296)</f>
        <v/>
      </c>
      <c r="BI296" s="28" t="n"/>
      <c r="BJ296" s="28" t="n"/>
      <c r="BK296" s="29">
        <f>IF(AND(BH296=0,BI296=0,BJ296=0),0,IF(AND(BH296=0,BI296=0),BJ296/1,IF(AND(BH296=0,BJ296=0),BI296/1,IF(AND(BI296=0,BJ296=0),BH296/1,IF(BH296=0,FLOOR((BI296+BJ296)/2,0.1),IF(BI296=0,(BH296+BJ296)/2,IF(BJ296=0,(BI296+BH296)/2,FLOOR(((BH296+BI296+BJ296)/3),0.1))))))))</f>
        <v/>
      </c>
      <c r="BL296" s="21" t="n"/>
      <c r="BM296" s="21" t="n"/>
      <c r="BN296" s="27">
        <f>SUM(BL296:BM296)</f>
        <v/>
      </c>
      <c r="BO296" s="28" t="n"/>
      <c r="BP296" s="31" t="n"/>
      <c r="BQ296" s="29">
        <f>IF(AND(BN296=0,BO296=0,BP296=0),0,IF(AND(BN296=0,BO296=0),BP296/1,IF(AND(BN296=0,BP296=0),BO296/1,IF(AND(BO296=0,BP296=0),BN296/1,IF(BN296=0,FLOOR((BO296+BP296)/2,0.1),IF(BO296=0,(BN296+BP296)/2,IF(BP296=0,(BO296+BN296)/2,FLOOR(((BN296+BO296+BP296)/3),0.1))))))))</f>
        <v/>
      </c>
      <c r="BR296" s="21" t="n"/>
      <c r="BS296" s="21" t="n"/>
      <c r="BT296" s="27">
        <f>SUM(BR296:BS296)</f>
        <v/>
      </c>
      <c r="BU296" s="28" t="n"/>
      <c r="BV296" s="31" t="n"/>
      <c r="BW296" s="29">
        <f>IF(AND(BT296=0,BU296=0,BV296=0),0,IF(AND(BT296=0,BU296=0),BV296/1,IF(AND(BT296=0,BV296=0),BU296/1,IF(AND(BU296=0,BV296=0),BT296/1,IF(BT296=0,FLOOR((BU296+BV296)/2,0.1),IF(BU296=0,(BT296+BV296)/2,IF(BV296=0,(BU296+BT296)/2,FLOOR(((BT296+BU296+BV296)/3),0.1))))))))</f>
        <v/>
      </c>
      <c r="BX296" s="21" t="n"/>
      <c r="BY296" s="21" t="n"/>
      <c r="BZ296" s="27">
        <f>SUM(BX296:BY296)</f>
        <v/>
      </c>
      <c r="CA296" s="28" t="n"/>
      <c r="CB296" s="31" t="n"/>
      <c r="CC296" s="29">
        <f>IF(AND(BZ296=0,CA296=0,CB296=0),0,IF(AND(BZ296=0,CA296=0),CB296/1,IF(AND(BZ296=0,CB296=0),CA296/1,IF(AND(CA296=0,CB296=0),BZ296/1,IF(BZ296=0,FLOOR((CA296+CB296)/2,0.1),IF(CA296=0,(BZ296+CB296)/2,IF(CB296=0,(CA296+BZ296)/2,FLOOR(((BZ296+CA296+CB296)/3),0.1))))))))</f>
        <v/>
      </c>
      <c r="CD296" s="21" t="n"/>
      <c r="CE296" s="21" t="n"/>
      <c r="CF296" s="27">
        <f>SUM(CD296:CE296)</f>
        <v/>
      </c>
      <c r="CG296" s="28" t="n"/>
      <c r="CH296" s="31" t="n"/>
      <c r="CI296" s="29">
        <f>IF(AND(CF296=0,CG296=0,CH296=0),0,IF(AND(CF296=0,CG296=0),CH296/1,IF(AND(CF296=0,CH296=0),CG296/1,IF(AND(CG296=0,CH296=0),CF296/1,IF(CF296=0,FLOOR((CG296+CH296)/2,0.1),IF(CG296=0,(CF296+CH296)/2,IF(CH296=0,(CG296+CF296)/2,FLOOR(((CF296+CG296+CH296)/3),0.1))))))))</f>
        <v/>
      </c>
      <c r="CJ296" s="21" t="n"/>
      <c r="CK296" s="21" t="n"/>
      <c r="CL296" s="27">
        <f>SUM(CJ296:CK296)</f>
        <v/>
      </c>
      <c r="CM296" s="28" t="n"/>
      <c r="CN296" s="31" t="n"/>
      <c r="CO296" s="29">
        <f>IF(AND(CL296=0,CM296=0,CN296=0),0,IF(AND(CL296=0,CM296=0),CN296/1,IF(AND(CL296=0,CN296=0),CM296/1,IF(AND(CM296=0,CN296=0),CL296/1,IF(CL296=0,FLOOR((CM296+CN296)/2,0.1),IF(CM296=0,(CL296+CN296)/2,IF(CN296=0,(CM296+CL296)/2,FLOOR(((CL296+CM296+CN296)/3),0.1))))))))</f>
        <v/>
      </c>
      <c r="CP296" s="21" t="n"/>
      <c r="CQ296" s="21" t="n"/>
      <c r="CR296" s="27">
        <f>SUM(CP296:CQ296)</f>
        <v/>
      </c>
      <c r="CS296" s="28" t="n"/>
      <c r="CT296" s="31" t="n"/>
      <c r="CU296" s="29">
        <f>IF(AND(CR296=0,CS296=0,CT296=0),0,IF(AND(CR296=0,CS296=0),CT296/1,IF(AND(CR296=0,CT296=0),CS296/1,IF(AND(CS296=0,CT296=0),CR296/1,IF(CR296=0,FLOOR((CS296+CT296)/2,0.1),IF(CS296=0,(CR296+CT296)/2,IF(CT296=0,(CS296+CR296)/2,FLOOR(((CR296+CS296+CT296)/3),0.1))))))))</f>
        <v/>
      </c>
      <c r="CV296" s="21" t="n"/>
      <c r="CW296" s="21" t="n"/>
      <c r="CX296" s="27">
        <f>SUM(CV296:CW296)</f>
        <v/>
      </c>
      <c r="CY296" s="28" t="n"/>
      <c r="CZ296" s="31" t="n"/>
      <c r="DA296" s="29">
        <f>IF(AND(CX296=0,CY296=0,CZ296=0),0,IF(AND(CX296=0,CY296=0),CZ296/1,IF(AND(CX296=0,CZ296=0),CY296/1,IF(AND(CY296=0,CZ296=0),CX296/1,IF(CX296=0,FLOOR((CY296+CZ296)/2,0.1),IF(CY296=0,(CX296+CZ296)/2,IF(CZ296=0,(CY296+CX296)/2,FLOOR(((CX296+CY296+CZ296)/3),0.1))))))))</f>
        <v/>
      </c>
      <c r="DB296" s="21" t="n"/>
      <c r="DC296" s="21" t="n"/>
      <c r="DD296" s="27">
        <f>SUM(DB296:DC296)</f>
        <v/>
      </c>
      <c r="DE296" s="28" t="n"/>
      <c r="DF296" s="31" t="n"/>
      <c r="DG296" s="29">
        <f>IF(AND(DD296=0,DE296=0,DF296=0),0,IF(AND(DD296=0,DE296=0),DF296/1,IF(AND(DD296=0,DF296=0),DE296/1,IF(AND(DE296=0,DF296=0),DD296/1,IF(DD296=0,FLOOR((DE296+DF296)/2,0.1),IF(DE296=0,(DD296+DF296)/2,IF(DF296=0,(DE296+DD296)/2,FLOOR(((DD296+DE296+DF296)/3),0.1))))))))</f>
        <v/>
      </c>
      <c r="DH296" s="34">
        <f>SUM(O296,U296,AA296,AG296,AM296,AS296,AY296,BE296,BK296,BQ296,BW296,CC296,CI296,CO296,CU296,DA296,DG296)</f>
        <v/>
      </c>
      <c r="DI296" s="39">
        <f>RANK(DH296,DH$4:DH$503)</f>
        <v/>
      </c>
      <c r="DJ296" s="40" t="inlineStr">
        <is>
          <t>CHOOSE RATING</t>
        </is>
      </c>
      <c r="DK296" s="40" t="inlineStr">
        <is>
          <t>CHOOSE RATING</t>
        </is>
      </c>
      <c r="DL296" s="40" t="inlineStr">
        <is>
          <t>CHOOSE RATING</t>
        </is>
      </c>
      <c r="DM296" s="40" t="inlineStr">
        <is>
          <t>CHOOSE RATING</t>
        </is>
      </c>
      <c r="DN296" s="40" t="inlineStr">
        <is>
          <t>CHOOSE RATING</t>
        </is>
      </c>
      <c r="DO296" s="40" t="inlineStr">
        <is>
          <t>CHOOSE RATING</t>
        </is>
      </c>
      <c r="DP296" s="40" t="inlineStr">
        <is>
          <t>CHOOSE RATING</t>
        </is>
      </c>
      <c r="DQ296" s="40" t="inlineStr">
        <is>
          <t>CHOOSE RATING</t>
        </is>
      </c>
      <c r="DR296" s="43" t="inlineStr">
        <is>
          <t>2024/2025</t>
        </is>
      </c>
      <c r="DS296" s="45" t="inlineStr">
        <is>
          <t>THIRD</t>
        </is>
      </c>
      <c r="DT296" s="40" t="inlineStr">
        <is>
          <t>CHOOSE RATING</t>
        </is>
      </c>
      <c r="DU296" s="40" t="inlineStr">
        <is>
          <t>CHOOSE RATING</t>
        </is>
      </c>
      <c r="DV296" s="40" t="inlineStr">
        <is>
          <t>CHOOSE RATING</t>
        </is>
      </c>
      <c r="DW296" s="40" t="inlineStr">
        <is>
          <t>CHOOSE RATING</t>
        </is>
      </c>
      <c r="DX296" s="40" t="inlineStr">
        <is>
          <t>CHOOSE RATING</t>
        </is>
      </c>
      <c r="DY296" s="40" t="inlineStr">
        <is>
          <t>CHOOSE RATING</t>
        </is>
      </c>
      <c r="DZ296" s="53" t="inlineStr">
        <is>
          <t>CHOOSE RATING</t>
        </is>
      </c>
      <c r="EA296" s="54" t="inlineStr">
        <is>
          <t>Add the Tutor's Comment . . .</t>
        </is>
      </c>
      <c r="EB296" s="55" t="inlineStr">
        <is>
          <t>Choose Principals comment</t>
        </is>
      </c>
      <c r="EC296" s="56" t="n"/>
      <c r="ED296" s="57" t="inlineStr">
        <is>
          <t>Next Term Begins on Monday, 22nd September, 2025</t>
        </is>
      </c>
    </row>
    <row r="297" ht="30.6" customHeight="1" s="6">
      <c r="A297" s="18" t="n">
        <v>294</v>
      </c>
      <c r="B297" s="19" t="n"/>
      <c r="C297" s="20" t="n"/>
      <c r="D297" s="128" t="n"/>
      <c r="E297" s="21" t="n"/>
      <c r="F297" s="22" t="n"/>
      <c r="G297" s="22" t="n"/>
      <c r="H297" s="22" t="n"/>
      <c r="I297" s="26">
        <f>G297-H297</f>
        <v/>
      </c>
      <c r="J297" s="21" t="n"/>
      <c r="K297" s="21" t="n"/>
      <c r="L297" s="27">
        <f>SUM(J297:K297)</f>
        <v/>
      </c>
      <c r="M297" s="28" t="n"/>
      <c r="N297" s="28" t="n"/>
      <c r="O297" s="29">
        <f>IF(AND(L297=0,M297=0,N297=0),0,IF(AND(L297=0,M297=0),N297/1,IF(AND(L297=0,N297=0),M297/1,IF(AND(M297=0,N297=0),L297/1,IF(L297=0,FLOOR((M297+N297)/2,0.1),IF(M297=0,(L297+N297)/2,IF(N297=0,(M297+L297)/2,FLOOR(((L297+M297+N297)/3),0.1))))))))</f>
        <v/>
      </c>
      <c r="P297" s="21" t="n"/>
      <c r="Q297" s="21" t="n"/>
      <c r="R297" s="27">
        <f>SUM(P297:Q297)</f>
        <v/>
      </c>
      <c r="S297" s="28" t="n"/>
      <c r="T297" s="28" t="n"/>
      <c r="U297" s="29">
        <f>IF(AND(R297=0,S297=0,T297=0),0,IF(AND(R297=0,S297=0),T297/1,IF(AND(R297=0,T297=0),S297/1,IF(AND(S297=0,T297=0),R297/1,IF(R297=0,FLOOR((S297+T297)/2,0.1),IF(S297=0,(R297+T297)/2,IF(T297=0,(S297+R297)/2,FLOOR(((R297+S297+T297)/3),0.1))))))))</f>
        <v/>
      </c>
      <c r="V297" s="21" t="n"/>
      <c r="W297" s="21" t="n"/>
      <c r="X297" s="27">
        <f>SUM(V297:W297)</f>
        <v/>
      </c>
      <c r="Y297" s="28" t="n"/>
      <c r="Z297" s="28" t="n"/>
      <c r="AA297" s="29">
        <f>IF(AND(X297=0,Y297=0,Z297=0),0,IF(AND(X297=0,Y297=0),Z297/1,IF(AND(X297=0,Z297=0),Y297/1,IF(AND(Y297=0,Z297=0),X297/1,IF(X297=0,FLOOR((Y297+Z297)/2,0.1),IF(Y297=0,(X297+Z297)/2,IF(Z297=0,(Y297+X297)/2,FLOOR(((X297+Y297+Z297)/3),0.1))))))))</f>
        <v/>
      </c>
      <c r="AB297" s="21" t="n"/>
      <c r="AC297" s="21" t="n"/>
      <c r="AD297" s="27">
        <f>SUM(AB297:AC297)</f>
        <v/>
      </c>
      <c r="AE297" s="28" t="n"/>
      <c r="AF297" s="28" t="n"/>
      <c r="AG297" s="29">
        <f>IF(AND(AD297=0,AE297=0,AF297=0),0,IF(AND(AD297=0,AE297=0),AF297/1,IF(AND(AD297=0,AF297=0),AE297/1,IF(AND(AE297=0,AF297=0),AD297/1,IF(AD297=0,FLOOR((AE297+AF297)/2,0.1),IF(AE297=0,(AD297+AF297)/2,IF(AF297=0,(AE297+AD297)/2,FLOOR(((AD297+AE297+AF297)/3),0.1))))))))</f>
        <v/>
      </c>
      <c r="AH297" s="21" t="n"/>
      <c r="AI297" s="21" t="n"/>
      <c r="AJ297" s="27">
        <f>SUM(AH297:AI297)</f>
        <v/>
      </c>
      <c r="AK297" s="28" t="n"/>
      <c r="AL297" s="28" t="n"/>
      <c r="AM297" s="29">
        <f>IF(AND(AJ297=0,AK297=0,AL297=0),0,IF(AND(AJ297=0,AK297=0),AL297/1,IF(AND(AJ297=0,AL297=0),AK297/1,IF(AND(AK297=0,AL297=0),AJ297/1,IF(AJ297=0,FLOOR((AK297+AL297)/2,0.1),IF(AK297=0,(AJ297+AL297)/2,IF(AL297=0,(AK297+AJ297)/2,FLOOR(((AJ297+AK297+AL297)/3),0.1))))))))</f>
        <v/>
      </c>
      <c r="AN297" s="21" t="n"/>
      <c r="AO297" s="21" t="n"/>
      <c r="AP297" s="27">
        <f>SUM(AN297:AO297)</f>
        <v/>
      </c>
      <c r="AQ297" s="28" t="n"/>
      <c r="AR297" s="30" t="n"/>
      <c r="AS297" s="29">
        <f>IF(AND(AP297=0,AQ297=0,AR297=0),0,IF(AND(AP297=0,AQ297=0),AR297/1,IF(AND(AP297=0,AR297=0),AQ297/1,IF(AND(AQ297=0,AR297=0),AP297/1,IF(AP297=0,FLOOR((AQ297+AR297)/2,0.1),IF(AQ297=0,(AP297+AR297)/2,IF(AR297=0,(AQ297+AP297)/2,FLOOR(((AP297+AQ297+AR297)/3),0.1))))))))</f>
        <v/>
      </c>
      <c r="AT297" s="21" t="n"/>
      <c r="AU297" s="21" t="n"/>
      <c r="AV297" s="27">
        <f>SUM(AT297:AU297)</f>
        <v/>
      </c>
      <c r="AW297" s="28" t="n"/>
      <c r="AX297" s="30" t="n"/>
      <c r="AY297" s="29">
        <f>IF(AND(AV297=0,AW297=0,AX297=0),0,IF(AND(AV297=0,AW297=0),AX297/1,IF(AND(AV297=0,AX297=0),AW297/1,IF(AND(AW297=0,AX297=0),AV297/1,IF(AV297=0,FLOOR((AW297+AX297)/2,0.1),IF(AW297=0,(AV297+AX297)/2,IF(AX297=0,(AW297+AV297)/2,FLOOR(((AV297+AW297+AX297)/3),0.1))))))))</f>
        <v/>
      </c>
      <c r="AZ297" s="21" t="n"/>
      <c r="BA297" s="21" t="n"/>
      <c r="BB297" s="27">
        <f>SUM(AZ297:BA297)</f>
        <v/>
      </c>
      <c r="BC297" s="28" t="n"/>
      <c r="BD297" s="28" t="n"/>
      <c r="BE297" s="29">
        <f>IF(AND(BB297=0,BC297=0,BD297=0),0,IF(AND(BB297=0,BC297=0),BD297/1,IF(AND(BB297=0,BD297=0),BC297/1,IF(AND(BC297=0,BD297=0),BB297/1,IF(BB297=0,FLOOR((BC297+BD297)/2,0.1),IF(BC297=0,(BB297+BD297)/2,IF(BD297=0,(BC297+BB297)/2,FLOOR(((BB297+BC297+BD297)/3),0.1))))))))</f>
        <v/>
      </c>
      <c r="BF297" s="21" t="n"/>
      <c r="BG297" s="21" t="n"/>
      <c r="BH297" s="27">
        <f>SUM(BF297:BG297)</f>
        <v/>
      </c>
      <c r="BI297" s="28" t="n"/>
      <c r="BJ297" s="28" t="n"/>
      <c r="BK297" s="29">
        <f>IF(AND(BH297=0,BI297=0,BJ297=0),0,IF(AND(BH297=0,BI297=0),BJ297/1,IF(AND(BH297=0,BJ297=0),BI297/1,IF(AND(BI297=0,BJ297=0),BH297/1,IF(BH297=0,FLOOR((BI297+BJ297)/2,0.1),IF(BI297=0,(BH297+BJ297)/2,IF(BJ297=0,(BI297+BH297)/2,FLOOR(((BH297+BI297+BJ297)/3),0.1))))))))</f>
        <v/>
      </c>
      <c r="BL297" s="21" t="n"/>
      <c r="BM297" s="21" t="n"/>
      <c r="BN297" s="27">
        <f>SUM(BL297:BM297)</f>
        <v/>
      </c>
      <c r="BO297" s="28" t="n"/>
      <c r="BP297" s="31" t="n"/>
      <c r="BQ297" s="29">
        <f>IF(AND(BN297=0,BO297=0,BP297=0),0,IF(AND(BN297=0,BO297=0),BP297/1,IF(AND(BN297=0,BP297=0),BO297/1,IF(AND(BO297=0,BP297=0),BN297/1,IF(BN297=0,FLOOR((BO297+BP297)/2,0.1),IF(BO297=0,(BN297+BP297)/2,IF(BP297=0,(BO297+BN297)/2,FLOOR(((BN297+BO297+BP297)/3),0.1))))))))</f>
        <v/>
      </c>
      <c r="BR297" s="21" t="n"/>
      <c r="BS297" s="21" t="n"/>
      <c r="BT297" s="27">
        <f>SUM(BR297:BS297)</f>
        <v/>
      </c>
      <c r="BU297" s="28" t="n"/>
      <c r="BV297" s="31" t="n"/>
      <c r="BW297" s="29">
        <f>IF(AND(BT297=0,BU297=0,BV297=0),0,IF(AND(BT297=0,BU297=0),BV297/1,IF(AND(BT297=0,BV297=0),BU297/1,IF(AND(BU297=0,BV297=0),BT297/1,IF(BT297=0,FLOOR((BU297+BV297)/2,0.1),IF(BU297=0,(BT297+BV297)/2,IF(BV297=0,(BU297+BT297)/2,FLOOR(((BT297+BU297+BV297)/3),0.1))))))))</f>
        <v/>
      </c>
      <c r="BX297" s="21" t="n"/>
      <c r="BY297" s="21" t="n"/>
      <c r="BZ297" s="27">
        <f>SUM(BX297:BY297)</f>
        <v/>
      </c>
      <c r="CA297" s="28" t="n"/>
      <c r="CB297" s="31" t="n"/>
      <c r="CC297" s="29">
        <f>IF(AND(BZ297=0,CA297=0,CB297=0),0,IF(AND(BZ297=0,CA297=0),CB297/1,IF(AND(BZ297=0,CB297=0),CA297/1,IF(AND(CA297=0,CB297=0),BZ297/1,IF(BZ297=0,FLOOR((CA297+CB297)/2,0.1),IF(CA297=0,(BZ297+CB297)/2,IF(CB297=0,(CA297+BZ297)/2,FLOOR(((BZ297+CA297+CB297)/3),0.1))))))))</f>
        <v/>
      </c>
      <c r="CD297" s="21" t="n"/>
      <c r="CE297" s="21" t="n"/>
      <c r="CF297" s="27">
        <f>SUM(CD297:CE297)</f>
        <v/>
      </c>
      <c r="CG297" s="28" t="n"/>
      <c r="CH297" s="31" t="n"/>
      <c r="CI297" s="29">
        <f>IF(AND(CF297=0,CG297=0,CH297=0),0,IF(AND(CF297=0,CG297=0),CH297/1,IF(AND(CF297=0,CH297=0),CG297/1,IF(AND(CG297=0,CH297=0),CF297/1,IF(CF297=0,FLOOR((CG297+CH297)/2,0.1),IF(CG297=0,(CF297+CH297)/2,IF(CH297=0,(CG297+CF297)/2,FLOOR(((CF297+CG297+CH297)/3),0.1))))))))</f>
        <v/>
      </c>
      <c r="CJ297" s="21" t="n"/>
      <c r="CK297" s="21" t="n"/>
      <c r="CL297" s="27">
        <f>SUM(CJ297:CK297)</f>
        <v/>
      </c>
      <c r="CM297" s="28" t="n"/>
      <c r="CN297" s="31" t="n"/>
      <c r="CO297" s="29">
        <f>IF(AND(CL297=0,CM297=0,CN297=0),0,IF(AND(CL297=0,CM297=0),CN297/1,IF(AND(CL297=0,CN297=0),CM297/1,IF(AND(CM297=0,CN297=0),CL297/1,IF(CL297=0,FLOOR((CM297+CN297)/2,0.1),IF(CM297=0,(CL297+CN297)/2,IF(CN297=0,(CM297+CL297)/2,FLOOR(((CL297+CM297+CN297)/3),0.1))))))))</f>
        <v/>
      </c>
      <c r="CP297" s="21" t="n"/>
      <c r="CQ297" s="21" t="n"/>
      <c r="CR297" s="27">
        <f>SUM(CP297:CQ297)</f>
        <v/>
      </c>
      <c r="CS297" s="28" t="n"/>
      <c r="CT297" s="31" t="n"/>
      <c r="CU297" s="29">
        <f>IF(AND(CR297=0,CS297=0,CT297=0),0,IF(AND(CR297=0,CS297=0),CT297/1,IF(AND(CR297=0,CT297=0),CS297/1,IF(AND(CS297=0,CT297=0),CR297/1,IF(CR297=0,FLOOR((CS297+CT297)/2,0.1),IF(CS297=0,(CR297+CT297)/2,IF(CT297=0,(CS297+CR297)/2,FLOOR(((CR297+CS297+CT297)/3),0.1))))))))</f>
        <v/>
      </c>
      <c r="CV297" s="21" t="n"/>
      <c r="CW297" s="21" t="n"/>
      <c r="CX297" s="27">
        <f>SUM(CV297:CW297)</f>
        <v/>
      </c>
      <c r="CY297" s="28" t="n"/>
      <c r="CZ297" s="31" t="n"/>
      <c r="DA297" s="29">
        <f>IF(AND(CX297=0,CY297=0,CZ297=0),0,IF(AND(CX297=0,CY297=0),CZ297/1,IF(AND(CX297=0,CZ297=0),CY297/1,IF(AND(CY297=0,CZ297=0),CX297/1,IF(CX297=0,FLOOR((CY297+CZ297)/2,0.1),IF(CY297=0,(CX297+CZ297)/2,IF(CZ297=0,(CY297+CX297)/2,FLOOR(((CX297+CY297+CZ297)/3),0.1))))))))</f>
        <v/>
      </c>
      <c r="DB297" s="21" t="n"/>
      <c r="DC297" s="21" t="n"/>
      <c r="DD297" s="27">
        <f>SUM(DB297:DC297)</f>
        <v/>
      </c>
      <c r="DE297" s="28" t="n"/>
      <c r="DF297" s="31" t="n"/>
      <c r="DG297" s="29">
        <f>IF(AND(DD297=0,DE297=0,DF297=0),0,IF(AND(DD297=0,DE297=0),DF297/1,IF(AND(DD297=0,DF297=0),DE297/1,IF(AND(DE297=0,DF297=0),DD297/1,IF(DD297=0,FLOOR((DE297+DF297)/2,0.1),IF(DE297=0,(DD297+DF297)/2,IF(DF297=0,(DE297+DD297)/2,FLOOR(((DD297+DE297+DF297)/3),0.1))))))))</f>
        <v/>
      </c>
      <c r="DH297" s="34">
        <f>SUM(O297,U297,AA297,AG297,AM297,AS297,AY297,BE297,BK297,BQ297,BW297,CC297,CI297,CO297,CU297,DA297,DG297)</f>
        <v/>
      </c>
      <c r="DI297" s="39">
        <f>RANK(DH297,DH$4:DH$503)</f>
        <v/>
      </c>
      <c r="DJ297" s="40" t="inlineStr">
        <is>
          <t>CHOOSE RATING</t>
        </is>
      </c>
      <c r="DK297" s="40" t="inlineStr">
        <is>
          <t>CHOOSE RATING</t>
        </is>
      </c>
      <c r="DL297" s="40" t="inlineStr">
        <is>
          <t>CHOOSE RATING</t>
        </is>
      </c>
      <c r="DM297" s="40" t="inlineStr">
        <is>
          <t>CHOOSE RATING</t>
        </is>
      </c>
      <c r="DN297" s="40" t="inlineStr">
        <is>
          <t>CHOOSE RATING</t>
        </is>
      </c>
      <c r="DO297" s="40" t="inlineStr">
        <is>
          <t>CHOOSE RATING</t>
        </is>
      </c>
      <c r="DP297" s="40" t="inlineStr">
        <is>
          <t>CHOOSE RATING</t>
        </is>
      </c>
      <c r="DQ297" s="40" t="inlineStr">
        <is>
          <t>CHOOSE RATING</t>
        </is>
      </c>
      <c r="DR297" s="43" t="inlineStr">
        <is>
          <t>2024/2025</t>
        </is>
      </c>
      <c r="DS297" s="45" t="inlineStr">
        <is>
          <t>THIRD</t>
        </is>
      </c>
      <c r="DT297" s="40" t="inlineStr">
        <is>
          <t>CHOOSE RATING</t>
        </is>
      </c>
      <c r="DU297" s="40" t="inlineStr">
        <is>
          <t>CHOOSE RATING</t>
        </is>
      </c>
      <c r="DV297" s="40" t="inlineStr">
        <is>
          <t>CHOOSE RATING</t>
        </is>
      </c>
      <c r="DW297" s="40" t="inlineStr">
        <is>
          <t>CHOOSE RATING</t>
        </is>
      </c>
      <c r="DX297" s="40" t="inlineStr">
        <is>
          <t>CHOOSE RATING</t>
        </is>
      </c>
      <c r="DY297" s="40" t="inlineStr">
        <is>
          <t>CHOOSE RATING</t>
        </is>
      </c>
      <c r="DZ297" s="53" t="inlineStr">
        <is>
          <t>CHOOSE RATING</t>
        </is>
      </c>
      <c r="EA297" s="54" t="inlineStr">
        <is>
          <t>Add the Tutor's Comment . . .</t>
        </is>
      </c>
      <c r="EB297" s="55" t="inlineStr">
        <is>
          <t>Choose Principals comment</t>
        </is>
      </c>
      <c r="EC297" s="56" t="n"/>
      <c r="ED297" s="57" t="inlineStr">
        <is>
          <t>Next Term Begins on Monday, 22nd September, 2025</t>
        </is>
      </c>
    </row>
    <row r="298" ht="30.6" customHeight="1" s="6">
      <c r="A298" s="18" t="n">
        <v>295</v>
      </c>
      <c r="B298" s="19" t="n"/>
      <c r="C298" s="20" t="n"/>
      <c r="D298" s="128" t="n"/>
      <c r="E298" s="21" t="n"/>
      <c r="F298" s="22" t="n"/>
      <c r="G298" s="22" t="n"/>
      <c r="H298" s="22" t="n"/>
      <c r="I298" s="26">
        <f>G298-H298</f>
        <v/>
      </c>
      <c r="J298" s="21" t="n"/>
      <c r="K298" s="21" t="n"/>
      <c r="L298" s="27">
        <f>SUM(J298:K298)</f>
        <v/>
      </c>
      <c r="M298" s="28" t="n"/>
      <c r="N298" s="28" t="n"/>
      <c r="O298" s="29">
        <f>IF(AND(L298=0,M298=0,N298=0),0,IF(AND(L298=0,M298=0),N298/1,IF(AND(L298=0,N298=0),M298/1,IF(AND(M298=0,N298=0),L298/1,IF(L298=0,FLOOR((M298+N298)/2,0.1),IF(M298=0,(L298+N298)/2,IF(N298=0,(M298+L298)/2,FLOOR(((L298+M298+N298)/3),0.1))))))))</f>
        <v/>
      </c>
      <c r="P298" s="21" t="n"/>
      <c r="Q298" s="21" t="n"/>
      <c r="R298" s="27">
        <f>SUM(P298:Q298)</f>
        <v/>
      </c>
      <c r="S298" s="28" t="n"/>
      <c r="T298" s="28" t="n"/>
      <c r="U298" s="29">
        <f>IF(AND(R298=0,S298=0,T298=0),0,IF(AND(R298=0,S298=0),T298/1,IF(AND(R298=0,T298=0),S298/1,IF(AND(S298=0,T298=0),R298/1,IF(R298=0,FLOOR((S298+T298)/2,0.1),IF(S298=0,(R298+T298)/2,IF(T298=0,(S298+R298)/2,FLOOR(((R298+S298+T298)/3),0.1))))))))</f>
        <v/>
      </c>
      <c r="V298" s="21" t="n"/>
      <c r="W298" s="21" t="n"/>
      <c r="X298" s="27">
        <f>SUM(V298:W298)</f>
        <v/>
      </c>
      <c r="Y298" s="28" t="n"/>
      <c r="Z298" s="28" t="n"/>
      <c r="AA298" s="29">
        <f>IF(AND(X298=0,Y298=0,Z298=0),0,IF(AND(X298=0,Y298=0),Z298/1,IF(AND(X298=0,Z298=0),Y298/1,IF(AND(Y298=0,Z298=0),X298/1,IF(X298=0,FLOOR((Y298+Z298)/2,0.1),IF(Y298=0,(X298+Z298)/2,IF(Z298=0,(Y298+X298)/2,FLOOR(((X298+Y298+Z298)/3),0.1))))))))</f>
        <v/>
      </c>
      <c r="AB298" s="21" t="n"/>
      <c r="AC298" s="21" t="n"/>
      <c r="AD298" s="27">
        <f>SUM(AB298:AC298)</f>
        <v/>
      </c>
      <c r="AE298" s="28" t="n"/>
      <c r="AF298" s="28" t="n"/>
      <c r="AG298" s="29">
        <f>IF(AND(AD298=0,AE298=0,AF298=0),0,IF(AND(AD298=0,AE298=0),AF298/1,IF(AND(AD298=0,AF298=0),AE298/1,IF(AND(AE298=0,AF298=0),AD298/1,IF(AD298=0,FLOOR((AE298+AF298)/2,0.1),IF(AE298=0,(AD298+AF298)/2,IF(AF298=0,(AE298+AD298)/2,FLOOR(((AD298+AE298+AF298)/3),0.1))))))))</f>
        <v/>
      </c>
      <c r="AH298" s="21" t="n"/>
      <c r="AI298" s="21" t="n"/>
      <c r="AJ298" s="27">
        <f>SUM(AH298:AI298)</f>
        <v/>
      </c>
      <c r="AK298" s="28" t="n"/>
      <c r="AL298" s="28" t="n"/>
      <c r="AM298" s="29">
        <f>IF(AND(AJ298=0,AK298=0,AL298=0),0,IF(AND(AJ298=0,AK298=0),AL298/1,IF(AND(AJ298=0,AL298=0),AK298/1,IF(AND(AK298=0,AL298=0),AJ298/1,IF(AJ298=0,FLOOR((AK298+AL298)/2,0.1),IF(AK298=0,(AJ298+AL298)/2,IF(AL298=0,(AK298+AJ298)/2,FLOOR(((AJ298+AK298+AL298)/3),0.1))))))))</f>
        <v/>
      </c>
      <c r="AN298" s="21" t="n"/>
      <c r="AO298" s="21" t="n"/>
      <c r="AP298" s="27">
        <f>SUM(AN298:AO298)</f>
        <v/>
      </c>
      <c r="AQ298" s="28" t="n"/>
      <c r="AR298" s="30" t="n"/>
      <c r="AS298" s="29">
        <f>IF(AND(AP298=0,AQ298=0,AR298=0),0,IF(AND(AP298=0,AQ298=0),AR298/1,IF(AND(AP298=0,AR298=0),AQ298/1,IF(AND(AQ298=0,AR298=0),AP298/1,IF(AP298=0,FLOOR((AQ298+AR298)/2,0.1),IF(AQ298=0,(AP298+AR298)/2,IF(AR298=0,(AQ298+AP298)/2,FLOOR(((AP298+AQ298+AR298)/3),0.1))))))))</f>
        <v/>
      </c>
      <c r="AT298" s="21" t="n"/>
      <c r="AU298" s="21" t="n"/>
      <c r="AV298" s="27">
        <f>SUM(AT298:AU298)</f>
        <v/>
      </c>
      <c r="AW298" s="28" t="n"/>
      <c r="AX298" s="30" t="n"/>
      <c r="AY298" s="29">
        <f>IF(AND(AV298=0,AW298=0,AX298=0),0,IF(AND(AV298=0,AW298=0),AX298/1,IF(AND(AV298=0,AX298=0),AW298/1,IF(AND(AW298=0,AX298=0),AV298/1,IF(AV298=0,FLOOR((AW298+AX298)/2,0.1),IF(AW298=0,(AV298+AX298)/2,IF(AX298=0,(AW298+AV298)/2,FLOOR(((AV298+AW298+AX298)/3),0.1))))))))</f>
        <v/>
      </c>
      <c r="AZ298" s="21" t="n"/>
      <c r="BA298" s="21" t="n"/>
      <c r="BB298" s="27">
        <f>SUM(AZ298:BA298)</f>
        <v/>
      </c>
      <c r="BC298" s="28" t="n"/>
      <c r="BD298" s="28" t="n"/>
      <c r="BE298" s="29">
        <f>IF(AND(BB298=0,BC298=0,BD298=0),0,IF(AND(BB298=0,BC298=0),BD298/1,IF(AND(BB298=0,BD298=0),BC298/1,IF(AND(BC298=0,BD298=0),BB298/1,IF(BB298=0,FLOOR((BC298+BD298)/2,0.1),IF(BC298=0,(BB298+BD298)/2,IF(BD298=0,(BC298+BB298)/2,FLOOR(((BB298+BC298+BD298)/3),0.1))))))))</f>
        <v/>
      </c>
      <c r="BF298" s="21" t="n"/>
      <c r="BG298" s="21" t="n"/>
      <c r="BH298" s="27">
        <f>SUM(BF298:BG298)</f>
        <v/>
      </c>
      <c r="BI298" s="28" t="n"/>
      <c r="BJ298" s="28" t="n"/>
      <c r="BK298" s="29">
        <f>IF(AND(BH298=0,BI298=0,BJ298=0),0,IF(AND(BH298=0,BI298=0),BJ298/1,IF(AND(BH298=0,BJ298=0),BI298/1,IF(AND(BI298=0,BJ298=0),BH298/1,IF(BH298=0,FLOOR((BI298+BJ298)/2,0.1),IF(BI298=0,(BH298+BJ298)/2,IF(BJ298=0,(BI298+BH298)/2,FLOOR(((BH298+BI298+BJ298)/3),0.1))))))))</f>
        <v/>
      </c>
      <c r="BL298" s="21" t="n"/>
      <c r="BM298" s="21" t="n"/>
      <c r="BN298" s="27">
        <f>SUM(BL298:BM298)</f>
        <v/>
      </c>
      <c r="BO298" s="28" t="n"/>
      <c r="BP298" s="31" t="n"/>
      <c r="BQ298" s="29">
        <f>IF(AND(BN298=0,BO298=0,BP298=0),0,IF(AND(BN298=0,BO298=0),BP298/1,IF(AND(BN298=0,BP298=0),BO298/1,IF(AND(BO298=0,BP298=0),BN298/1,IF(BN298=0,FLOOR((BO298+BP298)/2,0.1),IF(BO298=0,(BN298+BP298)/2,IF(BP298=0,(BO298+BN298)/2,FLOOR(((BN298+BO298+BP298)/3),0.1))))))))</f>
        <v/>
      </c>
      <c r="BR298" s="21" t="n"/>
      <c r="BS298" s="21" t="n"/>
      <c r="BT298" s="27">
        <f>SUM(BR298:BS298)</f>
        <v/>
      </c>
      <c r="BU298" s="28" t="n"/>
      <c r="BV298" s="31" t="n"/>
      <c r="BW298" s="29">
        <f>IF(AND(BT298=0,BU298=0,BV298=0),0,IF(AND(BT298=0,BU298=0),BV298/1,IF(AND(BT298=0,BV298=0),BU298/1,IF(AND(BU298=0,BV298=0),BT298/1,IF(BT298=0,FLOOR((BU298+BV298)/2,0.1),IF(BU298=0,(BT298+BV298)/2,IF(BV298=0,(BU298+BT298)/2,FLOOR(((BT298+BU298+BV298)/3),0.1))))))))</f>
        <v/>
      </c>
      <c r="BX298" s="21" t="n"/>
      <c r="BY298" s="21" t="n"/>
      <c r="BZ298" s="27">
        <f>SUM(BX298:BY298)</f>
        <v/>
      </c>
      <c r="CA298" s="28" t="n"/>
      <c r="CB298" s="31" t="n"/>
      <c r="CC298" s="29">
        <f>IF(AND(BZ298=0,CA298=0,CB298=0),0,IF(AND(BZ298=0,CA298=0),CB298/1,IF(AND(BZ298=0,CB298=0),CA298/1,IF(AND(CA298=0,CB298=0),BZ298/1,IF(BZ298=0,FLOOR((CA298+CB298)/2,0.1),IF(CA298=0,(BZ298+CB298)/2,IF(CB298=0,(CA298+BZ298)/2,FLOOR(((BZ298+CA298+CB298)/3),0.1))))))))</f>
        <v/>
      </c>
      <c r="CD298" s="21" t="n"/>
      <c r="CE298" s="21" t="n"/>
      <c r="CF298" s="27">
        <f>SUM(CD298:CE298)</f>
        <v/>
      </c>
      <c r="CG298" s="28" t="n"/>
      <c r="CH298" s="31" t="n"/>
      <c r="CI298" s="29">
        <f>IF(AND(CF298=0,CG298=0,CH298=0),0,IF(AND(CF298=0,CG298=0),CH298/1,IF(AND(CF298=0,CH298=0),CG298/1,IF(AND(CG298=0,CH298=0),CF298/1,IF(CF298=0,FLOOR((CG298+CH298)/2,0.1),IF(CG298=0,(CF298+CH298)/2,IF(CH298=0,(CG298+CF298)/2,FLOOR(((CF298+CG298+CH298)/3),0.1))))))))</f>
        <v/>
      </c>
      <c r="CJ298" s="21" t="n"/>
      <c r="CK298" s="21" t="n"/>
      <c r="CL298" s="27">
        <f>SUM(CJ298:CK298)</f>
        <v/>
      </c>
      <c r="CM298" s="28" t="n"/>
      <c r="CN298" s="31" t="n"/>
      <c r="CO298" s="29">
        <f>IF(AND(CL298=0,CM298=0,CN298=0),0,IF(AND(CL298=0,CM298=0),CN298/1,IF(AND(CL298=0,CN298=0),CM298/1,IF(AND(CM298=0,CN298=0),CL298/1,IF(CL298=0,FLOOR((CM298+CN298)/2,0.1),IF(CM298=0,(CL298+CN298)/2,IF(CN298=0,(CM298+CL298)/2,FLOOR(((CL298+CM298+CN298)/3),0.1))))))))</f>
        <v/>
      </c>
      <c r="CP298" s="21" t="n"/>
      <c r="CQ298" s="21" t="n"/>
      <c r="CR298" s="27">
        <f>SUM(CP298:CQ298)</f>
        <v/>
      </c>
      <c r="CS298" s="28" t="n"/>
      <c r="CT298" s="31" t="n"/>
      <c r="CU298" s="29">
        <f>IF(AND(CR298=0,CS298=0,CT298=0),0,IF(AND(CR298=0,CS298=0),CT298/1,IF(AND(CR298=0,CT298=0),CS298/1,IF(AND(CS298=0,CT298=0),CR298/1,IF(CR298=0,FLOOR((CS298+CT298)/2,0.1),IF(CS298=0,(CR298+CT298)/2,IF(CT298=0,(CS298+CR298)/2,FLOOR(((CR298+CS298+CT298)/3),0.1))))))))</f>
        <v/>
      </c>
      <c r="CV298" s="21" t="n"/>
      <c r="CW298" s="21" t="n"/>
      <c r="CX298" s="27">
        <f>SUM(CV298:CW298)</f>
        <v/>
      </c>
      <c r="CY298" s="28" t="n"/>
      <c r="CZ298" s="31" t="n"/>
      <c r="DA298" s="29">
        <f>IF(AND(CX298=0,CY298=0,CZ298=0),0,IF(AND(CX298=0,CY298=0),CZ298/1,IF(AND(CX298=0,CZ298=0),CY298/1,IF(AND(CY298=0,CZ298=0),CX298/1,IF(CX298=0,FLOOR((CY298+CZ298)/2,0.1),IF(CY298=0,(CX298+CZ298)/2,IF(CZ298=0,(CY298+CX298)/2,FLOOR(((CX298+CY298+CZ298)/3),0.1))))))))</f>
        <v/>
      </c>
      <c r="DB298" s="21" t="n"/>
      <c r="DC298" s="21" t="n"/>
      <c r="DD298" s="27">
        <f>SUM(DB298:DC298)</f>
        <v/>
      </c>
      <c r="DE298" s="28" t="n"/>
      <c r="DF298" s="31" t="n"/>
      <c r="DG298" s="29">
        <f>IF(AND(DD298=0,DE298=0,DF298=0),0,IF(AND(DD298=0,DE298=0),DF298/1,IF(AND(DD298=0,DF298=0),DE298/1,IF(AND(DE298=0,DF298=0),DD298/1,IF(DD298=0,FLOOR((DE298+DF298)/2,0.1),IF(DE298=0,(DD298+DF298)/2,IF(DF298=0,(DE298+DD298)/2,FLOOR(((DD298+DE298+DF298)/3),0.1))))))))</f>
        <v/>
      </c>
      <c r="DH298" s="34">
        <f>SUM(O298,U298,AA298,AG298,AM298,AS298,AY298,BE298,BK298,BQ298,BW298,CC298,CI298,CO298,CU298,DA298,DG298)</f>
        <v/>
      </c>
      <c r="DI298" s="39">
        <f>RANK(DH298,DH$4:DH$503)</f>
        <v/>
      </c>
      <c r="DJ298" s="40" t="inlineStr">
        <is>
          <t>CHOOSE RATING</t>
        </is>
      </c>
      <c r="DK298" s="40" t="inlineStr">
        <is>
          <t>CHOOSE RATING</t>
        </is>
      </c>
      <c r="DL298" s="40" t="inlineStr">
        <is>
          <t>CHOOSE RATING</t>
        </is>
      </c>
      <c r="DM298" s="40" t="inlineStr">
        <is>
          <t>CHOOSE RATING</t>
        </is>
      </c>
      <c r="DN298" s="40" t="inlineStr">
        <is>
          <t>CHOOSE RATING</t>
        </is>
      </c>
      <c r="DO298" s="40" t="inlineStr">
        <is>
          <t>CHOOSE RATING</t>
        </is>
      </c>
      <c r="DP298" s="40" t="inlineStr">
        <is>
          <t>CHOOSE RATING</t>
        </is>
      </c>
      <c r="DQ298" s="40" t="inlineStr">
        <is>
          <t>CHOOSE RATING</t>
        </is>
      </c>
      <c r="DR298" s="43" t="inlineStr">
        <is>
          <t>2024/2025</t>
        </is>
      </c>
      <c r="DS298" s="45" t="inlineStr">
        <is>
          <t>THIRD</t>
        </is>
      </c>
      <c r="DT298" s="40" t="inlineStr">
        <is>
          <t>CHOOSE RATING</t>
        </is>
      </c>
      <c r="DU298" s="40" t="inlineStr">
        <is>
          <t>CHOOSE RATING</t>
        </is>
      </c>
      <c r="DV298" s="40" t="inlineStr">
        <is>
          <t>CHOOSE RATING</t>
        </is>
      </c>
      <c r="DW298" s="40" t="inlineStr">
        <is>
          <t>CHOOSE RATING</t>
        </is>
      </c>
      <c r="DX298" s="40" t="inlineStr">
        <is>
          <t>CHOOSE RATING</t>
        </is>
      </c>
      <c r="DY298" s="40" t="inlineStr">
        <is>
          <t>CHOOSE RATING</t>
        </is>
      </c>
      <c r="DZ298" s="53" t="inlineStr">
        <is>
          <t>CHOOSE RATING</t>
        </is>
      </c>
      <c r="EA298" s="54" t="inlineStr">
        <is>
          <t>Add the Tutor's Comment . . .</t>
        </is>
      </c>
      <c r="EB298" s="55" t="inlineStr">
        <is>
          <t>Choose Principals comment</t>
        </is>
      </c>
      <c r="EC298" s="56" t="n"/>
      <c r="ED298" s="57" t="inlineStr">
        <is>
          <t>Next Term Begins on Monday, 22nd September, 2025</t>
        </is>
      </c>
    </row>
    <row r="299" ht="30.6" customHeight="1" s="6">
      <c r="A299" s="18" t="n">
        <v>296</v>
      </c>
      <c r="B299" s="19" t="n"/>
      <c r="C299" s="20" t="n"/>
      <c r="D299" s="128" t="n"/>
      <c r="E299" s="21" t="n"/>
      <c r="F299" s="22" t="n"/>
      <c r="G299" s="22" t="n"/>
      <c r="H299" s="22" t="n"/>
      <c r="I299" s="26">
        <f>G299-H299</f>
        <v/>
      </c>
      <c r="J299" s="21" t="n"/>
      <c r="K299" s="21" t="n"/>
      <c r="L299" s="27">
        <f>SUM(J299:K299)</f>
        <v/>
      </c>
      <c r="M299" s="28" t="n"/>
      <c r="N299" s="28" t="n"/>
      <c r="O299" s="29">
        <f>IF(AND(L299=0,M299=0,N299=0),0,IF(AND(L299=0,M299=0),N299/1,IF(AND(L299=0,N299=0),M299/1,IF(AND(M299=0,N299=0),L299/1,IF(L299=0,FLOOR((M299+N299)/2,0.1),IF(M299=0,(L299+N299)/2,IF(N299=0,(M299+L299)/2,FLOOR(((L299+M299+N299)/3),0.1))))))))</f>
        <v/>
      </c>
      <c r="P299" s="21" t="n"/>
      <c r="Q299" s="21" t="n"/>
      <c r="R299" s="27">
        <f>SUM(P299:Q299)</f>
        <v/>
      </c>
      <c r="S299" s="28" t="n"/>
      <c r="T299" s="28" t="n"/>
      <c r="U299" s="29">
        <f>IF(AND(R299=0,S299=0,T299=0),0,IF(AND(R299=0,S299=0),T299/1,IF(AND(R299=0,T299=0),S299/1,IF(AND(S299=0,T299=0),R299/1,IF(R299=0,FLOOR((S299+T299)/2,0.1),IF(S299=0,(R299+T299)/2,IF(T299=0,(S299+R299)/2,FLOOR(((R299+S299+T299)/3),0.1))))))))</f>
        <v/>
      </c>
      <c r="V299" s="21" t="n"/>
      <c r="W299" s="21" t="n"/>
      <c r="X299" s="27">
        <f>SUM(V299:W299)</f>
        <v/>
      </c>
      <c r="Y299" s="28" t="n"/>
      <c r="Z299" s="28" t="n"/>
      <c r="AA299" s="29">
        <f>IF(AND(X299=0,Y299=0,Z299=0),0,IF(AND(X299=0,Y299=0),Z299/1,IF(AND(X299=0,Z299=0),Y299/1,IF(AND(Y299=0,Z299=0),X299/1,IF(X299=0,FLOOR((Y299+Z299)/2,0.1),IF(Y299=0,(X299+Z299)/2,IF(Z299=0,(Y299+X299)/2,FLOOR(((X299+Y299+Z299)/3),0.1))))))))</f>
        <v/>
      </c>
      <c r="AB299" s="21" t="n"/>
      <c r="AC299" s="21" t="n"/>
      <c r="AD299" s="27">
        <f>SUM(AB299:AC299)</f>
        <v/>
      </c>
      <c r="AE299" s="28" t="n"/>
      <c r="AF299" s="28" t="n"/>
      <c r="AG299" s="29">
        <f>IF(AND(AD299=0,AE299=0,AF299=0),0,IF(AND(AD299=0,AE299=0),AF299/1,IF(AND(AD299=0,AF299=0),AE299/1,IF(AND(AE299=0,AF299=0),AD299/1,IF(AD299=0,FLOOR((AE299+AF299)/2,0.1),IF(AE299=0,(AD299+AF299)/2,IF(AF299=0,(AE299+AD299)/2,FLOOR(((AD299+AE299+AF299)/3),0.1))))))))</f>
        <v/>
      </c>
      <c r="AH299" s="21" t="n"/>
      <c r="AI299" s="21" t="n"/>
      <c r="AJ299" s="27">
        <f>SUM(AH299:AI299)</f>
        <v/>
      </c>
      <c r="AK299" s="28" t="n"/>
      <c r="AL299" s="28" t="n"/>
      <c r="AM299" s="29">
        <f>IF(AND(AJ299=0,AK299=0,AL299=0),0,IF(AND(AJ299=0,AK299=0),AL299/1,IF(AND(AJ299=0,AL299=0),AK299/1,IF(AND(AK299=0,AL299=0),AJ299/1,IF(AJ299=0,FLOOR((AK299+AL299)/2,0.1),IF(AK299=0,(AJ299+AL299)/2,IF(AL299=0,(AK299+AJ299)/2,FLOOR(((AJ299+AK299+AL299)/3),0.1))))))))</f>
        <v/>
      </c>
      <c r="AN299" s="21" t="n"/>
      <c r="AO299" s="21" t="n"/>
      <c r="AP299" s="27">
        <f>SUM(AN299:AO299)</f>
        <v/>
      </c>
      <c r="AQ299" s="28" t="n"/>
      <c r="AR299" s="30" t="n"/>
      <c r="AS299" s="29">
        <f>IF(AND(AP299=0,AQ299=0,AR299=0),0,IF(AND(AP299=0,AQ299=0),AR299/1,IF(AND(AP299=0,AR299=0),AQ299/1,IF(AND(AQ299=0,AR299=0),AP299/1,IF(AP299=0,FLOOR((AQ299+AR299)/2,0.1),IF(AQ299=0,(AP299+AR299)/2,IF(AR299=0,(AQ299+AP299)/2,FLOOR(((AP299+AQ299+AR299)/3),0.1))))))))</f>
        <v/>
      </c>
      <c r="AT299" s="21" t="n"/>
      <c r="AU299" s="21" t="n"/>
      <c r="AV299" s="27">
        <f>SUM(AT299:AU299)</f>
        <v/>
      </c>
      <c r="AW299" s="28" t="n"/>
      <c r="AX299" s="30" t="n"/>
      <c r="AY299" s="29">
        <f>IF(AND(AV299=0,AW299=0,AX299=0),0,IF(AND(AV299=0,AW299=0),AX299/1,IF(AND(AV299=0,AX299=0),AW299/1,IF(AND(AW299=0,AX299=0),AV299/1,IF(AV299=0,FLOOR((AW299+AX299)/2,0.1),IF(AW299=0,(AV299+AX299)/2,IF(AX299=0,(AW299+AV299)/2,FLOOR(((AV299+AW299+AX299)/3),0.1))))))))</f>
        <v/>
      </c>
      <c r="AZ299" s="21" t="n"/>
      <c r="BA299" s="21" t="n"/>
      <c r="BB299" s="27">
        <f>SUM(AZ299:BA299)</f>
        <v/>
      </c>
      <c r="BC299" s="28" t="n"/>
      <c r="BD299" s="28" t="n"/>
      <c r="BE299" s="29">
        <f>IF(AND(BB299=0,BC299=0,BD299=0),0,IF(AND(BB299=0,BC299=0),BD299/1,IF(AND(BB299=0,BD299=0),BC299/1,IF(AND(BC299=0,BD299=0),BB299/1,IF(BB299=0,FLOOR((BC299+BD299)/2,0.1),IF(BC299=0,(BB299+BD299)/2,IF(BD299=0,(BC299+BB299)/2,FLOOR(((BB299+BC299+BD299)/3),0.1))))))))</f>
        <v/>
      </c>
      <c r="BF299" s="21" t="n"/>
      <c r="BG299" s="21" t="n"/>
      <c r="BH299" s="27">
        <f>SUM(BF299:BG299)</f>
        <v/>
      </c>
      <c r="BI299" s="28" t="n"/>
      <c r="BJ299" s="28" t="n"/>
      <c r="BK299" s="29">
        <f>IF(AND(BH299=0,BI299=0,BJ299=0),0,IF(AND(BH299=0,BI299=0),BJ299/1,IF(AND(BH299=0,BJ299=0),BI299/1,IF(AND(BI299=0,BJ299=0),BH299/1,IF(BH299=0,FLOOR((BI299+BJ299)/2,0.1),IF(BI299=0,(BH299+BJ299)/2,IF(BJ299=0,(BI299+BH299)/2,FLOOR(((BH299+BI299+BJ299)/3),0.1))))))))</f>
        <v/>
      </c>
      <c r="BL299" s="21" t="n"/>
      <c r="BM299" s="21" t="n"/>
      <c r="BN299" s="27">
        <f>SUM(BL299:BM299)</f>
        <v/>
      </c>
      <c r="BO299" s="28" t="n"/>
      <c r="BP299" s="31" t="n"/>
      <c r="BQ299" s="29">
        <f>IF(AND(BN299=0,BO299=0,BP299=0),0,IF(AND(BN299=0,BO299=0),BP299/1,IF(AND(BN299=0,BP299=0),BO299/1,IF(AND(BO299=0,BP299=0),BN299/1,IF(BN299=0,FLOOR((BO299+BP299)/2,0.1),IF(BO299=0,(BN299+BP299)/2,IF(BP299=0,(BO299+BN299)/2,FLOOR(((BN299+BO299+BP299)/3),0.1))))))))</f>
        <v/>
      </c>
      <c r="BR299" s="21" t="n"/>
      <c r="BS299" s="21" t="n"/>
      <c r="BT299" s="27">
        <f>SUM(BR299:BS299)</f>
        <v/>
      </c>
      <c r="BU299" s="28" t="n"/>
      <c r="BV299" s="31" t="n"/>
      <c r="BW299" s="29">
        <f>IF(AND(BT299=0,BU299=0,BV299=0),0,IF(AND(BT299=0,BU299=0),BV299/1,IF(AND(BT299=0,BV299=0),BU299/1,IF(AND(BU299=0,BV299=0),BT299/1,IF(BT299=0,FLOOR((BU299+BV299)/2,0.1),IF(BU299=0,(BT299+BV299)/2,IF(BV299=0,(BU299+BT299)/2,FLOOR(((BT299+BU299+BV299)/3),0.1))))))))</f>
        <v/>
      </c>
      <c r="BX299" s="21" t="n"/>
      <c r="BY299" s="21" t="n"/>
      <c r="BZ299" s="27">
        <f>SUM(BX299:BY299)</f>
        <v/>
      </c>
      <c r="CA299" s="28" t="n"/>
      <c r="CB299" s="31" t="n"/>
      <c r="CC299" s="29">
        <f>IF(AND(BZ299=0,CA299=0,CB299=0),0,IF(AND(BZ299=0,CA299=0),CB299/1,IF(AND(BZ299=0,CB299=0),CA299/1,IF(AND(CA299=0,CB299=0),BZ299/1,IF(BZ299=0,FLOOR((CA299+CB299)/2,0.1),IF(CA299=0,(BZ299+CB299)/2,IF(CB299=0,(CA299+BZ299)/2,FLOOR(((BZ299+CA299+CB299)/3),0.1))))))))</f>
        <v/>
      </c>
      <c r="CD299" s="21" t="n"/>
      <c r="CE299" s="21" t="n"/>
      <c r="CF299" s="27">
        <f>SUM(CD299:CE299)</f>
        <v/>
      </c>
      <c r="CG299" s="28" t="n"/>
      <c r="CH299" s="31" t="n"/>
      <c r="CI299" s="29">
        <f>IF(AND(CF299=0,CG299=0,CH299=0),0,IF(AND(CF299=0,CG299=0),CH299/1,IF(AND(CF299=0,CH299=0),CG299/1,IF(AND(CG299=0,CH299=0),CF299/1,IF(CF299=0,FLOOR((CG299+CH299)/2,0.1),IF(CG299=0,(CF299+CH299)/2,IF(CH299=0,(CG299+CF299)/2,FLOOR(((CF299+CG299+CH299)/3),0.1))))))))</f>
        <v/>
      </c>
      <c r="CJ299" s="21" t="n"/>
      <c r="CK299" s="21" t="n"/>
      <c r="CL299" s="27">
        <f>SUM(CJ299:CK299)</f>
        <v/>
      </c>
      <c r="CM299" s="28" t="n"/>
      <c r="CN299" s="31" t="n"/>
      <c r="CO299" s="29">
        <f>IF(AND(CL299=0,CM299=0,CN299=0),0,IF(AND(CL299=0,CM299=0),CN299/1,IF(AND(CL299=0,CN299=0),CM299/1,IF(AND(CM299=0,CN299=0),CL299/1,IF(CL299=0,FLOOR((CM299+CN299)/2,0.1),IF(CM299=0,(CL299+CN299)/2,IF(CN299=0,(CM299+CL299)/2,FLOOR(((CL299+CM299+CN299)/3),0.1))))))))</f>
        <v/>
      </c>
      <c r="CP299" s="21" t="n"/>
      <c r="CQ299" s="21" t="n"/>
      <c r="CR299" s="27">
        <f>SUM(CP299:CQ299)</f>
        <v/>
      </c>
      <c r="CS299" s="28" t="n"/>
      <c r="CT299" s="31" t="n"/>
      <c r="CU299" s="29">
        <f>IF(AND(CR299=0,CS299=0,CT299=0),0,IF(AND(CR299=0,CS299=0),CT299/1,IF(AND(CR299=0,CT299=0),CS299/1,IF(AND(CS299=0,CT299=0),CR299/1,IF(CR299=0,FLOOR((CS299+CT299)/2,0.1),IF(CS299=0,(CR299+CT299)/2,IF(CT299=0,(CS299+CR299)/2,FLOOR(((CR299+CS299+CT299)/3),0.1))))))))</f>
        <v/>
      </c>
      <c r="CV299" s="21" t="n"/>
      <c r="CW299" s="21" t="n"/>
      <c r="CX299" s="27">
        <f>SUM(CV299:CW299)</f>
        <v/>
      </c>
      <c r="CY299" s="28" t="n"/>
      <c r="CZ299" s="31" t="n"/>
      <c r="DA299" s="29">
        <f>IF(AND(CX299=0,CY299=0,CZ299=0),0,IF(AND(CX299=0,CY299=0),CZ299/1,IF(AND(CX299=0,CZ299=0),CY299/1,IF(AND(CY299=0,CZ299=0),CX299/1,IF(CX299=0,FLOOR((CY299+CZ299)/2,0.1),IF(CY299=0,(CX299+CZ299)/2,IF(CZ299=0,(CY299+CX299)/2,FLOOR(((CX299+CY299+CZ299)/3),0.1))))))))</f>
        <v/>
      </c>
      <c r="DB299" s="21" t="n"/>
      <c r="DC299" s="21" t="n"/>
      <c r="DD299" s="27">
        <f>SUM(DB299:DC299)</f>
        <v/>
      </c>
      <c r="DE299" s="28" t="n"/>
      <c r="DF299" s="31" t="n"/>
      <c r="DG299" s="29">
        <f>IF(AND(DD299=0,DE299=0,DF299=0),0,IF(AND(DD299=0,DE299=0),DF299/1,IF(AND(DD299=0,DF299=0),DE299/1,IF(AND(DE299=0,DF299=0),DD299/1,IF(DD299=0,FLOOR((DE299+DF299)/2,0.1),IF(DE299=0,(DD299+DF299)/2,IF(DF299=0,(DE299+DD299)/2,FLOOR(((DD299+DE299+DF299)/3),0.1))))))))</f>
        <v/>
      </c>
      <c r="DH299" s="34">
        <f>SUM(O299,U299,AA299,AG299,AM299,AS299,AY299,BE299,BK299,BQ299,BW299,CC299,CI299,CO299,CU299,DA299,DG299)</f>
        <v/>
      </c>
      <c r="DI299" s="39">
        <f>RANK(DH299,DH$4:DH$503)</f>
        <v/>
      </c>
      <c r="DJ299" s="40" t="inlineStr">
        <is>
          <t>CHOOSE RATING</t>
        </is>
      </c>
      <c r="DK299" s="40" t="inlineStr">
        <is>
          <t>CHOOSE RATING</t>
        </is>
      </c>
      <c r="DL299" s="40" t="inlineStr">
        <is>
          <t>CHOOSE RATING</t>
        </is>
      </c>
      <c r="DM299" s="40" t="inlineStr">
        <is>
          <t>CHOOSE RATING</t>
        </is>
      </c>
      <c r="DN299" s="40" t="inlineStr">
        <is>
          <t>CHOOSE RATING</t>
        </is>
      </c>
      <c r="DO299" s="40" t="inlineStr">
        <is>
          <t>CHOOSE RATING</t>
        </is>
      </c>
      <c r="DP299" s="40" t="inlineStr">
        <is>
          <t>CHOOSE RATING</t>
        </is>
      </c>
      <c r="DQ299" s="40" t="inlineStr">
        <is>
          <t>CHOOSE RATING</t>
        </is>
      </c>
      <c r="DR299" s="43" t="inlineStr">
        <is>
          <t>2024/2025</t>
        </is>
      </c>
      <c r="DS299" s="45" t="inlineStr">
        <is>
          <t>THIRD</t>
        </is>
      </c>
      <c r="DT299" s="40" t="inlineStr">
        <is>
          <t>CHOOSE RATING</t>
        </is>
      </c>
      <c r="DU299" s="40" t="inlineStr">
        <is>
          <t>CHOOSE RATING</t>
        </is>
      </c>
      <c r="DV299" s="40" t="inlineStr">
        <is>
          <t>CHOOSE RATING</t>
        </is>
      </c>
      <c r="DW299" s="40" t="inlineStr">
        <is>
          <t>CHOOSE RATING</t>
        </is>
      </c>
      <c r="DX299" s="40" t="inlineStr">
        <is>
          <t>CHOOSE RATING</t>
        </is>
      </c>
      <c r="DY299" s="40" t="inlineStr">
        <is>
          <t>CHOOSE RATING</t>
        </is>
      </c>
      <c r="DZ299" s="53" t="inlineStr">
        <is>
          <t>CHOOSE RATING</t>
        </is>
      </c>
      <c r="EA299" s="54" t="inlineStr">
        <is>
          <t>Add the Tutor's Comment . . .</t>
        </is>
      </c>
      <c r="EB299" s="55" t="inlineStr">
        <is>
          <t>Choose Principals comment</t>
        </is>
      </c>
      <c r="EC299" s="56" t="n"/>
      <c r="ED299" s="57" t="inlineStr">
        <is>
          <t>Next Term Begins on Monday, 22nd September, 2025</t>
        </is>
      </c>
    </row>
    <row r="300" ht="30.6" customHeight="1" s="6">
      <c r="A300" s="18" t="n">
        <v>297</v>
      </c>
      <c r="B300" s="19" t="n"/>
      <c r="C300" s="20" t="n"/>
      <c r="D300" s="128" t="n"/>
      <c r="E300" s="21" t="n"/>
      <c r="F300" s="22" t="n"/>
      <c r="G300" s="22" t="n"/>
      <c r="H300" s="22" t="n"/>
      <c r="I300" s="26">
        <f>G300-H300</f>
        <v/>
      </c>
      <c r="J300" s="21" t="n"/>
      <c r="K300" s="21" t="n"/>
      <c r="L300" s="27">
        <f>SUM(J300:K300)</f>
        <v/>
      </c>
      <c r="M300" s="28" t="n"/>
      <c r="N300" s="28" t="n"/>
      <c r="O300" s="29">
        <f>IF(AND(L300=0,M300=0,N300=0),0,IF(AND(L300=0,M300=0),N300/1,IF(AND(L300=0,N300=0),M300/1,IF(AND(M300=0,N300=0),L300/1,IF(L300=0,FLOOR((M300+N300)/2,0.1),IF(M300=0,(L300+N300)/2,IF(N300=0,(M300+L300)/2,FLOOR(((L300+M300+N300)/3),0.1))))))))</f>
        <v/>
      </c>
      <c r="P300" s="21" t="n"/>
      <c r="Q300" s="21" t="n"/>
      <c r="R300" s="27">
        <f>SUM(P300:Q300)</f>
        <v/>
      </c>
      <c r="S300" s="28" t="n"/>
      <c r="T300" s="28" t="n"/>
      <c r="U300" s="29">
        <f>IF(AND(R300=0,S300=0,T300=0),0,IF(AND(R300=0,S300=0),T300/1,IF(AND(R300=0,T300=0),S300/1,IF(AND(S300=0,T300=0),R300/1,IF(R300=0,FLOOR((S300+T300)/2,0.1),IF(S300=0,(R300+T300)/2,IF(T300=0,(S300+R300)/2,FLOOR(((R300+S300+T300)/3),0.1))))))))</f>
        <v/>
      </c>
      <c r="V300" s="21" t="n"/>
      <c r="W300" s="21" t="n"/>
      <c r="X300" s="27">
        <f>SUM(V300:W300)</f>
        <v/>
      </c>
      <c r="Y300" s="28" t="n"/>
      <c r="Z300" s="28" t="n"/>
      <c r="AA300" s="29">
        <f>IF(AND(X300=0,Y300=0,Z300=0),0,IF(AND(X300=0,Y300=0),Z300/1,IF(AND(X300=0,Z300=0),Y300/1,IF(AND(Y300=0,Z300=0),X300/1,IF(X300=0,FLOOR((Y300+Z300)/2,0.1),IF(Y300=0,(X300+Z300)/2,IF(Z300=0,(Y300+X300)/2,FLOOR(((X300+Y300+Z300)/3),0.1))))))))</f>
        <v/>
      </c>
      <c r="AB300" s="21" t="n"/>
      <c r="AC300" s="21" t="n"/>
      <c r="AD300" s="27">
        <f>SUM(AB300:AC300)</f>
        <v/>
      </c>
      <c r="AE300" s="28" t="n"/>
      <c r="AF300" s="28" t="n"/>
      <c r="AG300" s="29">
        <f>IF(AND(AD300=0,AE300=0,AF300=0),0,IF(AND(AD300=0,AE300=0),AF300/1,IF(AND(AD300=0,AF300=0),AE300/1,IF(AND(AE300=0,AF300=0),AD300/1,IF(AD300=0,FLOOR((AE300+AF300)/2,0.1),IF(AE300=0,(AD300+AF300)/2,IF(AF300=0,(AE300+AD300)/2,FLOOR(((AD300+AE300+AF300)/3),0.1))))))))</f>
        <v/>
      </c>
      <c r="AH300" s="21" t="n"/>
      <c r="AI300" s="21" t="n"/>
      <c r="AJ300" s="27">
        <f>SUM(AH300:AI300)</f>
        <v/>
      </c>
      <c r="AK300" s="28" t="n"/>
      <c r="AL300" s="28" t="n"/>
      <c r="AM300" s="29">
        <f>IF(AND(AJ300=0,AK300=0,AL300=0),0,IF(AND(AJ300=0,AK300=0),AL300/1,IF(AND(AJ300=0,AL300=0),AK300/1,IF(AND(AK300=0,AL300=0),AJ300/1,IF(AJ300=0,FLOOR((AK300+AL300)/2,0.1),IF(AK300=0,(AJ300+AL300)/2,IF(AL300=0,(AK300+AJ300)/2,FLOOR(((AJ300+AK300+AL300)/3),0.1))))))))</f>
        <v/>
      </c>
      <c r="AN300" s="21" t="n"/>
      <c r="AO300" s="21" t="n"/>
      <c r="AP300" s="27">
        <f>SUM(AN300:AO300)</f>
        <v/>
      </c>
      <c r="AQ300" s="28" t="n"/>
      <c r="AR300" s="30" t="n"/>
      <c r="AS300" s="29">
        <f>IF(AND(AP300=0,AQ300=0,AR300=0),0,IF(AND(AP300=0,AQ300=0),AR300/1,IF(AND(AP300=0,AR300=0),AQ300/1,IF(AND(AQ300=0,AR300=0),AP300/1,IF(AP300=0,FLOOR((AQ300+AR300)/2,0.1),IF(AQ300=0,(AP300+AR300)/2,IF(AR300=0,(AQ300+AP300)/2,FLOOR(((AP300+AQ300+AR300)/3),0.1))))))))</f>
        <v/>
      </c>
      <c r="AT300" s="21" t="n"/>
      <c r="AU300" s="21" t="n"/>
      <c r="AV300" s="27">
        <f>SUM(AT300:AU300)</f>
        <v/>
      </c>
      <c r="AW300" s="28" t="n"/>
      <c r="AX300" s="30" t="n"/>
      <c r="AY300" s="29">
        <f>IF(AND(AV300=0,AW300=0,AX300=0),0,IF(AND(AV300=0,AW300=0),AX300/1,IF(AND(AV300=0,AX300=0),AW300/1,IF(AND(AW300=0,AX300=0),AV300/1,IF(AV300=0,FLOOR((AW300+AX300)/2,0.1),IF(AW300=0,(AV300+AX300)/2,IF(AX300=0,(AW300+AV300)/2,FLOOR(((AV300+AW300+AX300)/3),0.1))))))))</f>
        <v/>
      </c>
      <c r="AZ300" s="21" t="n"/>
      <c r="BA300" s="21" t="n"/>
      <c r="BB300" s="27">
        <f>SUM(AZ300:BA300)</f>
        <v/>
      </c>
      <c r="BC300" s="28" t="n"/>
      <c r="BD300" s="28" t="n"/>
      <c r="BE300" s="29">
        <f>IF(AND(BB300=0,BC300=0,BD300=0),0,IF(AND(BB300=0,BC300=0),BD300/1,IF(AND(BB300=0,BD300=0),BC300/1,IF(AND(BC300=0,BD300=0),BB300/1,IF(BB300=0,FLOOR((BC300+BD300)/2,0.1),IF(BC300=0,(BB300+BD300)/2,IF(BD300=0,(BC300+BB300)/2,FLOOR(((BB300+BC300+BD300)/3),0.1))))))))</f>
        <v/>
      </c>
      <c r="BF300" s="21" t="n"/>
      <c r="BG300" s="21" t="n"/>
      <c r="BH300" s="27">
        <f>SUM(BF300:BG300)</f>
        <v/>
      </c>
      <c r="BI300" s="28" t="n"/>
      <c r="BJ300" s="28" t="n"/>
      <c r="BK300" s="29">
        <f>IF(AND(BH300=0,BI300=0,BJ300=0),0,IF(AND(BH300=0,BI300=0),BJ300/1,IF(AND(BH300=0,BJ300=0),BI300/1,IF(AND(BI300=0,BJ300=0),BH300/1,IF(BH300=0,FLOOR((BI300+BJ300)/2,0.1),IF(BI300=0,(BH300+BJ300)/2,IF(BJ300=0,(BI300+BH300)/2,FLOOR(((BH300+BI300+BJ300)/3),0.1))))))))</f>
        <v/>
      </c>
      <c r="BL300" s="21" t="n"/>
      <c r="BM300" s="21" t="n"/>
      <c r="BN300" s="27">
        <f>SUM(BL300:BM300)</f>
        <v/>
      </c>
      <c r="BO300" s="28" t="n"/>
      <c r="BP300" s="31" t="n"/>
      <c r="BQ300" s="29">
        <f>IF(AND(BN300=0,BO300=0,BP300=0),0,IF(AND(BN300=0,BO300=0),BP300/1,IF(AND(BN300=0,BP300=0),BO300/1,IF(AND(BO300=0,BP300=0),BN300/1,IF(BN300=0,FLOOR((BO300+BP300)/2,0.1),IF(BO300=0,(BN300+BP300)/2,IF(BP300=0,(BO300+BN300)/2,FLOOR(((BN300+BO300+BP300)/3),0.1))))))))</f>
        <v/>
      </c>
      <c r="BR300" s="21" t="n"/>
      <c r="BS300" s="21" t="n"/>
      <c r="BT300" s="27">
        <f>SUM(BR300:BS300)</f>
        <v/>
      </c>
      <c r="BU300" s="28" t="n"/>
      <c r="BV300" s="31" t="n"/>
      <c r="BW300" s="29">
        <f>IF(AND(BT300=0,BU300=0,BV300=0),0,IF(AND(BT300=0,BU300=0),BV300/1,IF(AND(BT300=0,BV300=0),BU300/1,IF(AND(BU300=0,BV300=0),BT300/1,IF(BT300=0,FLOOR((BU300+BV300)/2,0.1),IF(BU300=0,(BT300+BV300)/2,IF(BV300=0,(BU300+BT300)/2,FLOOR(((BT300+BU300+BV300)/3),0.1))))))))</f>
        <v/>
      </c>
      <c r="BX300" s="21" t="n"/>
      <c r="BY300" s="21" t="n"/>
      <c r="BZ300" s="27">
        <f>SUM(BX300:BY300)</f>
        <v/>
      </c>
      <c r="CA300" s="28" t="n"/>
      <c r="CB300" s="31" t="n"/>
      <c r="CC300" s="29">
        <f>IF(AND(BZ300=0,CA300=0,CB300=0),0,IF(AND(BZ300=0,CA300=0),CB300/1,IF(AND(BZ300=0,CB300=0),CA300/1,IF(AND(CA300=0,CB300=0),BZ300/1,IF(BZ300=0,FLOOR((CA300+CB300)/2,0.1),IF(CA300=0,(BZ300+CB300)/2,IF(CB300=0,(CA300+BZ300)/2,FLOOR(((BZ300+CA300+CB300)/3),0.1))))))))</f>
        <v/>
      </c>
      <c r="CD300" s="21" t="n"/>
      <c r="CE300" s="21" t="n"/>
      <c r="CF300" s="27">
        <f>SUM(CD300:CE300)</f>
        <v/>
      </c>
      <c r="CG300" s="28" t="n"/>
      <c r="CH300" s="31" t="n"/>
      <c r="CI300" s="29">
        <f>IF(AND(CF300=0,CG300=0,CH300=0),0,IF(AND(CF300=0,CG300=0),CH300/1,IF(AND(CF300=0,CH300=0),CG300/1,IF(AND(CG300=0,CH300=0),CF300/1,IF(CF300=0,FLOOR((CG300+CH300)/2,0.1),IF(CG300=0,(CF300+CH300)/2,IF(CH300=0,(CG300+CF300)/2,FLOOR(((CF300+CG300+CH300)/3),0.1))))))))</f>
        <v/>
      </c>
      <c r="CJ300" s="21" t="n"/>
      <c r="CK300" s="21" t="n"/>
      <c r="CL300" s="27">
        <f>SUM(CJ300:CK300)</f>
        <v/>
      </c>
      <c r="CM300" s="28" t="n"/>
      <c r="CN300" s="31" t="n"/>
      <c r="CO300" s="29">
        <f>IF(AND(CL300=0,CM300=0,CN300=0),0,IF(AND(CL300=0,CM300=0),CN300/1,IF(AND(CL300=0,CN300=0),CM300/1,IF(AND(CM300=0,CN300=0),CL300/1,IF(CL300=0,FLOOR((CM300+CN300)/2,0.1),IF(CM300=0,(CL300+CN300)/2,IF(CN300=0,(CM300+CL300)/2,FLOOR(((CL300+CM300+CN300)/3),0.1))))))))</f>
        <v/>
      </c>
      <c r="CP300" s="21" t="n"/>
      <c r="CQ300" s="21" t="n"/>
      <c r="CR300" s="27">
        <f>SUM(CP300:CQ300)</f>
        <v/>
      </c>
      <c r="CS300" s="28" t="n"/>
      <c r="CT300" s="31" t="n"/>
      <c r="CU300" s="29">
        <f>IF(AND(CR300=0,CS300=0,CT300=0),0,IF(AND(CR300=0,CS300=0),CT300/1,IF(AND(CR300=0,CT300=0),CS300/1,IF(AND(CS300=0,CT300=0),CR300/1,IF(CR300=0,FLOOR((CS300+CT300)/2,0.1),IF(CS300=0,(CR300+CT300)/2,IF(CT300=0,(CS300+CR300)/2,FLOOR(((CR300+CS300+CT300)/3),0.1))))))))</f>
        <v/>
      </c>
      <c r="CV300" s="21" t="n"/>
      <c r="CW300" s="21" t="n"/>
      <c r="CX300" s="27">
        <f>SUM(CV300:CW300)</f>
        <v/>
      </c>
      <c r="CY300" s="28" t="n"/>
      <c r="CZ300" s="31" t="n"/>
      <c r="DA300" s="29">
        <f>IF(AND(CX300=0,CY300=0,CZ300=0),0,IF(AND(CX300=0,CY300=0),CZ300/1,IF(AND(CX300=0,CZ300=0),CY300/1,IF(AND(CY300=0,CZ300=0),CX300/1,IF(CX300=0,FLOOR((CY300+CZ300)/2,0.1),IF(CY300=0,(CX300+CZ300)/2,IF(CZ300=0,(CY300+CX300)/2,FLOOR(((CX300+CY300+CZ300)/3),0.1))))))))</f>
        <v/>
      </c>
      <c r="DB300" s="21" t="n"/>
      <c r="DC300" s="21" t="n"/>
      <c r="DD300" s="27">
        <f>SUM(DB300:DC300)</f>
        <v/>
      </c>
      <c r="DE300" s="28" t="n"/>
      <c r="DF300" s="31" t="n"/>
      <c r="DG300" s="29">
        <f>IF(AND(DD300=0,DE300=0,DF300=0),0,IF(AND(DD300=0,DE300=0),DF300/1,IF(AND(DD300=0,DF300=0),DE300/1,IF(AND(DE300=0,DF300=0),DD300/1,IF(DD300=0,FLOOR((DE300+DF300)/2,0.1),IF(DE300=0,(DD300+DF300)/2,IF(DF300=0,(DE300+DD300)/2,FLOOR(((DD300+DE300+DF300)/3),0.1))))))))</f>
        <v/>
      </c>
      <c r="DH300" s="34">
        <f>SUM(O300,U300,AA300,AG300,AM300,AS300,AY300,BE300,BK300,BQ300,BW300,CC300,CI300,CO300,CU300,DA300,DG300)</f>
        <v/>
      </c>
      <c r="DI300" s="39">
        <f>RANK(DH300,DH$4:DH$503)</f>
        <v/>
      </c>
      <c r="DJ300" s="40" t="inlineStr">
        <is>
          <t>CHOOSE RATING</t>
        </is>
      </c>
      <c r="DK300" s="40" t="inlineStr">
        <is>
          <t>CHOOSE RATING</t>
        </is>
      </c>
      <c r="DL300" s="40" t="inlineStr">
        <is>
          <t>CHOOSE RATING</t>
        </is>
      </c>
      <c r="DM300" s="40" t="inlineStr">
        <is>
          <t>CHOOSE RATING</t>
        </is>
      </c>
      <c r="DN300" s="40" t="inlineStr">
        <is>
          <t>CHOOSE RATING</t>
        </is>
      </c>
      <c r="DO300" s="40" t="inlineStr">
        <is>
          <t>CHOOSE RATING</t>
        </is>
      </c>
      <c r="DP300" s="40" t="inlineStr">
        <is>
          <t>CHOOSE RATING</t>
        </is>
      </c>
      <c r="DQ300" s="40" t="inlineStr">
        <is>
          <t>CHOOSE RATING</t>
        </is>
      </c>
      <c r="DR300" s="43" t="inlineStr">
        <is>
          <t>2024/2025</t>
        </is>
      </c>
      <c r="DS300" s="45" t="inlineStr">
        <is>
          <t>THIRD</t>
        </is>
      </c>
      <c r="DT300" s="40" t="inlineStr">
        <is>
          <t>CHOOSE RATING</t>
        </is>
      </c>
      <c r="DU300" s="40" t="inlineStr">
        <is>
          <t>CHOOSE RATING</t>
        </is>
      </c>
      <c r="DV300" s="40" t="inlineStr">
        <is>
          <t>CHOOSE RATING</t>
        </is>
      </c>
      <c r="DW300" s="40" t="inlineStr">
        <is>
          <t>CHOOSE RATING</t>
        </is>
      </c>
      <c r="DX300" s="40" t="inlineStr">
        <is>
          <t>CHOOSE RATING</t>
        </is>
      </c>
      <c r="DY300" s="40" t="inlineStr">
        <is>
          <t>CHOOSE RATING</t>
        </is>
      </c>
      <c r="DZ300" s="53" t="inlineStr">
        <is>
          <t>CHOOSE RATING</t>
        </is>
      </c>
      <c r="EA300" s="54" t="inlineStr">
        <is>
          <t>Add the Tutor's Comment . . .</t>
        </is>
      </c>
      <c r="EB300" s="55" t="inlineStr">
        <is>
          <t>Choose Principals comment</t>
        </is>
      </c>
      <c r="EC300" s="56" t="n"/>
      <c r="ED300" s="57" t="inlineStr">
        <is>
          <t>Next Term Begins on Monday, 22nd September, 2025</t>
        </is>
      </c>
    </row>
    <row r="301" ht="30.6" customHeight="1" s="6">
      <c r="A301" s="18" t="n">
        <v>298</v>
      </c>
      <c r="B301" s="19" t="n"/>
      <c r="C301" s="20" t="n"/>
      <c r="D301" s="128" t="n"/>
      <c r="E301" s="21" t="n"/>
      <c r="F301" s="22" t="n"/>
      <c r="G301" s="22" t="n"/>
      <c r="H301" s="22" t="n"/>
      <c r="I301" s="26">
        <f>G301-H301</f>
        <v/>
      </c>
      <c r="J301" s="21" t="n"/>
      <c r="K301" s="21" t="n"/>
      <c r="L301" s="27">
        <f>SUM(J301:K301)</f>
        <v/>
      </c>
      <c r="M301" s="28" t="n"/>
      <c r="N301" s="28" t="n"/>
      <c r="O301" s="29">
        <f>IF(AND(L301=0,M301=0,N301=0),0,IF(AND(L301=0,M301=0),N301/1,IF(AND(L301=0,N301=0),M301/1,IF(AND(M301=0,N301=0),L301/1,IF(L301=0,FLOOR((M301+N301)/2,0.1),IF(M301=0,(L301+N301)/2,IF(N301=0,(M301+L301)/2,FLOOR(((L301+M301+N301)/3),0.1))))))))</f>
        <v/>
      </c>
      <c r="P301" s="21" t="n"/>
      <c r="Q301" s="21" t="n"/>
      <c r="R301" s="27">
        <f>SUM(P301:Q301)</f>
        <v/>
      </c>
      <c r="S301" s="28" t="n"/>
      <c r="T301" s="28" t="n"/>
      <c r="U301" s="29">
        <f>IF(AND(R301=0,S301=0,T301=0),0,IF(AND(R301=0,S301=0),T301/1,IF(AND(R301=0,T301=0),S301/1,IF(AND(S301=0,T301=0),R301/1,IF(R301=0,FLOOR((S301+T301)/2,0.1),IF(S301=0,(R301+T301)/2,IF(T301=0,(S301+R301)/2,FLOOR(((R301+S301+T301)/3),0.1))))))))</f>
        <v/>
      </c>
      <c r="V301" s="21" t="n"/>
      <c r="W301" s="21" t="n"/>
      <c r="X301" s="27">
        <f>SUM(V301:W301)</f>
        <v/>
      </c>
      <c r="Y301" s="28" t="n"/>
      <c r="Z301" s="28" t="n"/>
      <c r="AA301" s="29">
        <f>IF(AND(X301=0,Y301=0,Z301=0),0,IF(AND(X301=0,Y301=0),Z301/1,IF(AND(X301=0,Z301=0),Y301/1,IF(AND(Y301=0,Z301=0),X301/1,IF(X301=0,FLOOR((Y301+Z301)/2,0.1),IF(Y301=0,(X301+Z301)/2,IF(Z301=0,(Y301+X301)/2,FLOOR(((X301+Y301+Z301)/3),0.1))))))))</f>
        <v/>
      </c>
      <c r="AB301" s="21" t="n"/>
      <c r="AC301" s="21" t="n"/>
      <c r="AD301" s="27">
        <f>SUM(AB301:AC301)</f>
        <v/>
      </c>
      <c r="AE301" s="28" t="n"/>
      <c r="AF301" s="28" t="n"/>
      <c r="AG301" s="29">
        <f>IF(AND(AD301=0,AE301=0,AF301=0),0,IF(AND(AD301=0,AE301=0),AF301/1,IF(AND(AD301=0,AF301=0),AE301/1,IF(AND(AE301=0,AF301=0),AD301/1,IF(AD301=0,FLOOR((AE301+AF301)/2,0.1),IF(AE301=0,(AD301+AF301)/2,IF(AF301=0,(AE301+AD301)/2,FLOOR(((AD301+AE301+AF301)/3),0.1))))))))</f>
        <v/>
      </c>
      <c r="AH301" s="21" t="n"/>
      <c r="AI301" s="21" t="n"/>
      <c r="AJ301" s="27">
        <f>SUM(AH301:AI301)</f>
        <v/>
      </c>
      <c r="AK301" s="28" t="n"/>
      <c r="AL301" s="28" t="n"/>
      <c r="AM301" s="29">
        <f>IF(AND(AJ301=0,AK301=0,AL301=0),0,IF(AND(AJ301=0,AK301=0),AL301/1,IF(AND(AJ301=0,AL301=0),AK301/1,IF(AND(AK301=0,AL301=0),AJ301/1,IF(AJ301=0,FLOOR((AK301+AL301)/2,0.1),IF(AK301=0,(AJ301+AL301)/2,IF(AL301=0,(AK301+AJ301)/2,FLOOR(((AJ301+AK301+AL301)/3),0.1))))))))</f>
        <v/>
      </c>
      <c r="AN301" s="21" t="n"/>
      <c r="AO301" s="21" t="n"/>
      <c r="AP301" s="27">
        <f>SUM(AN301:AO301)</f>
        <v/>
      </c>
      <c r="AQ301" s="28" t="n"/>
      <c r="AR301" s="30" t="n"/>
      <c r="AS301" s="29">
        <f>IF(AND(AP301=0,AQ301=0,AR301=0),0,IF(AND(AP301=0,AQ301=0),AR301/1,IF(AND(AP301=0,AR301=0),AQ301/1,IF(AND(AQ301=0,AR301=0),AP301/1,IF(AP301=0,FLOOR((AQ301+AR301)/2,0.1),IF(AQ301=0,(AP301+AR301)/2,IF(AR301=0,(AQ301+AP301)/2,FLOOR(((AP301+AQ301+AR301)/3),0.1))))))))</f>
        <v/>
      </c>
      <c r="AT301" s="21" t="n"/>
      <c r="AU301" s="21" t="n"/>
      <c r="AV301" s="27">
        <f>SUM(AT301:AU301)</f>
        <v/>
      </c>
      <c r="AW301" s="28" t="n"/>
      <c r="AX301" s="30" t="n"/>
      <c r="AY301" s="29">
        <f>IF(AND(AV301=0,AW301=0,AX301=0),0,IF(AND(AV301=0,AW301=0),AX301/1,IF(AND(AV301=0,AX301=0),AW301/1,IF(AND(AW301=0,AX301=0),AV301/1,IF(AV301=0,FLOOR((AW301+AX301)/2,0.1),IF(AW301=0,(AV301+AX301)/2,IF(AX301=0,(AW301+AV301)/2,FLOOR(((AV301+AW301+AX301)/3),0.1))))))))</f>
        <v/>
      </c>
      <c r="AZ301" s="21" t="n"/>
      <c r="BA301" s="21" t="n"/>
      <c r="BB301" s="27">
        <f>SUM(AZ301:BA301)</f>
        <v/>
      </c>
      <c r="BC301" s="28" t="n"/>
      <c r="BD301" s="28" t="n"/>
      <c r="BE301" s="29">
        <f>IF(AND(BB301=0,BC301=0,BD301=0),0,IF(AND(BB301=0,BC301=0),BD301/1,IF(AND(BB301=0,BD301=0),BC301/1,IF(AND(BC301=0,BD301=0),BB301/1,IF(BB301=0,FLOOR((BC301+BD301)/2,0.1),IF(BC301=0,(BB301+BD301)/2,IF(BD301=0,(BC301+BB301)/2,FLOOR(((BB301+BC301+BD301)/3),0.1))))))))</f>
        <v/>
      </c>
      <c r="BF301" s="21" t="n"/>
      <c r="BG301" s="21" t="n"/>
      <c r="BH301" s="27">
        <f>SUM(BF301:BG301)</f>
        <v/>
      </c>
      <c r="BI301" s="28" t="n"/>
      <c r="BJ301" s="28" t="n"/>
      <c r="BK301" s="29">
        <f>IF(AND(BH301=0,BI301=0,BJ301=0),0,IF(AND(BH301=0,BI301=0),BJ301/1,IF(AND(BH301=0,BJ301=0),BI301/1,IF(AND(BI301=0,BJ301=0),BH301/1,IF(BH301=0,FLOOR((BI301+BJ301)/2,0.1),IF(BI301=0,(BH301+BJ301)/2,IF(BJ301=0,(BI301+BH301)/2,FLOOR(((BH301+BI301+BJ301)/3),0.1))))))))</f>
        <v/>
      </c>
      <c r="BL301" s="21" t="n"/>
      <c r="BM301" s="21" t="n"/>
      <c r="BN301" s="27">
        <f>SUM(BL301:BM301)</f>
        <v/>
      </c>
      <c r="BO301" s="28" t="n"/>
      <c r="BP301" s="31" t="n"/>
      <c r="BQ301" s="29">
        <f>IF(AND(BN301=0,BO301=0,BP301=0),0,IF(AND(BN301=0,BO301=0),BP301/1,IF(AND(BN301=0,BP301=0),BO301/1,IF(AND(BO301=0,BP301=0),BN301/1,IF(BN301=0,FLOOR((BO301+BP301)/2,0.1),IF(BO301=0,(BN301+BP301)/2,IF(BP301=0,(BO301+BN301)/2,FLOOR(((BN301+BO301+BP301)/3),0.1))))))))</f>
        <v/>
      </c>
      <c r="BR301" s="21" t="n"/>
      <c r="BS301" s="21" t="n"/>
      <c r="BT301" s="27">
        <f>SUM(BR301:BS301)</f>
        <v/>
      </c>
      <c r="BU301" s="28" t="n"/>
      <c r="BV301" s="31" t="n"/>
      <c r="BW301" s="29">
        <f>IF(AND(BT301=0,BU301=0,BV301=0),0,IF(AND(BT301=0,BU301=0),BV301/1,IF(AND(BT301=0,BV301=0),BU301/1,IF(AND(BU301=0,BV301=0),BT301/1,IF(BT301=0,FLOOR((BU301+BV301)/2,0.1),IF(BU301=0,(BT301+BV301)/2,IF(BV301=0,(BU301+BT301)/2,FLOOR(((BT301+BU301+BV301)/3),0.1))))))))</f>
        <v/>
      </c>
      <c r="BX301" s="21" t="n"/>
      <c r="BY301" s="21" t="n"/>
      <c r="BZ301" s="27">
        <f>SUM(BX301:BY301)</f>
        <v/>
      </c>
      <c r="CA301" s="28" t="n"/>
      <c r="CB301" s="31" t="n"/>
      <c r="CC301" s="29">
        <f>IF(AND(BZ301=0,CA301=0,CB301=0),0,IF(AND(BZ301=0,CA301=0),CB301/1,IF(AND(BZ301=0,CB301=0),CA301/1,IF(AND(CA301=0,CB301=0),BZ301/1,IF(BZ301=0,FLOOR((CA301+CB301)/2,0.1),IF(CA301=0,(BZ301+CB301)/2,IF(CB301=0,(CA301+BZ301)/2,FLOOR(((BZ301+CA301+CB301)/3),0.1))))))))</f>
        <v/>
      </c>
      <c r="CD301" s="21" t="n"/>
      <c r="CE301" s="21" t="n"/>
      <c r="CF301" s="27">
        <f>SUM(CD301:CE301)</f>
        <v/>
      </c>
      <c r="CG301" s="28" t="n"/>
      <c r="CH301" s="31" t="n"/>
      <c r="CI301" s="29">
        <f>IF(AND(CF301=0,CG301=0,CH301=0),0,IF(AND(CF301=0,CG301=0),CH301/1,IF(AND(CF301=0,CH301=0),CG301/1,IF(AND(CG301=0,CH301=0),CF301/1,IF(CF301=0,FLOOR((CG301+CH301)/2,0.1),IF(CG301=0,(CF301+CH301)/2,IF(CH301=0,(CG301+CF301)/2,FLOOR(((CF301+CG301+CH301)/3),0.1))))))))</f>
        <v/>
      </c>
      <c r="CJ301" s="21" t="n"/>
      <c r="CK301" s="21" t="n"/>
      <c r="CL301" s="27">
        <f>SUM(CJ301:CK301)</f>
        <v/>
      </c>
      <c r="CM301" s="28" t="n"/>
      <c r="CN301" s="31" t="n"/>
      <c r="CO301" s="29">
        <f>IF(AND(CL301=0,CM301=0,CN301=0),0,IF(AND(CL301=0,CM301=0),CN301/1,IF(AND(CL301=0,CN301=0),CM301/1,IF(AND(CM301=0,CN301=0),CL301/1,IF(CL301=0,FLOOR((CM301+CN301)/2,0.1),IF(CM301=0,(CL301+CN301)/2,IF(CN301=0,(CM301+CL301)/2,FLOOR(((CL301+CM301+CN301)/3),0.1))))))))</f>
        <v/>
      </c>
      <c r="CP301" s="21" t="n"/>
      <c r="CQ301" s="21" t="n"/>
      <c r="CR301" s="27">
        <f>SUM(CP301:CQ301)</f>
        <v/>
      </c>
      <c r="CS301" s="28" t="n"/>
      <c r="CT301" s="31" t="n"/>
      <c r="CU301" s="29">
        <f>IF(AND(CR301=0,CS301=0,CT301=0),0,IF(AND(CR301=0,CS301=0),CT301/1,IF(AND(CR301=0,CT301=0),CS301/1,IF(AND(CS301=0,CT301=0),CR301/1,IF(CR301=0,FLOOR((CS301+CT301)/2,0.1),IF(CS301=0,(CR301+CT301)/2,IF(CT301=0,(CS301+CR301)/2,FLOOR(((CR301+CS301+CT301)/3),0.1))))))))</f>
        <v/>
      </c>
      <c r="CV301" s="21" t="n"/>
      <c r="CW301" s="21" t="n"/>
      <c r="CX301" s="27">
        <f>SUM(CV301:CW301)</f>
        <v/>
      </c>
      <c r="CY301" s="28" t="n"/>
      <c r="CZ301" s="31" t="n"/>
      <c r="DA301" s="29">
        <f>IF(AND(CX301=0,CY301=0,CZ301=0),0,IF(AND(CX301=0,CY301=0),CZ301/1,IF(AND(CX301=0,CZ301=0),CY301/1,IF(AND(CY301=0,CZ301=0),CX301/1,IF(CX301=0,FLOOR((CY301+CZ301)/2,0.1),IF(CY301=0,(CX301+CZ301)/2,IF(CZ301=0,(CY301+CX301)/2,FLOOR(((CX301+CY301+CZ301)/3),0.1))))))))</f>
        <v/>
      </c>
      <c r="DB301" s="21" t="n"/>
      <c r="DC301" s="21" t="n"/>
      <c r="DD301" s="27">
        <f>SUM(DB301:DC301)</f>
        <v/>
      </c>
      <c r="DE301" s="28" t="n"/>
      <c r="DF301" s="31" t="n"/>
      <c r="DG301" s="29">
        <f>IF(AND(DD301=0,DE301=0,DF301=0),0,IF(AND(DD301=0,DE301=0),DF301/1,IF(AND(DD301=0,DF301=0),DE301/1,IF(AND(DE301=0,DF301=0),DD301/1,IF(DD301=0,FLOOR((DE301+DF301)/2,0.1),IF(DE301=0,(DD301+DF301)/2,IF(DF301=0,(DE301+DD301)/2,FLOOR(((DD301+DE301+DF301)/3),0.1))))))))</f>
        <v/>
      </c>
      <c r="DH301" s="34">
        <f>SUM(O301,U301,AA301,AG301,AM301,AS301,AY301,BE301,BK301,BQ301,BW301,CC301,CI301,CO301,CU301,DA301,DG301)</f>
        <v/>
      </c>
      <c r="DI301" s="39">
        <f>RANK(DH301,DH$4:DH$503)</f>
        <v/>
      </c>
      <c r="DJ301" s="40" t="inlineStr">
        <is>
          <t>CHOOSE RATING</t>
        </is>
      </c>
      <c r="DK301" s="40" t="inlineStr">
        <is>
          <t>CHOOSE RATING</t>
        </is>
      </c>
      <c r="DL301" s="40" t="inlineStr">
        <is>
          <t>CHOOSE RATING</t>
        </is>
      </c>
      <c r="DM301" s="40" t="inlineStr">
        <is>
          <t>CHOOSE RATING</t>
        </is>
      </c>
      <c r="DN301" s="40" t="inlineStr">
        <is>
          <t>CHOOSE RATING</t>
        </is>
      </c>
      <c r="DO301" s="40" t="inlineStr">
        <is>
          <t>CHOOSE RATING</t>
        </is>
      </c>
      <c r="DP301" s="40" t="inlineStr">
        <is>
          <t>CHOOSE RATING</t>
        </is>
      </c>
      <c r="DQ301" s="40" t="inlineStr">
        <is>
          <t>CHOOSE RATING</t>
        </is>
      </c>
      <c r="DR301" s="43" t="inlineStr">
        <is>
          <t>2024/2025</t>
        </is>
      </c>
      <c r="DS301" s="45" t="inlineStr">
        <is>
          <t>THIRD</t>
        </is>
      </c>
      <c r="DT301" s="40" t="inlineStr">
        <is>
          <t>CHOOSE RATING</t>
        </is>
      </c>
      <c r="DU301" s="40" t="inlineStr">
        <is>
          <t>CHOOSE RATING</t>
        </is>
      </c>
      <c r="DV301" s="40" t="inlineStr">
        <is>
          <t>CHOOSE RATING</t>
        </is>
      </c>
      <c r="DW301" s="40" t="inlineStr">
        <is>
          <t>CHOOSE RATING</t>
        </is>
      </c>
      <c r="DX301" s="40" t="inlineStr">
        <is>
          <t>CHOOSE RATING</t>
        </is>
      </c>
      <c r="DY301" s="40" t="inlineStr">
        <is>
          <t>CHOOSE RATING</t>
        </is>
      </c>
      <c r="DZ301" s="53" t="inlineStr">
        <is>
          <t>CHOOSE RATING</t>
        </is>
      </c>
      <c r="EA301" s="54" t="inlineStr">
        <is>
          <t>Add the Tutor's Comment . . .</t>
        </is>
      </c>
      <c r="EB301" s="55" t="inlineStr">
        <is>
          <t>Choose Principals comment</t>
        </is>
      </c>
      <c r="EC301" s="56" t="n"/>
      <c r="ED301" s="57" t="inlineStr">
        <is>
          <t>Next Term Begins on Monday, 22nd September, 2025</t>
        </is>
      </c>
    </row>
    <row r="302" ht="30.6" customHeight="1" s="6">
      <c r="A302" s="18" t="n">
        <v>299</v>
      </c>
      <c r="B302" s="19" t="n"/>
      <c r="C302" s="20" t="n"/>
      <c r="D302" s="128" t="n"/>
      <c r="E302" s="21" t="n"/>
      <c r="F302" s="22" t="n"/>
      <c r="G302" s="22" t="n"/>
      <c r="H302" s="22" t="n"/>
      <c r="I302" s="26">
        <f>G302-H302</f>
        <v/>
      </c>
      <c r="J302" s="21" t="n"/>
      <c r="K302" s="21" t="n"/>
      <c r="L302" s="27">
        <f>SUM(J302:K302)</f>
        <v/>
      </c>
      <c r="M302" s="28" t="n"/>
      <c r="N302" s="28" t="n"/>
      <c r="O302" s="29">
        <f>IF(AND(L302=0,M302=0,N302=0),0,IF(AND(L302=0,M302=0),N302/1,IF(AND(L302=0,N302=0),M302/1,IF(AND(M302=0,N302=0),L302/1,IF(L302=0,FLOOR((M302+N302)/2,0.1),IF(M302=0,(L302+N302)/2,IF(N302=0,(M302+L302)/2,FLOOR(((L302+M302+N302)/3),0.1))))))))</f>
        <v/>
      </c>
      <c r="P302" s="21" t="n"/>
      <c r="Q302" s="21" t="n"/>
      <c r="R302" s="27">
        <f>SUM(P302:Q302)</f>
        <v/>
      </c>
      <c r="S302" s="28" t="n"/>
      <c r="T302" s="28" t="n"/>
      <c r="U302" s="29">
        <f>IF(AND(R302=0,S302=0,T302=0),0,IF(AND(R302=0,S302=0),T302/1,IF(AND(R302=0,T302=0),S302/1,IF(AND(S302=0,T302=0),R302/1,IF(R302=0,FLOOR((S302+T302)/2,0.1),IF(S302=0,(R302+T302)/2,IF(T302=0,(S302+R302)/2,FLOOR(((R302+S302+T302)/3),0.1))))))))</f>
        <v/>
      </c>
      <c r="V302" s="21" t="n"/>
      <c r="W302" s="21" t="n"/>
      <c r="X302" s="27">
        <f>SUM(V302:W302)</f>
        <v/>
      </c>
      <c r="Y302" s="28" t="n"/>
      <c r="Z302" s="28" t="n"/>
      <c r="AA302" s="29">
        <f>IF(AND(X302=0,Y302=0,Z302=0),0,IF(AND(X302=0,Y302=0),Z302/1,IF(AND(X302=0,Z302=0),Y302/1,IF(AND(Y302=0,Z302=0),X302/1,IF(X302=0,FLOOR((Y302+Z302)/2,0.1),IF(Y302=0,(X302+Z302)/2,IF(Z302=0,(Y302+X302)/2,FLOOR(((X302+Y302+Z302)/3),0.1))))))))</f>
        <v/>
      </c>
      <c r="AB302" s="21" t="n"/>
      <c r="AC302" s="21" t="n"/>
      <c r="AD302" s="27">
        <f>SUM(AB302:AC302)</f>
        <v/>
      </c>
      <c r="AE302" s="28" t="n"/>
      <c r="AF302" s="28" t="n"/>
      <c r="AG302" s="29">
        <f>IF(AND(AD302=0,AE302=0,AF302=0),0,IF(AND(AD302=0,AE302=0),AF302/1,IF(AND(AD302=0,AF302=0),AE302/1,IF(AND(AE302=0,AF302=0),AD302/1,IF(AD302=0,FLOOR((AE302+AF302)/2,0.1),IF(AE302=0,(AD302+AF302)/2,IF(AF302=0,(AE302+AD302)/2,FLOOR(((AD302+AE302+AF302)/3),0.1))))))))</f>
        <v/>
      </c>
      <c r="AH302" s="21" t="n"/>
      <c r="AI302" s="21" t="n"/>
      <c r="AJ302" s="27">
        <f>SUM(AH302:AI302)</f>
        <v/>
      </c>
      <c r="AK302" s="28" t="n"/>
      <c r="AL302" s="28" t="n"/>
      <c r="AM302" s="29">
        <f>IF(AND(AJ302=0,AK302=0,AL302=0),0,IF(AND(AJ302=0,AK302=0),AL302/1,IF(AND(AJ302=0,AL302=0),AK302/1,IF(AND(AK302=0,AL302=0),AJ302/1,IF(AJ302=0,FLOOR((AK302+AL302)/2,0.1),IF(AK302=0,(AJ302+AL302)/2,IF(AL302=0,(AK302+AJ302)/2,FLOOR(((AJ302+AK302+AL302)/3),0.1))))))))</f>
        <v/>
      </c>
      <c r="AN302" s="21" t="n"/>
      <c r="AO302" s="21" t="n"/>
      <c r="AP302" s="27">
        <f>SUM(AN302:AO302)</f>
        <v/>
      </c>
      <c r="AQ302" s="28" t="n"/>
      <c r="AR302" s="30" t="n"/>
      <c r="AS302" s="29">
        <f>IF(AND(AP302=0,AQ302=0,AR302=0),0,IF(AND(AP302=0,AQ302=0),AR302/1,IF(AND(AP302=0,AR302=0),AQ302/1,IF(AND(AQ302=0,AR302=0),AP302/1,IF(AP302=0,FLOOR((AQ302+AR302)/2,0.1),IF(AQ302=0,(AP302+AR302)/2,IF(AR302=0,(AQ302+AP302)/2,FLOOR(((AP302+AQ302+AR302)/3),0.1))))))))</f>
        <v/>
      </c>
      <c r="AT302" s="21" t="n"/>
      <c r="AU302" s="21" t="n"/>
      <c r="AV302" s="27">
        <f>SUM(AT302:AU302)</f>
        <v/>
      </c>
      <c r="AW302" s="28" t="n"/>
      <c r="AX302" s="30" t="n"/>
      <c r="AY302" s="29">
        <f>IF(AND(AV302=0,AW302=0,AX302=0),0,IF(AND(AV302=0,AW302=0),AX302/1,IF(AND(AV302=0,AX302=0),AW302/1,IF(AND(AW302=0,AX302=0),AV302/1,IF(AV302=0,FLOOR((AW302+AX302)/2,0.1),IF(AW302=0,(AV302+AX302)/2,IF(AX302=0,(AW302+AV302)/2,FLOOR(((AV302+AW302+AX302)/3),0.1))))))))</f>
        <v/>
      </c>
      <c r="AZ302" s="21" t="n"/>
      <c r="BA302" s="21" t="n"/>
      <c r="BB302" s="27">
        <f>SUM(AZ302:BA302)</f>
        <v/>
      </c>
      <c r="BC302" s="28" t="n"/>
      <c r="BD302" s="28" t="n"/>
      <c r="BE302" s="29">
        <f>IF(AND(BB302=0,BC302=0,BD302=0),0,IF(AND(BB302=0,BC302=0),BD302/1,IF(AND(BB302=0,BD302=0),BC302/1,IF(AND(BC302=0,BD302=0),BB302/1,IF(BB302=0,FLOOR((BC302+BD302)/2,0.1),IF(BC302=0,(BB302+BD302)/2,IF(BD302=0,(BC302+BB302)/2,FLOOR(((BB302+BC302+BD302)/3),0.1))))))))</f>
        <v/>
      </c>
      <c r="BF302" s="21" t="n"/>
      <c r="BG302" s="21" t="n"/>
      <c r="BH302" s="27">
        <f>SUM(BF302:BG302)</f>
        <v/>
      </c>
      <c r="BI302" s="28" t="n"/>
      <c r="BJ302" s="28" t="n"/>
      <c r="BK302" s="29">
        <f>IF(AND(BH302=0,BI302=0,BJ302=0),0,IF(AND(BH302=0,BI302=0),BJ302/1,IF(AND(BH302=0,BJ302=0),BI302/1,IF(AND(BI302=0,BJ302=0),BH302/1,IF(BH302=0,FLOOR((BI302+BJ302)/2,0.1),IF(BI302=0,(BH302+BJ302)/2,IF(BJ302=0,(BI302+BH302)/2,FLOOR(((BH302+BI302+BJ302)/3),0.1))))))))</f>
        <v/>
      </c>
      <c r="BL302" s="21" t="n"/>
      <c r="BM302" s="21" t="n"/>
      <c r="BN302" s="27">
        <f>SUM(BL302:BM302)</f>
        <v/>
      </c>
      <c r="BO302" s="28" t="n"/>
      <c r="BP302" s="31" t="n"/>
      <c r="BQ302" s="29">
        <f>IF(AND(BN302=0,BO302=0,BP302=0),0,IF(AND(BN302=0,BO302=0),BP302/1,IF(AND(BN302=0,BP302=0),BO302/1,IF(AND(BO302=0,BP302=0),BN302/1,IF(BN302=0,FLOOR((BO302+BP302)/2,0.1),IF(BO302=0,(BN302+BP302)/2,IF(BP302=0,(BO302+BN302)/2,FLOOR(((BN302+BO302+BP302)/3),0.1))))))))</f>
        <v/>
      </c>
      <c r="BR302" s="21" t="n"/>
      <c r="BS302" s="21" t="n"/>
      <c r="BT302" s="27">
        <f>SUM(BR302:BS302)</f>
        <v/>
      </c>
      <c r="BU302" s="28" t="n"/>
      <c r="BV302" s="31" t="n"/>
      <c r="BW302" s="29">
        <f>IF(AND(BT302=0,BU302=0,BV302=0),0,IF(AND(BT302=0,BU302=0),BV302/1,IF(AND(BT302=0,BV302=0),BU302/1,IF(AND(BU302=0,BV302=0),BT302/1,IF(BT302=0,FLOOR((BU302+BV302)/2,0.1),IF(BU302=0,(BT302+BV302)/2,IF(BV302=0,(BU302+BT302)/2,FLOOR(((BT302+BU302+BV302)/3),0.1))))))))</f>
        <v/>
      </c>
      <c r="BX302" s="21" t="n"/>
      <c r="BY302" s="21" t="n"/>
      <c r="BZ302" s="27">
        <f>SUM(BX302:BY302)</f>
        <v/>
      </c>
      <c r="CA302" s="28" t="n"/>
      <c r="CB302" s="31" t="n"/>
      <c r="CC302" s="29">
        <f>IF(AND(BZ302=0,CA302=0,CB302=0),0,IF(AND(BZ302=0,CA302=0),CB302/1,IF(AND(BZ302=0,CB302=0),CA302/1,IF(AND(CA302=0,CB302=0),BZ302/1,IF(BZ302=0,FLOOR((CA302+CB302)/2,0.1),IF(CA302=0,(BZ302+CB302)/2,IF(CB302=0,(CA302+BZ302)/2,FLOOR(((BZ302+CA302+CB302)/3),0.1))))))))</f>
        <v/>
      </c>
      <c r="CD302" s="21" t="n"/>
      <c r="CE302" s="21" t="n"/>
      <c r="CF302" s="27">
        <f>SUM(CD302:CE302)</f>
        <v/>
      </c>
      <c r="CG302" s="28" t="n"/>
      <c r="CH302" s="31" t="n"/>
      <c r="CI302" s="29">
        <f>IF(AND(CF302=0,CG302=0,CH302=0),0,IF(AND(CF302=0,CG302=0),CH302/1,IF(AND(CF302=0,CH302=0),CG302/1,IF(AND(CG302=0,CH302=0),CF302/1,IF(CF302=0,FLOOR((CG302+CH302)/2,0.1),IF(CG302=0,(CF302+CH302)/2,IF(CH302=0,(CG302+CF302)/2,FLOOR(((CF302+CG302+CH302)/3),0.1))))))))</f>
        <v/>
      </c>
      <c r="CJ302" s="21" t="n"/>
      <c r="CK302" s="21" t="n"/>
      <c r="CL302" s="27">
        <f>SUM(CJ302:CK302)</f>
        <v/>
      </c>
      <c r="CM302" s="28" t="n"/>
      <c r="CN302" s="31" t="n"/>
      <c r="CO302" s="29">
        <f>IF(AND(CL302=0,CM302=0,CN302=0),0,IF(AND(CL302=0,CM302=0),CN302/1,IF(AND(CL302=0,CN302=0),CM302/1,IF(AND(CM302=0,CN302=0),CL302/1,IF(CL302=0,FLOOR((CM302+CN302)/2,0.1),IF(CM302=0,(CL302+CN302)/2,IF(CN302=0,(CM302+CL302)/2,FLOOR(((CL302+CM302+CN302)/3),0.1))))))))</f>
        <v/>
      </c>
      <c r="CP302" s="21" t="n"/>
      <c r="CQ302" s="21" t="n"/>
      <c r="CR302" s="27">
        <f>SUM(CP302:CQ302)</f>
        <v/>
      </c>
      <c r="CS302" s="28" t="n"/>
      <c r="CT302" s="31" t="n"/>
      <c r="CU302" s="29">
        <f>IF(AND(CR302=0,CS302=0,CT302=0),0,IF(AND(CR302=0,CS302=0),CT302/1,IF(AND(CR302=0,CT302=0),CS302/1,IF(AND(CS302=0,CT302=0),CR302/1,IF(CR302=0,FLOOR((CS302+CT302)/2,0.1),IF(CS302=0,(CR302+CT302)/2,IF(CT302=0,(CS302+CR302)/2,FLOOR(((CR302+CS302+CT302)/3),0.1))))))))</f>
        <v/>
      </c>
      <c r="CV302" s="21" t="n"/>
      <c r="CW302" s="21" t="n"/>
      <c r="CX302" s="27">
        <f>SUM(CV302:CW302)</f>
        <v/>
      </c>
      <c r="CY302" s="28" t="n"/>
      <c r="CZ302" s="31" t="n"/>
      <c r="DA302" s="29">
        <f>IF(AND(CX302=0,CY302=0,CZ302=0),0,IF(AND(CX302=0,CY302=0),CZ302/1,IF(AND(CX302=0,CZ302=0),CY302/1,IF(AND(CY302=0,CZ302=0),CX302/1,IF(CX302=0,FLOOR((CY302+CZ302)/2,0.1),IF(CY302=0,(CX302+CZ302)/2,IF(CZ302=0,(CY302+CX302)/2,FLOOR(((CX302+CY302+CZ302)/3),0.1))))))))</f>
        <v/>
      </c>
      <c r="DB302" s="21" t="n"/>
      <c r="DC302" s="21" t="n"/>
      <c r="DD302" s="27">
        <f>SUM(DB302:DC302)</f>
        <v/>
      </c>
      <c r="DE302" s="28" t="n"/>
      <c r="DF302" s="31" t="n"/>
      <c r="DG302" s="29">
        <f>IF(AND(DD302=0,DE302=0,DF302=0),0,IF(AND(DD302=0,DE302=0),DF302/1,IF(AND(DD302=0,DF302=0),DE302/1,IF(AND(DE302=0,DF302=0),DD302/1,IF(DD302=0,FLOOR((DE302+DF302)/2,0.1),IF(DE302=0,(DD302+DF302)/2,IF(DF302=0,(DE302+DD302)/2,FLOOR(((DD302+DE302+DF302)/3),0.1))))))))</f>
        <v/>
      </c>
      <c r="DH302" s="34">
        <f>SUM(O302,U302,AA302,AG302,AM302,AS302,AY302,BE302,BK302,BQ302,BW302,CC302,CI302,CO302,CU302,DA302,DG302)</f>
        <v/>
      </c>
      <c r="DI302" s="39">
        <f>RANK(DH302,DH$4:DH$503)</f>
        <v/>
      </c>
      <c r="DJ302" s="40" t="inlineStr">
        <is>
          <t>CHOOSE RATING</t>
        </is>
      </c>
      <c r="DK302" s="40" t="inlineStr">
        <is>
          <t>CHOOSE RATING</t>
        </is>
      </c>
      <c r="DL302" s="40" t="inlineStr">
        <is>
          <t>CHOOSE RATING</t>
        </is>
      </c>
      <c r="DM302" s="40" t="inlineStr">
        <is>
          <t>CHOOSE RATING</t>
        </is>
      </c>
      <c r="DN302" s="40" t="inlineStr">
        <is>
          <t>CHOOSE RATING</t>
        </is>
      </c>
      <c r="DO302" s="40" t="inlineStr">
        <is>
          <t>CHOOSE RATING</t>
        </is>
      </c>
      <c r="DP302" s="40" t="inlineStr">
        <is>
          <t>CHOOSE RATING</t>
        </is>
      </c>
      <c r="DQ302" s="40" t="inlineStr">
        <is>
          <t>CHOOSE RATING</t>
        </is>
      </c>
      <c r="DR302" s="43" t="inlineStr">
        <is>
          <t>2024/2025</t>
        </is>
      </c>
      <c r="DS302" s="45" t="inlineStr">
        <is>
          <t>THIRD</t>
        </is>
      </c>
      <c r="DT302" s="40" t="inlineStr">
        <is>
          <t>CHOOSE RATING</t>
        </is>
      </c>
      <c r="DU302" s="40" t="inlineStr">
        <is>
          <t>CHOOSE RATING</t>
        </is>
      </c>
      <c r="DV302" s="40" t="inlineStr">
        <is>
          <t>CHOOSE RATING</t>
        </is>
      </c>
      <c r="DW302" s="40" t="inlineStr">
        <is>
          <t>CHOOSE RATING</t>
        </is>
      </c>
      <c r="DX302" s="40" t="inlineStr">
        <is>
          <t>CHOOSE RATING</t>
        </is>
      </c>
      <c r="DY302" s="40" t="inlineStr">
        <is>
          <t>CHOOSE RATING</t>
        </is>
      </c>
      <c r="DZ302" s="53" t="inlineStr">
        <is>
          <t>CHOOSE RATING</t>
        </is>
      </c>
      <c r="EA302" s="54" t="inlineStr">
        <is>
          <t>Add the Tutor's Comment . . .</t>
        </is>
      </c>
      <c r="EB302" s="55" t="inlineStr">
        <is>
          <t>Choose Principals comment</t>
        </is>
      </c>
      <c r="EC302" s="56" t="n"/>
      <c r="ED302" s="57" t="inlineStr">
        <is>
          <t>Next Term Begins on Monday, 22nd September, 2025</t>
        </is>
      </c>
    </row>
    <row r="303" ht="30.6" customHeight="1" s="6">
      <c r="A303" s="18" t="n">
        <v>300</v>
      </c>
      <c r="B303" s="19" t="n"/>
      <c r="C303" s="20" t="n"/>
      <c r="D303" s="128" t="n"/>
      <c r="E303" s="21" t="n"/>
      <c r="F303" s="22" t="n"/>
      <c r="G303" s="22" t="n"/>
      <c r="H303" s="22" t="n"/>
      <c r="I303" s="26">
        <f>G303-H303</f>
        <v/>
      </c>
      <c r="J303" s="21" t="n"/>
      <c r="K303" s="21" t="n"/>
      <c r="L303" s="27">
        <f>SUM(J303:K303)</f>
        <v/>
      </c>
      <c r="M303" s="28" t="n"/>
      <c r="N303" s="28" t="n"/>
      <c r="O303" s="29">
        <f>IF(AND(L303=0,M303=0,N303=0),0,IF(AND(L303=0,M303=0),N303/1,IF(AND(L303=0,N303=0),M303/1,IF(AND(M303=0,N303=0),L303/1,IF(L303=0,FLOOR((M303+N303)/2,0.1),IF(M303=0,(L303+N303)/2,IF(N303=0,(M303+L303)/2,FLOOR(((L303+M303+N303)/3),0.1))))))))</f>
        <v/>
      </c>
      <c r="P303" s="21" t="n"/>
      <c r="Q303" s="21" t="n"/>
      <c r="R303" s="27">
        <f>SUM(P303:Q303)</f>
        <v/>
      </c>
      <c r="S303" s="28" t="n"/>
      <c r="T303" s="28" t="n"/>
      <c r="U303" s="29">
        <f>IF(AND(R303=0,S303=0,T303=0),0,IF(AND(R303=0,S303=0),T303/1,IF(AND(R303=0,T303=0),S303/1,IF(AND(S303=0,T303=0),R303/1,IF(R303=0,FLOOR((S303+T303)/2,0.1),IF(S303=0,(R303+T303)/2,IF(T303=0,(S303+R303)/2,FLOOR(((R303+S303+T303)/3),0.1))))))))</f>
        <v/>
      </c>
      <c r="V303" s="21" t="n"/>
      <c r="W303" s="21" t="n"/>
      <c r="X303" s="27">
        <f>SUM(V303:W303)</f>
        <v/>
      </c>
      <c r="Y303" s="28" t="n"/>
      <c r="Z303" s="28" t="n"/>
      <c r="AA303" s="29">
        <f>IF(AND(X303=0,Y303=0,Z303=0),0,IF(AND(X303=0,Y303=0),Z303/1,IF(AND(X303=0,Z303=0),Y303/1,IF(AND(Y303=0,Z303=0),X303/1,IF(X303=0,FLOOR((Y303+Z303)/2,0.1),IF(Y303=0,(X303+Z303)/2,IF(Z303=0,(Y303+X303)/2,FLOOR(((X303+Y303+Z303)/3),0.1))))))))</f>
        <v/>
      </c>
      <c r="AB303" s="21" t="n"/>
      <c r="AC303" s="21" t="n"/>
      <c r="AD303" s="27">
        <f>SUM(AB303:AC303)</f>
        <v/>
      </c>
      <c r="AE303" s="28" t="n"/>
      <c r="AF303" s="28" t="n"/>
      <c r="AG303" s="29">
        <f>IF(AND(AD303=0,AE303=0,AF303=0),0,IF(AND(AD303=0,AE303=0),AF303/1,IF(AND(AD303=0,AF303=0),AE303/1,IF(AND(AE303=0,AF303=0),AD303/1,IF(AD303=0,FLOOR((AE303+AF303)/2,0.1),IF(AE303=0,(AD303+AF303)/2,IF(AF303=0,(AE303+AD303)/2,FLOOR(((AD303+AE303+AF303)/3),0.1))))))))</f>
        <v/>
      </c>
      <c r="AH303" s="21" t="n"/>
      <c r="AI303" s="21" t="n"/>
      <c r="AJ303" s="27">
        <f>SUM(AH303:AI303)</f>
        <v/>
      </c>
      <c r="AK303" s="28" t="n"/>
      <c r="AL303" s="28" t="n"/>
      <c r="AM303" s="29">
        <f>IF(AND(AJ303=0,AK303=0,AL303=0),0,IF(AND(AJ303=0,AK303=0),AL303/1,IF(AND(AJ303=0,AL303=0),AK303/1,IF(AND(AK303=0,AL303=0),AJ303/1,IF(AJ303=0,FLOOR((AK303+AL303)/2,0.1),IF(AK303=0,(AJ303+AL303)/2,IF(AL303=0,(AK303+AJ303)/2,FLOOR(((AJ303+AK303+AL303)/3),0.1))))))))</f>
        <v/>
      </c>
      <c r="AN303" s="21" t="n"/>
      <c r="AO303" s="21" t="n"/>
      <c r="AP303" s="27">
        <f>SUM(AN303:AO303)</f>
        <v/>
      </c>
      <c r="AQ303" s="28" t="n"/>
      <c r="AR303" s="30" t="n"/>
      <c r="AS303" s="29">
        <f>IF(AND(AP303=0,AQ303=0,AR303=0),0,IF(AND(AP303=0,AQ303=0),AR303/1,IF(AND(AP303=0,AR303=0),AQ303/1,IF(AND(AQ303=0,AR303=0),AP303/1,IF(AP303=0,FLOOR((AQ303+AR303)/2,0.1),IF(AQ303=0,(AP303+AR303)/2,IF(AR303=0,(AQ303+AP303)/2,FLOOR(((AP303+AQ303+AR303)/3),0.1))))))))</f>
        <v/>
      </c>
      <c r="AT303" s="21" t="n"/>
      <c r="AU303" s="21" t="n"/>
      <c r="AV303" s="27">
        <f>SUM(AT303:AU303)</f>
        <v/>
      </c>
      <c r="AW303" s="28" t="n"/>
      <c r="AX303" s="30" t="n"/>
      <c r="AY303" s="29">
        <f>IF(AND(AV303=0,AW303=0,AX303=0),0,IF(AND(AV303=0,AW303=0),AX303/1,IF(AND(AV303=0,AX303=0),AW303/1,IF(AND(AW303=0,AX303=0),AV303/1,IF(AV303=0,FLOOR((AW303+AX303)/2,0.1),IF(AW303=0,(AV303+AX303)/2,IF(AX303=0,(AW303+AV303)/2,FLOOR(((AV303+AW303+AX303)/3),0.1))))))))</f>
        <v/>
      </c>
      <c r="AZ303" s="21" t="n"/>
      <c r="BA303" s="21" t="n"/>
      <c r="BB303" s="27">
        <f>SUM(AZ303:BA303)</f>
        <v/>
      </c>
      <c r="BC303" s="28" t="n"/>
      <c r="BD303" s="28" t="n"/>
      <c r="BE303" s="29">
        <f>IF(AND(BB303=0,BC303=0,BD303=0),0,IF(AND(BB303=0,BC303=0),BD303/1,IF(AND(BB303=0,BD303=0),BC303/1,IF(AND(BC303=0,BD303=0),BB303/1,IF(BB303=0,FLOOR((BC303+BD303)/2,0.1),IF(BC303=0,(BB303+BD303)/2,IF(BD303=0,(BC303+BB303)/2,FLOOR(((BB303+BC303+BD303)/3),0.1))))))))</f>
        <v/>
      </c>
      <c r="BF303" s="21" t="n"/>
      <c r="BG303" s="21" t="n"/>
      <c r="BH303" s="27">
        <f>SUM(BF303:BG303)</f>
        <v/>
      </c>
      <c r="BI303" s="28" t="n"/>
      <c r="BJ303" s="28" t="n"/>
      <c r="BK303" s="29">
        <f>IF(AND(BH303=0,BI303=0,BJ303=0),0,IF(AND(BH303=0,BI303=0),BJ303/1,IF(AND(BH303=0,BJ303=0),BI303/1,IF(AND(BI303=0,BJ303=0),BH303/1,IF(BH303=0,FLOOR((BI303+BJ303)/2,0.1),IF(BI303=0,(BH303+BJ303)/2,IF(BJ303=0,(BI303+BH303)/2,FLOOR(((BH303+BI303+BJ303)/3),0.1))))))))</f>
        <v/>
      </c>
      <c r="BL303" s="21" t="n"/>
      <c r="BM303" s="21" t="n"/>
      <c r="BN303" s="27">
        <f>SUM(BL303:BM303)</f>
        <v/>
      </c>
      <c r="BO303" s="28" t="n"/>
      <c r="BP303" s="31" t="n"/>
      <c r="BQ303" s="29">
        <f>IF(AND(BN303=0,BO303=0,BP303=0),0,IF(AND(BN303=0,BO303=0),BP303/1,IF(AND(BN303=0,BP303=0),BO303/1,IF(AND(BO303=0,BP303=0),BN303/1,IF(BN303=0,FLOOR((BO303+BP303)/2,0.1),IF(BO303=0,(BN303+BP303)/2,IF(BP303=0,(BO303+BN303)/2,FLOOR(((BN303+BO303+BP303)/3),0.1))))))))</f>
        <v/>
      </c>
      <c r="BR303" s="21" t="n"/>
      <c r="BS303" s="21" t="n"/>
      <c r="BT303" s="27">
        <f>SUM(BR303:BS303)</f>
        <v/>
      </c>
      <c r="BU303" s="28" t="n"/>
      <c r="BV303" s="31" t="n"/>
      <c r="BW303" s="29">
        <f>IF(AND(BT303=0,BU303=0,BV303=0),0,IF(AND(BT303=0,BU303=0),BV303/1,IF(AND(BT303=0,BV303=0),BU303/1,IF(AND(BU303=0,BV303=0),BT303/1,IF(BT303=0,FLOOR((BU303+BV303)/2,0.1),IF(BU303=0,(BT303+BV303)/2,IF(BV303=0,(BU303+BT303)/2,FLOOR(((BT303+BU303+BV303)/3),0.1))))))))</f>
        <v/>
      </c>
      <c r="BX303" s="21" t="n"/>
      <c r="BY303" s="21" t="n"/>
      <c r="BZ303" s="27">
        <f>SUM(BX303:BY303)</f>
        <v/>
      </c>
      <c r="CA303" s="28" t="n"/>
      <c r="CB303" s="31" t="n"/>
      <c r="CC303" s="29">
        <f>IF(AND(BZ303=0,CA303=0,CB303=0),0,IF(AND(BZ303=0,CA303=0),CB303/1,IF(AND(BZ303=0,CB303=0),CA303/1,IF(AND(CA303=0,CB303=0),BZ303/1,IF(BZ303=0,FLOOR((CA303+CB303)/2,0.1),IF(CA303=0,(BZ303+CB303)/2,IF(CB303=0,(CA303+BZ303)/2,FLOOR(((BZ303+CA303+CB303)/3),0.1))))))))</f>
        <v/>
      </c>
      <c r="CD303" s="21" t="n"/>
      <c r="CE303" s="21" t="n"/>
      <c r="CF303" s="27">
        <f>SUM(CD303:CE303)</f>
        <v/>
      </c>
      <c r="CG303" s="28" t="n"/>
      <c r="CH303" s="31" t="n"/>
      <c r="CI303" s="29">
        <f>IF(AND(CF303=0,CG303=0,CH303=0),0,IF(AND(CF303=0,CG303=0),CH303/1,IF(AND(CF303=0,CH303=0),CG303/1,IF(AND(CG303=0,CH303=0),CF303/1,IF(CF303=0,FLOOR((CG303+CH303)/2,0.1),IF(CG303=0,(CF303+CH303)/2,IF(CH303=0,(CG303+CF303)/2,FLOOR(((CF303+CG303+CH303)/3),0.1))))))))</f>
        <v/>
      </c>
      <c r="CJ303" s="21" t="n"/>
      <c r="CK303" s="21" t="n"/>
      <c r="CL303" s="27">
        <f>SUM(CJ303:CK303)</f>
        <v/>
      </c>
      <c r="CM303" s="28" t="n"/>
      <c r="CN303" s="31" t="n"/>
      <c r="CO303" s="29">
        <f>IF(AND(CL303=0,CM303=0,CN303=0),0,IF(AND(CL303=0,CM303=0),CN303/1,IF(AND(CL303=0,CN303=0),CM303/1,IF(AND(CM303=0,CN303=0),CL303/1,IF(CL303=0,FLOOR((CM303+CN303)/2,0.1),IF(CM303=0,(CL303+CN303)/2,IF(CN303=0,(CM303+CL303)/2,FLOOR(((CL303+CM303+CN303)/3),0.1))))))))</f>
        <v/>
      </c>
      <c r="CP303" s="21" t="n"/>
      <c r="CQ303" s="21" t="n"/>
      <c r="CR303" s="27">
        <f>SUM(CP303:CQ303)</f>
        <v/>
      </c>
      <c r="CS303" s="28" t="n"/>
      <c r="CT303" s="31" t="n"/>
      <c r="CU303" s="29">
        <f>IF(AND(CR303=0,CS303=0,CT303=0),0,IF(AND(CR303=0,CS303=0),CT303/1,IF(AND(CR303=0,CT303=0),CS303/1,IF(AND(CS303=0,CT303=0),CR303/1,IF(CR303=0,FLOOR((CS303+CT303)/2,0.1),IF(CS303=0,(CR303+CT303)/2,IF(CT303=0,(CS303+CR303)/2,FLOOR(((CR303+CS303+CT303)/3),0.1))))))))</f>
        <v/>
      </c>
      <c r="CV303" s="21" t="n"/>
      <c r="CW303" s="21" t="n"/>
      <c r="CX303" s="27">
        <f>SUM(CV303:CW303)</f>
        <v/>
      </c>
      <c r="CY303" s="28" t="n"/>
      <c r="CZ303" s="31" t="n"/>
      <c r="DA303" s="29">
        <f>IF(AND(CX303=0,CY303=0,CZ303=0),0,IF(AND(CX303=0,CY303=0),CZ303/1,IF(AND(CX303=0,CZ303=0),CY303/1,IF(AND(CY303=0,CZ303=0),CX303/1,IF(CX303=0,FLOOR((CY303+CZ303)/2,0.1),IF(CY303=0,(CX303+CZ303)/2,IF(CZ303=0,(CY303+CX303)/2,FLOOR(((CX303+CY303+CZ303)/3),0.1))))))))</f>
        <v/>
      </c>
      <c r="DB303" s="21" t="n"/>
      <c r="DC303" s="21" t="n"/>
      <c r="DD303" s="27">
        <f>SUM(DB303:DC303)</f>
        <v/>
      </c>
      <c r="DE303" s="28" t="n"/>
      <c r="DF303" s="31" t="n"/>
      <c r="DG303" s="29">
        <f>IF(AND(DD303=0,DE303=0,DF303=0),0,IF(AND(DD303=0,DE303=0),DF303/1,IF(AND(DD303=0,DF303=0),DE303/1,IF(AND(DE303=0,DF303=0),DD303/1,IF(DD303=0,FLOOR((DE303+DF303)/2,0.1),IF(DE303=0,(DD303+DF303)/2,IF(DF303=0,(DE303+DD303)/2,FLOOR(((DD303+DE303+DF303)/3),0.1))))))))</f>
        <v/>
      </c>
      <c r="DH303" s="34">
        <f>SUM(O303,U303,AA303,AG303,AM303,AS303,AY303,BE303,BK303,BQ303,BW303,CC303,CI303,CO303,CU303,DA303,DG303)</f>
        <v/>
      </c>
      <c r="DI303" s="39">
        <f>RANK(DH303,DH$4:DH$503)</f>
        <v/>
      </c>
      <c r="DJ303" s="40" t="inlineStr">
        <is>
          <t>CHOOSE RATING</t>
        </is>
      </c>
      <c r="DK303" s="40" t="inlineStr">
        <is>
          <t>CHOOSE RATING</t>
        </is>
      </c>
      <c r="DL303" s="40" t="inlineStr">
        <is>
          <t>CHOOSE RATING</t>
        </is>
      </c>
      <c r="DM303" s="40" t="inlineStr">
        <is>
          <t>CHOOSE RATING</t>
        </is>
      </c>
      <c r="DN303" s="40" t="inlineStr">
        <is>
          <t>CHOOSE RATING</t>
        </is>
      </c>
      <c r="DO303" s="40" t="inlineStr">
        <is>
          <t>CHOOSE RATING</t>
        </is>
      </c>
      <c r="DP303" s="40" t="inlineStr">
        <is>
          <t>CHOOSE RATING</t>
        </is>
      </c>
      <c r="DQ303" s="40" t="inlineStr">
        <is>
          <t>CHOOSE RATING</t>
        </is>
      </c>
      <c r="DR303" s="43" t="inlineStr">
        <is>
          <t>2024/2025</t>
        </is>
      </c>
      <c r="DS303" s="45" t="inlineStr">
        <is>
          <t>THIRD</t>
        </is>
      </c>
      <c r="DT303" s="40" t="inlineStr">
        <is>
          <t>CHOOSE RATING</t>
        </is>
      </c>
      <c r="DU303" s="40" t="inlineStr">
        <is>
          <t>CHOOSE RATING</t>
        </is>
      </c>
      <c r="DV303" s="40" t="inlineStr">
        <is>
          <t>CHOOSE RATING</t>
        </is>
      </c>
      <c r="DW303" s="40" t="inlineStr">
        <is>
          <t>CHOOSE RATING</t>
        </is>
      </c>
      <c r="DX303" s="40" t="inlineStr">
        <is>
          <t>CHOOSE RATING</t>
        </is>
      </c>
      <c r="DY303" s="40" t="inlineStr">
        <is>
          <t>CHOOSE RATING</t>
        </is>
      </c>
      <c r="DZ303" s="53" t="inlineStr">
        <is>
          <t>CHOOSE RATING</t>
        </is>
      </c>
      <c r="EA303" s="54" t="inlineStr">
        <is>
          <t>Add the Tutor's Comment . . .</t>
        </is>
      </c>
      <c r="EB303" s="55" t="inlineStr">
        <is>
          <t>Choose Principals comment</t>
        </is>
      </c>
      <c r="EC303" s="56" t="n"/>
      <c r="ED303" s="57" t="inlineStr">
        <is>
          <t>Next Term Begins on Monday, 22nd September, 2025</t>
        </is>
      </c>
    </row>
    <row r="304" ht="30.6" customHeight="1" s="6">
      <c r="A304" s="18" t="n">
        <v>301</v>
      </c>
      <c r="B304" s="19" t="n"/>
      <c r="C304" s="20" t="n"/>
      <c r="D304" s="128" t="n"/>
      <c r="E304" s="21" t="n"/>
      <c r="F304" s="22" t="n"/>
      <c r="G304" s="22" t="n"/>
      <c r="H304" s="22" t="n"/>
      <c r="I304" s="26">
        <f>G304-H304</f>
        <v/>
      </c>
      <c r="J304" s="21" t="n"/>
      <c r="K304" s="21" t="n"/>
      <c r="L304" s="27">
        <f>SUM(J304:K304)</f>
        <v/>
      </c>
      <c r="M304" s="28" t="n"/>
      <c r="N304" s="28" t="n"/>
      <c r="O304" s="29">
        <f>IF(AND(L304=0,M304=0,N304=0),0,IF(AND(L304=0,M304=0),N304/1,IF(AND(L304=0,N304=0),M304/1,IF(AND(M304=0,N304=0),L304/1,IF(L304=0,FLOOR((M304+N304)/2,0.1),IF(M304=0,(L304+N304)/2,IF(N304=0,(M304+L304)/2,FLOOR(((L304+M304+N304)/3),0.1))))))))</f>
        <v/>
      </c>
      <c r="P304" s="21" t="n"/>
      <c r="Q304" s="21" t="n"/>
      <c r="R304" s="27">
        <f>SUM(P304:Q304)</f>
        <v/>
      </c>
      <c r="S304" s="28" t="n"/>
      <c r="T304" s="28" t="n"/>
      <c r="U304" s="29">
        <f>IF(AND(R304=0,S304=0,T304=0),0,IF(AND(R304=0,S304=0),T304/1,IF(AND(R304=0,T304=0),S304/1,IF(AND(S304=0,T304=0),R304/1,IF(R304=0,FLOOR((S304+T304)/2,0.1),IF(S304=0,(R304+T304)/2,IF(T304=0,(S304+R304)/2,FLOOR(((R304+S304+T304)/3),0.1))))))))</f>
        <v/>
      </c>
      <c r="V304" s="21" t="n"/>
      <c r="W304" s="21" t="n"/>
      <c r="X304" s="27">
        <f>SUM(V304:W304)</f>
        <v/>
      </c>
      <c r="Y304" s="28" t="n"/>
      <c r="Z304" s="28" t="n"/>
      <c r="AA304" s="29">
        <f>IF(AND(X304=0,Y304=0,Z304=0),0,IF(AND(X304=0,Y304=0),Z304/1,IF(AND(X304=0,Z304=0),Y304/1,IF(AND(Y304=0,Z304=0),X304/1,IF(X304=0,FLOOR((Y304+Z304)/2,0.1),IF(Y304=0,(X304+Z304)/2,IF(Z304=0,(Y304+X304)/2,FLOOR(((X304+Y304+Z304)/3),0.1))))))))</f>
        <v/>
      </c>
      <c r="AB304" s="21" t="n"/>
      <c r="AC304" s="21" t="n"/>
      <c r="AD304" s="27">
        <f>SUM(AB304:AC304)</f>
        <v/>
      </c>
      <c r="AE304" s="28" t="n"/>
      <c r="AF304" s="28" t="n"/>
      <c r="AG304" s="29">
        <f>IF(AND(AD304=0,AE304=0,AF304=0),0,IF(AND(AD304=0,AE304=0),AF304/1,IF(AND(AD304=0,AF304=0),AE304/1,IF(AND(AE304=0,AF304=0),AD304/1,IF(AD304=0,FLOOR((AE304+AF304)/2,0.1),IF(AE304=0,(AD304+AF304)/2,IF(AF304=0,(AE304+AD304)/2,FLOOR(((AD304+AE304+AF304)/3),0.1))))))))</f>
        <v/>
      </c>
      <c r="AH304" s="21" t="n"/>
      <c r="AI304" s="21" t="n"/>
      <c r="AJ304" s="27">
        <f>SUM(AH304:AI304)</f>
        <v/>
      </c>
      <c r="AK304" s="28" t="n"/>
      <c r="AL304" s="28" t="n"/>
      <c r="AM304" s="29">
        <f>IF(AND(AJ304=0,AK304=0,AL304=0),0,IF(AND(AJ304=0,AK304=0),AL304/1,IF(AND(AJ304=0,AL304=0),AK304/1,IF(AND(AK304=0,AL304=0),AJ304/1,IF(AJ304=0,FLOOR((AK304+AL304)/2,0.1),IF(AK304=0,(AJ304+AL304)/2,IF(AL304=0,(AK304+AJ304)/2,FLOOR(((AJ304+AK304+AL304)/3),0.1))))))))</f>
        <v/>
      </c>
      <c r="AN304" s="21" t="n"/>
      <c r="AO304" s="21" t="n"/>
      <c r="AP304" s="27">
        <f>SUM(AN304:AO304)</f>
        <v/>
      </c>
      <c r="AQ304" s="28" t="n"/>
      <c r="AR304" s="30" t="n"/>
      <c r="AS304" s="29">
        <f>IF(AND(AP304=0,AQ304=0,AR304=0),0,IF(AND(AP304=0,AQ304=0),AR304/1,IF(AND(AP304=0,AR304=0),AQ304/1,IF(AND(AQ304=0,AR304=0),AP304/1,IF(AP304=0,FLOOR((AQ304+AR304)/2,0.1),IF(AQ304=0,(AP304+AR304)/2,IF(AR304=0,(AQ304+AP304)/2,FLOOR(((AP304+AQ304+AR304)/3),0.1))))))))</f>
        <v/>
      </c>
      <c r="AT304" s="21" t="n"/>
      <c r="AU304" s="21" t="n"/>
      <c r="AV304" s="27">
        <f>SUM(AT304:AU304)</f>
        <v/>
      </c>
      <c r="AW304" s="28" t="n"/>
      <c r="AX304" s="30" t="n"/>
      <c r="AY304" s="29">
        <f>IF(AND(AV304=0,AW304=0,AX304=0),0,IF(AND(AV304=0,AW304=0),AX304/1,IF(AND(AV304=0,AX304=0),AW304/1,IF(AND(AW304=0,AX304=0),AV304/1,IF(AV304=0,FLOOR((AW304+AX304)/2,0.1),IF(AW304=0,(AV304+AX304)/2,IF(AX304=0,(AW304+AV304)/2,FLOOR(((AV304+AW304+AX304)/3),0.1))))))))</f>
        <v/>
      </c>
      <c r="AZ304" s="21" t="n"/>
      <c r="BA304" s="21" t="n"/>
      <c r="BB304" s="27">
        <f>SUM(AZ304:BA304)</f>
        <v/>
      </c>
      <c r="BC304" s="28" t="n"/>
      <c r="BD304" s="28" t="n"/>
      <c r="BE304" s="29">
        <f>IF(AND(BB304=0,BC304=0,BD304=0),0,IF(AND(BB304=0,BC304=0),BD304/1,IF(AND(BB304=0,BD304=0),BC304/1,IF(AND(BC304=0,BD304=0),BB304/1,IF(BB304=0,FLOOR((BC304+BD304)/2,0.1),IF(BC304=0,(BB304+BD304)/2,IF(BD304=0,(BC304+BB304)/2,FLOOR(((BB304+BC304+BD304)/3),0.1))))))))</f>
        <v/>
      </c>
      <c r="BF304" s="21" t="n"/>
      <c r="BG304" s="21" t="n"/>
      <c r="BH304" s="27">
        <f>SUM(BF304:BG304)</f>
        <v/>
      </c>
      <c r="BI304" s="28" t="n"/>
      <c r="BJ304" s="28" t="n"/>
      <c r="BK304" s="29">
        <f>IF(AND(BH304=0,BI304=0,BJ304=0),0,IF(AND(BH304=0,BI304=0),BJ304/1,IF(AND(BH304=0,BJ304=0),BI304/1,IF(AND(BI304=0,BJ304=0),BH304/1,IF(BH304=0,FLOOR((BI304+BJ304)/2,0.1),IF(BI304=0,(BH304+BJ304)/2,IF(BJ304=0,(BI304+BH304)/2,FLOOR(((BH304+BI304+BJ304)/3),0.1))))))))</f>
        <v/>
      </c>
      <c r="BL304" s="21" t="n"/>
      <c r="BM304" s="21" t="n"/>
      <c r="BN304" s="27">
        <f>SUM(BL304:BM304)</f>
        <v/>
      </c>
      <c r="BO304" s="28" t="n"/>
      <c r="BP304" s="31" t="n"/>
      <c r="BQ304" s="29">
        <f>IF(AND(BN304=0,BO304=0,BP304=0),0,IF(AND(BN304=0,BO304=0),BP304/1,IF(AND(BN304=0,BP304=0),BO304/1,IF(AND(BO304=0,BP304=0),BN304/1,IF(BN304=0,FLOOR((BO304+BP304)/2,0.1),IF(BO304=0,(BN304+BP304)/2,IF(BP304=0,(BO304+BN304)/2,FLOOR(((BN304+BO304+BP304)/3),0.1))))))))</f>
        <v/>
      </c>
      <c r="BR304" s="21" t="n"/>
      <c r="BS304" s="21" t="n"/>
      <c r="BT304" s="27">
        <f>SUM(BR304:BS304)</f>
        <v/>
      </c>
      <c r="BU304" s="28" t="n"/>
      <c r="BV304" s="31" t="n"/>
      <c r="BW304" s="29">
        <f>IF(AND(BT304=0,BU304=0,BV304=0),0,IF(AND(BT304=0,BU304=0),BV304/1,IF(AND(BT304=0,BV304=0),BU304/1,IF(AND(BU304=0,BV304=0),BT304/1,IF(BT304=0,FLOOR((BU304+BV304)/2,0.1),IF(BU304=0,(BT304+BV304)/2,IF(BV304=0,(BU304+BT304)/2,FLOOR(((BT304+BU304+BV304)/3),0.1))))))))</f>
        <v/>
      </c>
      <c r="BX304" s="21" t="n"/>
      <c r="BY304" s="21" t="n"/>
      <c r="BZ304" s="27">
        <f>SUM(BX304:BY304)</f>
        <v/>
      </c>
      <c r="CA304" s="28" t="n"/>
      <c r="CB304" s="31" t="n"/>
      <c r="CC304" s="29">
        <f>IF(AND(BZ304=0,CA304=0,CB304=0),0,IF(AND(BZ304=0,CA304=0),CB304/1,IF(AND(BZ304=0,CB304=0),CA304/1,IF(AND(CA304=0,CB304=0),BZ304/1,IF(BZ304=0,FLOOR((CA304+CB304)/2,0.1),IF(CA304=0,(BZ304+CB304)/2,IF(CB304=0,(CA304+BZ304)/2,FLOOR(((BZ304+CA304+CB304)/3),0.1))))))))</f>
        <v/>
      </c>
      <c r="CD304" s="21" t="n"/>
      <c r="CE304" s="21" t="n"/>
      <c r="CF304" s="27">
        <f>SUM(CD304:CE304)</f>
        <v/>
      </c>
      <c r="CG304" s="28" t="n"/>
      <c r="CH304" s="31" t="n"/>
      <c r="CI304" s="29">
        <f>IF(AND(CF304=0,CG304=0,CH304=0),0,IF(AND(CF304=0,CG304=0),CH304/1,IF(AND(CF304=0,CH304=0),CG304/1,IF(AND(CG304=0,CH304=0),CF304/1,IF(CF304=0,FLOOR((CG304+CH304)/2,0.1),IF(CG304=0,(CF304+CH304)/2,IF(CH304=0,(CG304+CF304)/2,FLOOR(((CF304+CG304+CH304)/3),0.1))))))))</f>
        <v/>
      </c>
      <c r="CJ304" s="21" t="n"/>
      <c r="CK304" s="21" t="n"/>
      <c r="CL304" s="27">
        <f>SUM(CJ304:CK304)</f>
        <v/>
      </c>
      <c r="CM304" s="28" t="n"/>
      <c r="CN304" s="31" t="n"/>
      <c r="CO304" s="29">
        <f>IF(AND(CL304=0,CM304=0,CN304=0),0,IF(AND(CL304=0,CM304=0),CN304/1,IF(AND(CL304=0,CN304=0),CM304/1,IF(AND(CM304=0,CN304=0),CL304/1,IF(CL304=0,FLOOR((CM304+CN304)/2,0.1),IF(CM304=0,(CL304+CN304)/2,IF(CN304=0,(CM304+CL304)/2,FLOOR(((CL304+CM304+CN304)/3),0.1))))))))</f>
        <v/>
      </c>
      <c r="CP304" s="21" t="n"/>
      <c r="CQ304" s="21" t="n"/>
      <c r="CR304" s="27">
        <f>SUM(CP304:CQ304)</f>
        <v/>
      </c>
      <c r="CS304" s="28" t="n"/>
      <c r="CT304" s="31" t="n"/>
      <c r="CU304" s="29">
        <f>IF(AND(CR304=0,CS304=0,CT304=0),0,IF(AND(CR304=0,CS304=0),CT304/1,IF(AND(CR304=0,CT304=0),CS304/1,IF(AND(CS304=0,CT304=0),CR304/1,IF(CR304=0,FLOOR((CS304+CT304)/2,0.1),IF(CS304=0,(CR304+CT304)/2,IF(CT304=0,(CS304+CR304)/2,FLOOR(((CR304+CS304+CT304)/3),0.1))))))))</f>
        <v/>
      </c>
      <c r="CV304" s="21" t="n"/>
      <c r="CW304" s="21" t="n"/>
      <c r="CX304" s="27">
        <f>SUM(CV304:CW304)</f>
        <v/>
      </c>
      <c r="CY304" s="28" t="n"/>
      <c r="CZ304" s="31" t="n"/>
      <c r="DA304" s="29">
        <f>IF(AND(CX304=0,CY304=0,CZ304=0),0,IF(AND(CX304=0,CY304=0),CZ304/1,IF(AND(CX304=0,CZ304=0),CY304/1,IF(AND(CY304=0,CZ304=0),CX304/1,IF(CX304=0,FLOOR((CY304+CZ304)/2,0.1),IF(CY304=0,(CX304+CZ304)/2,IF(CZ304=0,(CY304+CX304)/2,FLOOR(((CX304+CY304+CZ304)/3),0.1))))))))</f>
        <v/>
      </c>
      <c r="DB304" s="21" t="n"/>
      <c r="DC304" s="21" t="n"/>
      <c r="DD304" s="27">
        <f>SUM(DB304:DC304)</f>
        <v/>
      </c>
      <c r="DE304" s="28" t="n"/>
      <c r="DF304" s="31" t="n"/>
      <c r="DG304" s="29">
        <f>IF(AND(DD304=0,DE304=0,DF304=0),0,IF(AND(DD304=0,DE304=0),DF304/1,IF(AND(DD304=0,DF304=0),DE304/1,IF(AND(DE304=0,DF304=0),DD304/1,IF(DD304=0,FLOOR((DE304+DF304)/2,0.1),IF(DE304=0,(DD304+DF304)/2,IF(DF304=0,(DE304+DD304)/2,FLOOR(((DD304+DE304+DF304)/3),0.1))))))))</f>
        <v/>
      </c>
      <c r="DH304" s="34">
        <f>SUM(O304,U304,AA304,AG304,AM304,AS304,AY304,BE304,BK304,BQ304,BW304,CC304,CI304,CO304,CU304,DA304,DG304)</f>
        <v/>
      </c>
      <c r="DI304" s="39">
        <f>RANK(DH304,DH$4:DH$503)</f>
        <v/>
      </c>
      <c r="DJ304" s="40" t="inlineStr">
        <is>
          <t>CHOOSE RATING</t>
        </is>
      </c>
      <c r="DK304" s="40" t="inlineStr">
        <is>
          <t>CHOOSE RATING</t>
        </is>
      </c>
      <c r="DL304" s="40" t="inlineStr">
        <is>
          <t>CHOOSE RATING</t>
        </is>
      </c>
      <c r="DM304" s="40" t="inlineStr">
        <is>
          <t>CHOOSE RATING</t>
        </is>
      </c>
      <c r="DN304" s="40" t="inlineStr">
        <is>
          <t>CHOOSE RATING</t>
        </is>
      </c>
      <c r="DO304" s="40" t="inlineStr">
        <is>
          <t>CHOOSE RATING</t>
        </is>
      </c>
      <c r="DP304" s="40" t="inlineStr">
        <is>
          <t>CHOOSE RATING</t>
        </is>
      </c>
      <c r="DQ304" s="40" t="inlineStr">
        <is>
          <t>CHOOSE RATING</t>
        </is>
      </c>
      <c r="DR304" s="43" t="inlineStr">
        <is>
          <t>2024/2025</t>
        </is>
      </c>
      <c r="DS304" s="45" t="inlineStr">
        <is>
          <t>THIRD</t>
        </is>
      </c>
      <c r="DT304" s="40" t="inlineStr">
        <is>
          <t>CHOOSE RATING</t>
        </is>
      </c>
      <c r="DU304" s="40" t="inlineStr">
        <is>
          <t>CHOOSE RATING</t>
        </is>
      </c>
      <c r="DV304" s="40" t="inlineStr">
        <is>
          <t>CHOOSE RATING</t>
        </is>
      </c>
      <c r="DW304" s="40" t="inlineStr">
        <is>
          <t>CHOOSE RATING</t>
        </is>
      </c>
      <c r="DX304" s="40" t="inlineStr">
        <is>
          <t>CHOOSE RATING</t>
        </is>
      </c>
      <c r="DY304" s="40" t="inlineStr">
        <is>
          <t>CHOOSE RATING</t>
        </is>
      </c>
      <c r="DZ304" s="53" t="inlineStr">
        <is>
          <t>CHOOSE RATING</t>
        </is>
      </c>
      <c r="EA304" s="54" t="inlineStr">
        <is>
          <t>Add the Tutor's Comment . . .</t>
        </is>
      </c>
      <c r="EB304" s="55" t="inlineStr">
        <is>
          <t>Choose Principals comment</t>
        </is>
      </c>
      <c r="EC304" s="56" t="n"/>
      <c r="ED304" s="57" t="inlineStr">
        <is>
          <t>Next Term Begins on Monday, 22nd September, 2025</t>
        </is>
      </c>
    </row>
    <row r="305" ht="30.6" customHeight="1" s="6">
      <c r="A305" s="18" t="n">
        <v>302</v>
      </c>
      <c r="B305" s="19" t="n"/>
      <c r="C305" s="20" t="n"/>
      <c r="D305" s="128" t="n"/>
      <c r="E305" s="21" t="n"/>
      <c r="F305" s="22" t="n"/>
      <c r="G305" s="22" t="n"/>
      <c r="H305" s="22" t="n"/>
      <c r="I305" s="26">
        <f>G305-H305</f>
        <v/>
      </c>
      <c r="J305" s="21" t="n"/>
      <c r="K305" s="21" t="n"/>
      <c r="L305" s="27">
        <f>SUM(J305:K305)</f>
        <v/>
      </c>
      <c r="M305" s="28" t="n"/>
      <c r="N305" s="28" t="n"/>
      <c r="O305" s="29">
        <f>IF(AND(L305=0,M305=0,N305=0),0,IF(AND(L305=0,M305=0),N305/1,IF(AND(L305=0,N305=0),M305/1,IF(AND(M305=0,N305=0),L305/1,IF(L305=0,FLOOR((M305+N305)/2,0.1),IF(M305=0,(L305+N305)/2,IF(N305=0,(M305+L305)/2,FLOOR(((L305+M305+N305)/3),0.1))))))))</f>
        <v/>
      </c>
      <c r="P305" s="21" t="n"/>
      <c r="Q305" s="21" t="n"/>
      <c r="R305" s="27">
        <f>SUM(P305:Q305)</f>
        <v/>
      </c>
      <c r="S305" s="28" t="n"/>
      <c r="T305" s="28" t="n"/>
      <c r="U305" s="29">
        <f>IF(AND(R305=0,S305=0,T305=0),0,IF(AND(R305=0,S305=0),T305/1,IF(AND(R305=0,T305=0),S305/1,IF(AND(S305=0,T305=0),R305/1,IF(R305=0,FLOOR((S305+T305)/2,0.1),IF(S305=0,(R305+T305)/2,IF(T305=0,(S305+R305)/2,FLOOR(((R305+S305+T305)/3),0.1))))))))</f>
        <v/>
      </c>
      <c r="V305" s="21" t="n"/>
      <c r="W305" s="21" t="n"/>
      <c r="X305" s="27">
        <f>SUM(V305:W305)</f>
        <v/>
      </c>
      <c r="Y305" s="28" t="n"/>
      <c r="Z305" s="28" t="n"/>
      <c r="AA305" s="29">
        <f>IF(AND(X305=0,Y305=0,Z305=0),0,IF(AND(X305=0,Y305=0),Z305/1,IF(AND(X305=0,Z305=0),Y305/1,IF(AND(Y305=0,Z305=0),X305/1,IF(X305=0,FLOOR((Y305+Z305)/2,0.1),IF(Y305=0,(X305+Z305)/2,IF(Z305=0,(Y305+X305)/2,FLOOR(((X305+Y305+Z305)/3),0.1))))))))</f>
        <v/>
      </c>
      <c r="AB305" s="21" t="n"/>
      <c r="AC305" s="21" t="n"/>
      <c r="AD305" s="27">
        <f>SUM(AB305:AC305)</f>
        <v/>
      </c>
      <c r="AE305" s="28" t="n"/>
      <c r="AF305" s="28" t="n"/>
      <c r="AG305" s="29">
        <f>IF(AND(AD305=0,AE305=0,AF305=0),0,IF(AND(AD305=0,AE305=0),AF305/1,IF(AND(AD305=0,AF305=0),AE305/1,IF(AND(AE305=0,AF305=0),AD305/1,IF(AD305=0,FLOOR((AE305+AF305)/2,0.1),IF(AE305=0,(AD305+AF305)/2,IF(AF305=0,(AE305+AD305)/2,FLOOR(((AD305+AE305+AF305)/3),0.1))))))))</f>
        <v/>
      </c>
      <c r="AH305" s="21" t="n"/>
      <c r="AI305" s="21" t="n"/>
      <c r="AJ305" s="27">
        <f>SUM(AH305:AI305)</f>
        <v/>
      </c>
      <c r="AK305" s="28" t="n"/>
      <c r="AL305" s="28" t="n"/>
      <c r="AM305" s="29">
        <f>IF(AND(AJ305=0,AK305=0,AL305=0),0,IF(AND(AJ305=0,AK305=0),AL305/1,IF(AND(AJ305=0,AL305=0),AK305/1,IF(AND(AK305=0,AL305=0),AJ305/1,IF(AJ305=0,FLOOR((AK305+AL305)/2,0.1),IF(AK305=0,(AJ305+AL305)/2,IF(AL305=0,(AK305+AJ305)/2,FLOOR(((AJ305+AK305+AL305)/3),0.1))))))))</f>
        <v/>
      </c>
      <c r="AN305" s="21" t="n"/>
      <c r="AO305" s="21" t="n"/>
      <c r="AP305" s="27">
        <f>SUM(AN305:AO305)</f>
        <v/>
      </c>
      <c r="AQ305" s="28" t="n"/>
      <c r="AR305" s="30" t="n"/>
      <c r="AS305" s="29">
        <f>IF(AND(AP305=0,AQ305=0,AR305=0),0,IF(AND(AP305=0,AQ305=0),AR305/1,IF(AND(AP305=0,AR305=0),AQ305/1,IF(AND(AQ305=0,AR305=0),AP305/1,IF(AP305=0,FLOOR((AQ305+AR305)/2,0.1),IF(AQ305=0,(AP305+AR305)/2,IF(AR305=0,(AQ305+AP305)/2,FLOOR(((AP305+AQ305+AR305)/3),0.1))))))))</f>
        <v/>
      </c>
      <c r="AT305" s="21" t="n"/>
      <c r="AU305" s="21" t="n"/>
      <c r="AV305" s="27">
        <f>SUM(AT305:AU305)</f>
        <v/>
      </c>
      <c r="AW305" s="28" t="n"/>
      <c r="AX305" s="30" t="n"/>
      <c r="AY305" s="29">
        <f>IF(AND(AV305=0,AW305=0,AX305=0),0,IF(AND(AV305=0,AW305=0),AX305/1,IF(AND(AV305=0,AX305=0),AW305/1,IF(AND(AW305=0,AX305=0),AV305/1,IF(AV305=0,FLOOR((AW305+AX305)/2,0.1),IF(AW305=0,(AV305+AX305)/2,IF(AX305=0,(AW305+AV305)/2,FLOOR(((AV305+AW305+AX305)/3),0.1))))))))</f>
        <v/>
      </c>
      <c r="AZ305" s="21" t="n"/>
      <c r="BA305" s="21" t="n"/>
      <c r="BB305" s="27">
        <f>SUM(AZ305:BA305)</f>
        <v/>
      </c>
      <c r="BC305" s="28" t="n"/>
      <c r="BD305" s="28" t="n"/>
      <c r="BE305" s="29">
        <f>IF(AND(BB305=0,BC305=0,BD305=0),0,IF(AND(BB305=0,BC305=0),BD305/1,IF(AND(BB305=0,BD305=0),BC305/1,IF(AND(BC305=0,BD305=0),BB305/1,IF(BB305=0,FLOOR((BC305+BD305)/2,0.1),IF(BC305=0,(BB305+BD305)/2,IF(BD305=0,(BC305+BB305)/2,FLOOR(((BB305+BC305+BD305)/3),0.1))))))))</f>
        <v/>
      </c>
      <c r="BF305" s="21" t="n"/>
      <c r="BG305" s="21" t="n"/>
      <c r="BH305" s="27">
        <f>SUM(BF305:BG305)</f>
        <v/>
      </c>
      <c r="BI305" s="28" t="n"/>
      <c r="BJ305" s="28" t="n"/>
      <c r="BK305" s="29">
        <f>IF(AND(BH305=0,BI305=0,BJ305=0),0,IF(AND(BH305=0,BI305=0),BJ305/1,IF(AND(BH305=0,BJ305=0),BI305/1,IF(AND(BI305=0,BJ305=0),BH305/1,IF(BH305=0,FLOOR((BI305+BJ305)/2,0.1),IF(BI305=0,(BH305+BJ305)/2,IF(BJ305=0,(BI305+BH305)/2,FLOOR(((BH305+BI305+BJ305)/3),0.1))))))))</f>
        <v/>
      </c>
      <c r="BL305" s="21" t="n"/>
      <c r="BM305" s="21" t="n"/>
      <c r="BN305" s="27">
        <f>SUM(BL305:BM305)</f>
        <v/>
      </c>
      <c r="BO305" s="28" t="n"/>
      <c r="BP305" s="31" t="n"/>
      <c r="BQ305" s="29">
        <f>IF(AND(BN305=0,BO305=0,BP305=0),0,IF(AND(BN305=0,BO305=0),BP305/1,IF(AND(BN305=0,BP305=0),BO305/1,IF(AND(BO305=0,BP305=0),BN305/1,IF(BN305=0,FLOOR((BO305+BP305)/2,0.1),IF(BO305=0,(BN305+BP305)/2,IF(BP305=0,(BO305+BN305)/2,FLOOR(((BN305+BO305+BP305)/3),0.1))))))))</f>
        <v/>
      </c>
      <c r="BR305" s="21" t="n"/>
      <c r="BS305" s="21" t="n"/>
      <c r="BT305" s="27">
        <f>SUM(BR305:BS305)</f>
        <v/>
      </c>
      <c r="BU305" s="28" t="n"/>
      <c r="BV305" s="31" t="n"/>
      <c r="BW305" s="29">
        <f>IF(AND(BT305=0,BU305=0,BV305=0),0,IF(AND(BT305=0,BU305=0),BV305/1,IF(AND(BT305=0,BV305=0),BU305/1,IF(AND(BU305=0,BV305=0),BT305/1,IF(BT305=0,FLOOR((BU305+BV305)/2,0.1),IF(BU305=0,(BT305+BV305)/2,IF(BV305=0,(BU305+BT305)/2,FLOOR(((BT305+BU305+BV305)/3),0.1))))))))</f>
        <v/>
      </c>
      <c r="BX305" s="21" t="n"/>
      <c r="BY305" s="21" t="n"/>
      <c r="BZ305" s="27">
        <f>SUM(BX305:BY305)</f>
        <v/>
      </c>
      <c r="CA305" s="28" t="n"/>
      <c r="CB305" s="31" t="n"/>
      <c r="CC305" s="29">
        <f>IF(AND(BZ305=0,CA305=0,CB305=0),0,IF(AND(BZ305=0,CA305=0),CB305/1,IF(AND(BZ305=0,CB305=0),CA305/1,IF(AND(CA305=0,CB305=0),BZ305/1,IF(BZ305=0,FLOOR((CA305+CB305)/2,0.1),IF(CA305=0,(BZ305+CB305)/2,IF(CB305=0,(CA305+BZ305)/2,FLOOR(((BZ305+CA305+CB305)/3),0.1))))))))</f>
        <v/>
      </c>
      <c r="CD305" s="21" t="n"/>
      <c r="CE305" s="21" t="n"/>
      <c r="CF305" s="27">
        <f>SUM(CD305:CE305)</f>
        <v/>
      </c>
      <c r="CG305" s="28" t="n"/>
      <c r="CH305" s="31" t="n"/>
      <c r="CI305" s="29">
        <f>IF(AND(CF305=0,CG305=0,CH305=0),0,IF(AND(CF305=0,CG305=0),CH305/1,IF(AND(CF305=0,CH305=0),CG305/1,IF(AND(CG305=0,CH305=0),CF305/1,IF(CF305=0,FLOOR((CG305+CH305)/2,0.1),IF(CG305=0,(CF305+CH305)/2,IF(CH305=0,(CG305+CF305)/2,FLOOR(((CF305+CG305+CH305)/3),0.1))))))))</f>
        <v/>
      </c>
      <c r="CJ305" s="21" t="n"/>
      <c r="CK305" s="21" t="n"/>
      <c r="CL305" s="27">
        <f>SUM(CJ305:CK305)</f>
        <v/>
      </c>
      <c r="CM305" s="28" t="n"/>
      <c r="CN305" s="31" t="n"/>
      <c r="CO305" s="29">
        <f>IF(AND(CL305=0,CM305=0,CN305=0),0,IF(AND(CL305=0,CM305=0),CN305/1,IF(AND(CL305=0,CN305=0),CM305/1,IF(AND(CM305=0,CN305=0),CL305/1,IF(CL305=0,FLOOR((CM305+CN305)/2,0.1),IF(CM305=0,(CL305+CN305)/2,IF(CN305=0,(CM305+CL305)/2,FLOOR(((CL305+CM305+CN305)/3),0.1))))))))</f>
        <v/>
      </c>
      <c r="CP305" s="21" t="n"/>
      <c r="CQ305" s="21" t="n"/>
      <c r="CR305" s="27">
        <f>SUM(CP305:CQ305)</f>
        <v/>
      </c>
      <c r="CS305" s="28" t="n"/>
      <c r="CT305" s="31" t="n"/>
      <c r="CU305" s="29">
        <f>IF(AND(CR305=0,CS305=0,CT305=0),0,IF(AND(CR305=0,CS305=0),CT305/1,IF(AND(CR305=0,CT305=0),CS305/1,IF(AND(CS305=0,CT305=0),CR305/1,IF(CR305=0,FLOOR((CS305+CT305)/2,0.1),IF(CS305=0,(CR305+CT305)/2,IF(CT305=0,(CS305+CR305)/2,FLOOR(((CR305+CS305+CT305)/3),0.1))))))))</f>
        <v/>
      </c>
      <c r="CV305" s="21" t="n"/>
      <c r="CW305" s="21" t="n"/>
      <c r="CX305" s="27">
        <f>SUM(CV305:CW305)</f>
        <v/>
      </c>
      <c r="CY305" s="28" t="n"/>
      <c r="CZ305" s="31" t="n"/>
      <c r="DA305" s="29">
        <f>IF(AND(CX305=0,CY305=0,CZ305=0),0,IF(AND(CX305=0,CY305=0),CZ305/1,IF(AND(CX305=0,CZ305=0),CY305/1,IF(AND(CY305=0,CZ305=0),CX305/1,IF(CX305=0,FLOOR((CY305+CZ305)/2,0.1),IF(CY305=0,(CX305+CZ305)/2,IF(CZ305=0,(CY305+CX305)/2,FLOOR(((CX305+CY305+CZ305)/3),0.1))))))))</f>
        <v/>
      </c>
      <c r="DB305" s="21" t="n"/>
      <c r="DC305" s="21" t="n"/>
      <c r="DD305" s="27">
        <f>SUM(DB305:DC305)</f>
        <v/>
      </c>
      <c r="DE305" s="28" t="n"/>
      <c r="DF305" s="31" t="n"/>
      <c r="DG305" s="29">
        <f>IF(AND(DD305=0,DE305=0,DF305=0),0,IF(AND(DD305=0,DE305=0),DF305/1,IF(AND(DD305=0,DF305=0),DE305/1,IF(AND(DE305=0,DF305=0),DD305/1,IF(DD305=0,FLOOR((DE305+DF305)/2,0.1),IF(DE305=0,(DD305+DF305)/2,IF(DF305=0,(DE305+DD305)/2,FLOOR(((DD305+DE305+DF305)/3),0.1))))))))</f>
        <v/>
      </c>
      <c r="DH305" s="34">
        <f>SUM(O305,U305,AA305,AG305,AM305,AS305,AY305,BE305,BK305,BQ305,BW305,CC305,CI305,CO305,CU305,DA305,DG305)</f>
        <v/>
      </c>
      <c r="DI305" s="39">
        <f>RANK(DH305,DH$4:DH$503)</f>
        <v/>
      </c>
      <c r="DJ305" s="40" t="inlineStr">
        <is>
          <t>CHOOSE RATING</t>
        </is>
      </c>
      <c r="DK305" s="40" t="inlineStr">
        <is>
          <t>CHOOSE RATING</t>
        </is>
      </c>
      <c r="DL305" s="40" t="inlineStr">
        <is>
          <t>CHOOSE RATING</t>
        </is>
      </c>
      <c r="DM305" s="40" t="inlineStr">
        <is>
          <t>CHOOSE RATING</t>
        </is>
      </c>
      <c r="DN305" s="40" t="inlineStr">
        <is>
          <t>CHOOSE RATING</t>
        </is>
      </c>
      <c r="DO305" s="40" t="inlineStr">
        <is>
          <t>CHOOSE RATING</t>
        </is>
      </c>
      <c r="DP305" s="40" t="inlineStr">
        <is>
          <t>CHOOSE RATING</t>
        </is>
      </c>
      <c r="DQ305" s="40" t="inlineStr">
        <is>
          <t>CHOOSE RATING</t>
        </is>
      </c>
      <c r="DR305" s="43" t="inlineStr">
        <is>
          <t>2024/2025</t>
        </is>
      </c>
      <c r="DS305" s="45" t="inlineStr">
        <is>
          <t>THIRD</t>
        </is>
      </c>
      <c r="DT305" s="40" t="inlineStr">
        <is>
          <t>CHOOSE RATING</t>
        </is>
      </c>
      <c r="DU305" s="40" t="inlineStr">
        <is>
          <t>CHOOSE RATING</t>
        </is>
      </c>
      <c r="DV305" s="40" t="inlineStr">
        <is>
          <t>CHOOSE RATING</t>
        </is>
      </c>
      <c r="DW305" s="40" t="inlineStr">
        <is>
          <t>CHOOSE RATING</t>
        </is>
      </c>
      <c r="DX305" s="40" t="inlineStr">
        <is>
          <t>CHOOSE RATING</t>
        </is>
      </c>
      <c r="DY305" s="40" t="inlineStr">
        <is>
          <t>CHOOSE RATING</t>
        </is>
      </c>
      <c r="DZ305" s="53" t="inlineStr">
        <is>
          <t>CHOOSE RATING</t>
        </is>
      </c>
      <c r="EA305" s="54" t="inlineStr">
        <is>
          <t>Add the Tutor's Comment . . .</t>
        </is>
      </c>
      <c r="EB305" s="55" t="inlineStr">
        <is>
          <t>Choose Principals comment</t>
        </is>
      </c>
      <c r="EC305" s="56" t="n"/>
      <c r="ED305" s="57" t="inlineStr">
        <is>
          <t>Next Term Begins on Monday, 22nd September, 2025</t>
        </is>
      </c>
    </row>
    <row r="306" ht="30.6" customHeight="1" s="6">
      <c r="A306" s="18" t="n">
        <v>303</v>
      </c>
      <c r="B306" s="19" t="n"/>
      <c r="C306" s="20" t="n"/>
      <c r="D306" s="128" t="n"/>
      <c r="E306" s="21" t="n"/>
      <c r="F306" s="22" t="n"/>
      <c r="G306" s="22" t="n"/>
      <c r="H306" s="22" t="n"/>
      <c r="I306" s="26">
        <f>G306-H306</f>
        <v/>
      </c>
      <c r="J306" s="21" t="n"/>
      <c r="K306" s="21" t="n"/>
      <c r="L306" s="27">
        <f>SUM(J306:K306)</f>
        <v/>
      </c>
      <c r="M306" s="28" t="n"/>
      <c r="N306" s="28" t="n"/>
      <c r="O306" s="29">
        <f>IF(AND(L306=0,M306=0,N306=0),0,IF(AND(L306=0,M306=0),N306/1,IF(AND(L306=0,N306=0),M306/1,IF(AND(M306=0,N306=0),L306/1,IF(L306=0,FLOOR((M306+N306)/2,0.1),IF(M306=0,(L306+N306)/2,IF(N306=0,(M306+L306)/2,FLOOR(((L306+M306+N306)/3),0.1))))))))</f>
        <v/>
      </c>
      <c r="P306" s="21" t="n"/>
      <c r="Q306" s="21" t="n"/>
      <c r="R306" s="27">
        <f>SUM(P306:Q306)</f>
        <v/>
      </c>
      <c r="S306" s="28" t="n"/>
      <c r="T306" s="28" t="n"/>
      <c r="U306" s="29">
        <f>IF(AND(R306=0,S306=0,T306=0),0,IF(AND(R306=0,S306=0),T306/1,IF(AND(R306=0,T306=0),S306/1,IF(AND(S306=0,T306=0),R306/1,IF(R306=0,FLOOR((S306+T306)/2,0.1),IF(S306=0,(R306+T306)/2,IF(T306=0,(S306+R306)/2,FLOOR(((R306+S306+T306)/3),0.1))))))))</f>
        <v/>
      </c>
      <c r="V306" s="21" t="n"/>
      <c r="W306" s="21" t="n"/>
      <c r="X306" s="27">
        <f>SUM(V306:W306)</f>
        <v/>
      </c>
      <c r="Y306" s="28" t="n"/>
      <c r="Z306" s="28" t="n"/>
      <c r="AA306" s="29">
        <f>IF(AND(X306=0,Y306=0,Z306=0),0,IF(AND(X306=0,Y306=0),Z306/1,IF(AND(X306=0,Z306=0),Y306/1,IF(AND(Y306=0,Z306=0),X306/1,IF(X306=0,FLOOR((Y306+Z306)/2,0.1),IF(Y306=0,(X306+Z306)/2,IF(Z306=0,(Y306+X306)/2,FLOOR(((X306+Y306+Z306)/3),0.1))))))))</f>
        <v/>
      </c>
      <c r="AB306" s="21" t="n"/>
      <c r="AC306" s="21" t="n"/>
      <c r="AD306" s="27">
        <f>SUM(AB306:AC306)</f>
        <v/>
      </c>
      <c r="AE306" s="28" t="n"/>
      <c r="AF306" s="28" t="n"/>
      <c r="AG306" s="29">
        <f>IF(AND(AD306=0,AE306=0,AF306=0),0,IF(AND(AD306=0,AE306=0),AF306/1,IF(AND(AD306=0,AF306=0),AE306/1,IF(AND(AE306=0,AF306=0),AD306/1,IF(AD306=0,FLOOR((AE306+AF306)/2,0.1),IF(AE306=0,(AD306+AF306)/2,IF(AF306=0,(AE306+AD306)/2,FLOOR(((AD306+AE306+AF306)/3),0.1))))))))</f>
        <v/>
      </c>
      <c r="AH306" s="21" t="n"/>
      <c r="AI306" s="21" t="n"/>
      <c r="AJ306" s="27">
        <f>SUM(AH306:AI306)</f>
        <v/>
      </c>
      <c r="AK306" s="28" t="n"/>
      <c r="AL306" s="28" t="n"/>
      <c r="AM306" s="29">
        <f>IF(AND(AJ306=0,AK306=0,AL306=0),0,IF(AND(AJ306=0,AK306=0),AL306/1,IF(AND(AJ306=0,AL306=0),AK306/1,IF(AND(AK306=0,AL306=0),AJ306/1,IF(AJ306=0,FLOOR((AK306+AL306)/2,0.1),IF(AK306=0,(AJ306+AL306)/2,IF(AL306=0,(AK306+AJ306)/2,FLOOR(((AJ306+AK306+AL306)/3),0.1))))))))</f>
        <v/>
      </c>
      <c r="AN306" s="21" t="n"/>
      <c r="AO306" s="21" t="n"/>
      <c r="AP306" s="27">
        <f>SUM(AN306:AO306)</f>
        <v/>
      </c>
      <c r="AQ306" s="28" t="n"/>
      <c r="AR306" s="30" t="n"/>
      <c r="AS306" s="29">
        <f>IF(AND(AP306=0,AQ306=0,AR306=0),0,IF(AND(AP306=0,AQ306=0),AR306/1,IF(AND(AP306=0,AR306=0),AQ306/1,IF(AND(AQ306=0,AR306=0),AP306/1,IF(AP306=0,FLOOR((AQ306+AR306)/2,0.1),IF(AQ306=0,(AP306+AR306)/2,IF(AR306=0,(AQ306+AP306)/2,FLOOR(((AP306+AQ306+AR306)/3),0.1))))))))</f>
        <v/>
      </c>
      <c r="AT306" s="21" t="n"/>
      <c r="AU306" s="21" t="n"/>
      <c r="AV306" s="27">
        <f>SUM(AT306:AU306)</f>
        <v/>
      </c>
      <c r="AW306" s="28" t="n"/>
      <c r="AX306" s="30" t="n"/>
      <c r="AY306" s="29">
        <f>IF(AND(AV306=0,AW306=0,AX306=0),0,IF(AND(AV306=0,AW306=0),AX306/1,IF(AND(AV306=0,AX306=0),AW306/1,IF(AND(AW306=0,AX306=0),AV306/1,IF(AV306=0,FLOOR((AW306+AX306)/2,0.1),IF(AW306=0,(AV306+AX306)/2,IF(AX306=0,(AW306+AV306)/2,FLOOR(((AV306+AW306+AX306)/3),0.1))))))))</f>
        <v/>
      </c>
      <c r="AZ306" s="21" t="n"/>
      <c r="BA306" s="21" t="n"/>
      <c r="BB306" s="27">
        <f>SUM(AZ306:BA306)</f>
        <v/>
      </c>
      <c r="BC306" s="28" t="n"/>
      <c r="BD306" s="28" t="n"/>
      <c r="BE306" s="29">
        <f>IF(AND(BB306=0,BC306=0,BD306=0),0,IF(AND(BB306=0,BC306=0),BD306/1,IF(AND(BB306=0,BD306=0),BC306/1,IF(AND(BC306=0,BD306=0),BB306/1,IF(BB306=0,FLOOR((BC306+BD306)/2,0.1),IF(BC306=0,(BB306+BD306)/2,IF(BD306=0,(BC306+BB306)/2,FLOOR(((BB306+BC306+BD306)/3),0.1))))))))</f>
        <v/>
      </c>
      <c r="BF306" s="21" t="n"/>
      <c r="BG306" s="21" t="n"/>
      <c r="BH306" s="27">
        <f>SUM(BF306:BG306)</f>
        <v/>
      </c>
      <c r="BI306" s="28" t="n"/>
      <c r="BJ306" s="28" t="n"/>
      <c r="BK306" s="29">
        <f>IF(AND(BH306=0,BI306=0,BJ306=0),0,IF(AND(BH306=0,BI306=0),BJ306/1,IF(AND(BH306=0,BJ306=0),BI306/1,IF(AND(BI306=0,BJ306=0),BH306/1,IF(BH306=0,FLOOR((BI306+BJ306)/2,0.1),IF(BI306=0,(BH306+BJ306)/2,IF(BJ306=0,(BI306+BH306)/2,FLOOR(((BH306+BI306+BJ306)/3),0.1))))))))</f>
        <v/>
      </c>
      <c r="BL306" s="21" t="n"/>
      <c r="BM306" s="21" t="n"/>
      <c r="BN306" s="27">
        <f>SUM(BL306:BM306)</f>
        <v/>
      </c>
      <c r="BO306" s="28" t="n"/>
      <c r="BP306" s="31" t="n"/>
      <c r="BQ306" s="29">
        <f>IF(AND(BN306=0,BO306=0,BP306=0),0,IF(AND(BN306=0,BO306=0),BP306/1,IF(AND(BN306=0,BP306=0),BO306/1,IF(AND(BO306=0,BP306=0),BN306/1,IF(BN306=0,FLOOR((BO306+BP306)/2,0.1),IF(BO306=0,(BN306+BP306)/2,IF(BP306=0,(BO306+BN306)/2,FLOOR(((BN306+BO306+BP306)/3),0.1))))))))</f>
        <v/>
      </c>
      <c r="BR306" s="21" t="n"/>
      <c r="BS306" s="21" t="n"/>
      <c r="BT306" s="27">
        <f>SUM(BR306:BS306)</f>
        <v/>
      </c>
      <c r="BU306" s="28" t="n"/>
      <c r="BV306" s="31" t="n"/>
      <c r="BW306" s="29">
        <f>IF(AND(BT306=0,BU306=0,BV306=0),0,IF(AND(BT306=0,BU306=0),BV306/1,IF(AND(BT306=0,BV306=0),BU306/1,IF(AND(BU306=0,BV306=0),BT306/1,IF(BT306=0,FLOOR((BU306+BV306)/2,0.1),IF(BU306=0,(BT306+BV306)/2,IF(BV306=0,(BU306+BT306)/2,FLOOR(((BT306+BU306+BV306)/3),0.1))))))))</f>
        <v/>
      </c>
      <c r="BX306" s="21" t="n"/>
      <c r="BY306" s="21" t="n"/>
      <c r="BZ306" s="27">
        <f>SUM(BX306:BY306)</f>
        <v/>
      </c>
      <c r="CA306" s="28" t="n"/>
      <c r="CB306" s="31" t="n"/>
      <c r="CC306" s="29">
        <f>IF(AND(BZ306=0,CA306=0,CB306=0),0,IF(AND(BZ306=0,CA306=0),CB306/1,IF(AND(BZ306=0,CB306=0),CA306/1,IF(AND(CA306=0,CB306=0),BZ306/1,IF(BZ306=0,FLOOR((CA306+CB306)/2,0.1),IF(CA306=0,(BZ306+CB306)/2,IF(CB306=0,(CA306+BZ306)/2,FLOOR(((BZ306+CA306+CB306)/3),0.1))))))))</f>
        <v/>
      </c>
      <c r="CD306" s="21" t="n"/>
      <c r="CE306" s="21" t="n"/>
      <c r="CF306" s="27">
        <f>SUM(CD306:CE306)</f>
        <v/>
      </c>
      <c r="CG306" s="28" t="n"/>
      <c r="CH306" s="31" t="n"/>
      <c r="CI306" s="29">
        <f>IF(AND(CF306=0,CG306=0,CH306=0),0,IF(AND(CF306=0,CG306=0),CH306/1,IF(AND(CF306=0,CH306=0),CG306/1,IF(AND(CG306=0,CH306=0),CF306/1,IF(CF306=0,FLOOR((CG306+CH306)/2,0.1),IF(CG306=0,(CF306+CH306)/2,IF(CH306=0,(CG306+CF306)/2,FLOOR(((CF306+CG306+CH306)/3),0.1))))))))</f>
        <v/>
      </c>
      <c r="CJ306" s="21" t="n"/>
      <c r="CK306" s="21" t="n"/>
      <c r="CL306" s="27">
        <f>SUM(CJ306:CK306)</f>
        <v/>
      </c>
      <c r="CM306" s="28" t="n"/>
      <c r="CN306" s="31" t="n"/>
      <c r="CO306" s="29">
        <f>IF(AND(CL306=0,CM306=0,CN306=0),0,IF(AND(CL306=0,CM306=0),CN306/1,IF(AND(CL306=0,CN306=0),CM306/1,IF(AND(CM306=0,CN306=0),CL306/1,IF(CL306=0,FLOOR((CM306+CN306)/2,0.1),IF(CM306=0,(CL306+CN306)/2,IF(CN306=0,(CM306+CL306)/2,FLOOR(((CL306+CM306+CN306)/3),0.1))))))))</f>
        <v/>
      </c>
      <c r="CP306" s="21" t="n"/>
      <c r="CQ306" s="21" t="n"/>
      <c r="CR306" s="27">
        <f>SUM(CP306:CQ306)</f>
        <v/>
      </c>
      <c r="CS306" s="28" t="n"/>
      <c r="CT306" s="31" t="n"/>
      <c r="CU306" s="29">
        <f>IF(AND(CR306=0,CS306=0,CT306=0),0,IF(AND(CR306=0,CS306=0),CT306/1,IF(AND(CR306=0,CT306=0),CS306/1,IF(AND(CS306=0,CT306=0),CR306/1,IF(CR306=0,FLOOR((CS306+CT306)/2,0.1),IF(CS306=0,(CR306+CT306)/2,IF(CT306=0,(CS306+CR306)/2,FLOOR(((CR306+CS306+CT306)/3),0.1))))))))</f>
        <v/>
      </c>
      <c r="CV306" s="21" t="n"/>
      <c r="CW306" s="21" t="n"/>
      <c r="CX306" s="27">
        <f>SUM(CV306:CW306)</f>
        <v/>
      </c>
      <c r="CY306" s="28" t="n"/>
      <c r="CZ306" s="31" t="n"/>
      <c r="DA306" s="29">
        <f>IF(AND(CX306=0,CY306=0,CZ306=0),0,IF(AND(CX306=0,CY306=0),CZ306/1,IF(AND(CX306=0,CZ306=0),CY306/1,IF(AND(CY306=0,CZ306=0),CX306/1,IF(CX306=0,FLOOR((CY306+CZ306)/2,0.1),IF(CY306=0,(CX306+CZ306)/2,IF(CZ306=0,(CY306+CX306)/2,FLOOR(((CX306+CY306+CZ306)/3),0.1))))))))</f>
        <v/>
      </c>
      <c r="DB306" s="21" t="n"/>
      <c r="DC306" s="21" t="n"/>
      <c r="DD306" s="27">
        <f>SUM(DB306:DC306)</f>
        <v/>
      </c>
      <c r="DE306" s="28" t="n"/>
      <c r="DF306" s="31" t="n"/>
      <c r="DG306" s="29">
        <f>IF(AND(DD306=0,DE306=0,DF306=0),0,IF(AND(DD306=0,DE306=0),DF306/1,IF(AND(DD306=0,DF306=0),DE306/1,IF(AND(DE306=0,DF306=0),DD306/1,IF(DD306=0,FLOOR((DE306+DF306)/2,0.1),IF(DE306=0,(DD306+DF306)/2,IF(DF306=0,(DE306+DD306)/2,FLOOR(((DD306+DE306+DF306)/3),0.1))))))))</f>
        <v/>
      </c>
      <c r="DH306" s="34">
        <f>SUM(O306,U306,AA306,AG306,AM306,AS306,AY306,BE306,BK306,BQ306,BW306,CC306,CI306,CO306,CU306,DA306,DG306)</f>
        <v/>
      </c>
      <c r="DI306" s="39">
        <f>RANK(DH306,DH$4:DH$503)</f>
        <v/>
      </c>
      <c r="DJ306" s="40" t="inlineStr">
        <is>
          <t>CHOOSE RATING</t>
        </is>
      </c>
      <c r="DK306" s="40" t="inlineStr">
        <is>
          <t>CHOOSE RATING</t>
        </is>
      </c>
      <c r="DL306" s="40" t="inlineStr">
        <is>
          <t>CHOOSE RATING</t>
        </is>
      </c>
      <c r="DM306" s="40" t="inlineStr">
        <is>
          <t>CHOOSE RATING</t>
        </is>
      </c>
      <c r="DN306" s="40" t="inlineStr">
        <is>
          <t>CHOOSE RATING</t>
        </is>
      </c>
      <c r="DO306" s="40" t="inlineStr">
        <is>
          <t>CHOOSE RATING</t>
        </is>
      </c>
      <c r="DP306" s="40" t="inlineStr">
        <is>
          <t>CHOOSE RATING</t>
        </is>
      </c>
      <c r="DQ306" s="40" t="inlineStr">
        <is>
          <t>CHOOSE RATING</t>
        </is>
      </c>
      <c r="DR306" s="43" t="inlineStr">
        <is>
          <t>2024/2025</t>
        </is>
      </c>
      <c r="DS306" s="45" t="inlineStr">
        <is>
          <t>THIRD</t>
        </is>
      </c>
      <c r="DT306" s="40" t="inlineStr">
        <is>
          <t>CHOOSE RATING</t>
        </is>
      </c>
      <c r="DU306" s="40" t="inlineStr">
        <is>
          <t>CHOOSE RATING</t>
        </is>
      </c>
      <c r="DV306" s="40" t="inlineStr">
        <is>
          <t>CHOOSE RATING</t>
        </is>
      </c>
      <c r="DW306" s="40" t="inlineStr">
        <is>
          <t>CHOOSE RATING</t>
        </is>
      </c>
      <c r="DX306" s="40" t="inlineStr">
        <is>
          <t>CHOOSE RATING</t>
        </is>
      </c>
      <c r="DY306" s="40" t="inlineStr">
        <is>
          <t>CHOOSE RATING</t>
        </is>
      </c>
      <c r="DZ306" s="53" t="inlineStr">
        <is>
          <t>CHOOSE RATING</t>
        </is>
      </c>
      <c r="EA306" s="54" t="inlineStr">
        <is>
          <t>Add the Tutor's Comment . . .</t>
        </is>
      </c>
      <c r="EB306" s="55" t="inlineStr">
        <is>
          <t>Choose Principals comment</t>
        </is>
      </c>
      <c r="EC306" s="56" t="n"/>
      <c r="ED306" s="57" t="inlineStr">
        <is>
          <t>Next Term Begins on Monday, 22nd September, 2025</t>
        </is>
      </c>
    </row>
    <row r="307" ht="30.6" customHeight="1" s="6">
      <c r="A307" s="18" t="n">
        <v>304</v>
      </c>
      <c r="B307" s="19" t="n"/>
      <c r="C307" s="20" t="n"/>
      <c r="D307" s="128" t="n"/>
      <c r="E307" s="21" t="n"/>
      <c r="F307" s="22" t="n"/>
      <c r="G307" s="22" t="n"/>
      <c r="H307" s="22" t="n"/>
      <c r="I307" s="26">
        <f>G307-H307</f>
        <v/>
      </c>
      <c r="J307" s="21" t="n"/>
      <c r="K307" s="21" t="n"/>
      <c r="L307" s="27">
        <f>SUM(J307:K307)</f>
        <v/>
      </c>
      <c r="M307" s="28" t="n"/>
      <c r="N307" s="28" t="n"/>
      <c r="O307" s="29">
        <f>IF(AND(L307=0,M307=0,N307=0),0,IF(AND(L307=0,M307=0),N307/1,IF(AND(L307=0,N307=0),M307/1,IF(AND(M307=0,N307=0),L307/1,IF(L307=0,FLOOR((M307+N307)/2,0.1),IF(M307=0,(L307+N307)/2,IF(N307=0,(M307+L307)/2,FLOOR(((L307+M307+N307)/3),0.1))))))))</f>
        <v/>
      </c>
      <c r="P307" s="21" t="n"/>
      <c r="Q307" s="21" t="n"/>
      <c r="R307" s="27">
        <f>SUM(P307:Q307)</f>
        <v/>
      </c>
      <c r="S307" s="28" t="n"/>
      <c r="T307" s="28" t="n"/>
      <c r="U307" s="29">
        <f>IF(AND(R307=0,S307=0,T307=0),0,IF(AND(R307=0,S307=0),T307/1,IF(AND(R307=0,T307=0),S307/1,IF(AND(S307=0,T307=0),R307/1,IF(R307=0,FLOOR((S307+T307)/2,0.1),IF(S307=0,(R307+T307)/2,IF(T307=0,(S307+R307)/2,FLOOR(((R307+S307+T307)/3),0.1))))))))</f>
        <v/>
      </c>
      <c r="V307" s="21" t="n"/>
      <c r="W307" s="21" t="n"/>
      <c r="X307" s="27">
        <f>SUM(V307:W307)</f>
        <v/>
      </c>
      <c r="Y307" s="28" t="n"/>
      <c r="Z307" s="28" t="n"/>
      <c r="AA307" s="29">
        <f>IF(AND(X307=0,Y307=0,Z307=0),0,IF(AND(X307=0,Y307=0),Z307/1,IF(AND(X307=0,Z307=0),Y307/1,IF(AND(Y307=0,Z307=0),X307/1,IF(X307=0,FLOOR((Y307+Z307)/2,0.1),IF(Y307=0,(X307+Z307)/2,IF(Z307=0,(Y307+X307)/2,FLOOR(((X307+Y307+Z307)/3),0.1))))))))</f>
        <v/>
      </c>
      <c r="AB307" s="21" t="n"/>
      <c r="AC307" s="21" t="n"/>
      <c r="AD307" s="27">
        <f>SUM(AB307:AC307)</f>
        <v/>
      </c>
      <c r="AE307" s="28" t="n"/>
      <c r="AF307" s="28" t="n"/>
      <c r="AG307" s="29">
        <f>IF(AND(AD307=0,AE307=0,AF307=0),0,IF(AND(AD307=0,AE307=0),AF307/1,IF(AND(AD307=0,AF307=0),AE307/1,IF(AND(AE307=0,AF307=0),AD307/1,IF(AD307=0,FLOOR((AE307+AF307)/2,0.1),IF(AE307=0,(AD307+AF307)/2,IF(AF307=0,(AE307+AD307)/2,FLOOR(((AD307+AE307+AF307)/3),0.1))))))))</f>
        <v/>
      </c>
      <c r="AH307" s="21" t="n"/>
      <c r="AI307" s="21" t="n"/>
      <c r="AJ307" s="27">
        <f>SUM(AH307:AI307)</f>
        <v/>
      </c>
      <c r="AK307" s="28" t="n"/>
      <c r="AL307" s="28" t="n"/>
      <c r="AM307" s="29">
        <f>IF(AND(AJ307=0,AK307=0,AL307=0),0,IF(AND(AJ307=0,AK307=0),AL307/1,IF(AND(AJ307=0,AL307=0),AK307/1,IF(AND(AK307=0,AL307=0),AJ307/1,IF(AJ307=0,FLOOR((AK307+AL307)/2,0.1),IF(AK307=0,(AJ307+AL307)/2,IF(AL307=0,(AK307+AJ307)/2,FLOOR(((AJ307+AK307+AL307)/3),0.1))))))))</f>
        <v/>
      </c>
      <c r="AN307" s="21" t="n"/>
      <c r="AO307" s="21" t="n"/>
      <c r="AP307" s="27">
        <f>SUM(AN307:AO307)</f>
        <v/>
      </c>
      <c r="AQ307" s="28" t="n"/>
      <c r="AR307" s="30" t="n"/>
      <c r="AS307" s="29">
        <f>IF(AND(AP307=0,AQ307=0,AR307=0),0,IF(AND(AP307=0,AQ307=0),AR307/1,IF(AND(AP307=0,AR307=0),AQ307/1,IF(AND(AQ307=0,AR307=0),AP307/1,IF(AP307=0,FLOOR((AQ307+AR307)/2,0.1),IF(AQ307=0,(AP307+AR307)/2,IF(AR307=0,(AQ307+AP307)/2,FLOOR(((AP307+AQ307+AR307)/3),0.1))))))))</f>
        <v/>
      </c>
      <c r="AT307" s="21" t="n"/>
      <c r="AU307" s="21" t="n"/>
      <c r="AV307" s="27">
        <f>SUM(AT307:AU307)</f>
        <v/>
      </c>
      <c r="AW307" s="28" t="n"/>
      <c r="AX307" s="30" t="n"/>
      <c r="AY307" s="29">
        <f>IF(AND(AV307=0,AW307=0,AX307=0),0,IF(AND(AV307=0,AW307=0),AX307/1,IF(AND(AV307=0,AX307=0),AW307/1,IF(AND(AW307=0,AX307=0),AV307/1,IF(AV307=0,FLOOR((AW307+AX307)/2,0.1),IF(AW307=0,(AV307+AX307)/2,IF(AX307=0,(AW307+AV307)/2,FLOOR(((AV307+AW307+AX307)/3),0.1))))))))</f>
        <v/>
      </c>
      <c r="AZ307" s="21" t="n"/>
      <c r="BA307" s="21" t="n"/>
      <c r="BB307" s="27">
        <f>SUM(AZ307:BA307)</f>
        <v/>
      </c>
      <c r="BC307" s="28" t="n"/>
      <c r="BD307" s="28" t="n"/>
      <c r="BE307" s="29">
        <f>IF(AND(BB307=0,BC307=0,BD307=0),0,IF(AND(BB307=0,BC307=0),BD307/1,IF(AND(BB307=0,BD307=0),BC307/1,IF(AND(BC307=0,BD307=0),BB307/1,IF(BB307=0,FLOOR((BC307+BD307)/2,0.1),IF(BC307=0,(BB307+BD307)/2,IF(BD307=0,(BC307+BB307)/2,FLOOR(((BB307+BC307+BD307)/3),0.1))))))))</f>
        <v/>
      </c>
      <c r="BF307" s="21" t="n"/>
      <c r="BG307" s="21" t="n"/>
      <c r="BH307" s="27">
        <f>SUM(BF307:BG307)</f>
        <v/>
      </c>
      <c r="BI307" s="28" t="n"/>
      <c r="BJ307" s="28" t="n"/>
      <c r="BK307" s="29">
        <f>IF(AND(BH307=0,BI307=0,BJ307=0),0,IF(AND(BH307=0,BI307=0),BJ307/1,IF(AND(BH307=0,BJ307=0),BI307/1,IF(AND(BI307=0,BJ307=0),BH307/1,IF(BH307=0,FLOOR((BI307+BJ307)/2,0.1),IF(BI307=0,(BH307+BJ307)/2,IF(BJ307=0,(BI307+BH307)/2,FLOOR(((BH307+BI307+BJ307)/3),0.1))))))))</f>
        <v/>
      </c>
      <c r="BL307" s="21" t="n"/>
      <c r="BM307" s="21" t="n"/>
      <c r="BN307" s="27">
        <f>SUM(BL307:BM307)</f>
        <v/>
      </c>
      <c r="BO307" s="28" t="n"/>
      <c r="BP307" s="31" t="n"/>
      <c r="BQ307" s="29">
        <f>IF(AND(BN307=0,BO307=0,BP307=0),0,IF(AND(BN307=0,BO307=0),BP307/1,IF(AND(BN307=0,BP307=0),BO307/1,IF(AND(BO307=0,BP307=0),BN307/1,IF(BN307=0,FLOOR((BO307+BP307)/2,0.1),IF(BO307=0,(BN307+BP307)/2,IF(BP307=0,(BO307+BN307)/2,FLOOR(((BN307+BO307+BP307)/3),0.1))))))))</f>
        <v/>
      </c>
      <c r="BR307" s="21" t="n"/>
      <c r="BS307" s="21" t="n"/>
      <c r="BT307" s="27">
        <f>SUM(BR307:BS307)</f>
        <v/>
      </c>
      <c r="BU307" s="28" t="n"/>
      <c r="BV307" s="31" t="n"/>
      <c r="BW307" s="29">
        <f>IF(AND(BT307=0,BU307=0,BV307=0),0,IF(AND(BT307=0,BU307=0),BV307/1,IF(AND(BT307=0,BV307=0),BU307/1,IF(AND(BU307=0,BV307=0),BT307/1,IF(BT307=0,FLOOR((BU307+BV307)/2,0.1),IF(BU307=0,(BT307+BV307)/2,IF(BV307=0,(BU307+BT307)/2,FLOOR(((BT307+BU307+BV307)/3),0.1))))))))</f>
        <v/>
      </c>
      <c r="BX307" s="21" t="n"/>
      <c r="BY307" s="21" t="n"/>
      <c r="BZ307" s="27">
        <f>SUM(BX307:BY307)</f>
        <v/>
      </c>
      <c r="CA307" s="28" t="n"/>
      <c r="CB307" s="31" t="n"/>
      <c r="CC307" s="29">
        <f>IF(AND(BZ307=0,CA307=0,CB307=0),0,IF(AND(BZ307=0,CA307=0),CB307/1,IF(AND(BZ307=0,CB307=0),CA307/1,IF(AND(CA307=0,CB307=0),BZ307/1,IF(BZ307=0,FLOOR((CA307+CB307)/2,0.1),IF(CA307=0,(BZ307+CB307)/2,IF(CB307=0,(CA307+BZ307)/2,FLOOR(((BZ307+CA307+CB307)/3),0.1))))))))</f>
        <v/>
      </c>
      <c r="CD307" s="21" t="n"/>
      <c r="CE307" s="21" t="n"/>
      <c r="CF307" s="27">
        <f>SUM(CD307:CE307)</f>
        <v/>
      </c>
      <c r="CG307" s="28" t="n"/>
      <c r="CH307" s="31" t="n"/>
      <c r="CI307" s="29">
        <f>IF(AND(CF307=0,CG307=0,CH307=0),0,IF(AND(CF307=0,CG307=0),CH307/1,IF(AND(CF307=0,CH307=0),CG307/1,IF(AND(CG307=0,CH307=0),CF307/1,IF(CF307=0,FLOOR((CG307+CH307)/2,0.1),IF(CG307=0,(CF307+CH307)/2,IF(CH307=0,(CG307+CF307)/2,FLOOR(((CF307+CG307+CH307)/3),0.1))))))))</f>
        <v/>
      </c>
      <c r="CJ307" s="21" t="n"/>
      <c r="CK307" s="21" t="n"/>
      <c r="CL307" s="27">
        <f>SUM(CJ307:CK307)</f>
        <v/>
      </c>
      <c r="CM307" s="28" t="n"/>
      <c r="CN307" s="31" t="n"/>
      <c r="CO307" s="29">
        <f>IF(AND(CL307=0,CM307=0,CN307=0),0,IF(AND(CL307=0,CM307=0),CN307/1,IF(AND(CL307=0,CN307=0),CM307/1,IF(AND(CM307=0,CN307=0),CL307/1,IF(CL307=0,FLOOR((CM307+CN307)/2,0.1),IF(CM307=0,(CL307+CN307)/2,IF(CN307=0,(CM307+CL307)/2,FLOOR(((CL307+CM307+CN307)/3),0.1))))))))</f>
        <v/>
      </c>
      <c r="CP307" s="21" t="n"/>
      <c r="CQ307" s="21" t="n"/>
      <c r="CR307" s="27">
        <f>SUM(CP307:CQ307)</f>
        <v/>
      </c>
      <c r="CS307" s="28" t="n"/>
      <c r="CT307" s="31" t="n"/>
      <c r="CU307" s="29">
        <f>IF(AND(CR307=0,CS307=0,CT307=0),0,IF(AND(CR307=0,CS307=0),CT307/1,IF(AND(CR307=0,CT307=0),CS307/1,IF(AND(CS307=0,CT307=0),CR307/1,IF(CR307=0,FLOOR((CS307+CT307)/2,0.1),IF(CS307=0,(CR307+CT307)/2,IF(CT307=0,(CS307+CR307)/2,FLOOR(((CR307+CS307+CT307)/3),0.1))))))))</f>
        <v/>
      </c>
      <c r="CV307" s="21" t="n"/>
      <c r="CW307" s="21" t="n"/>
      <c r="CX307" s="27">
        <f>SUM(CV307:CW307)</f>
        <v/>
      </c>
      <c r="CY307" s="28" t="n"/>
      <c r="CZ307" s="31" t="n"/>
      <c r="DA307" s="29">
        <f>IF(AND(CX307=0,CY307=0,CZ307=0),0,IF(AND(CX307=0,CY307=0),CZ307/1,IF(AND(CX307=0,CZ307=0),CY307/1,IF(AND(CY307=0,CZ307=0),CX307/1,IF(CX307=0,FLOOR((CY307+CZ307)/2,0.1),IF(CY307=0,(CX307+CZ307)/2,IF(CZ307=0,(CY307+CX307)/2,FLOOR(((CX307+CY307+CZ307)/3),0.1))))))))</f>
        <v/>
      </c>
      <c r="DB307" s="21" t="n"/>
      <c r="DC307" s="21" t="n"/>
      <c r="DD307" s="27">
        <f>SUM(DB307:DC307)</f>
        <v/>
      </c>
      <c r="DE307" s="28" t="n"/>
      <c r="DF307" s="31" t="n"/>
      <c r="DG307" s="29">
        <f>IF(AND(DD307=0,DE307=0,DF307=0),0,IF(AND(DD307=0,DE307=0),DF307/1,IF(AND(DD307=0,DF307=0),DE307/1,IF(AND(DE307=0,DF307=0),DD307/1,IF(DD307=0,FLOOR((DE307+DF307)/2,0.1),IF(DE307=0,(DD307+DF307)/2,IF(DF307=0,(DE307+DD307)/2,FLOOR(((DD307+DE307+DF307)/3),0.1))))))))</f>
        <v/>
      </c>
      <c r="DH307" s="34">
        <f>SUM(O307,U307,AA307,AG307,AM307,AS307,AY307,BE307,BK307,BQ307,BW307,CC307,CI307,CO307,CU307,DA307,DG307)</f>
        <v/>
      </c>
      <c r="DI307" s="39">
        <f>RANK(DH307,DH$4:DH$503)</f>
        <v/>
      </c>
      <c r="DJ307" s="40" t="inlineStr">
        <is>
          <t>CHOOSE RATING</t>
        </is>
      </c>
      <c r="DK307" s="40" t="inlineStr">
        <is>
          <t>CHOOSE RATING</t>
        </is>
      </c>
      <c r="DL307" s="40" t="inlineStr">
        <is>
          <t>CHOOSE RATING</t>
        </is>
      </c>
      <c r="DM307" s="40" t="inlineStr">
        <is>
          <t>CHOOSE RATING</t>
        </is>
      </c>
      <c r="DN307" s="40" t="inlineStr">
        <is>
          <t>CHOOSE RATING</t>
        </is>
      </c>
      <c r="DO307" s="40" t="inlineStr">
        <is>
          <t>CHOOSE RATING</t>
        </is>
      </c>
      <c r="DP307" s="40" t="inlineStr">
        <is>
          <t>CHOOSE RATING</t>
        </is>
      </c>
      <c r="DQ307" s="40" t="inlineStr">
        <is>
          <t>CHOOSE RATING</t>
        </is>
      </c>
      <c r="DR307" s="43" t="inlineStr">
        <is>
          <t>2024/2025</t>
        </is>
      </c>
      <c r="DS307" s="45" t="inlineStr">
        <is>
          <t>THIRD</t>
        </is>
      </c>
      <c r="DT307" s="40" t="inlineStr">
        <is>
          <t>CHOOSE RATING</t>
        </is>
      </c>
      <c r="DU307" s="40" t="inlineStr">
        <is>
          <t>CHOOSE RATING</t>
        </is>
      </c>
      <c r="DV307" s="40" t="inlineStr">
        <is>
          <t>CHOOSE RATING</t>
        </is>
      </c>
      <c r="DW307" s="40" t="inlineStr">
        <is>
          <t>CHOOSE RATING</t>
        </is>
      </c>
      <c r="DX307" s="40" t="inlineStr">
        <is>
          <t>CHOOSE RATING</t>
        </is>
      </c>
      <c r="DY307" s="40" t="inlineStr">
        <is>
          <t>CHOOSE RATING</t>
        </is>
      </c>
      <c r="DZ307" s="53" t="inlineStr">
        <is>
          <t>CHOOSE RATING</t>
        </is>
      </c>
      <c r="EA307" s="54" t="inlineStr">
        <is>
          <t>Add the Tutor's Comment . . .</t>
        </is>
      </c>
      <c r="EB307" s="55" t="inlineStr">
        <is>
          <t>Choose Principals comment</t>
        </is>
      </c>
      <c r="EC307" s="56" t="n"/>
      <c r="ED307" s="57" t="inlineStr">
        <is>
          <t>Next Term Begins on Monday, 22nd September, 2025</t>
        </is>
      </c>
    </row>
    <row r="308" ht="30.6" customHeight="1" s="6">
      <c r="A308" s="18" t="n">
        <v>305</v>
      </c>
      <c r="B308" s="19" t="n"/>
      <c r="C308" s="20" t="n"/>
      <c r="D308" s="128" t="n"/>
      <c r="E308" s="21" t="n"/>
      <c r="F308" s="22" t="n"/>
      <c r="G308" s="22" t="n"/>
      <c r="H308" s="22" t="n"/>
      <c r="I308" s="26">
        <f>G308-H308</f>
        <v/>
      </c>
      <c r="J308" s="21" t="n"/>
      <c r="K308" s="21" t="n"/>
      <c r="L308" s="27">
        <f>SUM(J308:K308)</f>
        <v/>
      </c>
      <c r="M308" s="28" t="n"/>
      <c r="N308" s="28" t="n"/>
      <c r="O308" s="29">
        <f>IF(AND(L308=0,M308=0,N308=0),0,IF(AND(L308=0,M308=0),N308/1,IF(AND(L308=0,N308=0),M308/1,IF(AND(M308=0,N308=0),L308/1,IF(L308=0,FLOOR((M308+N308)/2,0.1),IF(M308=0,(L308+N308)/2,IF(N308=0,(M308+L308)/2,FLOOR(((L308+M308+N308)/3),0.1))))))))</f>
        <v/>
      </c>
      <c r="P308" s="21" t="n"/>
      <c r="Q308" s="21" t="n"/>
      <c r="R308" s="27">
        <f>SUM(P308:Q308)</f>
        <v/>
      </c>
      <c r="S308" s="28" t="n"/>
      <c r="T308" s="28" t="n"/>
      <c r="U308" s="29">
        <f>IF(AND(R308=0,S308=0,T308=0),0,IF(AND(R308=0,S308=0),T308/1,IF(AND(R308=0,T308=0),S308/1,IF(AND(S308=0,T308=0),R308/1,IF(R308=0,FLOOR((S308+T308)/2,0.1),IF(S308=0,(R308+T308)/2,IF(T308=0,(S308+R308)/2,FLOOR(((R308+S308+T308)/3),0.1))))))))</f>
        <v/>
      </c>
      <c r="V308" s="21" t="n"/>
      <c r="W308" s="21" t="n"/>
      <c r="X308" s="27">
        <f>SUM(V308:W308)</f>
        <v/>
      </c>
      <c r="Y308" s="28" t="n"/>
      <c r="Z308" s="28" t="n"/>
      <c r="AA308" s="29">
        <f>IF(AND(X308=0,Y308=0,Z308=0),0,IF(AND(X308=0,Y308=0),Z308/1,IF(AND(X308=0,Z308=0),Y308/1,IF(AND(Y308=0,Z308=0),X308/1,IF(X308=0,FLOOR((Y308+Z308)/2,0.1),IF(Y308=0,(X308+Z308)/2,IF(Z308=0,(Y308+X308)/2,FLOOR(((X308+Y308+Z308)/3),0.1))))))))</f>
        <v/>
      </c>
      <c r="AB308" s="21" t="n"/>
      <c r="AC308" s="21" t="n"/>
      <c r="AD308" s="27">
        <f>SUM(AB308:AC308)</f>
        <v/>
      </c>
      <c r="AE308" s="28" t="n"/>
      <c r="AF308" s="28" t="n"/>
      <c r="AG308" s="29">
        <f>IF(AND(AD308=0,AE308=0,AF308=0),0,IF(AND(AD308=0,AE308=0),AF308/1,IF(AND(AD308=0,AF308=0),AE308/1,IF(AND(AE308=0,AF308=0),AD308/1,IF(AD308=0,FLOOR((AE308+AF308)/2,0.1),IF(AE308=0,(AD308+AF308)/2,IF(AF308=0,(AE308+AD308)/2,FLOOR(((AD308+AE308+AF308)/3),0.1))))))))</f>
        <v/>
      </c>
      <c r="AH308" s="21" t="n"/>
      <c r="AI308" s="21" t="n"/>
      <c r="AJ308" s="27">
        <f>SUM(AH308:AI308)</f>
        <v/>
      </c>
      <c r="AK308" s="28" t="n"/>
      <c r="AL308" s="28" t="n"/>
      <c r="AM308" s="29">
        <f>IF(AND(AJ308=0,AK308=0,AL308=0),0,IF(AND(AJ308=0,AK308=0),AL308/1,IF(AND(AJ308=0,AL308=0),AK308/1,IF(AND(AK308=0,AL308=0),AJ308/1,IF(AJ308=0,FLOOR((AK308+AL308)/2,0.1),IF(AK308=0,(AJ308+AL308)/2,IF(AL308=0,(AK308+AJ308)/2,FLOOR(((AJ308+AK308+AL308)/3),0.1))))))))</f>
        <v/>
      </c>
      <c r="AN308" s="21" t="n"/>
      <c r="AO308" s="21" t="n"/>
      <c r="AP308" s="27">
        <f>SUM(AN308:AO308)</f>
        <v/>
      </c>
      <c r="AQ308" s="28" t="n"/>
      <c r="AR308" s="30" t="n"/>
      <c r="AS308" s="29">
        <f>IF(AND(AP308=0,AQ308=0,AR308=0),0,IF(AND(AP308=0,AQ308=0),AR308/1,IF(AND(AP308=0,AR308=0),AQ308/1,IF(AND(AQ308=0,AR308=0),AP308/1,IF(AP308=0,FLOOR((AQ308+AR308)/2,0.1),IF(AQ308=0,(AP308+AR308)/2,IF(AR308=0,(AQ308+AP308)/2,FLOOR(((AP308+AQ308+AR308)/3),0.1))))))))</f>
        <v/>
      </c>
      <c r="AT308" s="21" t="n"/>
      <c r="AU308" s="21" t="n"/>
      <c r="AV308" s="27">
        <f>SUM(AT308:AU308)</f>
        <v/>
      </c>
      <c r="AW308" s="28" t="n"/>
      <c r="AX308" s="30" t="n"/>
      <c r="AY308" s="29">
        <f>IF(AND(AV308=0,AW308=0,AX308=0),0,IF(AND(AV308=0,AW308=0),AX308/1,IF(AND(AV308=0,AX308=0),AW308/1,IF(AND(AW308=0,AX308=0),AV308/1,IF(AV308=0,FLOOR((AW308+AX308)/2,0.1),IF(AW308=0,(AV308+AX308)/2,IF(AX308=0,(AW308+AV308)/2,FLOOR(((AV308+AW308+AX308)/3),0.1))))))))</f>
        <v/>
      </c>
      <c r="AZ308" s="21" t="n"/>
      <c r="BA308" s="21" t="n"/>
      <c r="BB308" s="27">
        <f>SUM(AZ308:BA308)</f>
        <v/>
      </c>
      <c r="BC308" s="28" t="n"/>
      <c r="BD308" s="28" t="n"/>
      <c r="BE308" s="29">
        <f>IF(AND(BB308=0,BC308=0,BD308=0),0,IF(AND(BB308=0,BC308=0),BD308/1,IF(AND(BB308=0,BD308=0),BC308/1,IF(AND(BC308=0,BD308=0),BB308/1,IF(BB308=0,FLOOR((BC308+BD308)/2,0.1),IF(BC308=0,(BB308+BD308)/2,IF(BD308=0,(BC308+BB308)/2,FLOOR(((BB308+BC308+BD308)/3),0.1))))))))</f>
        <v/>
      </c>
      <c r="BF308" s="21" t="n"/>
      <c r="BG308" s="21" t="n"/>
      <c r="BH308" s="27">
        <f>SUM(BF308:BG308)</f>
        <v/>
      </c>
      <c r="BI308" s="28" t="n"/>
      <c r="BJ308" s="28" t="n"/>
      <c r="BK308" s="29">
        <f>IF(AND(BH308=0,BI308=0,BJ308=0),0,IF(AND(BH308=0,BI308=0),BJ308/1,IF(AND(BH308=0,BJ308=0),BI308/1,IF(AND(BI308=0,BJ308=0),BH308/1,IF(BH308=0,FLOOR((BI308+BJ308)/2,0.1),IF(BI308=0,(BH308+BJ308)/2,IF(BJ308=0,(BI308+BH308)/2,FLOOR(((BH308+BI308+BJ308)/3),0.1))))))))</f>
        <v/>
      </c>
      <c r="BL308" s="21" t="n"/>
      <c r="BM308" s="21" t="n"/>
      <c r="BN308" s="27">
        <f>SUM(BL308:BM308)</f>
        <v/>
      </c>
      <c r="BO308" s="28" t="n"/>
      <c r="BP308" s="31" t="n"/>
      <c r="BQ308" s="29">
        <f>IF(AND(BN308=0,BO308=0,BP308=0),0,IF(AND(BN308=0,BO308=0),BP308/1,IF(AND(BN308=0,BP308=0),BO308/1,IF(AND(BO308=0,BP308=0),BN308/1,IF(BN308=0,FLOOR((BO308+BP308)/2,0.1),IF(BO308=0,(BN308+BP308)/2,IF(BP308=0,(BO308+BN308)/2,FLOOR(((BN308+BO308+BP308)/3),0.1))))))))</f>
        <v/>
      </c>
      <c r="BR308" s="21" t="n"/>
      <c r="BS308" s="21" t="n"/>
      <c r="BT308" s="27">
        <f>SUM(BR308:BS308)</f>
        <v/>
      </c>
      <c r="BU308" s="28" t="n"/>
      <c r="BV308" s="31" t="n"/>
      <c r="BW308" s="29">
        <f>IF(AND(BT308=0,BU308=0,BV308=0),0,IF(AND(BT308=0,BU308=0),BV308/1,IF(AND(BT308=0,BV308=0),BU308/1,IF(AND(BU308=0,BV308=0),BT308/1,IF(BT308=0,FLOOR((BU308+BV308)/2,0.1),IF(BU308=0,(BT308+BV308)/2,IF(BV308=0,(BU308+BT308)/2,FLOOR(((BT308+BU308+BV308)/3),0.1))))))))</f>
        <v/>
      </c>
      <c r="BX308" s="21" t="n"/>
      <c r="BY308" s="21" t="n"/>
      <c r="BZ308" s="27">
        <f>SUM(BX308:BY308)</f>
        <v/>
      </c>
      <c r="CA308" s="28" t="n"/>
      <c r="CB308" s="31" t="n"/>
      <c r="CC308" s="29">
        <f>IF(AND(BZ308=0,CA308=0,CB308=0),0,IF(AND(BZ308=0,CA308=0),CB308/1,IF(AND(BZ308=0,CB308=0),CA308/1,IF(AND(CA308=0,CB308=0),BZ308/1,IF(BZ308=0,FLOOR((CA308+CB308)/2,0.1),IF(CA308=0,(BZ308+CB308)/2,IF(CB308=0,(CA308+BZ308)/2,FLOOR(((BZ308+CA308+CB308)/3),0.1))))))))</f>
        <v/>
      </c>
      <c r="CD308" s="21" t="n"/>
      <c r="CE308" s="21" t="n"/>
      <c r="CF308" s="27">
        <f>SUM(CD308:CE308)</f>
        <v/>
      </c>
      <c r="CG308" s="28" t="n"/>
      <c r="CH308" s="31" t="n"/>
      <c r="CI308" s="29">
        <f>IF(AND(CF308=0,CG308=0,CH308=0),0,IF(AND(CF308=0,CG308=0),CH308/1,IF(AND(CF308=0,CH308=0),CG308/1,IF(AND(CG308=0,CH308=0),CF308/1,IF(CF308=0,FLOOR((CG308+CH308)/2,0.1),IF(CG308=0,(CF308+CH308)/2,IF(CH308=0,(CG308+CF308)/2,FLOOR(((CF308+CG308+CH308)/3),0.1))))))))</f>
        <v/>
      </c>
      <c r="CJ308" s="21" t="n"/>
      <c r="CK308" s="21" t="n"/>
      <c r="CL308" s="27">
        <f>SUM(CJ308:CK308)</f>
        <v/>
      </c>
      <c r="CM308" s="28" t="n"/>
      <c r="CN308" s="31" t="n"/>
      <c r="CO308" s="29">
        <f>IF(AND(CL308=0,CM308=0,CN308=0),0,IF(AND(CL308=0,CM308=0),CN308/1,IF(AND(CL308=0,CN308=0),CM308/1,IF(AND(CM308=0,CN308=0),CL308/1,IF(CL308=0,FLOOR((CM308+CN308)/2,0.1),IF(CM308=0,(CL308+CN308)/2,IF(CN308=0,(CM308+CL308)/2,FLOOR(((CL308+CM308+CN308)/3),0.1))))))))</f>
        <v/>
      </c>
      <c r="CP308" s="21" t="n"/>
      <c r="CQ308" s="21" t="n"/>
      <c r="CR308" s="27">
        <f>SUM(CP308:CQ308)</f>
        <v/>
      </c>
      <c r="CS308" s="28" t="n"/>
      <c r="CT308" s="31" t="n"/>
      <c r="CU308" s="29">
        <f>IF(AND(CR308=0,CS308=0,CT308=0),0,IF(AND(CR308=0,CS308=0),CT308/1,IF(AND(CR308=0,CT308=0),CS308/1,IF(AND(CS308=0,CT308=0),CR308/1,IF(CR308=0,FLOOR((CS308+CT308)/2,0.1),IF(CS308=0,(CR308+CT308)/2,IF(CT308=0,(CS308+CR308)/2,FLOOR(((CR308+CS308+CT308)/3),0.1))))))))</f>
        <v/>
      </c>
      <c r="CV308" s="21" t="n"/>
      <c r="CW308" s="21" t="n"/>
      <c r="CX308" s="27">
        <f>SUM(CV308:CW308)</f>
        <v/>
      </c>
      <c r="CY308" s="28" t="n"/>
      <c r="CZ308" s="31" t="n"/>
      <c r="DA308" s="29">
        <f>IF(AND(CX308=0,CY308=0,CZ308=0),0,IF(AND(CX308=0,CY308=0),CZ308/1,IF(AND(CX308=0,CZ308=0),CY308/1,IF(AND(CY308=0,CZ308=0),CX308/1,IF(CX308=0,FLOOR((CY308+CZ308)/2,0.1),IF(CY308=0,(CX308+CZ308)/2,IF(CZ308=0,(CY308+CX308)/2,FLOOR(((CX308+CY308+CZ308)/3),0.1))))))))</f>
        <v/>
      </c>
      <c r="DB308" s="21" t="n"/>
      <c r="DC308" s="21" t="n"/>
      <c r="DD308" s="27">
        <f>SUM(DB308:DC308)</f>
        <v/>
      </c>
      <c r="DE308" s="28" t="n"/>
      <c r="DF308" s="31" t="n"/>
      <c r="DG308" s="29">
        <f>IF(AND(DD308=0,DE308=0,DF308=0),0,IF(AND(DD308=0,DE308=0),DF308/1,IF(AND(DD308=0,DF308=0),DE308/1,IF(AND(DE308=0,DF308=0),DD308/1,IF(DD308=0,FLOOR((DE308+DF308)/2,0.1),IF(DE308=0,(DD308+DF308)/2,IF(DF308=0,(DE308+DD308)/2,FLOOR(((DD308+DE308+DF308)/3),0.1))))))))</f>
        <v/>
      </c>
      <c r="DH308" s="34">
        <f>SUM(O308,U308,AA308,AG308,AM308,AS308,AY308,BE308,BK308,BQ308,BW308,CC308,CI308,CO308,CU308,DA308,DG308)</f>
        <v/>
      </c>
      <c r="DI308" s="39">
        <f>RANK(DH308,DH$4:DH$503)</f>
        <v/>
      </c>
      <c r="DJ308" s="40" t="inlineStr">
        <is>
          <t>CHOOSE RATING</t>
        </is>
      </c>
      <c r="DK308" s="40" t="inlineStr">
        <is>
          <t>CHOOSE RATING</t>
        </is>
      </c>
      <c r="DL308" s="40" t="inlineStr">
        <is>
          <t>CHOOSE RATING</t>
        </is>
      </c>
      <c r="DM308" s="40" t="inlineStr">
        <is>
          <t>CHOOSE RATING</t>
        </is>
      </c>
      <c r="DN308" s="40" t="inlineStr">
        <is>
          <t>CHOOSE RATING</t>
        </is>
      </c>
      <c r="DO308" s="40" t="inlineStr">
        <is>
          <t>CHOOSE RATING</t>
        </is>
      </c>
      <c r="DP308" s="40" t="inlineStr">
        <is>
          <t>CHOOSE RATING</t>
        </is>
      </c>
      <c r="DQ308" s="40" t="inlineStr">
        <is>
          <t>CHOOSE RATING</t>
        </is>
      </c>
      <c r="DR308" s="43" t="inlineStr">
        <is>
          <t>2024/2025</t>
        </is>
      </c>
      <c r="DS308" s="45" t="inlineStr">
        <is>
          <t>THIRD</t>
        </is>
      </c>
      <c r="DT308" s="40" t="inlineStr">
        <is>
          <t>CHOOSE RATING</t>
        </is>
      </c>
      <c r="DU308" s="40" t="inlineStr">
        <is>
          <t>CHOOSE RATING</t>
        </is>
      </c>
      <c r="DV308" s="40" t="inlineStr">
        <is>
          <t>CHOOSE RATING</t>
        </is>
      </c>
      <c r="DW308" s="40" t="inlineStr">
        <is>
          <t>CHOOSE RATING</t>
        </is>
      </c>
      <c r="DX308" s="40" t="inlineStr">
        <is>
          <t>CHOOSE RATING</t>
        </is>
      </c>
      <c r="DY308" s="40" t="inlineStr">
        <is>
          <t>CHOOSE RATING</t>
        </is>
      </c>
      <c r="DZ308" s="53" t="inlineStr">
        <is>
          <t>CHOOSE RATING</t>
        </is>
      </c>
      <c r="EA308" s="54" t="inlineStr">
        <is>
          <t>Add the Tutor's Comment . . .</t>
        </is>
      </c>
      <c r="EB308" s="55" t="inlineStr">
        <is>
          <t>Choose Principals comment</t>
        </is>
      </c>
      <c r="EC308" s="56" t="n"/>
      <c r="ED308" s="57" t="inlineStr">
        <is>
          <t>Next Term Begins on Monday, 22nd September, 2025</t>
        </is>
      </c>
    </row>
    <row r="309" ht="30.6" customHeight="1" s="6">
      <c r="A309" s="18" t="n">
        <v>306</v>
      </c>
      <c r="B309" s="19" t="n"/>
      <c r="C309" s="20" t="n"/>
      <c r="D309" s="128" t="n"/>
      <c r="E309" s="21" t="n"/>
      <c r="F309" s="22" t="n"/>
      <c r="G309" s="22" t="n"/>
      <c r="H309" s="22" t="n"/>
      <c r="I309" s="26">
        <f>G309-H309</f>
        <v/>
      </c>
      <c r="J309" s="21" t="n"/>
      <c r="K309" s="21" t="n"/>
      <c r="L309" s="27">
        <f>SUM(J309:K309)</f>
        <v/>
      </c>
      <c r="M309" s="28" t="n"/>
      <c r="N309" s="28" t="n"/>
      <c r="O309" s="29">
        <f>IF(AND(L309=0,M309=0,N309=0),0,IF(AND(L309=0,M309=0),N309/1,IF(AND(L309=0,N309=0),M309/1,IF(AND(M309=0,N309=0),L309/1,IF(L309=0,FLOOR((M309+N309)/2,0.1),IF(M309=0,(L309+N309)/2,IF(N309=0,(M309+L309)/2,FLOOR(((L309+M309+N309)/3),0.1))))))))</f>
        <v/>
      </c>
      <c r="P309" s="21" t="n"/>
      <c r="Q309" s="21" t="n"/>
      <c r="R309" s="27">
        <f>SUM(P309:Q309)</f>
        <v/>
      </c>
      <c r="S309" s="28" t="n"/>
      <c r="T309" s="28" t="n"/>
      <c r="U309" s="29">
        <f>IF(AND(R309=0,S309=0,T309=0),0,IF(AND(R309=0,S309=0),T309/1,IF(AND(R309=0,T309=0),S309/1,IF(AND(S309=0,T309=0),R309/1,IF(R309=0,FLOOR((S309+T309)/2,0.1),IF(S309=0,(R309+T309)/2,IF(T309=0,(S309+R309)/2,FLOOR(((R309+S309+T309)/3),0.1))))))))</f>
        <v/>
      </c>
      <c r="V309" s="21" t="n"/>
      <c r="W309" s="21" t="n"/>
      <c r="X309" s="27">
        <f>SUM(V309:W309)</f>
        <v/>
      </c>
      <c r="Y309" s="28" t="n"/>
      <c r="Z309" s="28" t="n"/>
      <c r="AA309" s="29">
        <f>IF(AND(X309=0,Y309=0,Z309=0),0,IF(AND(X309=0,Y309=0),Z309/1,IF(AND(X309=0,Z309=0),Y309/1,IF(AND(Y309=0,Z309=0),X309/1,IF(X309=0,FLOOR((Y309+Z309)/2,0.1),IF(Y309=0,(X309+Z309)/2,IF(Z309=0,(Y309+X309)/2,FLOOR(((X309+Y309+Z309)/3),0.1))))))))</f>
        <v/>
      </c>
      <c r="AB309" s="21" t="n"/>
      <c r="AC309" s="21" t="n"/>
      <c r="AD309" s="27">
        <f>SUM(AB309:AC309)</f>
        <v/>
      </c>
      <c r="AE309" s="28" t="n"/>
      <c r="AF309" s="28" t="n"/>
      <c r="AG309" s="29">
        <f>IF(AND(AD309=0,AE309=0,AF309=0),0,IF(AND(AD309=0,AE309=0),AF309/1,IF(AND(AD309=0,AF309=0),AE309/1,IF(AND(AE309=0,AF309=0),AD309/1,IF(AD309=0,FLOOR((AE309+AF309)/2,0.1),IF(AE309=0,(AD309+AF309)/2,IF(AF309=0,(AE309+AD309)/2,FLOOR(((AD309+AE309+AF309)/3),0.1))))))))</f>
        <v/>
      </c>
      <c r="AH309" s="21" t="n"/>
      <c r="AI309" s="21" t="n"/>
      <c r="AJ309" s="27">
        <f>SUM(AH309:AI309)</f>
        <v/>
      </c>
      <c r="AK309" s="28" t="n"/>
      <c r="AL309" s="28" t="n"/>
      <c r="AM309" s="29">
        <f>IF(AND(AJ309=0,AK309=0,AL309=0),0,IF(AND(AJ309=0,AK309=0),AL309/1,IF(AND(AJ309=0,AL309=0),AK309/1,IF(AND(AK309=0,AL309=0),AJ309/1,IF(AJ309=0,FLOOR((AK309+AL309)/2,0.1),IF(AK309=0,(AJ309+AL309)/2,IF(AL309=0,(AK309+AJ309)/2,FLOOR(((AJ309+AK309+AL309)/3),0.1))))))))</f>
        <v/>
      </c>
      <c r="AN309" s="21" t="n"/>
      <c r="AO309" s="21" t="n"/>
      <c r="AP309" s="27">
        <f>SUM(AN309:AO309)</f>
        <v/>
      </c>
      <c r="AQ309" s="28" t="n"/>
      <c r="AR309" s="30" t="n"/>
      <c r="AS309" s="29">
        <f>IF(AND(AP309=0,AQ309=0,AR309=0),0,IF(AND(AP309=0,AQ309=0),AR309/1,IF(AND(AP309=0,AR309=0),AQ309/1,IF(AND(AQ309=0,AR309=0),AP309/1,IF(AP309=0,FLOOR((AQ309+AR309)/2,0.1),IF(AQ309=0,(AP309+AR309)/2,IF(AR309=0,(AQ309+AP309)/2,FLOOR(((AP309+AQ309+AR309)/3),0.1))))))))</f>
        <v/>
      </c>
      <c r="AT309" s="21" t="n"/>
      <c r="AU309" s="21" t="n"/>
      <c r="AV309" s="27">
        <f>SUM(AT309:AU309)</f>
        <v/>
      </c>
      <c r="AW309" s="28" t="n"/>
      <c r="AX309" s="30" t="n"/>
      <c r="AY309" s="29">
        <f>IF(AND(AV309=0,AW309=0,AX309=0),0,IF(AND(AV309=0,AW309=0),AX309/1,IF(AND(AV309=0,AX309=0),AW309/1,IF(AND(AW309=0,AX309=0),AV309/1,IF(AV309=0,FLOOR((AW309+AX309)/2,0.1),IF(AW309=0,(AV309+AX309)/2,IF(AX309=0,(AW309+AV309)/2,FLOOR(((AV309+AW309+AX309)/3),0.1))))))))</f>
        <v/>
      </c>
      <c r="AZ309" s="21" t="n"/>
      <c r="BA309" s="21" t="n"/>
      <c r="BB309" s="27">
        <f>SUM(AZ309:BA309)</f>
        <v/>
      </c>
      <c r="BC309" s="28" t="n"/>
      <c r="BD309" s="28" t="n"/>
      <c r="BE309" s="29">
        <f>IF(AND(BB309=0,BC309=0,BD309=0),0,IF(AND(BB309=0,BC309=0),BD309/1,IF(AND(BB309=0,BD309=0),BC309/1,IF(AND(BC309=0,BD309=0),BB309/1,IF(BB309=0,FLOOR((BC309+BD309)/2,0.1),IF(BC309=0,(BB309+BD309)/2,IF(BD309=0,(BC309+BB309)/2,FLOOR(((BB309+BC309+BD309)/3),0.1))))))))</f>
        <v/>
      </c>
      <c r="BF309" s="21" t="n"/>
      <c r="BG309" s="21" t="n"/>
      <c r="BH309" s="27">
        <f>SUM(BF309:BG309)</f>
        <v/>
      </c>
      <c r="BI309" s="28" t="n"/>
      <c r="BJ309" s="28" t="n"/>
      <c r="BK309" s="29">
        <f>IF(AND(BH309=0,BI309=0,BJ309=0),0,IF(AND(BH309=0,BI309=0),BJ309/1,IF(AND(BH309=0,BJ309=0),BI309/1,IF(AND(BI309=0,BJ309=0),BH309/1,IF(BH309=0,FLOOR((BI309+BJ309)/2,0.1),IF(BI309=0,(BH309+BJ309)/2,IF(BJ309=0,(BI309+BH309)/2,FLOOR(((BH309+BI309+BJ309)/3),0.1))))))))</f>
        <v/>
      </c>
      <c r="BL309" s="21" t="n"/>
      <c r="BM309" s="21" t="n"/>
      <c r="BN309" s="27">
        <f>SUM(BL309:BM309)</f>
        <v/>
      </c>
      <c r="BO309" s="28" t="n"/>
      <c r="BP309" s="31" t="n"/>
      <c r="BQ309" s="29">
        <f>IF(AND(BN309=0,BO309=0,BP309=0),0,IF(AND(BN309=0,BO309=0),BP309/1,IF(AND(BN309=0,BP309=0),BO309/1,IF(AND(BO309=0,BP309=0),BN309/1,IF(BN309=0,FLOOR((BO309+BP309)/2,0.1),IF(BO309=0,(BN309+BP309)/2,IF(BP309=0,(BO309+BN309)/2,FLOOR(((BN309+BO309+BP309)/3),0.1))))))))</f>
        <v/>
      </c>
      <c r="BR309" s="21" t="n"/>
      <c r="BS309" s="21" t="n"/>
      <c r="BT309" s="27">
        <f>SUM(BR309:BS309)</f>
        <v/>
      </c>
      <c r="BU309" s="28" t="n"/>
      <c r="BV309" s="31" t="n"/>
      <c r="BW309" s="29">
        <f>IF(AND(BT309=0,BU309=0,BV309=0),0,IF(AND(BT309=0,BU309=0),BV309/1,IF(AND(BT309=0,BV309=0),BU309/1,IF(AND(BU309=0,BV309=0),BT309/1,IF(BT309=0,FLOOR((BU309+BV309)/2,0.1),IF(BU309=0,(BT309+BV309)/2,IF(BV309=0,(BU309+BT309)/2,FLOOR(((BT309+BU309+BV309)/3),0.1))))))))</f>
        <v/>
      </c>
      <c r="BX309" s="21" t="n"/>
      <c r="BY309" s="21" t="n"/>
      <c r="BZ309" s="27">
        <f>SUM(BX309:BY309)</f>
        <v/>
      </c>
      <c r="CA309" s="28" t="n"/>
      <c r="CB309" s="31" t="n"/>
      <c r="CC309" s="29">
        <f>IF(AND(BZ309=0,CA309=0,CB309=0),0,IF(AND(BZ309=0,CA309=0),CB309/1,IF(AND(BZ309=0,CB309=0),CA309/1,IF(AND(CA309=0,CB309=0),BZ309/1,IF(BZ309=0,FLOOR((CA309+CB309)/2,0.1),IF(CA309=0,(BZ309+CB309)/2,IF(CB309=0,(CA309+BZ309)/2,FLOOR(((BZ309+CA309+CB309)/3),0.1))))))))</f>
        <v/>
      </c>
      <c r="CD309" s="21" t="n"/>
      <c r="CE309" s="21" t="n"/>
      <c r="CF309" s="27">
        <f>SUM(CD309:CE309)</f>
        <v/>
      </c>
      <c r="CG309" s="28" t="n"/>
      <c r="CH309" s="31" t="n"/>
      <c r="CI309" s="29">
        <f>IF(AND(CF309=0,CG309=0,CH309=0),0,IF(AND(CF309=0,CG309=0),CH309/1,IF(AND(CF309=0,CH309=0),CG309/1,IF(AND(CG309=0,CH309=0),CF309/1,IF(CF309=0,FLOOR((CG309+CH309)/2,0.1),IF(CG309=0,(CF309+CH309)/2,IF(CH309=0,(CG309+CF309)/2,FLOOR(((CF309+CG309+CH309)/3),0.1))))))))</f>
        <v/>
      </c>
      <c r="CJ309" s="21" t="n"/>
      <c r="CK309" s="21" t="n"/>
      <c r="CL309" s="27">
        <f>SUM(CJ309:CK309)</f>
        <v/>
      </c>
      <c r="CM309" s="28" t="n"/>
      <c r="CN309" s="31" t="n"/>
      <c r="CO309" s="29">
        <f>IF(AND(CL309=0,CM309=0,CN309=0),0,IF(AND(CL309=0,CM309=0),CN309/1,IF(AND(CL309=0,CN309=0),CM309/1,IF(AND(CM309=0,CN309=0),CL309/1,IF(CL309=0,FLOOR((CM309+CN309)/2,0.1),IF(CM309=0,(CL309+CN309)/2,IF(CN309=0,(CM309+CL309)/2,FLOOR(((CL309+CM309+CN309)/3),0.1))))))))</f>
        <v/>
      </c>
      <c r="CP309" s="21" t="n"/>
      <c r="CQ309" s="21" t="n"/>
      <c r="CR309" s="27">
        <f>SUM(CP309:CQ309)</f>
        <v/>
      </c>
      <c r="CS309" s="28" t="n"/>
      <c r="CT309" s="31" t="n"/>
      <c r="CU309" s="29">
        <f>IF(AND(CR309=0,CS309=0,CT309=0),0,IF(AND(CR309=0,CS309=0),CT309/1,IF(AND(CR309=0,CT309=0),CS309/1,IF(AND(CS309=0,CT309=0),CR309/1,IF(CR309=0,FLOOR((CS309+CT309)/2,0.1),IF(CS309=0,(CR309+CT309)/2,IF(CT309=0,(CS309+CR309)/2,FLOOR(((CR309+CS309+CT309)/3),0.1))))))))</f>
        <v/>
      </c>
      <c r="CV309" s="21" t="n"/>
      <c r="CW309" s="21" t="n"/>
      <c r="CX309" s="27">
        <f>SUM(CV309:CW309)</f>
        <v/>
      </c>
      <c r="CY309" s="28" t="n"/>
      <c r="CZ309" s="31" t="n"/>
      <c r="DA309" s="29">
        <f>IF(AND(CX309=0,CY309=0,CZ309=0),0,IF(AND(CX309=0,CY309=0),CZ309/1,IF(AND(CX309=0,CZ309=0),CY309/1,IF(AND(CY309=0,CZ309=0),CX309/1,IF(CX309=0,FLOOR((CY309+CZ309)/2,0.1),IF(CY309=0,(CX309+CZ309)/2,IF(CZ309=0,(CY309+CX309)/2,FLOOR(((CX309+CY309+CZ309)/3),0.1))))))))</f>
        <v/>
      </c>
      <c r="DB309" s="21" t="n"/>
      <c r="DC309" s="21" t="n"/>
      <c r="DD309" s="27">
        <f>SUM(DB309:DC309)</f>
        <v/>
      </c>
      <c r="DE309" s="28" t="n"/>
      <c r="DF309" s="31" t="n"/>
      <c r="DG309" s="29">
        <f>IF(AND(DD309=0,DE309=0,DF309=0),0,IF(AND(DD309=0,DE309=0),DF309/1,IF(AND(DD309=0,DF309=0),DE309/1,IF(AND(DE309=0,DF309=0),DD309/1,IF(DD309=0,FLOOR((DE309+DF309)/2,0.1),IF(DE309=0,(DD309+DF309)/2,IF(DF309=0,(DE309+DD309)/2,FLOOR(((DD309+DE309+DF309)/3),0.1))))))))</f>
        <v/>
      </c>
      <c r="DH309" s="34">
        <f>SUM(O309,U309,AA309,AG309,AM309,AS309,AY309,BE309,BK309,BQ309,BW309,CC309,CI309,CO309,CU309,DA309,DG309)</f>
        <v/>
      </c>
      <c r="DI309" s="39">
        <f>RANK(DH309,DH$4:DH$503)</f>
        <v/>
      </c>
      <c r="DJ309" s="40" t="inlineStr">
        <is>
          <t>CHOOSE RATING</t>
        </is>
      </c>
      <c r="DK309" s="40" t="inlineStr">
        <is>
          <t>CHOOSE RATING</t>
        </is>
      </c>
      <c r="DL309" s="40" t="inlineStr">
        <is>
          <t>CHOOSE RATING</t>
        </is>
      </c>
      <c r="DM309" s="40" t="inlineStr">
        <is>
          <t>CHOOSE RATING</t>
        </is>
      </c>
      <c r="DN309" s="40" t="inlineStr">
        <is>
          <t>CHOOSE RATING</t>
        </is>
      </c>
      <c r="DO309" s="40" t="inlineStr">
        <is>
          <t>CHOOSE RATING</t>
        </is>
      </c>
      <c r="DP309" s="40" t="inlineStr">
        <is>
          <t>CHOOSE RATING</t>
        </is>
      </c>
      <c r="DQ309" s="40" t="inlineStr">
        <is>
          <t>CHOOSE RATING</t>
        </is>
      </c>
      <c r="DR309" s="43" t="inlineStr">
        <is>
          <t>2024/2025</t>
        </is>
      </c>
      <c r="DS309" s="45" t="inlineStr">
        <is>
          <t>THIRD</t>
        </is>
      </c>
      <c r="DT309" s="40" t="inlineStr">
        <is>
          <t>CHOOSE RATING</t>
        </is>
      </c>
      <c r="DU309" s="40" t="inlineStr">
        <is>
          <t>CHOOSE RATING</t>
        </is>
      </c>
      <c r="DV309" s="40" t="inlineStr">
        <is>
          <t>CHOOSE RATING</t>
        </is>
      </c>
      <c r="DW309" s="40" t="inlineStr">
        <is>
          <t>CHOOSE RATING</t>
        </is>
      </c>
      <c r="DX309" s="40" t="inlineStr">
        <is>
          <t>CHOOSE RATING</t>
        </is>
      </c>
      <c r="DY309" s="40" t="inlineStr">
        <is>
          <t>CHOOSE RATING</t>
        </is>
      </c>
      <c r="DZ309" s="53" t="inlineStr">
        <is>
          <t>CHOOSE RATING</t>
        </is>
      </c>
      <c r="EA309" s="54" t="inlineStr">
        <is>
          <t>Add the Tutor's Comment . . .</t>
        </is>
      </c>
      <c r="EB309" s="55" t="inlineStr">
        <is>
          <t>Choose Principals comment</t>
        </is>
      </c>
      <c r="EC309" s="56" t="n"/>
      <c r="ED309" s="57" t="inlineStr">
        <is>
          <t>Next Term Begins on Monday, 22nd September, 2025</t>
        </is>
      </c>
    </row>
    <row r="310" ht="30.6" customHeight="1" s="6">
      <c r="A310" s="18" t="n">
        <v>307</v>
      </c>
      <c r="B310" s="19" t="n"/>
      <c r="C310" s="20" t="n"/>
      <c r="D310" s="128" t="n"/>
      <c r="E310" s="21" t="n"/>
      <c r="F310" s="22" t="n"/>
      <c r="G310" s="22" t="n"/>
      <c r="H310" s="22" t="n"/>
      <c r="I310" s="26">
        <f>G310-H310</f>
        <v/>
      </c>
      <c r="J310" s="21" t="n"/>
      <c r="K310" s="21" t="n"/>
      <c r="L310" s="27">
        <f>SUM(J310:K310)</f>
        <v/>
      </c>
      <c r="M310" s="28" t="n"/>
      <c r="N310" s="28" t="n"/>
      <c r="O310" s="29">
        <f>IF(AND(L310=0,M310=0,N310=0),0,IF(AND(L310=0,M310=0),N310/1,IF(AND(L310=0,N310=0),M310/1,IF(AND(M310=0,N310=0),L310/1,IF(L310=0,FLOOR((M310+N310)/2,0.1),IF(M310=0,(L310+N310)/2,IF(N310=0,(M310+L310)/2,FLOOR(((L310+M310+N310)/3),0.1))))))))</f>
        <v/>
      </c>
      <c r="P310" s="21" t="n"/>
      <c r="Q310" s="21" t="n"/>
      <c r="R310" s="27">
        <f>SUM(P310:Q310)</f>
        <v/>
      </c>
      <c r="S310" s="28" t="n"/>
      <c r="T310" s="28" t="n"/>
      <c r="U310" s="29">
        <f>IF(AND(R310=0,S310=0,T310=0),0,IF(AND(R310=0,S310=0),T310/1,IF(AND(R310=0,T310=0),S310/1,IF(AND(S310=0,T310=0),R310/1,IF(R310=0,FLOOR((S310+T310)/2,0.1),IF(S310=0,(R310+T310)/2,IF(T310=0,(S310+R310)/2,FLOOR(((R310+S310+T310)/3),0.1))))))))</f>
        <v/>
      </c>
      <c r="V310" s="21" t="n"/>
      <c r="W310" s="21" t="n"/>
      <c r="X310" s="27">
        <f>SUM(V310:W310)</f>
        <v/>
      </c>
      <c r="Y310" s="28" t="n"/>
      <c r="Z310" s="28" t="n"/>
      <c r="AA310" s="29">
        <f>IF(AND(X310=0,Y310=0,Z310=0),0,IF(AND(X310=0,Y310=0),Z310/1,IF(AND(X310=0,Z310=0),Y310/1,IF(AND(Y310=0,Z310=0),X310/1,IF(X310=0,FLOOR((Y310+Z310)/2,0.1),IF(Y310=0,(X310+Z310)/2,IF(Z310=0,(Y310+X310)/2,FLOOR(((X310+Y310+Z310)/3),0.1))))))))</f>
        <v/>
      </c>
      <c r="AB310" s="21" t="n"/>
      <c r="AC310" s="21" t="n"/>
      <c r="AD310" s="27">
        <f>SUM(AB310:AC310)</f>
        <v/>
      </c>
      <c r="AE310" s="28" t="n"/>
      <c r="AF310" s="28" t="n"/>
      <c r="AG310" s="29">
        <f>IF(AND(AD310=0,AE310=0,AF310=0),0,IF(AND(AD310=0,AE310=0),AF310/1,IF(AND(AD310=0,AF310=0),AE310/1,IF(AND(AE310=0,AF310=0),AD310/1,IF(AD310=0,FLOOR((AE310+AF310)/2,0.1),IF(AE310=0,(AD310+AF310)/2,IF(AF310=0,(AE310+AD310)/2,FLOOR(((AD310+AE310+AF310)/3),0.1))))))))</f>
        <v/>
      </c>
      <c r="AH310" s="21" t="n"/>
      <c r="AI310" s="21" t="n"/>
      <c r="AJ310" s="27">
        <f>SUM(AH310:AI310)</f>
        <v/>
      </c>
      <c r="AK310" s="28" t="n"/>
      <c r="AL310" s="28" t="n"/>
      <c r="AM310" s="29">
        <f>IF(AND(AJ310=0,AK310=0,AL310=0),0,IF(AND(AJ310=0,AK310=0),AL310/1,IF(AND(AJ310=0,AL310=0),AK310/1,IF(AND(AK310=0,AL310=0),AJ310/1,IF(AJ310=0,FLOOR((AK310+AL310)/2,0.1),IF(AK310=0,(AJ310+AL310)/2,IF(AL310=0,(AK310+AJ310)/2,FLOOR(((AJ310+AK310+AL310)/3),0.1))))))))</f>
        <v/>
      </c>
      <c r="AN310" s="21" t="n"/>
      <c r="AO310" s="21" t="n"/>
      <c r="AP310" s="27">
        <f>SUM(AN310:AO310)</f>
        <v/>
      </c>
      <c r="AQ310" s="28" t="n"/>
      <c r="AR310" s="30" t="n"/>
      <c r="AS310" s="29">
        <f>IF(AND(AP310=0,AQ310=0,AR310=0),0,IF(AND(AP310=0,AQ310=0),AR310/1,IF(AND(AP310=0,AR310=0),AQ310/1,IF(AND(AQ310=0,AR310=0),AP310/1,IF(AP310=0,FLOOR((AQ310+AR310)/2,0.1),IF(AQ310=0,(AP310+AR310)/2,IF(AR310=0,(AQ310+AP310)/2,FLOOR(((AP310+AQ310+AR310)/3),0.1))))))))</f>
        <v/>
      </c>
      <c r="AT310" s="21" t="n"/>
      <c r="AU310" s="21" t="n"/>
      <c r="AV310" s="27">
        <f>SUM(AT310:AU310)</f>
        <v/>
      </c>
      <c r="AW310" s="28" t="n"/>
      <c r="AX310" s="30" t="n"/>
      <c r="AY310" s="29">
        <f>IF(AND(AV310=0,AW310=0,AX310=0),0,IF(AND(AV310=0,AW310=0),AX310/1,IF(AND(AV310=0,AX310=0),AW310/1,IF(AND(AW310=0,AX310=0),AV310/1,IF(AV310=0,FLOOR((AW310+AX310)/2,0.1),IF(AW310=0,(AV310+AX310)/2,IF(AX310=0,(AW310+AV310)/2,FLOOR(((AV310+AW310+AX310)/3),0.1))))))))</f>
        <v/>
      </c>
      <c r="AZ310" s="21" t="n"/>
      <c r="BA310" s="21" t="n"/>
      <c r="BB310" s="27">
        <f>SUM(AZ310:BA310)</f>
        <v/>
      </c>
      <c r="BC310" s="28" t="n"/>
      <c r="BD310" s="28" t="n"/>
      <c r="BE310" s="29">
        <f>IF(AND(BB310=0,BC310=0,BD310=0),0,IF(AND(BB310=0,BC310=0),BD310/1,IF(AND(BB310=0,BD310=0),BC310/1,IF(AND(BC310=0,BD310=0),BB310/1,IF(BB310=0,FLOOR((BC310+BD310)/2,0.1),IF(BC310=0,(BB310+BD310)/2,IF(BD310=0,(BC310+BB310)/2,FLOOR(((BB310+BC310+BD310)/3),0.1))))))))</f>
        <v/>
      </c>
      <c r="BF310" s="21" t="n"/>
      <c r="BG310" s="21" t="n"/>
      <c r="BH310" s="27">
        <f>SUM(BF310:BG310)</f>
        <v/>
      </c>
      <c r="BI310" s="28" t="n"/>
      <c r="BJ310" s="28" t="n"/>
      <c r="BK310" s="29">
        <f>IF(AND(BH310=0,BI310=0,BJ310=0),0,IF(AND(BH310=0,BI310=0),BJ310/1,IF(AND(BH310=0,BJ310=0),BI310/1,IF(AND(BI310=0,BJ310=0),BH310/1,IF(BH310=0,FLOOR((BI310+BJ310)/2,0.1),IF(BI310=0,(BH310+BJ310)/2,IF(BJ310=0,(BI310+BH310)/2,FLOOR(((BH310+BI310+BJ310)/3),0.1))))))))</f>
        <v/>
      </c>
      <c r="BL310" s="21" t="n"/>
      <c r="BM310" s="21" t="n"/>
      <c r="BN310" s="27">
        <f>SUM(BL310:BM310)</f>
        <v/>
      </c>
      <c r="BO310" s="28" t="n"/>
      <c r="BP310" s="31" t="n"/>
      <c r="BQ310" s="29">
        <f>IF(AND(BN310=0,BO310=0,BP310=0),0,IF(AND(BN310=0,BO310=0),BP310/1,IF(AND(BN310=0,BP310=0),BO310/1,IF(AND(BO310=0,BP310=0),BN310/1,IF(BN310=0,FLOOR((BO310+BP310)/2,0.1),IF(BO310=0,(BN310+BP310)/2,IF(BP310=0,(BO310+BN310)/2,FLOOR(((BN310+BO310+BP310)/3),0.1))))))))</f>
        <v/>
      </c>
      <c r="BR310" s="21" t="n"/>
      <c r="BS310" s="21" t="n"/>
      <c r="BT310" s="27">
        <f>SUM(BR310:BS310)</f>
        <v/>
      </c>
      <c r="BU310" s="28" t="n"/>
      <c r="BV310" s="31" t="n"/>
      <c r="BW310" s="29">
        <f>IF(AND(BT310=0,BU310=0,BV310=0),0,IF(AND(BT310=0,BU310=0),BV310/1,IF(AND(BT310=0,BV310=0),BU310/1,IF(AND(BU310=0,BV310=0),BT310/1,IF(BT310=0,FLOOR((BU310+BV310)/2,0.1),IF(BU310=0,(BT310+BV310)/2,IF(BV310=0,(BU310+BT310)/2,FLOOR(((BT310+BU310+BV310)/3),0.1))))))))</f>
        <v/>
      </c>
      <c r="BX310" s="21" t="n"/>
      <c r="BY310" s="21" t="n"/>
      <c r="BZ310" s="27">
        <f>SUM(BX310:BY310)</f>
        <v/>
      </c>
      <c r="CA310" s="28" t="n"/>
      <c r="CB310" s="31" t="n"/>
      <c r="CC310" s="29">
        <f>IF(AND(BZ310=0,CA310=0,CB310=0),0,IF(AND(BZ310=0,CA310=0),CB310/1,IF(AND(BZ310=0,CB310=0),CA310/1,IF(AND(CA310=0,CB310=0),BZ310/1,IF(BZ310=0,FLOOR((CA310+CB310)/2,0.1),IF(CA310=0,(BZ310+CB310)/2,IF(CB310=0,(CA310+BZ310)/2,FLOOR(((BZ310+CA310+CB310)/3),0.1))))))))</f>
        <v/>
      </c>
      <c r="CD310" s="21" t="n"/>
      <c r="CE310" s="21" t="n"/>
      <c r="CF310" s="27">
        <f>SUM(CD310:CE310)</f>
        <v/>
      </c>
      <c r="CG310" s="28" t="n"/>
      <c r="CH310" s="31" t="n"/>
      <c r="CI310" s="29">
        <f>IF(AND(CF310=0,CG310=0,CH310=0),0,IF(AND(CF310=0,CG310=0),CH310/1,IF(AND(CF310=0,CH310=0),CG310/1,IF(AND(CG310=0,CH310=0),CF310/1,IF(CF310=0,FLOOR((CG310+CH310)/2,0.1),IF(CG310=0,(CF310+CH310)/2,IF(CH310=0,(CG310+CF310)/2,FLOOR(((CF310+CG310+CH310)/3),0.1))))))))</f>
        <v/>
      </c>
      <c r="CJ310" s="21" t="n"/>
      <c r="CK310" s="21" t="n"/>
      <c r="CL310" s="27">
        <f>SUM(CJ310:CK310)</f>
        <v/>
      </c>
      <c r="CM310" s="28" t="n"/>
      <c r="CN310" s="31" t="n"/>
      <c r="CO310" s="29">
        <f>IF(AND(CL310=0,CM310=0,CN310=0),0,IF(AND(CL310=0,CM310=0),CN310/1,IF(AND(CL310=0,CN310=0),CM310/1,IF(AND(CM310=0,CN310=0),CL310/1,IF(CL310=0,FLOOR((CM310+CN310)/2,0.1),IF(CM310=0,(CL310+CN310)/2,IF(CN310=0,(CM310+CL310)/2,FLOOR(((CL310+CM310+CN310)/3),0.1))))))))</f>
        <v/>
      </c>
      <c r="CP310" s="21" t="n"/>
      <c r="CQ310" s="21" t="n"/>
      <c r="CR310" s="27">
        <f>SUM(CP310:CQ310)</f>
        <v/>
      </c>
      <c r="CS310" s="28" t="n"/>
      <c r="CT310" s="31" t="n"/>
      <c r="CU310" s="29">
        <f>IF(AND(CR310=0,CS310=0,CT310=0),0,IF(AND(CR310=0,CS310=0),CT310/1,IF(AND(CR310=0,CT310=0),CS310/1,IF(AND(CS310=0,CT310=0),CR310/1,IF(CR310=0,FLOOR((CS310+CT310)/2,0.1),IF(CS310=0,(CR310+CT310)/2,IF(CT310=0,(CS310+CR310)/2,FLOOR(((CR310+CS310+CT310)/3),0.1))))))))</f>
        <v/>
      </c>
      <c r="CV310" s="21" t="n"/>
      <c r="CW310" s="21" t="n"/>
      <c r="CX310" s="27">
        <f>SUM(CV310:CW310)</f>
        <v/>
      </c>
      <c r="CY310" s="28" t="n"/>
      <c r="CZ310" s="31" t="n"/>
      <c r="DA310" s="29">
        <f>IF(AND(CX310=0,CY310=0,CZ310=0),0,IF(AND(CX310=0,CY310=0),CZ310/1,IF(AND(CX310=0,CZ310=0),CY310/1,IF(AND(CY310=0,CZ310=0),CX310/1,IF(CX310=0,FLOOR((CY310+CZ310)/2,0.1),IF(CY310=0,(CX310+CZ310)/2,IF(CZ310=0,(CY310+CX310)/2,FLOOR(((CX310+CY310+CZ310)/3),0.1))))))))</f>
        <v/>
      </c>
      <c r="DB310" s="21" t="n"/>
      <c r="DC310" s="21" t="n"/>
      <c r="DD310" s="27">
        <f>SUM(DB310:DC310)</f>
        <v/>
      </c>
      <c r="DE310" s="28" t="n"/>
      <c r="DF310" s="31" t="n"/>
      <c r="DG310" s="29">
        <f>IF(AND(DD310=0,DE310=0,DF310=0),0,IF(AND(DD310=0,DE310=0),DF310/1,IF(AND(DD310=0,DF310=0),DE310/1,IF(AND(DE310=0,DF310=0),DD310/1,IF(DD310=0,FLOOR((DE310+DF310)/2,0.1),IF(DE310=0,(DD310+DF310)/2,IF(DF310=0,(DE310+DD310)/2,FLOOR(((DD310+DE310+DF310)/3),0.1))))))))</f>
        <v/>
      </c>
      <c r="DH310" s="34">
        <f>SUM(O310,U310,AA310,AG310,AM310,AS310,AY310,BE310,BK310,BQ310,BW310,CC310,CI310,CO310,CU310,DA310,DG310)</f>
        <v/>
      </c>
      <c r="DI310" s="39">
        <f>RANK(DH310,DH$4:DH$503)</f>
        <v/>
      </c>
      <c r="DJ310" s="40" t="inlineStr">
        <is>
          <t>CHOOSE RATING</t>
        </is>
      </c>
      <c r="DK310" s="40" t="inlineStr">
        <is>
          <t>CHOOSE RATING</t>
        </is>
      </c>
      <c r="DL310" s="40" t="inlineStr">
        <is>
          <t>CHOOSE RATING</t>
        </is>
      </c>
      <c r="DM310" s="40" t="inlineStr">
        <is>
          <t>CHOOSE RATING</t>
        </is>
      </c>
      <c r="DN310" s="40" t="inlineStr">
        <is>
          <t>CHOOSE RATING</t>
        </is>
      </c>
      <c r="DO310" s="40" t="inlineStr">
        <is>
          <t>CHOOSE RATING</t>
        </is>
      </c>
      <c r="DP310" s="40" t="inlineStr">
        <is>
          <t>CHOOSE RATING</t>
        </is>
      </c>
      <c r="DQ310" s="40" t="inlineStr">
        <is>
          <t>CHOOSE RATING</t>
        </is>
      </c>
      <c r="DR310" s="43" t="inlineStr">
        <is>
          <t>2024/2025</t>
        </is>
      </c>
      <c r="DS310" s="45" t="inlineStr">
        <is>
          <t>THIRD</t>
        </is>
      </c>
      <c r="DT310" s="40" t="inlineStr">
        <is>
          <t>CHOOSE RATING</t>
        </is>
      </c>
      <c r="DU310" s="40" t="inlineStr">
        <is>
          <t>CHOOSE RATING</t>
        </is>
      </c>
      <c r="DV310" s="40" t="inlineStr">
        <is>
          <t>CHOOSE RATING</t>
        </is>
      </c>
      <c r="DW310" s="40" t="inlineStr">
        <is>
          <t>CHOOSE RATING</t>
        </is>
      </c>
      <c r="DX310" s="40" t="inlineStr">
        <is>
          <t>CHOOSE RATING</t>
        </is>
      </c>
      <c r="DY310" s="40" t="inlineStr">
        <is>
          <t>CHOOSE RATING</t>
        </is>
      </c>
      <c r="DZ310" s="53" t="inlineStr">
        <is>
          <t>CHOOSE RATING</t>
        </is>
      </c>
      <c r="EA310" s="54" t="inlineStr">
        <is>
          <t>Add the Tutor's Comment . . .</t>
        </is>
      </c>
      <c r="EB310" s="55" t="inlineStr">
        <is>
          <t>Choose Principals comment</t>
        </is>
      </c>
      <c r="EC310" s="56" t="n"/>
      <c r="ED310" s="57" t="inlineStr">
        <is>
          <t>Next Term Begins on Monday, 22nd September, 2025</t>
        </is>
      </c>
    </row>
    <row r="311" ht="30.6" customHeight="1" s="6">
      <c r="A311" s="18" t="n">
        <v>308</v>
      </c>
      <c r="B311" s="19" t="n"/>
      <c r="C311" s="20" t="n"/>
      <c r="D311" s="128" t="n"/>
      <c r="E311" s="21" t="n"/>
      <c r="F311" s="22" t="n"/>
      <c r="G311" s="22" t="n"/>
      <c r="H311" s="22" t="n"/>
      <c r="I311" s="26">
        <f>G311-H311</f>
        <v/>
      </c>
      <c r="J311" s="21" t="n"/>
      <c r="K311" s="21" t="n"/>
      <c r="L311" s="27">
        <f>SUM(J311:K311)</f>
        <v/>
      </c>
      <c r="M311" s="28" t="n"/>
      <c r="N311" s="28" t="n"/>
      <c r="O311" s="29">
        <f>IF(AND(L311=0,M311=0,N311=0),0,IF(AND(L311=0,M311=0),N311/1,IF(AND(L311=0,N311=0),M311/1,IF(AND(M311=0,N311=0),L311/1,IF(L311=0,FLOOR((M311+N311)/2,0.1),IF(M311=0,(L311+N311)/2,IF(N311=0,(M311+L311)/2,FLOOR(((L311+M311+N311)/3),0.1))))))))</f>
        <v/>
      </c>
      <c r="P311" s="21" t="n"/>
      <c r="Q311" s="21" t="n"/>
      <c r="R311" s="27">
        <f>SUM(P311:Q311)</f>
        <v/>
      </c>
      <c r="S311" s="28" t="n"/>
      <c r="T311" s="28" t="n"/>
      <c r="U311" s="29">
        <f>IF(AND(R311=0,S311=0,T311=0),0,IF(AND(R311=0,S311=0),T311/1,IF(AND(R311=0,T311=0),S311/1,IF(AND(S311=0,T311=0),R311/1,IF(R311=0,FLOOR((S311+T311)/2,0.1),IF(S311=0,(R311+T311)/2,IF(T311=0,(S311+R311)/2,FLOOR(((R311+S311+T311)/3),0.1))))))))</f>
        <v/>
      </c>
      <c r="V311" s="21" t="n"/>
      <c r="W311" s="21" t="n"/>
      <c r="X311" s="27">
        <f>SUM(V311:W311)</f>
        <v/>
      </c>
      <c r="Y311" s="28" t="n"/>
      <c r="Z311" s="28" t="n"/>
      <c r="AA311" s="29">
        <f>IF(AND(X311=0,Y311=0,Z311=0),0,IF(AND(X311=0,Y311=0),Z311/1,IF(AND(X311=0,Z311=0),Y311/1,IF(AND(Y311=0,Z311=0),X311/1,IF(X311=0,FLOOR((Y311+Z311)/2,0.1),IF(Y311=0,(X311+Z311)/2,IF(Z311=0,(Y311+X311)/2,FLOOR(((X311+Y311+Z311)/3),0.1))))))))</f>
        <v/>
      </c>
      <c r="AB311" s="21" t="n"/>
      <c r="AC311" s="21" t="n"/>
      <c r="AD311" s="27">
        <f>SUM(AB311:AC311)</f>
        <v/>
      </c>
      <c r="AE311" s="28" t="n"/>
      <c r="AF311" s="28" t="n"/>
      <c r="AG311" s="29">
        <f>IF(AND(AD311=0,AE311=0,AF311=0),0,IF(AND(AD311=0,AE311=0),AF311/1,IF(AND(AD311=0,AF311=0),AE311/1,IF(AND(AE311=0,AF311=0),AD311/1,IF(AD311=0,FLOOR((AE311+AF311)/2,0.1),IF(AE311=0,(AD311+AF311)/2,IF(AF311=0,(AE311+AD311)/2,FLOOR(((AD311+AE311+AF311)/3),0.1))))))))</f>
        <v/>
      </c>
      <c r="AH311" s="21" t="n"/>
      <c r="AI311" s="21" t="n"/>
      <c r="AJ311" s="27">
        <f>SUM(AH311:AI311)</f>
        <v/>
      </c>
      <c r="AK311" s="28" t="n"/>
      <c r="AL311" s="28" t="n"/>
      <c r="AM311" s="29">
        <f>IF(AND(AJ311=0,AK311=0,AL311=0),0,IF(AND(AJ311=0,AK311=0),AL311/1,IF(AND(AJ311=0,AL311=0),AK311/1,IF(AND(AK311=0,AL311=0),AJ311/1,IF(AJ311=0,FLOOR((AK311+AL311)/2,0.1),IF(AK311=0,(AJ311+AL311)/2,IF(AL311=0,(AK311+AJ311)/2,FLOOR(((AJ311+AK311+AL311)/3),0.1))))))))</f>
        <v/>
      </c>
      <c r="AN311" s="21" t="n"/>
      <c r="AO311" s="21" t="n"/>
      <c r="AP311" s="27">
        <f>SUM(AN311:AO311)</f>
        <v/>
      </c>
      <c r="AQ311" s="28" t="n"/>
      <c r="AR311" s="30" t="n"/>
      <c r="AS311" s="29">
        <f>IF(AND(AP311=0,AQ311=0,AR311=0),0,IF(AND(AP311=0,AQ311=0),AR311/1,IF(AND(AP311=0,AR311=0),AQ311/1,IF(AND(AQ311=0,AR311=0),AP311/1,IF(AP311=0,FLOOR((AQ311+AR311)/2,0.1),IF(AQ311=0,(AP311+AR311)/2,IF(AR311=0,(AQ311+AP311)/2,FLOOR(((AP311+AQ311+AR311)/3),0.1))))))))</f>
        <v/>
      </c>
      <c r="AT311" s="21" t="n"/>
      <c r="AU311" s="21" t="n"/>
      <c r="AV311" s="27">
        <f>SUM(AT311:AU311)</f>
        <v/>
      </c>
      <c r="AW311" s="28" t="n"/>
      <c r="AX311" s="30" t="n"/>
      <c r="AY311" s="29">
        <f>IF(AND(AV311=0,AW311=0,AX311=0),0,IF(AND(AV311=0,AW311=0),AX311/1,IF(AND(AV311=0,AX311=0),AW311/1,IF(AND(AW311=0,AX311=0),AV311/1,IF(AV311=0,FLOOR((AW311+AX311)/2,0.1),IF(AW311=0,(AV311+AX311)/2,IF(AX311=0,(AW311+AV311)/2,FLOOR(((AV311+AW311+AX311)/3),0.1))))))))</f>
        <v/>
      </c>
      <c r="AZ311" s="21" t="n"/>
      <c r="BA311" s="21" t="n"/>
      <c r="BB311" s="27">
        <f>SUM(AZ311:BA311)</f>
        <v/>
      </c>
      <c r="BC311" s="28" t="n"/>
      <c r="BD311" s="28" t="n"/>
      <c r="BE311" s="29">
        <f>IF(AND(BB311=0,BC311=0,BD311=0),0,IF(AND(BB311=0,BC311=0),BD311/1,IF(AND(BB311=0,BD311=0),BC311/1,IF(AND(BC311=0,BD311=0),BB311/1,IF(BB311=0,FLOOR((BC311+BD311)/2,0.1),IF(BC311=0,(BB311+BD311)/2,IF(BD311=0,(BC311+BB311)/2,FLOOR(((BB311+BC311+BD311)/3),0.1))))))))</f>
        <v/>
      </c>
      <c r="BF311" s="21" t="n"/>
      <c r="BG311" s="21" t="n"/>
      <c r="BH311" s="27">
        <f>SUM(BF311:BG311)</f>
        <v/>
      </c>
      <c r="BI311" s="28" t="n"/>
      <c r="BJ311" s="28" t="n"/>
      <c r="BK311" s="29">
        <f>IF(AND(BH311=0,BI311=0,BJ311=0),0,IF(AND(BH311=0,BI311=0),BJ311/1,IF(AND(BH311=0,BJ311=0),BI311/1,IF(AND(BI311=0,BJ311=0),BH311/1,IF(BH311=0,FLOOR((BI311+BJ311)/2,0.1),IF(BI311=0,(BH311+BJ311)/2,IF(BJ311=0,(BI311+BH311)/2,FLOOR(((BH311+BI311+BJ311)/3),0.1))))))))</f>
        <v/>
      </c>
      <c r="BL311" s="21" t="n"/>
      <c r="BM311" s="21" t="n"/>
      <c r="BN311" s="27">
        <f>SUM(BL311:BM311)</f>
        <v/>
      </c>
      <c r="BO311" s="28" t="n"/>
      <c r="BP311" s="31" t="n"/>
      <c r="BQ311" s="29">
        <f>IF(AND(BN311=0,BO311=0,BP311=0),0,IF(AND(BN311=0,BO311=0),BP311/1,IF(AND(BN311=0,BP311=0),BO311/1,IF(AND(BO311=0,BP311=0),BN311/1,IF(BN311=0,FLOOR((BO311+BP311)/2,0.1),IF(BO311=0,(BN311+BP311)/2,IF(BP311=0,(BO311+BN311)/2,FLOOR(((BN311+BO311+BP311)/3),0.1))))))))</f>
        <v/>
      </c>
      <c r="BR311" s="21" t="n"/>
      <c r="BS311" s="21" t="n"/>
      <c r="BT311" s="27">
        <f>SUM(BR311:BS311)</f>
        <v/>
      </c>
      <c r="BU311" s="28" t="n"/>
      <c r="BV311" s="31" t="n"/>
      <c r="BW311" s="29">
        <f>IF(AND(BT311=0,BU311=0,BV311=0),0,IF(AND(BT311=0,BU311=0),BV311/1,IF(AND(BT311=0,BV311=0),BU311/1,IF(AND(BU311=0,BV311=0),BT311/1,IF(BT311=0,FLOOR((BU311+BV311)/2,0.1),IF(BU311=0,(BT311+BV311)/2,IF(BV311=0,(BU311+BT311)/2,FLOOR(((BT311+BU311+BV311)/3),0.1))))))))</f>
        <v/>
      </c>
      <c r="BX311" s="21" t="n"/>
      <c r="BY311" s="21" t="n"/>
      <c r="BZ311" s="27">
        <f>SUM(BX311:BY311)</f>
        <v/>
      </c>
      <c r="CA311" s="28" t="n"/>
      <c r="CB311" s="31" t="n"/>
      <c r="CC311" s="29">
        <f>IF(AND(BZ311=0,CA311=0,CB311=0),0,IF(AND(BZ311=0,CA311=0),CB311/1,IF(AND(BZ311=0,CB311=0),CA311/1,IF(AND(CA311=0,CB311=0),BZ311/1,IF(BZ311=0,FLOOR((CA311+CB311)/2,0.1),IF(CA311=0,(BZ311+CB311)/2,IF(CB311=0,(CA311+BZ311)/2,FLOOR(((BZ311+CA311+CB311)/3),0.1))))))))</f>
        <v/>
      </c>
      <c r="CD311" s="21" t="n"/>
      <c r="CE311" s="21" t="n"/>
      <c r="CF311" s="27">
        <f>SUM(CD311:CE311)</f>
        <v/>
      </c>
      <c r="CG311" s="28" t="n"/>
      <c r="CH311" s="31" t="n"/>
      <c r="CI311" s="29">
        <f>IF(AND(CF311=0,CG311=0,CH311=0),0,IF(AND(CF311=0,CG311=0),CH311/1,IF(AND(CF311=0,CH311=0),CG311/1,IF(AND(CG311=0,CH311=0),CF311/1,IF(CF311=0,FLOOR((CG311+CH311)/2,0.1),IF(CG311=0,(CF311+CH311)/2,IF(CH311=0,(CG311+CF311)/2,FLOOR(((CF311+CG311+CH311)/3),0.1))))))))</f>
        <v/>
      </c>
      <c r="CJ311" s="21" t="n"/>
      <c r="CK311" s="21" t="n"/>
      <c r="CL311" s="27">
        <f>SUM(CJ311:CK311)</f>
        <v/>
      </c>
      <c r="CM311" s="28" t="n"/>
      <c r="CN311" s="31" t="n"/>
      <c r="CO311" s="29">
        <f>IF(AND(CL311=0,CM311=0,CN311=0),0,IF(AND(CL311=0,CM311=0),CN311/1,IF(AND(CL311=0,CN311=0),CM311/1,IF(AND(CM311=0,CN311=0),CL311/1,IF(CL311=0,FLOOR((CM311+CN311)/2,0.1),IF(CM311=0,(CL311+CN311)/2,IF(CN311=0,(CM311+CL311)/2,FLOOR(((CL311+CM311+CN311)/3),0.1))))))))</f>
        <v/>
      </c>
      <c r="CP311" s="21" t="n"/>
      <c r="CQ311" s="21" t="n"/>
      <c r="CR311" s="27">
        <f>SUM(CP311:CQ311)</f>
        <v/>
      </c>
      <c r="CS311" s="28" t="n"/>
      <c r="CT311" s="31" t="n"/>
      <c r="CU311" s="29">
        <f>IF(AND(CR311=0,CS311=0,CT311=0),0,IF(AND(CR311=0,CS311=0),CT311/1,IF(AND(CR311=0,CT311=0),CS311/1,IF(AND(CS311=0,CT311=0),CR311/1,IF(CR311=0,FLOOR((CS311+CT311)/2,0.1),IF(CS311=0,(CR311+CT311)/2,IF(CT311=0,(CS311+CR311)/2,FLOOR(((CR311+CS311+CT311)/3),0.1))))))))</f>
        <v/>
      </c>
      <c r="CV311" s="21" t="n"/>
      <c r="CW311" s="21" t="n"/>
      <c r="CX311" s="27">
        <f>SUM(CV311:CW311)</f>
        <v/>
      </c>
      <c r="CY311" s="28" t="n"/>
      <c r="CZ311" s="31" t="n"/>
      <c r="DA311" s="29">
        <f>IF(AND(CX311=0,CY311=0,CZ311=0),0,IF(AND(CX311=0,CY311=0),CZ311/1,IF(AND(CX311=0,CZ311=0),CY311/1,IF(AND(CY311=0,CZ311=0),CX311/1,IF(CX311=0,FLOOR((CY311+CZ311)/2,0.1),IF(CY311=0,(CX311+CZ311)/2,IF(CZ311=0,(CY311+CX311)/2,FLOOR(((CX311+CY311+CZ311)/3),0.1))))))))</f>
        <v/>
      </c>
      <c r="DB311" s="21" t="n"/>
      <c r="DC311" s="21" t="n"/>
      <c r="DD311" s="27">
        <f>SUM(DB311:DC311)</f>
        <v/>
      </c>
      <c r="DE311" s="28" t="n"/>
      <c r="DF311" s="31" t="n"/>
      <c r="DG311" s="29">
        <f>IF(AND(DD311=0,DE311=0,DF311=0),0,IF(AND(DD311=0,DE311=0),DF311/1,IF(AND(DD311=0,DF311=0),DE311/1,IF(AND(DE311=0,DF311=0),DD311/1,IF(DD311=0,FLOOR((DE311+DF311)/2,0.1),IF(DE311=0,(DD311+DF311)/2,IF(DF311=0,(DE311+DD311)/2,FLOOR(((DD311+DE311+DF311)/3),0.1))))))))</f>
        <v/>
      </c>
      <c r="DH311" s="34">
        <f>SUM(O311,U311,AA311,AG311,AM311,AS311,AY311,BE311,BK311,BQ311,BW311,CC311,CI311,CO311,CU311,DA311,DG311)</f>
        <v/>
      </c>
      <c r="DI311" s="39">
        <f>RANK(DH311,DH$4:DH$503)</f>
        <v/>
      </c>
      <c r="DJ311" s="40" t="inlineStr">
        <is>
          <t>CHOOSE RATING</t>
        </is>
      </c>
      <c r="DK311" s="40" t="inlineStr">
        <is>
          <t>CHOOSE RATING</t>
        </is>
      </c>
      <c r="DL311" s="40" t="inlineStr">
        <is>
          <t>CHOOSE RATING</t>
        </is>
      </c>
      <c r="DM311" s="40" t="inlineStr">
        <is>
          <t>CHOOSE RATING</t>
        </is>
      </c>
      <c r="DN311" s="40" t="inlineStr">
        <is>
          <t>CHOOSE RATING</t>
        </is>
      </c>
      <c r="DO311" s="40" t="inlineStr">
        <is>
          <t>CHOOSE RATING</t>
        </is>
      </c>
      <c r="DP311" s="40" t="inlineStr">
        <is>
          <t>CHOOSE RATING</t>
        </is>
      </c>
      <c r="DQ311" s="40" t="inlineStr">
        <is>
          <t>CHOOSE RATING</t>
        </is>
      </c>
      <c r="DR311" s="43" t="inlineStr">
        <is>
          <t>2024/2025</t>
        </is>
      </c>
      <c r="DS311" s="45" t="inlineStr">
        <is>
          <t>THIRD</t>
        </is>
      </c>
      <c r="DT311" s="40" t="inlineStr">
        <is>
          <t>CHOOSE RATING</t>
        </is>
      </c>
      <c r="DU311" s="40" t="inlineStr">
        <is>
          <t>CHOOSE RATING</t>
        </is>
      </c>
      <c r="DV311" s="40" t="inlineStr">
        <is>
          <t>CHOOSE RATING</t>
        </is>
      </c>
      <c r="DW311" s="40" t="inlineStr">
        <is>
          <t>CHOOSE RATING</t>
        </is>
      </c>
      <c r="DX311" s="40" t="inlineStr">
        <is>
          <t>CHOOSE RATING</t>
        </is>
      </c>
      <c r="DY311" s="40" t="inlineStr">
        <is>
          <t>CHOOSE RATING</t>
        </is>
      </c>
      <c r="DZ311" s="53" t="inlineStr">
        <is>
          <t>CHOOSE RATING</t>
        </is>
      </c>
      <c r="EA311" s="54" t="inlineStr">
        <is>
          <t>Add the Tutor's Comment . . .</t>
        </is>
      </c>
      <c r="EB311" s="55" t="inlineStr">
        <is>
          <t>Choose Principals comment</t>
        </is>
      </c>
      <c r="EC311" s="56" t="n"/>
      <c r="ED311" s="57" t="inlineStr">
        <is>
          <t>Next Term Begins on Monday, 22nd September, 2025</t>
        </is>
      </c>
    </row>
    <row r="312" ht="30.6" customHeight="1" s="6">
      <c r="A312" s="18" t="n">
        <v>309</v>
      </c>
      <c r="B312" s="19" t="n"/>
      <c r="C312" s="20" t="n"/>
      <c r="D312" s="128" t="n"/>
      <c r="E312" s="21" t="n"/>
      <c r="F312" s="22" t="n"/>
      <c r="G312" s="22" t="n"/>
      <c r="H312" s="22" t="n"/>
      <c r="I312" s="26">
        <f>G312-H312</f>
        <v/>
      </c>
      <c r="J312" s="21" t="n"/>
      <c r="K312" s="21" t="n"/>
      <c r="L312" s="27">
        <f>SUM(J312:K312)</f>
        <v/>
      </c>
      <c r="M312" s="28" t="n"/>
      <c r="N312" s="28" t="n"/>
      <c r="O312" s="29">
        <f>IF(AND(L312=0,M312=0,N312=0),0,IF(AND(L312=0,M312=0),N312/1,IF(AND(L312=0,N312=0),M312/1,IF(AND(M312=0,N312=0),L312/1,IF(L312=0,FLOOR((M312+N312)/2,0.1),IF(M312=0,(L312+N312)/2,IF(N312=0,(M312+L312)/2,FLOOR(((L312+M312+N312)/3),0.1))))))))</f>
        <v/>
      </c>
      <c r="P312" s="21" t="n"/>
      <c r="Q312" s="21" t="n"/>
      <c r="R312" s="27">
        <f>SUM(P312:Q312)</f>
        <v/>
      </c>
      <c r="S312" s="28" t="n"/>
      <c r="T312" s="28" t="n"/>
      <c r="U312" s="29">
        <f>IF(AND(R312=0,S312=0,T312=0),0,IF(AND(R312=0,S312=0),T312/1,IF(AND(R312=0,T312=0),S312/1,IF(AND(S312=0,T312=0),R312/1,IF(R312=0,FLOOR((S312+T312)/2,0.1),IF(S312=0,(R312+T312)/2,IF(T312=0,(S312+R312)/2,FLOOR(((R312+S312+T312)/3),0.1))))))))</f>
        <v/>
      </c>
      <c r="V312" s="21" t="n"/>
      <c r="W312" s="21" t="n"/>
      <c r="X312" s="27">
        <f>SUM(V312:W312)</f>
        <v/>
      </c>
      <c r="Y312" s="28" t="n"/>
      <c r="Z312" s="28" t="n"/>
      <c r="AA312" s="29">
        <f>IF(AND(X312=0,Y312=0,Z312=0),0,IF(AND(X312=0,Y312=0),Z312/1,IF(AND(X312=0,Z312=0),Y312/1,IF(AND(Y312=0,Z312=0),X312/1,IF(X312=0,FLOOR((Y312+Z312)/2,0.1),IF(Y312=0,(X312+Z312)/2,IF(Z312=0,(Y312+X312)/2,FLOOR(((X312+Y312+Z312)/3),0.1))))))))</f>
        <v/>
      </c>
      <c r="AB312" s="21" t="n"/>
      <c r="AC312" s="21" t="n"/>
      <c r="AD312" s="27">
        <f>SUM(AB312:AC312)</f>
        <v/>
      </c>
      <c r="AE312" s="28" t="n"/>
      <c r="AF312" s="28" t="n"/>
      <c r="AG312" s="29">
        <f>IF(AND(AD312=0,AE312=0,AF312=0),0,IF(AND(AD312=0,AE312=0),AF312/1,IF(AND(AD312=0,AF312=0),AE312/1,IF(AND(AE312=0,AF312=0),AD312/1,IF(AD312=0,FLOOR((AE312+AF312)/2,0.1),IF(AE312=0,(AD312+AF312)/2,IF(AF312=0,(AE312+AD312)/2,FLOOR(((AD312+AE312+AF312)/3),0.1))))))))</f>
        <v/>
      </c>
      <c r="AH312" s="21" t="n"/>
      <c r="AI312" s="21" t="n"/>
      <c r="AJ312" s="27">
        <f>SUM(AH312:AI312)</f>
        <v/>
      </c>
      <c r="AK312" s="28" t="n"/>
      <c r="AL312" s="28" t="n"/>
      <c r="AM312" s="29">
        <f>IF(AND(AJ312=0,AK312=0,AL312=0),0,IF(AND(AJ312=0,AK312=0),AL312/1,IF(AND(AJ312=0,AL312=0),AK312/1,IF(AND(AK312=0,AL312=0),AJ312/1,IF(AJ312=0,FLOOR((AK312+AL312)/2,0.1),IF(AK312=0,(AJ312+AL312)/2,IF(AL312=0,(AK312+AJ312)/2,FLOOR(((AJ312+AK312+AL312)/3),0.1))))))))</f>
        <v/>
      </c>
      <c r="AN312" s="21" t="n"/>
      <c r="AO312" s="21" t="n"/>
      <c r="AP312" s="27">
        <f>SUM(AN312:AO312)</f>
        <v/>
      </c>
      <c r="AQ312" s="28" t="n"/>
      <c r="AR312" s="30" t="n"/>
      <c r="AS312" s="29">
        <f>IF(AND(AP312=0,AQ312=0,AR312=0),0,IF(AND(AP312=0,AQ312=0),AR312/1,IF(AND(AP312=0,AR312=0),AQ312/1,IF(AND(AQ312=0,AR312=0),AP312/1,IF(AP312=0,FLOOR((AQ312+AR312)/2,0.1),IF(AQ312=0,(AP312+AR312)/2,IF(AR312=0,(AQ312+AP312)/2,FLOOR(((AP312+AQ312+AR312)/3),0.1))))))))</f>
        <v/>
      </c>
      <c r="AT312" s="21" t="n"/>
      <c r="AU312" s="21" t="n"/>
      <c r="AV312" s="27">
        <f>SUM(AT312:AU312)</f>
        <v/>
      </c>
      <c r="AW312" s="28" t="n"/>
      <c r="AX312" s="30" t="n"/>
      <c r="AY312" s="29">
        <f>IF(AND(AV312=0,AW312=0,AX312=0),0,IF(AND(AV312=0,AW312=0),AX312/1,IF(AND(AV312=0,AX312=0),AW312/1,IF(AND(AW312=0,AX312=0),AV312/1,IF(AV312=0,FLOOR((AW312+AX312)/2,0.1),IF(AW312=0,(AV312+AX312)/2,IF(AX312=0,(AW312+AV312)/2,FLOOR(((AV312+AW312+AX312)/3),0.1))))))))</f>
        <v/>
      </c>
      <c r="AZ312" s="21" t="n"/>
      <c r="BA312" s="21" t="n"/>
      <c r="BB312" s="27">
        <f>SUM(AZ312:BA312)</f>
        <v/>
      </c>
      <c r="BC312" s="28" t="n"/>
      <c r="BD312" s="28" t="n"/>
      <c r="BE312" s="29">
        <f>IF(AND(BB312=0,BC312=0,BD312=0),0,IF(AND(BB312=0,BC312=0),BD312/1,IF(AND(BB312=0,BD312=0),BC312/1,IF(AND(BC312=0,BD312=0),BB312/1,IF(BB312=0,FLOOR((BC312+BD312)/2,0.1),IF(BC312=0,(BB312+BD312)/2,IF(BD312=0,(BC312+BB312)/2,FLOOR(((BB312+BC312+BD312)/3),0.1))))))))</f>
        <v/>
      </c>
      <c r="BF312" s="21" t="n"/>
      <c r="BG312" s="21" t="n"/>
      <c r="BH312" s="27">
        <f>SUM(BF312:BG312)</f>
        <v/>
      </c>
      <c r="BI312" s="28" t="n"/>
      <c r="BJ312" s="28" t="n"/>
      <c r="BK312" s="29">
        <f>IF(AND(BH312=0,BI312=0,BJ312=0),0,IF(AND(BH312=0,BI312=0),BJ312/1,IF(AND(BH312=0,BJ312=0),BI312/1,IF(AND(BI312=0,BJ312=0),BH312/1,IF(BH312=0,FLOOR((BI312+BJ312)/2,0.1),IF(BI312=0,(BH312+BJ312)/2,IF(BJ312=0,(BI312+BH312)/2,FLOOR(((BH312+BI312+BJ312)/3),0.1))))))))</f>
        <v/>
      </c>
      <c r="BL312" s="21" t="n"/>
      <c r="BM312" s="21" t="n"/>
      <c r="BN312" s="27">
        <f>SUM(BL312:BM312)</f>
        <v/>
      </c>
      <c r="BO312" s="28" t="n"/>
      <c r="BP312" s="31" t="n"/>
      <c r="BQ312" s="29">
        <f>IF(AND(BN312=0,BO312=0,BP312=0),0,IF(AND(BN312=0,BO312=0),BP312/1,IF(AND(BN312=0,BP312=0),BO312/1,IF(AND(BO312=0,BP312=0),BN312/1,IF(BN312=0,FLOOR((BO312+BP312)/2,0.1),IF(BO312=0,(BN312+BP312)/2,IF(BP312=0,(BO312+BN312)/2,FLOOR(((BN312+BO312+BP312)/3),0.1))))))))</f>
        <v/>
      </c>
      <c r="BR312" s="21" t="n"/>
      <c r="BS312" s="21" t="n"/>
      <c r="BT312" s="27">
        <f>SUM(BR312:BS312)</f>
        <v/>
      </c>
      <c r="BU312" s="28" t="n"/>
      <c r="BV312" s="31" t="n"/>
      <c r="BW312" s="29">
        <f>IF(AND(BT312=0,BU312=0,BV312=0),0,IF(AND(BT312=0,BU312=0),BV312/1,IF(AND(BT312=0,BV312=0),BU312/1,IF(AND(BU312=0,BV312=0),BT312/1,IF(BT312=0,FLOOR((BU312+BV312)/2,0.1),IF(BU312=0,(BT312+BV312)/2,IF(BV312=0,(BU312+BT312)/2,FLOOR(((BT312+BU312+BV312)/3),0.1))))))))</f>
        <v/>
      </c>
      <c r="BX312" s="21" t="n"/>
      <c r="BY312" s="21" t="n"/>
      <c r="BZ312" s="27">
        <f>SUM(BX312:BY312)</f>
        <v/>
      </c>
      <c r="CA312" s="28" t="n"/>
      <c r="CB312" s="31" t="n"/>
      <c r="CC312" s="29">
        <f>IF(AND(BZ312=0,CA312=0,CB312=0),0,IF(AND(BZ312=0,CA312=0),CB312/1,IF(AND(BZ312=0,CB312=0),CA312/1,IF(AND(CA312=0,CB312=0),BZ312/1,IF(BZ312=0,FLOOR((CA312+CB312)/2,0.1),IF(CA312=0,(BZ312+CB312)/2,IF(CB312=0,(CA312+BZ312)/2,FLOOR(((BZ312+CA312+CB312)/3),0.1))))))))</f>
        <v/>
      </c>
      <c r="CD312" s="21" t="n"/>
      <c r="CE312" s="21" t="n"/>
      <c r="CF312" s="27">
        <f>SUM(CD312:CE312)</f>
        <v/>
      </c>
      <c r="CG312" s="28" t="n"/>
      <c r="CH312" s="31" t="n"/>
      <c r="CI312" s="29">
        <f>IF(AND(CF312=0,CG312=0,CH312=0),0,IF(AND(CF312=0,CG312=0),CH312/1,IF(AND(CF312=0,CH312=0),CG312/1,IF(AND(CG312=0,CH312=0),CF312/1,IF(CF312=0,FLOOR((CG312+CH312)/2,0.1),IF(CG312=0,(CF312+CH312)/2,IF(CH312=0,(CG312+CF312)/2,FLOOR(((CF312+CG312+CH312)/3),0.1))))))))</f>
        <v/>
      </c>
      <c r="CJ312" s="21" t="n"/>
      <c r="CK312" s="21" t="n"/>
      <c r="CL312" s="27">
        <f>SUM(CJ312:CK312)</f>
        <v/>
      </c>
      <c r="CM312" s="28" t="n"/>
      <c r="CN312" s="31" t="n"/>
      <c r="CO312" s="29">
        <f>IF(AND(CL312=0,CM312=0,CN312=0),0,IF(AND(CL312=0,CM312=0),CN312/1,IF(AND(CL312=0,CN312=0),CM312/1,IF(AND(CM312=0,CN312=0),CL312/1,IF(CL312=0,FLOOR((CM312+CN312)/2,0.1),IF(CM312=0,(CL312+CN312)/2,IF(CN312=0,(CM312+CL312)/2,FLOOR(((CL312+CM312+CN312)/3),0.1))))))))</f>
        <v/>
      </c>
      <c r="CP312" s="21" t="n"/>
      <c r="CQ312" s="21" t="n"/>
      <c r="CR312" s="27">
        <f>SUM(CP312:CQ312)</f>
        <v/>
      </c>
      <c r="CS312" s="28" t="n"/>
      <c r="CT312" s="31" t="n"/>
      <c r="CU312" s="29">
        <f>IF(AND(CR312=0,CS312=0,CT312=0),0,IF(AND(CR312=0,CS312=0),CT312/1,IF(AND(CR312=0,CT312=0),CS312/1,IF(AND(CS312=0,CT312=0),CR312/1,IF(CR312=0,FLOOR((CS312+CT312)/2,0.1),IF(CS312=0,(CR312+CT312)/2,IF(CT312=0,(CS312+CR312)/2,FLOOR(((CR312+CS312+CT312)/3),0.1))))))))</f>
        <v/>
      </c>
      <c r="CV312" s="21" t="n"/>
      <c r="CW312" s="21" t="n"/>
      <c r="CX312" s="27">
        <f>SUM(CV312:CW312)</f>
        <v/>
      </c>
      <c r="CY312" s="28" t="n"/>
      <c r="CZ312" s="31" t="n"/>
      <c r="DA312" s="29">
        <f>IF(AND(CX312=0,CY312=0,CZ312=0),0,IF(AND(CX312=0,CY312=0),CZ312/1,IF(AND(CX312=0,CZ312=0),CY312/1,IF(AND(CY312=0,CZ312=0),CX312/1,IF(CX312=0,FLOOR((CY312+CZ312)/2,0.1),IF(CY312=0,(CX312+CZ312)/2,IF(CZ312=0,(CY312+CX312)/2,FLOOR(((CX312+CY312+CZ312)/3),0.1))))))))</f>
        <v/>
      </c>
      <c r="DB312" s="21" t="n"/>
      <c r="DC312" s="21" t="n"/>
      <c r="DD312" s="27">
        <f>SUM(DB312:DC312)</f>
        <v/>
      </c>
      <c r="DE312" s="28" t="n"/>
      <c r="DF312" s="31" t="n"/>
      <c r="DG312" s="29">
        <f>IF(AND(DD312=0,DE312=0,DF312=0),0,IF(AND(DD312=0,DE312=0),DF312/1,IF(AND(DD312=0,DF312=0),DE312/1,IF(AND(DE312=0,DF312=0),DD312/1,IF(DD312=0,FLOOR((DE312+DF312)/2,0.1),IF(DE312=0,(DD312+DF312)/2,IF(DF312=0,(DE312+DD312)/2,FLOOR(((DD312+DE312+DF312)/3),0.1))))))))</f>
        <v/>
      </c>
      <c r="DH312" s="34">
        <f>SUM(O312,U312,AA312,AG312,AM312,AS312,AY312,BE312,BK312,BQ312,BW312,CC312,CI312,CO312,CU312,DA312,DG312)</f>
        <v/>
      </c>
      <c r="DI312" s="39">
        <f>RANK(DH312,DH$4:DH$503)</f>
        <v/>
      </c>
      <c r="DJ312" s="40" t="inlineStr">
        <is>
          <t>CHOOSE RATING</t>
        </is>
      </c>
      <c r="DK312" s="40" t="inlineStr">
        <is>
          <t>CHOOSE RATING</t>
        </is>
      </c>
      <c r="DL312" s="40" t="inlineStr">
        <is>
          <t>CHOOSE RATING</t>
        </is>
      </c>
      <c r="DM312" s="40" t="inlineStr">
        <is>
          <t>CHOOSE RATING</t>
        </is>
      </c>
      <c r="DN312" s="40" t="inlineStr">
        <is>
          <t>CHOOSE RATING</t>
        </is>
      </c>
      <c r="DO312" s="40" t="inlineStr">
        <is>
          <t>CHOOSE RATING</t>
        </is>
      </c>
      <c r="DP312" s="40" t="inlineStr">
        <is>
          <t>CHOOSE RATING</t>
        </is>
      </c>
      <c r="DQ312" s="40" t="inlineStr">
        <is>
          <t>CHOOSE RATING</t>
        </is>
      </c>
      <c r="DR312" s="43" t="inlineStr">
        <is>
          <t>2024/2025</t>
        </is>
      </c>
      <c r="DS312" s="45" t="inlineStr">
        <is>
          <t>THIRD</t>
        </is>
      </c>
      <c r="DT312" s="40" t="inlineStr">
        <is>
          <t>CHOOSE RATING</t>
        </is>
      </c>
      <c r="DU312" s="40" t="inlineStr">
        <is>
          <t>CHOOSE RATING</t>
        </is>
      </c>
      <c r="DV312" s="40" t="inlineStr">
        <is>
          <t>CHOOSE RATING</t>
        </is>
      </c>
      <c r="DW312" s="40" t="inlineStr">
        <is>
          <t>CHOOSE RATING</t>
        </is>
      </c>
      <c r="DX312" s="40" t="inlineStr">
        <is>
          <t>CHOOSE RATING</t>
        </is>
      </c>
      <c r="DY312" s="40" t="inlineStr">
        <is>
          <t>CHOOSE RATING</t>
        </is>
      </c>
      <c r="DZ312" s="53" t="inlineStr">
        <is>
          <t>CHOOSE RATING</t>
        </is>
      </c>
      <c r="EA312" s="54" t="inlineStr">
        <is>
          <t>Add the Tutor's Comment . . .</t>
        </is>
      </c>
      <c r="EB312" s="55" t="inlineStr">
        <is>
          <t>Choose Principals comment</t>
        </is>
      </c>
      <c r="EC312" s="56" t="n"/>
      <c r="ED312" s="57" t="inlineStr">
        <is>
          <t>Next Term Begins on Monday, 22nd September, 2025</t>
        </is>
      </c>
    </row>
    <row r="313" ht="30.6" customHeight="1" s="6">
      <c r="A313" s="18" t="n">
        <v>310</v>
      </c>
      <c r="B313" s="19" t="n"/>
      <c r="C313" s="20" t="n"/>
      <c r="D313" s="128" t="n"/>
      <c r="E313" s="21" t="n"/>
      <c r="F313" s="22" t="n"/>
      <c r="G313" s="22" t="n"/>
      <c r="H313" s="22" t="n"/>
      <c r="I313" s="26">
        <f>G313-H313</f>
        <v/>
      </c>
      <c r="J313" s="21" t="n"/>
      <c r="K313" s="21" t="n"/>
      <c r="L313" s="27">
        <f>SUM(J313:K313)</f>
        <v/>
      </c>
      <c r="M313" s="28" t="n"/>
      <c r="N313" s="28" t="n"/>
      <c r="O313" s="29">
        <f>IF(AND(L313=0,M313=0,N313=0),0,IF(AND(L313=0,M313=0),N313/1,IF(AND(L313=0,N313=0),M313/1,IF(AND(M313=0,N313=0),L313/1,IF(L313=0,FLOOR((M313+N313)/2,0.1),IF(M313=0,(L313+N313)/2,IF(N313=0,(M313+L313)/2,FLOOR(((L313+M313+N313)/3),0.1))))))))</f>
        <v/>
      </c>
      <c r="P313" s="21" t="n"/>
      <c r="Q313" s="21" t="n"/>
      <c r="R313" s="27">
        <f>SUM(P313:Q313)</f>
        <v/>
      </c>
      <c r="S313" s="28" t="n"/>
      <c r="T313" s="28" t="n"/>
      <c r="U313" s="29">
        <f>IF(AND(R313=0,S313=0,T313=0),0,IF(AND(R313=0,S313=0),T313/1,IF(AND(R313=0,T313=0),S313/1,IF(AND(S313=0,T313=0),R313/1,IF(R313=0,FLOOR((S313+T313)/2,0.1),IF(S313=0,(R313+T313)/2,IF(T313=0,(S313+R313)/2,FLOOR(((R313+S313+T313)/3),0.1))))))))</f>
        <v/>
      </c>
      <c r="V313" s="21" t="n"/>
      <c r="W313" s="21" t="n"/>
      <c r="X313" s="27">
        <f>SUM(V313:W313)</f>
        <v/>
      </c>
      <c r="Y313" s="28" t="n"/>
      <c r="Z313" s="28" t="n"/>
      <c r="AA313" s="29">
        <f>IF(AND(X313=0,Y313=0,Z313=0),0,IF(AND(X313=0,Y313=0),Z313/1,IF(AND(X313=0,Z313=0),Y313/1,IF(AND(Y313=0,Z313=0),X313/1,IF(X313=0,FLOOR((Y313+Z313)/2,0.1),IF(Y313=0,(X313+Z313)/2,IF(Z313=0,(Y313+X313)/2,FLOOR(((X313+Y313+Z313)/3),0.1))))))))</f>
        <v/>
      </c>
      <c r="AB313" s="21" t="n"/>
      <c r="AC313" s="21" t="n"/>
      <c r="AD313" s="27">
        <f>SUM(AB313:AC313)</f>
        <v/>
      </c>
      <c r="AE313" s="28" t="n"/>
      <c r="AF313" s="28" t="n"/>
      <c r="AG313" s="29">
        <f>IF(AND(AD313=0,AE313=0,AF313=0),0,IF(AND(AD313=0,AE313=0),AF313/1,IF(AND(AD313=0,AF313=0),AE313/1,IF(AND(AE313=0,AF313=0),AD313/1,IF(AD313=0,FLOOR((AE313+AF313)/2,0.1),IF(AE313=0,(AD313+AF313)/2,IF(AF313=0,(AE313+AD313)/2,FLOOR(((AD313+AE313+AF313)/3),0.1))))))))</f>
        <v/>
      </c>
      <c r="AH313" s="21" t="n"/>
      <c r="AI313" s="21" t="n"/>
      <c r="AJ313" s="27">
        <f>SUM(AH313:AI313)</f>
        <v/>
      </c>
      <c r="AK313" s="28" t="n"/>
      <c r="AL313" s="28" t="n"/>
      <c r="AM313" s="29">
        <f>IF(AND(AJ313=0,AK313=0,AL313=0),0,IF(AND(AJ313=0,AK313=0),AL313/1,IF(AND(AJ313=0,AL313=0),AK313/1,IF(AND(AK313=0,AL313=0),AJ313/1,IF(AJ313=0,FLOOR((AK313+AL313)/2,0.1),IF(AK313=0,(AJ313+AL313)/2,IF(AL313=0,(AK313+AJ313)/2,FLOOR(((AJ313+AK313+AL313)/3),0.1))))))))</f>
        <v/>
      </c>
      <c r="AN313" s="21" t="n"/>
      <c r="AO313" s="21" t="n"/>
      <c r="AP313" s="27">
        <f>SUM(AN313:AO313)</f>
        <v/>
      </c>
      <c r="AQ313" s="28" t="n"/>
      <c r="AR313" s="30" t="n"/>
      <c r="AS313" s="29">
        <f>IF(AND(AP313=0,AQ313=0,AR313=0),0,IF(AND(AP313=0,AQ313=0),AR313/1,IF(AND(AP313=0,AR313=0),AQ313/1,IF(AND(AQ313=0,AR313=0),AP313/1,IF(AP313=0,FLOOR((AQ313+AR313)/2,0.1),IF(AQ313=0,(AP313+AR313)/2,IF(AR313=0,(AQ313+AP313)/2,FLOOR(((AP313+AQ313+AR313)/3),0.1))))))))</f>
        <v/>
      </c>
      <c r="AT313" s="21" t="n"/>
      <c r="AU313" s="21" t="n"/>
      <c r="AV313" s="27">
        <f>SUM(AT313:AU313)</f>
        <v/>
      </c>
      <c r="AW313" s="28" t="n"/>
      <c r="AX313" s="30" t="n"/>
      <c r="AY313" s="29">
        <f>IF(AND(AV313=0,AW313=0,AX313=0),0,IF(AND(AV313=0,AW313=0),AX313/1,IF(AND(AV313=0,AX313=0),AW313/1,IF(AND(AW313=0,AX313=0),AV313/1,IF(AV313=0,FLOOR((AW313+AX313)/2,0.1),IF(AW313=0,(AV313+AX313)/2,IF(AX313=0,(AW313+AV313)/2,FLOOR(((AV313+AW313+AX313)/3),0.1))))))))</f>
        <v/>
      </c>
      <c r="AZ313" s="21" t="n"/>
      <c r="BA313" s="21" t="n"/>
      <c r="BB313" s="27">
        <f>SUM(AZ313:BA313)</f>
        <v/>
      </c>
      <c r="BC313" s="28" t="n"/>
      <c r="BD313" s="28" t="n"/>
      <c r="BE313" s="29">
        <f>IF(AND(BB313=0,BC313=0,BD313=0),0,IF(AND(BB313=0,BC313=0),BD313/1,IF(AND(BB313=0,BD313=0),BC313/1,IF(AND(BC313=0,BD313=0),BB313/1,IF(BB313=0,FLOOR((BC313+BD313)/2,0.1),IF(BC313=0,(BB313+BD313)/2,IF(BD313=0,(BC313+BB313)/2,FLOOR(((BB313+BC313+BD313)/3),0.1))))))))</f>
        <v/>
      </c>
      <c r="BF313" s="21" t="n"/>
      <c r="BG313" s="21" t="n"/>
      <c r="BH313" s="27">
        <f>SUM(BF313:BG313)</f>
        <v/>
      </c>
      <c r="BI313" s="28" t="n"/>
      <c r="BJ313" s="28" t="n"/>
      <c r="BK313" s="29">
        <f>IF(AND(BH313=0,BI313=0,BJ313=0),0,IF(AND(BH313=0,BI313=0),BJ313/1,IF(AND(BH313=0,BJ313=0),BI313/1,IF(AND(BI313=0,BJ313=0),BH313/1,IF(BH313=0,FLOOR((BI313+BJ313)/2,0.1),IF(BI313=0,(BH313+BJ313)/2,IF(BJ313=0,(BI313+BH313)/2,FLOOR(((BH313+BI313+BJ313)/3),0.1))))))))</f>
        <v/>
      </c>
      <c r="BL313" s="21" t="n"/>
      <c r="BM313" s="21" t="n"/>
      <c r="BN313" s="27">
        <f>SUM(BL313:BM313)</f>
        <v/>
      </c>
      <c r="BO313" s="28" t="n"/>
      <c r="BP313" s="31" t="n"/>
      <c r="BQ313" s="29">
        <f>IF(AND(BN313=0,BO313=0,BP313=0),0,IF(AND(BN313=0,BO313=0),BP313/1,IF(AND(BN313=0,BP313=0),BO313/1,IF(AND(BO313=0,BP313=0),BN313/1,IF(BN313=0,FLOOR((BO313+BP313)/2,0.1),IF(BO313=0,(BN313+BP313)/2,IF(BP313=0,(BO313+BN313)/2,FLOOR(((BN313+BO313+BP313)/3),0.1))))))))</f>
        <v/>
      </c>
      <c r="BR313" s="21" t="n"/>
      <c r="BS313" s="21" t="n"/>
      <c r="BT313" s="27">
        <f>SUM(BR313:BS313)</f>
        <v/>
      </c>
      <c r="BU313" s="28" t="n"/>
      <c r="BV313" s="31" t="n"/>
      <c r="BW313" s="29">
        <f>IF(AND(BT313=0,BU313=0,BV313=0),0,IF(AND(BT313=0,BU313=0),BV313/1,IF(AND(BT313=0,BV313=0),BU313/1,IF(AND(BU313=0,BV313=0),BT313/1,IF(BT313=0,FLOOR((BU313+BV313)/2,0.1),IF(BU313=0,(BT313+BV313)/2,IF(BV313=0,(BU313+BT313)/2,FLOOR(((BT313+BU313+BV313)/3),0.1))))))))</f>
        <v/>
      </c>
      <c r="BX313" s="21" t="n"/>
      <c r="BY313" s="21" t="n"/>
      <c r="BZ313" s="27">
        <f>SUM(BX313:BY313)</f>
        <v/>
      </c>
      <c r="CA313" s="28" t="n"/>
      <c r="CB313" s="31" t="n"/>
      <c r="CC313" s="29">
        <f>IF(AND(BZ313=0,CA313=0,CB313=0),0,IF(AND(BZ313=0,CA313=0),CB313/1,IF(AND(BZ313=0,CB313=0),CA313/1,IF(AND(CA313=0,CB313=0),BZ313/1,IF(BZ313=0,FLOOR((CA313+CB313)/2,0.1),IF(CA313=0,(BZ313+CB313)/2,IF(CB313=0,(CA313+BZ313)/2,FLOOR(((BZ313+CA313+CB313)/3),0.1))))))))</f>
        <v/>
      </c>
      <c r="CD313" s="21" t="n"/>
      <c r="CE313" s="21" t="n"/>
      <c r="CF313" s="27">
        <f>SUM(CD313:CE313)</f>
        <v/>
      </c>
      <c r="CG313" s="28" t="n"/>
      <c r="CH313" s="31" t="n"/>
      <c r="CI313" s="29">
        <f>IF(AND(CF313=0,CG313=0,CH313=0),0,IF(AND(CF313=0,CG313=0),CH313/1,IF(AND(CF313=0,CH313=0),CG313/1,IF(AND(CG313=0,CH313=0),CF313/1,IF(CF313=0,FLOOR((CG313+CH313)/2,0.1),IF(CG313=0,(CF313+CH313)/2,IF(CH313=0,(CG313+CF313)/2,FLOOR(((CF313+CG313+CH313)/3),0.1))))))))</f>
        <v/>
      </c>
      <c r="CJ313" s="21" t="n"/>
      <c r="CK313" s="21" t="n"/>
      <c r="CL313" s="27">
        <f>SUM(CJ313:CK313)</f>
        <v/>
      </c>
      <c r="CM313" s="28" t="n"/>
      <c r="CN313" s="31" t="n"/>
      <c r="CO313" s="29">
        <f>IF(AND(CL313=0,CM313=0,CN313=0),0,IF(AND(CL313=0,CM313=0),CN313/1,IF(AND(CL313=0,CN313=0),CM313/1,IF(AND(CM313=0,CN313=0),CL313/1,IF(CL313=0,FLOOR((CM313+CN313)/2,0.1),IF(CM313=0,(CL313+CN313)/2,IF(CN313=0,(CM313+CL313)/2,FLOOR(((CL313+CM313+CN313)/3),0.1))))))))</f>
        <v/>
      </c>
      <c r="CP313" s="21" t="n"/>
      <c r="CQ313" s="21" t="n"/>
      <c r="CR313" s="27">
        <f>SUM(CP313:CQ313)</f>
        <v/>
      </c>
      <c r="CS313" s="28" t="n"/>
      <c r="CT313" s="31" t="n"/>
      <c r="CU313" s="29">
        <f>IF(AND(CR313=0,CS313=0,CT313=0),0,IF(AND(CR313=0,CS313=0),CT313/1,IF(AND(CR313=0,CT313=0),CS313/1,IF(AND(CS313=0,CT313=0),CR313/1,IF(CR313=0,FLOOR((CS313+CT313)/2,0.1),IF(CS313=0,(CR313+CT313)/2,IF(CT313=0,(CS313+CR313)/2,FLOOR(((CR313+CS313+CT313)/3),0.1))))))))</f>
        <v/>
      </c>
      <c r="CV313" s="21" t="n"/>
      <c r="CW313" s="21" t="n"/>
      <c r="CX313" s="27">
        <f>SUM(CV313:CW313)</f>
        <v/>
      </c>
      <c r="CY313" s="28" t="n"/>
      <c r="CZ313" s="31" t="n"/>
      <c r="DA313" s="29">
        <f>IF(AND(CX313=0,CY313=0,CZ313=0),0,IF(AND(CX313=0,CY313=0),CZ313/1,IF(AND(CX313=0,CZ313=0),CY313/1,IF(AND(CY313=0,CZ313=0),CX313/1,IF(CX313=0,FLOOR((CY313+CZ313)/2,0.1),IF(CY313=0,(CX313+CZ313)/2,IF(CZ313=0,(CY313+CX313)/2,FLOOR(((CX313+CY313+CZ313)/3),0.1))))))))</f>
        <v/>
      </c>
      <c r="DB313" s="21" t="n"/>
      <c r="DC313" s="21" t="n"/>
      <c r="DD313" s="27">
        <f>SUM(DB313:DC313)</f>
        <v/>
      </c>
      <c r="DE313" s="28" t="n"/>
      <c r="DF313" s="31" t="n"/>
      <c r="DG313" s="29">
        <f>IF(AND(DD313=0,DE313=0,DF313=0),0,IF(AND(DD313=0,DE313=0),DF313/1,IF(AND(DD313=0,DF313=0),DE313/1,IF(AND(DE313=0,DF313=0),DD313/1,IF(DD313=0,FLOOR((DE313+DF313)/2,0.1),IF(DE313=0,(DD313+DF313)/2,IF(DF313=0,(DE313+DD313)/2,FLOOR(((DD313+DE313+DF313)/3),0.1))))))))</f>
        <v/>
      </c>
      <c r="DH313" s="34">
        <f>SUM(O313,U313,AA313,AG313,AM313,AS313,AY313,BE313,BK313,BQ313,BW313,CC313,CI313,CO313,CU313,DA313,DG313)</f>
        <v/>
      </c>
      <c r="DI313" s="39">
        <f>RANK(DH313,DH$4:DH$503)</f>
        <v/>
      </c>
      <c r="DJ313" s="40" t="inlineStr">
        <is>
          <t>CHOOSE RATING</t>
        </is>
      </c>
      <c r="DK313" s="40" t="inlineStr">
        <is>
          <t>CHOOSE RATING</t>
        </is>
      </c>
      <c r="DL313" s="40" t="inlineStr">
        <is>
          <t>CHOOSE RATING</t>
        </is>
      </c>
      <c r="DM313" s="40" t="inlineStr">
        <is>
          <t>CHOOSE RATING</t>
        </is>
      </c>
      <c r="DN313" s="40" t="inlineStr">
        <is>
          <t>CHOOSE RATING</t>
        </is>
      </c>
      <c r="DO313" s="40" t="inlineStr">
        <is>
          <t>CHOOSE RATING</t>
        </is>
      </c>
      <c r="DP313" s="40" t="inlineStr">
        <is>
          <t>CHOOSE RATING</t>
        </is>
      </c>
      <c r="DQ313" s="40" t="inlineStr">
        <is>
          <t>CHOOSE RATING</t>
        </is>
      </c>
      <c r="DR313" s="43" t="inlineStr">
        <is>
          <t>2024/2025</t>
        </is>
      </c>
      <c r="DS313" s="45" t="inlineStr">
        <is>
          <t>THIRD</t>
        </is>
      </c>
      <c r="DT313" s="40" t="inlineStr">
        <is>
          <t>CHOOSE RATING</t>
        </is>
      </c>
      <c r="DU313" s="40" t="inlineStr">
        <is>
          <t>CHOOSE RATING</t>
        </is>
      </c>
      <c r="DV313" s="40" t="inlineStr">
        <is>
          <t>CHOOSE RATING</t>
        </is>
      </c>
      <c r="DW313" s="40" t="inlineStr">
        <is>
          <t>CHOOSE RATING</t>
        </is>
      </c>
      <c r="DX313" s="40" t="inlineStr">
        <is>
          <t>CHOOSE RATING</t>
        </is>
      </c>
      <c r="DY313" s="40" t="inlineStr">
        <is>
          <t>CHOOSE RATING</t>
        </is>
      </c>
      <c r="DZ313" s="53" t="inlineStr">
        <is>
          <t>CHOOSE RATING</t>
        </is>
      </c>
      <c r="EA313" s="54" t="inlineStr">
        <is>
          <t>Add the Tutor's Comment . . .</t>
        </is>
      </c>
      <c r="EB313" s="55" t="inlineStr">
        <is>
          <t>Choose Principals comment</t>
        </is>
      </c>
      <c r="EC313" s="56" t="n"/>
      <c r="ED313" s="57" t="inlineStr">
        <is>
          <t>Next Term Begins on Monday, 22nd September, 2025</t>
        </is>
      </c>
    </row>
    <row r="314" ht="30.6" customHeight="1" s="6">
      <c r="A314" s="18" t="n">
        <v>311</v>
      </c>
      <c r="B314" s="19" t="n"/>
      <c r="C314" s="20" t="n"/>
      <c r="D314" s="128" t="n"/>
      <c r="E314" s="21" t="n"/>
      <c r="F314" s="22" t="n"/>
      <c r="G314" s="22" t="n"/>
      <c r="H314" s="22" t="n"/>
      <c r="I314" s="26">
        <f>G314-H314</f>
        <v/>
      </c>
      <c r="J314" s="21" t="n"/>
      <c r="K314" s="21" t="n"/>
      <c r="L314" s="27">
        <f>SUM(J314:K314)</f>
        <v/>
      </c>
      <c r="M314" s="28" t="n"/>
      <c r="N314" s="28" t="n"/>
      <c r="O314" s="29">
        <f>IF(AND(L314=0,M314=0,N314=0),0,IF(AND(L314=0,M314=0),N314/1,IF(AND(L314=0,N314=0),M314/1,IF(AND(M314=0,N314=0),L314/1,IF(L314=0,FLOOR((M314+N314)/2,0.1),IF(M314=0,(L314+N314)/2,IF(N314=0,(M314+L314)/2,FLOOR(((L314+M314+N314)/3),0.1))))))))</f>
        <v/>
      </c>
      <c r="P314" s="21" t="n"/>
      <c r="Q314" s="21" t="n"/>
      <c r="R314" s="27">
        <f>SUM(P314:Q314)</f>
        <v/>
      </c>
      <c r="S314" s="28" t="n"/>
      <c r="T314" s="28" t="n"/>
      <c r="U314" s="29">
        <f>IF(AND(R314=0,S314=0,T314=0),0,IF(AND(R314=0,S314=0),T314/1,IF(AND(R314=0,T314=0),S314/1,IF(AND(S314=0,T314=0),R314/1,IF(R314=0,FLOOR((S314+T314)/2,0.1),IF(S314=0,(R314+T314)/2,IF(T314=0,(S314+R314)/2,FLOOR(((R314+S314+T314)/3),0.1))))))))</f>
        <v/>
      </c>
      <c r="V314" s="21" t="n"/>
      <c r="W314" s="21" t="n"/>
      <c r="X314" s="27">
        <f>SUM(V314:W314)</f>
        <v/>
      </c>
      <c r="Y314" s="28" t="n"/>
      <c r="Z314" s="28" t="n"/>
      <c r="AA314" s="29">
        <f>IF(AND(X314=0,Y314=0,Z314=0),0,IF(AND(X314=0,Y314=0),Z314/1,IF(AND(X314=0,Z314=0),Y314/1,IF(AND(Y314=0,Z314=0),X314/1,IF(X314=0,FLOOR((Y314+Z314)/2,0.1),IF(Y314=0,(X314+Z314)/2,IF(Z314=0,(Y314+X314)/2,FLOOR(((X314+Y314+Z314)/3),0.1))))))))</f>
        <v/>
      </c>
      <c r="AB314" s="21" t="n"/>
      <c r="AC314" s="21" t="n"/>
      <c r="AD314" s="27">
        <f>SUM(AB314:AC314)</f>
        <v/>
      </c>
      <c r="AE314" s="28" t="n"/>
      <c r="AF314" s="28" t="n"/>
      <c r="AG314" s="29">
        <f>IF(AND(AD314=0,AE314=0,AF314=0),0,IF(AND(AD314=0,AE314=0),AF314/1,IF(AND(AD314=0,AF314=0),AE314/1,IF(AND(AE314=0,AF314=0),AD314/1,IF(AD314=0,FLOOR((AE314+AF314)/2,0.1),IF(AE314=0,(AD314+AF314)/2,IF(AF314=0,(AE314+AD314)/2,FLOOR(((AD314+AE314+AF314)/3),0.1))))))))</f>
        <v/>
      </c>
      <c r="AH314" s="21" t="n"/>
      <c r="AI314" s="21" t="n"/>
      <c r="AJ314" s="27">
        <f>SUM(AH314:AI314)</f>
        <v/>
      </c>
      <c r="AK314" s="28" t="n"/>
      <c r="AL314" s="28" t="n"/>
      <c r="AM314" s="29">
        <f>IF(AND(AJ314=0,AK314=0,AL314=0),0,IF(AND(AJ314=0,AK314=0),AL314/1,IF(AND(AJ314=0,AL314=0),AK314/1,IF(AND(AK314=0,AL314=0),AJ314/1,IF(AJ314=0,FLOOR((AK314+AL314)/2,0.1),IF(AK314=0,(AJ314+AL314)/2,IF(AL314=0,(AK314+AJ314)/2,FLOOR(((AJ314+AK314+AL314)/3),0.1))))))))</f>
        <v/>
      </c>
      <c r="AN314" s="21" t="n"/>
      <c r="AO314" s="21" t="n"/>
      <c r="AP314" s="27">
        <f>SUM(AN314:AO314)</f>
        <v/>
      </c>
      <c r="AQ314" s="28" t="n"/>
      <c r="AR314" s="30" t="n"/>
      <c r="AS314" s="29">
        <f>IF(AND(AP314=0,AQ314=0,AR314=0),0,IF(AND(AP314=0,AQ314=0),AR314/1,IF(AND(AP314=0,AR314=0),AQ314/1,IF(AND(AQ314=0,AR314=0),AP314/1,IF(AP314=0,FLOOR((AQ314+AR314)/2,0.1),IF(AQ314=0,(AP314+AR314)/2,IF(AR314=0,(AQ314+AP314)/2,FLOOR(((AP314+AQ314+AR314)/3),0.1))))))))</f>
        <v/>
      </c>
      <c r="AT314" s="21" t="n"/>
      <c r="AU314" s="21" t="n"/>
      <c r="AV314" s="27">
        <f>SUM(AT314:AU314)</f>
        <v/>
      </c>
      <c r="AW314" s="28" t="n"/>
      <c r="AX314" s="30" t="n"/>
      <c r="AY314" s="29">
        <f>IF(AND(AV314=0,AW314=0,AX314=0),0,IF(AND(AV314=0,AW314=0),AX314/1,IF(AND(AV314=0,AX314=0),AW314/1,IF(AND(AW314=0,AX314=0),AV314/1,IF(AV314=0,FLOOR((AW314+AX314)/2,0.1),IF(AW314=0,(AV314+AX314)/2,IF(AX314=0,(AW314+AV314)/2,FLOOR(((AV314+AW314+AX314)/3),0.1))))))))</f>
        <v/>
      </c>
      <c r="AZ314" s="21" t="n"/>
      <c r="BA314" s="21" t="n"/>
      <c r="BB314" s="27">
        <f>SUM(AZ314:BA314)</f>
        <v/>
      </c>
      <c r="BC314" s="28" t="n"/>
      <c r="BD314" s="28" t="n"/>
      <c r="BE314" s="29">
        <f>IF(AND(BB314=0,BC314=0,BD314=0),0,IF(AND(BB314=0,BC314=0),BD314/1,IF(AND(BB314=0,BD314=0),BC314/1,IF(AND(BC314=0,BD314=0),BB314/1,IF(BB314=0,FLOOR((BC314+BD314)/2,0.1),IF(BC314=0,(BB314+BD314)/2,IF(BD314=0,(BC314+BB314)/2,FLOOR(((BB314+BC314+BD314)/3),0.1))))))))</f>
        <v/>
      </c>
      <c r="BF314" s="21" t="n"/>
      <c r="BG314" s="21" t="n"/>
      <c r="BH314" s="27">
        <f>SUM(BF314:BG314)</f>
        <v/>
      </c>
      <c r="BI314" s="28" t="n"/>
      <c r="BJ314" s="28" t="n"/>
      <c r="BK314" s="29">
        <f>IF(AND(BH314=0,BI314=0,BJ314=0),0,IF(AND(BH314=0,BI314=0),BJ314/1,IF(AND(BH314=0,BJ314=0),BI314/1,IF(AND(BI314=0,BJ314=0),BH314/1,IF(BH314=0,FLOOR((BI314+BJ314)/2,0.1),IF(BI314=0,(BH314+BJ314)/2,IF(BJ314=0,(BI314+BH314)/2,FLOOR(((BH314+BI314+BJ314)/3),0.1))))))))</f>
        <v/>
      </c>
      <c r="BL314" s="21" t="n"/>
      <c r="BM314" s="21" t="n"/>
      <c r="BN314" s="27">
        <f>SUM(BL314:BM314)</f>
        <v/>
      </c>
      <c r="BO314" s="28" t="n"/>
      <c r="BP314" s="31" t="n"/>
      <c r="BQ314" s="29">
        <f>IF(AND(BN314=0,BO314=0,BP314=0),0,IF(AND(BN314=0,BO314=0),BP314/1,IF(AND(BN314=0,BP314=0),BO314/1,IF(AND(BO314=0,BP314=0),BN314/1,IF(BN314=0,FLOOR((BO314+BP314)/2,0.1),IF(BO314=0,(BN314+BP314)/2,IF(BP314=0,(BO314+BN314)/2,FLOOR(((BN314+BO314+BP314)/3),0.1))))))))</f>
        <v/>
      </c>
      <c r="BR314" s="21" t="n"/>
      <c r="BS314" s="21" t="n"/>
      <c r="BT314" s="27">
        <f>SUM(BR314:BS314)</f>
        <v/>
      </c>
      <c r="BU314" s="28" t="n"/>
      <c r="BV314" s="31" t="n"/>
      <c r="BW314" s="29">
        <f>IF(AND(BT314=0,BU314=0,BV314=0),0,IF(AND(BT314=0,BU314=0),BV314/1,IF(AND(BT314=0,BV314=0),BU314/1,IF(AND(BU314=0,BV314=0),BT314/1,IF(BT314=0,FLOOR((BU314+BV314)/2,0.1),IF(BU314=0,(BT314+BV314)/2,IF(BV314=0,(BU314+BT314)/2,FLOOR(((BT314+BU314+BV314)/3),0.1))))))))</f>
        <v/>
      </c>
      <c r="BX314" s="21" t="n"/>
      <c r="BY314" s="21" t="n"/>
      <c r="BZ314" s="27">
        <f>SUM(BX314:BY314)</f>
        <v/>
      </c>
      <c r="CA314" s="28" t="n"/>
      <c r="CB314" s="31" t="n"/>
      <c r="CC314" s="29">
        <f>IF(AND(BZ314=0,CA314=0,CB314=0),0,IF(AND(BZ314=0,CA314=0),CB314/1,IF(AND(BZ314=0,CB314=0),CA314/1,IF(AND(CA314=0,CB314=0),BZ314/1,IF(BZ314=0,FLOOR((CA314+CB314)/2,0.1),IF(CA314=0,(BZ314+CB314)/2,IF(CB314=0,(CA314+BZ314)/2,FLOOR(((BZ314+CA314+CB314)/3),0.1))))))))</f>
        <v/>
      </c>
      <c r="CD314" s="21" t="n"/>
      <c r="CE314" s="21" t="n"/>
      <c r="CF314" s="27">
        <f>SUM(CD314:CE314)</f>
        <v/>
      </c>
      <c r="CG314" s="28" t="n"/>
      <c r="CH314" s="31" t="n"/>
      <c r="CI314" s="29">
        <f>IF(AND(CF314=0,CG314=0,CH314=0),0,IF(AND(CF314=0,CG314=0),CH314/1,IF(AND(CF314=0,CH314=0),CG314/1,IF(AND(CG314=0,CH314=0),CF314/1,IF(CF314=0,FLOOR((CG314+CH314)/2,0.1),IF(CG314=0,(CF314+CH314)/2,IF(CH314=0,(CG314+CF314)/2,FLOOR(((CF314+CG314+CH314)/3),0.1))))))))</f>
        <v/>
      </c>
      <c r="CJ314" s="21" t="n"/>
      <c r="CK314" s="21" t="n"/>
      <c r="CL314" s="27">
        <f>SUM(CJ314:CK314)</f>
        <v/>
      </c>
      <c r="CM314" s="28" t="n"/>
      <c r="CN314" s="31" t="n"/>
      <c r="CO314" s="29">
        <f>IF(AND(CL314=0,CM314=0,CN314=0),0,IF(AND(CL314=0,CM314=0),CN314/1,IF(AND(CL314=0,CN314=0),CM314/1,IF(AND(CM314=0,CN314=0),CL314/1,IF(CL314=0,FLOOR((CM314+CN314)/2,0.1),IF(CM314=0,(CL314+CN314)/2,IF(CN314=0,(CM314+CL314)/2,FLOOR(((CL314+CM314+CN314)/3),0.1))))))))</f>
        <v/>
      </c>
      <c r="CP314" s="21" t="n"/>
      <c r="CQ314" s="21" t="n"/>
      <c r="CR314" s="27">
        <f>SUM(CP314:CQ314)</f>
        <v/>
      </c>
      <c r="CS314" s="28" t="n"/>
      <c r="CT314" s="31" t="n"/>
      <c r="CU314" s="29">
        <f>IF(AND(CR314=0,CS314=0,CT314=0),0,IF(AND(CR314=0,CS314=0),CT314/1,IF(AND(CR314=0,CT314=0),CS314/1,IF(AND(CS314=0,CT314=0),CR314/1,IF(CR314=0,FLOOR((CS314+CT314)/2,0.1),IF(CS314=0,(CR314+CT314)/2,IF(CT314=0,(CS314+CR314)/2,FLOOR(((CR314+CS314+CT314)/3),0.1))))))))</f>
        <v/>
      </c>
      <c r="CV314" s="21" t="n"/>
      <c r="CW314" s="21" t="n"/>
      <c r="CX314" s="27">
        <f>SUM(CV314:CW314)</f>
        <v/>
      </c>
      <c r="CY314" s="28" t="n"/>
      <c r="CZ314" s="31" t="n"/>
      <c r="DA314" s="29">
        <f>IF(AND(CX314=0,CY314=0,CZ314=0),0,IF(AND(CX314=0,CY314=0),CZ314/1,IF(AND(CX314=0,CZ314=0),CY314/1,IF(AND(CY314=0,CZ314=0),CX314/1,IF(CX314=0,FLOOR((CY314+CZ314)/2,0.1),IF(CY314=0,(CX314+CZ314)/2,IF(CZ314=0,(CY314+CX314)/2,FLOOR(((CX314+CY314+CZ314)/3),0.1))))))))</f>
        <v/>
      </c>
      <c r="DB314" s="21" t="n"/>
      <c r="DC314" s="21" t="n"/>
      <c r="DD314" s="27">
        <f>SUM(DB314:DC314)</f>
        <v/>
      </c>
      <c r="DE314" s="28" t="n"/>
      <c r="DF314" s="31" t="n"/>
      <c r="DG314" s="29">
        <f>IF(AND(DD314=0,DE314=0,DF314=0),0,IF(AND(DD314=0,DE314=0),DF314/1,IF(AND(DD314=0,DF314=0),DE314/1,IF(AND(DE314=0,DF314=0),DD314/1,IF(DD314=0,FLOOR((DE314+DF314)/2,0.1),IF(DE314=0,(DD314+DF314)/2,IF(DF314=0,(DE314+DD314)/2,FLOOR(((DD314+DE314+DF314)/3),0.1))))))))</f>
        <v/>
      </c>
      <c r="DH314" s="34">
        <f>SUM(O314,U314,AA314,AG314,AM314,AS314,AY314,BE314,BK314,BQ314,BW314,CC314,CI314,CO314,CU314,DA314,DG314)</f>
        <v/>
      </c>
      <c r="DI314" s="39">
        <f>RANK(DH314,DH$4:DH$503)</f>
        <v/>
      </c>
      <c r="DJ314" s="40" t="inlineStr">
        <is>
          <t>CHOOSE RATING</t>
        </is>
      </c>
      <c r="DK314" s="40" t="inlineStr">
        <is>
          <t>CHOOSE RATING</t>
        </is>
      </c>
      <c r="DL314" s="40" t="inlineStr">
        <is>
          <t>CHOOSE RATING</t>
        </is>
      </c>
      <c r="DM314" s="40" t="inlineStr">
        <is>
          <t>CHOOSE RATING</t>
        </is>
      </c>
      <c r="DN314" s="40" t="inlineStr">
        <is>
          <t>CHOOSE RATING</t>
        </is>
      </c>
      <c r="DO314" s="40" t="inlineStr">
        <is>
          <t>CHOOSE RATING</t>
        </is>
      </c>
      <c r="DP314" s="40" t="inlineStr">
        <is>
          <t>CHOOSE RATING</t>
        </is>
      </c>
      <c r="DQ314" s="40" t="inlineStr">
        <is>
          <t>CHOOSE RATING</t>
        </is>
      </c>
      <c r="DR314" s="43" t="inlineStr">
        <is>
          <t>2024/2025</t>
        </is>
      </c>
      <c r="DS314" s="45" t="inlineStr">
        <is>
          <t>THIRD</t>
        </is>
      </c>
      <c r="DT314" s="40" t="inlineStr">
        <is>
          <t>CHOOSE RATING</t>
        </is>
      </c>
      <c r="DU314" s="40" t="inlineStr">
        <is>
          <t>CHOOSE RATING</t>
        </is>
      </c>
      <c r="DV314" s="40" t="inlineStr">
        <is>
          <t>CHOOSE RATING</t>
        </is>
      </c>
      <c r="DW314" s="40" t="inlineStr">
        <is>
          <t>CHOOSE RATING</t>
        </is>
      </c>
      <c r="DX314" s="40" t="inlineStr">
        <is>
          <t>CHOOSE RATING</t>
        </is>
      </c>
      <c r="DY314" s="40" t="inlineStr">
        <is>
          <t>CHOOSE RATING</t>
        </is>
      </c>
      <c r="DZ314" s="53" t="inlineStr">
        <is>
          <t>CHOOSE RATING</t>
        </is>
      </c>
      <c r="EA314" s="54" t="inlineStr">
        <is>
          <t>Add the Tutor's Comment . . .</t>
        </is>
      </c>
      <c r="EB314" s="55" t="inlineStr">
        <is>
          <t>Choose Principals comment</t>
        </is>
      </c>
      <c r="EC314" s="56" t="n"/>
      <c r="ED314" s="57" t="inlineStr">
        <is>
          <t>Next Term Begins on Monday, 22nd September, 2025</t>
        </is>
      </c>
    </row>
    <row r="315" ht="30.6" customHeight="1" s="6">
      <c r="A315" s="18" t="n">
        <v>312</v>
      </c>
      <c r="B315" s="19" t="n"/>
      <c r="C315" s="20" t="n"/>
      <c r="D315" s="128" t="n"/>
      <c r="E315" s="21" t="n"/>
      <c r="F315" s="22" t="n"/>
      <c r="G315" s="22" t="n"/>
      <c r="H315" s="22" t="n"/>
      <c r="I315" s="26">
        <f>G315-H315</f>
        <v/>
      </c>
      <c r="J315" s="21" t="n"/>
      <c r="K315" s="21" t="n"/>
      <c r="L315" s="27">
        <f>SUM(J315:K315)</f>
        <v/>
      </c>
      <c r="M315" s="28" t="n"/>
      <c r="N315" s="28" t="n"/>
      <c r="O315" s="29">
        <f>IF(AND(L315=0,M315=0,N315=0),0,IF(AND(L315=0,M315=0),N315/1,IF(AND(L315=0,N315=0),M315/1,IF(AND(M315=0,N315=0),L315/1,IF(L315=0,FLOOR((M315+N315)/2,0.1),IF(M315=0,(L315+N315)/2,IF(N315=0,(M315+L315)/2,FLOOR(((L315+M315+N315)/3),0.1))))))))</f>
        <v/>
      </c>
      <c r="P315" s="21" t="n"/>
      <c r="Q315" s="21" t="n"/>
      <c r="R315" s="27">
        <f>SUM(P315:Q315)</f>
        <v/>
      </c>
      <c r="S315" s="28" t="n"/>
      <c r="T315" s="28" t="n"/>
      <c r="U315" s="29">
        <f>IF(AND(R315=0,S315=0,T315=0),0,IF(AND(R315=0,S315=0),T315/1,IF(AND(R315=0,T315=0),S315/1,IF(AND(S315=0,T315=0),R315/1,IF(R315=0,FLOOR((S315+T315)/2,0.1),IF(S315=0,(R315+T315)/2,IF(T315=0,(S315+R315)/2,FLOOR(((R315+S315+T315)/3),0.1))))))))</f>
        <v/>
      </c>
      <c r="V315" s="21" t="n"/>
      <c r="W315" s="21" t="n"/>
      <c r="X315" s="27">
        <f>SUM(V315:W315)</f>
        <v/>
      </c>
      <c r="Y315" s="28" t="n"/>
      <c r="Z315" s="28" t="n"/>
      <c r="AA315" s="29">
        <f>IF(AND(X315=0,Y315=0,Z315=0),0,IF(AND(X315=0,Y315=0),Z315/1,IF(AND(X315=0,Z315=0),Y315/1,IF(AND(Y315=0,Z315=0),X315/1,IF(X315=0,FLOOR((Y315+Z315)/2,0.1),IF(Y315=0,(X315+Z315)/2,IF(Z315=0,(Y315+X315)/2,FLOOR(((X315+Y315+Z315)/3),0.1))))))))</f>
        <v/>
      </c>
      <c r="AB315" s="21" t="n"/>
      <c r="AC315" s="21" t="n"/>
      <c r="AD315" s="27">
        <f>SUM(AB315:AC315)</f>
        <v/>
      </c>
      <c r="AE315" s="28" t="n"/>
      <c r="AF315" s="28" t="n"/>
      <c r="AG315" s="29">
        <f>IF(AND(AD315=0,AE315=0,AF315=0),0,IF(AND(AD315=0,AE315=0),AF315/1,IF(AND(AD315=0,AF315=0),AE315/1,IF(AND(AE315=0,AF315=0),AD315/1,IF(AD315=0,FLOOR((AE315+AF315)/2,0.1),IF(AE315=0,(AD315+AF315)/2,IF(AF315=0,(AE315+AD315)/2,FLOOR(((AD315+AE315+AF315)/3),0.1))))))))</f>
        <v/>
      </c>
      <c r="AH315" s="21" t="n"/>
      <c r="AI315" s="21" t="n"/>
      <c r="AJ315" s="27">
        <f>SUM(AH315:AI315)</f>
        <v/>
      </c>
      <c r="AK315" s="28" t="n"/>
      <c r="AL315" s="28" t="n"/>
      <c r="AM315" s="29">
        <f>IF(AND(AJ315=0,AK315=0,AL315=0),0,IF(AND(AJ315=0,AK315=0),AL315/1,IF(AND(AJ315=0,AL315=0),AK315/1,IF(AND(AK315=0,AL315=0),AJ315/1,IF(AJ315=0,FLOOR((AK315+AL315)/2,0.1),IF(AK315=0,(AJ315+AL315)/2,IF(AL315=0,(AK315+AJ315)/2,FLOOR(((AJ315+AK315+AL315)/3),0.1))))))))</f>
        <v/>
      </c>
      <c r="AN315" s="21" t="n"/>
      <c r="AO315" s="21" t="n"/>
      <c r="AP315" s="27">
        <f>SUM(AN315:AO315)</f>
        <v/>
      </c>
      <c r="AQ315" s="28" t="n"/>
      <c r="AR315" s="30" t="n"/>
      <c r="AS315" s="29">
        <f>IF(AND(AP315=0,AQ315=0,AR315=0),0,IF(AND(AP315=0,AQ315=0),AR315/1,IF(AND(AP315=0,AR315=0),AQ315/1,IF(AND(AQ315=0,AR315=0),AP315/1,IF(AP315=0,FLOOR((AQ315+AR315)/2,0.1),IF(AQ315=0,(AP315+AR315)/2,IF(AR315=0,(AQ315+AP315)/2,FLOOR(((AP315+AQ315+AR315)/3),0.1))))))))</f>
        <v/>
      </c>
      <c r="AT315" s="21" t="n"/>
      <c r="AU315" s="21" t="n"/>
      <c r="AV315" s="27">
        <f>SUM(AT315:AU315)</f>
        <v/>
      </c>
      <c r="AW315" s="28" t="n"/>
      <c r="AX315" s="30" t="n"/>
      <c r="AY315" s="29">
        <f>IF(AND(AV315=0,AW315=0,AX315=0),0,IF(AND(AV315=0,AW315=0),AX315/1,IF(AND(AV315=0,AX315=0),AW315/1,IF(AND(AW315=0,AX315=0),AV315/1,IF(AV315=0,FLOOR((AW315+AX315)/2,0.1),IF(AW315=0,(AV315+AX315)/2,IF(AX315=0,(AW315+AV315)/2,FLOOR(((AV315+AW315+AX315)/3),0.1))))))))</f>
        <v/>
      </c>
      <c r="AZ315" s="21" t="n"/>
      <c r="BA315" s="21" t="n"/>
      <c r="BB315" s="27">
        <f>SUM(AZ315:BA315)</f>
        <v/>
      </c>
      <c r="BC315" s="28" t="n"/>
      <c r="BD315" s="28" t="n"/>
      <c r="BE315" s="29">
        <f>IF(AND(BB315=0,BC315=0,BD315=0),0,IF(AND(BB315=0,BC315=0),BD315/1,IF(AND(BB315=0,BD315=0),BC315/1,IF(AND(BC315=0,BD315=0),BB315/1,IF(BB315=0,FLOOR((BC315+BD315)/2,0.1),IF(BC315=0,(BB315+BD315)/2,IF(BD315=0,(BC315+BB315)/2,FLOOR(((BB315+BC315+BD315)/3),0.1))))))))</f>
        <v/>
      </c>
      <c r="BF315" s="21" t="n"/>
      <c r="BG315" s="21" t="n"/>
      <c r="BH315" s="27">
        <f>SUM(BF315:BG315)</f>
        <v/>
      </c>
      <c r="BI315" s="28" t="n"/>
      <c r="BJ315" s="28" t="n"/>
      <c r="BK315" s="29">
        <f>IF(AND(BH315=0,BI315=0,BJ315=0),0,IF(AND(BH315=0,BI315=0),BJ315/1,IF(AND(BH315=0,BJ315=0),BI315/1,IF(AND(BI315=0,BJ315=0),BH315/1,IF(BH315=0,FLOOR((BI315+BJ315)/2,0.1),IF(BI315=0,(BH315+BJ315)/2,IF(BJ315=0,(BI315+BH315)/2,FLOOR(((BH315+BI315+BJ315)/3),0.1))))))))</f>
        <v/>
      </c>
      <c r="BL315" s="21" t="n"/>
      <c r="BM315" s="21" t="n"/>
      <c r="BN315" s="27">
        <f>SUM(BL315:BM315)</f>
        <v/>
      </c>
      <c r="BO315" s="28" t="n"/>
      <c r="BP315" s="31" t="n"/>
      <c r="BQ315" s="29">
        <f>IF(AND(BN315=0,BO315=0,BP315=0),0,IF(AND(BN315=0,BO315=0),BP315/1,IF(AND(BN315=0,BP315=0),BO315/1,IF(AND(BO315=0,BP315=0),BN315/1,IF(BN315=0,FLOOR((BO315+BP315)/2,0.1),IF(BO315=0,(BN315+BP315)/2,IF(BP315=0,(BO315+BN315)/2,FLOOR(((BN315+BO315+BP315)/3),0.1))))))))</f>
        <v/>
      </c>
      <c r="BR315" s="21" t="n"/>
      <c r="BS315" s="21" t="n"/>
      <c r="BT315" s="27">
        <f>SUM(BR315:BS315)</f>
        <v/>
      </c>
      <c r="BU315" s="28" t="n"/>
      <c r="BV315" s="31" t="n"/>
      <c r="BW315" s="29">
        <f>IF(AND(BT315=0,BU315=0,BV315=0),0,IF(AND(BT315=0,BU315=0),BV315/1,IF(AND(BT315=0,BV315=0),BU315/1,IF(AND(BU315=0,BV315=0),BT315/1,IF(BT315=0,FLOOR((BU315+BV315)/2,0.1),IF(BU315=0,(BT315+BV315)/2,IF(BV315=0,(BU315+BT315)/2,FLOOR(((BT315+BU315+BV315)/3),0.1))))))))</f>
        <v/>
      </c>
      <c r="BX315" s="21" t="n"/>
      <c r="BY315" s="21" t="n"/>
      <c r="BZ315" s="27">
        <f>SUM(BX315:BY315)</f>
        <v/>
      </c>
      <c r="CA315" s="28" t="n"/>
      <c r="CB315" s="31" t="n"/>
      <c r="CC315" s="29">
        <f>IF(AND(BZ315=0,CA315=0,CB315=0),0,IF(AND(BZ315=0,CA315=0),CB315/1,IF(AND(BZ315=0,CB315=0),CA315/1,IF(AND(CA315=0,CB315=0),BZ315/1,IF(BZ315=0,FLOOR((CA315+CB315)/2,0.1),IF(CA315=0,(BZ315+CB315)/2,IF(CB315=0,(CA315+BZ315)/2,FLOOR(((BZ315+CA315+CB315)/3),0.1))))))))</f>
        <v/>
      </c>
      <c r="CD315" s="21" t="n"/>
      <c r="CE315" s="21" t="n"/>
      <c r="CF315" s="27">
        <f>SUM(CD315:CE315)</f>
        <v/>
      </c>
      <c r="CG315" s="28" t="n"/>
      <c r="CH315" s="31" t="n"/>
      <c r="CI315" s="29">
        <f>IF(AND(CF315=0,CG315=0,CH315=0),0,IF(AND(CF315=0,CG315=0),CH315/1,IF(AND(CF315=0,CH315=0),CG315/1,IF(AND(CG315=0,CH315=0),CF315/1,IF(CF315=0,FLOOR((CG315+CH315)/2,0.1),IF(CG315=0,(CF315+CH315)/2,IF(CH315=0,(CG315+CF315)/2,FLOOR(((CF315+CG315+CH315)/3),0.1))))))))</f>
        <v/>
      </c>
      <c r="CJ315" s="21" t="n"/>
      <c r="CK315" s="21" t="n"/>
      <c r="CL315" s="27">
        <f>SUM(CJ315:CK315)</f>
        <v/>
      </c>
      <c r="CM315" s="28" t="n"/>
      <c r="CN315" s="31" t="n"/>
      <c r="CO315" s="29">
        <f>IF(AND(CL315=0,CM315=0,CN315=0),0,IF(AND(CL315=0,CM315=0),CN315/1,IF(AND(CL315=0,CN315=0),CM315/1,IF(AND(CM315=0,CN315=0),CL315/1,IF(CL315=0,FLOOR((CM315+CN315)/2,0.1),IF(CM315=0,(CL315+CN315)/2,IF(CN315=0,(CM315+CL315)/2,FLOOR(((CL315+CM315+CN315)/3),0.1))))))))</f>
        <v/>
      </c>
      <c r="CP315" s="21" t="n"/>
      <c r="CQ315" s="21" t="n"/>
      <c r="CR315" s="27">
        <f>SUM(CP315:CQ315)</f>
        <v/>
      </c>
      <c r="CS315" s="28" t="n"/>
      <c r="CT315" s="31" t="n"/>
      <c r="CU315" s="29">
        <f>IF(AND(CR315=0,CS315=0,CT315=0),0,IF(AND(CR315=0,CS315=0),CT315/1,IF(AND(CR315=0,CT315=0),CS315/1,IF(AND(CS315=0,CT315=0),CR315/1,IF(CR315=0,FLOOR((CS315+CT315)/2,0.1),IF(CS315=0,(CR315+CT315)/2,IF(CT315=0,(CS315+CR315)/2,FLOOR(((CR315+CS315+CT315)/3),0.1))))))))</f>
        <v/>
      </c>
      <c r="CV315" s="21" t="n"/>
      <c r="CW315" s="21" t="n"/>
      <c r="CX315" s="27">
        <f>SUM(CV315:CW315)</f>
        <v/>
      </c>
      <c r="CY315" s="28" t="n"/>
      <c r="CZ315" s="31" t="n"/>
      <c r="DA315" s="29">
        <f>IF(AND(CX315=0,CY315=0,CZ315=0),0,IF(AND(CX315=0,CY315=0),CZ315/1,IF(AND(CX315=0,CZ315=0),CY315/1,IF(AND(CY315=0,CZ315=0),CX315/1,IF(CX315=0,FLOOR((CY315+CZ315)/2,0.1),IF(CY315=0,(CX315+CZ315)/2,IF(CZ315=0,(CY315+CX315)/2,FLOOR(((CX315+CY315+CZ315)/3),0.1))))))))</f>
        <v/>
      </c>
      <c r="DB315" s="21" t="n"/>
      <c r="DC315" s="21" t="n"/>
      <c r="DD315" s="27">
        <f>SUM(DB315:DC315)</f>
        <v/>
      </c>
      <c r="DE315" s="28" t="n"/>
      <c r="DF315" s="31" t="n"/>
      <c r="DG315" s="29">
        <f>IF(AND(DD315=0,DE315=0,DF315=0),0,IF(AND(DD315=0,DE315=0),DF315/1,IF(AND(DD315=0,DF315=0),DE315/1,IF(AND(DE315=0,DF315=0),DD315/1,IF(DD315=0,FLOOR((DE315+DF315)/2,0.1),IF(DE315=0,(DD315+DF315)/2,IF(DF315=0,(DE315+DD315)/2,FLOOR(((DD315+DE315+DF315)/3),0.1))))))))</f>
        <v/>
      </c>
      <c r="DH315" s="34">
        <f>SUM(O315,U315,AA315,AG315,AM315,AS315,AY315,BE315,BK315,BQ315,BW315,CC315,CI315,CO315,CU315,DA315,DG315)</f>
        <v/>
      </c>
      <c r="DI315" s="39">
        <f>RANK(DH315,DH$4:DH$503)</f>
        <v/>
      </c>
      <c r="DJ315" s="40" t="inlineStr">
        <is>
          <t>CHOOSE RATING</t>
        </is>
      </c>
      <c r="DK315" s="40" t="inlineStr">
        <is>
          <t>CHOOSE RATING</t>
        </is>
      </c>
      <c r="DL315" s="40" t="inlineStr">
        <is>
          <t>CHOOSE RATING</t>
        </is>
      </c>
      <c r="DM315" s="40" t="inlineStr">
        <is>
          <t>CHOOSE RATING</t>
        </is>
      </c>
      <c r="DN315" s="40" t="inlineStr">
        <is>
          <t>CHOOSE RATING</t>
        </is>
      </c>
      <c r="DO315" s="40" t="inlineStr">
        <is>
          <t>CHOOSE RATING</t>
        </is>
      </c>
      <c r="DP315" s="40" t="inlineStr">
        <is>
          <t>CHOOSE RATING</t>
        </is>
      </c>
      <c r="DQ315" s="40" t="inlineStr">
        <is>
          <t>CHOOSE RATING</t>
        </is>
      </c>
      <c r="DR315" s="43" t="inlineStr">
        <is>
          <t>2024/2025</t>
        </is>
      </c>
      <c r="DS315" s="45" t="inlineStr">
        <is>
          <t>THIRD</t>
        </is>
      </c>
      <c r="DT315" s="40" t="inlineStr">
        <is>
          <t>CHOOSE RATING</t>
        </is>
      </c>
      <c r="DU315" s="40" t="inlineStr">
        <is>
          <t>CHOOSE RATING</t>
        </is>
      </c>
      <c r="DV315" s="40" t="inlineStr">
        <is>
          <t>CHOOSE RATING</t>
        </is>
      </c>
      <c r="DW315" s="40" t="inlineStr">
        <is>
          <t>CHOOSE RATING</t>
        </is>
      </c>
      <c r="DX315" s="40" t="inlineStr">
        <is>
          <t>CHOOSE RATING</t>
        </is>
      </c>
      <c r="DY315" s="40" t="inlineStr">
        <is>
          <t>CHOOSE RATING</t>
        </is>
      </c>
      <c r="DZ315" s="53" t="inlineStr">
        <is>
          <t>CHOOSE RATING</t>
        </is>
      </c>
      <c r="EA315" s="54" t="inlineStr">
        <is>
          <t>Add the Tutor's Comment . . .</t>
        </is>
      </c>
      <c r="EB315" s="55" t="inlineStr">
        <is>
          <t>Choose Principals comment</t>
        </is>
      </c>
      <c r="EC315" s="56" t="n"/>
      <c r="ED315" s="57" t="inlineStr">
        <is>
          <t>Next Term Begins on Monday, 22nd September, 2025</t>
        </is>
      </c>
    </row>
    <row r="316" ht="30.6" customHeight="1" s="6">
      <c r="A316" s="18" t="n">
        <v>313</v>
      </c>
      <c r="B316" s="19" t="n"/>
      <c r="C316" s="20" t="n"/>
      <c r="D316" s="128" t="n"/>
      <c r="E316" s="21" t="n"/>
      <c r="F316" s="22" t="n"/>
      <c r="G316" s="22" t="n"/>
      <c r="H316" s="22" t="n"/>
      <c r="I316" s="26">
        <f>G316-H316</f>
        <v/>
      </c>
      <c r="J316" s="21" t="n"/>
      <c r="K316" s="21" t="n"/>
      <c r="L316" s="27">
        <f>SUM(J316:K316)</f>
        <v/>
      </c>
      <c r="M316" s="28" t="n"/>
      <c r="N316" s="28" t="n"/>
      <c r="O316" s="29">
        <f>IF(AND(L316=0,M316=0,N316=0),0,IF(AND(L316=0,M316=0),N316/1,IF(AND(L316=0,N316=0),M316/1,IF(AND(M316=0,N316=0),L316/1,IF(L316=0,FLOOR((M316+N316)/2,0.1),IF(M316=0,(L316+N316)/2,IF(N316=0,(M316+L316)/2,FLOOR(((L316+M316+N316)/3),0.1))))))))</f>
        <v/>
      </c>
      <c r="P316" s="21" t="n"/>
      <c r="Q316" s="21" t="n"/>
      <c r="R316" s="27">
        <f>SUM(P316:Q316)</f>
        <v/>
      </c>
      <c r="S316" s="28" t="n"/>
      <c r="T316" s="28" t="n"/>
      <c r="U316" s="29">
        <f>IF(AND(R316=0,S316=0,T316=0),0,IF(AND(R316=0,S316=0),T316/1,IF(AND(R316=0,T316=0),S316/1,IF(AND(S316=0,T316=0),R316/1,IF(R316=0,FLOOR((S316+T316)/2,0.1),IF(S316=0,(R316+T316)/2,IF(T316=0,(S316+R316)/2,FLOOR(((R316+S316+T316)/3),0.1))))))))</f>
        <v/>
      </c>
      <c r="V316" s="21" t="n"/>
      <c r="W316" s="21" t="n"/>
      <c r="X316" s="27">
        <f>SUM(V316:W316)</f>
        <v/>
      </c>
      <c r="Y316" s="28" t="n"/>
      <c r="Z316" s="28" t="n"/>
      <c r="AA316" s="29">
        <f>IF(AND(X316=0,Y316=0,Z316=0),0,IF(AND(X316=0,Y316=0),Z316/1,IF(AND(X316=0,Z316=0),Y316/1,IF(AND(Y316=0,Z316=0),X316/1,IF(X316=0,FLOOR((Y316+Z316)/2,0.1),IF(Y316=0,(X316+Z316)/2,IF(Z316=0,(Y316+X316)/2,FLOOR(((X316+Y316+Z316)/3),0.1))))))))</f>
        <v/>
      </c>
      <c r="AB316" s="21" t="n"/>
      <c r="AC316" s="21" t="n"/>
      <c r="AD316" s="27">
        <f>SUM(AB316:AC316)</f>
        <v/>
      </c>
      <c r="AE316" s="28" t="n"/>
      <c r="AF316" s="28" t="n"/>
      <c r="AG316" s="29">
        <f>IF(AND(AD316=0,AE316=0,AF316=0),0,IF(AND(AD316=0,AE316=0),AF316/1,IF(AND(AD316=0,AF316=0),AE316/1,IF(AND(AE316=0,AF316=0),AD316/1,IF(AD316=0,FLOOR((AE316+AF316)/2,0.1),IF(AE316=0,(AD316+AF316)/2,IF(AF316=0,(AE316+AD316)/2,FLOOR(((AD316+AE316+AF316)/3),0.1))))))))</f>
        <v/>
      </c>
      <c r="AH316" s="21" t="n"/>
      <c r="AI316" s="21" t="n"/>
      <c r="AJ316" s="27">
        <f>SUM(AH316:AI316)</f>
        <v/>
      </c>
      <c r="AK316" s="28" t="n"/>
      <c r="AL316" s="28" t="n"/>
      <c r="AM316" s="29">
        <f>IF(AND(AJ316=0,AK316=0,AL316=0),0,IF(AND(AJ316=0,AK316=0),AL316/1,IF(AND(AJ316=0,AL316=0),AK316/1,IF(AND(AK316=0,AL316=0),AJ316/1,IF(AJ316=0,FLOOR((AK316+AL316)/2,0.1),IF(AK316=0,(AJ316+AL316)/2,IF(AL316=0,(AK316+AJ316)/2,FLOOR(((AJ316+AK316+AL316)/3),0.1))))))))</f>
        <v/>
      </c>
      <c r="AN316" s="21" t="n"/>
      <c r="AO316" s="21" t="n"/>
      <c r="AP316" s="27">
        <f>SUM(AN316:AO316)</f>
        <v/>
      </c>
      <c r="AQ316" s="28" t="n"/>
      <c r="AR316" s="30" t="n"/>
      <c r="AS316" s="29">
        <f>IF(AND(AP316=0,AQ316=0,AR316=0),0,IF(AND(AP316=0,AQ316=0),AR316/1,IF(AND(AP316=0,AR316=0),AQ316/1,IF(AND(AQ316=0,AR316=0),AP316/1,IF(AP316=0,FLOOR((AQ316+AR316)/2,0.1),IF(AQ316=0,(AP316+AR316)/2,IF(AR316=0,(AQ316+AP316)/2,FLOOR(((AP316+AQ316+AR316)/3),0.1))))))))</f>
        <v/>
      </c>
      <c r="AT316" s="21" t="n"/>
      <c r="AU316" s="21" t="n"/>
      <c r="AV316" s="27">
        <f>SUM(AT316:AU316)</f>
        <v/>
      </c>
      <c r="AW316" s="28" t="n"/>
      <c r="AX316" s="30" t="n"/>
      <c r="AY316" s="29">
        <f>IF(AND(AV316=0,AW316=0,AX316=0),0,IF(AND(AV316=0,AW316=0),AX316/1,IF(AND(AV316=0,AX316=0),AW316/1,IF(AND(AW316=0,AX316=0),AV316/1,IF(AV316=0,FLOOR((AW316+AX316)/2,0.1),IF(AW316=0,(AV316+AX316)/2,IF(AX316=0,(AW316+AV316)/2,FLOOR(((AV316+AW316+AX316)/3),0.1))))))))</f>
        <v/>
      </c>
      <c r="AZ316" s="21" t="n"/>
      <c r="BA316" s="21" t="n"/>
      <c r="BB316" s="27">
        <f>SUM(AZ316:BA316)</f>
        <v/>
      </c>
      <c r="BC316" s="28" t="n"/>
      <c r="BD316" s="28" t="n"/>
      <c r="BE316" s="29">
        <f>IF(AND(BB316=0,BC316=0,BD316=0),0,IF(AND(BB316=0,BC316=0),BD316/1,IF(AND(BB316=0,BD316=0),BC316/1,IF(AND(BC316=0,BD316=0),BB316/1,IF(BB316=0,FLOOR((BC316+BD316)/2,0.1),IF(BC316=0,(BB316+BD316)/2,IF(BD316=0,(BC316+BB316)/2,FLOOR(((BB316+BC316+BD316)/3),0.1))))))))</f>
        <v/>
      </c>
      <c r="BF316" s="21" t="n"/>
      <c r="BG316" s="21" t="n"/>
      <c r="BH316" s="27">
        <f>SUM(BF316:BG316)</f>
        <v/>
      </c>
      <c r="BI316" s="28" t="n"/>
      <c r="BJ316" s="28" t="n"/>
      <c r="BK316" s="29">
        <f>IF(AND(BH316=0,BI316=0,BJ316=0),0,IF(AND(BH316=0,BI316=0),BJ316/1,IF(AND(BH316=0,BJ316=0),BI316/1,IF(AND(BI316=0,BJ316=0),BH316/1,IF(BH316=0,FLOOR((BI316+BJ316)/2,0.1),IF(BI316=0,(BH316+BJ316)/2,IF(BJ316=0,(BI316+BH316)/2,FLOOR(((BH316+BI316+BJ316)/3),0.1))))))))</f>
        <v/>
      </c>
      <c r="BL316" s="21" t="n"/>
      <c r="BM316" s="21" t="n"/>
      <c r="BN316" s="27">
        <f>SUM(BL316:BM316)</f>
        <v/>
      </c>
      <c r="BO316" s="28" t="n"/>
      <c r="BP316" s="31" t="n"/>
      <c r="BQ316" s="29">
        <f>IF(AND(BN316=0,BO316=0,BP316=0),0,IF(AND(BN316=0,BO316=0),BP316/1,IF(AND(BN316=0,BP316=0),BO316/1,IF(AND(BO316=0,BP316=0),BN316/1,IF(BN316=0,FLOOR((BO316+BP316)/2,0.1),IF(BO316=0,(BN316+BP316)/2,IF(BP316=0,(BO316+BN316)/2,FLOOR(((BN316+BO316+BP316)/3),0.1))))))))</f>
        <v/>
      </c>
      <c r="BR316" s="21" t="n"/>
      <c r="BS316" s="21" t="n"/>
      <c r="BT316" s="27">
        <f>SUM(BR316:BS316)</f>
        <v/>
      </c>
      <c r="BU316" s="28" t="n"/>
      <c r="BV316" s="31" t="n"/>
      <c r="BW316" s="29">
        <f>IF(AND(BT316=0,BU316=0,BV316=0),0,IF(AND(BT316=0,BU316=0),BV316/1,IF(AND(BT316=0,BV316=0),BU316/1,IF(AND(BU316=0,BV316=0),BT316/1,IF(BT316=0,FLOOR((BU316+BV316)/2,0.1),IF(BU316=0,(BT316+BV316)/2,IF(BV316=0,(BU316+BT316)/2,FLOOR(((BT316+BU316+BV316)/3),0.1))))))))</f>
        <v/>
      </c>
      <c r="BX316" s="21" t="n"/>
      <c r="BY316" s="21" t="n"/>
      <c r="BZ316" s="27">
        <f>SUM(BX316:BY316)</f>
        <v/>
      </c>
      <c r="CA316" s="28" t="n"/>
      <c r="CB316" s="31" t="n"/>
      <c r="CC316" s="29">
        <f>IF(AND(BZ316=0,CA316=0,CB316=0),0,IF(AND(BZ316=0,CA316=0),CB316/1,IF(AND(BZ316=0,CB316=0),CA316/1,IF(AND(CA316=0,CB316=0),BZ316/1,IF(BZ316=0,FLOOR((CA316+CB316)/2,0.1),IF(CA316=0,(BZ316+CB316)/2,IF(CB316=0,(CA316+BZ316)/2,FLOOR(((BZ316+CA316+CB316)/3),0.1))))))))</f>
        <v/>
      </c>
      <c r="CD316" s="21" t="n"/>
      <c r="CE316" s="21" t="n"/>
      <c r="CF316" s="27">
        <f>SUM(CD316:CE316)</f>
        <v/>
      </c>
      <c r="CG316" s="28" t="n"/>
      <c r="CH316" s="31" t="n"/>
      <c r="CI316" s="29">
        <f>IF(AND(CF316=0,CG316=0,CH316=0),0,IF(AND(CF316=0,CG316=0),CH316/1,IF(AND(CF316=0,CH316=0),CG316/1,IF(AND(CG316=0,CH316=0),CF316/1,IF(CF316=0,FLOOR((CG316+CH316)/2,0.1),IF(CG316=0,(CF316+CH316)/2,IF(CH316=0,(CG316+CF316)/2,FLOOR(((CF316+CG316+CH316)/3),0.1))))))))</f>
        <v/>
      </c>
      <c r="CJ316" s="21" t="n"/>
      <c r="CK316" s="21" t="n"/>
      <c r="CL316" s="27">
        <f>SUM(CJ316:CK316)</f>
        <v/>
      </c>
      <c r="CM316" s="28" t="n"/>
      <c r="CN316" s="31" t="n"/>
      <c r="CO316" s="29">
        <f>IF(AND(CL316=0,CM316=0,CN316=0),0,IF(AND(CL316=0,CM316=0),CN316/1,IF(AND(CL316=0,CN316=0),CM316/1,IF(AND(CM316=0,CN316=0),CL316/1,IF(CL316=0,FLOOR((CM316+CN316)/2,0.1),IF(CM316=0,(CL316+CN316)/2,IF(CN316=0,(CM316+CL316)/2,FLOOR(((CL316+CM316+CN316)/3),0.1))))))))</f>
        <v/>
      </c>
      <c r="CP316" s="21" t="n"/>
      <c r="CQ316" s="21" t="n"/>
      <c r="CR316" s="27">
        <f>SUM(CP316:CQ316)</f>
        <v/>
      </c>
      <c r="CS316" s="28" t="n"/>
      <c r="CT316" s="31" t="n"/>
      <c r="CU316" s="29">
        <f>IF(AND(CR316=0,CS316=0,CT316=0),0,IF(AND(CR316=0,CS316=0),CT316/1,IF(AND(CR316=0,CT316=0),CS316/1,IF(AND(CS316=0,CT316=0),CR316/1,IF(CR316=0,FLOOR((CS316+CT316)/2,0.1),IF(CS316=0,(CR316+CT316)/2,IF(CT316=0,(CS316+CR316)/2,FLOOR(((CR316+CS316+CT316)/3),0.1))))))))</f>
        <v/>
      </c>
      <c r="CV316" s="21" t="n"/>
      <c r="CW316" s="21" t="n"/>
      <c r="CX316" s="27">
        <f>SUM(CV316:CW316)</f>
        <v/>
      </c>
      <c r="CY316" s="28" t="n"/>
      <c r="CZ316" s="31" t="n"/>
      <c r="DA316" s="29">
        <f>IF(AND(CX316=0,CY316=0,CZ316=0),0,IF(AND(CX316=0,CY316=0),CZ316/1,IF(AND(CX316=0,CZ316=0),CY316/1,IF(AND(CY316=0,CZ316=0),CX316/1,IF(CX316=0,FLOOR((CY316+CZ316)/2,0.1),IF(CY316=0,(CX316+CZ316)/2,IF(CZ316=0,(CY316+CX316)/2,FLOOR(((CX316+CY316+CZ316)/3),0.1))))))))</f>
        <v/>
      </c>
      <c r="DB316" s="21" t="n"/>
      <c r="DC316" s="21" t="n"/>
      <c r="DD316" s="27">
        <f>SUM(DB316:DC316)</f>
        <v/>
      </c>
      <c r="DE316" s="28" t="n"/>
      <c r="DF316" s="31" t="n"/>
      <c r="DG316" s="29">
        <f>IF(AND(DD316=0,DE316=0,DF316=0),0,IF(AND(DD316=0,DE316=0),DF316/1,IF(AND(DD316=0,DF316=0),DE316/1,IF(AND(DE316=0,DF316=0),DD316/1,IF(DD316=0,FLOOR((DE316+DF316)/2,0.1),IF(DE316=0,(DD316+DF316)/2,IF(DF316=0,(DE316+DD316)/2,FLOOR(((DD316+DE316+DF316)/3),0.1))))))))</f>
        <v/>
      </c>
      <c r="DH316" s="34">
        <f>SUM(O316,U316,AA316,AG316,AM316,AS316,AY316,BE316,BK316,BQ316,BW316,CC316,CI316,CO316,CU316,DA316,DG316)</f>
        <v/>
      </c>
      <c r="DI316" s="39">
        <f>RANK(DH316,DH$4:DH$503)</f>
        <v/>
      </c>
      <c r="DJ316" s="40" t="inlineStr">
        <is>
          <t>CHOOSE RATING</t>
        </is>
      </c>
      <c r="DK316" s="40" t="inlineStr">
        <is>
          <t>CHOOSE RATING</t>
        </is>
      </c>
      <c r="DL316" s="40" t="inlineStr">
        <is>
          <t>CHOOSE RATING</t>
        </is>
      </c>
      <c r="DM316" s="40" t="inlineStr">
        <is>
          <t>CHOOSE RATING</t>
        </is>
      </c>
      <c r="DN316" s="40" t="inlineStr">
        <is>
          <t>CHOOSE RATING</t>
        </is>
      </c>
      <c r="DO316" s="40" t="inlineStr">
        <is>
          <t>CHOOSE RATING</t>
        </is>
      </c>
      <c r="DP316" s="40" t="inlineStr">
        <is>
          <t>CHOOSE RATING</t>
        </is>
      </c>
      <c r="DQ316" s="40" t="inlineStr">
        <is>
          <t>CHOOSE RATING</t>
        </is>
      </c>
      <c r="DR316" s="43" t="inlineStr">
        <is>
          <t>2024/2025</t>
        </is>
      </c>
      <c r="DS316" s="45" t="inlineStr">
        <is>
          <t>THIRD</t>
        </is>
      </c>
      <c r="DT316" s="40" t="inlineStr">
        <is>
          <t>CHOOSE RATING</t>
        </is>
      </c>
      <c r="DU316" s="40" t="inlineStr">
        <is>
          <t>CHOOSE RATING</t>
        </is>
      </c>
      <c r="DV316" s="40" t="inlineStr">
        <is>
          <t>CHOOSE RATING</t>
        </is>
      </c>
      <c r="DW316" s="40" t="inlineStr">
        <is>
          <t>CHOOSE RATING</t>
        </is>
      </c>
      <c r="DX316" s="40" t="inlineStr">
        <is>
          <t>CHOOSE RATING</t>
        </is>
      </c>
      <c r="DY316" s="40" t="inlineStr">
        <is>
          <t>CHOOSE RATING</t>
        </is>
      </c>
      <c r="DZ316" s="53" t="inlineStr">
        <is>
          <t>CHOOSE RATING</t>
        </is>
      </c>
      <c r="EA316" s="54" t="inlineStr">
        <is>
          <t>Add the Tutor's Comment . . .</t>
        </is>
      </c>
      <c r="EB316" s="55" t="inlineStr">
        <is>
          <t>Choose Principals comment</t>
        </is>
      </c>
      <c r="EC316" s="56" t="n"/>
      <c r="ED316" s="57" t="inlineStr">
        <is>
          <t>Next Term Begins on Monday, 22nd September, 2025</t>
        </is>
      </c>
    </row>
    <row r="317" ht="30.6" customHeight="1" s="6">
      <c r="A317" s="18" t="n">
        <v>314</v>
      </c>
      <c r="B317" s="19" t="n"/>
      <c r="C317" s="20" t="n"/>
      <c r="D317" s="128" t="n"/>
      <c r="E317" s="21" t="n"/>
      <c r="F317" s="22" t="n"/>
      <c r="G317" s="22" t="n"/>
      <c r="H317" s="22" t="n"/>
      <c r="I317" s="26">
        <f>G317-H317</f>
        <v/>
      </c>
      <c r="J317" s="21" t="n"/>
      <c r="K317" s="21" t="n"/>
      <c r="L317" s="27">
        <f>SUM(J317:K317)</f>
        <v/>
      </c>
      <c r="M317" s="28" t="n"/>
      <c r="N317" s="28" t="n"/>
      <c r="O317" s="29">
        <f>IF(AND(L317=0,M317=0,N317=0),0,IF(AND(L317=0,M317=0),N317/1,IF(AND(L317=0,N317=0),M317/1,IF(AND(M317=0,N317=0),L317/1,IF(L317=0,FLOOR((M317+N317)/2,0.1),IF(M317=0,(L317+N317)/2,IF(N317=0,(M317+L317)/2,FLOOR(((L317+M317+N317)/3),0.1))))))))</f>
        <v/>
      </c>
      <c r="P317" s="21" t="n"/>
      <c r="Q317" s="21" t="n"/>
      <c r="R317" s="27">
        <f>SUM(P317:Q317)</f>
        <v/>
      </c>
      <c r="S317" s="28" t="n"/>
      <c r="T317" s="28" t="n"/>
      <c r="U317" s="29">
        <f>IF(AND(R317=0,S317=0,T317=0),0,IF(AND(R317=0,S317=0),T317/1,IF(AND(R317=0,T317=0),S317/1,IF(AND(S317=0,T317=0),R317/1,IF(R317=0,FLOOR((S317+T317)/2,0.1),IF(S317=0,(R317+T317)/2,IF(T317=0,(S317+R317)/2,FLOOR(((R317+S317+T317)/3),0.1))))))))</f>
        <v/>
      </c>
      <c r="V317" s="21" t="n"/>
      <c r="W317" s="21" t="n"/>
      <c r="X317" s="27">
        <f>SUM(V317:W317)</f>
        <v/>
      </c>
      <c r="Y317" s="28" t="n"/>
      <c r="Z317" s="28" t="n"/>
      <c r="AA317" s="29">
        <f>IF(AND(X317=0,Y317=0,Z317=0),0,IF(AND(X317=0,Y317=0),Z317/1,IF(AND(X317=0,Z317=0),Y317/1,IF(AND(Y317=0,Z317=0),X317/1,IF(X317=0,FLOOR((Y317+Z317)/2,0.1),IF(Y317=0,(X317+Z317)/2,IF(Z317=0,(Y317+X317)/2,FLOOR(((X317+Y317+Z317)/3),0.1))))))))</f>
        <v/>
      </c>
      <c r="AB317" s="21" t="n"/>
      <c r="AC317" s="21" t="n"/>
      <c r="AD317" s="27">
        <f>SUM(AB317:AC317)</f>
        <v/>
      </c>
      <c r="AE317" s="28" t="n"/>
      <c r="AF317" s="28" t="n"/>
      <c r="AG317" s="29">
        <f>IF(AND(AD317=0,AE317=0,AF317=0),0,IF(AND(AD317=0,AE317=0),AF317/1,IF(AND(AD317=0,AF317=0),AE317/1,IF(AND(AE317=0,AF317=0),AD317/1,IF(AD317=0,FLOOR((AE317+AF317)/2,0.1),IF(AE317=0,(AD317+AF317)/2,IF(AF317=0,(AE317+AD317)/2,FLOOR(((AD317+AE317+AF317)/3),0.1))))))))</f>
        <v/>
      </c>
      <c r="AH317" s="21" t="n"/>
      <c r="AI317" s="21" t="n"/>
      <c r="AJ317" s="27">
        <f>SUM(AH317:AI317)</f>
        <v/>
      </c>
      <c r="AK317" s="28" t="n"/>
      <c r="AL317" s="28" t="n"/>
      <c r="AM317" s="29">
        <f>IF(AND(AJ317=0,AK317=0,AL317=0),0,IF(AND(AJ317=0,AK317=0),AL317/1,IF(AND(AJ317=0,AL317=0),AK317/1,IF(AND(AK317=0,AL317=0),AJ317/1,IF(AJ317=0,FLOOR((AK317+AL317)/2,0.1),IF(AK317=0,(AJ317+AL317)/2,IF(AL317=0,(AK317+AJ317)/2,FLOOR(((AJ317+AK317+AL317)/3),0.1))))))))</f>
        <v/>
      </c>
      <c r="AN317" s="21" t="n"/>
      <c r="AO317" s="21" t="n"/>
      <c r="AP317" s="27">
        <f>SUM(AN317:AO317)</f>
        <v/>
      </c>
      <c r="AQ317" s="28" t="n"/>
      <c r="AR317" s="30" t="n"/>
      <c r="AS317" s="29">
        <f>IF(AND(AP317=0,AQ317=0,AR317=0),0,IF(AND(AP317=0,AQ317=0),AR317/1,IF(AND(AP317=0,AR317=0),AQ317/1,IF(AND(AQ317=0,AR317=0),AP317/1,IF(AP317=0,FLOOR((AQ317+AR317)/2,0.1),IF(AQ317=0,(AP317+AR317)/2,IF(AR317=0,(AQ317+AP317)/2,FLOOR(((AP317+AQ317+AR317)/3),0.1))))))))</f>
        <v/>
      </c>
      <c r="AT317" s="21" t="n"/>
      <c r="AU317" s="21" t="n"/>
      <c r="AV317" s="27">
        <f>SUM(AT317:AU317)</f>
        <v/>
      </c>
      <c r="AW317" s="28" t="n"/>
      <c r="AX317" s="30" t="n"/>
      <c r="AY317" s="29">
        <f>IF(AND(AV317=0,AW317=0,AX317=0),0,IF(AND(AV317=0,AW317=0),AX317/1,IF(AND(AV317=0,AX317=0),AW317/1,IF(AND(AW317=0,AX317=0),AV317/1,IF(AV317=0,FLOOR((AW317+AX317)/2,0.1),IF(AW317=0,(AV317+AX317)/2,IF(AX317=0,(AW317+AV317)/2,FLOOR(((AV317+AW317+AX317)/3),0.1))))))))</f>
        <v/>
      </c>
      <c r="AZ317" s="21" t="n"/>
      <c r="BA317" s="21" t="n"/>
      <c r="BB317" s="27">
        <f>SUM(AZ317:BA317)</f>
        <v/>
      </c>
      <c r="BC317" s="28" t="n"/>
      <c r="BD317" s="28" t="n"/>
      <c r="BE317" s="29">
        <f>IF(AND(BB317=0,BC317=0,BD317=0),0,IF(AND(BB317=0,BC317=0),BD317/1,IF(AND(BB317=0,BD317=0),BC317/1,IF(AND(BC317=0,BD317=0),BB317/1,IF(BB317=0,FLOOR((BC317+BD317)/2,0.1),IF(BC317=0,(BB317+BD317)/2,IF(BD317=0,(BC317+BB317)/2,FLOOR(((BB317+BC317+BD317)/3),0.1))))))))</f>
        <v/>
      </c>
      <c r="BF317" s="21" t="n"/>
      <c r="BG317" s="21" t="n"/>
      <c r="BH317" s="27">
        <f>SUM(BF317:BG317)</f>
        <v/>
      </c>
      <c r="BI317" s="28" t="n"/>
      <c r="BJ317" s="28" t="n"/>
      <c r="BK317" s="29">
        <f>IF(AND(BH317=0,BI317=0,BJ317=0),0,IF(AND(BH317=0,BI317=0),BJ317/1,IF(AND(BH317=0,BJ317=0),BI317/1,IF(AND(BI317=0,BJ317=0),BH317/1,IF(BH317=0,FLOOR((BI317+BJ317)/2,0.1),IF(BI317=0,(BH317+BJ317)/2,IF(BJ317=0,(BI317+BH317)/2,FLOOR(((BH317+BI317+BJ317)/3),0.1))))))))</f>
        <v/>
      </c>
      <c r="BL317" s="21" t="n"/>
      <c r="BM317" s="21" t="n"/>
      <c r="BN317" s="27">
        <f>SUM(BL317:BM317)</f>
        <v/>
      </c>
      <c r="BO317" s="28" t="n"/>
      <c r="BP317" s="31" t="n"/>
      <c r="BQ317" s="29">
        <f>IF(AND(BN317=0,BO317=0,BP317=0),0,IF(AND(BN317=0,BO317=0),BP317/1,IF(AND(BN317=0,BP317=0),BO317/1,IF(AND(BO317=0,BP317=0),BN317/1,IF(BN317=0,FLOOR((BO317+BP317)/2,0.1),IF(BO317=0,(BN317+BP317)/2,IF(BP317=0,(BO317+BN317)/2,FLOOR(((BN317+BO317+BP317)/3),0.1))))))))</f>
        <v/>
      </c>
      <c r="BR317" s="21" t="n"/>
      <c r="BS317" s="21" t="n"/>
      <c r="BT317" s="27">
        <f>SUM(BR317:BS317)</f>
        <v/>
      </c>
      <c r="BU317" s="28" t="n"/>
      <c r="BV317" s="31" t="n"/>
      <c r="BW317" s="29">
        <f>IF(AND(BT317=0,BU317=0,BV317=0),0,IF(AND(BT317=0,BU317=0),BV317/1,IF(AND(BT317=0,BV317=0),BU317/1,IF(AND(BU317=0,BV317=0),BT317/1,IF(BT317=0,FLOOR((BU317+BV317)/2,0.1),IF(BU317=0,(BT317+BV317)/2,IF(BV317=0,(BU317+BT317)/2,FLOOR(((BT317+BU317+BV317)/3),0.1))))))))</f>
        <v/>
      </c>
      <c r="BX317" s="21" t="n"/>
      <c r="BY317" s="21" t="n"/>
      <c r="BZ317" s="27">
        <f>SUM(BX317:BY317)</f>
        <v/>
      </c>
      <c r="CA317" s="28" t="n"/>
      <c r="CB317" s="31" t="n"/>
      <c r="CC317" s="29">
        <f>IF(AND(BZ317=0,CA317=0,CB317=0),0,IF(AND(BZ317=0,CA317=0),CB317/1,IF(AND(BZ317=0,CB317=0),CA317/1,IF(AND(CA317=0,CB317=0),BZ317/1,IF(BZ317=0,FLOOR((CA317+CB317)/2,0.1),IF(CA317=0,(BZ317+CB317)/2,IF(CB317=0,(CA317+BZ317)/2,FLOOR(((BZ317+CA317+CB317)/3),0.1))))))))</f>
        <v/>
      </c>
      <c r="CD317" s="21" t="n"/>
      <c r="CE317" s="21" t="n"/>
      <c r="CF317" s="27">
        <f>SUM(CD317:CE317)</f>
        <v/>
      </c>
      <c r="CG317" s="28" t="n"/>
      <c r="CH317" s="31" t="n"/>
      <c r="CI317" s="29">
        <f>IF(AND(CF317=0,CG317=0,CH317=0),0,IF(AND(CF317=0,CG317=0),CH317/1,IF(AND(CF317=0,CH317=0),CG317/1,IF(AND(CG317=0,CH317=0),CF317/1,IF(CF317=0,FLOOR((CG317+CH317)/2,0.1),IF(CG317=0,(CF317+CH317)/2,IF(CH317=0,(CG317+CF317)/2,FLOOR(((CF317+CG317+CH317)/3),0.1))))))))</f>
        <v/>
      </c>
      <c r="CJ317" s="21" t="n"/>
      <c r="CK317" s="21" t="n"/>
      <c r="CL317" s="27">
        <f>SUM(CJ317:CK317)</f>
        <v/>
      </c>
      <c r="CM317" s="28" t="n"/>
      <c r="CN317" s="31" t="n"/>
      <c r="CO317" s="29">
        <f>IF(AND(CL317=0,CM317=0,CN317=0),0,IF(AND(CL317=0,CM317=0),CN317/1,IF(AND(CL317=0,CN317=0),CM317/1,IF(AND(CM317=0,CN317=0),CL317/1,IF(CL317=0,FLOOR((CM317+CN317)/2,0.1),IF(CM317=0,(CL317+CN317)/2,IF(CN317=0,(CM317+CL317)/2,FLOOR(((CL317+CM317+CN317)/3),0.1))))))))</f>
        <v/>
      </c>
      <c r="CP317" s="21" t="n"/>
      <c r="CQ317" s="21" t="n"/>
      <c r="CR317" s="27">
        <f>SUM(CP317:CQ317)</f>
        <v/>
      </c>
      <c r="CS317" s="28" t="n"/>
      <c r="CT317" s="31" t="n"/>
      <c r="CU317" s="29">
        <f>IF(AND(CR317=0,CS317=0,CT317=0),0,IF(AND(CR317=0,CS317=0),CT317/1,IF(AND(CR317=0,CT317=0),CS317/1,IF(AND(CS317=0,CT317=0),CR317/1,IF(CR317=0,FLOOR((CS317+CT317)/2,0.1),IF(CS317=0,(CR317+CT317)/2,IF(CT317=0,(CS317+CR317)/2,FLOOR(((CR317+CS317+CT317)/3),0.1))))))))</f>
        <v/>
      </c>
      <c r="CV317" s="21" t="n"/>
      <c r="CW317" s="21" t="n"/>
      <c r="CX317" s="27">
        <f>SUM(CV317:CW317)</f>
        <v/>
      </c>
      <c r="CY317" s="28" t="n"/>
      <c r="CZ317" s="31" t="n"/>
      <c r="DA317" s="29">
        <f>IF(AND(CX317=0,CY317=0,CZ317=0),0,IF(AND(CX317=0,CY317=0),CZ317/1,IF(AND(CX317=0,CZ317=0),CY317/1,IF(AND(CY317=0,CZ317=0),CX317/1,IF(CX317=0,FLOOR((CY317+CZ317)/2,0.1),IF(CY317=0,(CX317+CZ317)/2,IF(CZ317=0,(CY317+CX317)/2,FLOOR(((CX317+CY317+CZ317)/3),0.1))))))))</f>
        <v/>
      </c>
      <c r="DB317" s="21" t="n"/>
      <c r="DC317" s="21" t="n"/>
      <c r="DD317" s="27">
        <f>SUM(DB317:DC317)</f>
        <v/>
      </c>
      <c r="DE317" s="28" t="n"/>
      <c r="DF317" s="31" t="n"/>
      <c r="DG317" s="29">
        <f>IF(AND(DD317=0,DE317=0,DF317=0),0,IF(AND(DD317=0,DE317=0),DF317/1,IF(AND(DD317=0,DF317=0),DE317/1,IF(AND(DE317=0,DF317=0),DD317/1,IF(DD317=0,FLOOR((DE317+DF317)/2,0.1),IF(DE317=0,(DD317+DF317)/2,IF(DF317=0,(DE317+DD317)/2,FLOOR(((DD317+DE317+DF317)/3),0.1))))))))</f>
        <v/>
      </c>
      <c r="DH317" s="34">
        <f>SUM(O317,U317,AA317,AG317,AM317,AS317,AY317,BE317,BK317,BQ317,BW317,CC317,CI317,CO317,CU317,DA317,DG317)</f>
        <v/>
      </c>
      <c r="DI317" s="39">
        <f>RANK(DH317,DH$4:DH$503)</f>
        <v/>
      </c>
      <c r="DJ317" s="40" t="inlineStr">
        <is>
          <t>CHOOSE RATING</t>
        </is>
      </c>
      <c r="DK317" s="40" t="inlineStr">
        <is>
          <t>CHOOSE RATING</t>
        </is>
      </c>
      <c r="DL317" s="40" t="inlineStr">
        <is>
          <t>CHOOSE RATING</t>
        </is>
      </c>
      <c r="DM317" s="40" t="inlineStr">
        <is>
          <t>CHOOSE RATING</t>
        </is>
      </c>
      <c r="DN317" s="40" t="inlineStr">
        <is>
          <t>CHOOSE RATING</t>
        </is>
      </c>
      <c r="DO317" s="40" t="inlineStr">
        <is>
          <t>CHOOSE RATING</t>
        </is>
      </c>
      <c r="DP317" s="40" t="inlineStr">
        <is>
          <t>CHOOSE RATING</t>
        </is>
      </c>
      <c r="DQ317" s="40" t="inlineStr">
        <is>
          <t>CHOOSE RATING</t>
        </is>
      </c>
      <c r="DR317" s="43" t="inlineStr">
        <is>
          <t>2024/2025</t>
        </is>
      </c>
      <c r="DS317" s="45" t="inlineStr">
        <is>
          <t>THIRD</t>
        </is>
      </c>
      <c r="DT317" s="40" t="inlineStr">
        <is>
          <t>CHOOSE RATING</t>
        </is>
      </c>
      <c r="DU317" s="40" t="inlineStr">
        <is>
          <t>CHOOSE RATING</t>
        </is>
      </c>
      <c r="DV317" s="40" t="inlineStr">
        <is>
          <t>CHOOSE RATING</t>
        </is>
      </c>
      <c r="DW317" s="40" t="inlineStr">
        <is>
          <t>CHOOSE RATING</t>
        </is>
      </c>
      <c r="DX317" s="40" t="inlineStr">
        <is>
          <t>CHOOSE RATING</t>
        </is>
      </c>
      <c r="DY317" s="40" t="inlineStr">
        <is>
          <t>CHOOSE RATING</t>
        </is>
      </c>
      <c r="DZ317" s="53" t="inlineStr">
        <is>
          <t>CHOOSE RATING</t>
        </is>
      </c>
      <c r="EA317" s="54" t="inlineStr">
        <is>
          <t>Add the Tutor's Comment . . .</t>
        </is>
      </c>
      <c r="EB317" s="55" t="inlineStr">
        <is>
          <t>Choose Principals comment</t>
        </is>
      </c>
      <c r="EC317" s="56" t="n"/>
      <c r="ED317" s="57" t="inlineStr">
        <is>
          <t>Next Term Begins on Monday, 22nd September, 2025</t>
        </is>
      </c>
    </row>
    <row r="318" ht="30.6" customHeight="1" s="6">
      <c r="A318" s="18" t="n">
        <v>315</v>
      </c>
      <c r="B318" s="19" t="n"/>
      <c r="C318" s="20" t="n"/>
      <c r="D318" s="128" t="n"/>
      <c r="E318" s="21" t="n"/>
      <c r="F318" s="22" t="n"/>
      <c r="G318" s="22" t="n"/>
      <c r="H318" s="22" t="n"/>
      <c r="I318" s="26">
        <f>G318-H318</f>
        <v/>
      </c>
      <c r="J318" s="21" t="n"/>
      <c r="K318" s="21" t="n"/>
      <c r="L318" s="27">
        <f>SUM(J318:K318)</f>
        <v/>
      </c>
      <c r="M318" s="28" t="n"/>
      <c r="N318" s="28" t="n"/>
      <c r="O318" s="29">
        <f>IF(AND(L318=0,M318=0,N318=0),0,IF(AND(L318=0,M318=0),N318/1,IF(AND(L318=0,N318=0),M318/1,IF(AND(M318=0,N318=0),L318/1,IF(L318=0,FLOOR((M318+N318)/2,0.1),IF(M318=0,(L318+N318)/2,IF(N318=0,(M318+L318)/2,FLOOR(((L318+M318+N318)/3),0.1))))))))</f>
        <v/>
      </c>
      <c r="P318" s="21" t="n"/>
      <c r="Q318" s="21" t="n"/>
      <c r="R318" s="27">
        <f>SUM(P318:Q318)</f>
        <v/>
      </c>
      <c r="S318" s="28" t="n"/>
      <c r="T318" s="28" t="n"/>
      <c r="U318" s="29">
        <f>IF(AND(R318=0,S318=0,T318=0),0,IF(AND(R318=0,S318=0),T318/1,IF(AND(R318=0,T318=0),S318/1,IF(AND(S318=0,T318=0),R318/1,IF(R318=0,FLOOR((S318+T318)/2,0.1),IF(S318=0,(R318+T318)/2,IF(T318=0,(S318+R318)/2,FLOOR(((R318+S318+T318)/3),0.1))))))))</f>
        <v/>
      </c>
      <c r="V318" s="21" t="n"/>
      <c r="W318" s="21" t="n"/>
      <c r="X318" s="27">
        <f>SUM(V318:W318)</f>
        <v/>
      </c>
      <c r="Y318" s="28" t="n"/>
      <c r="Z318" s="28" t="n"/>
      <c r="AA318" s="29">
        <f>IF(AND(X318=0,Y318=0,Z318=0),0,IF(AND(X318=0,Y318=0),Z318/1,IF(AND(X318=0,Z318=0),Y318/1,IF(AND(Y318=0,Z318=0),X318/1,IF(X318=0,FLOOR((Y318+Z318)/2,0.1),IF(Y318=0,(X318+Z318)/2,IF(Z318=0,(Y318+X318)/2,FLOOR(((X318+Y318+Z318)/3),0.1))))))))</f>
        <v/>
      </c>
      <c r="AB318" s="21" t="n"/>
      <c r="AC318" s="21" t="n"/>
      <c r="AD318" s="27">
        <f>SUM(AB318:AC318)</f>
        <v/>
      </c>
      <c r="AE318" s="28" t="n"/>
      <c r="AF318" s="28" t="n"/>
      <c r="AG318" s="29">
        <f>IF(AND(AD318=0,AE318=0,AF318=0),0,IF(AND(AD318=0,AE318=0),AF318/1,IF(AND(AD318=0,AF318=0),AE318/1,IF(AND(AE318=0,AF318=0),AD318/1,IF(AD318=0,FLOOR((AE318+AF318)/2,0.1),IF(AE318=0,(AD318+AF318)/2,IF(AF318=0,(AE318+AD318)/2,FLOOR(((AD318+AE318+AF318)/3),0.1))))))))</f>
        <v/>
      </c>
      <c r="AH318" s="21" t="n"/>
      <c r="AI318" s="21" t="n"/>
      <c r="AJ318" s="27">
        <f>SUM(AH318:AI318)</f>
        <v/>
      </c>
      <c r="AK318" s="28" t="n"/>
      <c r="AL318" s="28" t="n"/>
      <c r="AM318" s="29">
        <f>IF(AND(AJ318=0,AK318=0,AL318=0),0,IF(AND(AJ318=0,AK318=0),AL318/1,IF(AND(AJ318=0,AL318=0),AK318/1,IF(AND(AK318=0,AL318=0),AJ318/1,IF(AJ318=0,FLOOR((AK318+AL318)/2,0.1),IF(AK318=0,(AJ318+AL318)/2,IF(AL318=0,(AK318+AJ318)/2,FLOOR(((AJ318+AK318+AL318)/3),0.1))))))))</f>
        <v/>
      </c>
      <c r="AN318" s="21" t="n"/>
      <c r="AO318" s="21" t="n"/>
      <c r="AP318" s="27">
        <f>SUM(AN318:AO318)</f>
        <v/>
      </c>
      <c r="AQ318" s="28" t="n"/>
      <c r="AR318" s="30" t="n"/>
      <c r="AS318" s="29">
        <f>IF(AND(AP318=0,AQ318=0,AR318=0),0,IF(AND(AP318=0,AQ318=0),AR318/1,IF(AND(AP318=0,AR318=0),AQ318/1,IF(AND(AQ318=0,AR318=0),AP318/1,IF(AP318=0,FLOOR((AQ318+AR318)/2,0.1),IF(AQ318=0,(AP318+AR318)/2,IF(AR318=0,(AQ318+AP318)/2,FLOOR(((AP318+AQ318+AR318)/3),0.1))))))))</f>
        <v/>
      </c>
      <c r="AT318" s="21" t="n"/>
      <c r="AU318" s="21" t="n"/>
      <c r="AV318" s="27">
        <f>SUM(AT318:AU318)</f>
        <v/>
      </c>
      <c r="AW318" s="28" t="n"/>
      <c r="AX318" s="30" t="n"/>
      <c r="AY318" s="29">
        <f>IF(AND(AV318=0,AW318=0,AX318=0),0,IF(AND(AV318=0,AW318=0),AX318/1,IF(AND(AV318=0,AX318=0),AW318/1,IF(AND(AW318=0,AX318=0),AV318/1,IF(AV318=0,FLOOR((AW318+AX318)/2,0.1),IF(AW318=0,(AV318+AX318)/2,IF(AX318=0,(AW318+AV318)/2,FLOOR(((AV318+AW318+AX318)/3),0.1))))))))</f>
        <v/>
      </c>
      <c r="AZ318" s="21" t="n"/>
      <c r="BA318" s="21" t="n"/>
      <c r="BB318" s="27">
        <f>SUM(AZ318:BA318)</f>
        <v/>
      </c>
      <c r="BC318" s="28" t="n"/>
      <c r="BD318" s="28" t="n"/>
      <c r="BE318" s="29">
        <f>IF(AND(BB318=0,BC318=0,BD318=0),0,IF(AND(BB318=0,BC318=0),BD318/1,IF(AND(BB318=0,BD318=0),BC318/1,IF(AND(BC318=0,BD318=0),BB318/1,IF(BB318=0,FLOOR((BC318+BD318)/2,0.1),IF(BC318=0,(BB318+BD318)/2,IF(BD318=0,(BC318+BB318)/2,FLOOR(((BB318+BC318+BD318)/3),0.1))))))))</f>
        <v/>
      </c>
      <c r="BF318" s="21" t="n"/>
      <c r="BG318" s="21" t="n"/>
      <c r="BH318" s="27">
        <f>SUM(BF318:BG318)</f>
        <v/>
      </c>
      <c r="BI318" s="28" t="n"/>
      <c r="BJ318" s="28" t="n"/>
      <c r="BK318" s="29">
        <f>IF(AND(BH318=0,BI318=0,BJ318=0),0,IF(AND(BH318=0,BI318=0),BJ318/1,IF(AND(BH318=0,BJ318=0),BI318/1,IF(AND(BI318=0,BJ318=0),BH318/1,IF(BH318=0,FLOOR((BI318+BJ318)/2,0.1),IF(BI318=0,(BH318+BJ318)/2,IF(BJ318=0,(BI318+BH318)/2,FLOOR(((BH318+BI318+BJ318)/3),0.1))))))))</f>
        <v/>
      </c>
      <c r="BL318" s="21" t="n"/>
      <c r="BM318" s="21" t="n"/>
      <c r="BN318" s="27">
        <f>SUM(BL318:BM318)</f>
        <v/>
      </c>
      <c r="BO318" s="28" t="n"/>
      <c r="BP318" s="31" t="n"/>
      <c r="BQ318" s="29">
        <f>IF(AND(BN318=0,BO318=0,BP318=0),0,IF(AND(BN318=0,BO318=0),BP318/1,IF(AND(BN318=0,BP318=0),BO318/1,IF(AND(BO318=0,BP318=0),BN318/1,IF(BN318=0,FLOOR((BO318+BP318)/2,0.1),IF(BO318=0,(BN318+BP318)/2,IF(BP318=0,(BO318+BN318)/2,FLOOR(((BN318+BO318+BP318)/3),0.1))))))))</f>
        <v/>
      </c>
      <c r="BR318" s="21" t="n"/>
      <c r="BS318" s="21" t="n"/>
      <c r="BT318" s="27">
        <f>SUM(BR318:BS318)</f>
        <v/>
      </c>
      <c r="BU318" s="28" t="n"/>
      <c r="BV318" s="31" t="n"/>
      <c r="BW318" s="29">
        <f>IF(AND(BT318=0,BU318=0,BV318=0),0,IF(AND(BT318=0,BU318=0),BV318/1,IF(AND(BT318=0,BV318=0),BU318/1,IF(AND(BU318=0,BV318=0),BT318/1,IF(BT318=0,FLOOR((BU318+BV318)/2,0.1),IF(BU318=0,(BT318+BV318)/2,IF(BV318=0,(BU318+BT318)/2,FLOOR(((BT318+BU318+BV318)/3),0.1))))))))</f>
        <v/>
      </c>
      <c r="BX318" s="21" t="n"/>
      <c r="BY318" s="21" t="n"/>
      <c r="BZ318" s="27">
        <f>SUM(BX318:BY318)</f>
        <v/>
      </c>
      <c r="CA318" s="28" t="n"/>
      <c r="CB318" s="31" t="n"/>
      <c r="CC318" s="29">
        <f>IF(AND(BZ318=0,CA318=0,CB318=0),0,IF(AND(BZ318=0,CA318=0),CB318/1,IF(AND(BZ318=0,CB318=0),CA318/1,IF(AND(CA318=0,CB318=0),BZ318/1,IF(BZ318=0,FLOOR((CA318+CB318)/2,0.1),IF(CA318=0,(BZ318+CB318)/2,IF(CB318=0,(CA318+BZ318)/2,FLOOR(((BZ318+CA318+CB318)/3),0.1))))))))</f>
        <v/>
      </c>
      <c r="CD318" s="21" t="n"/>
      <c r="CE318" s="21" t="n"/>
      <c r="CF318" s="27">
        <f>SUM(CD318:CE318)</f>
        <v/>
      </c>
      <c r="CG318" s="28" t="n"/>
      <c r="CH318" s="31" t="n"/>
      <c r="CI318" s="29">
        <f>IF(AND(CF318=0,CG318=0,CH318=0),0,IF(AND(CF318=0,CG318=0),CH318/1,IF(AND(CF318=0,CH318=0),CG318/1,IF(AND(CG318=0,CH318=0),CF318/1,IF(CF318=0,FLOOR((CG318+CH318)/2,0.1),IF(CG318=0,(CF318+CH318)/2,IF(CH318=0,(CG318+CF318)/2,FLOOR(((CF318+CG318+CH318)/3),0.1))))))))</f>
        <v/>
      </c>
      <c r="CJ318" s="21" t="n"/>
      <c r="CK318" s="21" t="n"/>
      <c r="CL318" s="27">
        <f>SUM(CJ318:CK318)</f>
        <v/>
      </c>
      <c r="CM318" s="28" t="n"/>
      <c r="CN318" s="31" t="n"/>
      <c r="CO318" s="29">
        <f>IF(AND(CL318=0,CM318=0,CN318=0),0,IF(AND(CL318=0,CM318=0),CN318/1,IF(AND(CL318=0,CN318=0),CM318/1,IF(AND(CM318=0,CN318=0),CL318/1,IF(CL318=0,FLOOR((CM318+CN318)/2,0.1),IF(CM318=0,(CL318+CN318)/2,IF(CN318=0,(CM318+CL318)/2,FLOOR(((CL318+CM318+CN318)/3),0.1))))))))</f>
        <v/>
      </c>
      <c r="CP318" s="21" t="n"/>
      <c r="CQ318" s="21" t="n"/>
      <c r="CR318" s="27">
        <f>SUM(CP318:CQ318)</f>
        <v/>
      </c>
      <c r="CS318" s="28" t="n"/>
      <c r="CT318" s="31" t="n"/>
      <c r="CU318" s="29">
        <f>IF(AND(CR318=0,CS318=0,CT318=0),0,IF(AND(CR318=0,CS318=0),CT318/1,IF(AND(CR318=0,CT318=0),CS318/1,IF(AND(CS318=0,CT318=0),CR318/1,IF(CR318=0,FLOOR((CS318+CT318)/2,0.1),IF(CS318=0,(CR318+CT318)/2,IF(CT318=0,(CS318+CR318)/2,FLOOR(((CR318+CS318+CT318)/3),0.1))))))))</f>
        <v/>
      </c>
      <c r="CV318" s="21" t="n"/>
      <c r="CW318" s="21" t="n"/>
      <c r="CX318" s="27">
        <f>SUM(CV318:CW318)</f>
        <v/>
      </c>
      <c r="CY318" s="28" t="n"/>
      <c r="CZ318" s="31" t="n"/>
      <c r="DA318" s="29">
        <f>IF(AND(CX318=0,CY318=0,CZ318=0),0,IF(AND(CX318=0,CY318=0),CZ318/1,IF(AND(CX318=0,CZ318=0),CY318/1,IF(AND(CY318=0,CZ318=0),CX318/1,IF(CX318=0,FLOOR((CY318+CZ318)/2,0.1),IF(CY318=0,(CX318+CZ318)/2,IF(CZ318=0,(CY318+CX318)/2,FLOOR(((CX318+CY318+CZ318)/3),0.1))))))))</f>
        <v/>
      </c>
      <c r="DB318" s="21" t="n"/>
      <c r="DC318" s="21" t="n"/>
      <c r="DD318" s="27">
        <f>SUM(DB318:DC318)</f>
        <v/>
      </c>
      <c r="DE318" s="28" t="n"/>
      <c r="DF318" s="31" t="n"/>
      <c r="DG318" s="29">
        <f>IF(AND(DD318=0,DE318=0,DF318=0),0,IF(AND(DD318=0,DE318=0),DF318/1,IF(AND(DD318=0,DF318=0),DE318/1,IF(AND(DE318=0,DF318=0),DD318/1,IF(DD318=0,FLOOR((DE318+DF318)/2,0.1),IF(DE318=0,(DD318+DF318)/2,IF(DF318=0,(DE318+DD318)/2,FLOOR(((DD318+DE318+DF318)/3),0.1))))))))</f>
        <v/>
      </c>
      <c r="DH318" s="34">
        <f>SUM(O318,U318,AA318,AG318,AM318,AS318,AY318,BE318,BK318,BQ318,BW318,CC318,CI318,CO318,CU318,DA318,DG318)</f>
        <v/>
      </c>
      <c r="DI318" s="39">
        <f>RANK(DH318,DH$4:DH$503)</f>
        <v/>
      </c>
      <c r="DJ318" s="40" t="inlineStr">
        <is>
          <t>CHOOSE RATING</t>
        </is>
      </c>
      <c r="DK318" s="40" t="inlineStr">
        <is>
          <t>CHOOSE RATING</t>
        </is>
      </c>
      <c r="DL318" s="40" t="inlineStr">
        <is>
          <t>CHOOSE RATING</t>
        </is>
      </c>
      <c r="DM318" s="40" t="inlineStr">
        <is>
          <t>CHOOSE RATING</t>
        </is>
      </c>
      <c r="DN318" s="40" t="inlineStr">
        <is>
          <t>CHOOSE RATING</t>
        </is>
      </c>
      <c r="DO318" s="40" t="inlineStr">
        <is>
          <t>CHOOSE RATING</t>
        </is>
      </c>
      <c r="DP318" s="40" t="inlineStr">
        <is>
          <t>CHOOSE RATING</t>
        </is>
      </c>
      <c r="DQ318" s="40" t="inlineStr">
        <is>
          <t>CHOOSE RATING</t>
        </is>
      </c>
      <c r="DR318" s="43" t="inlineStr">
        <is>
          <t>2024/2025</t>
        </is>
      </c>
      <c r="DS318" s="45" t="inlineStr">
        <is>
          <t>THIRD</t>
        </is>
      </c>
      <c r="DT318" s="40" t="inlineStr">
        <is>
          <t>CHOOSE RATING</t>
        </is>
      </c>
      <c r="DU318" s="40" t="inlineStr">
        <is>
          <t>CHOOSE RATING</t>
        </is>
      </c>
      <c r="DV318" s="40" t="inlineStr">
        <is>
          <t>CHOOSE RATING</t>
        </is>
      </c>
      <c r="DW318" s="40" t="inlineStr">
        <is>
          <t>CHOOSE RATING</t>
        </is>
      </c>
      <c r="DX318" s="40" t="inlineStr">
        <is>
          <t>CHOOSE RATING</t>
        </is>
      </c>
      <c r="DY318" s="40" t="inlineStr">
        <is>
          <t>CHOOSE RATING</t>
        </is>
      </c>
      <c r="DZ318" s="53" t="inlineStr">
        <is>
          <t>CHOOSE RATING</t>
        </is>
      </c>
      <c r="EA318" s="54" t="inlineStr">
        <is>
          <t>Add the Tutor's Comment . . .</t>
        </is>
      </c>
      <c r="EB318" s="55" t="inlineStr">
        <is>
          <t>Choose Principals comment</t>
        </is>
      </c>
      <c r="EC318" s="56" t="n"/>
      <c r="ED318" s="57" t="inlineStr">
        <is>
          <t>Next Term Begins on Monday, 22nd September, 2025</t>
        </is>
      </c>
    </row>
    <row r="319" ht="30.6" customHeight="1" s="6">
      <c r="A319" s="18" t="n">
        <v>316</v>
      </c>
      <c r="B319" s="19" t="n"/>
      <c r="C319" s="20" t="n"/>
      <c r="D319" s="128" t="n"/>
      <c r="E319" s="21" t="n"/>
      <c r="F319" s="22" t="n"/>
      <c r="G319" s="22" t="n"/>
      <c r="H319" s="22" t="n"/>
      <c r="I319" s="26">
        <f>G319-H319</f>
        <v/>
      </c>
      <c r="J319" s="21" t="n"/>
      <c r="K319" s="21" t="n"/>
      <c r="L319" s="27">
        <f>SUM(J319:K319)</f>
        <v/>
      </c>
      <c r="M319" s="28" t="n"/>
      <c r="N319" s="28" t="n"/>
      <c r="O319" s="29">
        <f>IF(AND(L319=0,M319=0,N319=0),0,IF(AND(L319=0,M319=0),N319/1,IF(AND(L319=0,N319=0),M319/1,IF(AND(M319=0,N319=0),L319/1,IF(L319=0,FLOOR((M319+N319)/2,0.1),IF(M319=0,(L319+N319)/2,IF(N319=0,(M319+L319)/2,FLOOR(((L319+M319+N319)/3),0.1))))))))</f>
        <v/>
      </c>
      <c r="P319" s="21" t="n"/>
      <c r="Q319" s="21" t="n"/>
      <c r="R319" s="27">
        <f>SUM(P319:Q319)</f>
        <v/>
      </c>
      <c r="S319" s="28" t="n"/>
      <c r="T319" s="28" t="n"/>
      <c r="U319" s="29">
        <f>IF(AND(R319=0,S319=0,T319=0),0,IF(AND(R319=0,S319=0),T319/1,IF(AND(R319=0,T319=0),S319/1,IF(AND(S319=0,T319=0),R319/1,IF(R319=0,FLOOR((S319+T319)/2,0.1),IF(S319=0,(R319+T319)/2,IF(T319=0,(S319+R319)/2,FLOOR(((R319+S319+T319)/3),0.1))))))))</f>
        <v/>
      </c>
      <c r="V319" s="21" t="n"/>
      <c r="W319" s="21" t="n"/>
      <c r="X319" s="27">
        <f>SUM(V319:W319)</f>
        <v/>
      </c>
      <c r="Y319" s="28" t="n"/>
      <c r="Z319" s="28" t="n"/>
      <c r="AA319" s="29">
        <f>IF(AND(X319=0,Y319=0,Z319=0),0,IF(AND(X319=0,Y319=0),Z319/1,IF(AND(X319=0,Z319=0),Y319/1,IF(AND(Y319=0,Z319=0),X319/1,IF(X319=0,FLOOR((Y319+Z319)/2,0.1),IF(Y319=0,(X319+Z319)/2,IF(Z319=0,(Y319+X319)/2,FLOOR(((X319+Y319+Z319)/3),0.1))))))))</f>
        <v/>
      </c>
      <c r="AB319" s="21" t="n"/>
      <c r="AC319" s="21" t="n"/>
      <c r="AD319" s="27">
        <f>SUM(AB319:AC319)</f>
        <v/>
      </c>
      <c r="AE319" s="28" t="n"/>
      <c r="AF319" s="28" t="n"/>
      <c r="AG319" s="29">
        <f>IF(AND(AD319=0,AE319=0,AF319=0),0,IF(AND(AD319=0,AE319=0),AF319/1,IF(AND(AD319=0,AF319=0),AE319/1,IF(AND(AE319=0,AF319=0),AD319/1,IF(AD319=0,FLOOR((AE319+AF319)/2,0.1),IF(AE319=0,(AD319+AF319)/2,IF(AF319=0,(AE319+AD319)/2,FLOOR(((AD319+AE319+AF319)/3),0.1))))))))</f>
        <v/>
      </c>
      <c r="AH319" s="21" t="n"/>
      <c r="AI319" s="21" t="n"/>
      <c r="AJ319" s="27">
        <f>SUM(AH319:AI319)</f>
        <v/>
      </c>
      <c r="AK319" s="28" t="n"/>
      <c r="AL319" s="28" t="n"/>
      <c r="AM319" s="29">
        <f>IF(AND(AJ319=0,AK319=0,AL319=0),0,IF(AND(AJ319=0,AK319=0),AL319/1,IF(AND(AJ319=0,AL319=0),AK319/1,IF(AND(AK319=0,AL319=0),AJ319/1,IF(AJ319=0,FLOOR((AK319+AL319)/2,0.1),IF(AK319=0,(AJ319+AL319)/2,IF(AL319=0,(AK319+AJ319)/2,FLOOR(((AJ319+AK319+AL319)/3),0.1))))))))</f>
        <v/>
      </c>
      <c r="AN319" s="21" t="n"/>
      <c r="AO319" s="21" t="n"/>
      <c r="AP319" s="27">
        <f>SUM(AN319:AO319)</f>
        <v/>
      </c>
      <c r="AQ319" s="28" t="n"/>
      <c r="AR319" s="30" t="n"/>
      <c r="AS319" s="29">
        <f>IF(AND(AP319=0,AQ319=0,AR319=0),0,IF(AND(AP319=0,AQ319=0),AR319/1,IF(AND(AP319=0,AR319=0),AQ319/1,IF(AND(AQ319=0,AR319=0),AP319/1,IF(AP319=0,FLOOR((AQ319+AR319)/2,0.1),IF(AQ319=0,(AP319+AR319)/2,IF(AR319=0,(AQ319+AP319)/2,FLOOR(((AP319+AQ319+AR319)/3),0.1))))))))</f>
        <v/>
      </c>
      <c r="AT319" s="21" t="n"/>
      <c r="AU319" s="21" t="n"/>
      <c r="AV319" s="27">
        <f>SUM(AT319:AU319)</f>
        <v/>
      </c>
      <c r="AW319" s="28" t="n"/>
      <c r="AX319" s="30" t="n"/>
      <c r="AY319" s="29">
        <f>IF(AND(AV319=0,AW319=0,AX319=0),0,IF(AND(AV319=0,AW319=0),AX319/1,IF(AND(AV319=0,AX319=0),AW319/1,IF(AND(AW319=0,AX319=0),AV319/1,IF(AV319=0,FLOOR((AW319+AX319)/2,0.1),IF(AW319=0,(AV319+AX319)/2,IF(AX319=0,(AW319+AV319)/2,FLOOR(((AV319+AW319+AX319)/3),0.1))))))))</f>
        <v/>
      </c>
      <c r="AZ319" s="21" t="n"/>
      <c r="BA319" s="21" t="n"/>
      <c r="BB319" s="27">
        <f>SUM(AZ319:BA319)</f>
        <v/>
      </c>
      <c r="BC319" s="28" t="n"/>
      <c r="BD319" s="28" t="n"/>
      <c r="BE319" s="29">
        <f>IF(AND(BB319=0,BC319=0,BD319=0),0,IF(AND(BB319=0,BC319=0),BD319/1,IF(AND(BB319=0,BD319=0),BC319/1,IF(AND(BC319=0,BD319=0),BB319/1,IF(BB319=0,FLOOR((BC319+BD319)/2,0.1),IF(BC319=0,(BB319+BD319)/2,IF(BD319=0,(BC319+BB319)/2,FLOOR(((BB319+BC319+BD319)/3),0.1))))))))</f>
        <v/>
      </c>
      <c r="BF319" s="21" t="n"/>
      <c r="BG319" s="21" t="n"/>
      <c r="BH319" s="27">
        <f>SUM(BF319:BG319)</f>
        <v/>
      </c>
      <c r="BI319" s="28" t="n"/>
      <c r="BJ319" s="28" t="n"/>
      <c r="BK319" s="29">
        <f>IF(AND(BH319=0,BI319=0,BJ319=0),0,IF(AND(BH319=0,BI319=0),BJ319/1,IF(AND(BH319=0,BJ319=0),BI319/1,IF(AND(BI319=0,BJ319=0),BH319/1,IF(BH319=0,FLOOR((BI319+BJ319)/2,0.1),IF(BI319=0,(BH319+BJ319)/2,IF(BJ319=0,(BI319+BH319)/2,FLOOR(((BH319+BI319+BJ319)/3),0.1))))))))</f>
        <v/>
      </c>
      <c r="BL319" s="21" t="n"/>
      <c r="BM319" s="21" t="n"/>
      <c r="BN319" s="27">
        <f>SUM(BL319:BM319)</f>
        <v/>
      </c>
      <c r="BO319" s="28" t="n"/>
      <c r="BP319" s="31" t="n"/>
      <c r="BQ319" s="29">
        <f>IF(AND(BN319=0,BO319=0,BP319=0),0,IF(AND(BN319=0,BO319=0),BP319/1,IF(AND(BN319=0,BP319=0),BO319/1,IF(AND(BO319=0,BP319=0),BN319/1,IF(BN319=0,FLOOR((BO319+BP319)/2,0.1),IF(BO319=0,(BN319+BP319)/2,IF(BP319=0,(BO319+BN319)/2,FLOOR(((BN319+BO319+BP319)/3),0.1))))))))</f>
        <v/>
      </c>
      <c r="BR319" s="21" t="n"/>
      <c r="BS319" s="21" t="n"/>
      <c r="BT319" s="27">
        <f>SUM(BR319:BS319)</f>
        <v/>
      </c>
      <c r="BU319" s="28" t="n"/>
      <c r="BV319" s="31" t="n"/>
      <c r="BW319" s="29">
        <f>IF(AND(BT319=0,BU319=0,BV319=0),0,IF(AND(BT319=0,BU319=0),BV319/1,IF(AND(BT319=0,BV319=0),BU319/1,IF(AND(BU319=0,BV319=0),BT319/1,IF(BT319=0,FLOOR((BU319+BV319)/2,0.1),IF(BU319=0,(BT319+BV319)/2,IF(BV319=0,(BU319+BT319)/2,FLOOR(((BT319+BU319+BV319)/3),0.1))))))))</f>
        <v/>
      </c>
      <c r="BX319" s="21" t="n"/>
      <c r="BY319" s="21" t="n"/>
      <c r="BZ319" s="27">
        <f>SUM(BX319:BY319)</f>
        <v/>
      </c>
      <c r="CA319" s="28" t="n"/>
      <c r="CB319" s="31" t="n"/>
      <c r="CC319" s="29">
        <f>IF(AND(BZ319=0,CA319=0,CB319=0),0,IF(AND(BZ319=0,CA319=0),CB319/1,IF(AND(BZ319=0,CB319=0),CA319/1,IF(AND(CA319=0,CB319=0),BZ319/1,IF(BZ319=0,FLOOR((CA319+CB319)/2,0.1),IF(CA319=0,(BZ319+CB319)/2,IF(CB319=0,(CA319+BZ319)/2,FLOOR(((BZ319+CA319+CB319)/3),0.1))))))))</f>
        <v/>
      </c>
      <c r="CD319" s="21" t="n"/>
      <c r="CE319" s="21" t="n"/>
      <c r="CF319" s="27">
        <f>SUM(CD319:CE319)</f>
        <v/>
      </c>
      <c r="CG319" s="28" t="n"/>
      <c r="CH319" s="31" t="n"/>
      <c r="CI319" s="29">
        <f>IF(AND(CF319=0,CG319=0,CH319=0),0,IF(AND(CF319=0,CG319=0),CH319/1,IF(AND(CF319=0,CH319=0),CG319/1,IF(AND(CG319=0,CH319=0),CF319/1,IF(CF319=0,FLOOR((CG319+CH319)/2,0.1),IF(CG319=0,(CF319+CH319)/2,IF(CH319=0,(CG319+CF319)/2,FLOOR(((CF319+CG319+CH319)/3),0.1))))))))</f>
        <v/>
      </c>
      <c r="CJ319" s="21" t="n"/>
      <c r="CK319" s="21" t="n"/>
      <c r="CL319" s="27">
        <f>SUM(CJ319:CK319)</f>
        <v/>
      </c>
      <c r="CM319" s="28" t="n"/>
      <c r="CN319" s="31" t="n"/>
      <c r="CO319" s="29">
        <f>IF(AND(CL319=0,CM319=0,CN319=0),0,IF(AND(CL319=0,CM319=0),CN319/1,IF(AND(CL319=0,CN319=0),CM319/1,IF(AND(CM319=0,CN319=0),CL319/1,IF(CL319=0,FLOOR((CM319+CN319)/2,0.1),IF(CM319=0,(CL319+CN319)/2,IF(CN319=0,(CM319+CL319)/2,FLOOR(((CL319+CM319+CN319)/3),0.1))))))))</f>
        <v/>
      </c>
      <c r="CP319" s="21" t="n"/>
      <c r="CQ319" s="21" t="n"/>
      <c r="CR319" s="27">
        <f>SUM(CP319:CQ319)</f>
        <v/>
      </c>
      <c r="CS319" s="28" t="n"/>
      <c r="CT319" s="31" t="n"/>
      <c r="CU319" s="29">
        <f>IF(AND(CR319=0,CS319=0,CT319=0),0,IF(AND(CR319=0,CS319=0),CT319/1,IF(AND(CR319=0,CT319=0),CS319/1,IF(AND(CS319=0,CT319=0),CR319/1,IF(CR319=0,FLOOR((CS319+CT319)/2,0.1),IF(CS319=0,(CR319+CT319)/2,IF(CT319=0,(CS319+CR319)/2,FLOOR(((CR319+CS319+CT319)/3),0.1))))))))</f>
        <v/>
      </c>
      <c r="CV319" s="21" t="n"/>
      <c r="CW319" s="21" t="n"/>
      <c r="CX319" s="27">
        <f>SUM(CV319:CW319)</f>
        <v/>
      </c>
      <c r="CY319" s="28" t="n"/>
      <c r="CZ319" s="31" t="n"/>
      <c r="DA319" s="29">
        <f>IF(AND(CX319=0,CY319=0,CZ319=0),0,IF(AND(CX319=0,CY319=0),CZ319/1,IF(AND(CX319=0,CZ319=0),CY319/1,IF(AND(CY319=0,CZ319=0),CX319/1,IF(CX319=0,FLOOR((CY319+CZ319)/2,0.1),IF(CY319=0,(CX319+CZ319)/2,IF(CZ319=0,(CY319+CX319)/2,FLOOR(((CX319+CY319+CZ319)/3),0.1))))))))</f>
        <v/>
      </c>
      <c r="DB319" s="21" t="n"/>
      <c r="DC319" s="21" t="n"/>
      <c r="DD319" s="27">
        <f>SUM(DB319:DC319)</f>
        <v/>
      </c>
      <c r="DE319" s="28" t="n"/>
      <c r="DF319" s="31" t="n"/>
      <c r="DG319" s="29">
        <f>IF(AND(DD319=0,DE319=0,DF319=0),0,IF(AND(DD319=0,DE319=0),DF319/1,IF(AND(DD319=0,DF319=0),DE319/1,IF(AND(DE319=0,DF319=0),DD319/1,IF(DD319=0,FLOOR((DE319+DF319)/2,0.1),IF(DE319=0,(DD319+DF319)/2,IF(DF319=0,(DE319+DD319)/2,FLOOR(((DD319+DE319+DF319)/3),0.1))))))))</f>
        <v/>
      </c>
      <c r="DH319" s="34">
        <f>SUM(O319,U319,AA319,AG319,AM319,AS319,AY319,BE319,BK319,BQ319,BW319,CC319,CI319,CO319,CU319,DA319,DG319)</f>
        <v/>
      </c>
      <c r="DI319" s="39">
        <f>RANK(DH319,DH$4:DH$503)</f>
        <v/>
      </c>
      <c r="DJ319" s="40" t="inlineStr">
        <is>
          <t>CHOOSE RATING</t>
        </is>
      </c>
      <c r="DK319" s="40" t="inlineStr">
        <is>
          <t>CHOOSE RATING</t>
        </is>
      </c>
      <c r="DL319" s="40" t="inlineStr">
        <is>
          <t>CHOOSE RATING</t>
        </is>
      </c>
      <c r="DM319" s="40" t="inlineStr">
        <is>
          <t>CHOOSE RATING</t>
        </is>
      </c>
      <c r="DN319" s="40" t="inlineStr">
        <is>
          <t>CHOOSE RATING</t>
        </is>
      </c>
      <c r="DO319" s="40" t="inlineStr">
        <is>
          <t>CHOOSE RATING</t>
        </is>
      </c>
      <c r="DP319" s="40" t="inlineStr">
        <is>
          <t>CHOOSE RATING</t>
        </is>
      </c>
      <c r="DQ319" s="40" t="inlineStr">
        <is>
          <t>CHOOSE RATING</t>
        </is>
      </c>
      <c r="DR319" s="43" t="inlineStr">
        <is>
          <t>2024/2025</t>
        </is>
      </c>
      <c r="DS319" s="45" t="inlineStr">
        <is>
          <t>THIRD</t>
        </is>
      </c>
      <c r="DT319" s="40" t="inlineStr">
        <is>
          <t>CHOOSE RATING</t>
        </is>
      </c>
      <c r="DU319" s="40" t="inlineStr">
        <is>
          <t>CHOOSE RATING</t>
        </is>
      </c>
      <c r="DV319" s="40" t="inlineStr">
        <is>
          <t>CHOOSE RATING</t>
        </is>
      </c>
      <c r="DW319" s="40" t="inlineStr">
        <is>
          <t>CHOOSE RATING</t>
        </is>
      </c>
      <c r="DX319" s="40" t="inlineStr">
        <is>
          <t>CHOOSE RATING</t>
        </is>
      </c>
      <c r="DY319" s="40" t="inlineStr">
        <is>
          <t>CHOOSE RATING</t>
        </is>
      </c>
      <c r="DZ319" s="53" t="inlineStr">
        <is>
          <t>CHOOSE RATING</t>
        </is>
      </c>
      <c r="EA319" s="54" t="inlineStr">
        <is>
          <t>Add the Tutor's Comment . . .</t>
        </is>
      </c>
      <c r="EB319" s="55" t="inlineStr">
        <is>
          <t>Choose Principals comment</t>
        </is>
      </c>
      <c r="EC319" s="56" t="n"/>
      <c r="ED319" s="57" t="inlineStr">
        <is>
          <t>Next Term Begins on Monday, 22nd September, 2025</t>
        </is>
      </c>
    </row>
    <row r="320" ht="30.6" customHeight="1" s="6">
      <c r="A320" s="18" t="n">
        <v>317</v>
      </c>
      <c r="B320" s="19" t="n"/>
      <c r="C320" s="20" t="n"/>
      <c r="D320" s="128" t="n"/>
      <c r="E320" s="21" t="n"/>
      <c r="F320" s="22" t="n"/>
      <c r="G320" s="22" t="n"/>
      <c r="H320" s="22" t="n"/>
      <c r="I320" s="26">
        <f>G320-H320</f>
        <v/>
      </c>
      <c r="J320" s="21" t="n"/>
      <c r="K320" s="21" t="n"/>
      <c r="L320" s="27">
        <f>SUM(J320:K320)</f>
        <v/>
      </c>
      <c r="M320" s="28" t="n"/>
      <c r="N320" s="28" t="n"/>
      <c r="O320" s="29">
        <f>IF(AND(L320=0,M320=0,N320=0),0,IF(AND(L320=0,M320=0),N320/1,IF(AND(L320=0,N320=0),M320/1,IF(AND(M320=0,N320=0),L320/1,IF(L320=0,FLOOR((M320+N320)/2,0.1),IF(M320=0,(L320+N320)/2,IF(N320=0,(M320+L320)/2,FLOOR(((L320+M320+N320)/3),0.1))))))))</f>
        <v/>
      </c>
      <c r="P320" s="21" t="n"/>
      <c r="Q320" s="21" t="n"/>
      <c r="R320" s="27">
        <f>SUM(P320:Q320)</f>
        <v/>
      </c>
      <c r="S320" s="28" t="n"/>
      <c r="T320" s="28" t="n"/>
      <c r="U320" s="29">
        <f>IF(AND(R320=0,S320=0,T320=0),0,IF(AND(R320=0,S320=0),T320/1,IF(AND(R320=0,T320=0),S320/1,IF(AND(S320=0,T320=0),R320/1,IF(R320=0,FLOOR((S320+T320)/2,0.1),IF(S320=0,(R320+T320)/2,IF(T320=0,(S320+R320)/2,FLOOR(((R320+S320+T320)/3),0.1))))))))</f>
        <v/>
      </c>
      <c r="V320" s="21" t="n"/>
      <c r="W320" s="21" t="n"/>
      <c r="X320" s="27">
        <f>SUM(V320:W320)</f>
        <v/>
      </c>
      <c r="Y320" s="28" t="n"/>
      <c r="Z320" s="28" t="n"/>
      <c r="AA320" s="29">
        <f>IF(AND(X320=0,Y320=0,Z320=0),0,IF(AND(X320=0,Y320=0),Z320/1,IF(AND(X320=0,Z320=0),Y320/1,IF(AND(Y320=0,Z320=0),X320/1,IF(X320=0,FLOOR((Y320+Z320)/2,0.1),IF(Y320=0,(X320+Z320)/2,IF(Z320=0,(Y320+X320)/2,FLOOR(((X320+Y320+Z320)/3),0.1))))))))</f>
        <v/>
      </c>
      <c r="AB320" s="21" t="n"/>
      <c r="AC320" s="21" t="n"/>
      <c r="AD320" s="27">
        <f>SUM(AB320:AC320)</f>
        <v/>
      </c>
      <c r="AE320" s="28" t="n"/>
      <c r="AF320" s="28" t="n"/>
      <c r="AG320" s="29">
        <f>IF(AND(AD320=0,AE320=0,AF320=0),0,IF(AND(AD320=0,AE320=0),AF320/1,IF(AND(AD320=0,AF320=0),AE320/1,IF(AND(AE320=0,AF320=0),AD320/1,IF(AD320=0,FLOOR((AE320+AF320)/2,0.1),IF(AE320=0,(AD320+AF320)/2,IF(AF320=0,(AE320+AD320)/2,FLOOR(((AD320+AE320+AF320)/3),0.1))))))))</f>
        <v/>
      </c>
      <c r="AH320" s="21" t="n"/>
      <c r="AI320" s="21" t="n"/>
      <c r="AJ320" s="27">
        <f>SUM(AH320:AI320)</f>
        <v/>
      </c>
      <c r="AK320" s="28" t="n"/>
      <c r="AL320" s="28" t="n"/>
      <c r="AM320" s="29">
        <f>IF(AND(AJ320=0,AK320=0,AL320=0),0,IF(AND(AJ320=0,AK320=0),AL320/1,IF(AND(AJ320=0,AL320=0),AK320/1,IF(AND(AK320=0,AL320=0),AJ320/1,IF(AJ320=0,FLOOR((AK320+AL320)/2,0.1),IF(AK320=0,(AJ320+AL320)/2,IF(AL320=0,(AK320+AJ320)/2,FLOOR(((AJ320+AK320+AL320)/3),0.1))))))))</f>
        <v/>
      </c>
      <c r="AN320" s="21" t="n"/>
      <c r="AO320" s="21" t="n"/>
      <c r="AP320" s="27">
        <f>SUM(AN320:AO320)</f>
        <v/>
      </c>
      <c r="AQ320" s="28" t="n"/>
      <c r="AR320" s="30" t="n"/>
      <c r="AS320" s="29">
        <f>IF(AND(AP320=0,AQ320=0,AR320=0),0,IF(AND(AP320=0,AQ320=0),AR320/1,IF(AND(AP320=0,AR320=0),AQ320/1,IF(AND(AQ320=0,AR320=0),AP320/1,IF(AP320=0,FLOOR((AQ320+AR320)/2,0.1),IF(AQ320=0,(AP320+AR320)/2,IF(AR320=0,(AQ320+AP320)/2,FLOOR(((AP320+AQ320+AR320)/3),0.1))))))))</f>
        <v/>
      </c>
      <c r="AT320" s="21" t="n"/>
      <c r="AU320" s="21" t="n"/>
      <c r="AV320" s="27">
        <f>SUM(AT320:AU320)</f>
        <v/>
      </c>
      <c r="AW320" s="28" t="n"/>
      <c r="AX320" s="30" t="n"/>
      <c r="AY320" s="29">
        <f>IF(AND(AV320=0,AW320=0,AX320=0),0,IF(AND(AV320=0,AW320=0),AX320/1,IF(AND(AV320=0,AX320=0),AW320/1,IF(AND(AW320=0,AX320=0),AV320/1,IF(AV320=0,FLOOR((AW320+AX320)/2,0.1),IF(AW320=0,(AV320+AX320)/2,IF(AX320=0,(AW320+AV320)/2,FLOOR(((AV320+AW320+AX320)/3),0.1))))))))</f>
        <v/>
      </c>
      <c r="AZ320" s="21" t="n"/>
      <c r="BA320" s="21" t="n"/>
      <c r="BB320" s="27">
        <f>SUM(AZ320:BA320)</f>
        <v/>
      </c>
      <c r="BC320" s="28" t="n"/>
      <c r="BD320" s="28" t="n"/>
      <c r="BE320" s="29">
        <f>IF(AND(BB320=0,BC320=0,BD320=0),0,IF(AND(BB320=0,BC320=0),BD320/1,IF(AND(BB320=0,BD320=0),BC320/1,IF(AND(BC320=0,BD320=0),BB320/1,IF(BB320=0,FLOOR((BC320+BD320)/2,0.1),IF(BC320=0,(BB320+BD320)/2,IF(BD320=0,(BC320+BB320)/2,FLOOR(((BB320+BC320+BD320)/3),0.1))))))))</f>
        <v/>
      </c>
      <c r="BF320" s="21" t="n"/>
      <c r="BG320" s="21" t="n"/>
      <c r="BH320" s="27">
        <f>SUM(BF320:BG320)</f>
        <v/>
      </c>
      <c r="BI320" s="28" t="n"/>
      <c r="BJ320" s="28" t="n"/>
      <c r="BK320" s="29">
        <f>IF(AND(BH320=0,BI320=0,BJ320=0),0,IF(AND(BH320=0,BI320=0),BJ320/1,IF(AND(BH320=0,BJ320=0),BI320/1,IF(AND(BI320=0,BJ320=0),BH320/1,IF(BH320=0,FLOOR((BI320+BJ320)/2,0.1),IF(BI320=0,(BH320+BJ320)/2,IF(BJ320=0,(BI320+BH320)/2,FLOOR(((BH320+BI320+BJ320)/3),0.1))))))))</f>
        <v/>
      </c>
      <c r="BL320" s="21" t="n"/>
      <c r="BM320" s="21" t="n"/>
      <c r="BN320" s="27">
        <f>SUM(BL320:BM320)</f>
        <v/>
      </c>
      <c r="BO320" s="28" t="n"/>
      <c r="BP320" s="31" t="n"/>
      <c r="BQ320" s="29">
        <f>IF(AND(BN320=0,BO320=0,BP320=0),0,IF(AND(BN320=0,BO320=0),BP320/1,IF(AND(BN320=0,BP320=0),BO320/1,IF(AND(BO320=0,BP320=0),BN320/1,IF(BN320=0,FLOOR((BO320+BP320)/2,0.1),IF(BO320=0,(BN320+BP320)/2,IF(BP320=0,(BO320+BN320)/2,FLOOR(((BN320+BO320+BP320)/3),0.1))))))))</f>
        <v/>
      </c>
      <c r="BR320" s="21" t="n"/>
      <c r="BS320" s="21" t="n"/>
      <c r="BT320" s="27">
        <f>SUM(BR320:BS320)</f>
        <v/>
      </c>
      <c r="BU320" s="28" t="n"/>
      <c r="BV320" s="31" t="n"/>
      <c r="BW320" s="29">
        <f>IF(AND(BT320=0,BU320=0,BV320=0),0,IF(AND(BT320=0,BU320=0),BV320/1,IF(AND(BT320=0,BV320=0),BU320/1,IF(AND(BU320=0,BV320=0),BT320/1,IF(BT320=0,FLOOR((BU320+BV320)/2,0.1),IF(BU320=0,(BT320+BV320)/2,IF(BV320=0,(BU320+BT320)/2,FLOOR(((BT320+BU320+BV320)/3),0.1))))))))</f>
        <v/>
      </c>
      <c r="BX320" s="21" t="n"/>
      <c r="BY320" s="21" t="n"/>
      <c r="BZ320" s="27">
        <f>SUM(BX320:BY320)</f>
        <v/>
      </c>
      <c r="CA320" s="28" t="n"/>
      <c r="CB320" s="31" t="n"/>
      <c r="CC320" s="29">
        <f>IF(AND(BZ320=0,CA320=0,CB320=0),0,IF(AND(BZ320=0,CA320=0),CB320/1,IF(AND(BZ320=0,CB320=0),CA320/1,IF(AND(CA320=0,CB320=0),BZ320/1,IF(BZ320=0,FLOOR((CA320+CB320)/2,0.1),IF(CA320=0,(BZ320+CB320)/2,IF(CB320=0,(CA320+BZ320)/2,FLOOR(((BZ320+CA320+CB320)/3),0.1))))))))</f>
        <v/>
      </c>
      <c r="CD320" s="21" t="n"/>
      <c r="CE320" s="21" t="n"/>
      <c r="CF320" s="27">
        <f>SUM(CD320:CE320)</f>
        <v/>
      </c>
      <c r="CG320" s="28" t="n"/>
      <c r="CH320" s="31" t="n"/>
      <c r="CI320" s="29">
        <f>IF(AND(CF320=0,CG320=0,CH320=0),0,IF(AND(CF320=0,CG320=0),CH320/1,IF(AND(CF320=0,CH320=0),CG320/1,IF(AND(CG320=0,CH320=0),CF320/1,IF(CF320=0,FLOOR((CG320+CH320)/2,0.1),IF(CG320=0,(CF320+CH320)/2,IF(CH320=0,(CG320+CF320)/2,FLOOR(((CF320+CG320+CH320)/3),0.1))))))))</f>
        <v/>
      </c>
      <c r="CJ320" s="21" t="n"/>
      <c r="CK320" s="21" t="n"/>
      <c r="CL320" s="27">
        <f>SUM(CJ320:CK320)</f>
        <v/>
      </c>
      <c r="CM320" s="28" t="n"/>
      <c r="CN320" s="31" t="n"/>
      <c r="CO320" s="29">
        <f>IF(AND(CL320=0,CM320=0,CN320=0),0,IF(AND(CL320=0,CM320=0),CN320/1,IF(AND(CL320=0,CN320=0),CM320/1,IF(AND(CM320=0,CN320=0),CL320/1,IF(CL320=0,FLOOR((CM320+CN320)/2,0.1),IF(CM320=0,(CL320+CN320)/2,IF(CN320=0,(CM320+CL320)/2,FLOOR(((CL320+CM320+CN320)/3),0.1))))))))</f>
        <v/>
      </c>
      <c r="CP320" s="21" t="n"/>
      <c r="CQ320" s="21" t="n"/>
      <c r="CR320" s="27">
        <f>SUM(CP320:CQ320)</f>
        <v/>
      </c>
      <c r="CS320" s="28" t="n"/>
      <c r="CT320" s="31" t="n"/>
      <c r="CU320" s="29">
        <f>IF(AND(CR320=0,CS320=0,CT320=0),0,IF(AND(CR320=0,CS320=0),CT320/1,IF(AND(CR320=0,CT320=0),CS320/1,IF(AND(CS320=0,CT320=0),CR320/1,IF(CR320=0,FLOOR((CS320+CT320)/2,0.1),IF(CS320=0,(CR320+CT320)/2,IF(CT320=0,(CS320+CR320)/2,FLOOR(((CR320+CS320+CT320)/3),0.1))))))))</f>
        <v/>
      </c>
      <c r="CV320" s="21" t="n"/>
      <c r="CW320" s="21" t="n"/>
      <c r="CX320" s="27">
        <f>SUM(CV320:CW320)</f>
        <v/>
      </c>
      <c r="CY320" s="28" t="n"/>
      <c r="CZ320" s="31" t="n"/>
      <c r="DA320" s="29">
        <f>IF(AND(CX320=0,CY320=0,CZ320=0),0,IF(AND(CX320=0,CY320=0),CZ320/1,IF(AND(CX320=0,CZ320=0),CY320/1,IF(AND(CY320=0,CZ320=0),CX320/1,IF(CX320=0,FLOOR((CY320+CZ320)/2,0.1),IF(CY320=0,(CX320+CZ320)/2,IF(CZ320=0,(CY320+CX320)/2,FLOOR(((CX320+CY320+CZ320)/3),0.1))))))))</f>
        <v/>
      </c>
      <c r="DB320" s="21" t="n"/>
      <c r="DC320" s="21" t="n"/>
      <c r="DD320" s="27">
        <f>SUM(DB320:DC320)</f>
        <v/>
      </c>
      <c r="DE320" s="28" t="n"/>
      <c r="DF320" s="31" t="n"/>
      <c r="DG320" s="29">
        <f>IF(AND(DD320=0,DE320=0,DF320=0),0,IF(AND(DD320=0,DE320=0),DF320/1,IF(AND(DD320=0,DF320=0),DE320/1,IF(AND(DE320=0,DF320=0),DD320/1,IF(DD320=0,FLOOR((DE320+DF320)/2,0.1),IF(DE320=0,(DD320+DF320)/2,IF(DF320=0,(DE320+DD320)/2,FLOOR(((DD320+DE320+DF320)/3),0.1))))))))</f>
        <v/>
      </c>
      <c r="DH320" s="34">
        <f>SUM(O320,U320,AA320,AG320,AM320,AS320,AY320,BE320,BK320,BQ320,BW320,CC320,CI320,CO320,CU320,DA320,DG320)</f>
        <v/>
      </c>
      <c r="DI320" s="39">
        <f>RANK(DH320,DH$4:DH$503)</f>
        <v/>
      </c>
      <c r="DJ320" s="40" t="inlineStr">
        <is>
          <t>CHOOSE RATING</t>
        </is>
      </c>
      <c r="DK320" s="40" t="inlineStr">
        <is>
          <t>CHOOSE RATING</t>
        </is>
      </c>
      <c r="DL320" s="40" t="inlineStr">
        <is>
          <t>CHOOSE RATING</t>
        </is>
      </c>
      <c r="DM320" s="40" t="inlineStr">
        <is>
          <t>CHOOSE RATING</t>
        </is>
      </c>
      <c r="DN320" s="40" t="inlineStr">
        <is>
          <t>CHOOSE RATING</t>
        </is>
      </c>
      <c r="DO320" s="40" t="inlineStr">
        <is>
          <t>CHOOSE RATING</t>
        </is>
      </c>
      <c r="DP320" s="40" t="inlineStr">
        <is>
          <t>CHOOSE RATING</t>
        </is>
      </c>
      <c r="DQ320" s="40" t="inlineStr">
        <is>
          <t>CHOOSE RATING</t>
        </is>
      </c>
      <c r="DR320" s="43" t="inlineStr">
        <is>
          <t>2024/2025</t>
        </is>
      </c>
      <c r="DS320" s="45" t="inlineStr">
        <is>
          <t>THIRD</t>
        </is>
      </c>
      <c r="DT320" s="40" t="inlineStr">
        <is>
          <t>CHOOSE RATING</t>
        </is>
      </c>
      <c r="DU320" s="40" t="inlineStr">
        <is>
          <t>CHOOSE RATING</t>
        </is>
      </c>
      <c r="DV320" s="40" t="inlineStr">
        <is>
          <t>CHOOSE RATING</t>
        </is>
      </c>
      <c r="DW320" s="40" t="inlineStr">
        <is>
          <t>CHOOSE RATING</t>
        </is>
      </c>
      <c r="DX320" s="40" t="inlineStr">
        <is>
          <t>CHOOSE RATING</t>
        </is>
      </c>
      <c r="DY320" s="40" t="inlineStr">
        <is>
          <t>CHOOSE RATING</t>
        </is>
      </c>
      <c r="DZ320" s="53" t="inlineStr">
        <is>
          <t>CHOOSE RATING</t>
        </is>
      </c>
      <c r="EA320" s="54" t="inlineStr">
        <is>
          <t>Add the Tutor's Comment . . .</t>
        </is>
      </c>
      <c r="EB320" s="55" t="inlineStr">
        <is>
          <t>Choose Principals comment</t>
        </is>
      </c>
      <c r="EC320" s="56" t="n"/>
      <c r="ED320" s="57" t="inlineStr">
        <is>
          <t>Next Term Begins on Monday, 22nd September, 2025</t>
        </is>
      </c>
    </row>
    <row r="321" ht="30.6" customHeight="1" s="6">
      <c r="A321" s="18" t="n">
        <v>318</v>
      </c>
      <c r="B321" s="19" t="n"/>
      <c r="C321" s="20" t="n"/>
      <c r="D321" s="128" t="n"/>
      <c r="E321" s="21" t="n"/>
      <c r="F321" s="22" t="n"/>
      <c r="G321" s="22" t="n"/>
      <c r="H321" s="22" t="n"/>
      <c r="I321" s="26">
        <f>G321-H321</f>
        <v/>
      </c>
      <c r="J321" s="21" t="n"/>
      <c r="K321" s="21" t="n"/>
      <c r="L321" s="27">
        <f>SUM(J321:K321)</f>
        <v/>
      </c>
      <c r="M321" s="28" t="n"/>
      <c r="N321" s="28" t="n"/>
      <c r="O321" s="29">
        <f>IF(AND(L321=0,M321=0,N321=0),0,IF(AND(L321=0,M321=0),N321/1,IF(AND(L321=0,N321=0),M321/1,IF(AND(M321=0,N321=0),L321/1,IF(L321=0,FLOOR((M321+N321)/2,0.1),IF(M321=0,(L321+N321)/2,IF(N321=0,(M321+L321)/2,FLOOR(((L321+M321+N321)/3),0.1))))))))</f>
        <v/>
      </c>
      <c r="P321" s="21" t="n"/>
      <c r="Q321" s="21" t="n"/>
      <c r="R321" s="27">
        <f>SUM(P321:Q321)</f>
        <v/>
      </c>
      <c r="S321" s="28" t="n"/>
      <c r="T321" s="28" t="n"/>
      <c r="U321" s="29">
        <f>IF(AND(R321=0,S321=0,T321=0),0,IF(AND(R321=0,S321=0),T321/1,IF(AND(R321=0,T321=0),S321/1,IF(AND(S321=0,T321=0),R321/1,IF(R321=0,FLOOR((S321+T321)/2,0.1),IF(S321=0,(R321+T321)/2,IF(T321=0,(S321+R321)/2,FLOOR(((R321+S321+T321)/3),0.1))))))))</f>
        <v/>
      </c>
      <c r="V321" s="21" t="n"/>
      <c r="W321" s="21" t="n"/>
      <c r="X321" s="27">
        <f>SUM(V321:W321)</f>
        <v/>
      </c>
      <c r="Y321" s="28" t="n"/>
      <c r="Z321" s="28" t="n"/>
      <c r="AA321" s="29">
        <f>IF(AND(X321=0,Y321=0,Z321=0),0,IF(AND(X321=0,Y321=0),Z321/1,IF(AND(X321=0,Z321=0),Y321/1,IF(AND(Y321=0,Z321=0),X321/1,IF(X321=0,FLOOR((Y321+Z321)/2,0.1),IF(Y321=0,(X321+Z321)/2,IF(Z321=0,(Y321+X321)/2,FLOOR(((X321+Y321+Z321)/3),0.1))))))))</f>
        <v/>
      </c>
      <c r="AB321" s="21" t="n"/>
      <c r="AC321" s="21" t="n"/>
      <c r="AD321" s="27">
        <f>SUM(AB321:AC321)</f>
        <v/>
      </c>
      <c r="AE321" s="28" t="n"/>
      <c r="AF321" s="28" t="n"/>
      <c r="AG321" s="29">
        <f>IF(AND(AD321=0,AE321=0,AF321=0),0,IF(AND(AD321=0,AE321=0),AF321/1,IF(AND(AD321=0,AF321=0),AE321/1,IF(AND(AE321=0,AF321=0),AD321/1,IF(AD321=0,FLOOR((AE321+AF321)/2,0.1),IF(AE321=0,(AD321+AF321)/2,IF(AF321=0,(AE321+AD321)/2,FLOOR(((AD321+AE321+AF321)/3),0.1))))))))</f>
        <v/>
      </c>
      <c r="AH321" s="21" t="n"/>
      <c r="AI321" s="21" t="n"/>
      <c r="AJ321" s="27">
        <f>SUM(AH321:AI321)</f>
        <v/>
      </c>
      <c r="AK321" s="28" t="n"/>
      <c r="AL321" s="28" t="n"/>
      <c r="AM321" s="29">
        <f>IF(AND(AJ321=0,AK321=0,AL321=0),0,IF(AND(AJ321=0,AK321=0),AL321/1,IF(AND(AJ321=0,AL321=0),AK321/1,IF(AND(AK321=0,AL321=0),AJ321/1,IF(AJ321=0,FLOOR((AK321+AL321)/2,0.1),IF(AK321=0,(AJ321+AL321)/2,IF(AL321=0,(AK321+AJ321)/2,FLOOR(((AJ321+AK321+AL321)/3),0.1))))))))</f>
        <v/>
      </c>
      <c r="AN321" s="21" t="n"/>
      <c r="AO321" s="21" t="n"/>
      <c r="AP321" s="27">
        <f>SUM(AN321:AO321)</f>
        <v/>
      </c>
      <c r="AQ321" s="28" t="n"/>
      <c r="AR321" s="30" t="n"/>
      <c r="AS321" s="29">
        <f>IF(AND(AP321=0,AQ321=0,AR321=0),0,IF(AND(AP321=0,AQ321=0),AR321/1,IF(AND(AP321=0,AR321=0),AQ321/1,IF(AND(AQ321=0,AR321=0),AP321/1,IF(AP321=0,FLOOR((AQ321+AR321)/2,0.1),IF(AQ321=0,(AP321+AR321)/2,IF(AR321=0,(AQ321+AP321)/2,FLOOR(((AP321+AQ321+AR321)/3),0.1))))))))</f>
        <v/>
      </c>
      <c r="AT321" s="21" t="n"/>
      <c r="AU321" s="21" t="n"/>
      <c r="AV321" s="27">
        <f>SUM(AT321:AU321)</f>
        <v/>
      </c>
      <c r="AW321" s="28" t="n"/>
      <c r="AX321" s="30" t="n"/>
      <c r="AY321" s="29">
        <f>IF(AND(AV321=0,AW321=0,AX321=0),0,IF(AND(AV321=0,AW321=0),AX321/1,IF(AND(AV321=0,AX321=0),AW321/1,IF(AND(AW321=0,AX321=0),AV321/1,IF(AV321=0,FLOOR((AW321+AX321)/2,0.1),IF(AW321=0,(AV321+AX321)/2,IF(AX321=0,(AW321+AV321)/2,FLOOR(((AV321+AW321+AX321)/3),0.1))))))))</f>
        <v/>
      </c>
      <c r="AZ321" s="21" t="n"/>
      <c r="BA321" s="21" t="n"/>
      <c r="BB321" s="27">
        <f>SUM(AZ321:BA321)</f>
        <v/>
      </c>
      <c r="BC321" s="28" t="n"/>
      <c r="BD321" s="28" t="n"/>
      <c r="BE321" s="29">
        <f>IF(AND(BB321=0,BC321=0,BD321=0),0,IF(AND(BB321=0,BC321=0),BD321/1,IF(AND(BB321=0,BD321=0),BC321/1,IF(AND(BC321=0,BD321=0),BB321/1,IF(BB321=0,FLOOR((BC321+BD321)/2,0.1),IF(BC321=0,(BB321+BD321)/2,IF(BD321=0,(BC321+BB321)/2,FLOOR(((BB321+BC321+BD321)/3),0.1))))))))</f>
        <v/>
      </c>
      <c r="BF321" s="21" t="n"/>
      <c r="BG321" s="21" t="n"/>
      <c r="BH321" s="27">
        <f>SUM(BF321:BG321)</f>
        <v/>
      </c>
      <c r="BI321" s="28" t="n"/>
      <c r="BJ321" s="28" t="n"/>
      <c r="BK321" s="29">
        <f>IF(AND(BH321=0,BI321=0,BJ321=0),0,IF(AND(BH321=0,BI321=0),BJ321/1,IF(AND(BH321=0,BJ321=0),BI321/1,IF(AND(BI321=0,BJ321=0),BH321/1,IF(BH321=0,FLOOR((BI321+BJ321)/2,0.1),IF(BI321=0,(BH321+BJ321)/2,IF(BJ321=0,(BI321+BH321)/2,FLOOR(((BH321+BI321+BJ321)/3),0.1))))))))</f>
        <v/>
      </c>
      <c r="BL321" s="21" t="n"/>
      <c r="BM321" s="21" t="n"/>
      <c r="BN321" s="27">
        <f>SUM(BL321:BM321)</f>
        <v/>
      </c>
      <c r="BO321" s="28" t="n"/>
      <c r="BP321" s="31" t="n"/>
      <c r="BQ321" s="29">
        <f>IF(AND(BN321=0,BO321=0,BP321=0),0,IF(AND(BN321=0,BO321=0),BP321/1,IF(AND(BN321=0,BP321=0),BO321/1,IF(AND(BO321=0,BP321=0),BN321/1,IF(BN321=0,FLOOR((BO321+BP321)/2,0.1),IF(BO321=0,(BN321+BP321)/2,IF(BP321=0,(BO321+BN321)/2,FLOOR(((BN321+BO321+BP321)/3),0.1))))))))</f>
        <v/>
      </c>
      <c r="BR321" s="21" t="n"/>
      <c r="BS321" s="21" t="n"/>
      <c r="BT321" s="27">
        <f>SUM(BR321:BS321)</f>
        <v/>
      </c>
      <c r="BU321" s="28" t="n"/>
      <c r="BV321" s="31" t="n"/>
      <c r="BW321" s="29">
        <f>IF(AND(BT321=0,BU321=0,BV321=0),0,IF(AND(BT321=0,BU321=0),BV321/1,IF(AND(BT321=0,BV321=0),BU321/1,IF(AND(BU321=0,BV321=0),BT321/1,IF(BT321=0,FLOOR((BU321+BV321)/2,0.1),IF(BU321=0,(BT321+BV321)/2,IF(BV321=0,(BU321+BT321)/2,FLOOR(((BT321+BU321+BV321)/3),0.1))))))))</f>
        <v/>
      </c>
      <c r="BX321" s="21" t="n"/>
      <c r="BY321" s="21" t="n"/>
      <c r="BZ321" s="27">
        <f>SUM(BX321:BY321)</f>
        <v/>
      </c>
      <c r="CA321" s="28" t="n"/>
      <c r="CB321" s="31" t="n"/>
      <c r="CC321" s="29">
        <f>IF(AND(BZ321=0,CA321=0,CB321=0),0,IF(AND(BZ321=0,CA321=0),CB321/1,IF(AND(BZ321=0,CB321=0),CA321/1,IF(AND(CA321=0,CB321=0),BZ321/1,IF(BZ321=0,FLOOR((CA321+CB321)/2,0.1),IF(CA321=0,(BZ321+CB321)/2,IF(CB321=0,(CA321+BZ321)/2,FLOOR(((BZ321+CA321+CB321)/3),0.1))))))))</f>
        <v/>
      </c>
      <c r="CD321" s="21" t="n"/>
      <c r="CE321" s="21" t="n"/>
      <c r="CF321" s="27">
        <f>SUM(CD321:CE321)</f>
        <v/>
      </c>
      <c r="CG321" s="28" t="n"/>
      <c r="CH321" s="31" t="n"/>
      <c r="CI321" s="29">
        <f>IF(AND(CF321=0,CG321=0,CH321=0),0,IF(AND(CF321=0,CG321=0),CH321/1,IF(AND(CF321=0,CH321=0),CG321/1,IF(AND(CG321=0,CH321=0),CF321/1,IF(CF321=0,FLOOR((CG321+CH321)/2,0.1),IF(CG321=0,(CF321+CH321)/2,IF(CH321=0,(CG321+CF321)/2,FLOOR(((CF321+CG321+CH321)/3),0.1))))))))</f>
        <v/>
      </c>
      <c r="CJ321" s="21" t="n"/>
      <c r="CK321" s="21" t="n"/>
      <c r="CL321" s="27">
        <f>SUM(CJ321:CK321)</f>
        <v/>
      </c>
      <c r="CM321" s="28" t="n"/>
      <c r="CN321" s="31" t="n"/>
      <c r="CO321" s="29">
        <f>IF(AND(CL321=0,CM321=0,CN321=0),0,IF(AND(CL321=0,CM321=0),CN321/1,IF(AND(CL321=0,CN321=0),CM321/1,IF(AND(CM321=0,CN321=0),CL321/1,IF(CL321=0,FLOOR((CM321+CN321)/2,0.1),IF(CM321=0,(CL321+CN321)/2,IF(CN321=0,(CM321+CL321)/2,FLOOR(((CL321+CM321+CN321)/3),0.1))))))))</f>
        <v/>
      </c>
      <c r="CP321" s="21" t="n"/>
      <c r="CQ321" s="21" t="n"/>
      <c r="CR321" s="27">
        <f>SUM(CP321:CQ321)</f>
        <v/>
      </c>
      <c r="CS321" s="28" t="n"/>
      <c r="CT321" s="31" t="n"/>
      <c r="CU321" s="29">
        <f>IF(AND(CR321=0,CS321=0,CT321=0),0,IF(AND(CR321=0,CS321=0),CT321/1,IF(AND(CR321=0,CT321=0),CS321/1,IF(AND(CS321=0,CT321=0),CR321/1,IF(CR321=0,FLOOR((CS321+CT321)/2,0.1),IF(CS321=0,(CR321+CT321)/2,IF(CT321=0,(CS321+CR321)/2,FLOOR(((CR321+CS321+CT321)/3),0.1))))))))</f>
        <v/>
      </c>
      <c r="CV321" s="21" t="n"/>
      <c r="CW321" s="21" t="n"/>
      <c r="CX321" s="27">
        <f>SUM(CV321:CW321)</f>
        <v/>
      </c>
      <c r="CY321" s="28" t="n"/>
      <c r="CZ321" s="31" t="n"/>
      <c r="DA321" s="29">
        <f>IF(AND(CX321=0,CY321=0,CZ321=0),0,IF(AND(CX321=0,CY321=0),CZ321/1,IF(AND(CX321=0,CZ321=0),CY321/1,IF(AND(CY321=0,CZ321=0),CX321/1,IF(CX321=0,FLOOR((CY321+CZ321)/2,0.1),IF(CY321=0,(CX321+CZ321)/2,IF(CZ321=0,(CY321+CX321)/2,FLOOR(((CX321+CY321+CZ321)/3),0.1))))))))</f>
        <v/>
      </c>
      <c r="DB321" s="21" t="n"/>
      <c r="DC321" s="21" t="n"/>
      <c r="DD321" s="27">
        <f>SUM(DB321:DC321)</f>
        <v/>
      </c>
      <c r="DE321" s="28" t="n"/>
      <c r="DF321" s="31" t="n"/>
      <c r="DG321" s="29">
        <f>IF(AND(DD321=0,DE321=0,DF321=0),0,IF(AND(DD321=0,DE321=0),DF321/1,IF(AND(DD321=0,DF321=0),DE321/1,IF(AND(DE321=0,DF321=0),DD321/1,IF(DD321=0,FLOOR((DE321+DF321)/2,0.1),IF(DE321=0,(DD321+DF321)/2,IF(DF321=0,(DE321+DD321)/2,FLOOR(((DD321+DE321+DF321)/3),0.1))))))))</f>
        <v/>
      </c>
      <c r="DH321" s="34">
        <f>SUM(O321,U321,AA321,AG321,AM321,AS321,AY321,BE321,BK321,BQ321,BW321,CC321,CI321,CO321,CU321,DA321,DG321)</f>
        <v/>
      </c>
      <c r="DI321" s="39">
        <f>RANK(DH321,DH$4:DH$503)</f>
        <v/>
      </c>
      <c r="DJ321" s="40" t="inlineStr">
        <is>
          <t>CHOOSE RATING</t>
        </is>
      </c>
      <c r="DK321" s="40" t="inlineStr">
        <is>
          <t>CHOOSE RATING</t>
        </is>
      </c>
      <c r="DL321" s="40" t="inlineStr">
        <is>
          <t>CHOOSE RATING</t>
        </is>
      </c>
      <c r="DM321" s="40" t="inlineStr">
        <is>
          <t>CHOOSE RATING</t>
        </is>
      </c>
      <c r="DN321" s="40" t="inlineStr">
        <is>
          <t>CHOOSE RATING</t>
        </is>
      </c>
      <c r="DO321" s="40" t="inlineStr">
        <is>
          <t>CHOOSE RATING</t>
        </is>
      </c>
      <c r="DP321" s="40" t="inlineStr">
        <is>
          <t>CHOOSE RATING</t>
        </is>
      </c>
      <c r="DQ321" s="40" t="inlineStr">
        <is>
          <t>CHOOSE RATING</t>
        </is>
      </c>
      <c r="DR321" s="43" t="inlineStr">
        <is>
          <t>2024/2025</t>
        </is>
      </c>
      <c r="DS321" s="45" t="inlineStr">
        <is>
          <t>THIRD</t>
        </is>
      </c>
      <c r="DT321" s="40" t="inlineStr">
        <is>
          <t>CHOOSE RATING</t>
        </is>
      </c>
      <c r="DU321" s="40" t="inlineStr">
        <is>
          <t>CHOOSE RATING</t>
        </is>
      </c>
      <c r="DV321" s="40" t="inlineStr">
        <is>
          <t>CHOOSE RATING</t>
        </is>
      </c>
      <c r="DW321" s="40" t="inlineStr">
        <is>
          <t>CHOOSE RATING</t>
        </is>
      </c>
      <c r="DX321" s="40" t="inlineStr">
        <is>
          <t>CHOOSE RATING</t>
        </is>
      </c>
      <c r="DY321" s="40" t="inlineStr">
        <is>
          <t>CHOOSE RATING</t>
        </is>
      </c>
      <c r="DZ321" s="53" t="inlineStr">
        <is>
          <t>CHOOSE RATING</t>
        </is>
      </c>
      <c r="EA321" s="54" t="inlineStr">
        <is>
          <t>Add the Tutor's Comment . . .</t>
        </is>
      </c>
      <c r="EB321" s="55" t="inlineStr">
        <is>
          <t>Choose Principals comment</t>
        </is>
      </c>
      <c r="EC321" s="56" t="n"/>
      <c r="ED321" s="57" t="inlineStr">
        <is>
          <t>Next Term Begins on Monday, 22nd September, 2025</t>
        </is>
      </c>
    </row>
    <row r="322" ht="30.6" customHeight="1" s="6">
      <c r="A322" s="18" t="n">
        <v>319</v>
      </c>
      <c r="B322" s="19" t="n"/>
      <c r="C322" s="20" t="n"/>
      <c r="D322" s="128" t="n"/>
      <c r="E322" s="21" t="n"/>
      <c r="F322" s="22" t="n"/>
      <c r="G322" s="22" t="n"/>
      <c r="H322" s="22" t="n"/>
      <c r="I322" s="26">
        <f>G322-H322</f>
        <v/>
      </c>
      <c r="J322" s="21" t="n"/>
      <c r="K322" s="21" t="n"/>
      <c r="L322" s="27">
        <f>SUM(J322:K322)</f>
        <v/>
      </c>
      <c r="M322" s="28" t="n"/>
      <c r="N322" s="28" t="n"/>
      <c r="O322" s="29">
        <f>IF(AND(L322=0,M322=0,N322=0),0,IF(AND(L322=0,M322=0),N322/1,IF(AND(L322=0,N322=0),M322/1,IF(AND(M322=0,N322=0),L322/1,IF(L322=0,FLOOR((M322+N322)/2,0.1),IF(M322=0,(L322+N322)/2,IF(N322=0,(M322+L322)/2,FLOOR(((L322+M322+N322)/3),0.1))))))))</f>
        <v/>
      </c>
      <c r="P322" s="21" t="n"/>
      <c r="Q322" s="21" t="n"/>
      <c r="R322" s="27">
        <f>SUM(P322:Q322)</f>
        <v/>
      </c>
      <c r="S322" s="28" t="n"/>
      <c r="T322" s="28" t="n"/>
      <c r="U322" s="29">
        <f>IF(AND(R322=0,S322=0,T322=0),0,IF(AND(R322=0,S322=0),T322/1,IF(AND(R322=0,T322=0),S322/1,IF(AND(S322=0,T322=0),R322/1,IF(R322=0,FLOOR((S322+T322)/2,0.1),IF(S322=0,(R322+T322)/2,IF(T322=0,(S322+R322)/2,FLOOR(((R322+S322+T322)/3),0.1))))))))</f>
        <v/>
      </c>
      <c r="V322" s="21" t="n"/>
      <c r="W322" s="21" t="n"/>
      <c r="X322" s="27">
        <f>SUM(V322:W322)</f>
        <v/>
      </c>
      <c r="Y322" s="28" t="n"/>
      <c r="Z322" s="28" t="n"/>
      <c r="AA322" s="29">
        <f>IF(AND(X322=0,Y322=0,Z322=0),0,IF(AND(X322=0,Y322=0),Z322/1,IF(AND(X322=0,Z322=0),Y322/1,IF(AND(Y322=0,Z322=0),X322/1,IF(X322=0,FLOOR((Y322+Z322)/2,0.1),IF(Y322=0,(X322+Z322)/2,IF(Z322=0,(Y322+X322)/2,FLOOR(((X322+Y322+Z322)/3),0.1))))))))</f>
        <v/>
      </c>
      <c r="AB322" s="21" t="n"/>
      <c r="AC322" s="21" t="n"/>
      <c r="AD322" s="27">
        <f>SUM(AB322:AC322)</f>
        <v/>
      </c>
      <c r="AE322" s="28" t="n"/>
      <c r="AF322" s="28" t="n"/>
      <c r="AG322" s="29">
        <f>IF(AND(AD322=0,AE322=0,AF322=0),0,IF(AND(AD322=0,AE322=0),AF322/1,IF(AND(AD322=0,AF322=0),AE322/1,IF(AND(AE322=0,AF322=0),AD322/1,IF(AD322=0,FLOOR((AE322+AF322)/2,0.1),IF(AE322=0,(AD322+AF322)/2,IF(AF322=0,(AE322+AD322)/2,FLOOR(((AD322+AE322+AF322)/3),0.1))))))))</f>
        <v/>
      </c>
      <c r="AH322" s="21" t="n"/>
      <c r="AI322" s="21" t="n"/>
      <c r="AJ322" s="27">
        <f>SUM(AH322:AI322)</f>
        <v/>
      </c>
      <c r="AK322" s="28" t="n"/>
      <c r="AL322" s="28" t="n"/>
      <c r="AM322" s="29">
        <f>IF(AND(AJ322=0,AK322=0,AL322=0),0,IF(AND(AJ322=0,AK322=0),AL322/1,IF(AND(AJ322=0,AL322=0),AK322/1,IF(AND(AK322=0,AL322=0),AJ322/1,IF(AJ322=0,FLOOR((AK322+AL322)/2,0.1),IF(AK322=0,(AJ322+AL322)/2,IF(AL322=0,(AK322+AJ322)/2,FLOOR(((AJ322+AK322+AL322)/3),0.1))))))))</f>
        <v/>
      </c>
      <c r="AN322" s="21" t="n"/>
      <c r="AO322" s="21" t="n"/>
      <c r="AP322" s="27">
        <f>SUM(AN322:AO322)</f>
        <v/>
      </c>
      <c r="AQ322" s="28" t="n"/>
      <c r="AR322" s="30" t="n"/>
      <c r="AS322" s="29">
        <f>IF(AND(AP322=0,AQ322=0,AR322=0),0,IF(AND(AP322=0,AQ322=0),AR322/1,IF(AND(AP322=0,AR322=0),AQ322/1,IF(AND(AQ322=0,AR322=0),AP322/1,IF(AP322=0,FLOOR((AQ322+AR322)/2,0.1),IF(AQ322=0,(AP322+AR322)/2,IF(AR322=0,(AQ322+AP322)/2,FLOOR(((AP322+AQ322+AR322)/3),0.1))))))))</f>
        <v/>
      </c>
      <c r="AT322" s="21" t="n"/>
      <c r="AU322" s="21" t="n"/>
      <c r="AV322" s="27">
        <f>SUM(AT322:AU322)</f>
        <v/>
      </c>
      <c r="AW322" s="28" t="n"/>
      <c r="AX322" s="30" t="n"/>
      <c r="AY322" s="29">
        <f>IF(AND(AV322=0,AW322=0,AX322=0),0,IF(AND(AV322=0,AW322=0),AX322/1,IF(AND(AV322=0,AX322=0),AW322/1,IF(AND(AW322=0,AX322=0),AV322/1,IF(AV322=0,FLOOR((AW322+AX322)/2,0.1),IF(AW322=0,(AV322+AX322)/2,IF(AX322=0,(AW322+AV322)/2,FLOOR(((AV322+AW322+AX322)/3),0.1))))))))</f>
        <v/>
      </c>
      <c r="AZ322" s="21" t="n"/>
      <c r="BA322" s="21" t="n"/>
      <c r="BB322" s="27">
        <f>SUM(AZ322:BA322)</f>
        <v/>
      </c>
      <c r="BC322" s="28" t="n"/>
      <c r="BD322" s="28" t="n"/>
      <c r="BE322" s="29">
        <f>IF(AND(BB322=0,BC322=0,BD322=0),0,IF(AND(BB322=0,BC322=0),BD322/1,IF(AND(BB322=0,BD322=0),BC322/1,IF(AND(BC322=0,BD322=0),BB322/1,IF(BB322=0,FLOOR((BC322+BD322)/2,0.1),IF(BC322=0,(BB322+BD322)/2,IF(BD322=0,(BC322+BB322)/2,FLOOR(((BB322+BC322+BD322)/3),0.1))))))))</f>
        <v/>
      </c>
      <c r="BF322" s="21" t="n"/>
      <c r="BG322" s="21" t="n"/>
      <c r="BH322" s="27">
        <f>SUM(BF322:BG322)</f>
        <v/>
      </c>
      <c r="BI322" s="28" t="n"/>
      <c r="BJ322" s="28" t="n"/>
      <c r="BK322" s="29">
        <f>IF(AND(BH322=0,BI322=0,BJ322=0),0,IF(AND(BH322=0,BI322=0),BJ322/1,IF(AND(BH322=0,BJ322=0),BI322/1,IF(AND(BI322=0,BJ322=0),BH322/1,IF(BH322=0,FLOOR((BI322+BJ322)/2,0.1),IF(BI322=0,(BH322+BJ322)/2,IF(BJ322=0,(BI322+BH322)/2,FLOOR(((BH322+BI322+BJ322)/3),0.1))))))))</f>
        <v/>
      </c>
      <c r="BL322" s="21" t="n"/>
      <c r="BM322" s="21" t="n"/>
      <c r="BN322" s="27">
        <f>SUM(BL322:BM322)</f>
        <v/>
      </c>
      <c r="BO322" s="28" t="n"/>
      <c r="BP322" s="31" t="n"/>
      <c r="BQ322" s="29">
        <f>IF(AND(BN322=0,BO322=0,BP322=0),0,IF(AND(BN322=0,BO322=0),BP322/1,IF(AND(BN322=0,BP322=0),BO322/1,IF(AND(BO322=0,BP322=0),BN322/1,IF(BN322=0,FLOOR((BO322+BP322)/2,0.1),IF(BO322=0,(BN322+BP322)/2,IF(BP322=0,(BO322+BN322)/2,FLOOR(((BN322+BO322+BP322)/3),0.1))))))))</f>
        <v/>
      </c>
      <c r="BR322" s="21" t="n"/>
      <c r="BS322" s="21" t="n"/>
      <c r="BT322" s="27">
        <f>SUM(BR322:BS322)</f>
        <v/>
      </c>
      <c r="BU322" s="28" t="n"/>
      <c r="BV322" s="31" t="n"/>
      <c r="BW322" s="29">
        <f>IF(AND(BT322=0,BU322=0,BV322=0),0,IF(AND(BT322=0,BU322=0),BV322/1,IF(AND(BT322=0,BV322=0),BU322/1,IF(AND(BU322=0,BV322=0),BT322/1,IF(BT322=0,FLOOR((BU322+BV322)/2,0.1),IF(BU322=0,(BT322+BV322)/2,IF(BV322=0,(BU322+BT322)/2,FLOOR(((BT322+BU322+BV322)/3),0.1))))))))</f>
        <v/>
      </c>
      <c r="BX322" s="21" t="n"/>
      <c r="BY322" s="21" t="n"/>
      <c r="BZ322" s="27">
        <f>SUM(BX322:BY322)</f>
        <v/>
      </c>
      <c r="CA322" s="28" t="n"/>
      <c r="CB322" s="31" t="n"/>
      <c r="CC322" s="29">
        <f>IF(AND(BZ322=0,CA322=0,CB322=0),0,IF(AND(BZ322=0,CA322=0),CB322/1,IF(AND(BZ322=0,CB322=0),CA322/1,IF(AND(CA322=0,CB322=0),BZ322/1,IF(BZ322=0,FLOOR((CA322+CB322)/2,0.1),IF(CA322=0,(BZ322+CB322)/2,IF(CB322=0,(CA322+BZ322)/2,FLOOR(((BZ322+CA322+CB322)/3),0.1))))))))</f>
        <v/>
      </c>
      <c r="CD322" s="21" t="n"/>
      <c r="CE322" s="21" t="n"/>
      <c r="CF322" s="27">
        <f>SUM(CD322:CE322)</f>
        <v/>
      </c>
      <c r="CG322" s="28" t="n"/>
      <c r="CH322" s="31" t="n"/>
      <c r="CI322" s="29">
        <f>IF(AND(CF322=0,CG322=0,CH322=0),0,IF(AND(CF322=0,CG322=0),CH322/1,IF(AND(CF322=0,CH322=0),CG322/1,IF(AND(CG322=0,CH322=0),CF322/1,IF(CF322=0,FLOOR((CG322+CH322)/2,0.1),IF(CG322=0,(CF322+CH322)/2,IF(CH322=0,(CG322+CF322)/2,FLOOR(((CF322+CG322+CH322)/3),0.1))))))))</f>
        <v/>
      </c>
      <c r="CJ322" s="21" t="n"/>
      <c r="CK322" s="21" t="n"/>
      <c r="CL322" s="27">
        <f>SUM(CJ322:CK322)</f>
        <v/>
      </c>
      <c r="CM322" s="28" t="n"/>
      <c r="CN322" s="31" t="n"/>
      <c r="CO322" s="29">
        <f>IF(AND(CL322=0,CM322=0,CN322=0),0,IF(AND(CL322=0,CM322=0),CN322/1,IF(AND(CL322=0,CN322=0),CM322/1,IF(AND(CM322=0,CN322=0),CL322/1,IF(CL322=0,FLOOR((CM322+CN322)/2,0.1),IF(CM322=0,(CL322+CN322)/2,IF(CN322=0,(CM322+CL322)/2,FLOOR(((CL322+CM322+CN322)/3),0.1))))))))</f>
        <v/>
      </c>
      <c r="CP322" s="21" t="n"/>
      <c r="CQ322" s="21" t="n"/>
      <c r="CR322" s="27">
        <f>SUM(CP322:CQ322)</f>
        <v/>
      </c>
      <c r="CS322" s="28" t="n"/>
      <c r="CT322" s="31" t="n"/>
      <c r="CU322" s="29">
        <f>IF(AND(CR322=0,CS322=0,CT322=0),0,IF(AND(CR322=0,CS322=0),CT322/1,IF(AND(CR322=0,CT322=0),CS322/1,IF(AND(CS322=0,CT322=0),CR322/1,IF(CR322=0,FLOOR((CS322+CT322)/2,0.1),IF(CS322=0,(CR322+CT322)/2,IF(CT322=0,(CS322+CR322)/2,FLOOR(((CR322+CS322+CT322)/3),0.1))))))))</f>
        <v/>
      </c>
      <c r="CV322" s="21" t="n"/>
      <c r="CW322" s="21" t="n"/>
      <c r="CX322" s="27">
        <f>SUM(CV322:CW322)</f>
        <v/>
      </c>
      <c r="CY322" s="28" t="n"/>
      <c r="CZ322" s="31" t="n"/>
      <c r="DA322" s="29">
        <f>IF(AND(CX322=0,CY322=0,CZ322=0),0,IF(AND(CX322=0,CY322=0),CZ322/1,IF(AND(CX322=0,CZ322=0),CY322/1,IF(AND(CY322=0,CZ322=0),CX322/1,IF(CX322=0,FLOOR((CY322+CZ322)/2,0.1),IF(CY322=0,(CX322+CZ322)/2,IF(CZ322=0,(CY322+CX322)/2,FLOOR(((CX322+CY322+CZ322)/3),0.1))))))))</f>
        <v/>
      </c>
      <c r="DB322" s="21" t="n"/>
      <c r="DC322" s="21" t="n"/>
      <c r="DD322" s="27">
        <f>SUM(DB322:DC322)</f>
        <v/>
      </c>
      <c r="DE322" s="28" t="n"/>
      <c r="DF322" s="31" t="n"/>
      <c r="DG322" s="29">
        <f>IF(AND(DD322=0,DE322=0,DF322=0),0,IF(AND(DD322=0,DE322=0),DF322/1,IF(AND(DD322=0,DF322=0),DE322/1,IF(AND(DE322=0,DF322=0),DD322/1,IF(DD322=0,FLOOR((DE322+DF322)/2,0.1),IF(DE322=0,(DD322+DF322)/2,IF(DF322=0,(DE322+DD322)/2,FLOOR(((DD322+DE322+DF322)/3),0.1))))))))</f>
        <v/>
      </c>
      <c r="DH322" s="34">
        <f>SUM(O322,U322,AA322,AG322,AM322,AS322,AY322,BE322,BK322,BQ322,BW322,CC322,CI322,CO322,CU322,DA322,DG322)</f>
        <v/>
      </c>
      <c r="DI322" s="39">
        <f>RANK(DH322,DH$4:DH$503)</f>
        <v/>
      </c>
      <c r="DJ322" s="40" t="inlineStr">
        <is>
          <t>CHOOSE RATING</t>
        </is>
      </c>
      <c r="DK322" s="40" t="inlineStr">
        <is>
          <t>CHOOSE RATING</t>
        </is>
      </c>
      <c r="DL322" s="40" t="inlineStr">
        <is>
          <t>CHOOSE RATING</t>
        </is>
      </c>
      <c r="DM322" s="40" t="inlineStr">
        <is>
          <t>CHOOSE RATING</t>
        </is>
      </c>
      <c r="DN322" s="40" t="inlineStr">
        <is>
          <t>CHOOSE RATING</t>
        </is>
      </c>
      <c r="DO322" s="40" t="inlineStr">
        <is>
          <t>CHOOSE RATING</t>
        </is>
      </c>
      <c r="DP322" s="40" t="inlineStr">
        <is>
          <t>CHOOSE RATING</t>
        </is>
      </c>
      <c r="DQ322" s="40" t="inlineStr">
        <is>
          <t>CHOOSE RATING</t>
        </is>
      </c>
      <c r="DR322" s="43" t="inlineStr">
        <is>
          <t>2024/2025</t>
        </is>
      </c>
      <c r="DS322" s="45" t="inlineStr">
        <is>
          <t>THIRD</t>
        </is>
      </c>
      <c r="DT322" s="40" t="inlineStr">
        <is>
          <t>CHOOSE RATING</t>
        </is>
      </c>
      <c r="DU322" s="40" t="inlineStr">
        <is>
          <t>CHOOSE RATING</t>
        </is>
      </c>
      <c r="DV322" s="40" t="inlineStr">
        <is>
          <t>CHOOSE RATING</t>
        </is>
      </c>
      <c r="DW322" s="40" t="inlineStr">
        <is>
          <t>CHOOSE RATING</t>
        </is>
      </c>
      <c r="DX322" s="40" t="inlineStr">
        <is>
          <t>CHOOSE RATING</t>
        </is>
      </c>
      <c r="DY322" s="40" t="inlineStr">
        <is>
          <t>CHOOSE RATING</t>
        </is>
      </c>
      <c r="DZ322" s="53" t="inlineStr">
        <is>
          <t>CHOOSE RATING</t>
        </is>
      </c>
      <c r="EA322" s="54" t="inlineStr">
        <is>
          <t>Add the Tutor's Comment . . .</t>
        </is>
      </c>
      <c r="EB322" s="55" t="inlineStr">
        <is>
          <t>Choose Principals comment</t>
        </is>
      </c>
      <c r="EC322" s="56" t="n"/>
      <c r="ED322" s="57" t="inlineStr">
        <is>
          <t>Next Term Begins on Monday, 22nd September, 2025</t>
        </is>
      </c>
    </row>
    <row r="323" ht="30.6" customHeight="1" s="6">
      <c r="A323" s="18" t="n">
        <v>320</v>
      </c>
      <c r="B323" s="19" t="n"/>
      <c r="C323" s="20" t="n"/>
      <c r="D323" s="128" t="n"/>
      <c r="E323" s="21" t="n"/>
      <c r="F323" s="22" t="n"/>
      <c r="G323" s="22" t="n"/>
      <c r="H323" s="22" t="n"/>
      <c r="I323" s="26">
        <f>G323-H323</f>
        <v/>
      </c>
      <c r="J323" s="21" t="n"/>
      <c r="K323" s="21" t="n"/>
      <c r="L323" s="27">
        <f>SUM(J323:K323)</f>
        <v/>
      </c>
      <c r="M323" s="28" t="n"/>
      <c r="N323" s="28" t="n"/>
      <c r="O323" s="29">
        <f>IF(AND(L323=0,M323=0,N323=0),0,IF(AND(L323=0,M323=0),N323/1,IF(AND(L323=0,N323=0),M323/1,IF(AND(M323=0,N323=0),L323/1,IF(L323=0,FLOOR((M323+N323)/2,0.1),IF(M323=0,(L323+N323)/2,IF(N323=0,(M323+L323)/2,FLOOR(((L323+M323+N323)/3),0.1))))))))</f>
        <v/>
      </c>
      <c r="P323" s="21" t="n"/>
      <c r="Q323" s="21" t="n"/>
      <c r="R323" s="27">
        <f>SUM(P323:Q323)</f>
        <v/>
      </c>
      <c r="S323" s="28" t="n"/>
      <c r="T323" s="28" t="n"/>
      <c r="U323" s="29">
        <f>IF(AND(R323=0,S323=0,T323=0),0,IF(AND(R323=0,S323=0),T323/1,IF(AND(R323=0,T323=0),S323/1,IF(AND(S323=0,T323=0),R323/1,IF(R323=0,FLOOR((S323+T323)/2,0.1),IF(S323=0,(R323+T323)/2,IF(T323=0,(S323+R323)/2,FLOOR(((R323+S323+T323)/3),0.1))))))))</f>
        <v/>
      </c>
      <c r="V323" s="21" t="n"/>
      <c r="W323" s="21" t="n"/>
      <c r="X323" s="27">
        <f>SUM(V323:W323)</f>
        <v/>
      </c>
      <c r="Y323" s="28" t="n"/>
      <c r="Z323" s="28" t="n"/>
      <c r="AA323" s="29">
        <f>IF(AND(X323=0,Y323=0,Z323=0),0,IF(AND(X323=0,Y323=0),Z323/1,IF(AND(X323=0,Z323=0),Y323/1,IF(AND(Y323=0,Z323=0),X323/1,IF(X323=0,FLOOR((Y323+Z323)/2,0.1),IF(Y323=0,(X323+Z323)/2,IF(Z323=0,(Y323+X323)/2,FLOOR(((X323+Y323+Z323)/3),0.1))))))))</f>
        <v/>
      </c>
      <c r="AB323" s="21" t="n"/>
      <c r="AC323" s="21" t="n"/>
      <c r="AD323" s="27">
        <f>SUM(AB323:AC323)</f>
        <v/>
      </c>
      <c r="AE323" s="28" t="n"/>
      <c r="AF323" s="28" t="n"/>
      <c r="AG323" s="29">
        <f>IF(AND(AD323=0,AE323=0,AF323=0),0,IF(AND(AD323=0,AE323=0),AF323/1,IF(AND(AD323=0,AF323=0),AE323/1,IF(AND(AE323=0,AF323=0),AD323/1,IF(AD323=0,FLOOR((AE323+AF323)/2,0.1),IF(AE323=0,(AD323+AF323)/2,IF(AF323=0,(AE323+AD323)/2,FLOOR(((AD323+AE323+AF323)/3),0.1))))))))</f>
        <v/>
      </c>
      <c r="AH323" s="21" t="n"/>
      <c r="AI323" s="21" t="n"/>
      <c r="AJ323" s="27">
        <f>SUM(AH323:AI323)</f>
        <v/>
      </c>
      <c r="AK323" s="28" t="n"/>
      <c r="AL323" s="28" t="n"/>
      <c r="AM323" s="29">
        <f>IF(AND(AJ323=0,AK323=0,AL323=0),0,IF(AND(AJ323=0,AK323=0),AL323/1,IF(AND(AJ323=0,AL323=0),AK323/1,IF(AND(AK323=0,AL323=0),AJ323/1,IF(AJ323=0,FLOOR((AK323+AL323)/2,0.1),IF(AK323=0,(AJ323+AL323)/2,IF(AL323=0,(AK323+AJ323)/2,FLOOR(((AJ323+AK323+AL323)/3),0.1))))))))</f>
        <v/>
      </c>
      <c r="AN323" s="21" t="n"/>
      <c r="AO323" s="21" t="n"/>
      <c r="AP323" s="27">
        <f>SUM(AN323:AO323)</f>
        <v/>
      </c>
      <c r="AQ323" s="28" t="n"/>
      <c r="AR323" s="30" t="n"/>
      <c r="AS323" s="29">
        <f>IF(AND(AP323=0,AQ323=0,AR323=0),0,IF(AND(AP323=0,AQ323=0),AR323/1,IF(AND(AP323=0,AR323=0),AQ323/1,IF(AND(AQ323=0,AR323=0),AP323/1,IF(AP323=0,FLOOR((AQ323+AR323)/2,0.1),IF(AQ323=0,(AP323+AR323)/2,IF(AR323=0,(AQ323+AP323)/2,FLOOR(((AP323+AQ323+AR323)/3),0.1))))))))</f>
        <v/>
      </c>
      <c r="AT323" s="21" t="n"/>
      <c r="AU323" s="21" t="n"/>
      <c r="AV323" s="27">
        <f>SUM(AT323:AU323)</f>
        <v/>
      </c>
      <c r="AW323" s="28" t="n"/>
      <c r="AX323" s="30" t="n"/>
      <c r="AY323" s="29">
        <f>IF(AND(AV323=0,AW323=0,AX323=0),0,IF(AND(AV323=0,AW323=0),AX323/1,IF(AND(AV323=0,AX323=0),AW323/1,IF(AND(AW323=0,AX323=0),AV323/1,IF(AV323=0,FLOOR((AW323+AX323)/2,0.1),IF(AW323=0,(AV323+AX323)/2,IF(AX323=0,(AW323+AV323)/2,FLOOR(((AV323+AW323+AX323)/3),0.1))))))))</f>
        <v/>
      </c>
      <c r="AZ323" s="21" t="n"/>
      <c r="BA323" s="21" t="n"/>
      <c r="BB323" s="27">
        <f>SUM(AZ323:BA323)</f>
        <v/>
      </c>
      <c r="BC323" s="28" t="n"/>
      <c r="BD323" s="28" t="n"/>
      <c r="BE323" s="29">
        <f>IF(AND(BB323=0,BC323=0,BD323=0),0,IF(AND(BB323=0,BC323=0),BD323/1,IF(AND(BB323=0,BD323=0),BC323/1,IF(AND(BC323=0,BD323=0),BB323/1,IF(BB323=0,FLOOR((BC323+BD323)/2,0.1),IF(BC323=0,(BB323+BD323)/2,IF(BD323=0,(BC323+BB323)/2,FLOOR(((BB323+BC323+BD323)/3),0.1))))))))</f>
        <v/>
      </c>
      <c r="BF323" s="21" t="n"/>
      <c r="BG323" s="21" t="n"/>
      <c r="BH323" s="27">
        <f>SUM(BF323:BG323)</f>
        <v/>
      </c>
      <c r="BI323" s="28" t="n"/>
      <c r="BJ323" s="28" t="n"/>
      <c r="BK323" s="29">
        <f>IF(AND(BH323=0,BI323=0,BJ323=0),0,IF(AND(BH323=0,BI323=0),BJ323/1,IF(AND(BH323=0,BJ323=0),BI323/1,IF(AND(BI323=0,BJ323=0),BH323/1,IF(BH323=0,FLOOR((BI323+BJ323)/2,0.1),IF(BI323=0,(BH323+BJ323)/2,IF(BJ323=0,(BI323+BH323)/2,FLOOR(((BH323+BI323+BJ323)/3),0.1))))))))</f>
        <v/>
      </c>
      <c r="BL323" s="21" t="n"/>
      <c r="BM323" s="21" t="n"/>
      <c r="BN323" s="27">
        <f>SUM(BL323:BM323)</f>
        <v/>
      </c>
      <c r="BO323" s="28" t="n"/>
      <c r="BP323" s="31" t="n"/>
      <c r="BQ323" s="29">
        <f>IF(AND(BN323=0,BO323=0,BP323=0),0,IF(AND(BN323=0,BO323=0),BP323/1,IF(AND(BN323=0,BP323=0),BO323/1,IF(AND(BO323=0,BP323=0),BN323/1,IF(BN323=0,FLOOR((BO323+BP323)/2,0.1),IF(BO323=0,(BN323+BP323)/2,IF(BP323=0,(BO323+BN323)/2,FLOOR(((BN323+BO323+BP323)/3),0.1))))))))</f>
        <v/>
      </c>
      <c r="BR323" s="21" t="n"/>
      <c r="BS323" s="21" t="n"/>
      <c r="BT323" s="27">
        <f>SUM(BR323:BS323)</f>
        <v/>
      </c>
      <c r="BU323" s="28" t="n"/>
      <c r="BV323" s="31" t="n"/>
      <c r="BW323" s="29">
        <f>IF(AND(BT323=0,BU323=0,BV323=0),0,IF(AND(BT323=0,BU323=0),BV323/1,IF(AND(BT323=0,BV323=0),BU323/1,IF(AND(BU323=0,BV323=0),BT323/1,IF(BT323=0,FLOOR((BU323+BV323)/2,0.1),IF(BU323=0,(BT323+BV323)/2,IF(BV323=0,(BU323+BT323)/2,FLOOR(((BT323+BU323+BV323)/3),0.1))))))))</f>
        <v/>
      </c>
      <c r="BX323" s="21" t="n"/>
      <c r="BY323" s="21" t="n"/>
      <c r="BZ323" s="27">
        <f>SUM(BX323:BY323)</f>
        <v/>
      </c>
      <c r="CA323" s="28" t="n"/>
      <c r="CB323" s="31" t="n"/>
      <c r="CC323" s="29">
        <f>IF(AND(BZ323=0,CA323=0,CB323=0),0,IF(AND(BZ323=0,CA323=0),CB323/1,IF(AND(BZ323=0,CB323=0),CA323/1,IF(AND(CA323=0,CB323=0),BZ323/1,IF(BZ323=0,FLOOR((CA323+CB323)/2,0.1),IF(CA323=0,(BZ323+CB323)/2,IF(CB323=0,(CA323+BZ323)/2,FLOOR(((BZ323+CA323+CB323)/3),0.1))))))))</f>
        <v/>
      </c>
      <c r="CD323" s="21" t="n"/>
      <c r="CE323" s="21" t="n"/>
      <c r="CF323" s="27">
        <f>SUM(CD323:CE323)</f>
        <v/>
      </c>
      <c r="CG323" s="28" t="n"/>
      <c r="CH323" s="31" t="n"/>
      <c r="CI323" s="29">
        <f>IF(AND(CF323=0,CG323=0,CH323=0),0,IF(AND(CF323=0,CG323=0),CH323/1,IF(AND(CF323=0,CH323=0),CG323/1,IF(AND(CG323=0,CH323=0),CF323/1,IF(CF323=0,FLOOR((CG323+CH323)/2,0.1),IF(CG323=0,(CF323+CH323)/2,IF(CH323=0,(CG323+CF323)/2,FLOOR(((CF323+CG323+CH323)/3),0.1))))))))</f>
        <v/>
      </c>
      <c r="CJ323" s="21" t="n"/>
      <c r="CK323" s="21" t="n"/>
      <c r="CL323" s="27">
        <f>SUM(CJ323:CK323)</f>
        <v/>
      </c>
      <c r="CM323" s="28" t="n"/>
      <c r="CN323" s="31" t="n"/>
      <c r="CO323" s="29">
        <f>IF(AND(CL323=0,CM323=0,CN323=0),0,IF(AND(CL323=0,CM323=0),CN323/1,IF(AND(CL323=0,CN323=0),CM323/1,IF(AND(CM323=0,CN323=0),CL323/1,IF(CL323=0,FLOOR((CM323+CN323)/2,0.1),IF(CM323=0,(CL323+CN323)/2,IF(CN323=0,(CM323+CL323)/2,FLOOR(((CL323+CM323+CN323)/3),0.1))))))))</f>
        <v/>
      </c>
      <c r="CP323" s="21" t="n"/>
      <c r="CQ323" s="21" t="n"/>
      <c r="CR323" s="27">
        <f>SUM(CP323:CQ323)</f>
        <v/>
      </c>
      <c r="CS323" s="28" t="n"/>
      <c r="CT323" s="31" t="n"/>
      <c r="CU323" s="29">
        <f>IF(AND(CR323=0,CS323=0,CT323=0),0,IF(AND(CR323=0,CS323=0),CT323/1,IF(AND(CR323=0,CT323=0),CS323/1,IF(AND(CS323=0,CT323=0),CR323/1,IF(CR323=0,FLOOR((CS323+CT323)/2,0.1),IF(CS323=0,(CR323+CT323)/2,IF(CT323=0,(CS323+CR323)/2,FLOOR(((CR323+CS323+CT323)/3),0.1))))))))</f>
        <v/>
      </c>
      <c r="CV323" s="21" t="n"/>
      <c r="CW323" s="21" t="n"/>
      <c r="CX323" s="27">
        <f>SUM(CV323:CW323)</f>
        <v/>
      </c>
      <c r="CY323" s="28" t="n"/>
      <c r="CZ323" s="31" t="n"/>
      <c r="DA323" s="29">
        <f>IF(AND(CX323=0,CY323=0,CZ323=0),0,IF(AND(CX323=0,CY323=0),CZ323/1,IF(AND(CX323=0,CZ323=0),CY323/1,IF(AND(CY323=0,CZ323=0),CX323/1,IF(CX323=0,FLOOR((CY323+CZ323)/2,0.1),IF(CY323=0,(CX323+CZ323)/2,IF(CZ323=0,(CY323+CX323)/2,FLOOR(((CX323+CY323+CZ323)/3),0.1))))))))</f>
        <v/>
      </c>
      <c r="DB323" s="21" t="n"/>
      <c r="DC323" s="21" t="n"/>
      <c r="DD323" s="27">
        <f>SUM(DB323:DC323)</f>
        <v/>
      </c>
      <c r="DE323" s="28" t="n"/>
      <c r="DF323" s="31" t="n"/>
      <c r="DG323" s="29">
        <f>IF(AND(DD323=0,DE323=0,DF323=0),0,IF(AND(DD323=0,DE323=0),DF323/1,IF(AND(DD323=0,DF323=0),DE323/1,IF(AND(DE323=0,DF323=0),DD323/1,IF(DD323=0,FLOOR((DE323+DF323)/2,0.1),IF(DE323=0,(DD323+DF323)/2,IF(DF323=0,(DE323+DD323)/2,FLOOR(((DD323+DE323+DF323)/3),0.1))))))))</f>
        <v/>
      </c>
      <c r="DH323" s="34">
        <f>SUM(O323,U323,AA323,AG323,AM323,AS323,AY323,BE323,BK323,BQ323,BW323,CC323,CI323,CO323,CU323,DA323,DG323)</f>
        <v/>
      </c>
      <c r="DI323" s="39">
        <f>RANK(DH323,DH$4:DH$503)</f>
        <v/>
      </c>
      <c r="DJ323" s="40" t="inlineStr">
        <is>
          <t>CHOOSE RATING</t>
        </is>
      </c>
      <c r="DK323" s="40" t="inlineStr">
        <is>
          <t>CHOOSE RATING</t>
        </is>
      </c>
      <c r="DL323" s="40" t="inlineStr">
        <is>
          <t>CHOOSE RATING</t>
        </is>
      </c>
      <c r="DM323" s="40" t="inlineStr">
        <is>
          <t>CHOOSE RATING</t>
        </is>
      </c>
      <c r="DN323" s="40" t="inlineStr">
        <is>
          <t>CHOOSE RATING</t>
        </is>
      </c>
      <c r="DO323" s="40" t="inlineStr">
        <is>
          <t>CHOOSE RATING</t>
        </is>
      </c>
      <c r="DP323" s="40" t="inlineStr">
        <is>
          <t>CHOOSE RATING</t>
        </is>
      </c>
      <c r="DQ323" s="40" t="inlineStr">
        <is>
          <t>CHOOSE RATING</t>
        </is>
      </c>
      <c r="DR323" s="43" t="inlineStr">
        <is>
          <t>2024/2025</t>
        </is>
      </c>
      <c r="DS323" s="45" t="inlineStr">
        <is>
          <t>THIRD</t>
        </is>
      </c>
      <c r="DT323" s="40" t="inlineStr">
        <is>
          <t>CHOOSE RATING</t>
        </is>
      </c>
      <c r="DU323" s="40" t="inlineStr">
        <is>
          <t>CHOOSE RATING</t>
        </is>
      </c>
      <c r="DV323" s="40" t="inlineStr">
        <is>
          <t>CHOOSE RATING</t>
        </is>
      </c>
      <c r="DW323" s="40" t="inlineStr">
        <is>
          <t>CHOOSE RATING</t>
        </is>
      </c>
      <c r="DX323" s="40" t="inlineStr">
        <is>
          <t>CHOOSE RATING</t>
        </is>
      </c>
      <c r="DY323" s="40" t="inlineStr">
        <is>
          <t>CHOOSE RATING</t>
        </is>
      </c>
      <c r="DZ323" s="53" t="inlineStr">
        <is>
          <t>CHOOSE RATING</t>
        </is>
      </c>
      <c r="EA323" s="54" t="inlineStr">
        <is>
          <t>Add the Tutor's Comment . . .</t>
        </is>
      </c>
      <c r="EB323" s="55" t="inlineStr">
        <is>
          <t>Choose Principals comment</t>
        </is>
      </c>
      <c r="EC323" s="56" t="n"/>
      <c r="ED323" s="57" t="inlineStr">
        <is>
          <t>Next Term Begins on Monday, 22nd September, 2025</t>
        </is>
      </c>
    </row>
    <row r="324" ht="30.6" customHeight="1" s="6">
      <c r="A324" s="18" t="n">
        <v>321</v>
      </c>
      <c r="B324" s="19" t="n"/>
      <c r="C324" s="20" t="n"/>
      <c r="D324" s="128" t="n"/>
      <c r="E324" s="21" t="n"/>
      <c r="F324" s="22" t="n"/>
      <c r="G324" s="22" t="n"/>
      <c r="H324" s="22" t="n"/>
      <c r="I324" s="26">
        <f>G324-H324</f>
        <v/>
      </c>
      <c r="J324" s="21" t="n"/>
      <c r="K324" s="21" t="n"/>
      <c r="L324" s="27">
        <f>SUM(J324:K324)</f>
        <v/>
      </c>
      <c r="M324" s="28" t="n"/>
      <c r="N324" s="28" t="n"/>
      <c r="O324" s="29">
        <f>IF(AND(L324=0,M324=0,N324=0),0,IF(AND(L324=0,M324=0),N324/1,IF(AND(L324=0,N324=0),M324/1,IF(AND(M324=0,N324=0),L324/1,IF(L324=0,FLOOR((M324+N324)/2,0.1),IF(M324=0,(L324+N324)/2,IF(N324=0,(M324+L324)/2,FLOOR(((L324+M324+N324)/3),0.1))))))))</f>
        <v/>
      </c>
      <c r="P324" s="21" t="n"/>
      <c r="Q324" s="21" t="n"/>
      <c r="R324" s="27">
        <f>SUM(P324:Q324)</f>
        <v/>
      </c>
      <c r="S324" s="28" t="n"/>
      <c r="T324" s="28" t="n"/>
      <c r="U324" s="29">
        <f>IF(AND(R324=0,S324=0,T324=0),0,IF(AND(R324=0,S324=0),T324/1,IF(AND(R324=0,T324=0),S324/1,IF(AND(S324=0,T324=0),R324/1,IF(R324=0,FLOOR((S324+T324)/2,0.1),IF(S324=0,(R324+T324)/2,IF(T324=0,(S324+R324)/2,FLOOR(((R324+S324+T324)/3),0.1))))))))</f>
        <v/>
      </c>
      <c r="V324" s="21" t="n"/>
      <c r="W324" s="21" t="n"/>
      <c r="X324" s="27">
        <f>SUM(V324:W324)</f>
        <v/>
      </c>
      <c r="Y324" s="28" t="n"/>
      <c r="Z324" s="28" t="n"/>
      <c r="AA324" s="29">
        <f>IF(AND(X324=0,Y324=0,Z324=0),0,IF(AND(X324=0,Y324=0),Z324/1,IF(AND(X324=0,Z324=0),Y324/1,IF(AND(Y324=0,Z324=0),X324/1,IF(X324=0,FLOOR((Y324+Z324)/2,0.1),IF(Y324=0,(X324+Z324)/2,IF(Z324=0,(Y324+X324)/2,FLOOR(((X324+Y324+Z324)/3),0.1))))))))</f>
        <v/>
      </c>
      <c r="AB324" s="21" t="n"/>
      <c r="AC324" s="21" t="n"/>
      <c r="AD324" s="27">
        <f>SUM(AB324:AC324)</f>
        <v/>
      </c>
      <c r="AE324" s="28" t="n"/>
      <c r="AF324" s="28" t="n"/>
      <c r="AG324" s="29">
        <f>IF(AND(AD324=0,AE324=0,AF324=0),0,IF(AND(AD324=0,AE324=0),AF324/1,IF(AND(AD324=0,AF324=0),AE324/1,IF(AND(AE324=0,AF324=0),AD324/1,IF(AD324=0,FLOOR((AE324+AF324)/2,0.1),IF(AE324=0,(AD324+AF324)/2,IF(AF324=0,(AE324+AD324)/2,FLOOR(((AD324+AE324+AF324)/3),0.1))))))))</f>
        <v/>
      </c>
      <c r="AH324" s="21" t="n"/>
      <c r="AI324" s="21" t="n"/>
      <c r="AJ324" s="27">
        <f>SUM(AH324:AI324)</f>
        <v/>
      </c>
      <c r="AK324" s="28" t="n"/>
      <c r="AL324" s="28" t="n"/>
      <c r="AM324" s="29">
        <f>IF(AND(AJ324=0,AK324=0,AL324=0),0,IF(AND(AJ324=0,AK324=0),AL324/1,IF(AND(AJ324=0,AL324=0),AK324/1,IF(AND(AK324=0,AL324=0),AJ324/1,IF(AJ324=0,FLOOR((AK324+AL324)/2,0.1),IF(AK324=0,(AJ324+AL324)/2,IF(AL324=0,(AK324+AJ324)/2,FLOOR(((AJ324+AK324+AL324)/3),0.1))))))))</f>
        <v/>
      </c>
      <c r="AN324" s="21" t="n"/>
      <c r="AO324" s="21" t="n"/>
      <c r="AP324" s="27">
        <f>SUM(AN324:AO324)</f>
        <v/>
      </c>
      <c r="AQ324" s="28" t="n"/>
      <c r="AR324" s="30" t="n"/>
      <c r="AS324" s="29">
        <f>IF(AND(AP324=0,AQ324=0,AR324=0),0,IF(AND(AP324=0,AQ324=0),AR324/1,IF(AND(AP324=0,AR324=0),AQ324/1,IF(AND(AQ324=0,AR324=0),AP324/1,IF(AP324=0,FLOOR((AQ324+AR324)/2,0.1),IF(AQ324=0,(AP324+AR324)/2,IF(AR324=0,(AQ324+AP324)/2,FLOOR(((AP324+AQ324+AR324)/3),0.1))))))))</f>
        <v/>
      </c>
      <c r="AT324" s="21" t="n"/>
      <c r="AU324" s="21" t="n"/>
      <c r="AV324" s="27">
        <f>SUM(AT324:AU324)</f>
        <v/>
      </c>
      <c r="AW324" s="28" t="n"/>
      <c r="AX324" s="30" t="n"/>
      <c r="AY324" s="29">
        <f>IF(AND(AV324=0,AW324=0,AX324=0),0,IF(AND(AV324=0,AW324=0),AX324/1,IF(AND(AV324=0,AX324=0),AW324/1,IF(AND(AW324=0,AX324=0),AV324/1,IF(AV324=0,FLOOR((AW324+AX324)/2,0.1),IF(AW324=0,(AV324+AX324)/2,IF(AX324=0,(AW324+AV324)/2,FLOOR(((AV324+AW324+AX324)/3),0.1))))))))</f>
        <v/>
      </c>
      <c r="AZ324" s="21" t="n"/>
      <c r="BA324" s="21" t="n"/>
      <c r="BB324" s="27">
        <f>SUM(AZ324:BA324)</f>
        <v/>
      </c>
      <c r="BC324" s="28" t="n"/>
      <c r="BD324" s="28" t="n"/>
      <c r="BE324" s="29">
        <f>IF(AND(BB324=0,BC324=0,BD324=0),0,IF(AND(BB324=0,BC324=0),BD324/1,IF(AND(BB324=0,BD324=0),BC324/1,IF(AND(BC324=0,BD324=0),BB324/1,IF(BB324=0,FLOOR((BC324+BD324)/2,0.1),IF(BC324=0,(BB324+BD324)/2,IF(BD324=0,(BC324+BB324)/2,FLOOR(((BB324+BC324+BD324)/3),0.1))))))))</f>
        <v/>
      </c>
      <c r="BF324" s="21" t="n"/>
      <c r="BG324" s="21" t="n"/>
      <c r="BH324" s="27">
        <f>SUM(BF324:BG324)</f>
        <v/>
      </c>
      <c r="BI324" s="28" t="n"/>
      <c r="BJ324" s="28" t="n"/>
      <c r="BK324" s="29">
        <f>IF(AND(BH324=0,BI324=0,BJ324=0),0,IF(AND(BH324=0,BI324=0),BJ324/1,IF(AND(BH324=0,BJ324=0),BI324/1,IF(AND(BI324=0,BJ324=0),BH324/1,IF(BH324=0,FLOOR((BI324+BJ324)/2,0.1),IF(BI324=0,(BH324+BJ324)/2,IF(BJ324=0,(BI324+BH324)/2,FLOOR(((BH324+BI324+BJ324)/3),0.1))))))))</f>
        <v/>
      </c>
      <c r="BL324" s="21" t="n"/>
      <c r="BM324" s="21" t="n"/>
      <c r="BN324" s="27">
        <f>SUM(BL324:BM324)</f>
        <v/>
      </c>
      <c r="BO324" s="28" t="n"/>
      <c r="BP324" s="31" t="n"/>
      <c r="BQ324" s="29">
        <f>IF(AND(BN324=0,BO324=0,BP324=0),0,IF(AND(BN324=0,BO324=0),BP324/1,IF(AND(BN324=0,BP324=0),BO324/1,IF(AND(BO324=0,BP324=0),BN324/1,IF(BN324=0,FLOOR((BO324+BP324)/2,0.1),IF(BO324=0,(BN324+BP324)/2,IF(BP324=0,(BO324+BN324)/2,FLOOR(((BN324+BO324+BP324)/3),0.1))))))))</f>
        <v/>
      </c>
      <c r="BR324" s="21" t="n"/>
      <c r="BS324" s="21" t="n"/>
      <c r="BT324" s="27">
        <f>SUM(BR324:BS324)</f>
        <v/>
      </c>
      <c r="BU324" s="28" t="n"/>
      <c r="BV324" s="31" t="n"/>
      <c r="BW324" s="29">
        <f>IF(AND(BT324=0,BU324=0,BV324=0),0,IF(AND(BT324=0,BU324=0),BV324/1,IF(AND(BT324=0,BV324=0),BU324/1,IF(AND(BU324=0,BV324=0),BT324/1,IF(BT324=0,FLOOR((BU324+BV324)/2,0.1),IF(BU324=0,(BT324+BV324)/2,IF(BV324=0,(BU324+BT324)/2,FLOOR(((BT324+BU324+BV324)/3),0.1))))))))</f>
        <v/>
      </c>
      <c r="BX324" s="21" t="n"/>
      <c r="BY324" s="21" t="n"/>
      <c r="BZ324" s="27">
        <f>SUM(BX324:BY324)</f>
        <v/>
      </c>
      <c r="CA324" s="28" t="n"/>
      <c r="CB324" s="31" t="n"/>
      <c r="CC324" s="29">
        <f>IF(AND(BZ324=0,CA324=0,CB324=0),0,IF(AND(BZ324=0,CA324=0),CB324/1,IF(AND(BZ324=0,CB324=0),CA324/1,IF(AND(CA324=0,CB324=0),BZ324/1,IF(BZ324=0,FLOOR((CA324+CB324)/2,0.1),IF(CA324=0,(BZ324+CB324)/2,IF(CB324=0,(CA324+BZ324)/2,FLOOR(((BZ324+CA324+CB324)/3),0.1))))))))</f>
        <v/>
      </c>
      <c r="CD324" s="21" t="n"/>
      <c r="CE324" s="21" t="n"/>
      <c r="CF324" s="27">
        <f>SUM(CD324:CE324)</f>
        <v/>
      </c>
      <c r="CG324" s="28" t="n"/>
      <c r="CH324" s="31" t="n"/>
      <c r="CI324" s="29">
        <f>IF(AND(CF324=0,CG324=0,CH324=0),0,IF(AND(CF324=0,CG324=0),CH324/1,IF(AND(CF324=0,CH324=0),CG324/1,IF(AND(CG324=0,CH324=0),CF324/1,IF(CF324=0,FLOOR((CG324+CH324)/2,0.1),IF(CG324=0,(CF324+CH324)/2,IF(CH324=0,(CG324+CF324)/2,FLOOR(((CF324+CG324+CH324)/3),0.1))))))))</f>
        <v/>
      </c>
      <c r="CJ324" s="21" t="n"/>
      <c r="CK324" s="21" t="n"/>
      <c r="CL324" s="27">
        <f>SUM(CJ324:CK324)</f>
        <v/>
      </c>
      <c r="CM324" s="28" t="n"/>
      <c r="CN324" s="31" t="n"/>
      <c r="CO324" s="29">
        <f>IF(AND(CL324=0,CM324=0,CN324=0),0,IF(AND(CL324=0,CM324=0),CN324/1,IF(AND(CL324=0,CN324=0),CM324/1,IF(AND(CM324=0,CN324=0),CL324/1,IF(CL324=0,FLOOR((CM324+CN324)/2,0.1),IF(CM324=0,(CL324+CN324)/2,IF(CN324=0,(CM324+CL324)/2,FLOOR(((CL324+CM324+CN324)/3),0.1))))))))</f>
        <v/>
      </c>
      <c r="CP324" s="21" t="n"/>
      <c r="CQ324" s="21" t="n"/>
      <c r="CR324" s="27">
        <f>SUM(CP324:CQ324)</f>
        <v/>
      </c>
      <c r="CS324" s="28" t="n"/>
      <c r="CT324" s="31" t="n"/>
      <c r="CU324" s="29">
        <f>IF(AND(CR324=0,CS324=0,CT324=0),0,IF(AND(CR324=0,CS324=0),CT324/1,IF(AND(CR324=0,CT324=0),CS324/1,IF(AND(CS324=0,CT324=0),CR324/1,IF(CR324=0,FLOOR((CS324+CT324)/2,0.1),IF(CS324=0,(CR324+CT324)/2,IF(CT324=0,(CS324+CR324)/2,FLOOR(((CR324+CS324+CT324)/3),0.1))))))))</f>
        <v/>
      </c>
      <c r="CV324" s="21" t="n"/>
      <c r="CW324" s="21" t="n"/>
      <c r="CX324" s="27">
        <f>SUM(CV324:CW324)</f>
        <v/>
      </c>
      <c r="CY324" s="28" t="n"/>
      <c r="CZ324" s="31" t="n"/>
      <c r="DA324" s="29">
        <f>IF(AND(CX324=0,CY324=0,CZ324=0),0,IF(AND(CX324=0,CY324=0),CZ324/1,IF(AND(CX324=0,CZ324=0),CY324/1,IF(AND(CY324=0,CZ324=0),CX324/1,IF(CX324=0,FLOOR((CY324+CZ324)/2,0.1),IF(CY324=0,(CX324+CZ324)/2,IF(CZ324=0,(CY324+CX324)/2,FLOOR(((CX324+CY324+CZ324)/3),0.1))))))))</f>
        <v/>
      </c>
      <c r="DB324" s="21" t="n"/>
      <c r="DC324" s="21" t="n"/>
      <c r="DD324" s="27">
        <f>SUM(DB324:DC324)</f>
        <v/>
      </c>
      <c r="DE324" s="28" t="n"/>
      <c r="DF324" s="31" t="n"/>
      <c r="DG324" s="29">
        <f>IF(AND(DD324=0,DE324=0,DF324=0),0,IF(AND(DD324=0,DE324=0),DF324/1,IF(AND(DD324=0,DF324=0),DE324/1,IF(AND(DE324=0,DF324=0),DD324/1,IF(DD324=0,FLOOR((DE324+DF324)/2,0.1),IF(DE324=0,(DD324+DF324)/2,IF(DF324=0,(DE324+DD324)/2,FLOOR(((DD324+DE324+DF324)/3),0.1))))))))</f>
        <v/>
      </c>
      <c r="DH324" s="34">
        <f>SUM(O324,U324,AA324,AG324,AM324,AS324,AY324,BE324,BK324,BQ324,BW324,CC324,CI324,CO324,CU324,DA324,DG324)</f>
        <v/>
      </c>
      <c r="DI324" s="39">
        <f>RANK(DH324,DH$4:DH$503)</f>
        <v/>
      </c>
      <c r="DJ324" s="40" t="inlineStr">
        <is>
          <t>CHOOSE RATING</t>
        </is>
      </c>
      <c r="DK324" s="40" t="inlineStr">
        <is>
          <t>CHOOSE RATING</t>
        </is>
      </c>
      <c r="DL324" s="40" t="inlineStr">
        <is>
          <t>CHOOSE RATING</t>
        </is>
      </c>
      <c r="DM324" s="40" t="inlineStr">
        <is>
          <t>CHOOSE RATING</t>
        </is>
      </c>
      <c r="DN324" s="40" t="inlineStr">
        <is>
          <t>CHOOSE RATING</t>
        </is>
      </c>
      <c r="DO324" s="40" t="inlineStr">
        <is>
          <t>CHOOSE RATING</t>
        </is>
      </c>
      <c r="DP324" s="40" t="inlineStr">
        <is>
          <t>CHOOSE RATING</t>
        </is>
      </c>
      <c r="DQ324" s="40" t="inlineStr">
        <is>
          <t>CHOOSE RATING</t>
        </is>
      </c>
      <c r="DR324" s="43" t="inlineStr">
        <is>
          <t>2024/2025</t>
        </is>
      </c>
      <c r="DS324" s="45" t="inlineStr">
        <is>
          <t>THIRD</t>
        </is>
      </c>
      <c r="DT324" s="40" t="inlineStr">
        <is>
          <t>CHOOSE RATING</t>
        </is>
      </c>
      <c r="DU324" s="40" t="inlineStr">
        <is>
          <t>CHOOSE RATING</t>
        </is>
      </c>
      <c r="DV324" s="40" t="inlineStr">
        <is>
          <t>CHOOSE RATING</t>
        </is>
      </c>
      <c r="DW324" s="40" t="inlineStr">
        <is>
          <t>CHOOSE RATING</t>
        </is>
      </c>
      <c r="DX324" s="40" t="inlineStr">
        <is>
          <t>CHOOSE RATING</t>
        </is>
      </c>
      <c r="DY324" s="40" t="inlineStr">
        <is>
          <t>CHOOSE RATING</t>
        </is>
      </c>
      <c r="DZ324" s="53" t="inlineStr">
        <is>
          <t>CHOOSE RATING</t>
        </is>
      </c>
      <c r="EA324" s="54" t="inlineStr">
        <is>
          <t>Add the Tutor's Comment . . .</t>
        </is>
      </c>
      <c r="EB324" s="55" t="inlineStr">
        <is>
          <t>Choose Principals comment</t>
        </is>
      </c>
      <c r="EC324" s="56" t="n"/>
      <c r="ED324" s="57" t="inlineStr">
        <is>
          <t>Next Term Begins on Monday, 22nd September, 2025</t>
        </is>
      </c>
    </row>
    <row r="325" ht="30.6" customHeight="1" s="6">
      <c r="A325" s="18" t="n">
        <v>322</v>
      </c>
      <c r="B325" s="19" t="n"/>
      <c r="C325" s="20" t="n"/>
      <c r="D325" s="128" t="n"/>
      <c r="E325" s="21" t="n"/>
      <c r="F325" s="22" t="n"/>
      <c r="G325" s="22" t="n"/>
      <c r="H325" s="22" t="n"/>
      <c r="I325" s="26">
        <f>G325-H325</f>
        <v/>
      </c>
      <c r="J325" s="21" t="n"/>
      <c r="K325" s="21" t="n"/>
      <c r="L325" s="27">
        <f>SUM(J325:K325)</f>
        <v/>
      </c>
      <c r="M325" s="28" t="n"/>
      <c r="N325" s="28" t="n"/>
      <c r="O325" s="29">
        <f>IF(AND(L325=0,M325=0,N325=0),0,IF(AND(L325=0,M325=0),N325/1,IF(AND(L325=0,N325=0),M325/1,IF(AND(M325=0,N325=0),L325/1,IF(L325=0,FLOOR((M325+N325)/2,0.1),IF(M325=0,(L325+N325)/2,IF(N325=0,(M325+L325)/2,FLOOR(((L325+M325+N325)/3),0.1))))))))</f>
        <v/>
      </c>
      <c r="P325" s="21" t="n"/>
      <c r="Q325" s="21" t="n"/>
      <c r="R325" s="27">
        <f>SUM(P325:Q325)</f>
        <v/>
      </c>
      <c r="S325" s="28" t="n"/>
      <c r="T325" s="28" t="n"/>
      <c r="U325" s="29">
        <f>IF(AND(R325=0,S325=0,T325=0),0,IF(AND(R325=0,S325=0),T325/1,IF(AND(R325=0,T325=0),S325/1,IF(AND(S325=0,T325=0),R325/1,IF(R325=0,FLOOR((S325+T325)/2,0.1),IF(S325=0,(R325+T325)/2,IF(T325=0,(S325+R325)/2,FLOOR(((R325+S325+T325)/3),0.1))))))))</f>
        <v/>
      </c>
      <c r="V325" s="21" t="n"/>
      <c r="W325" s="21" t="n"/>
      <c r="X325" s="27">
        <f>SUM(V325:W325)</f>
        <v/>
      </c>
      <c r="Y325" s="28" t="n"/>
      <c r="Z325" s="28" t="n"/>
      <c r="AA325" s="29">
        <f>IF(AND(X325=0,Y325=0,Z325=0),0,IF(AND(X325=0,Y325=0),Z325/1,IF(AND(X325=0,Z325=0),Y325/1,IF(AND(Y325=0,Z325=0),X325/1,IF(X325=0,FLOOR((Y325+Z325)/2,0.1),IF(Y325=0,(X325+Z325)/2,IF(Z325=0,(Y325+X325)/2,FLOOR(((X325+Y325+Z325)/3),0.1))))))))</f>
        <v/>
      </c>
      <c r="AB325" s="21" t="n"/>
      <c r="AC325" s="21" t="n"/>
      <c r="AD325" s="27">
        <f>SUM(AB325:AC325)</f>
        <v/>
      </c>
      <c r="AE325" s="28" t="n"/>
      <c r="AF325" s="28" t="n"/>
      <c r="AG325" s="29">
        <f>IF(AND(AD325=0,AE325=0,AF325=0),0,IF(AND(AD325=0,AE325=0),AF325/1,IF(AND(AD325=0,AF325=0),AE325/1,IF(AND(AE325=0,AF325=0),AD325/1,IF(AD325=0,FLOOR((AE325+AF325)/2,0.1),IF(AE325=0,(AD325+AF325)/2,IF(AF325=0,(AE325+AD325)/2,FLOOR(((AD325+AE325+AF325)/3),0.1))))))))</f>
        <v/>
      </c>
      <c r="AH325" s="21" t="n"/>
      <c r="AI325" s="21" t="n"/>
      <c r="AJ325" s="27">
        <f>SUM(AH325:AI325)</f>
        <v/>
      </c>
      <c r="AK325" s="28" t="n"/>
      <c r="AL325" s="28" t="n"/>
      <c r="AM325" s="29">
        <f>IF(AND(AJ325=0,AK325=0,AL325=0),0,IF(AND(AJ325=0,AK325=0),AL325/1,IF(AND(AJ325=0,AL325=0),AK325/1,IF(AND(AK325=0,AL325=0),AJ325/1,IF(AJ325=0,FLOOR((AK325+AL325)/2,0.1),IF(AK325=0,(AJ325+AL325)/2,IF(AL325=0,(AK325+AJ325)/2,FLOOR(((AJ325+AK325+AL325)/3),0.1))))))))</f>
        <v/>
      </c>
      <c r="AN325" s="21" t="n"/>
      <c r="AO325" s="21" t="n"/>
      <c r="AP325" s="27">
        <f>SUM(AN325:AO325)</f>
        <v/>
      </c>
      <c r="AQ325" s="28" t="n"/>
      <c r="AR325" s="30" t="n"/>
      <c r="AS325" s="29">
        <f>IF(AND(AP325=0,AQ325=0,AR325=0),0,IF(AND(AP325=0,AQ325=0),AR325/1,IF(AND(AP325=0,AR325=0),AQ325/1,IF(AND(AQ325=0,AR325=0),AP325/1,IF(AP325=0,FLOOR((AQ325+AR325)/2,0.1),IF(AQ325=0,(AP325+AR325)/2,IF(AR325=0,(AQ325+AP325)/2,FLOOR(((AP325+AQ325+AR325)/3),0.1))))))))</f>
        <v/>
      </c>
      <c r="AT325" s="21" t="n"/>
      <c r="AU325" s="21" t="n"/>
      <c r="AV325" s="27">
        <f>SUM(AT325:AU325)</f>
        <v/>
      </c>
      <c r="AW325" s="28" t="n"/>
      <c r="AX325" s="30" t="n"/>
      <c r="AY325" s="29">
        <f>IF(AND(AV325=0,AW325=0,AX325=0),0,IF(AND(AV325=0,AW325=0),AX325/1,IF(AND(AV325=0,AX325=0),AW325/1,IF(AND(AW325=0,AX325=0),AV325/1,IF(AV325=0,FLOOR((AW325+AX325)/2,0.1),IF(AW325=0,(AV325+AX325)/2,IF(AX325=0,(AW325+AV325)/2,FLOOR(((AV325+AW325+AX325)/3),0.1))))))))</f>
        <v/>
      </c>
      <c r="AZ325" s="21" t="n"/>
      <c r="BA325" s="21" t="n"/>
      <c r="BB325" s="27">
        <f>SUM(AZ325:BA325)</f>
        <v/>
      </c>
      <c r="BC325" s="28" t="n"/>
      <c r="BD325" s="28" t="n"/>
      <c r="BE325" s="29">
        <f>IF(AND(BB325=0,BC325=0,BD325=0),0,IF(AND(BB325=0,BC325=0),BD325/1,IF(AND(BB325=0,BD325=0),BC325/1,IF(AND(BC325=0,BD325=0),BB325/1,IF(BB325=0,FLOOR((BC325+BD325)/2,0.1),IF(BC325=0,(BB325+BD325)/2,IF(BD325=0,(BC325+BB325)/2,FLOOR(((BB325+BC325+BD325)/3),0.1))))))))</f>
        <v/>
      </c>
      <c r="BF325" s="21" t="n"/>
      <c r="BG325" s="21" t="n"/>
      <c r="BH325" s="27">
        <f>SUM(BF325:BG325)</f>
        <v/>
      </c>
      <c r="BI325" s="28" t="n"/>
      <c r="BJ325" s="28" t="n"/>
      <c r="BK325" s="29">
        <f>IF(AND(BH325=0,BI325=0,BJ325=0),0,IF(AND(BH325=0,BI325=0),BJ325/1,IF(AND(BH325=0,BJ325=0),BI325/1,IF(AND(BI325=0,BJ325=0),BH325/1,IF(BH325=0,FLOOR((BI325+BJ325)/2,0.1),IF(BI325=0,(BH325+BJ325)/2,IF(BJ325=0,(BI325+BH325)/2,FLOOR(((BH325+BI325+BJ325)/3),0.1))))))))</f>
        <v/>
      </c>
      <c r="BL325" s="21" t="n"/>
      <c r="BM325" s="21" t="n"/>
      <c r="BN325" s="27">
        <f>SUM(BL325:BM325)</f>
        <v/>
      </c>
      <c r="BO325" s="28" t="n"/>
      <c r="BP325" s="31" t="n"/>
      <c r="BQ325" s="29">
        <f>IF(AND(BN325=0,BO325=0,BP325=0),0,IF(AND(BN325=0,BO325=0),BP325/1,IF(AND(BN325=0,BP325=0),BO325/1,IF(AND(BO325=0,BP325=0),BN325/1,IF(BN325=0,FLOOR((BO325+BP325)/2,0.1),IF(BO325=0,(BN325+BP325)/2,IF(BP325=0,(BO325+BN325)/2,FLOOR(((BN325+BO325+BP325)/3),0.1))))))))</f>
        <v/>
      </c>
      <c r="BR325" s="21" t="n"/>
      <c r="BS325" s="21" t="n"/>
      <c r="BT325" s="27">
        <f>SUM(BR325:BS325)</f>
        <v/>
      </c>
      <c r="BU325" s="28" t="n"/>
      <c r="BV325" s="31" t="n"/>
      <c r="BW325" s="29">
        <f>IF(AND(BT325=0,BU325=0,BV325=0),0,IF(AND(BT325=0,BU325=0),BV325/1,IF(AND(BT325=0,BV325=0),BU325/1,IF(AND(BU325=0,BV325=0),BT325/1,IF(BT325=0,FLOOR((BU325+BV325)/2,0.1),IF(BU325=0,(BT325+BV325)/2,IF(BV325=0,(BU325+BT325)/2,FLOOR(((BT325+BU325+BV325)/3),0.1))))))))</f>
        <v/>
      </c>
      <c r="BX325" s="21" t="n"/>
      <c r="BY325" s="21" t="n"/>
      <c r="BZ325" s="27">
        <f>SUM(BX325:BY325)</f>
        <v/>
      </c>
      <c r="CA325" s="28" t="n"/>
      <c r="CB325" s="31" t="n"/>
      <c r="CC325" s="29">
        <f>IF(AND(BZ325=0,CA325=0,CB325=0),0,IF(AND(BZ325=0,CA325=0),CB325/1,IF(AND(BZ325=0,CB325=0),CA325/1,IF(AND(CA325=0,CB325=0),BZ325/1,IF(BZ325=0,FLOOR((CA325+CB325)/2,0.1),IF(CA325=0,(BZ325+CB325)/2,IF(CB325=0,(CA325+BZ325)/2,FLOOR(((BZ325+CA325+CB325)/3),0.1))))))))</f>
        <v/>
      </c>
      <c r="CD325" s="21" t="n"/>
      <c r="CE325" s="21" t="n"/>
      <c r="CF325" s="27">
        <f>SUM(CD325:CE325)</f>
        <v/>
      </c>
      <c r="CG325" s="28" t="n"/>
      <c r="CH325" s="31" t="n"/>
      <c r="CI325" s="29">
        <f>IF(AND(CF325=0,CG325=0,CH325=0),0,IF(AND(CF325=0,CG325=0),CH325/1,IF(AND(CF325=0,CH325=0),CG325/1,IF(AND(CG325=0,CH325=0),CF325/1,IF(CF325=0,FLOOR((CG325+CH325)/2,0.1),IF(CG325=0,(CF325+CH325)/2,IF(CH325=0,(CG325+CF325)/2,FLOOR(((CF325+CG325+CH325)/3),0.1))))))))</f>
        <v/>
      </c>
      <c r="CJ325" s="21" t="n"/>
      <c r="CK325" s="21" t="n"/>
      <c r="CL325" s="27">
        <f>SUM(CJ325:CK325)</f>
        <v/>
      </c>
      <c r="CM325" s="28" t="n"/>
      <c r="CN325" s="31" t="n"/>
      <c r="CO325" s="29">
        <f>IF(AND(CL325=0,CM325=0,CN325=0),0,IF(AND(CL325=0,CM325=0),CN325/1,IF(AND(CL325=0,CN325=0),CM325/1,IF(AND(CM325=0,CN325=0),CL325/1,IF(CL325=0,FLOOR((CM325+CN325)/2,0.1),IF(CM325=0,(CL325+CN325)/2,IF(CN325=0,(CM325+CL325)/2,FLOOR(((CL325+CM325+CN325)/3),0.1))))))))</f>
        <v/>
      </c>
      <c r="CP325" s="21" t="n"/>
      <c r="CQ325" s="21" t="n"/>
      <c r="CR325" s="27">
        <f>SUM(CP325:CQ325)</f>
        <v/>
      </c>
      <c r="CS325" s="28" t="n"/>
      <c r="CT325" s="31" t="n"/>
      <c r="CU325" s="29">
        <f>IF(AND(CR325=0,CS325=0,CT325=0),0,IF(AND(CR325=0,CS325=0),CT325/1,IF(AND(CR325=0,CT325=0),CS325/1,IF(AND(CS325=0,CT325=0),CR325/1,IF(CR325=0,FLOOR((CS325+CT325)/2,0.1),IF(CS325=0,(CR325+CT325)/2,IF(CT325=0,(CS325+CR325)/2,FLOOR(((CR325+CS325+CT325)/3),0.1))))))))</f>
        <v/>
      </c>
      <c r="CV325" s="21" t="n"/>
      <c r="CW325" s="21" t="n"/>
      <c r="CX325" s="27">
        <f>SUM(CV325:CW325)</f>
        <v/>
      </c>
      <c r="CY325" s="28" t="n"/>
      <c r="CZ325" s="31" t="n"/>
      <c r="DA325" s="29">
        <f>IF(AND(CX325=0,CY325=0,CZ325=0),0,IF(AND(CX325=0,CY325=0),CZ325/1,IF(AND(CX325=0,CZ325=0),CY325/1,IF(AND(CY325=0,CZ325=0),CX325/1,IF(CX325=0,FLOOR((CY325+CZ325)/2,0.1),IF(CY325=0,(CX325+CZ325)/2,IF(CZ325=0,(CY325+CX325)/2,FLOOR(((CX325+CY325+CZ325)/3),0.1))))))))</f>
        <v/>
      </c>
      <c r="DB325" s="21" t="n"/>
      <c r="DC325" s="21" t="n"/>
      <c r="DD325" s="27">
        <f>SUM(DB325:DC325)</f>
        <v/>
      </c>
      <c r="DE325" s="28" t="n"/>
      <c r="DF325" s="31" t="n"/>
      <c r="DG325" s="29">
        <f>IF(AND(DD325=0,DE325=0,DF325=0),0,IF(AND(DD325=0,DE325=0),DF325/1,IF(AND(DD325=0,DF325=0),DE325/1,IF(AND(DE325=0,DF325=0),DD325/1,IF(DD325=0,FLOOR((DE325+DF325)/2,0.1),IF(DE325=0,(DD325+DF325)/2,IF(DF325=0,(DE325+DD325)/2,FLOOR(((DD325+DE325+DF325)/3),0.1))))))))</f>
        <v/>
      </c>
      <c r="DH325" s="34">
        <f>SUM(O325,U325,AA325,AG325,AM325,AS325,AY325,BE325,BK325,BQ325,BW325,CC325,CI325,CO325,CU325,DA325,DG325)</f>
        <v/>
      </c>
      <c r="DI325" s="39">
        <f>RANK(DH325,DH$4:DH$503)</f>
        <v/>
      </c>
      <c r="DJ325" s="40" t="inlineStr">
        <is>
          <t>CHOOSE RATING</t>
        </is>
      </c>
      <c r="DK325" s="40" t="inlineStr">
        <is>
          <t>CHOOSE RATING</t>
        </is>
      </c>
      <c r="DL325" s="40" t="inlineStr">
        <is>
          <t>CHOOSE RATING</t>
        </is>
      </c>
      <c r="DM325" s="40" t="inlineStr">
        <is>
          <t>CHOOSE RATING</t>
        </is>
      </c>
      <c r="DN325" s="40" t="inlineStr">
        <is>
          <t>CHOOSE RATING</t>
        </is>
      </c>
      <c r="DO325" s="40" t="inlineStr">
        <is>
          <t>CHOOSE RATING</t>
        </is>
      </c>
      <c r="DP325" s="40" t="inlineStr">
        <is>
          <t>CHOOSE RATING</t>
        </is>
      </c>
      <c r="DQ325" s="40" t="inlineStr">
        <is>
          <t>CHOOSE RATING</t>
        </is>
      </c>
      <c r="DR325" s="43" t="inlineStr">
        <is>
          <t>2024/2025</t>
        </is>
      </c>
      <c r="DS325" s="45" t="inlineStr">
        <is>
          <t>THIRD</t>
        </is>
      </c>
      <c r="DT325" s="40" t="inlineStr">
        <is>
          <t>CHOOSE RATING</t>
        </is>
      </c>
      <c r="DU325" s="40" t="inlineStr">
        <is>
          <t>CHOOSE RATING</t>
        </is>
      </c>
      <c r="DV325" s="40" t="inlineStr">
        <is>
          <t>CHOOSE RATING</t>
        </is>
      </c>
      <c r="DW325" s="40" t="inlineStr">
        <is>
          <t>CHOOSE RATING</t>
        </is>
      </c>
      <c r="DX325" s="40" t="inlineStr">
        <is>
          <t>CHOOSE RATING</t>
        </is>
      </c>
      <c r="DY325" s="40" t="inlineStr">
        <is>
          <t>CHOOSE RATING</t>
        </is>
      </c>
      <c r="DZ325" s="53" t="inlineStr">
        <is>
          <t>CHOOSE RATING</t>
        </is>
      </c>
      <c r="EA325" s="54" t="inlineStr">
        <is>
          <t>Add the Tutor's Comment . . .</t>
        </is>
      </c>
      <c r="EB325" s="55" t="inlineStr">
        <is>
          <t>Choose Principals comment</t>
        </is>
      </c>
      <c r="EC325" s="56" t="n"/>
      <c r="ED325" s="57" t="inlineStr">
        <is>
          <t>Next Term Begins on Monday, 22nd September, 2025</t>
        </is>
      </c>
    </row>
    <row r="326" ht="30.6" customHeight="1" s="6">
      <c r="A326" s="18" t="n">
        <v>323</v>
      </c>
      <c r="B326" s="19" t="n"/>
      <c r="C326" s="20" t="n"/>
      <c r="D326" s="128" t="n"/>
      <c r="E326" s="21" t="n"/>
      <c r="F326" s="22" t="n"/>
      <c r="G326" s="22" t="n"/>
      <c r="H326" s="22" t="n"/>
      <c r="I326" s="26">
        <f>G326-H326</f>
        <v/>
      </c>
      <c r="J326" s="21" t="n"/>
      <c r="K326" s="21" t="n"/>
      <c r="L326" s="27">
        <f>SUM(J326:K326)</f>
        <v/>
      </c>
      <c r="M326" s="28" t="n"/>
      <c r="N326" s="28" t="n"/>
      <c r="O326" s="29">
        <f>IF(AND(L326=0,M326=0,N326=0),0,IF(AND(L326=0,M326=0),N326/1,IF(AND(L326=0,N326=0),M326/1,IF(AND(M326=0,N326=0),L326/1,IF(L326=0,FLOOR((M326+N326)/2,0.1),IF(M326=0,(L326+N326)/2,IF(N326=0,(M326+L326)/2,FLOOR(((L326+M326+N326)/3),0.1))))))))</f>
        <v/>
      </c>
      <c r="P326" s="21" t="n"/>
      <c r="Q326" s="21" t="n"/>
      <c r="R326" s="27">
        <f>SUM(P326:Q326)</f>
        <v/>
      </c>
      <c r="S326" s="28" t="n"/>
      <c r="T326" s="28" t="n"/>
      <c r="U326" s="29">
        <f>IF(AND(R326=0,S326=0,T326=0),0,IF(AND(R326=0,S326=0),T326/1,IF(AND(R326=0,T326=0),S326/1,IF(AND(S326=0,T326=0),R326/1,IF(R326=0,FLOOR((S326+T326)/2,0.1),IF(S326=0,(R326+T326)/2,IF(T326=0,(S326+R326)/2,FLOOR(((R326+S326+T326)/3),0.1))))))))</f>
        <v/>
      </c>
      <c r="V326" s="21" t="n"/>
      <c r="W326" s="21" t="n"/>
      <c r="X326" s="27">
        <f>SUM(V326:W326)</f>
        <v/>
      </c>
      <c r="Y326" s="28" t="n"/>
      <c r="Z326" s="28" t="n"/>
      <c r="AA326" s="29">
        <f>IF(AND(X326=0,Y326=0,Z326=0),0,IF(AND(X326=0,Y326=0),Z326/1,IF(AND(X326=0,Z326=0),Y326/1,IF(AND(Y326=0,Z326=0),X326/1,IF(X326=0,FLOOR((Y326+Z326)/2,0.1),IF(Y326=0,(X326+Z326)/2,IF(Z326=0,(Y326+X326)/2,FLOOR(((X326+Y326+Z326)/3),0.1))))))))</f>
        <v/>
      </c>
      <c r="AB326" s="21" t="n"/>
      <c r="AC326" s="21" t="n"/>
      <c r="AD326" s="27">
        <f>SUM(AB326:AC326)</f>
        <v/>
      </c>
      <c r="AE326" s="28" t="n"/>
      <c r="AF326" s="28" t="n"/>
      <c r="AG326" s="29">
        <f>IF(AND(AD326=0,AE326=0,AF326=0),0,IF(AND(AD326=0,AE326=0),AF326/1,IF(AND(AD326=0,AF326=0),AE326/1,IF(AND(AE326=0,AF326=0),AD326/1,IF(AD326=0,FLOOR((AE326+AF326)/2,0.1),IF(AE326=0,(AD326+AF326)/2,IF(AF326=0,(AE326+AD326)/2,FLOOR(((AD326+AE326+AF326)/3),0.1))))))))</f>
        <v/>
      </c>
      <c r="AH326" s="21" t="n"/>
      <c r="AI326" s="21" t="n"/>
      <c r="AJ326" s="27">
        <f>SUM(AH326:AI326)</f>
        <v/>
      </c>
      <c r="AK326" s="28" t="n"/>
      <c r="AL326" s="28" t="n"/>
      <c r="AM326" s="29">
        <f>IF(AND(AJ326=0,AK326=0,AL326=0),0,IF(AND(AJ326=0,AK326=0),AL326/1,IF(AND(AJ326=0,AL326=0),AK326/1,IF(AND(AK326=0,AL326=0),AJ326/1,IF(AJ326=0,FLOOR((AK326+AL326)/2,0.1),IF(AK326=0,(AJ326+AL326)/2,IF(AL326=0,(AK326+AJ326)/2,FLOOR(((AJ326+AK326+AL326)/3),0.1))))))))</f>
        <v/>
      </c>
      <c r="AN326" s="21" t="n"/>
      <c r="AO326" s="21" t="n"/>
      <c r="AP326" s="27">
        <f>SUM(AN326:AO326)</f>
        <v/>
      </c>
      <c r="AQ326" s="28" t="n"/>
      <c r="AR326" s="30" t="n"/>
      <c r="AS326" s="29">
        <f>IF(AND(AP326=0,AQ326=0,AR326=0),0,IF(AND(AP326=0,AQ326=0),AR326/1,IF(AND(AP326=0,AR326=0),AQ326/1,IF(AND(AQ326=0,AR326=0),AP326/1,IF(AP326=0,FLOOR((AQ326+AR326)/2,0.1),IF(AQ326=0,(AP326+AR326)/2,IF(AR326=0,(AQ326+AP326)/2,FLOOR(((AP326+AQ326+AR326)/3),0.1))))))))</f>
        <v/>
      </c>
      <c r="AT326" s="21" t="n"/>
      <c r="AU326" s="21" t="n"/>
      <c r="AV326" s="27">
        <f>SUM(AT326:AU326)</f>
        <v/>
      </c>
      <c r="AW326" s="28" t="n"/>
      <c r="AX326" s="30" t="n"/>
      <c r="AY326" s="29">
        <f>IF(AND(AV326=0,AW326=0,AX326=0),0,IF(AND(AV326=0,AW326=0),AX326/1,IF(AND(AV326=0,AX326=0),AW326/1,IF(AND(AW326=0,AX326=0),AV326/1,IF(AV326=0,FLOOR((AW326+AX326)/2,0.1),IF(AW326=0,(AV326+AX326)/2,IF(AX326=0,(AW326+AV326)/2,FLOOR(((AV326+AW326+AX326)/3),0.1))))))))</f>
        <v/>
      </c>
      <c r="AZ326" s="21" t="n"/>
      <c r="BA326" s="21" t="n"/>
      <c r="BB326" s="27">
        <f>SUM(AZ326:BA326)</f>
        <v/>
      </c>
      <c r="BC326" s="28" t="n"/>
      <c r="BD326" s="28" t="n"/>
      <c r="BE326" s="29">
        <f>IF(AND(BB326=0,BC326=0,BD326=0),0,IF(AND(BB326=0,BC326=0),BD326/1,IF(AND(BB326=0,BD326=0),BC326/1,IF(AND(BC326=0,BD326=0),BB326/1,IF(BB326=0,FLOOR((BC326+BD326)/2,0.1),IF(BC326=0,(BB326+BD326)/2,IF(BD326=0,(BC326+BB326)/2,FLOOR(((BB326+BC326+BD326)/3),0.1))))))))</f>
        <v/>
      </c>
      <c r="BF326" s="21" t="n"/>
      <c r="BG326" s="21" t="n"/>
      <c r="BH326" s="27">
        <f>SUM(BF326:BG326)</f>
        <v/>
      </c>
      <c r="BI326" s="28" t="n"/>
      <c r="BJ326" s="28" t="n"/>
      <c r="BK326" s="29">
        <f>IF(AND(BH326=0,BI326=0,BJ326=0),0,IF(AND(BH326=0,BI326=0),BJ326/1,IF(AND(BH326=0,BJ326=0),BI326/1,IF(AND(BI326=0,BJ326=0),BH326/1,IF(BH326=0,FLOOR((BI326+BJ326)/2,0.1),IF(BI326=0,(BH326+BJ326)/2,IF(BJ326=0,(BI326+BH326)/2,FLOOR(((BH326+BI326+BJ326)/3),0.1))))))))</f>
        <v/>
      </c>
      <c r="BL326" s="21" t="n"/>
      <c r="BM326" s="21" t="n"/>
      <c r="BN326" s="27">
        <f>SUM(BL326:BM326)</f>
        <v/>
      </c>
      <c r="BO326" s="28" t="n"/>
      <c r="BP326" s="31" t="n"/>
      <c r="BQ326" s="29">
        <f>IF(AND(BN326=0,BO326=0,BP326=0),0,IF(AND(BN326=0,BO326=0),BP326/1,IF(AND(BN326=0,BP326=0),BO326/1,IF(AND(BO326=0,BP326=0),BN326/1,IF(BN326=0,FLOOR((BO326+BP326)/2,0.1),IF(BO326=0,(BN326+BP326)/2,IF(BP326=0,(BO326+BN326)/2,FLOOR(((BN326+BO326+BP326)/3),0.1))))))))</f>
        <v/>
      </c>
      <c r="BR326" s="21" t="n"/>
      <c r="BS326" s="21" t="n"/>
      <c r="BT326" s="27">
        <f>SUM(BR326:BS326)</f>
        <v/>
      </c>
      <c r="BU326" s="28" t="n"/>
      <c r="BV326" s="31" t="n"/>
      <c r="BW326" s="29">
        <f>IF(AND(BT326=0,BU326=0,BV326=0),0,IF(AND(BT326=0,BU326=0),BV326/1,IF(AND(BT326=0,BV326=0),BU326/1,IF(AND(BU326=0,BV326=0),BT326/1,IF(BT326=0,FLOOR((BU326+BV326)/2,0.1),IF(BU326=0,(BT326+BV326)/2,IF(BV326=0,(BU326+BT326)/2,FLOOR(((BT326+BU326+BV326)/3),0.1))))))))</f>
        <v/>
      </c>
      <c r="BX326" s="21" t="n"/>
      <c r="BY326" s="21" t="n"/>
      <c r="BZ326" s="27">
        <f>SUM(BX326:BY326)</f>
        <v/>
      </c>
      <c r="CA326" s="28" t="n"/>
      <c r="CB326" s="31" t="n"/>
      <c r="CC326" s="29">
        <f>IF(AND(BZ326=0,CA326=0,CB326=0),0,IF(AND(BZ326=0,CA326=0),CB326/1,IF(AND(BZ326=0,CB326=0),CA326/1,IF(AND(CA326=0,CB326=0),BZ326/1,IF(BZ326=0,FLOOR((CA326+CB326)/2,0.1),IF(CA326=0,(BZ326+CB326)/2,IF(CB326=0,(CA326+BZ326)/2,FLOOR(((BZ326+CA326+CB326)/3),0.1))))))))</f>
        <v/>
      </c>
      <c r="CD326" s="21" t="n"/>
      <c r="CE326" s="21" t="n"/>
      <c r="CF326" s="27">
        <f>SUM(CD326:CE326)</f>
        <v/>
      </c>
      <c r="CG326" s="28" t="n"/>
      <c r="CH326" s="31" t="n"/>
      <c r="CI326" s="29">
        <f>IF(AND(CF326=0,CG326=0,CH326=0),0,IF(AND(CF326=0,CG326=0),CH326/1,IF(AND(CF326=0,CH326=0),CG326/1,IF(AND(CG326=0,CH326=0),CF326/1,IF(CF326=0,FLOOR((CG326+CH326)/2,0.1),IF(CG326=0,(CF326+CH326)/2,IF(CH326=0,(CG326+CF326)/2,FLOOR(((CF326+CG326+CH326)/3),0.1))))))))</f>
        <v/>
      </c>
      <c r="CJ326" s="21" t="n"/>
      <c r="CK326" s="21" t="n"/>
      <c r="CL326" s="27">
        <f>SUM(CJ326:CK326)</f>
        <v/>
      </c>
      <c r="CM326" s="28" t="n"/>
      <c r="CN326" s="31" t="n"/>
      <c r="CO326" s="29">
        <f>IF(AND(CL326=0,CM326=0,CN326=0),0,IF(AND(CL326=0,CM326=0),CN326/1,IF(AND(CL326=0,CN326=0),CM326/1,IF(AND(CM326=0,CN326=0),CL326/1,IF(CL326=0,FLOOR((CM326+CN326)/2,0.1),IF(CM326=0,(CL326+CN326)/2,IF(CN326=0,(CM326+CL326)/2,FLOOR(((CL326+CM326+CN326)/3),0.1))))))))</f>
        <v/>
      </c>
      <c r="CP326" s="21" t="n"/>
      <c r="CQ326" s="21" t="n"/>
      <c r="CR326" s="27">
        <f>SUM(CP326:CQ326)</f>
        <v/>
      </c>
      <c r="CS326" s="28" t="n"/>
      <c r="CT326" s="31" t="n"/>
      <c r="CU326" s="29">
        <f>IF(AND(CR326=0,CS326=0,CT326=0),0,IF(AND(CR326=0,CS326=0),CT326/1,IF(AND(CR326=0,CT326=0),CS326/1,IF(AND(CS326=0,CT326=0),CR326/1,IF(CR326=0,FLOOR((CS326+CT326)/2,0.1),IF(CS326=0,(CR326+CT326)/2,IF(CT326=0,(CS326+CR326)/2,FLOOR(((CR326+CS326+CT326)/3),0.1))))))))</f>
        <v/>
      </c>
      <c r="CV326" s="21" t="n"/>
      <c r="CW326" s="21" t="n"/>
      <c r="CX326" s="27">
        <f>SUM(CV326:CW326)</f>
        <v/>
      </c>
      <c r="CY326" s="28" t="n"/>
      <c r="CZ326" s="31" t="n"/>
      <c r="DA326" s="29">
        <f>IF(AND(CX326=0,CY326=0,CZ326=0),0,IF(AND(CX326=0,CY326=0),CZ326/1,IF(AND(CX326=0,CZ326=0),CY326/1,IF(AND(CY326=0,CZ326=0),CX326/1,IF(CX326=0,FLOOR((CY326+CZ326)/2,0.1),IF(CY326=0,(CX326+CZ326)/2,IF(CZ326=0,(CY326+CX326)/2,FLOOR(((CX326+CY326+CZ326)/3),0.1))))))))</f>
        <v/>
      </c>
      <c r="DB326" s="21" t="n"/>
      <c r="DC326" s="21" t="n"/>
      <c r="DD326" s="27">
        <f>SUM(DB326:DC326)</f>
        <v/>
      </c>
      <c r="DE326" s="28" t="n"/>
      <c r="DF326" s="31" t="n"/>
      <c r="DG326" s="29">
        <f>IF(AND(DD326=0,DE326=0,DF326=0),0,IF(AND(DD326=0,DE326=0),DF326/1,IF(AND(DD326=0,DF326=0),DE326/1,IF(AND(DE326=0,DF326=0),DD326/1,IF(DD326=0,FLOOR((DE326+DF326)/2,0.1),IF(DE326=0,(DD326+DF326)/2,IF(DF326=0,(DE326+DD326)/2,FLOOR(((DD326+DE326+DF326)/3),0.1))))))))</f>
        <v/>
      </c>
      <c r="DH326" s="34">
        <f>SUM(O326,U326,AA326,AG326,AM326,AS326,AY326,BE326,BK326,BQ326,BW326,CC326,CI326,CO326,CU326,DA326,DG326)</f>
        <v/>
      </c>
      <c r="DI326" s="39">
        <f>RANK(DH326,DH$4:DH$503)</f>
        <v/>
      </c>
      <c r="DJ326" s="40" t="inlineStr">
        <is>
          <t>CHOOSE RATING</t>
        </is>
      </c>
      <c r="DK326" s="40" t="inlineStr">
        <is>
          <t>CHOOSE RATING</t>
        </is>
      </c>
      <c r="DL326" s="40" t="inlineStr">
        <is>
          <t>CHOOSE RATING</t>
        </is>
      </c>
      <c r="DM326" s="40" t="inlineStr">
        <is>
          <t>CHOOSE RATING</t>
        </is>
      </c>
      <c r="DN326" s="40" t="inlineStr">
        <is>
          <t>CHOOSE RATING</t>
        </is>
      </c>
      <c r="DO326" s="40" t="inlineStr">
        <is>
          <t>CHOOSE RATING</t>
        </is>
      </c>
      <c r="DP326" s="40" t="inlineStr">
        <is>
          <t>CHOOSE RATING</t>
        </is>
      </c>
      <c r="DQ326" s="40" t="inlineStr">
        <is>
          <t>CHOOSE RATING</t>
        </is>
      </c>
      <c r="DR326" s="43" t="inlineStr">
        <is>
          <t>2024/2025</t>
        </is>
      </c>
      <c r="DS326" s="45" t="inlineStr">
        <is>
          <t>THIRD</t>
        </is>
      </c>
      <c r="DT326" s="40" t="inlineStr">
        <is>
          <t>CHOOSE RATING</t>
        </is>
      </c>
      <c r="DU326" s="40" t="inlineStr">
        <is>
          <t>CHOOSE RATING</t>
        </is>
      </c>
      <c r="DV326" s="40" t="inlineStr">
        <is>
          <t>CHOOSE RATING</t>
        </is>
      </c>
      <c r="DW326" s="40" t="inlineStr">
        <is>
          <t>CHOOSE RATING</t>
        </is>
      </c>
      <c r="DX326" s="40" t="inlineStr">
        <is>
          <t>CHOOSE RATING</t>
        </is>
      </c>
      <c r="DY326" s="40" t="inlineStr">
        <is>
          <t>CHOOSE RATING</t>
        </is>
      </c>
      <c r="DZ326" s="53" t="inlineStr">
        <is>
          <t>CHOOSE RATING</t>
        </is>
      </c>
      <c r="EA326" s="54" t="inlineStr">
        <is>
          <t>Add the Tutor's Comment . . .</t>
        </is>
      </c>
      <c r="EB326" s="55" t="inlineStr">
        <is>
          <t>Choose Principals comment</t>
        </is>
      </c>
      <c r="EC326" s="56" t="n"/>
      <c r="ED326" s="57" t="inlineStr">
        <is>
          <t>Next Term Begins on Monday, 22nd September, 2025</t>
        </is>
      </c>
    </row>
    <row r="327" ht="30.6" customHeight="1" s="6">
      <c r="A327" s="18" t="n">
        <v>324</v>
      </c>
      <c r="B327" s="19" t="n"/>
      <c r="C327" s="20" t="n"/>
      <c r="D327" s="128" t="n"/>
      <c r="E327" s="21" t="n"/>
      <c r="F327" s="22" t="n"/>
      <c r="G327" s="22" t="n"/>
      <c r="H327" s="22" t="n"/>
      <c r="I327" s="26">
        <f>G327-H327</f>
        <v/>
      </c>
      <c r="J327" s="21" t="n"/>
      <c r="K327" s="21" t="n"/>
      <c r="L327" s="27">
        <f>SUM(J327:K327)</f>
        <v/>
      </c>
      <c r="M327" s="28" t="n"/>
      <c r="N327" s="28" t="n"/>
      <c r="O327" s="29">
        <f>IF(AND(L327=0,M327=0,N327=0),0,IF(AND(L327=0,M327=0),N327/1,IF(AND(L327=0,N327=0),M327/1,IF(AND(M327=0,N327=0),L327/1,IF(L327=0,FLOOR((M327+N327)/2,0.1),IF(M327=0,(L327+N327)/2,IF(N327=0,(M327+L327)/2,FLOOR(((L327+M327+N327)/3),0.1))))))))</f>
        <v/>
      </c>
      <c r="P327" s="21" t="n"/>
      <c r="Q327" s="21" t="n"/>
      <c r="R327" s="27">
        <f>SUM(P327:Q327)</f>
        <v/>
      </c>
      <c r="S327" s="28" t="n"/>
      <c r="T327" s="28" t="n"/>
      <c r="U327" s="29">
        <f>IF(AND(R327=0,S327=0,T327=0),0,IF(AND(R327=0,S327=0),T327/1,IF(AND(R327=0,T327=0),S327/1,IF(AND(S327=0,T327=0),R327/1,IF(R327=0,FLOOR((S327+T327)/2,0.1),IF(S327=0,(R327+T327)/2,IF(T327=0,(S327+R327)/2,FLOOR(((R327+S327+T327)/3),0.1))))))))</f>
        <v/>
      </c>
      <c r="V327" s="21" t="n"/>
      <c r="W327" s="21" t="n"/>
      <c r="X327" s="27">
        <f>SUM(V327:W327)</f>
        <v/>
      </c>
      <c r="Y327" s="28" t="n"/>
      <c r="Z327" s="28" t="n"/>
      <c r="AA327" s="29">
        <f>IF(AND(X327=0,Y327=0,Z327=0),0,IF(AND(X327=0,Y327=0),Z327/1,IF(AND(X327=0,Z327=0),Y327/1,IF(AND(Y327=0,Z327=0),X327/1,IF(X327=0,FLOOR((Y327+Z327)/2,0.1),IF(Y327=0,(X327+Z327)/2,IF(Z327=0,(Y327+X327)/2,FLOOR(((X327+Y327+Z327)/3),0.1))))))))</f>
        <v/>
      </c>
      <c r="AB327" s="21" t="n"/>
      <c r="AC327" s="21" t="n"/>
      <c r="AD327" s="27">
        <f>SUM(AB327:AC327)</f>
        <v/>
      </c>
      <c r="AE327" s="28" t="n"/>
      <c r="AF327" s="28" t="n"/>
      <c r="AG327" s="29">
        <f>IF(AND(AD327=0,AE327=0,AF327=0),0,IF(AND(AD327=0,AE327=0),AF327/1,IF(AND(AD327=0,AF327=0),AE327/1,IF(AND(AE327=0,AF327=0),AD327/1,IF(AD327=0,FLOOR((AE327+AF327)/2,0.1),IF(AE327=0,(AD327+AF327)/2,IF(AF327=0,(AE327+AD327)/2,FLOOR(((AD327+AE327+AF327)/3),0.1))))))))</f>
        <v/>
      </c>
      <c r="AH327" s="21" t="n"/>
      <c r="AI327" s="21" t="n"/>
      <c r="AJ327" s="27">
        <f>SUM(AH327:AI327)</f>
        <v/>
      </c>
      <c r="AK327" s="28" t="n"/>
      <c r="AL327" s="28" t="n"/>
      <c r="AM327" s="29">
        <f>IF(AND(AJ327=0,AK327=0,AL327=0),0,IF(AND(AJ327=0,AK327=0),AL327/1,IF(AND(AJ327=0,AL327=0),AK327/1,IF(AND(AK327=0,AL327=0),AJ327/1,IF(AJ327=0,FLOOR((AK327+AL327)/2,0.1),IF(AK327=0,(AJ327+AL327)/2,IF(AL327=0,(AK327+AJ327)/2,FLOOR(((AJ327+AK327+AL327)/3),0.1))))))))</f>
        <v/>
      </c>
      <c r="AN327" s="21" t="n"/>
      <c r="AO327" s="21" t="n"/>
      <c r="AP327" s="27">
        <f>SUM(AN327:AO327)</f>
        <v/>
      </c>
      <c r="AQ327" s="28" t="n"/>
      <c r="AR327" s="30" t="n"/>
      <c r="AS327" s="29">
        <f>IF(AND(AP327=0,AQ327=0,AR327=0),0,IF(AND(AP327=0,AQ327=0),AR327/1,IF(AND(AP327=0,AR327=0),AQ327/1,IF(AND(AQ327=0,AR327=0),AP327/1,IF(AP327=0,FLOOR((AQ327+AR327)/2,0.1),IF(AQ327=0,(AP327+AR327)/2,IF(AR327=0,(AQ327+AP327)/2,FLOOR(((AP327+AQ327+AR327)/3),0.1))))))))</f>
        <v/>
      </c>
      <c r="AT327" s="21" t="n"/>
      <c r="AU327" s="21" t="n"/>
      <c r="AV327" s="27">
        <f>SUM(AT327:AU327)</f>
        <v/>
      </c>
      <c r="AW327" s="28" t="n"/>
      <c r="AX327" s="30" t="n"/>
      <c r="AY327" s="29">
        <f>IF(AND(AV327=0,AW327=0,AX327=0),0,IF(AND(AV327=0,AW327=0),AX327/1,IF(AND(AV327=0,AX327=0),AW327/1,IF(AND(AW327=0,AX327=0),AV327/1,IF(AV327=0,FLOOR((AW327+AX327)/2,0.1),IF(AW327=0,(AV327+AX327)/2,IF(AX327=0,(AW327+AV327)/2,FLOOR(((AV327+AW327+AX327)/3),0.1))))))))</f>
        <v/>
      </c>
      <c r="AZ327" s="21" t="n"/>
      <c r="BA327" s="21" t="n"/>
      <c r="BB327" s="27">
        <f>SUM(AZ327:BA327)</f>
        <v/>
      </c>
      <c r="BC327" s="28" t="n"/>
      <c r="BD327" s="28" t="n"/>
      <c r="BE327" s="29">
        <f>IF(AND(BB327=0,BC327=0,BD327=0),0,IF(AND(BB327=0,BC327=0),BD327/1,IF(AND(BB327=0,BD327=0),BC327/1,IF(AND(BC327=0,BD327=0),BB327/1,IF(BB327=0,FLOOR((BC327+BD327)/2,0.1),IF(BC327=0,(BB327+BD327)/2,IF(BD327=0,(BC327+BB327)/2,FLOOR(((BB327+BC327+BD327)/3),0.1))))))))</f>
        <v/>
      </c>
      <c r="BF327" s="21" t="n"/>
      <c r="BG327" s="21" t="n"/>
      <c r="BH327" s="27">
        <f>SUM(BF327:BG327)</f>
        <v/>
      </c>
      <c r="BI327" s="28" t="n"/>
      <c r="BJ327" s="28" t="n"/>
      <c r="BK327" s="29">
        <f>IF(AND(BH327=0,BI327=0,BJ327=0),0,IF(AND(BH327=0,BI327=0),BJ327/1,IF(AND(BH327=0,BJ327=0),BI327/1,IF(AND(BI327=0,BJ327=0),BH327/1,IF(BH327=0,FLOOR((BI327+BJ327)/2,0.1),IF(BI327=0,(BH327+BJ327)/2,IF(BJ327=0,(BI327+BH327)/2,FLOOR(((BH327+BI327+BJ327)/3),0.1))))))))</f>
        <v/>
      </c>
      <c r="BL327" s="21" t="n"/>
      <c r="BM327" s="21" t="n"/>
      <c r="BN327" s="27">
        <f>SUM(BL327:BM327)</f>
        <v/>
      </c>
      <c r="BO327" s="28" t="n"/>
      <c r="BP327" s="31" t="n"/>
      <c r="BQ327" s="29">
        <f>IF(AND(BN327=0,BO327=0,BP327=0),0,IF(AND(BN327=0,BO327=0),BP327/1,IF(AND(BN327=0,BP327=0),BO327/1,IF(AND(BO327=0,BP327=0),BN327/1,IF(BN327=0,FLOOR((BO327+BP327)/2,0.1),IF(BO327=0,(BN327+BP327)/2,IF(BP327=0,(BO327+BN327)/2,FLOOR(((BN327+BO327+BP327)/3),0.1))))))))</f>
        <v/>
      </c>
      <c r="BR327" s="21" t="n"/>
      <c r="BS327" s="21" t="n"/>
      <c r="BT327" s="27">
        <f>SUM(BR327:BS327)</f>
        <v/>
      </c>
      <c r="BU327" s="28" t="n"/>
      <c r="BV327" s="31" t="n"/>
      <c r="BW327" s="29">
        <f>IF(AND(BT327=0,BU327=0,BV327=0),0,IF(AND(BT327=0,BU327=0),BV327/1,IF(AND(BT327=0,BV327=0),BU327/1,IF(AND(BU327=0,BV327=0),BT327/1,IF(BT327=0,FLOOR((BU327+BV327)/2,0.1),IF(BU327=0,(BT327+BV327)/2,IF(BV327=0,(BU327+BT327)/2,FLOOR(((BT327+BU327+BV327)/3),0.1))))))))</f>
        <v/>
      </c>
      <c r="BX327" s="21" t="n"/>
      <c r="BY327" s="21" t="n"/>
      <c r="BZ327" s="27">
        <f>SUM(BX327:BY327)</f>
        <v/>
      </c>
      <c r="CA327" s="28" t="n"/>
      <c r="CB327" s="31" t="n"/>
      <c r="CC327" s="29">
        <f>IF(AND(BZ327=0,CA327=0,CB327=0),0,IF(AND(BZ327=0,CA327=0),CB327/1,IF(AND(BZ327=0,CB327=0),CA327/1,IF(AND(CA327=0,CB327=0),BZ327/1,IF(BZ327=0,FLOOR((CA327+CB327)/2,0.1),IF(CA327=0,(BZ327+CB327)/2,IF(CB327=0,(CA327+BZ327)/2,FLOOR(((BZ327+CA327+CB327)/3),0.1))))))))</f>
        <v/>
      </c>
      <c r="CD327" s="21" t="n"/>
      <c r="CE327" s="21" t="n"/>
      <c r="CF327" s="27">
        <f>SUM(CD327:CE327)</f>
        <v/>
      </c>
      <c r="CG327" s="28" t="n"/>
      <c r="CH327" s="31" t="n"/>
      <c r="CI327" s="29">
        <f>IF(AND(CF327=0,CG327=0,CH327=0),0,IF(AND(CF327=0,CG327=0),CH327/1,IF(AND(CF327=0,CH327=0),CG327/1,IF(AND(CG327=0,CH327=0),CF327/1,IF(CF327=0,FLOOR((CG327+CH327)/2,0.1),IF(CG327=0,(CF327+CH327)/2,IF(CH327=0,(CG327+CF327)/2,FLOOR(((CF327+CG327+CH327)/3),0.1))))))))</f>
        <v/>
      </c>
      <c r="CJ327" s="21" t="n"/>
      <c r="CK327" s="21" t="n"/>
      <c r="CL327" s="27">
        <f>SUM(CJ327:CK327)</f>
        <v/>
      </c>
      <c r="CM327" s="28" t="n"/>
      <c r="CN327" s="31" t="n"/>
      <c r="CO327" s="29">
        <f>IF(AND(CL327=0,CM327=0,CN327=0),0,IF(AND(CL327=0,CM327=0),CN327/1,IF(AND(CL327=0,CN327=0),CM327/1,IF(AND(CM327=0,CN327=0),CL327/1,IF(CL327=0,FLOOR((CM327+CN327)/2,0.1),IF(CM327=0,(CL327+CN327)/2,IF(CN327=0,(CM327+CL327)/2,FLOOR(((CL327+CM327+CN327)/3),0.1))))))))</f>
        <v/>
      </c>
      <c r="CP327" s="21" t="n"/>
      <c r="CQ327" s="21" t="n"/>
      <c r="CR327" s="27">
        <f>SUM(CP327:CQ327)</f>
        <v/>
      </c>
      <c r="CS327" s="28" t="n"/>
      <c r="CT327" s="31" t="n"/>
      <c r="CU327" s="29">
        <f>IF(AND(CR327=0,CS327=0,CT327=0),0,IF(AND(CR327=0,CS327=0),CT327/1,IF(AND(CR327=0,CT327=0),CS327/1,IF(AND(CS327=0,CT327=0),CR327/1,IF(CR327=0,FLOOR((CS327+CT327)/2,0.1),IF(CS327=0,(CR327+CT327)/2,IF(CT327=0,(CS327+CR327)/2,FLOOR(((CR327+CS327+CT327)/3),0.1))))))))</f>
        <v/>
      </c>
      <c r="CV327" s="21" t="n"/>
      <c r="CW327" s="21" t="n"/>
      <c r="CX327" s="27">
        <f>SUM(CV327:CW327)</f>
        <v/>
      </c>
      <c r="CY327" s="28" t="n"/>
      <c r="CZ327" s="31" t="n"/>
      <c r="DA327" s="29">
        <f>IF(AND(CX327=0,CY327=0,CZ327=0),0,IF(AND(CX327=0,CY327=0),CZ327/1,IF(AND(CX327=0,CZ327=0),CY327/1,IF(AND(CY327=0,CZ327=0),CX327/1,IF(CX327=0,FLOOR((CY327+CZ327)/2,0.1),IF(CY327=0,(CX327+CZ327)/2,IF(CZ327=0,(CY327+CX327)/2,FLOOR(((CX327+CY327+CZ327)/3),0.1))))))))</f>
        <v/>
      </c>
      <c r="DB327" s="21" t="n"/>
      <c r="DC327" s="21" t="n"/>
      <c r="DD327" s="27">
        <f>SUM(DB327:DC327)</f>
        <v/>
      </c>
      <c r="DE327" s="28" t="n"/>
      <c r="DF327" s="31" t="n"/>
      <c r="DG327" s="29">
        <f>IF(AND(DD327=0,DE327=0,DF327=0),0,IF(AND(DD327=0,DE327=0),DF327/1,IF(AND(DD327=0,DF327=0),DE327/1,IF(AND(DE327=0,DF327=0),DD327/1,IF(DD327=0,FLOOR((DE327+DF327)/2,0.1),IF(DE327=0,(DD327+DF327)/2,IF(DF327=0,(DE327+DD327)/2,FLOOR(((DD327+DE327+DF327)/3),0.1))))))))</f>
        <v/>
      </c>
      <c r="DH327" s="34">
        <f>SUM(O327,U327,AA327,AG327,AM327,AS327,AY327,BE327,BK327,BQ327,BW327,CC327,CI327,CO327,CU327,DA327,DG327)</f>
        <v/>
      </c>
      <c r="DI327" s="39">
        <f>RANK(DH327,DH$4:DH$503)</f>
        <v/>
      </c>
      <c r="DJ327" s="40" t="inlineStr">
        <is>
          <t>CHOOSE RATING</t>
        </is>
      </c>
      <c r="DK327" s="40" t="inlineStr">
        <is>
          <t>CHOOSE RATING</t>
        </is>
      </c>
      <c r="DL327" s="40" t="inlineStr">
        <is>
          <t>CHOOSE RATING</t>
        </is>
      </c>
      <c r="DM327" s="40" t="inlineStr">
        <is>
          <t>CHOOSE RATING</t>
        </is>
      </c>
      <c r="DN327" s="40" t="inlineStr">
        <is>
          <t>CHOOSE RATING</t>
        </is>
      </c>
      <c r="DO327" s="40" t="inlineStr">
        <is>
          <t>CHOOSE RATING</t>
        </is>
      </c>
      <c r="DP327" s="40" t="inlineStr">
        <is>
          <t>CHOOSE RATING</t>
        </is>
      </c>
      <c r="DQ327" s="40" t="inlineStr">
        <is>
          <t>CHOOSE RATING</t>
        </is>
      </c>
      <c r="DR327" s="43" t="inlineStr">
        <is>
          <t>2024/2025</t>
        </is>
      </c>
      <c r="DS327" s="45" t="inlineStr">
        <is>
          <t>THIRD</t>
        </is>
      </c>
      <c r="DT327" s="40" t="inlineStr">
        <is>
          <t>CHOOSE RATING</t>
        </is>
      </c>
      <c r="DU327" s="40" t="inlineStr">
        <is>
          <t>CHOOSE RATING</t>
        </is>
      </c>
      <c r="DV327" s="40" t="inlineStr">
        <is>
          <t>CHOOSE RATING</t>
        </is>
      </c>
      <c r="DW327" s="40" t="inlineStr">
        <is>
          <t>CHOOSE RATING</t>
        </is>
      </c>
      <c r="DX327" s="40" t="inlineStr">
        <is>
          <t>CHOOSE RATING</t>
        </is>
      </c>
      <c r="DY327" s="40" t="inlineStr">
        <is>
          <t>CHOOSE RATING</t>
        </is>
      </c>
      <c r="DZ327" s="53" t="inlineStr">
        <is>
          <t>CHOOSE RATING</t>
        </is>
      </c>
      <c r="EA327" s="54" t="inlineStr">
        <is>
          <t>Add the Tutor's Comment . . .</t>
        </is>
      </c>
      <c r="EB327" s="55" t="inlineStr">
        <is>
          <t>Choose Principals comment</t>
        </is>
      </c>
      <c r="EC327" s="56" t="n"/>
      <c r="ED327" s="57" t="inlineStr">
        <is>
          <t>Next Term Begins on Monday, 22nd September, 2025</t>
        </is>
      </c>
    </row>
    <row r="328" ht="30.6" customHeight="1" s="6">
      <c r="A328" s="18" t="n">
        <v>325</v>
      </c>
      <c r="B328" s="19" t="n"/>
      <c r="C328" s="20" t="n"/>
      <c r="D328" s="128" t="n"/>
      <c r="E328" s="21" t="n"/>
      <c r="F328" s="22" t="n"/>
      <c r="G328" s="22" t="n"/>
      <c r="H328" s="22" t="n"/>
      <c r="I328" s="26">
        <f>G328-H328</f>
        <v/>
      </c>
      <c r="J328" s="21" t="n"/>
      <c r="K328" s="21" t="n"/>
      <c r="L328" s="27">
        <f>SUM(J328:K328)</f>
        <v/>
      </c>
      <c r="M328" s="28" t="n"/>
      <c r="N328" s="28" t="n"/>
      <c r="O328" s="29">
        <f>IF(AND(L328=0,M328=0,N328=0),0,IF(AND(L328=0,M328=0),N328/1,IF(AND(L328=0,N328=0),M328/1,IF(AND(M328=0,N328=0),L328/1,IF(L328=0,FLOOR((M328+N328)/2,0.1),IF(M328=0,(L328+N328)/2,IF(N328=0,(M328+L328)/2,FLOOR(((L328+M328+N328)/3),0.1))))))))</f>
        <v/>
      </c>
      <c r="P328" s="21" t="n"/>
      <c r="Q328" s="21" t="n"/>
      <c r="R328" s="27">
        <f>SUM(P328:Q328)</f>
        <v/>
      </c>
      <c r="S328" s="28" t="n"/>
      <c r="T328" s="28" t="n"/>
      <c r="U328" s="29">
        <f>IF(AND(R328=0,S328=0,T328=0),0,IF(AND(R328=0,S328=0),T328/1,IF(AND(R328=0,T328=0),S328/1,IF(AND(S328=0,T328=0),R328/1,IF(R328=0,FLOOR((S328+T328)/2,0.1),IF(S328=0,(R328+T328)/2,IF(T328=0,(S328+R328)/2,FLOOR(((R328+S328+T328)/3),0.1))))))))</f>
        <v/>
      </c>
      <c r="V328" s="21" t="n"/>
      <c r="W328" s="21" t="n"/>
      <c r="X328" s="27">
        <f>SUM(V328:W328)</f>
        <v/>
      </c>
      <c r="Y328" s="28" t="n"/>
      <c r="Z328" s="28" t="n"/>
      <c r="AA328" s="29">
        <f>IF(AND(X328=0,Y328=0,Z328=0),0,IF(AND(X328=0,Y328=0),Z328/1,IF(AND(X328=0,Z328=0),Y328/1,IF(AND(Y328=0,Z328=0),X328/1,IF(X328=0,FLOOR((Y328+Z328)/2,0.1),IF(Y328=0,(X328+Z328)/2,IF(Z328=0,(Y328+X328)/2,FLOOR(((X328+Y328+Z328)/3),0.1))))))))</f>
        <v/>
      </c>
      <c r="AB328" s="21" t="n"/>
      <c r="AC328" s="21" t="n"/>
      <c r="AD328" s="27">
        <f>SUM(AB328:AC328)</f>
        <v/>
      </c>
      <c r="AE328" s="28" t="n"/>
      <c r="AF328" s="28" t="n"/>
      <c r="AG328" s="29">
        <f>IF(AND(AD328=0,AE328=0,AF328=0),0,IF(AND(AD328=0,AE328=0),AF328/1,IF(AND(AD328=0,AF328=0),AE328/1,IF(AND(AE328=0,AF328=0),AD328/1,IF(AD328=0,FLOOR((AE328+AF328)/2,0.1),IF(AE328=0,(AD328+AF328)/2,IF(AF328=0,(AE328+AD328)/2,FLOOR(((AD328+AE328+AF328)/3),0.1))))))))</f>
        <v/>
      </c>
      <c r="AH328" s="21" t="n"/>
      <c r="AI328" s="21" t="n"/>
      <c r="AJ328" s="27">
        <f>SUM(AH328:AI328)</f>
        <v/>
      </c>
      <c r="AK328" s="28" t="n"/>
      <c r="AL328" s="28" t="n"/>
      <c r="AM328" s="29">
        <f>IF(AND(AJ328=0,AK328=0,AL328=0),0,IF(AND(AJ328=0,AK328=0),AL328/1,IF(AND(AJ328=0,AL328=0),AK328/1,IF(AND(AK328=0,AL328=0),AJ328/1,IF(AJ328=0,FLOOR((AK328+AL328)/2,0.1),IF(AK328=0,(AJ328+AL328)/2,IF(AL328=0,(AK328+AJ328)/2,FLOOR(((AJ328+AK328+AL328)/3),0.1))))))))</f>
        <v/>
      </c>
      <c r="AN328" s="21" t="n"/>
      <c r="AO328" s="21" t="n"/>
      <c r="AP328" s="27">
        <f>SUM(AN328:AO328)</f>
        <v/>
      </c>
      <c r="AQ328" s="28" t="n"/>
      <c r="AR328" s="30" t="n"/>
      <c r="AS328" s="29">
        <f>IF(AND(AP328=0,AQ328=0,AR328=0),0,IF(AND(AP328=0,AQ328=0),AR328/1,IF(AND(AP328=0,AR328=0),AQ328/1,IF(AND(AQ328=0,AR328=0),AP328/1,IF(AP328=0,FLOOR((AQ328+AR328)/2,0.1),IF(AQ328=0,(AP328+AR328)/2,IF(AR328=0,(AQ328+AP328)/2,FLOOR(((AP328+AQ328+AR328)/3),0.1))))))))</f>
        <v/>
      </c>
      <c r="AT328" s="21" t="n"/>
      <c r="AU328" s="21" t="n"/>
      <c r="AV328" s="27">
        <f>SUM(AT328:AU328)</f>
        <v/>
      </c>
      <c r="AW328" s="28" t="n"/>
      <c r="AX328" s="30" t="n"/>
      <c r="AY328" s="29">
        <f>IF(AND(AV328=0,AW328=0,AX328=0),0,IF(AND(AV328=0,AW328=0),AX328/1,IF(AND(AV328=0,AX328=0),AW328/1,IF(AND(AW328=0,AX328=0),AV328/1,IF(AV328=0,FLOOR((AW328+AX328)/2,0.1),IF(AW328=0,(AV328+AX328)/2,IF(AX328=0,(AW328+AV328)/2,FLOOR(((AV328+AW328+AX328)/3),0.1))))))))</f>
        <v/>
      </c>
      <c r="AZ328" s="21" t="n"/>
      <c r="BA328" s="21" t="n"/>
      <c r="BB328" s="27">
        <f>SUM(AZ328:BA328)</f>
        <v/>
      </c>
      <c r="BC328" s="28" t="n"/>
      <c r="BD328" s="28" t="n"/>
      <c r="BE328" s="29">
        <f>IF(AND(BB328=0,BC328=0,BD328=0),0,IF(AND(BB328=0,BC328=0),BD328/1,IF(AND(BB328=0,BD328=0),BC328/1,IF(AND(BC328=0,BD328=0),BB328/1,IF(BB328=0,FLOOR((BC328+BD328)/2,0.1),IF(BC328=0,(BB328+BD328)/2,IF(BD328=0,(BC328+BB328)/2,FLOOR(((BB328+BC328+BD328)/3),0.1))))))))</f>
        <v/>
      </c>
      <c r="BF328" s="21" t="n"/>
      <c r="BG328" s="21" t="n"/>
      <c r="BH328" s="27">
        <f>SUM(BF328:BG328)</f>
        <v/>
      </c>
      <c r="BI328" s="28" t="n"/>
      <c r="BJ328" s="28" t="n"/>
      <c r="BK328" s="29">
        <f>IF(AND(BH328=0,BI328=0,BJ328=0),0,IF(AND(BH328=0,BI328=0),BJ328/1,IF(AND(BH328=0,BJ328=0),BI328/1,IF(AND(BI328=0,BJ328=0),BH328/1,IF(BH328=0,FLOOR((BI328+BJ328)/2,0.1),IF(BI328=0,(BH328+BJ328)/2,IF(BJ328=0,(BI328+BH328)/2,FLOOR(((BH328+BI328+BJ328)/3),0.1))))))))</f>
        <v/>
      </c>
      <c r="BL328" s="21" t="n"/>
      <c r="BM328" s="21" t="n"/>
      <c r="BN328" s="27">
        <f>SUM(BL328:BM328)</f>
        <v/>
      </c>
      <c r="BO328" s="28" t="n"/>
      <c r="BP328" s="31" t="n"/>
      <c r="BQ328" s="29">
        <f>IF(AND(BN328=0,BO328=0,BP328=0),0,IF(AND(BN328=0,BO328=0),BP328/1,IF(AND(BN328=0,BP328=0),BO328/1,IF(AND(BO328=0,BP328=0),BN328/1,IF(BN328=0,FLOOR((BO328+BP328)/2,0.1),IF(BO328=0,(BN328+BP328)/2,IF(BP328=0,(BO328+BN328)/2,FLOOR(((BN328+BO328+BP328)/3),0.1))))))))</f>
        <v/>
      </c>
      <c r="BR328" s="21" t="n"/>
      <c r="BS328" s="21" t="n"/>
      <c r="BT328" s="27">
        <f>SUM(BR328:BS328)</f>
        <v/>
      </c>
      <c r="BU328" s="28" t="n"/>
      <c r="BV328" s="31" t="n"/>
      <c r="BW328" s="29">
        <f>IF(AND(BT328=0,BU328=0,BV328=0),0,IF(AND(BT328=0,BU328=0),BV328/1,IF(AND(BT328=0,BV328=0),BU328/1,IF(AND(BU328=0,BV328=0),BT328/1,IF(BT328=0,FLOOR((BU328+BV328)/2,0.1),IF(BU328=0,(BT328+BV328)/2,IF(BV328=0,(BU328+BT328)/2,FLOOR(((BT328+BU328+BV328)/3),0.1))))))))</f>
        <v/>
      </c>
      <c r="BX328" s="21" t="n"/>
      <c r="BY328" s="21" t="n"/>
      <c r="BZ328" s="27">
        <f>SUM(BX328:BY328)</f>
        <v/>
      </c>
      <c r="CA328" s="28" t="n"/>
      <c r="CB328" s="31" t="n"/>
      <c r="CC328" s="29">
        <f>IF(AND(BZ328=0,CA328=0,CB328=0),0,IF(AND(BZ328=0,CA328=0),CB328/1,IF(AND(BZ328=0,CB328=0),CA328/1,IF(AND(CA328=0,CB328=0),BZ328/1,IF(BZ328=0,FLOOR((CA328+CB328)/2,0.1),IF(CA328=0,(BZ328+CB328)/2,IF(CB328=0,(CA328+BZ328)/2,FLOOR(((BZ328+CA328+CB328)/3),0.1))))))))</f>
        <v/>
      </c>
      <c r="CD328" s="21" t="n"/>
      <c r="CE328" s="21" t="n"/>
      <c r="CF328" s="27">
        <f>SUM(CD328:CE328)</f>
        <v/>
      </c>
      <c r="CG328" s="28" t="n"/>
      <c r="CH328" s="31" t="n"/>
      <c r="CI328" s="29">
        <f>IF(AND(CF328=0,CG328=0,CH328=0),0,IF(AND(CF328=0,CG328=0),CH328/1,IF(AND(CF328=0,CH328=0),CG328/1,IF(AND(CG328=0,CH328=0),CF328/1,IF(CF328=0,FLOOR((CG328+CH328)/2,0.1),IF(CG328=0,(CF328+CH328)/2,IF(CH328=0,(CG328+CF328)/2,FLOOR(((CF328+CG328+CH328)/3),0.1))))))))</f>
        <v/>
      </c>
      <c r="CJ328" s="21" t="n"/>
      <c r="CK328" s="21" t="n"/>
      <c r="CL328" s="27">
        <f>SUM(CJ328:CK328)</f>
        <v/>
      </c>
      <c r="CM328" s="28" t="n"/>
      <c r="CN328" s="31" t="n"/>
      <c r="CO328" s="29">
        <f>IF(AND(CL328=0,CM328=0,CN328=0),0,IF(AND(CL328=0,CM328=0),CN328/1,IF(AND(CL328=0,CN328=0),CM328/1,IF(AND(CM328=0,CN328=0),CL328/1,IF(CL328=0,FLOOR((CM328+CN328)/2,0.1),IF(CM328=0,(CL328+CN328)/2,IF(CN328=0,(CM328+CL328)/2,FLOOR(((CL328+CM328+CN328)/3),0.1))))))))</f>
        <v/>
      </c>
      <c r="CP328" s="21" t="n"/>
      <c r="CQ328" s="21" t="n"/>
      <c r="CR328" s="27">
        <f>SUM(CP328:CQ328)</f>
        <v/>
      </c>
      <c r="CS328" s="28" t="n"/>
      <c r="CT328" s="31" t="n"/>
      <c r="CU328" s="29">
        <f>IF(AND(CR328=0,CS328=0,CT328=0),0,IF(AND(CR328=0,CS328=0),CT328/1,IF(AND(CR328=0,CT328=0),CS328/1,IF(AND(CS328=0,CT328=0),CR328/1,IF(CR328=0,FLOOR((CS328+CT328)/2,0.1),IF(CS328=0,(CR328+CT328)/2,IF(CT328=0,(CS328+CR328)/2,FLOOR(((CR328+CS328+CT328)/3),0.1))))))))</f>
        <v/>
      </c>
      <c r="CV328" s="21" t="n"/>
      <c r="CW328" s="21" t="n"/>
      <c r="CX328" s="27">
        <f>SUM(CV328:CW328)</f>
        <v/>
      </c>
      <c r="CY328" s="28" t="n"/>
      <c r="CZ328" s="31" t="n"/>
      <c r="DA328" s="29">
        <f>IF(AND(CX328=0,CY328=0,CZ328=0),0,IF(AND(CX328=0,CY328=0),CZ328/1,IF(AND(CX328=0,CZ328=0),CY328/1,IF(AND(CY328=0,CZ328=0),CX328/1,IF(CX328=0,FLOOR((CY328+CZ328)/2,0.1),IF(CY328=0,(CX328+CZ328)/2,IF(CZ328=0,(CY328+CX328)/2,FLOOR(((CX328+CY328+CZ328)/3),0.1))))))))</f>
        <v/>
      </c>
      <c r="DB328" s="21" t="n"/>
      <c r="DC328" s="21" t="n"/>
      <c r="DD328" s="27">
        <f>SUM(DB328:DC328)</f>
        <v/>
      </c>
      <c r="DE328" s="28" t="n"/>
      <c r="DF328" s="31" t="n"/>
      <c r="DG328" s="29">
        <f>IF(AND(DD328=0,DE328=0,DF328=0),0,IF(AND(DD328=0,DE328=0),DF328/1,IF(AND(DD328=0,DF328=0),DE328/1,IF(AND(DE328=0,DF328=0),DD328/1,IF(DD328=0,FLOOR((DE328+DF328)/2,0.1),IF(DE328=0,(DD328+DF328)/2,IF(DF328=0,(DE328+DD328)/2,FLOOR(((DD328+DE328+DF328)/3),0.1))))))))</f>
        <v/>
      </c>
      <c r="DH328" s="34">
        <f>SUM(O328,U328,AA328,AG328,AM328,AS328,AY328,BE328,BK328,BQ328,BW328,CC328,CI328,CO328,CU328,DA328,DG328)</f>
        <v/>
      </c>
      <c r="DI328" s="39">
        <f>RANK(DH328,DH$4:DH$503)</f>
        <v/>
      </c>
      <c r="DJ328" s="40" t="inlineStr">
        <is>
          <t>CHOOSE RATING</t>
        </is>
      </c>
      <c r="DK328" s="40" t="inlineStr">
        <is>
          <t>CHOOSE RATING</t>
        </is>
      </c>
      <c r="DL328" s="40" t="inlineStr">
        <is>
          <t>CHOOSE RATING</t>
        </is>
      </c>
      <c r="DM328" s="40" t="inlineStr">
        <is>
          <t>CHOOSE RATING</t>
        </is>
      </c>
      <c r="DN328" s="40" t="inlineStr">
        <is>
          <t>CHOOSE RATING</t>
        </is>
      </c>
      <c r="DO328" s="40" t="inlineStr">
        <is>
          <t>CHOOSE RATING</t>
        </is>
      </c>
      <c r="DP328" s="40" t="inlineStr">
        <is>
          <t>CHOOSE RATING</t>
        </is>
      </c>
      <c r="DQ328" s="40" t="inlineStr">
        <is>
          <t>CHOOSE RATING</t>
        </is>
      </c>
      <c r="DR328" s="43" t="inlineStr">
        <is>
          <t>2024/2025</t>
        </is>
      </c>
      <c r="DS328" s="45" t="inlineStr">
        <is>
          <t>THIRD</t>
        </is>
      </c>
      <c r="DT328" s="40" t="inlineStr">
        <is>
          <t>CHOOSE RATING</t>
        </is>
      </c>
      <c r="DU328" s="40" t="inlineStr">
        <is>
          <t>CHOOSE RATING</t>
        </is>
      </c>
      <c r="DV328" s="40" t="inlineStr">
        <is>
          <t>CHOOSE RATING</t>
        </is>
      </c>
      <c r="DW328" s="40" t="inlineStr">
        <is>
          <t>CHOOSE RATING</t>
        </is>
      </c>
      <c r="DX328" s="40" t="inlineStr">
        <is>
          <t>CHOOSE RATING</t>
        </is>
      </c>
      <c r="DY328" s="40" t="inlineStr">
        <is>
          <t>CHOOSE RATING</t>
        </is>
      </c>
      <c r="DZ328" s="53" t="inlineStr">
        <is>
          <t>CHOOSE RATING</t>
        </is>
      </c>
      <c r="EA328" s="54" t="inlineStr">
        <is>
          <t>Add the Tutor's Comment . . .</t>
        </is>
      </c>
      <c r="EB328" s="55" t="inlineStr">
        <is>
          <t>Choose Principals comment</t>
        </is>
      </c>
      <c r="EC328" s="56" t="n"/>
      <c r="ED328" s="57" t="inlineStr">
        <is>
          <t>Next Term Begins on Monday, 22nd September, 2025</t>
        </is>
      </c>
    </row>
    <row r="329" ht="30.6" customHeight="1" s="6">
      <c r="A329" s="18" t="n">
        <v>326</v>
      </c>
      <c r="B329" s="19" t="n"/>
      <c r="C329" s="20" t="n"/>
      <c r="D329" s="128" t="n"/>
      <c r="E329" s="21" t="n"/>
      <c r="F329" s="22" t="n"/>
      <c r="G329" s="22" t="n"/>
      <c r="H329" s="22" t="n"/>
      <c r="I329" s="26">
        <f>G329-H329</f>
        <v/>
      </c>
      <c r="J329" s="21" t="n"/>
      <c r="K329" s="21" t="n"/>
      <c r="L329" s="27">
        <f>SUM(J329:K329)</f>
        <v/>
      </c>
      <c r="M329" s="28" t="n"/>
      <c r="N329" s="28" t="n"/>
      <c r="O329" s="29">
        <f>IF(AND(L329=0,M329=0,N329=0),0,IF(AND(L329=0,M329=0),N329/1,IF(AND(L329=0,N329=0),M329/1,IF(AND(M329=0,N329=0),L329/1,IF(L329=0,FLOOR((M329+N329)/2,0.1),IF(M329=0,(L329+N329)/2,IF(N329=0,(M329+L329)/2,FLOOR(((L329+M329+N329)/3),0.1))))))))</f>
        <v/>
      </c>
      <c r="P329" s="21" t="n"/>
      <c r="Q329" s="21" t="n"/>
      <c r="R329" s="27">
        <f>SUM(P329:Q329)</f>
        <v/>
      </c>
      <c r="S329" s="28" t="n"/>
      <c r="T329" s="28" t="n"/>
      <c r="U329" s="29">
        <f>IF(AND(R329=0,S329=0,T329=0),0,IF(AND(R329=0,S329=0),T329/1,IF(AND(R329=0,T329=0),S329/1,IF(AND(S329=0,T329=0),R329/1,IF(R329=0,FLOOR((S329+T329)/2,0.1),IF(S329=0,(R329+T329)/2,IF(T329=0,(S329+R329)/2,FLOOR(((R329+S329+T329)/3),0.1))))))))</f>
        <v/>
      </c>
      <c r="V329" s="21" t="n"/>
      <c r="W329" s="21" t="n"/>
      <c r="X329" s="27">
        <f>SUM(V329:W329)</f>
        <v/>
      </c>
      <c r="Y329" s="28" t="n"/>
      <c r="Z329" s="28" t="n"/>
      <c r="AA329" s="29">
        <f>IF(AND(X329=0,Y329=0,Z329=0),0,IF(AND(X329=0,Y329=0),Z329/1,IF(AND(X329=0,Z329=0),Y329/1,IF(AND(Y329=0,Z329=0),X329/1,IF(X329=0,FLOOR((Y329+Z329)/2,0.1),IF(Y329=0,(X329+Z329)/2,IF(Z329=0,(Y329+X329)/2,FLOOR(((X329+Y329+Z329)/3),0.1))))))))</f>
        <v/>
      </c>
      <c r="AB329" s="21" t="n"/>
      <c r="AC329" s="21" t="n"/>
      <c r="AD329" s="27">
        <f>SUM(AB329:AC329)</f>
        <v/>
      </c>
      <c r="AE329" s="28" t="n"/>
      <c r="AF329" s="28" t="n"/>
      <c r="AG329" s="29">
        <f>IF(AND(AD329=0,AE329=0,AF329=0),0,IF(AND(AD329=0,AE329=0),AF329/1,IF(AND(AD329=0,AF329=0),AE329/1,IF(AND(AE329=0,AF329=0),AD329/1,IF(AD329=0,FLOOR((AE329+AF329)/2,0.1),IF(AE329=0,(AD329+AF329)/2,IF(AF329=0,(AE329+AD329)/2,FLOOR(((AD329+AE329+AF329)/3),0.1))))))))</f>
        <v/>
      </c>
      <c r="AH329" s="21" t="n"/>
      <c r="AI329" s="21" t="n"/>
      <c r="AJ329" s="27">
        <f>SUM(AH329:AI329)</f>
        <v/>
      </c>
      <c r="AK329" s="28" t="n"/>
      <c r="AL329" s="28" t="n"/>
      <c r="AM329" s="29">
        <f>IF(AND(AJ329=0,AK329=0,AL329=0),0,IF(AND(AJ329=0,AK329=0),AL329/1,IF(AND(AJ329=0,AL329=0),AK329/1,IF(AND(AK329=0,AL329=0),AJ329/1,IF(AJ329=0,FLOOR((AK329+AL329)/2,0.1),IF(AK329=0,(AJ329+AL329)/2,IF(AL329=0,(AK329+AJ329)/2,FLOOR(((AJ329+AK329+AL329)/3),0.1))))))))</f>
        <v/>
      </c>
      <c r="AN329" s="21" t="n"/>
      <c r="AO329" s="21" t="n"/>
      <c r="AP329" s="27">
        <f>SUM(AN329:AO329)</f>
        <v/>
      </c>
      <c r="AQ329" s="28" t="n"/>
      <c r="AR329" s="30" t="n"/>
      <c r="AS329" s="29">
        <f>IF(AND(AP329=0,AQ329=0,AR329=0),0,IF(AND(AP329=0,AQ329=0),AR329/1,IF(AND(AP329=0,AR329=0),AQ329/1,IF(AND(AQ329=0,AR329=0),AP329/1,IF(AP329=0,FLOOR((AQ329+AR329)/2,0.1),IF(AQ329=0,(AP329+AR329)/2,IF(AR329=0,(AQ329+AP329)/2,FLOOR(((AP329+AQ329+AR329)/3),0.1))))))))</f>
        <v/>
      </c>
      <c r="AT329" s="21" t="n"/>
      <c r="AU329" s="21" t="n"/>
      <c r="AV329" s="27">
        <f>SUM(AT329:AU329)</f>
        <v/>
      </c>
      <c r="AW329" s="28" t="n"/>
      <c r="AX329" s="30" t="n"/>
      <c r="AY329" s="29">
        <f>IF(AND(AV329=0,AW329=0,AX329=0),0,IF(AND(AV329=0,AW329=0),AX329/1,IF(AND(AV329=0,AX329=0),AW329/1,IF(AND(AW329=0,AX329=0),AV329/1,IF(AV329=0,FLOOR((AW329+AX329)/2,0.1),IF(AW329=0,(AV329+AX329)/2,IF(AX329=0,(AW329+AV329)/2,FLOOR(((AV329+AW329+AX329)/3),0.1))))))))</f>
        <v/>
      </c>
      <c r="AZ329" s="21" t="n"/>
      <c r="BA329" s="21" t="n"/>
      <c r="BB329" s="27">
        <f>SUM(AZ329:BA329)</f>
        <v/>
      </c>
      <c r="BC329" s="28" t="n"/>
      <c r="BD329" s="28" t="n"/>
      <c r="BE329" s="29">
        <f>IF(AND(BB329=0,BC329=0,BD329=0),0,IF(AND(BB329=0,BC329=0),BD329/1,IF(AND(BB329=0,BD329=0),BC329/1,IF(AND(BC329=0,BD329=0),BB329/1,IF(BB329=0,FLOOR((BC329+BD329)/2,0.1),IF(BC329=0,(BB329+BD329)/2,IF(BD329=0,(BC329+BB329)/2,FLOOR(((BB329+BC329+BD329)/3),0.1))))))))</f>
        <v/>
      </c>
      <c r="BF329" s="21" t="n"/>
      <c r="BG329" s="21" t="n"/>
      <c r="BH329" s="27">
        <f>SUM(BF329:BG329)</f>
        <v/>
      </c>
      <c r="BI329" s="28" t="n"/>
      <c r="BJ329" s="28" t="n"/>
      <c r="BK329" s="29">
        <f>IF(AND(BH329=0,BI329=0,BJ329=0),0,IF(AND(BH329=0,BI329=0),BJ329/1,IF(AND(BH329=0,BJ329=0),BI329/1,IF(AND(BI329=0,BJ329=0),BH329/1,IF(BH329=0,FLOOR((BI329+BJ329)/2,0.1),IF(BI329=0,(BH329+BJ329)/2,IF(BJ329=0,(BI329+BH329)/2,FLOOR(((BH329+BI329+BJ329)/3),0.1))))))))</f>
        <v/>
      </c>
      <c r="BL329" s="21" t="n"/>
      <c r="BM329" s="21" t="n"/>
      <c r="BN329" s="27">
        <f>SUM(BL329:BM329)</f>
        <v/>
      </c>
      <c r="BO329" s="28" t="n"/>
      <c r="BP329" s="31" t="n"/>
      <c r="BQ329" s="29">
        <f>IF(AND(BN329=0,BO329=0,BP329=0),0,IF(AND(BN329=0,BO329=0),BP329/1,IF(AND(BN329=0,BP329=0),BO329/1,IF(AND(BO329=0,BP329=0),BN329/1,IF(BN329=0,FLOOR((BO329+BP329)/2,0.1),IF(BO329=0,(BN329+BP329)/2,IF(BP329=0,(BO329+BN329)/2,FLOOR(((BN329+BO329+BP329)/3),0.1))))))))</f>
        <v/>
      </c>
      <c r="BR329" s="21" t="n"/>
      <c r="BS329" s="21" t="n"/>
      <c r="BT329" s="27">
        <f>SUM(BR329:BS329)</f>
        <v/>
      </c>
      <c r="BU329" s="28" t="n"/>
      <c r="BV329" s="31" t="n"/>
      <c r="BW329" s="29">
        <f>IF(AND(BT329=0,BU329=0,BV329=0),0,IF(AND(BT329=0,BU329=0),BV329/1,IF(AND(BT329=0,BV329=0),BU329/1,IF(AND(BU329=0,BV329=0),BT329/1,IF(BT329=0,FLOOR((BU329+BV329)/2,0.1),IF(BU329=0,(BT329+BV329)/2,IF(BV329=0,(BU329+BT329)/2,FLOOR(((BT329+BU329+BV329)/3),0.1))))))))</f>
        <v/>
      </c>
      <c r="BX329" s="21" t="n"/>
      <c r="BY329" s="21" t="n"/>
      <c r="BZ329" s="27">
        <f>SUM(BX329:BY329)</f>
        <v/>
      </c>
      <c r="CA329" s="28" t="n"/>
      <c r="CB329" s="31" t="n"/>
      <c r="CC329" s="29">
        <f>IF(AND(BZ329=0,CA329=0,CB329=0),0,IF(AND(BZ329=0,CA329=0),CB329/1,IF(AND(BZ329=0,CB329=0),CA329/1,IF(AND(CA329=0,CB329=0),BZ329/1,IF(BZ329=0,FLOOR((CA329+CB329)/2,0.1),IF(CA329=0,(BZ329+CB329)/2,IF(CB329=0,(CA329+BZ329)/2,FLOOR(((BZ329+CA329+CB329)/3),0.1))))))))</f>
        <v/>
      </c>
      <c r="CD329" s="21" t="n"/>
      <c r="CE329" s="21" t="n"/>
      <c r="CF329" s="27">
        <f>SUM(CD329:CE329)</f>
        <v/>
      </c>
      <c r="CG329" s="28" t="n"/>
      <c r="CH329" s="31" t="n"/>
      <c r="CI329" s="29">
        <f>IF(AND(CF329=0,CG329=0,CH329=0),0,IF(AND(CF329=0,CG329=0),CH329/1,IF(AND(CF329=0,CH329=0),CG329/1,IF(AND(CG329=0,CH329=0),CF329/1,IF(CF329=0,FLOOR((CG329+CH329)/2,0.1),IF(CG329=0,(CF329+CH329)/2,IF(CH329=0,(CG329+CF329)/2,FLOOR(((CF329+CG329+CH329)/3),0.1))))))))</f>
        <v/>
      </c>
      <c r="CJ329" s="21" t="n"/>
      <c r="CK329" s="21" t="n"/>
      <c r="CL329" s="27">
        <f>SUM(CJ329:CK329)</f>
        <v/>
      </c>
      <c r="CM329" s="28" t="n"/>
      <c r="CN329" s="31" t="n"/>
      <c r="CO329" s="29">
        <f>IF(AND(CL329=0,CM329=0,CN329=0),0,IF(AND(CL329=0,CM329=0),CN329/1,IF(AND(CL329=0,CN329=0),CM329/1,IF(AND(CM329=0,CN329=0),CL329/1,IF(CL329=0,FLOOR((CM329+CN329)/2,0.1),IF(CM329=0,(CL329+CN329)/2,IF(CN329=0,(CM329+CL329)/2,FLOOR(((CL329+CM329+CN329)/3),0.1))))))))</f>
        <v/>
      </c>
      <c r="CP329" s="21" t="n"/>
      <c r="CQ329" s="21" t="n"/>
      <c r="CR329" s="27">
        <f>SUM(CP329:CQ329)</f>
        <v/>
      </c>
      <c r="CS329" s="28" t="n"/>
      <c r="CT329" s="31" t="n"/>
      <c r="CU329" s="29">
        <f>IF(AND(CR329=0,CS329=0,CT329=0),0,IF(AND(CR329=0,CS329=0),CT329/1,IF(AND(CR329=0,CT329=0),CS329/1,IF(AND(CS329=0,CT329=0),CR329/1,IF(CR329=0,FLOOR((CS329+CT329)/2,0.1),IF(CS329=0,(CR329+CT329)/2,IF(CT329=0,(CS329+CR329)/2,FLOOR(((CR329+CS329+CT329)/3),0.1))))))))</f>
        <v/>
      </c>
      <c r="CV329" s="21" t="n"/>
      <c r="CW329" s="21" t="n"/>
      <c r="CX329" s="27">
        <f>SUM(CV329:CW329)</f>
        <v/>
      </c>
      <c r="CY329" s="28" t="n"/>
      <c r="CZ329" s="31" t="n"/>
      <c r="DA329" s="29">
        <f>IF(AND(CX329=0,CY329=0,CZ329=0),0,IF(AND(CX329=0,CY329=0),CZ329/1,IF(AND(CX329=0,CZ329=0),CY329/1,IF(AND(CY329=0,CZ329=0),CX329/1,IF(CX329=0,FLOOR((CY329+CZ329)/2,0.1),IF(CY329=0,(CX329+CZ329)/2,IF(CZ329=0,(CY329+CX329)/2,FLOOR(((CX329+CY329+CZ329)/3),0.1))))))))</f>
        <v/>
      </c>
      <c r="DB329" s="21" t="n"/>
      <c r="DC329" s="21" t="n"/>
      <c r="DD329" s="27">
        <f>SUM(DB329:DC329)</f>
        <v/>
      </c>
      <c r="DE329" s="28" t="n"/>
      <c r="DF329" s="31" t="n"/>
      <c r="DG329" s="29">
        <f>IF(AND(DD329=0,DE329=0,DF329=0),0,IF(AND(DD329=0,DE329=0),DF329/1,IF(AND(DD329=0,DF329=0),DE329/1,IF(AND(DE329=0,DF329=0),DD329/1,IF(DD329=0,FLOOR((DE329+DF329)/2,0.1),IF(DE329=0,(DD329+DF329)/2,IF(DF329=0,(DE329+DD329)/2,FLOOR(((DD329+DE329+DF329)/3),0.1))))))))</f>
        <v/>
      </c>
      <c r="DH329" s="34">
        <f>SUM(O329,U329,AA329,AG329,AM329,AS329,AY329,BE329,BK329,BQ329,BW329,CC329,CI329,CO329,CU329,DA329,DG329)</f>
        <v/>
      </c>
      <c r="DI329" s="39">
        <f>RANK(DH329,DH$4:DH$503)</f>
        <v/>
      </c>
      <c r="DJ329" s="40" t="inlineStr">
        <is>
          <t>CHOOSE RATING</t>
        </is>
      </c>
      <c r="DK329" s="40" t="inlineStr">
        <is>
          <t>CHOOSE RATING</t>
        </is>
      </c>
      <c r="DL329" s="40" t="inlineStr">
        <is>
          <t>CHOOSE RATING</t>
        </is>
      </c>
      <c r="DM329" s="40" t="inlineStr">
        <is>
          <t>CHOOSE RATING</t>
        </is>
      </c>
      <c r="DN329" s="40" t="inlineStr">
        <is>
          <t>CHOOSE RATING</t>
        </is>
      </c>
      <c r="DO329" s="40" t="inlineStr">
        <is>
          <t>CHOOSE RATING</t>
        </is>
      </c>
      <c r="DP329" s="40" t="inlineStr">
        <is>
          <t>CHOOSE RATING</t>
        </is>
      </c>
      <c r="DQ329" s="40" t="inlineStr">
        <is>
          <t>CHOOSE RATING</t>
        </is>
      </c>
      <c r="DR329" s="43" t="inlineStr">
        <is>
          <t>2024/2025</t>
        </is>
      </c>
      <c r="DS329" s="45" t="inlineStr">
        <is>
          <t>THIRD</t>
        </is>
      </c>
      <c r="DT329" s="40" t="inlineStr">
        <is>
          <t>CHOOSE RATING</t>
        </is>
      </c>
      <c r="DU329" s="40" t="inlineStr">
        <is>
          <t>CHOOSE RATING</t>
        </is>
      </c>
      <c r="DV329" s="40" t="inlineStr">
        <is>
          <t>CHOOSE RATING</t>
        </is>
      </c>
      <c r="DW329" s="40" t="inlineStr">
        <is>
          <t>CHOOSE RATING</t>
        </is>
      </c>
      <c r="DX329" s="40" t="inlineStr">
        <is>
          <t>CHOOSE RATING</t>
        </is>
      </c>
      <c r="DY329" s="40" t="inlineStr">
        <is>
          <t>CHOOSE RATING</t>
        </is>
      </c>
      <c r="DZ329" s="53" t="inlineStr">
        <is>
          <t>CHOOSE RATING</t>
        </is>
      </c>
      <c r="EA329" s="54" t="inlineStr">
        <is>
          <t>Add the Tutor's Comment . . .</t>
        </is>
      </c>
      <c r="EB329" s="55" t="inlineStr">
        <is>
          <t>Choose Principals comment</t>
        </is>
      </c>
      <c r="EC329" s="56" t="n"/>
      <c r="ED329" s="57" t="inlineStr">
        <is>
          <t>Next Term Begins on Monday, 22nd September, 2025</t>
        </is>
      </c>
    </row>
    <row r="330" ht="30.6" customHeight="1" s="6">
      <c r="A330" s="18" t="n">
        <v>327</v>
      </c>
      <c r="B330" s="19" t="n"/>
      <c r="C330" s="20" t="n"/>
      <c r="D330" s="128" t="n"/>
      <c r="E330" s="21" t="n"/>
      <c r="F330" s="22" t="n"/>
      <c r="G330" s="22" t="n"/>
      <c r="H330" s="22" t="n"/>
      <c r="I330" s="26">
        <f>G330-H330</f>
        <v/>
      </c>
      <c r="J330" s="21" t="n"/>
      <c r="K330" s="21" t="n"/>
      <c r="L330" s="27">
        <f>SUM(J330:K330)</f>
        <v/>
      </c>
      <c r="M330" s="28" t="n"/>
      <c r="N330" s="28" t="n"/>
      <c r="O330" s="29">
        <f>IF(AND(L330=0,M330=0,N330=0),0,IF(AND(L330=0,M330=0),N330/1,IF(AND(L330=0,N330=0),M330/1,IF(AND(M330=0,N330=0),L330/1,IF(L330=0,FLOOR((M330+N330)/2,0.1),IF(M330=0,(L330+N330)/2,IF(N330=0,(M330+L330)/2,FLOOR(((L330+M330+N330)/3),0.1))))))))</f>
        <v/>
      </c>
      <c r="P330" s="21" t="n"/>
      <c r="Q330" s="21" t="n"/>
      <c r="R330" s="27">
        <f>SUM(P330:Q330)</f>
        <v/>
      </c>
      <c r="S330" s="28" t="n"/>
      <c r="T330" s="28" t="n"/>
      <c r="U330" s="29">
        <f>IF(AND(R330=0,S330=0,T330=0),0,IF(AND(R330=0,S330=0),T330/1,IF(AND(R330=0,T330=0),S330/1,IF(AND(S330=0,T330=0),R330/1,IF(R330=0,FLOOR((S330+T330)/2,0.1),IF(S330=0,(R330+T330)/2,IF(T330=0,(S330+R330)/2,FLOOR(((R330+S330+T330)/3),0.1))))))))</f>
        <v/>
      </c>
      <c r="V330" s="21" t="n"/>
      <c r="W330" s="21" t="n"/>
      <c r="X330" s="27">
        <f>SUM(V330:W330)</f>
        <v/>
      </c>
      <c r="Y330" s="28" t="n"/>
      <c r="Z330" s="28" t="n"/>
      <c r="AA330" s="29">
        <f>IF(AND(X330=0,Y330=0,Z330=0),0,IF(AND(X330=0,Y330=0),Z330/1,IF(AND(X330=0,Z330=0),Y330/1,IF(AND(Y330=0,Z330=0),X330/1,IF(X330=0,FLOOR((Y330+Z330)/2,0.1),IF(Y330=0,(X330+Z330)/2,IF(Z330=0,(Y330+X330)/2,FLOOR(((X330+Y330+Z330)/3),0.1))))))))</f>
        <v/>
      </c>
      <c r="AB330" s="21" t="n"/>
      <c r="AC330" s="21" t="n"/>
      <c r="AD330" s="27">
        <f>SUM(AB330:AC330)</f>
        <v/>
      </c>
      <c r="AE330" s="28" t="n"/>
      <c r="AF330" s="28" t="n"/>
      <c r="AG330" s="29">
        <f>IF(AND(AD330=0,AE330=0,AF330=0),0,IF(AND(AD330=0,AE330=0),AF330/1,IF(AND(AD330=0,AF330=0),AE330/1,IF(AND(AE330=0,AF330=0),AD330/1,IF(AD330=0,FLOOR((AE330+AF330)/2,0.1),IF(AE330=0,(AD330+AF330)/2,IF(AF330=0,(AE330+AD330)/2,FLOOR(((AD330+AE330+AF330)/3),0.1))))))))</f>
        <v/>
      </c>
      <c r="AH330" s="21" t="n"/>
      <c r="AI330" s="21" t="n"/>
      <c r="AJ330" s="27">
        <f>SUM(AH330:AI330)</f>
        <v/>
      </c>
      <c r="AK330" s="28" t="n"/>
      <c r="AL330" s="28" t="n"/>
      <c r="AM330" s="29">
        <f>IF(AND(AJ330=0,AK330=0,AL330=0),0,IF(AND(AJ330=0,AK330=0),AL330/1,IF(AND(AJ330=0,AL330=0),AK330/1,IF(AND(AK330=0,AL330=0),AJ330/1,IF(AJ330=0,FLOOR((AK330+AL330)/2,0.1),IF(AK330=0,(AJ330+AL330)/2,IF(AL330=0,(AK330+AJ330)/2,FLOOR(((AJ330+AK330+AL330)/3),0.1))))))))</f>
        <v/>
      </c>
      <c r="AN330" s="21" t="n"/>
      <c r="AO330" s="21" t="n"/>
      <c r="AP330" s="27">
        <f>SUM(AN330:AO330)</f>
        <v/>
      </c>
      <c r="AQ330" s="28" t="n"/>
      <c r="AR330" s="30" t="n"/>
      <c r="AS330" s="29">
        <f>IF(AND(AP330=0,AQ330=0,AR330=0),0,IF(AND(AP330=0,AQ330=0),AR330/1,IF(AND(AP330=0,AR330=0),AQ330/1,IF(AND(AQ330=0,AR330=0),AP330/1,IF(AP330=0,FLOOR((AQ330+AR330)/2,0.1),IF(AQ330=0,(AP330+AR330)/2,IF(AR330=0,(AQ330+AP330)/2,FLOOR(((AP330+AQ330+AR330)/3),0.1))))))))</f>
        <v/>
      </c>
      <c r="AT330" s="21" t="n"/>
      <c r="AU330" s="21" t="n"/>
      <c r="AV330" s="27">
        <f>SUM(AT330:AU330)</f>
        <v/>
      </c>
      <c r="AW330" s="28" t="n"/>
      <c r="AX330" s="30" t="n"/>
      <c r="AY330" s="29">
        <f>IF(AND(AV330=0,AW330=0,AX330=0),0,IF(AND(AV330=0,AW330=0),AX330/1,IF(AND(AV330=0,AX330=0),AW330/1,IF(AND(AW330=0,AX330=0),AV330/1,IF(AV330=0,FLOOR((AW330+AX330)/2,0.1),IF(AW330=0,(AV330+AX330)/2,IF(AX330=0,(AW330+AV330)/2,FLOOR(((AV330+AW330+AX330)/3),0.1))))))))</f>
        <v/>
      </c>
      <c r="AZ330" s="21" t="n"/>
      <c r="BA330" s="21" t="n"/>
      <c r="BB330" s="27">
        <f>SUM(AZ330:BA330)</f>
        <v/>
      </c>
      <c r="BC330" s="28" t="n"/>
      <c r="BD330" s="28" t="n"/>
      <c r="BE330" s="29">
        <f>IF(AND(BB330=0,BC330=0,BD330=0),0,IF(AND(BB330=0,BC330=0),BD330/1,IF(AND(BB330=0,BD330=0),BC330/1,IF(AND(BC330=0,BD330=0),BB330/1,IF(BB330=0,FLOOR((BC330+BD330)/2,0.1),IF(BC330=0,(BB330+BD330)/2,IF(BD330=0,(BC330+BB330)/2,FLOOR(((BB330+BC330+BD330)/3),0.1))))))))</f>
        <v/>
      </c>
      <c r="BF330" s="21" t="n"/>
      <c r="BG330" s="21" t="n"/>
      <c r="BH330" s="27">
        <f>SUM(BF330:BG330)</f>
        <v/>
      </c>
      <c r="BI330" s="28" t="n"/>
      <c r="BJ330" s="28" t="n"/>
      <c r="BK330" s="29">
        <f>IF(AND(BH330=0,BI330=0,BJ330=0),0,IF(AND(BH330=0,BI330=0),BJ330/1,IF(AND(BH330=0,BJ330=0),BI330/1,IF(AND(BI330=0,BJ330=0),BH330/1,IF(BH330=0,FLOOR((BI330+BJ330)/2,0.1),IF(BI330=0,(BH330+BJ330)/2,IF(BJ330=0,(BI330+BH330)/2,FLOOR(((BH330+BI330+BJ330)/3),0.1))))))))</f>
        <v/>
      </c>
      <c r="BL330" s="21" t="n"/>
      <c r="BM330" s="21" t="n"/>
      <c r="BN330" s="27">
        <f>SUM(BL330:BM330)</f>
        <v/>
      </c>
      <c r="BO330" s="28" t="n"/>
      <c r="BP330" s="31" t="n"/>
      <c r="BQ330" s="29">
        <f>IF(AND(BN330=0,BO330=0,BP330=0),0,IF(AND(BN330=0,BO330=0),BP330/1,IF(AND(BN330=0,BP330=0),BO330/1,IF(AND(BO330=0,BP330=0),BN330/1,IF(BN330=0,FLOOR((BO330+BP330)/2,0.1),IF(BO330=0,(BN330+BP330)/2,IF(BP330=0,(BO330+BN330)/2,FLOOR(((BN330+BO330+BP330)/3),0.1))))))))</f>
        <v/>
      </c>
      <c r="BR330" s="21" t="n"/>
      <c r="BS330" s="21" t="n"/>
      <c r="BT330" s="27">
        <f>SUM(BR330:BS330)</f>
        <v/>
      </c>
      <c r="BU330" s="28" t="n"/>
      <c r="BV330" s="31" t="n"/>
      <c r="BW330" s="29">
        <f>IF(AND(BT330=0,BU330=0,BV330=0),0,IF(AND(BT330=0,BU330=0),BV330/1,IF(AND(BT330=0,BV330=0),BU330/1,IF(AND(BU330=0,BV330=0),BT330/1,IF(BT330=0,FLOOR((BU330+BV330)/2,0.1),IF(BU330=0,(BT330+BV330)/2,IF(BV330=0,(BU330+BT330)/2,FLOOR(((BT330+BU330+BV330)/3),0.1))))))))</f>
        <v/>
      </c>
      <c r="BX330" s="21" t="n"/>
      <c r="BY330" s="21" t="n"/>
      <c r="BZ330" s="27">
        <f>SUM(BX330:BY330)</f>
        <v/>
      </c>
      <c r="CA330" s="28" t="n"/>
      <c r="CB330" s="31" t="n"/>
      <c r="CC330" s="29">
        <f>IF(AND(BZ330=0,CA330=0,CB330=0),0,IF(AND(BZ330=0,CA330=0),CB330/1,IF(AND(BZ330=0,CB330=0),CA330/1,IF(AND(CA330=0,CB330=0),BZ330/1,IF(BZ330=0,FLOOR((CA330+CB330)/2,0.1),IF(CA330=0,(BZ330+CB330)/2,IF(CB330=0,(CA330+BZ330)/2,FLOOR(((BZ330+CA330+CB330)/3),0.1))))))))</f>
        <v/>
      </c>
      <c r="CD330" s="21" t="n"/>
      <c r="CE330" s="21" t="n"/>
      <c r="CF330" s="27">
        <f>SUM(CD330:CE330)</f>
        <v/>
      </c>
      <c r="CG330" s="28" t="n"/>
      <c r="CH330" s="31" t="n"/>
      <c r="CI330" s="29">
        <f>IF(AND(CF330=0,CG330=0,CH330=0),0,IF(AND(CF330=0,CG330=0),CH330/1,IF(AND(CF330=0,CH330=0),CG330/1,IF(AND(CG330=0,CH330=0),CF330/1,IF(CF330=0,FLOOR((CG330+CH330)/2,0.1),IF(CG330=0,(CF330+CH330)/2,IF(CH330=0,(CG330+CF330)/2,FLOOR(((CF330+CG330+CH330)/3),0.1))))))))</f>
        <v/>
      </c>
      <c r="CJ330" s="21" t="n"/>
      <c r="CK330" s="21" t="n"/>
      <c r="CL330" s="27">
        <f>SUM(CJ330:CK330)</f>
        <v/>
      </c>
      <c r="CM330" s="28" t="n"/>
      <c r="CN330" s="31" t="n"/>
      <c r="CO330" s="29">
        <f>IF(AND(CL330=0,CM330=0,CN330=0),0,IF(AND(CL330=0,CM330=0),CN330/1,IF(AND(CL330=0,CN330=0),CM330/1,IF(AND(CM330=0,CN330=0),CL330/1,IF(CL330=0,FLOOR((CM330+CN330)/2,0.1),IF(CM330=0,(CL330+CN330)/2,IF(CN330=0,(CM330+CL330)/2,FLOOR(((CL330+CM330+CN330)/3),0.1))))))))</f>
        <v/>
      </c>
      <c r="CP330" s="21" t="n"/>
      <c r="CQ330" s="21" t="n"/>
      <c r="CR330" s="27">
        <f>SUM(CP330:CQ330)</f>
        <v/>
      </c>
      <c r="CS330" s="28" t="n"/>
      <c r="CT330" s="31" t="n"/>
      <c r="CU330" s="29">
        <f>IF(AND(CR330=0,CS330=0,CT330=0),0,IF(AND(CR330=0,CS330=0),CT330/1,IF(AND(CR330=0,CT330=0),CS330/1,IF(AND(CS330=0,CT330=0),CR330/1,IF(CR330=0,FLOOR((CS330+CT330)/2,0.1),IF(CS330=0,(CR330+CT330)/2,IF(CT330=0,(CS330+CR330)/2,FLOOR(((CR330+CS330+CT330)/3),0.1))))))))</f>
        <v/>
      </c>
      <c r="CV330" s="21" t="n"/>
      <c r="CW330" s="21" t="n"/>
      <c r="CX330" s="27">
        <f>SUM(CV330:CW330)</f>
        <v/>
      </c>
      <c r="CY330" s="28" t="n"/>
      <c r="CZ330" s="31" t="n"/>
      <c r="DA330" s="29">
        <f>IF(AND(CX330=0,CY330=0,CZ330=0),0,IF(AND(CX330=0,CY330=0),CZ330/1,IF(AND(CX330=0,CZ330=0),CY330/1,IF(AND(CY330=0,CZ330=0),CX330/1,IF(CX330=0,FLOOR((CY330+CZ330)/2,0.1),IF(CY330=0,(CX330+CZ330)/2,IF(CZ330=0,(CY330+CX330)/2,FLOOR(((CX330+CY330+CZ330)/3),0.1))))))))</f>
        <v/>
      </c>
      <c r="DB330" s="21" t="n"/>
      <c r="DC330" s="21" t="n"/>
      <c r="DD330" s="27">
        <f>SUM(DB330:DC330)</f>
        <v/>
      </c>
      <c r="DE330" s="28" t="n"/>
      <c r="DF330" s="31" t="n"/>
      <c r="DG330" s="29">
        <f>IF(AND(DD330=0,DE330=0,DF330=0),0,IF(AND(DD330=0,DE330=0),DF330/1,IF(AND(DD330=0,DF330=0),DE330/1,IF(AND(DE330=0,DF330=0),DD330/1,IF(DD330=0,FLOOR((DE330+DF330)/2,0.1),IF(DE330=0,(DD330+DF330)/2,IF(DF330=0,(DE330+DD330)/2,FLOOR(((DD330+DE330+DF330)/3),0.1))))))))</f>
        <v/>
      </c>
      <c r="DH330" s="34">
        <f>SUM(O330,U330,AA330,AG330,AM330,AS330,AY330,BE330,BK330,BQ330,BW330,CC330,CI330,CO330,CU330,DA330,DG330)</f>
        <v/>
      </c>
      <c r="DI330" s="39">
        <f>RANK(DH330,DH$4:DH$503)</f>
        <v/>
      </c>
      <c r="DJ330" s="40" t="inlineStr">
        <is>
          <t>CHOOSE RATING</t>
        </is>
      </c>
      <c r="DK330" s="40" t="inlineStr">
        <is>
          <t>CHOOSE RATING</t>
        </is>
      </c>
      <c r="DL330" s="40" t="inlineStr">
        <is>
          <t>CHOOSE RATING</t>
        </is>
      </c>
      <c r="DM330" s="40" t="inlineStr">
        <is>
          <t>CHOOSE RATING</t>
        </is>
      </c>
      <c r="DN330" s="40" t="inlineStr">
        <is>
          <t>CHOOSE RATING</t>
        </is>
      </c>
      <c r="DO330" s="40" t="inlineStr">
        <is>
          <t>CHOOSE RATING</t>
        </is>
      </c>
      <c r="DP330" s="40" t="inlineStr">
        <is>
          <t>CHOOSE RATING</t>
        </is>
      </c>
      <c r="DQ330" s="40" t="inlineStr">
        <is>
          <t>CHOOSE RATING</t>
        </is>
      </c>
      <c r="DR330" s="43" t="inlineStr">
        <is>
          <t>2024/2025</t>
        </is>
      </c>
      <c r="DS330" s="45" t="inlineStr">
        <is>
          <t>THIRD</t>
        </is>
      </c>
      <c r="DT330" s="40" t="inlineStr">
        <is>
          <t>CHOOSE RATING</t>
        </is>
      </c>
      <c r="DU330" s="40" t="inlineStr">
        <is>
          <t>CHOOSE RATING</t>
        </is>
      </c>
      <c r="DV330" s="40" t="inlineStr">
        <is>
          <t>CHOOSE RATING</t>
        </is>
      </c>
      <c r="DW330" s="40" t="inlineStr">
        <is>
          <t>CHOOSE RATING</t>
        </is>
      </c>
      <c r="DX330" s="40" t="inlineStr">
        <is>
          <t>CHOOSE RATING</t>
        </is>
      </c>
      <c r="DY330" s="40" t="inlineStr">
        <is>
          <t>CHOOSE RATING</t>
        </is>
      </c>
      <c r="DZ330" s="53" t="inlineStr">
        <is>
          <t>CHOOSE RATING</t>
        </is>
      </c>
      <c r="EA330" s="54" t="inlineStr">
        <is>
          <t>Add the Tutor's Comment . . .</t>
        </is>
      </c>
      <c r="EB330" s="55" t="inlineStr">
        <is>
          <t>Choose Principals comment</t>
        </is>
      </c>
      <c r="EC330" s="56" t="n"/>
      <c r="ED330" s="57" t="inlineStr">
        <is>
          <t>Next Term Begins on Monday, 22nd September, 2025</t>
        </is>
      </c>
    </row>
    <row r="331" ht="30.6" customHeight="1" s="6">
      <c r="A331" s="18" t="n">
        <v>328</v>
      </c>
      <c r="B331" s="19" t="n"/>
      <c r="C331" s="20" t="n"/>
      <c r="D331" s="128" t="n"/>
      <c r="E331" s="21" t="n"/>
      <c r="F331" s="22" t="n"/>
      <c r="G331" s="22" t="n"/>
      <c r="H331" s="22" t="n"/>
      <c r="I331" s="26">
        <f>G331-H331</f>
        <v/>
      </c>
      <c r="J331" s="21" t="n"/>
      <c r="K331" s="21" t="n"/>
      <c r="L331" s="27">
        <f>SUM(J331:K331)</f>
        <v/>
      </c>
      <c r="M331" s="28" t="n"/>
      <c r="N331" s="28" t="n"/>
      <c r="O331" s="29">
        <f>IF(AND(L331=0,M331=0,N331=0),0,IF(AND(L331=0,M331=0),N331/1,IF(AND(L331=0,N331=0),M331/1,IF(AND(M331=0,N331=0),L331/1,IF(L331=0,FLOOR((M331+N331)/2,0.1),IF(M331=0,(L331+N331)/2,IF(N331=0,(M331+L331)/2,FLOOR(((L331+M331+N331)/3),0.1))))))))</f>
        <v/>
      </c>
      <c r="P331" s="21" t="n"/>
      <c r="Q331" s="21" t="n"/>
      <c r="R331" s="27">
        <f>SUM(P331:Q331)</f>
        <v/>
      </c>
      <c r="S331" s="28" t="n"/>
      <c r="T331" s="28" t="n"/>
      <c r="U331" s="29">
        <f>IF(AND(R331=0,S331=0,T331=0),0,IF(AND(R331=0,S331=0),T331/1,IF(AND(R331=0,T331=0),S331/1,IF(AND(S331=0,T331=0),R331/1,IF(R331=0,FLOOR((S331+T331)/2,0.1),IF(S331=0,(R331+T331)/2,IF(T331=0,(S331+R331)/2,FLOOR(((R331+S331+T331)/3),0.1))))))))</f>
        <v/>
      </c>
      <c r="V331" s="21" t="n"/>
      <c r="W331" s="21" t="n"/>
      <c r="X331" s="27">
        <f>SUM(V331:W331)</f>
        <v/>
      </c>
      <c r="Y331" s="28" t="n"/>
      <c r="Z331" s="28" t="n"/>
      <c r="AA331" s="29">
        <f>IF(AND(X331=0,Y331=0,Z331=0),0,IF(AND(X331=0,Y331=0),Z331/1,IF(AND(X331=0,Z331=0),Y331/1,IF(AND(Y331=0,Z331=0),X331/1,IF(X331=0,FLOOR((Y331+Z331)/2,0.1),IF(Y331=0,(X331+Z331)/2,IF(Z331=0,(Y331+X331)/2,FLOOR(((X331+Y331+Z331)/3),0.1))))))))</f>
        <v/>
      </c>
      <c r="AB331" s="21" t="n"/>
      <c r="AC331" s="21" t="n"/>
      <c r="AD331" s="27">
        <f>SUM(AB331:AC331)</f>
        <v/>
      </c>
      <c r="AE331" s="28" t="n"/>
      <c r="AF331" s="28" t="n"/>
      <c r="AG331" s="29">
        <f>IF(AND(AD331=0,AE331=0,AF331=0),0,IF(AND(AD331=0,AE331=0),AF331/1,IF(AND(AD331=0,AF331=0),AE331/1,IF(AND(AE331=0,AF331=0),AD331/1,IF(AD331=0,FLOOR((AE331+AF331)/2,0.1),IF(AE331=0,(AD331+AF331)/2,IF(AF331=0,(AE331+AD331)/2,FLOOR(((AD331+AE331+AF331)/3),0.1))))))))</f>
        <v/>
      </c>
      <c r="AH331" s="21" t="n"/>
      <c r="AI331" s="21" t="n"/>
      <c r="AJ331" s="27">
        <f>SUM(AH331:AI331)</f>
        <v/>
      </c>
      <c r="AK331" s="28" t="n"/>
      <c r="AL331" s="28" t="n"/>
      <c r="AM331" s="29">
        <f>IF(AND(AJ331=0,AK331=0,AL331=0),0,IF(AND(AJ331=0,AK331=0),AL331/1,IF(AND(AJ331=0,AL331=0),AK331/1,IF(AND(AK331=0,AL331=0),AJ331/1,IF(AJ331=0,FLOOR((AK331+AL331)/2,0.1),IF(AK331=0,(AJ331+AL331)/2,IF(AL331=0,(AK331+AJ331)/2,FLOOR(((AJ331+AK331+AL331)/3),0.1))))))))</f>
        <v/>
      </c>
      <c r="AN331" s="21" t="n"/>
      <c r="AO331" s="21" t="n"/>
      <c r="AP331" s="27">
        <f>SUM(AN331:AO331)</f>
        <v/>
      </c>
      <c r="AQ331" s="28" t="n"/>
      <c r="AR331" s="30" t="n"/>
      <c r="AS331" s="29">
        <f>IF(AND(AP331=0,AQ331=0,AR331=0),0,IF(AND(AP331=0,AQ331=0),AR331/1,IF(AND(AP331=0,AR331=0),AQ331/1,IF(AND(AQ331=0,AR331=0),AP331/1,IF(AP331=0,FLOOR((AQ331+AR331)/2,0.1),IF(AQ331=0,(AP331+AR331)/2,IF(AR331=0,(AQ331+AP331)/2,FLOOR(((AP331+AQ331+AR331)/3),0.1))))))))</f>
        <v/>
      </c>
      <c r="AT331" s="21" t="n"/>
      <c r="AU331" s="21" t="n"/>
      <c r="AV331" s="27">
        <f>SUM(AT331:AU331)</f>
        <v/>
      </c>
      <c r="AW331" s="28" t="n"/>
      <c r="AX331" s="30" t="n"/>
      <c r="AY331" s="29">
        <f>IF(AND(AV331=0,AW331=0,AX331=0),0,IF(AND(AV331=0,AW331=0),AX331/1,IF(AND(AV331=0,AX331=0),AW331/1,IF(AND(AW331=0,AX331=0),AV331/1,IF(AV331=0,FLOOR((AW331+AX331)/2,0.1),IF(AW331=0,(AV331+AX331)/2,IF(AX331=0,(AW331+AV331)/2,FLOOR(((AV331+AW331+AX331)/3),0.1))))))))</f>
        <v/>
      </c>
      <c r="AZ331" s="21" t="n"/>
      <c r="BA331" s="21" t="n"/>
      <c r="BB331" s="27">
        <f>SUM(AZ331:BA331)</f>
        <v/>
      </c>
      <c r="BC331" s="28" t="n"/>
      <c r="BD331" s="28" t="n"/>
      <c r="BE331" s="29">
        <f>IF(AND(BB331=0,BC331=0,BD331=0),0,IF(AND(BB331=0,BC331=0),BD331/1,IF(AND(BB331=0,BD331=0),BC331/1,IF(AND(BC331=0,BD331=0),BB331/1,IF(BB331=0,FLOOR((BC331+BD331)/2,0.1),IF(BC331=0,(BB331+BD331)/2,IF(BD331=0,(BC331+BB331)/2,FLOOR(((BB331+BC331+BD331)/3),0.1))))))))</f>
        <v/>
      </c>
      <c r="BF331" s="21" t="n"/>
      <c r="BG331" s="21" t="n"/>
      <c r="BH331" s="27">
        <f>SUM(BF331:BG331)</f>
        <v/>
      </c>
      <c r="BI331" s="28" t="n"/>
      <c r="BJ331" s="28" t="n"/>
      <c r="BK331" s="29">
        <f>IF(AND(BH331=0,BI331=0,BJ331=0),0,IF(AND(BH331=0,BI331=0),BJ331/1,IF(AND(BH331=0,BJ331=0),BI331/1,IF(AND(BI331=0,BJ331=0),BH331/1,IF(BH331=0,FLOOR((BI331+BJ331)/2,0.1),IF(BI331=0,(BH331+BJ331)/2,IF(BJ331=0,(BI331+BH331)/2,FLOOR(((BH331+BI331+BJ331)/3),0.1))))))))</f>
        <v/>
      </c>
      <c r="BL331" s="21" t="n"/>
      <c r="BM331" s="21" t="n"/>
      <c r="BN331" s="27">
        <f>SUM(BL331:BM331)</f>
        <v/>
      </c>
      <c r="BO331" s="28" t="n"/>
      <c r="BP331" s="31" t="n"/>
      <c r="BQ331" s="29">
        <f>IF(AND(BN331=0,BO331=0,BP331=0),0,IF(AND(BN331=0,BO331=0),BP331/1,IF(AND(BN331=0,BP331=0),BO331/1,IF(AND(BO331=0,BP331=0),BN331/1,IF(BN331=0,FLOOR((BO331+BP331)/2,0.1),IF(BO331=0,(BN331+BP331)/2,IF(BP331=0,(BO331+BN331)/2,FLOOR(((BN331+BO331+BP331)/3),0.1))))))))</f>
        <v/>
      </c>
      <c r="BR331" s="21" t="n"/>
      <c r="BS331" s="21" t="n"/>
      <c r="BT331" s="27">
        <f>SUM(BR331:BS331)</f>
        <v/>
      </c>
      <c r="BU331" s="28" t="n"/>
      <c r="BV331" s="31" t="n"/>
      <c r="BW331" s="29">
        <f>IF(AND(BT331=0,BU331=0,BV331=0),0,IF(AND(BT331=0,BU331=0),BV331/1,IF(AND(BT331=0,BV331=0),BU331/1,IF(AND(BU331=0,BV331=0),BT331/1,IF(BT331=0,FLOOR((BU331+BV331)/2,0.1),IF(BU331=0,(BT331+BV331)/2,IF(BV331=0,(BU331+BT331)/2,FLOOR(((BT331+BU331+BV331)/3),0.1))))))))</f>
        <v/>
      </c>
      <c r="BX331" s="21" t="n"/>
      <c r="BY331" s="21" t="n"/>
      <c r="BZ331" s="27">
        <f>SUM(BX331:BY331)</f>
        <v/>
      </c>
      <c r="CA331" s="28" t="n"/>
      <c r="CB331" s="31" t="n"/>
      <c r="CC331" s="29">
        <f>IF(AND(BZ331=0,CA331=0,CB331=0),0,IF(AND(BZ331=0,CA331=0),CB331/1,IF(AND(BZ331=0,CB331=0),CA331/1,IF(AND(CA331=0,CB331=0),BZ331/1,IF(BZ331=0,FLOOR((CA331+CB331)/2,0.1),IF(CA331=0,(BZ331+CB331)/2,IF(CB331=0,(CA331+BZ331)/2,FLOOR(((BZ331+CA331+CB331)/3),0.1))))))))</f>
        <v/>
      </c>
      <c r="CD331" s="21" t="n"/>
      <c r="CE331" s="21" t="n"/>
      <c r="CF331" s="27">
        <f>SUM(CD331:CE331)</f>
        <v/>
      </c>
      <c r="CG331" s="28" t="n"/>
      <c r="CH331" s="31" t="n"/>
      <c r="CI331" s="29">
        <f>IF(AND(CF331=0,CG331=0,CH331=0),0,IF(AND(CF331=0,CG331=0),CH331/1,IF(AND(CF331=0,CH331=0),CG331/1,IF(AND(CG331=0,CH331=0),CF331/1,IF(CF331=0,FLOOR((CG331+CH331)/2,0.1),IF(CG331=0,(CF331+CH331)/2,IF(CH331=0,(CG331+CF331)/2,FLOOR(((CF331+CG331+CH331)/3),0.1))))))))</f>
        <v/>
      </c>
      <c r="CJ331" s="21" t="n"/>
      <c r="CK331" s="21" t="n"/>
      <c r="CL331" s="27">
        <f>SUM(CJ331:CK331)</f>
        <v/>
      </c>
      <c r="CM331" s="28" t="n"/>
      <c r="CN331" s="31" t="n"/>
      <c r="CO331" s="29">
        <f>IF(AND(CL331=0,CM331=0,CN331=0),0,IF(AND(CL331=0,CM331=0),CN331/1,IF(AND(CL331=0,CN331=0),CM331/1,IF(AND(CM331=0,CN331=0),CL331/1,IF(CL331=0,FLOOR((CM331+CN331)/2,0.1),IF(CM331=0,(CL331+CN331)/2,IF(CN331=0,(CM331+CL331)/2,FLOOR(((CL331+CM331+CN331)/3),0.1))))))))</f>
        <v/>
      </c>
      <c r="CP331" s="21" t="n"/>
      <c r="CQ331" s="21" t="n"/>
      <c r="CR331" s="27">
        <f>SUM(CP331:CQ331)</f>
        <v/>
      </c>
      <c r="CS331" s="28" t="n"/>
      <c r="CT331" s="31" t="n"/>
      <c r="CU331" s="29">
        <f>IF(AND(CR331=0,CS331=0,CT331=0),0,IF(AND(CR331=0,CS331=0),CT331/1,IF(AND(CR331=0,CT331=0),CS331/1,IF(AND(CS331=0,CT331=0),CR331/1,IF(CR331=0,FLOOR((CS331+CT331)/2,0.1),IF(CS331=0,(CR331+CT331)/2,IF(CT331=0,(CS331+CR331)/2,FLOOR(((CR331+CS331+CT331)/3),0.1))))))))</f>
        <v/>
      </c>
      <c r="CV331" s="21" t="n"/>
      <c r="CW331" s="21" t="n"/>
      <c r="CX331" s="27">
        <f>SUM(CV331:CW331)</f>
        <v/>
      </c>
      <c r="CY331" s="28" t="n"/>
      <c r="CZ331" s="31" t="n"/>
      <c r="DA331" s="29">
        <f>IF(AND(CX331=0,CY331=0,CZ331=0),0,IF(AND(CX331=0,CY331=0),CZ331/1,IF(AND(CX331=0,CZ331=0),CY331/1,IF(AND(CY331=0,CZ331=0),CX331/1,IF(CX331=0,FLOOR((CY331+CZ331)/2,0.1),IF(CY331=0,(CX331+CZ331)/2,IF(CZ331=0,(CY331+CX331)/2,FLOOR(((CX331+CY331+CZ331)/3),0.1))))))))</f>
        <v/>
      </c>
      <c r="DB331" s="21" t="n"/>
      <c r="DC331" s="21" t="n"/>
      <c r="DD331" s="27">
        <f>SUM(DB331:DC331)</f>
        <v/>
      </c>
      <c r="DE331" s="28" t="n"/>
      <c r="DF331" s="31" t="n"/>
      <c r="DG331" s="29">
        <f>IF(AND(DD331=0,DE331=0,DF331=0),0,IF(AND(DD331=0,DE331=0),DF331/1,IF(AND(DD331=0,DF331=0),DE331/1,IF(AND(DE331=0,DF331=0),DD331/1,IF(DD331=0,FLOOR((DE331+DF331)/2,0.1),IF(DE331=0,(DD331+DF331)/2,IF(DF331=0,(DE331+DD331)/2,FLOOR(((DD331+DE331+DF331)/3),0.1))))))))</f>
        <v/>
      </c>
      <c r="DH331" s="34">
        <f>SUM(O331,U331,AA331,AG331,AM331,AS331,AY331,BE331,BK331,BQ331,BW331,CC331,CI331,CO331,CU331,DA331,DG331)</f>
        <v/>
      </c>
      <c r="DI331" s="39">
        <f>RANK(DH331,DH$4:DH$503)</f>
        <v/>
      </c>
      <c r="DJ331" s="40" t="inlineStr">
        <is>
          <t>CHOOSE RATING</t>
        </is>
      </c>
      <c r="DK331" s="40" t="inlineStr">
        <is>
          <t>CHOOSE RATING</t>
        </is>
      </c>
      <c r="DL331" s="40" t="inlineStr">
        <is>
          <t>CHOOSE RATING</t>
        </is>
      </c>
      <c r="DM331" s="40" t="inlineStr">
        <is>
          <t>CHOOSE RATING</t>
        </is>
      </c>
      <c r="DN331" s="40" t="inlineStr">
        <is>
          <t>CHOOSE RATING</t>
        </is>
      </c>
      <c r="DO331" s="40" t="inlineStr">
        <is>
          <t>CHOOSE RATING</t>
        </is>
      </c>
      <c r="DP331" s="40" t="inlineStr">
        <is>
          <t>CHOOSE RATING</t>
        </is>
      </c>
      <c r="DQ331" s="40" t="inlineStr">
        <is>
          <t>CHOOSE RATING</t>
        </is>
      </c>
      <c r="DR331" s="43" t="inlineStr">
        <is>
          <t>2024/2025</t>
        </is>
      </c>
      <c r="DS331" s="45" t="inlineStr">
        <is>
          <t>THIRD</t>
        </is>
      </c>
      <c r="DT331" s="40" t="inlineStr">
        <is>
          <t>CHOOSE RATING</t>
        </is>
      </c>
      <c r="DU331" s="40" t="inlineStr">
        <is>
          <t>CHOOSE RATING</t>
        </is>
      </c>
      <c r="DV331" s="40" t="inlineStr">
        <is>
          <t>CHOOSE RATING</t>
        </is>
      </c>
      <c r="DW331" s="40" t="inlineStr">
        <is>
          <t>CHOOSE RATING</t>
        </is>
      </c>
      <c r="DX331" s="40" t="inlineStr">
        <is>
          <t>CHOOSE RATING</t>
        </is>
      </c>
      <c r="DY331" s="40" t="inlineStr">
        <is>
          <t>CHOOSE RATING</t>
        </is>
      </c>
      <c r="DZ331" s="53" t="inlineStr">
        <is>
          <t>CHOOSE RATING</t>
        </is>
      </c>
      <c r="EA331" s="54" t="inlineStr">
        <is>
          <t>Add the Tutor's Comment . . .</t>
        </is>
      </c>
      <c r="EB331" s="55" t="inlineStr">
        <is>
          <t>Choose Principals comment</t>
        </is>
      </c>
      <c r="EC331" s="56" t="n"/>
      <c r="ED331" s="57" t="inlineStr">
        <is>
          <t>Next Term Begins on Monday, 22nd September, 2025</t>
        </is>
      </c>
    </row>
    <row r="332" ht="30.6" customHeight="1" s="6">
      <c r="A332" s="18" t="n">
        <v>329</v>
      </c>
      <c r="B332" s="19" t="n"/>
      <c r="C332" s="20" t="n"/>
      <c r="D332" s="128" t="n"/>
      <c r="E332" s="21" t="n"/>
      <c r="F332" s="22" t="n"/>
      <c r="G332" s="22" t="n"/>
      <c r="H332" s="22" t="n"/>
      <c r="I332" s="26">
        <f>G332-H332</f>
        <v/>
      </c>
      <c r="J332" s="21" t="n"/>
      <c r="K332" s="21" t="n"/>
      <c r="L332" s="27">
        <f>SUM(J332:K332)</f>
        <v/>
      </c>
      <c r="M332" s="28" t="n"/>
      <c r="N332" s="28" t="n"/>
      <c r="O332" s="29">
        <f>IF(AND(L332=0,M332=0,N332=0),0,IF(AND(L332=0,M332=0),N332/1,IF(AND(L332=0,N332=0),M332/1,IF(AND(M332=0,N332=0),L332/1,IF(L332=0,FLOOR((M332+N332)/2,0.1),IF(M332=0,(L332+N332)/2,IF(N332=0,(M332+L332)/2,FLOOR(((L332+M332+N332)/3),0.1))))))))</f>
        <v/>
      </c>
      <c r="P332" s="21" t="n"/>
      <c r="Q332" s="21" t="n"/>
      <c r="R332" s="27">
        <f>SUM(P332:Q332)</f>
        <v/>
      </c>
      <c r="S332" s="28" t="n"/>
      <c r="T332" s="28" t="n"/>
      <c r="U332" s="29">
        <f>IF(AND(R332=0,S332=0,T332=0),0,IF(AND(R332=0,S332=0),T332/1,IF(AND(R332=0,T332=0),S332/1,IF(AND(S332=0,T332=0),R332/1,IF(R332=0,FLOOR((S332+T332)/2,0.1),IF(S332=0,(R332+T332)/2,IF(T332=0,(S332+R332)/2,FLOOR(((R332+S332+T332)/3),0.1))))))))</f>
        <v/>
      </c>
      <c r="V332" s="21" t="n"/>
      <c r="W332" s="21" t="n"/>
      <c r="X332" s="27">
        <f>SUM(V332:W332)</f>
        <v/>
      </c>
      <c r="Y332" s="28" t="n"/>
      <c r="Z332" s="28" t="n"/>
      <c r="AA332" s="29">
        <f>IF(AND(X332=0,Y332=0,Z332=0),0,IF(AND(X332=0,Y332=0),Z332/1,IF(AND(X332=0,Z332=0),Y332/1,IF(AND(Y332=0,Z332=0),X332/1,IF(X332=0,FLOOR((Y332+Z332)/2,0.1),IF(Y332=0,(X332+Z332)/2,IF(Z332=0,(Y332+X332)/2,FLOOR(((X332+Y332+Z332)/3),0.1))))))))</f>
        <v/>
      </c>
      <c r="AB332" s="21" t="n"/>
      <c r="AC332" s="21" t="n"/>
      <c r="AD332" s="27">
        <f>SUM(AB332:AC332)</f>
        <v/>
      </c>
      <c r="AE332" s="28" t="n"/>
      <c r="AF332" s="28" t="n"/>
      <c r="AG332" s="29">
        <f>IF(AND(AD332=0,AE332=0,AF332=0),0,IF(AND(AD332=0,AE332=0),AF332/1,IF(AND(AD332=0,AF332=0),AE332/1,IF(AND(AE332=0,AF332=0),AD332/1,IF(AD332=0,FLOOR((AE332+AF332)/2,0.1),IF(AE332=0,(AD332+AF332)/2,IF(AF332=0,(AE332+AD332)/2,FLOOR(((AD332+AE332+AF332)/3),0.1))))))))</f>
        <v/>
      </c>
      <c r="AH332" s="21" t="n"/>
      <c r="AI332" s="21" t="n"/>
      <c r="AJ332" s="27">
        <f>SUM(AH332:AI332)</f>
        <v/>
      </c>
      <c r="AK332" s="28" t="n"/>
      <c r="AL332" s="28" t="n"/>
      <c r="AM332" s="29">
        <f>IF(AND(AJ332=0,AK332=0,AL332=0),0,IF(AND(AJ332=0,AK332=0),AL332/1,IF(AND(AJ332=0,AL332=0),AK332/1,IF(AND(AK332=0,AL332=0),AJ332/1,IF(AJ332=0,FLOOR((AK332+AL332)/2,0.1),IF(AK332=0,(AJ332+AL332)/2,IF(AL332=0,(AK332+AJ332)/2,FLOOR(((AJ332+AK332+AL332)/3),0.1))))))))</f>
        <v/>
      </c>
      <c r="AN332" s="21" t="n"/>
      <c r="AO332" s="21" t="n"/>
      <c r="AP332" s="27">
        <f>SUM(AN332:AO332)</f>
        <v/>
      </c>
      <c r="AQ332" s="28" t="n"/>
      <c r="AR332" s="30" t="n"/>
      <c r="AS332" s="29">
        <f>IF(AND(AP332=0,AQ332=0,AR332=0),0,IF(AND(AP332=0,AQ332=0),AR332/1,IF(AND(AP332=0,AR332=0),AQ332/1,IF(AND(AQ332=0,AR332=0),AP332/1,IF(AP332=0,FLOOR((AQ332+AR332)/2,0.1),IF(AQ332=0,(AP332+AR332)/2,IF(AR332=0,(AQ332+AP332)/2,FLOOR(((AP332+AQ332+AR332)/3),0.1))))))))</f>
        <v/>
      </c>
      <c r="AT332" s="21" t="n"/>
      <c r="AU332" s="21" t="n"/>
      <c r="AV332" s="27">
        <f>SUM(AT332:AU332)</f>
        <v/>
      </c>
      <c r="AW332" s="28" t="n"/>
      <c r="AX332" s="30" t="n"/>
      <c r="AY332" s="29">
        <f>IF(AND(AV332=0,AW332=0,AX332=0),0,IF(AND(AV332=0,AW332=0),AX332/1,IF(AND(AV332=0,AX332=0),AW332/1,IF(AND(AW332=0,AX332=0),AV332/1,IF(AV332=0,FLOOR((AW332+AX332)/2,0.1),IF(AW332=0,(AV332+AX332)/2,IF(AX332=0,(AW332+AV332)/2,FLOOR(((AV332+AW332+AX332)/3),0.1))))))))</f>
        <v/>
      </c>
      <c r="AZ332" s="21" t="n"/>
      <c r="BA332" s="21" t="n"/>
      <c r="BB332" s="27">
        <f>SUM(AZ332:BA332)</f>
        <v/>
      </c>
      <c r="BC332" s="28" t="n"/>
      <c r="BD332" s="28" t="n"/>
      <c r="BE332" s="29">
        <f>IF(AND(BB332=0,BC332=0,BD332=0),0,IF(AND(BB332=0,BC332=0),BD332/1,IF(AND(BB332=0,BD332=0),BC332/1,IF(AND(BC332=0,BD332=0),BB332/1,IF(BB332=0,FLOOR((BC332+BD332)/2,0.1),IF(BC332=0,(BB332+BD332)/2,IF(BD332=0,(BC332+BB332)/2,FLOOR(((BB332+BC332+BD332)/3),0.1))))))))</f>
        <v/>
      </c>
      <c r="BF332" s="21" t="n"/>
      <c r="BG332" s="21" t="n"/>
      <c r="BH332" s="27">
        <f>SUM(BF332:BG332)</f>
        <v/>
      </c>
      <c r="BI332" s="28" t="n"/>
      <c r="BJ332" s="28" t="n"/>
      <c r="BK332" s="29">
        <f>IF(AND(BH332=0,BI332=0,BJ332=0),0,IF(AND(BH332=0,BI332=0),BJ332/1,IF(AND(BH332=0,BJ332=0),BI332/1,IF(AND(BI332=0,BJ332=0),BH332/1,IF(BH332=0,FLOOR((BI332+BJ332)/2,0.1),IF(BI332=0,(BH332+BJ332)/2,IF(BJ332=0,(BI332+BH332)/2,FLOOR(((BH332+BI332+BJ332)/3),0.1))))))))</f>
        <v/>
      </c>
      <c r="BL332" s="21" t="n"/>
      <c r="BM332" s="21" t="n"/>
      <c r="BN332" s="27">
        <f>SUM(BL332:BM332)</f>
        <v/>
      </c>
      <c r="BO332" s="28" t="n"/>
      <c r="BP332" s="31" t="n"/>
      <c r="BQ332" s="29">
        <f>IF(AND(BN332=0,BO332=0,BP332=0),0,IF(AND(BN332=0,BO332=0),BP332/1,IF(AND(BN332=0,BP332=0),BO332/1,IF(AND(BO332=0,BP332=0),BN332/1,IF(BN332=0,FLOOR((BO332+BP332)/2,0.1),IF(BO332=0,(BN332+BP332)/2,IF(BP332=0,(BO332+BN332)/2,FLOOR(((BN332+BO332+BP332)/3),0.1))))))))</f>
        <v/>
      </c>
      <c r="BR332" s="21" t="n"/>
      <c r="BS332" s="21" t="n"/>
      <c r="BT332" s="27">
        <f>SUM(BR332:BS332)</f>
        <v/>
      </c>
      <c r="BU332" s="28" t="n"/>
      <c r="BV332" s="31" t="n"/>
      <c r="BW332" s="29">
        <f>IF(AND(BT332=0,BU332=0,BV332=0),0,IF(AND(BT332=0,BU332=0),BV332/1,IF(AND(BT332=0,BV332=0),BU332/1,IF(AND(BU332=0,BV332=0),BT332/1,IF(BT332=0,FLOOR((BU332+BV332)/2,0.1),IF(BU332=0,(BT332+BV332)/2,IF(BV332=0,(BU332+BT332)/2,FLOOR(((BT332+BU332+BV332)/3),0.1))))))))</f>
        <v/>
      </c>
      <c r="BX332" s="21" t="n"/>
      <c r="BY332" s="21" t="n"/>
      <c r="BZ332" s="27">
        <f>SUM(BX332:BY332)</f>
        <v/>
      </c>
      <c r="CA332" s="28" t="n"/>
      <c r="CB332" s="31" t="n"/>
      <c r="CC332" s="29">
        <f>IF(AND(BZ332=0,CA332=0,CB332=0),0,IF(AND(BZ332=0,CA332=0),CB332/1,IF(AND(BZ332=0,CB332=0),CA332/1,IF(AND(CA332=0,CB332=0),BZ332/1,IF(BZ332=0,FLOOR((CA332+CB332)/2,0.1),IF(CA332=0,(BZ332+CB332)/2,IF(CB332=0,(CA332+BZ332)/2,FLOOR(((BZ332+CA332+CB332)/3),0.1))))))))</f>
        <v/>
      </c>
      <c r="CD332" s="21" t="n"/>
      <c r="CE332" s="21" t="n"/>
      <c r="CF332" s="27">
        <f>SUM(CD332:CE332)</f>
        <v/>
      </c>
      <c r="CG332" s="28" t="n"/>
      <c r="CH332" s="31" t="n"/>
      <c r="CI332" s="29">
        <f>IF(AND(CF332=0,CG332=0,CH332=0),0,IF(AND(CF332=0,CG332=0),CH332/1,IF(AND(CF332=0,CH332=0),CG332/1,IF(AND(CG332=0,CH332=0),CF332/1,IF(CF332=0,FLOOR((CG332+CH332)/2,0.1),IF(CG332=0,(CF332+CH332)/2,IF(CH332=0,(CG332+CF332)/2,FLOOR(((CF332+CG332+CH332)/3),0.1))))))))</f>
        <v/>
      </c>
      <c r="CJ332" s="21" t="n"/>
      <c r="CK332" s="21" t="n"/>
      <c r="CL332" s="27">
        <f>SUM(CJ332:CK332)</f>
        <v/>
      </c>
      <c r="CM332" s="28" t="n"/>
      <c r="CN332" s="31" t="n"/>
      <c r="CO332" s="29">
        <f>IF(AND(CL332=0,CM332=0,CN332=0),0,IF(AND(CL332=0,CM332=0),CN332/1,IF(AND(CL332=0,CN332=0),CM332/1,IF(AND(CM332=0,CN332=0),CL332/1,IF(CL332=0,FLOOR((CM332+CN332)/2,0.1),IF(CM332=0,(CL332+CN332)/2,IF(CN332=0,(CM332+CL332)/2,FLOOR(((CL332+CM332+CN332)/3),0.1))))))))</f>
        <v/>
      </c>
      <c r="CP332" s="21" t="n"/>
      <c r="CQ332" s="21" t="n"/>
      <c r="CR332" s="27">
        <f>SUM(CP332:CQ332)</f>
        <v/>
      </c>
      <c r="CS332" s="28" t="n"/>
      <c r="CT332" s="31" t="n"/>
      <c r="CU332" s="29">
        <f>IF(AND(CR332=0,CS332=0,CT332=0),0,IF(AND(CR332=0,CS332=0),CT332/1,IF(AND(CR332=0,CT332=0),CS332/1,IF(AND(CS332=0,CT332=0),CR332/1,IF(CR332=0,FLOOR((CS332+CT332)/2,0.1),IF(CS332=0,(CR332+CT332)/2,IF(CT332=0,(CS332+CR332)/2,FLOOR(((CR332+CS332+CT332)/3),0.1))))))))</f>
        <v/>
      </c>
      <c r="CV332" s="21" t="n"/>
      <c r="CW332" s="21" t="n"/>
      <c r="CX332" s="27">
        <f>SUM(CV332:CW332)</f>
        <v/>
      </c>
      <c r="CY332" s="28" t="n"/>
      <c r="CZ332" s="31" t="n"/>
      <c r="DA332" s="29">
        <f>IF(AND(CX332=0,CY332=0,CZ332=0),0,IF(AND(CX332=0,CY332=0),CZ332/1,IF(AND(CX332=0,CZ332=0),CY332/1,IF(AND(CY332=0,CZ332=0),CX332/1,IF(CX332=0,FLOOR((CY332+CZ332)/2,0.1),IF(CY332=0,(CX332+CZ332)/2,IF(CZ332=0,(CY332+CX332)/2,FLOOR(((CX332+CY332+CZ332)/3),0.1))))))))</f>
        <v/>
      </c>
      <c r="DB332" s="21" t="n"/>
      <c r="DC332" s="21" t="n"/>
      <c r="DD332" s="27">
        <f>SUM(DB332:DC332)</f>
        <v/>
      </c>
      <c r="DE332" s="28" t="n"/>
      <c r="DF332" s="31" t="n"/>
      <c r="DG332" s="29">
        <f>IF(AND(DD332=0,DE332=0,DF332=0),0,IF(AND(DD332=0,DE332=0),DF332/1,IF(AND(DD332=0,DF332=0),DE332/1,IF(AND(DE332=0,DF332=0),DD332/1,IF(DD332=0,FLOOR((DE332+DF332)/2,0.1),IF(DE332=0,(DD332+DF332)/2,IF(DF332=0,(DE332+DD332)/2,FLOOR(((DD332+DE332+DF332)/3),0.1))))))))</f>
        <v/>
      </c>
      <c r="DH332" s="34">
        <f>SUM(O332,U332,AA332,AG332,AM332,AS332,AY332,BE332,BK332,BQ332,BW332,CC332,CI332,CO332,CU332,DA332,DG332)</f>
        <v/>
      </c>
      <c r="DI332" s="39">
        <f>RANK(DH332,DH$4:DH$503)</f>
        <v/>
      </c>
      <c r="DJ332" s="40" t="inlineStr">
        <is>
          <t>CHOOSE RATING</t>
        </is>
      </c>
      <c r="DK332" s="40" t="inlineStr">
        <is>
          <t>CHOOSE RATING</t>
        </is>
      </c>
      <c r="DL332" s="40" t="inlineStr">
        <is>
          <t>CHOOSE RATING</t>
        </is>
      </c>
      <c r="DM332" s="40" t="inlineStr">
        <is>
          <t>CHOOSE RATING</t>
        </is>
      </c>
      <c r="DN332" s="40" t="inlineStr">
        <is>
          <t>CHOOSE RATING</t>
        </is>
      </c>
      <c r="DO332" s="40" t="inlineStr">
        <is>
          <t>CHOOSE RATING</t>
        </is>
      </c>
      <c r="DP332" s="40" t="inlineStr">
        <is>
          <t>CHOOSE RATING</t>
        </is>
      </c>
      <c r="DQ332" s="40" t="inlineStr">
        <is>
          <t>CHOOSE RATING</t>
        </is>
      </c>
      <c r="DR332" s="43" t="inlineStr">
        <is>
          <t>2024/2025</t>
        </is>
      </c>
      <c r="DS332" s="45" t="inlineStr">
        <is>
          <t>THIRD</t>
        </is>
      </c>
      <c r="DT332" s="40" t="inlineStr">
        <is>
          <t>CHOOSE RATING</t>
        </is>
      </c>
      <c r="DU332" s="40" t="inlineStr">
        <is>
          <t>CHOOSE RATING</t>
        </is>
      </c>
      <c r="DV332" s="40" t="inlineStr">
        <is>
          <t>CHOOSE RATING</t>
        </is>
      </c>
      <c r="DW332" s="40" t="inlineStr">
        <is>
          <t>CHOOSE RATING</t>
        </is>
      </c>
      <c r="DX332" s="40" t="inlineStr">
        <is>
          <t>CHOOSE RATING</t>
        </is>
      </c>
      <c r="DY332" s="40" t="inlineStr">
        <is>
          <t>CHOOSE RATING</t>
        </is>
      </c>
      <c r="DZ332" s="53" t="inlineStr">
        <is>
          <t>CHOOSE RATING</t>
        </is>
      </c>
      <c r="EA332" s="54" t="inlineStr">
        <is>
          <t>Add the Tutor's Comment . . .</t>
        </is>
      </c>
      <c r="EB332" s="55" t="inlineStr">
        <is>
          <t>Choose Principals comment</t>
        </is>
      </c>
      <c r="EC332" s="56" t="n"/>
      <c r="ED332" s="57" t="inlineStr">
        <is>
          <t>Next Term Begins on Monday, 22nd September, 2025</t>
        </is>
      </c>
    </row>
    <row r="333" ht="30.6" customHeight="1" s="6">
      <c r="A333" s="18" t="n">
        <v>330</v>
      </c>
      <c r="B333" s="19" t="n"/>
      <c r="C333" s="20" t="n"/>
      <c r="D333" s="128" t="n"/>
      <c r="E333" s="21" t="n"/>
      <c r="F333" s="22" t="n"/>
      <c r="G333" s="22" t="n"/>
      <c r="H333" s="22" t="n"/>
      <c r="I333" s="26">
        <f>G333-H333</f>
        <v/>
      </c>
      <c r="J333" s="21" t="n"/>
      <c r="K333" s="21" t="n"/>
      <c r="L333" s="27">
        <f>SUM(J333:K333)</f>
        <v/>
      </c>
      <c r="M333" s="28" t="n"/>
      <c r="N333" s="28" t="n"/>
      <c r="O333" s="29">
        <f>IF(AND(L333=0,M333=0,N333=0),0,IF(AND(L333=0,M333=0),N333/1,IF(AND(L333=0,N333=0),M333/1,IF(AND(M333=0,N333=0),L333/1,IF(L333=0,FLOOR((M333+N333)/2,0.1),IF(M333=0,(L333+N333)/2,IF(N333=0,(M333+L333)/2,FLOOR(((L333+M333+N333)/3),0.1))))))))</f>
        <v/>
      </c>
      <c r="P333" s="21" t="n"/>
      <c r="Q333" s="21" t="n"/>
      <c r="R333" s="27">
        <f>SUM(P333:Q333)</f>
        <v/>
      </c>
      <c r="S333" s="28" t="n"/>
      <c r="T333" s="28" t="n"/>
      <c r="U333" s="29">
        <f>IF(AND(R333=0,S333=0,T333=0),0,IF(AND(R333=0,S333=0),T333/1,IF(AND(R333=0,T333=0),S333/1,IF(AND(S333=0,T333=0),R333/1,IF(R333=0,FLOOR((S333+T333)/2,0.1),IF(S333=0,(R333+T333)/2,IF(T333=0,(S333+R333)/2,FLOOR(((R333+S333+T333)/3),0.1))))))))</f>
        <v/>
      </c>
      <c r="V333" s="21" t="n"/>
      <c r="W333" s="21" t="n"/>
      <c r="X333" s="27">
        <f>SUM(V333:W333)</f>
        <v/>
      </c>
      <c r="Y333" s="28" t="n"/>
      <c r="Z333" s="28" t="n"/>
      <c r="AA333" s="29">
        <f>IF(AND(X333=0,Y333=0,Z333=0),0,IF(AND(X333=0,Y333=0),Z333/1,IF(AND(X333=0,Z333=0),Y333/1,IF(AND(Y333=0,Z333=0),X333/1,IF(X333=0,FLOOR((Y333+Z333)/2,0.1),IF(Y333=0,(X333+Z333)/2,IF(Z333=0,(Y333+X333)/2,FLOOR(((X333+Y333+Z333)/3),0.1))))))))</f>
        <v/>
      </c>
      <c r="AB333" s="21" t="n"/>
      <c r="AC333" s="21" t="n"/>
      <c r="AD333" s="27">
        <f>SUM(AB333:AC333)</f>
        <v/>
      </c>
      <c r="AE333" s="28" t="n"/>
      <c r="AF333" s="28" t="n"/>
      <c r="AG333" s="29">
        <f>IF(AND(AD333=0,AE333=0,AF333=0),0,IF(AND(AD333=0,AE333=0),AF333/1,IF(AND(AD333=0,AF333=0),AE333/1,IF(AND(AE333=0,AF333=0),AD333/1,IF(AD333=0,FLOOR((AE333+AF333)/2,0.1),IF(AE333=0,(AD333+AF333)/2,IF(AF333=0,(AE333+AD333)/2,FLOOR(((AD333+AE333+AF333)/3),0.1))))))))</f>
        <v/>
      </c>
      <c r="AH333" s="21" t="n"/>
      <c r="AI333" s="21" t="n"/>
      <c r="AJ333" s="27">
        <f>SUM(AH333:AI333)</f>
        <v/>
      </c>
      <c r="AK333" s="28" t="n"/>
      <c r="AL333" s="28" t="n"/>
      <c r="AM333" s="29">
        <f>IF(AND(AJ333=0,AK333=0,AL333=0),0,IF(AND(AJ333=0,AK333=0),AL333/1,IF(AND(AJ333=0,AL333=0),AK333/1,IF(AND(AK333=0,AL333=0),AJ333/1,IF(AJ333=0,FLOOR((AK333+AL333)/2,0.1),IF(AK333=0,(AJ333+AL333)/2,IF(AL333=0,(AK333+AJ333)/2,FLOOR(((AJ333+AK333+AL333)/3),0.1))))))))</f>
        <v/>
      </c>
      <c r="AN333" s="21" t="n"/>
      <c r="AO333" s="21" t="n"/>
      <c r="AP333" s="27">
        <f>SUM(AN333:AO333)</f>
        <v/>
      </c>
      <c r="AQ333" s="28" t="n"/>
      <c r="AR333" s="30" t="n"/>
      <c r="AS333" s="29">
        <f>IF(AND(AP333=0,AQ333=0,AR333=0),0,IF(AND(AP333=0,AQ333=0),AR333/1,IF(AND(AP333=0,AR333=0),AQ333/1,IF(AND(AQ333=0,AR333=0),AP333/1,IF(AP333=0,FLOOR((AQ333+AR333)/2,0.1),IF(AQ333=0,(AP333+AR333)/2,IF(AR333=0,(AQ333+AP333)/2,FLOOR(((AP333+AQ333+AR333)/3),0.1))))))))</f>
        <v/>
      </c>
      <c r="AT333" s="21" t="n"/>
      <c r="AU333" s="21" t="n"/>
      <c r="AV333" s="27">
        <f>SUM(AT333:AU333)</f>
        <v/>
      </c>
      <c r="AW333" s="28" t="n"/>
      <c r="AX333" s="30" t="n"/>
      <c r="AY333" s="29">
        <f>IF(AND(AV333=0,AW333=0,AX333=0),0,IF(AND(AV333=0,AW333=0),AX333/1,IF(AND(AV333=0,AX333=0),AW333/1,IF(AND(AW333=0,AX333=0),AV333/1,IF(AV333=0,FLOOR((AW333+AX333)/2,0.1),IF(AW333=0,(AV333+AX333)/2,IF(AX333=0,(AW333+AV333)/2,FLOOR(((AV333+AW333+AX333)/3),0.1))))))))</f>
        <v/>
      </c>
      <c r="AZ333" s="21" t="n"/>
      <c r="BA333" s="21" t="n"/>
      <c r="BB333" s="27">
        <f>SUM(AZ333:BA333)</f>
        <v/>
      </c>
      <c r="BC333" s="28" t="n"/>
      <c r="BD333" s="28" t="n"/>
      <c r="BE333" s="29">
        <f>IF(AND(BB333=0,BC333=0,BD333=0),0,IF(AND(BB333=0,BC333=0),BD333/1,IF(AND(BB333=0,BD333=0),BC333/1,IF(AND(BC333=0,BD333=0),BB333/1,IF(BB333=0,FLOOR((BC333+BD333)/2,0.1),IF(BC333=0,(BB333+BD333)/2,IF(BD333=0,(BC333+BB333)/2,FLOOR(((BB333+BC333+BD333)/3),0.1))))))))</f>
        <v/>
      </c>
      <c r="BF333" s="21" t="n"/>
      <c r="BG333" s="21" t="n"/>
      <c r="BH333" s="27">
        <f>SUM(BF333:BG333)</f>
        <v/>
      </c>
      <c r="BI333" s="28" t="n"/>
      <c r="BJ333" s="28" t="n"/>
      <c r="BK333" s="29">
        <f>IF(AND(BH333=0,BI333=0,BJ333=0),0,IF(AND(BH333=0,BI333=0),BJ333/1,IF(AND(BH333=0,BJ333=0),BI333/1,IF(AND(BI333=0,BJ333=0),BH333/1,IF(BH333=0,FLOOR((BI333+BJ333)/2,0.1),IF(BI333=0,(BH333+BJ333)/2,IF(BJ333=0,(BI333+BH333)/2,FLOOR(((BH333+BI333+BJ333)/3),0.1))))))))</f>
        <v/>
      </c>
      <c r="BL333" s="21" t="n"/>
      <c r="BM333" s="21" t="n"/>
      <c r="BN333" s="27">
        <f>SUM(BL333:BM333)</f>
        <v/>
      </c>
      <c r="BO333" s="28" t="n"/>
      <c r="BP333" s="31" t="n"/>
      <c r="BQ333" s="29">
        <f>IF(AND(BN333=0,BO333=0,BP333=0),0,IF(AND(BN333=0,BO333=0),BP333/1,IF(AND(BN333=0,BP333=0),BO333/1,IF(AND(BO333=0,BP333=0),BN333/1,IF(BN333=0,FLOOR((BO333+BP333)/2,0.1),IF(BO333=0,(BN333+BP333)/2,IF(BP333=0,(BO333+BN333)/2,FLOOR(((BN333+BO333+BP333)/3),0.1))))))))</f>
        <v/>
      </c>
      <c r="BR333" s="21" t="n"/>
      <c r="BS333" s="21" t="n"/>
      <c r="BT333" s="27">
        <f>SUM(BR333:BS333)</f>
        <v/>
      </c>
      <c r="BU333" s="28" t="n"/>
      <c r="BV333" s="31" t="n"/>
      <c r="BW333" s="29">
        <f>IF(AND(BT333=0,BU333=0,BV333=0),0,IF(AND(BT333=0,BU333=0),BV333/1,IF(AND(BT333=0,BV333=0),BU333/1,IF(AND(BU333=0,BV333=0),BT333/1,IF(BT333=0,FLOOR((BU333+BV333)/2,0.1),IF(BU333=0,(BT333+BV333)/2,IF(BV333=0,(BU333+BT333)/2,FLOOR(((BT333+BU333+BV333)/3),0.1))))))))</f>
        <v/>
      </c>
      <c r="BX333" s="21" t="n"/>
      <c r="BY333" s="21" t="n"/>
      <c r="BZ333" s="27">
        <f>SUM(BX333:BY333)</f>
        <v/>
      </c>
      <c r="CA333" s="28" t="n"/>
      <c r="CB333" s="31" t="n"/>
      <c r="CC333" s="29">
        <f>IF(AND(BZ333=0,CA333=0,CB333=0),0,IF(AND(BZ333=0,CA333=0),CB333/1,IF(AND(BZ333=0,CB333=0),CA333/1,IF(AND(CA333=0,CB333=0),BZ333/1,IF(BZ333=0,FLOOR((CA333+CB333)/2,0.1),IF(CA333=0,(BZ333+CB333)/2,IF(CB333=0,(CA333+BZ333)/2,FLOOR(((BZ333+CA333+CB333)/3),0.1))))))))</f>
        <v/>
      </c>
      <c r="CD333" s="21" t="n"/>
      <c r="CE333" s="21" t="n"/>
      <c r="CF333" s="27">
        <f>SUM(CD333:CE333)</f>
        <v/>
      </c>
      <c r="CG333" s="28" t="n"/>
      <c r="CH333" s="31" t="n"/>
      <c r="CI333" s="29">
        <f>IF(AND(CF333=0,CG333=0,CH333=0),0,IF(AND(CF333=0,CG333=0),CH333/1,IF(AND(CF333=0,CH333=0),CG333/1,IF(AND(CG333=0,CH333=0),CF333/1,IF(CF333=0,FLOOR((CG333+CH333)/2,0.1),IF(CG333=0,(CF333+CH333)/2,IF(CH333=0,(CG333+CF333)/2,FLOOR(((CF333+CG333+CH333)/3),0.1))))))))</f>
        <v/>
      </c>
      <c r="CJ333" s="21" t="n"/>
      <c r="CK333" s="21" t="n"/>
      <c r="CL333" s="27">
        <f>SUM(CJ333:CK333)</f>
        <v/>
      </c>
      <c r="CM333" s="28" t="n"/>
      <c r="CN333" s="31" t="n"/>
      <c r="CO333" s="29">
        <f>IF(AND(CL333=0,CM333=0,CN333=0),0,IF(AND(CL333=0,CM333=0),CN333/1,IF(AND(CL333=0,CN333=0),CM333/1,IF(AND(CM333=0,CN333=0),CL333/1,IF(CL333=0,FLOOR((CM333+CN333)/2,0.1),IF(CM333=0,(CL333+CN333)/2,IF(CN333=0,(CM333+CL333)/2,FLOOR(((CL333+CM333+CN333)/3),0.1))))))))</f>
        <v/>
      </c>
      <c r="CP333" s="21" t="n"/>
      <c r="CQ333" s="21" t="n"/>
      <c r="CR333" s="27">
        <f>SUM(CP333:CQ333)</f>
        <v/>
      </c>
      <c r="CS333" s="28" t="n"/>
      <c r="CT333" s="31" t="n"/>
      <c r="CU333" s="29">
        <f>IF(AND(CR333=0,CS333=0,CT333=0),0,IF(AND(CR333=0,CS333=0),CT333/1,IF(AND(CR333=0,CT333=0),CS333/1,IF(AND(CS333=0,CT333=0),CR333/1,IF(CR333=0,FLOOR((CS333+CT333)/2,0.1),IF(CS333=0,(CR333+CT333)/2,IF(CT333=0,(CS333+CR333)/2,FLOOR(((CR333+CS333+CT333)/3),0.1))))))))</f>
        <v/>
      </c>
      <c r="CV333" s="21" t="n"/>
      <c r="CW333" s="21" t="n"/>
      <c r="CX333" s="27">
        <f>SUM(CV333:CW333)</f>
        <v/>
      </c>
      <c r="CY333" s="28" t="n"/>
      <c r="CZ333" s="31" t="n"/>
      <c r="DA333" s="29">
        <f>IF(AND(CX333=0,CY333=0,CZ333=0),0,IF(AND(CX333=0,CY333=0),CZ333/1,IF(AND(CX333=0,CZ333=0),CY333/1,IF(AND(CY333=0,CZ333=0),CX333/1,IF(CX333=0,FLOOR((CY333+CZ333)/2,0.1),IF(CY333=0,(CX333+CZ333)/2,IF(CZ333=0,(CY333+CX333)/2,FLOOR(((CX333+CY333+CZ333)/3),0.1))))))))</f>
        <v/>
      </c>
      <c r="DB333" s="21" t="n"/>
      <c r="DC333" s="21" t="n"/>
      <c r="DD333" s="27">
        <f>SUM(DB333:DC333)</f>
        <v/>
      </c>
      <c r="DE333" s="28" t="n"/>
      <c r="DF333" s="31" t="n"/>
      <c r="DG333" s="29">
        <f>IF(AND(DD333=0,DE333=0,DF333=0),0,IF(AND(DD333=0,DE333=0),DF333/1,IF(AND(DD333=0,DF333=0),DE333/1,IF(AND(DE333=0,DF333=0),DD333/1,IF(DD333=0,FLOOR((DE333+DF333)/2,0.1),IF(DE333=0,(DD333+DF333)/2,IF(DF333=0,(DE333+DD333)/2,FLOOR(((DD333+DE333+DF333)/3),0.1))))))))</f>
        <v/>
      </c>
      <c r="DH333" s="34">
        <f>SUM(O333,U333,AA333,AG333,AM333,AS333,AY333,BE333,BK333,BQ333,BW333,CC333,CI333,CO333,CU333,DA333,DG333)</f>
        <v/>
      </c>
      <c r="DI333" s="39">
        <f>RANK(DH333,DH$4:DH$503)</f>
        <v/>
      </c>
      <c r="DJ333" s="40" t="inlineStr">
        <is>
          <t>CHOOSE RATING</t>
        </is>
      </c>
      <c r="DK333" s="40" t="inlineStr">
        <is>
          <t>CHOOSE RATING</t>
        </is>
      </c>
      <c r="DL333" s="40" t="inlineStr">
        <is>
          <t>CHOOSE RATING</t>
        </is>
      </c>
      <c r="DM333" s="40" t="inlineStr">
        <is>
          <t>CHOOSE RATING</t>
        </is>
      </c>
      <c r="DN333" s="40" t="inlineStr">
        <is>
          <t>CHOOSE RATING</t>
        </is>
      </c>
      <c r="DO333" s="40" t="inlineStr">
        <is>
          <t>CHOOSE RATING</t>
        </is>
      </c>
      <c r="DP333" s="40" t="inlineStr">
        <is>
          <t>CHOOSE RATING</t>
        </is>
      </c>
      <c r="DQ333" s="40" t="inlineStr">
        <is>
          <t>CHOOSE RATING</t>
        </is>
      </c>
      <c r="DR333" s="43" t="inlineStr">
        <is>
          <t>2024/2025</t>
        </is>
      </c>
      <c r="DS333" s="45" t="inlineStr">
        <is>
          <t>THIRD</t>
        </is>
      </c>
      <c r="DT333" s="40" t="inlineStr">
        <is>
          <t>CHOOSE RATING</t>
        </is>
      </c>
      <c r="DU333" s="40" t="inlineStr">
        <is>
          <t>CHOOSE RATING</t>
        </is>
      </c>
      <c r="DV333" s="40" t="inlineStr">
        <is>
          <t>CHOOSE RATING</t>
        </is>
      </c>
      <c r="DW333" s="40" t="inlineStr">
        <is>
          <t>CHOOSE RATING</t>
        </is>
      </c>
      <c r="DX333" s="40" t="inlineStr">
        <is>
          <t>CHOOSE RATING</t>
        </is>
      </c>
      <c r="DY333" s="40" t="inlineStr">
        <is>
          <t>CHOOSE RATING</t>
        </is>
      </c>
      <c r="DZ333" s="53" t="inlineStr">
        <is>
          <t>CHOOSE RATING</t>
        </is>
      </c>
      <c r="EA333" s="54" t="inlineStr">
        <is>
          <t>Add the Tutor's Comment . . .</t>
        </is>
      </c>
      <c r="EB333" s="55" t="inlineStr">
        <is>
          <t>Choose Principals comment</t>
        </is>
      </c>
      <c r="EC333" s="56" t="n"/>
      <c r="ED333" s="57" t="inlineStr">
        <is>
          <t>Next Term Begins on Monday, 22nd September, 2025</t>
        </is>
      </c>
    </row>
    <row r="334" ht="30.6" customHeight="1" s="6">
      <c r="A334" s="18" t="n">
        <v>331</v>
      </c>
      <c r="B334" s="19" t="n"/>
      <c r="C334" s="20" t="n"/>
      <c r="D334" s="128" t="n"/>
      <c r="E334" s="21" t="n"/>
      <c r="F334" s="22" t="n"/>
      <c r="G334" s="22" t="n"/>
      <c r="H334" s="22" t="n"/>
      <c r="I334" s="26">
        <f>G334-H334</f>
        <v/>
      </c>
      <c r="J334" s="21" t="n"/>
      <c r="K334" s="21" t="n"/>
      <c r="L334" s="27">
        <f>SUM(J334:K334)</f>
        <v/>
      </c>
      <c r="M334" s="28" t="n"/>
      <c r="N334" s="28" t="n"/>
      <c r="O334" s="29">
        <f>IF(AND(L334=0,M334=0,N334=0),0,IF(AND(L334=0,M334=0),N334/1,IF(AND(L334=0,N334=0),M334/1,IF(AND(M334=0,N334=0),L334/1,IF(L334=0,FLOOR((M334+N334)/2,0.1),IF(M334=0,(L334+N334)/2,IF(N334=0,(M334+L334)/2,FLOOR(((L334+M334+N334)/3),0.1))))))))</f>
        <v/>
      </c>
      <c r="P334" s="21" t="n"/>
      <c r="Q334" s="21" t="n"/>
      <c r="R334" s="27">
        <f>SUM(P334:Q334)</f>
        <v/>
      </c>
      <c r="S334" s="28" t="n"/>
      <c r="T334" s="28" t="n"/>
      <c r="U334" s="29">
        <f>IF(AND(R334=0,S334=0,T334=0),0,IF(AND(R334=0,S334=0),T334/1,IF(AND(R334=0,T334=0),S334/1,IF(AND(S334=0,T334=0),R334/1,IF(R334=0,FLOOR((S334+T334)/2,0.1),IF(S334=0,(R334+T334)/2,IF(T334=0,(S334+R334)/2,FLOOR(((R334+S334+T334)/3),0.1))))))))</f>
        <v/>
      </c>
      <c r="V334" s="21" t="n"/>
      <c r="W334" s="21" t="n"/>
      <c r="X334" s="27">
        <f>SUM(V334:W334)</f>
        <v/>
      </c>
      <c r="Y334" s="28" t="n"/>
      <c r="Z334" s="28" t="n"/>
      <c r="AA334" s="29">
        <f>IF(AND(X334=0,Y334=0,Z334=0),0,IF(AND(X334=0,Y334=0),Z334/1,IF(AND(X334=0,Z334=0),Y334/1,IF(AND(Y334=0,Z334=0),X334/1,IF(X334=0,FLOOR((Y334+Z334)/2,0.1),IF(Y334=0,(X334+Z334)/2,IF(Z334=0,(Y334+X334)/2,FLOOR(((X334+Y334+Z334)/3),0.1))))))))</f>
        <v/>
      </c>
      <c r="AB334" s="21" t="n"/>
      <c r="AC334" s="21" t="n"/>
      <c r="AD334" s="27">
        <f>SUM(AB334:AC334)</f>
        <v/>
      </c>
      <c r="AE334" s="28" t="n"/>
      <c r="AF334" s="28" t="n"/>
      <c r="AG334" s="29">
        <f>IF(AND(AD334=0,AE334=0,AF334=0),0,IF(AND(AD334=0,AE334=0),AF334/1,IF(AND(AD334=0,AF334=0),AE334/1,IF(AND(AE334=0,AF334=0),AD334/1,IF(AD334=0,FLOOR((AE334+AF334)/2,0.1),IF(AE334=0,(AD334+AF334)/2,IF(AF334=0,(AE334+AD334)/2,FLOOR(((AD334+AE334+AF334)/3),0.1))))))))</f>
        <v/>
      </c>
      <c r="AH334" s="21" t="n"/>
      <c r="AI334" s="21" t="n"/>
      <c r="AJ334" s="27">
        <f>SUM(AH334:AI334)</f>
        <v/>
      </c>
      <c r="AK334" s="28" t="n"/>
      <c r="AL334" s="28" t="n"/>
      <c r="AM334" s="29">
        <f>IF(AND(AJ334=0,AK334=0,AL334=0),0,IF(AND(AJ334=0,AK334=0),AL334/1,IF(AND(AJ334=0,AL334=0),AK334/1,IF(AND(AK334=0,AL334=0),AJ334/1,IF(AJ334=0,FLOOR((AK334+AL334)/2,0.1),IF(AK334=0,(AJ334+AL334)/2,IF(AL334=0,(AK334+AJ334)/2,FLOOR(((AJ334+AK334+AL334)/3),0.1))))))))</f>
        <v/>
      </c>
      <c r="AN334" s="21" t="n"/>
      <c r="AO334" s="21" t="n"/>
      <c r="AP334" s="27">
        <f>SUM(AN334:AO334)</f>
        <v/>
      </c>
      <c r="AQ334" s="28" t="n"/>
      <c r="AR334" s="30" t="n"/>
      <c r="AS334" s="29">
        <f>IF(AND(AP334=0,AQ334=0,AR334=0),0,IF(AND(AP334=0,AQ334=0),AR334/1,IF(AND(AP334=0,AR334=0),AQ334/1,IF(AND(AQ334=0,AR334=0),AP334/1,IF(AP334=0,FLOOR((AQ334+AR334)/2,0.1),IF(AQ334=0,(AP334+AR334)/2,IF(AR334=0,(AQ334+AP334)/2,FLOOR(((AP334+AQ334+AR334)/3),0.1))))))))</f>
        <v/>
      </c>
      <c r="AT334" s="21" t="n"/>
      <c r="AU334" s="21" t="n"/>
      <c r="AV334" s="27">
        <f>SUM(AT334:AU334)</f>
        <v/>
      </c>
      <c r="AW334" s="28" t="n"/>
      <c r="AX334" s="30" t="n"/>
      <c r="AY334" s="29">
        <f>IF(AND(AV334=0,AW334=0,AX334=0),0,IF(AND(AV334=0,AW334=0),AX334/1,IF(AND(AV334=0,AX334=0),AW334/1,IF(AND(AW334=0,AX334=0),AV334/1,IF(AV334=0,FLOOR((AW334+AX334)/2,0.1),IF(AW334=0,(AV334+AX334)/2,IF(AX334=0,(AW334+AV334)/2,FLOOR(((AV334+AW334+AX334)/3),0.1))))))))</f>
        <v/>
      </c>
      <c r="AZ334" s="21" t="n"/>
      <c r="BA334" s="21" t="n"/>
      <c r="BB334" s="27">
        <f>SUM(AZ334:BA334)</f>
        <v/>
      </c>
      <c r="BC334" s="28" t="n"/>
      <c r="BD334" s="28" t="n"/>
      <c r="BE334" s="29">
        <f>IF(AND(BB334=0,BC334=0,BD334=0),0,IF(AND(BB334=0,BC334=0),BD334/1,IF(AND(BB334=0,BD334=0),BC334/1,IF(AND(BC334=0,BD334=0),BB334/1,IF(BB334=0,FLOOR((BC334+BD334)/2,0.1),IF(BC334=0,(BB334+BD334)/2,IF(BD334=0,(BC334+BB334)/2,FLOOR(((BB334+BC334+BD334)/3),0.1))))))))</f>
        <v/>
      </c>
      <c r="BF334" s="21" t="n"/>
      <c r="BG334" s="21" t="n"/>
      <c r="BH334" s="27">
        <f>SUM(BF334:BG334)</f>
        <v/>
      </c>
      <c r="BI334" s="28" t="n"/>
      <c r="BJ334" s="28" t="n"/>
      <c r="BK334" s="29">
        <f>IF(AND(BH334=0,BI334=0,BJ334=0),0,IF(AND(BH334=0,BI334=0),BJ334/1,IF(AND(BH334=0,BJ334=0),BI334/1,IF(AND(BI334=0,BJ334=0),BH334/1,IF(BH334=0,FLOOR((BI334+BJ334)/2,0.1),IF(BI334=0,(BH334+BJ334)/2,IF(BJ334=0,(BI334+BH334)/2,FLOOR(((BH334+BI334+BJ334)/3),0.1))))))))</f>
        <v/>
      </c>
      <c r="BL334" s="21" t="n"/>
      <c r="BM334" s="21" t="n"/>
      <c r="BN334" s="27">
        <f>SUM(BL334:BM334)</f>
        <v/>
      </c>
      <c r="BO334" s="28" t="n"/>
      <c r="BP334" s="31" t="n"/>
      <c r="BQ334" s="29">
        <f>IF(AND(BN334=0,BO334=0,BP334=0),0,IF(AND(BN334=0,BO334=0),BP334/1,IF(AND(BN334=0,BP334=0),BO334/1,IF(AND(BO334=0,BP334=0),BN334/1,IF(BN334=0,FLOOR((BO334+BP334)/2,0.1),IF(BO334=0,(BN334+BP334)/2,IF(BP334=0,(BO334+BN334)/2,FLOOR(((BN334+BO334+BP334)/3),0.1))))))))</f>
        <v/>
      </c>
      <c r="BR334" s="21" t="n"/>
      <c r="BS334" s="21" t="n"/>
      <c r="BT334" s="27">
        <f>SUM(BR334:BS334)</f>
        <v/>
      </c>
      <c r="BU334" s="28" t="n"/>
      <c r="BV334" s="31" t="n"/>
      <c r="BW334" s="29">
        <f>IF(AND(BT334=0,BU334=0,BV334=0),0,IF(AND(BT334=0,BU334=0),BV334/1,IF(AND(BT334=0,BV334=0),BU334/1,IF(AND(BU334=0,BV334=0),BT334/1,IF(BT334=0,FLOOR((BU334+BV334)/2,0.1),IF(BU334=0,(BT334+BV334)/2,IF(BV334=0,(BU334+BT334)/2,FLOOR(((BT334+BU334+BV334)/3),0.1))))))))</f>
        <v/>
      </c>
      <c r="BX334" s="21" t="n"/>
      <c r="BY334" s="21" t="n"/>
      <c r="BZ334" s="27">
        <f>SUM(BX334:BY334)</f>
        <v/>
      </c>
      <c r="CA334" s="28" t="n"/>
      <c r="CB334" s="31" t="n"/>
      <c r="CC334" s="29">
        <f>IF(AND(BZ334=0,CA334=0,CB334=0),0,IF(AND(BZ334=0,CA334=0),CB334/1,IF(AND(BZ334=0,CB334=0),CA334/1,IF(AND(CA334=0,CB334=0),BZ334/1,IF(BZ334=0,FLOOR((CA334+CB334)/2,0.1),IF(CA334=0,(BZ334+CB334)/2,IF(CB334=0,(CA334+BZ334)/2,FLOOR(((BZ334+CA334+CB334)/3),0.1))))))))</f>
        <v/>
      </c>
      <c r="CD334" s="21" t="n"/>
      <c r="CE334" s="21" t="n"/>
      <c r="CF334" s="27">
        <f>SUM(CD334:CE334)</f>
        <v/>
      </c>
      <c r="CG334" s="28" t="n"/>
      <c r="CH334" s="31" t="n"/>
      <c r="CI334" s="29">
        <f>IF(AND(CF334=0,CG334=0,CH334=0),0,IF(AND(CF334=0,CG334=0),CH334/1,IF(AND(CF334=0,CH334=0),CG334/1,IF(AND(CG334=0,CH334=0),CF334/1,IF(CF334=0,FLOOR((CG334+CH334)/2,0.1),IF(CG334=0,(CF334+CH334)/2,IF(CH334=0,(CG334+CF334)/2,FLOOR(((CF334+CG334+CH334)/3),0.1))))))))</f>
        <v/>
      </c>
      <c r="CJ334" s="21" t="n"/>
      <c r="CK334" s="21" t="n"/>
      <c r="CL334" s="27">
        <f>SUM(CJ334:CK334)</f>
        <v/>
      </c>
      <c r="CM334" s="28" t="n"/>
      <c r="CN334" s="31" t="n"/>
      <c r="CO334" s="29">
        <f>IF(AND(CL334=0,CM334=0,CN334=0),0,IF(AND(CL334=0,CM334=0),CN334/1,IF(AND(CL334=0,CN334=0),CM334/1,IF(AND(CM334=0,CN334=0),CL334/1,IF(CL334=0,FLOOR((CM334+CN334)/2,0.1),IF(CM334=0,(CL334+CN334)/2,IF(CN334=0,(CM334+CL334)/2,FLOOR(((CL334+CM334+CN334)/3),0.1))))))))</f>
        <v/>
      </c>
      <c r="CP334" s="21" t="n"/>
      <c r="CQ334" s="21" t="n"/>
      <c r="CR334" s="27">
        <f>SUM(CP334:CQ334)</f>
        <v/>
      </c>
      <c r="CS334" s="28" t="n"/>
      <c r="CT334" s="31" t="n"/>
      <c r="CU334" s="29">
        <f>IF(AND(CR334=0,CS334=0,CT334=0),0,IF(AND(CR334=0,CS334=0),CT334/1,IF(AND(CR334=0,CT334=0),CS334/1,IF(AND(CS334=0,CT334=0),CR334/1,IF(CR334=0,FLOOR((CS334+CT334)/2,0.1),IF(CS334=0,(CR334+CT334)/2,IF(CT334=0,(CS334+CR334)/2,FLOOR(((CR334+CS334+CT334)/3),0.1))))))))</f>
        <v/>
      </c>
      <c r="CV334" s="21" t="n"/>
      <c r="CW334" s="21" t="n"/>
      <c r="CX334" s="27">
        <f>SUM(CV334:CW334)</f>
        <v/>
      </c>
      <c r="CY334" s="28" t="n"/>
      <c r="CZ334" s="31" t="n"/>
      <c r="DA334" s="29">
        <f>IF(AND(CX334=0,CY334=0,CZ334=0),0,IF(AND(CX334=0,CY334=0),CZ334/1,IF(AND(CX334=0,CZ334=0),CY334/1,IF(AND(CY334=0,CZ334=0),CX334/1,IF(CX334=0,FLOOR((CY334+CZ334)/2,0.1),IF(CY334=0,(CX334+CZ334)/2,IF(CZ334=0,(CY334+CX334)/2,FLOOR(((CX334+CY334+CZ334)/3),0.1))))))))</f>
        <v/>
      </c>
      <c r="DB334" s="21" t="n"/>
      <c r="DC334" s="21" t="n"/>
      <c r="DD334" s="27">
        <f>SUM(DB334:DC334)</f>
        <v/>
      </c>
      <c r="DE334" s="28" t="n"/>
      <c r="DF334" s="31" t="n"/>
      <c r="DG334" s="29">
        <f>IF(AND(DD334=0,DE334=0,DF334=0),0,IF(AND(DD334=0,DE334=0),DF334/1,IF(AND(DD334=0,DF334=0),DE334/1,IF(AND(DE334=0,DF334=0),DD334/1,IF(DD334=0,FLOOR((DE334+DF334)/2,0.1),IF(DE334=0,(DD334+DF334)/2,IF(DF334=0,(DE334+DD334)/2,FLOOR(((DD334+DE334+DF334)/3),0.1))))))))</f>
        <v/>
      </c>
      <c r="DH334" s="34">
        <f>SUM(O334,U334,AA334,AG334,AM334,AS334,AY334,BE334,BK334,BQ334,BW334,CC334,CI334,CO334,CU334,DA334,DG334)</f>
        <v/>
      </c>
      <c r="DI334" s="39">
        <f>RANK(DH334,DH$4:DH$503)</f>
        <v/>
      </c>
      <c r="DJ334" s="40" t="inlineStr">
        <is>
          <t>CHOOSE RATING</t>
        </is>
      </c>
      <c r="DK334" s="40" t="inlineStr">
        <is>
          <t>CHOOSE RATING</t>
        </is>
      </c>
      <c r="DL334" s="40" t="inlineStr">
        <is>
          <t>CHOOSE RATING</t>
        </is>
      </c>
      <c r="DM334" s="40" t="inlineStr">
        <is>
          <t>CHOOSE RATING</t>
        </is>
      </c>
      <c r="DN334" s="40" t="inlineStr">
        <is>
          <t>CHOOSE RATING</t>
        </is>
      </c>
      <c r="DO334" s="40" t="inlineStr">
        <is>
          <t>CHOOSE RATING</t>
        </is>
      </c>
      <c r="DP334" s="40" t="inlineStr">
        <is>
          <t>CHOOSE RATING</t>
        </is>
      </c>
      <c r="DQ334" s="40" t="inlineStr">
        <is>
          <t>CHOOSE RATING</t>
        </is>
      </c>
      <c r="DR334" s="43" t="inlineStr">
        <is>
          <t>2024/2025</t>
        </is>
      </c>
      <c r="DS334" s="45" t="inlineStr">
        <is>
          <t>THIRD</t>
        </is>
      </c>
      <c r="DT334" s="40" t="inlineStr">
        <is>
          <t>CHOOSE RATING</t>
        </is>
      </c>
      <c r="DU334" s="40" t="inlineStr">
        <is>
          <t>CHOOSE RATING</t>
        </is>
      </c>
      <c r="DV334" s="40" t="inlineStr">
        <is>
          <t>CHOOSE RATING</t>
        </is>
      </c>
      <c r="DW334" s="40" t="inlineStr">
        <is>
          <t>CHOOSE RATING</t>
        </is>
      </c>
      <c r="DX334" s="40" t="inlineStr">
        <is>
          <t>CHOOSE RATING</t>
        </is>
      </c>
      <c r="DY334" s="40" t="inlineStr">
        <is>
          <t>CHOOSE RATING</t>
        </is>
      </c>
      <c r="DZ334" s="53" t="inlineStr">
        <is>
          <t>CHOOSE RATING</t>
        </is>
      </c>
      <c r="EA334" s="54" t="inlineStr">
        <is>
          <t>Add the Tutor's Comment . . .</t>
        </is>
      </c>
      <c r="EB334" s="55" t="inlineStr">
        <is>
          <t>Choose Principals comment</t>
        </is>
      </c>
      <c r="EC334" s="56" t="n"/>
      <c r="ED334" s="57" t="inlineStr">
        <is>
          <t>Next Term Begins on Monday, 22nd September, 2025</t>
        </is>
      </c>
    </row>
    <row r="335" ht="30.6" customHeight="1" s="6">
      <c r="A335" s="18" t="n">
        <v>332</v>
      </c>
      <c r="B335" s="19" t="n"/>
      <c r="C335" s="20" t="n"/>
      <c r="D335" s="128" t="n"/>
      <c r="E335" s="21" t="n"/>
      <c r="F335" s="22" t="n"/>
      <c r="G335" s="22" t="n"/>
      <c r="H335" s="22" t="n"/>
      <c r="I335" s="26">
        <f>G335-H335</f>
        <v/>
      </c>
      <c r="J335" s="21" t="n"/>
      <c r="K335" s="21" t="n"/>
      <c r="L335" s="27">
        <f>SUM(J335:K335)</f>
        <v/>
      </c>
      <c r="M335" s="28" t="n"/>
      <c r="N335" s="28" t="n"/>
      <c r="O335" s="29">
        <f>IF(AND(L335=0,M335=0,N335=0),0,IF(AND(L335=0,M335=0),N335/1,IF(AND(L335=0,N335=0),M335/1,IF(AND(M335=0,N335=0),L335/1,IF(L335=0,FLOOR((M335+N335)/2,0.1),IF(M335=0,(L335+N335)/2,IF(N335=0,(M335+L335)/2,FLOOR(((L335+M335+N335)/3),0.1))))))))</f>
        <v/>
      </c>
      <c r="P335" s="21" t="n"/>
      <c r="Q335" s="21" t="n"/>
      <c r="R335" s="27">
        <f>SUM(P335:Q335)</f>
        <v/>
      </c>
      <c r="S335" s="28" t="n"/>
      <c r="T335" s="28" t="n"/>
      <c r="U335" s="29">
        <f>IF(AND(R335=0,S335=0,T335=0),0,IF(AND(R335=0,S335=0),T335/1,IF(AND(R335=0,T335=0),S335/1,IF(AND(S335=0,T335=0),R335/1,IF(R335=0,FLOOR((S335+T335)/2,0.1),IF(S335=0,(R335+T335)/2,IF(T335=0,(S335+R335)/2,FLOOR(((R335+S335+T335)/3),0.1))))))))</f>
        <v/>
      </c>
      <c r="V335" s="21" t="n"/>
      <c r="W335" s="21" t="n"/>
      <c r="X335" s="27">
        <f>SUM(V335:W335)</f>
        <v/>
      </c>
      <c r="Y335" s="28" t="n"/>
      <c r="Z335" s="28" t="n"/>
      <c r="AA335" s="29">
        <f>IF(AND(X335=0,Y335=0,Z335=0),0,IF(AND(X335=0,Y335=0),Z335/1,IF(AND(X335=0,Z335=0),Y335/1,IF(AND(Y335=0,Z335=0),X335/1,IF(X335=0,FLOOR((Y335+Z335)/2,0.1),IF(Y335=0,(X335+Z335)/2,IF(Z335=0,(Y335+X335)/2,FLOOR(((X335+Y335+Z335)/3),0.1))))))))</f>
        <v/>
      </c>
      <c r="AB335" s="21" t="n"/>
      <c r="AC335" s="21" t="n"/>
      <c r="AD335" s="27">
        <f>SUM(AB335:AC335)</f>
        <v/>
      </c>
      <c r="AE335" s="28" t="n"/>
      <c r="AF335" s="28" t="n"/>
      <c r="AG335" s="29">
        <f>IF(AND(AD335=0,AE335=0,AF335=0),0,IF(AND(AD335=0,AE335=0),AF335/1,IF(AND(AD335=0,AF335=0),AE335/1,IF(AND(AE335=0,AF335=0),AD335/1,IF(AD335=0,FLOOR((AE335+AF335)/2,0.1),IF(AE335=0,(AD335+AF335)/2,IF(AF335=0,(AE335+AD335)/2,FLOOR(((AD335+AE335+AF335)/3),0.1))))))))</f>
        <v/>
      </c>
      <c r="AH335" s="21" t="n"/>
      <c r="AI335" s="21" t="n"/>
      <c r="AJ335" s="27">
        <f>SUM(AH335:AI335)</f>
        <v/>
      </c>
      <c r="AK335" s="28" t="n"/>
      <c r="AL335" s="28" t="n"/>
      <c r="AM335" s="29">
        <f>IF(AND(AJ335=0,AK335=0,AL335=0),0,IF(AND(AJ335=0,AK335=0),AL335/1,IF(AND(AJ335=0,AL335=0),AK335/1,IF(AND(AK335=0,AL335=0),AJ335/1,IF(AJ335=0,FLOOR((AK335+AL335)/2,0.1),IF(AK335=0,(AJ335+AL335)/2,IF(AL335=0,(AK335+AJ335)/2,FLOOR(((AJ335+AK335+AL335)/3),0.1))))))))</f>
        <v/>
      </c>
      <c r="AN335" s="21" t="n"/>
      <c r="AO335" s="21" t="n"/>
      <c r="AP335" s="27">
        <f>SUM(AN335:AO335)</f>
        <v/>
      </c>
      <c r="AQ335" s="28" t="n"/>
      <c r="AR335" s="30" t="n"/>
      <c r="AS335" s="29">
        <f>IF(AND(AP335=0,AQ335=0,AR335=0),0,IF(AND(AP335=0,AQ335=0),AR335/1,IF(AND(AP335=0,AR335=0),AQ335/1,IF(AND(AQ335=0,AR335=0),AP335/1,IF(AP335=0,FLOOR((AQ335+AR335)/2,0.1),IF(AQ335=0,(AP335+AR335)/2,IF(AR335=0,(AQ335+AP335)/2,FLOOR(((AP335+AQ335+AR335)/3),0.1))))))))</f>
        <v/>
      </c>
      <c r="AT335" s="21" t="n"/>
      <c r="AU335" s="21" t="n"/>
      <c r="AV335" s="27">
        <f>SUM(AT335:AU335)</f>
        <v/>
      </c>
      <c r="AW335" s="28" t="n"/>
      <c r="AX335" s="30" t="n"/>
      <c r="AY335" s="29">
        <f>IF(AND(AV335=0,AW335=0,AX335=0),0,IF(AND(AV335=0,AW335=0),AX335/1,IF(AND(AV335=0,AX335=0),AW335/1,IF(AND(AW335=0,AX335=0),AV335/1,IF(AV335=0,FLOOR((AW335+AX335)/2,0.1),IF(AW335=0,(AV335+AX335)/2,IF(AX335=0,(AW335+AV335)/2,FLOOR(((AV335+AW335+AX335)/3),0.1))))))))</f>
        <v/>
      </c>
      <c r="AZ335" s="21" t="n"/>
      <c r="BA335" s="21" t="n"/>
      <c r="BB335" s="27">
        <f>SUM(AZ335:BA335)</f>
        <v/>
      </c>
      <c r="BC335" s="28" t="n"/>
      <c r="BD335" s="28" t="n"/>
      <c r="BE335" s="29">
        <f>IF(AND(BB335=0,BC335=0,BD335=0),0,IF(AND(BB335=0,BC335=0),BD335/1,IF(AND(BB335=0,BD335=0),BC335/1,IF(AND(BC335=0,BD335=0),BB335/1,IF(BB335=0,FLOOR((BC335+BD335)/2,0.1),IF(BC335=0,(BB335+BD335)/2,IF(BD335=0,(BC335+BB335)/2,FLOOR(((BB335+BC335+BD335)/3),0.1))))))))</f>
        <v/>
      </c>
      <c r="BF335" s="21" t="n"/>
      <c r="BG335" s="21" t="n"/>
      <c r="BH335" s="27">
        <f>SUM(BF335:BG335)</f>
        <v/>
      </c>
      <c r="BI335" s="28" t="n"/>
      <c r="BJ335" s="28" t="n"/>
      <c r="BK335" s="29">
        <f>IF(AND(BH335=0,BI335=0,BJ335=0),0,IF(AND(BH335=0,BI335=0),BJ335/1,IF(AND(BH335=0,BJ335=0),BI335/1,IF(AND(BI335=0,BJ335=0),BH335/1,IF(BH335=0,FLOOR((BI335+BJ335)/2,0.1),IF(BI335=0,(BH335+BJ335)/2,IF(BJ335=0,(BI335+BH335)/2,FLOOR(((BH335+BI335+BJ335)/3),0.1))))))))</f>
        <v/>
      </c>
      <c r="BL335" s="21" t="n"/>
      <c r="BM335" s="21" t="n"/>
      <c r="BN335" s="27">
        <f>SUM(BL335:BM335)</f>
        <v/>
      </c>
      <c r="BO335" s="28" t="n"/>
      <c r="BP335" s="31" t="n"/>
      <c r="BQ335" s="29">
        <f>IF(AND(BN335=0,BO335=0,BP335=0),0,IF(AND(BN335=0,BO335=0),BP335/1,IF(AND(BN335=0,BP335=0),BO335/1,IF(AND(BO335=0,BP335=0),BN335/1,IF(BN335=0,FLOOR((BO335+BP335)/2,0.1),IF(BO335=0,(BN335+BP335)/2,IF(BP335=0,(BO335+BN335)/2,FLOOR(((BN335+BO335+BP335)/3),0.1))))))))</f>
        <v/>
      </c>
      <c r="BR335" s="21" t="n"/>
      <c r="BS335" s="21" t="n"/>
      <c r="BT335" s="27">
        <f>SUM(BR335:BS335)</f>
        <v/>
      </c>
      <c r="BU335" s="28" t="n"/>
      <c r="BV335" s="31" t="n"/>
      <c r="BW335" s="29">
        <f>IF(AND(BT335=0,BU335=0,BV335=0),0,IF(AND(BT335=0,BU335=0),BV335/1,IF(AND(BT335=0,BV335=0),BU335/1,IF(AND(BU335=0,BV335=0),BT335/1,IF(BT335=0,FLOOR((BU335+BV335)/2,0.1),IF(BU335=0,(BT335+BV335)/2,IF(BV335=0,(BU335+BT335)/2,FLOOR(((BT335+BU335+BV335)/3),0.1))))))))</f>
        <v/>
      </c>
      <c r="BX335" s="21" t="n"/>
      <c r="BY335" s="21" t="n"/>
      <c r="BZ335" s="27">
        <f>SUM(BX335:BY335)</f>
        <v/>
      </c>
      <c r="CA335" s="28" t="n"/>
      <c r="CB335" s="31" t="n"/>
      <c r="CC335" s="29">
        <f>IF(AND(BZ335=0,CA335=0,CB335=0),0,IF(AND(BZ335=0,CA335=0),CB335/1,IF(AND(BZ335=0,CB335=0),CA335/1,IF(AND(CA335=0,CB335=0),BZ335/1,IF(BZ335=0,FLOOR((CA335+CB335)/2,0.1),IF(CA335=0,(BZ335+CB335)/2,IF(CB335=0,(CA335+BZ335)/2,FLOOR(((BZ335+CA335+CB335)/3),0.1))))))))</f>
        <v/>
      </c>
      <c r="CD335" s="21" t="n"/>
      <c r="CE335" s="21" t="n"/>
      <c r="CF335" s="27">
        <f>SUM(CD335:CE335)</f>
        <v/>
      </c>
      <c r="CG335" s="28" t="n"/>
      <c r="CH335" s="31" t="n"/>
      <c r="CI335" s="29">
        <f>IF(AND(CF335=0,CG335=0,CH335=0),0,IF(AND(CF335=0,CG335=0),CH335/1,IF(AND(CF335=0,CH335=0),CG335/1,IF(AND(CG335=0,CH335=0),CF335/1,IF(CF335=0,FLOOR((CG335+CH335)/2,0.1),IF(CG335=0,(CF335+CH335)/2,IF(CH335=0,(CG335+CF335)/2,FLOOR(((CF335+CG335+CH335)/3),0.1))))))))</f>
        <v/>
      </c>
      <c r="CJ335" s="21" t="n"/>
      <c r="CK335" s="21" t="n"/>
      <c r="CL335" s="27">
        <f>SUM(CJ335:CK335)</f>
        <v/>
      </c>
      <c r="CM335" s="28" t="n"/>
      <c r="CN335" s="31" t="n"/>
      <c r="CO335" s="29">
        <f>IF(AND(CL335=0,CM335=0,CN335=0),0,IF(AND(CL335=0,CM335=0),CN335/1,IF(AND(CL335=0,CN335=0),CM335/1,IF(AND(CM335=0,CN335=0),CL335/1,IF(CL335=0,FLOOR((CM335+CN335)/2,0.1),IF(CM335=0,(CL335+CN335)/2,IF(CN335=0,(CM335+CL335)/2,FLOOR(((CL335+CM335+CN335)/3),0.1))))))))</f>
        <v/>
      </c>
      <c r="CP335" s="21" t="n"/>
      <c r="CQ335" s="21" t="n"/>
      <c r="CR335" s="27">
        <f>SUM(CP335:CQ335)</f>
        <v/>
      </c>
      <c r="CS335" s="28" t="n"/>
      <c r="CT335" s="31" t="n"/>
      <c r="CU335" s="29">
        <f>IF(AND(CR335=0,CS335=0,CT335=0),0,IF(AND(CR335=0,CS335=0),CT335/1,IF(AND(CR335=0,CT335=0),CS335/1,IF(AND(CS335=0,CT335=0),CR335/1,IF(CR335=0,FLOOR((CS335+CT335)/2,0.1),IF(CS335=0,(CR335+CT335)/2,IF(CT335=0,(CS335+CR335)/2,FLOOR(((CR335+CS335+CT335)/3),0.1))))))))</f>
        <v/>
      </c>
      <c r="CV335" s="21" t="n"/>
      <c r="CW335" s="21" t="n"/>
      <c r="CX335" s="27">
        <f>SUM(CV335:CW335)</f>
        <v/>
      </c>
      <c r="CY335" s="28" t="n"/>
      <c r="CZ335" s="31" t="n"/>
      <c r="DA335" s="29">
        <f>IF(AND(CX335=0,CY335=0,CZ335=0),0,IF(AND(CX335=0,CY335=0),CZ335/1,IF(AND(CX335=0,CZ335=0),CY335/1,IF(AND(CY335=0,CZ335=0),CX335/1,IF(CX335=0,FLOOR((CY335+CZ335)/2,0.1),IF(CY335=0,(CX335+CZ335)/2,IF(CZ335=0,(CY335+CX335)/2,FLOOR(((CX335+CY335+CZ335)/3),0.1))))))))</f>
        <v/>
      </c>
      <c r="DB335" s="21" t="n"/>
      <c r="DC335" s="21" t="n"/>
      <c r="DD335" s="27">
        <f>SUM(DB335:DC335)</f>
        <v/>
      </c>
      <c r="DE335" s="28" t="n"/>
      <c r="DF335" s="31" t="n"/>
      <c r="DG335" s="29">
        <f>IF(AND(DD335=0,DE335=0,DF335=0),0,IF(AND(DD335=0,DE335=0),DF335/1,IF(AND(DD335=0,DF335=0),DE335/1,IF(AND(DE335=0,DF335=0),DD335/1,IF(DD335=0,FLOOR((DE335+DF335)/2,0.1),IF(DE335=0,(DD335+DF335)/2,IF(DF335=0,(DE335+DD335)/2,FLOOR(((DD335+DE335+DF335)/3),0.1))))))))</f>
        <v/>
      </c>
      <c r="DH335" s="34">
        <f>SUM(O335,U335,AA335,AG335,AM335,AS335,AY335,BE335,BK335,BQ335,BW335,CC335,CI335,CO335,CU335,DA335,DG335)</f>
        <v/>
      </c>
      <c r="DI335" s="39">
        <f>RANK(DH335,DH$4:DH$503)</f>
        <v/>
      </c>
      <c r="DJ335" s="40" t="inlineStr">
        <is>
          <t>CHOOSE RATING</t>
        </is>
      </c>
      <c r="DK335" s="40" t="inlineStr">
        <is>
          <t>CHOOSE RATING</t>
        </is>
      </c>
      <c r="DL335" s="40" t="inlineStr">
        <is>
          <t>CHOOSE RATING</t>
        </is>
      </c>
      <c r="DM335" s="40" t="inlineStr">
        <is>
          <t>CHOOSE RATING</t>
        </is>
      </c>
      <c r="DN335" s="40" t="inlineStr">
        <is>
          <t>CHOOSE RATING</t>
        </is>
      </c>
      <c r="DO335" s="40" t="inlineStr">
        <is>
          <t>CHOOSE RATING</t>
        </is>
      </c>
      <c r="DP335" s="40" t="inlineStr">
        <is>
          <t>CHOOSE RATING</t>
        </is>
      </c>
      <c r="DQ335" s="40" t="inlineStr">
        <is>
          <t>CHOOSE RATING</t>
        </is>
      </c>
      <c r="DR335" s="43" t="inlineStr">
        <is>
          <t>2024/2025</t>
        </is>
      </c>
      <c r="DS335" s="45" t="inlineStr">
        <is>
          <t>THIRD</t>
        </is>
      </c>
      <c r="DT335" s="40" t="inlineStr">
        <is>
          <t>CHOOSE RATING</t>
        </is>
      </c>
      <c r="DU335" s="40" t="inlineStr">
        <is>
          <t>CHOOSE RATING</t>
        </is>
      </c>
      <c r="DV335" s="40" t="inlineStr">
        <is>
          <t>CHOOSE RATING</t>
        </is>
      </c>
      <c r="DW335" s="40" t="inlineStr">
        <is>
          <t>CHOOSE RATING</t>
        </is>
      </c>
      <c r="DX335" s="40" t="inlineStr">
        <is>
          <t>CHOOSE RATING</t>
        </is>
      </c>
      <c r="DY335" s="40" t="inlineStr">
        <is>
          <t>CHOOSE RATING</t>
        </is>
      </c>
      <c r="DZ335" s="53" t="inlineStr">
        <is>
          <t>CHOOSE RATING</t>
        </is>
      </c>
      <c r="EA335" s="54" t="inlineStr">
        <is>
          <t>Add the Tutor's Comment . . .</t>
        </is>
      </c>
      <c r="EB335" s="55" t="inlineStr">
        <is>
          <t>Choose Principals comment</t>
        </is>
      </c>
      <c r="EC335" s="56" t="n"/>
      <c r="ED335" s="57" t="inlineStr">
        <is>
          <t>Next Term Begins on Monday, 22nd September, 2025</t>
        </is>
      </c>
    </row>
    <row r="336" ht="30.6" customHeight="1" s="6">
      <c r="A336" s="18" t="n">
        <v>333</v>
      </c>
      <c r="B336" s="19" t="n"/>
      <c r="C336" s="20" t="n"/>
      <c r="D336" s="128" t="n"/>
      <c r="E336" s="21" t="n"/>
      <c r="F336" s="22" t="n"/>
      <c r="G336" s="22" t="n"/>
      <c r="H336" s="22" t="n"/>
      <c r="I336" s="26">
        <f>G336-H336</f>
        <v/>
      </c>
      <c r="J336" s="21" t="n"/>
      <c r="K336" s="21" t="n"/>
      <c r="L336" s="27">
        <f>SUM(J336:K336)</f>
        <v/>
      </c>
      <c r="M336" s="28" t="n"/>
      <c r="N336" s="28" t="n"/>
      <c r="O336" s="29">
        <f>IF(AND(L336=0,M336=0,N336=0),0,IF(AND(L336=0,M336=0),N336/1,IF(AND(L336=0,N336=0),M336/1,IF(AND(M336=0,N336=0),L336/1,IF(L336=0,FLOOR((M336+N336)/2,0.1),IF(M336=0,(L336+N336)/2,IF(N336=0,(M336+L336)/2,FLOOR(((L336+M336+N336)/3),0.1))))))))</f>
        <v/>
      </c>
      <c r="P336" s="21" t="n"/>
      <c r="Q336" s="21" t="n"/>
      <c r="R336" s="27">
        <f>SUM(P336:Q336)</f>
        <v/>
      </c>
      <c r="S336" s="28" t="n"/>
      <c r="T336" s="28" t="n"/>
      <c r="U336" s="29">
        <f>IF(AND(R336=0,S336=0,T336=0),0,IF(AND(R336=0,S336=0),T336/1,IF(AND(R336=0,T336=0),S336/1,IF(AND(S336=0,T336=0),R336/1,IF(R336=0,FLOOR((S336+T336)/2,0.1),IF(S336=0,(R336+T336)/2,IF(T336=0,(S336+R336)/2,FLOOR(((R336+S336+T336)/3),0.1))))))))</f>
        <v/>
      </c>
      <c r="V336" s="21" t="n"/>
      <c r="W336" s="21" t="n"/>
      <c r="X336" s="27">
        <f>SUM(V336:W336)</f>
        <v/>
      </c>
      <c r="Y336" s="28" t="n"/>
      <c r="Z336" s="28" t="n"/>
      <c r="AA336" s="29">
        <f>IF(AND(X336=0,Y336=0,Z336=0),0,IF(AND(X336=0,Y336=0),Z336/1,IF(AND(X336=0,Z336=0),Y336/1,IF(AND(Y336=0,Z336=0),X336/1,IF(X336=0,FLOOR((Y336+Z336)/2,0.1),IF(Y336=0,(X336+Z336)/2,IF(Z336=0,(Y336+X336)/2,FLOOR(((X336+Y336+Z336)/3),0.1))))))))</f>
        <v/>
      </c>
      <c r="AB336" s="21" t="n"/>
      <c r="AC336" s="21" t="n"/>
      <c r="AD336" s="27">
        <f>SUM(AB336:AC336)</f>
        <v/>
      </c>
      <c r="AE336" s="28" t="n"/>
      <c r="AF336" s="28" t="n"/>
      <c r="AG336" s="29">
        <f>IF(AND(AD336=0,AE336=0,AF336=0),0,IF(AND(AD336=0,AE336=0),AF336/1,IF(AND(AD336=0,AF336=0),AE336/1,IF(AND(AE336=0,AF336=0),AD336/1,IF(AD336=0,FLOOR((AE336+AF336)/2,0.1),IF(AE336=0,(AD336+AF336)/2,IF(AF336=0,(AE336+AD336)/2,FLOOR(((AD336+AE336+AF336)/3),0.1))))))))</f>
        <v/>
      </c>
      <c r="AH336" s="21" t="n"/>
      <c r="AI336" s="21" t="n"/>
      <c r="AJ336" s="27">
        <f>SUM(AH336:AI336)</f>
        <v/>
      </c>
      <c r="AK336" s="28" t="n"/>
      <c r="AL336" s="28" t="n"/>
      <c r="AM336" s="29">
        <f>IF(AND(AJ336=0,AK336=0,AL336=0),0,IF(AND(AJ336=0,AK336=0),AL336/1,IF(AND(AJ336=0,AL336=0),AK336/1,IF(AND(AK336=0,AL336=0),AJ336/1,IF(AJ336=0,FLOOR((AK336+AL336)/2,0.1),IF(AK336=0,(AJ336+AL336)/2,IF(AL336=0,(AK336+AJ336)/2,FLOOR(((AJ336+AK336+AL336)/3),0.1))))))))</f>
        <v/>
      </c>
      <c r="AN336" s="21" t="n"/>
      <c r="AO336" s="21" t="n"/>
      <c r="AP336" s="27">
        <f>SUM(AN336:AO336)</f>
        <v/>
      </c>
      <c r="AQ336" s="28" t="n"/>
      <c r="AR336" s="30" t="n"/>
      <c r="AS336" s="29">
        <f>IF(AND(AP336=0,AQ336=0,AR336=0),0,IF(AND(AP336=0,AQ336=0),AR336/1,IF(AND(AP336=0,AR336=0),AQ336/1,IF(AND(AQ336=0,AR336=0),AP336/1,IF(AP336=0,FLOOR((AQ336+AR336)/2,0.1),IF(AQ336=0,(AP336+AR336)/2,IF(AR336=0,(AQ336+AP336)/2,FLOOR(((AP336+AQ336+AR336)/3),0.1))))))))</f>
        <v/>
      </c>
      <c r="AT336" s="21" t="n"/>
      <c r="AU336" s="21" t="n"/>
      <c r="AV336" s="27">
        <f>SUM(AT336:AU336)</f>
        <v/>
      </c>
      <c r="AW336" s="28" t="n"/>
      <c r="AX336" s="30" t="n"/>
      <c r="AY336" s="29">
        <f>IF(AND(AV336=0,AW336=0,AX336=0),0,IF(AND(AV336=0,AW336=0),AX336/1,IF(AND(AV336=0,AX336=0),AW336/1,IF(AND(AW336=0,AX336=0),AV336/1,IF(AV336=0,FLOOR((AW336+AX336)/2,0.1),IF(AW336=0,(AV336+AX336)/2,IF(AX336=0,(AW336+AV336)/2,FLOOR(((AV336+AW336+AX336)/3),0.1))))))))</f>
        <v/>
      </c>
      <c r="AZ336" s="21" t="n"/>
      <c r="BA336" s="21" t="n"/>
      <c r="BB336" s="27">
        <f>SUM(AZ336:BA336)</f>
        <v/>
      </c>
      <c r="BC336" s="28" t="n"/>
      <c r="BD336" s="28" t="n"/>
      <c r="BE336" s="29">
        <f>IF(AND(BB336=0,BC336=0,BD336=0),0,IF(AND(BB336=0,BC336=0),BD336/1,IF(AND(BB336=0,BD336=0),BC336/1,IF(AND(BC336=0,BD336=0),BB336/1,IF(BB336=0,FLOOR((BC336+BD336)/2,0.1),IF(BC336=0,(BB336+BD336)/2,IF(BD336=0,(BC336+BB336)/2,FLOOR(((BB336+BC336+BD336)/3),0.1))))))))</f>
        <v/>
      </c>
      <c r="BF336" s="21" t="n"/>
      <c r="BG336" s="21" t="n"/>
      <c r="BH336" s="27">
        <f>SUM(BF336:BG336)</f>
        <v/>
      </c>
      <c r="BI336" s="28" t="n"/>
      <c r="BJ336" s="28" t="n"/>
      <c r="BK336" s="29">
        <f>IF(AND(BH336=0,BI336=0,BJ336=0),0,IF(AND(BH336=0,BI336=0),BJ336/1,IF(AND(BH336=0,BJ336=0),BI336/1,IF(AND(BI336=0,BJ336=0),BH336/1,IF(BH336=0,FLOOR((BI336+BJ336)/2,0.1),IF(BI336=0,(BH336+BJ336)/2,IF(BJ336=0,(BI336+BH336)/2,FLOOR(((BH336+BI336+BJ336)/3),0.1))))))))</f>
        <v/>
      </c>
      <c r="BL336" s="21" t="n"/>
      <c r="BM336" s="21" t="n"/>
      <c r="BN336" s="27">
        <f>SUM(BL336:BM336)</f>
        <v/>
      </c>
      <c r="BO336" s="28" t="n"/>
      <c r="BP336" s="31" t="n"/>
      <c r="BQ336" s="29">
        <f>IF(AND(BN336=0,BO336=0,BP336=0),0,IF(AND(BN336=0,BO336=0),BP336/1,IF(AND(BN336=0,BP336=0),BO336/1,IF(AND(BO336=0,BP336=0),BN336/1,IF(BN336=0,FLOOR((BO336+BP336)/2,0.1),IF(BO336=0,(BN336+BP336)/2,IF(BP336=0,(BO336+BN336)/2,FLOOR(((BN336+BO336+BP336)/3),0.1))))))))</f>
        <v/>
      </c>
      <c r="BR336" s="21" t="n"/>
      <c r="BS336" s="21" t="n"/>
      <c r="BT336" s="27">
        <f>SUM(BR336:BS336)</f>
        <v/>
      </c>
      <c r="BU336" s="28" t="n"/>
      <c r="BV336" s="31" t="n"/>
      <c r="BW336" s="29">
        <f>IF(AND(BT336=0,BU336=0,BV336=0),0,IF(AND(BT336=0,BU336=0),BV336/1,IF(AND(BT336=0,BV336=0),BU336/1,IF(AND(BU336=0,BV336=0),BT336/1,IF(BT336=0,FLOOR((BU336+BV336)/2,0.1),IF(BU336=0,(BT336+BV336)/2,IF(BV336=0,(BU336+BT336)/2,FLOOR(((BT336+BU336+BV336)/3),0.1))))))))</f>
        <v/>
      </c>
      <c r="BX336" s="21" t="n"/>
      <c r="BY336" s="21" t="n"/>
      <c r="BZ336" s="27">
        <f>SUM(BX336:BY336)</f>
        <v/>
      </c>
      <c r="CA336" s="28" t="n"/>
      <c r="CB336" s="31" t="n"/>
      <c r="CC336" s="29">
        <f>IF(AND(BZ336=0,CA336=0,CB336=0),0,IF(AND(BZ336=0,CA336=0),CB336/1,IF(AND(BZ336=0,CB336=0),CA336/1,IF(AND(CA336=0,CB336=0),BZ336/1,IF(BZ336=0,FLOOR((CA336+CB336)/2,0.1),IF(CA336=0,(BZ336+CB336)/2,IF(CB336=0,(CA336+BZ336)/2,FLOOR(((BZ336+CA336+CB336)/3),0.1))))))))</f>
        <v/>
      </c>
      <c r="CD336" s="21" t="n"/>
      <c r="CE336" s="21" t="n"/>
      <c r="CF336" s="27">
        <f>SUM(CD336:CE336)</f>
        <v/>
      </c>
      <c r="CG336" s="28" t="n"/>
      <c r="CH336" s="31" t="n"/>
      <c r="CI336" s="29">
        <f>IF(AND(CF336=0,CG336=0,CH336=0),0,IF(AND(CF336=0,CG336=0),CH336/1,IF(AND(CF336=0,CH336=0),CG336/1,IF(AND(CG336=0,CH336=0),CF336/1,IF(CF336=0,FLOOR((CG336+CH336)/2,0.1),IF(CG336=0,(CF336+CH336)/2,IF(CH336=0,(CG336+CF336)/2,FLOOR(((CF336+CG336+CH336)/3),0.1))))))))</f>
        <v/>
      </c>
      <c r="CJ336" s="21" t="n"/>
      <c r="CK336" s="21" t="n"/>
      <c r="CL336" s="27">
        <f>SUM(CJ336:CK336)</f>
        <v/>
      </c>
      <c r="CM336" s="28" t="n"/>
      <c r="CN336" s="31" t="n"/>
      <c r="CO336" s="29">
        <f>IF(AND(CL336=0,CM336=0,CN336=0),0,IF(AND(CL336=0,CM336=0),CN336/1,IF(AND(CL336=0,CN336=0),CM336/1,IF(AND(CM336=0,CN336=0),CL336/1,IF(CL336=0,FLOOR((CM336+CN336)/2,0.1),IF(CM336=0,(CL336+CN336)/2,IF(CN336=0,(CM336+CL336)/2,FLOOR(((CL336+CM336+CN336)/3),0.1))))))))</f>
        <v/>
      </c>
      <c r="CP336" s="21" t="n"/>
      <c r="CQ336" s="21" t="n"/>
      <c r="CR336" s="27">
        <f>SUM(CP336:CQ336)</f>
        <v/>
      </c>
      <c r="CS336" s="28" t="n"/>
      <c r="CT336" s="31" t="n"/>
      <c r="CU336" s="29">
        <f>IF(AND(CR336=0,CS336=0,CT336=0),0,IF(AND(CR336=0,CS336=0),CT336/1,IF(AND(CR336=0,CT336=0),CS336/1,IF(AND(CS336=0,CT336=0),CR336/1,IF(CR336=0,FLOOR((CS336+CT336)/2,0.1),IF(CS336=0,(CR336+CT336)/2,IF(CT336=0,(CS336+CR336)/2,FLOOR(((CR336+CS336+CT336)/3),0.1))))))))</f>
        <v/>
      </c>
      <c r="CV336" s="21" t="n"/>
      <c r="CW336" s="21" t="n"/>
      <c r="CX336" s="27">
        <f>SUM(CV336:CW336)</f>
        <v/>
      </c>
      <c r="CY336" s="28" t="n"/>
      <c r="CZ336" s="31" t="n"/>
      <c r="DA336" s="29">
        <f>IF(AND(CX336=0,CY336=0,CZ336=0),0,IF(AND(CX336=0,CY336=0),CZ336/1,IF(AND(CX336=0,CZ336=0),CY336/1,IF(AND(CY336=0,CZ336=0),CX336/1,IF(CX336=0,FLOOR((CY336+CZ336)/2,0.1),IF(CY336=0,(CX336+CZ336)/2,IF(CZ336=0,(CY336+CX336)/2,FLOOR(((CX336+CY336+CZ336)/3),0.1))))))))</f>
        <v/>
      </c>
      <c r="DB336" s="21" t="n"/>
      <c r="DC336" s="21" t="n"/>
      <c r="DD336" s="27">
        <f>SUM(DB336:DC336)</f>
        <v/>
      </c>
      <c r="DE336" s="28" t="n"/>
      <c r="DF336" s="31" t="n"/>
      <c r="DG336" s="29">
        <f>IF(AND(DD336=0,DE336=0,DF336=0),0,IF(AND(DD336=0,DE336=0),DF336/1,IF(AND(DD336=0,DF336=0),DE336/1,IF(AND(DE336=0,DF336=0),DD336/1,IF(DD336=0,FLOOR((DE336+DF336)/2,0.1),IF(DE336=0,(DD336+DF336)/2,IF(DF336=0,(DE336+DD336)/2,FLOOR(((DD336+DE336+DF336)/3),0.1))))))))</f>
        <v/>
      </c>
      <c r="DH336" s="34">
        <f>SUM(O336,U336,AA336,AG336,AM336,AS336,AY336,BE336,BK336,BQ336,BW336,CC336,CI336,CO336,CU336,DA336,DG336)</f>
        <v/>
      </c>
      <c r="DI336" s="39">
        <f>RANK(DH336,DH$4:DH$503)</f>
        <v/>
      </c>
      <c r="DJ336" s="40" t="inlineStr">
        <is>
          <t>CHOOSE RATING</t>
        </is>
      </c>
      <c r="DK336" s="40" t="inlineStr">
        <is>
          <t>CHOOSE RATING</t>
        </is>
      </c>
      <c r="DL336" s="40" t="inlineStr">
        <is>
          <t>CHOOSE RATING</t>
        </is>
      </c>
      <c r="DM336" s="40" t="inlineStr">
        <is>
          <t>CHOOSE RATING</t>
        </is>
      </c>
      <c r="DN336" s="40" t="inlineStr">
        <is>
          <t>CHOOSE RATING</t>
        </is>
      </c>
      <c r="DO336" s="40" t="inlineStr">
        <is>
          <t>CHOOSE RATING</t>
        </is>
      </c>
      <c r="DP336" s="40" t="inlineStr">
        <is>
          <t>CHOOSE RATING</t>
        </is>
      </c>
      <c r="DQ336" s="40" t="inlineStr">
        <is>
          <t>CHOOSE RATING</t>
        </is>
      </c>
      <c r="DR336" s="43" t="inlineStr">
        <is>
          <t>2024/2025</t>
        </is>
      </c>
      <c r="DS336" s="45" t="inlineStr">
        <is>
          <t>THIRD</t>
        </is>
      </c>
      <c r="DT336" s="40" t="inlineStr">
        <is>
          <t>CHOOSE RATING</t>
        </is>
      </c>
      <c r="DU336" s="40" t="inlineStr">
        <is>
          <t>CHOOSE RATING</t>
        </is>
      </c>
      <c r="DV336" s="40" t="inlineStr">
        <is>
          <t>CHOOSE RATING</t>
        </is>
      </c>
      <c r="DW336" s="40" t="inlineStr">
        <is>
          <t>CHOOSE RATING</t>
        </is>
      </c>
      <c r="DX336" s="40" t="inlineStr">
        <is>
          <t>CHOOSE RATING</t>
        </is>
      </c>
      <c r="DY336" s="40" t="inlineStr">
        <is>
          <t>CHOOSE RATING</t>
        </is>
      </c>
      <c r="DZ336" s="53" t="inlineStr">
        <is>
          <t>CHOOSE RATING</t>
        </is>
      </c>
      <c r="EA336" s="54" t="inlineStr">
        <is>
          <t>Add the Tutor's Comment . . .</t>
        </is>
      </c>
      <c r="EB336" s="55" t="inlineStr">
        <is>
          <t>Choose Principals comment</t>
        </is>
      </c>
      <c r="EC336" s="56" t="n"/>
      <c r="ED336" s="57" t="inlineStr">
        <is>
          <t>Next Term Begins on Monday, 22nd September, 2025</t>
        </is>
      </c>
    </row>
    <row r="337" ht="30.6" customHeight="1" s="6">
      <c r="A337" s="18" t="n">
        <v>334</v>
      </c>
      <c r="B337" s="19" t="n"/>
      <c r="C337" s="20" t="n"/>
      <c r="D337" s="128" t="n"/>
      <c r="E337" s="21" t="n"/>
      <c r="F337" s="22" t="n"/>
      <c r="G337" s="22" t="n"/>
      <c r="H337" s="22" t="n"/>
      <c r="I337" s="26">
        <f>G337-H337</f>
        <v/>
      </c>
      <c r="J337" s="21" t="n"/>
      <c r="K337" s="21" t="n"/>
      <c r="L337" s="27">
        <f>SUM(J337:K337)</f>
        <v/>
      </c>
      <c r="M337" s="28" t="n"/>
      <c r="N337" s="28" t="n"/>
      <c r="O337" s="29">
        <f>IF(AND(L337=0,M337=0,N337=0),0,IF(AND(L337=0,M337=0),N337/1,IF(AND(L337=0,N337=0),M337/1,IF(AND(M337=0,N337=0),L337/1,IF(L337=0,FLOOR((M337+N337)/2,0.1),IF(M337=0,(L337+N337)/2,IF(N337=0,(M337+L337)/2,FLOOR(((L337+M337+N337)/3),0.1))))))))</f>
        <v/>
      </c>
      <c r="P337" s="21" t="n"/>
      <c r="Q337" s="21" t="n"/>
      <c r="R337" s="27">
        <f>SUM(P337:Q337)</f>
        <v/>
      </c>
      <c r="S337" s="28" t="n"/>
      <c r="T337" s="28" t="n"/>
      <c r="U337" s="29">
        <f>IF(AND(R337=0,S337=0,T337=0),0,IF(AND(R337=0,S337=0),T337/1,IF(AND(R337=0,T337=0),S337/1,IF(AND(S337=0,T337=0),R337/1,IF(R337=0,FLOOR((S337+T337)/2,0.1),IF(S337=0,(R337+T337)/2,IF(T337=0,(S337+R337)/2,FLOOR(((R337+S337+T337)/3),0.1))))))))</f>
        <v/>
      </c>
      <c r="V337" s="21" t="n"/>
      <c r="W337" s="21" t="n"/>
      <c r="X337" s="27">
        <f>SUM(V337:W337)</f>
        <v/>
      </c>
      <c r="Y337" s="28" t="n"/>
      <c r="Z337" s="28" t="n"/>
      <c r="AA337" s="29">
        <f>IF(AND(X337=0,Y337=0,Z337=0),0,IF(AND(X337=0,Y337=0),Z337/1,IF(AND(X337=0,Z337=0),Y337/1,IF(AND(Y337=0,Z337=0),X337/1,IF(X337=0,FLOOR((Y337+Z337)/2,0.1),IF(Y337=0,(X337+Z337)/2,IF(Z337=0,(Y337+X337)/2,FLOOR(((X337+Y337+Z337)/3),0.1))))))))</f>
        <v/>
      </c>
      <c r="AB337" s="21" t="n"/>
      <c r="AC337" s="21" t="n"/>
      <c r="AD337" s="27">
        <f>SUM(AB337:AC337)</f>
        <v/>
      </c>
      <c r="AE337" s="28" t="n"/>
      <c r="AF337" s="28" t="n"/>
      <c r="AG337" s="29">
        <f>IF(AND(AD337=0,AE337=0,AF337=0),0,IF(AND(AD337=0,AE337=0),AF337/1,IF(AND(AD337=0,AF337=0),AE337/1,IF(AND(AE337=0,AF337=0),AD337/1,IF(AD337=0,FLOOR((AE337+AF337)/2,0.1),IF(AE337=0,(AD337+AF337)/2,IF(AF337=0,(AE337+AD337)/2,FLOOR(((AD337+AE337+AF337)/3),0.1))))))))</f>
        <v/>
      </c>
      <c r="AH337" s="21" t="n"/>
      <c r="AI337" s="21" t="n"/>
      <c r="AJ337" s="27">
        <f>SUM(AH337:AI337)</f>
        <v/>
      </c>
      <c r="AK337" s="28" t="n"/>
      <c r="AL337" s="28" t="n"/>
      <c r="AM337" s="29">
        <f>IF(AND(AJ337=0,AK337=0,AL337=0),0,IF(AND(AJ337=0,AK337=0),AL337/1,IF(AND(AJ337=0,AL337=0),AK337/1,IF(AND(AK337=0,AL337=0),AJ337/1,IF(AJ337=0,FLOOR((AK337+AL337)/2,0.1),IF(AK337=0,(AJ337+AL337)/2,IF(AL337=0,(AK337+AJ337)/2,FLOOR(((AJ337+AK337+AL337)/3),0.1))))))))</f>
        <v/>
      </c>
      <c r="AN337" s="21" t="n"/>
      <c r="AO337" s="21" t="n"/>
      <c r="AP337" s="27">
        <f>SUM(AN337:AO337)</f>
        <v/>
      </c>
      <c r="AQ337" s="28" t="n"/>
      <c r="AR337" s="30" t="n"/>
      <c r="AS337" s="29">
        <f>IF(AND(AP337=0,AQ337=0,AR337=0),0,IF(AND(AP337=0,AQ337=0),AR337/1,IF(AND(AP337=0,AR337=0),AQ337/1,IF(AND(AQ337=0,AR337=0),AP337/1,IF(AP337=0,FLOOR((AQ337+AR337)/2,0.1),IF(AQ337=0,(AP337+AR337)/2,IF(AR337=0,(AQ337+AP337)/2,FLOOR(((AP337+AQ337+AR337)/3),0.1))))))))</f>
        <v/>
      </c>
      <c r="AT337" s="21" t="n"/>
      <c r="AU337" s="21" t="n"/>
      <c r="AV337" s="27">
        <f>SUM(AT337:AU337)</f>
        <v/>
      </c>
      <c r="AW337" s="28" t="n"/>
      <c r="AX337" s="30" t="n"/>
      <c r="AY337" s="29">
        <f>IF(AND(AV337=0,AW337=0,AX337=0),0,IF(AND(AV337=0,AW337=0),AX337/1,IF(AND(AV337=0,AX337=0),AW337/1,IF(AND(AW337=0,AX337=0),AV337/1,IF(AV337=0,FLOOR((AW337+AX337)/2,0.1),IF(AW337=0,(AV337+AX337)/2,IF(AX337=0,(AW337+AV337)/2,FLOOR(((AV337+AW337+AX337)/3),0.1))))))))</f>
        <v/>
      </c>
      <c r="AZ337" s="21" t="n"/>
      <c r="BA337" s="21" t="n"/>
      <c r="BB337" s="27">
        <f>SUM(AZ337:BA337)</f>
        <v/>
      </c>
      <c r="BC337" s="28" t="n"/>
      <c r="BD337" s="28" t="n"/>
      <c r="BE337" s="29">
        <f>IF(AND(BB337=0,BC337=0,BD337=0),0,IF(AND(BB337=0,BC337=0),BD337/1,IF(AND(BB337=0,BD337=0),BC337/1,IF(AND(BC337=0,BD337=0),BB337/1,IF(BB337=0,FLOOR((BC337+BD337)/2,0.1),IF(BC337=0,(BB337+BD337)/2,IF(BD337=0,(BC337+BB337)/2,FLOOR(((BB337+BC337+BD337)/3),0.1))))))))</f>
        <v/>
      </c>
      <c r="BF337" s="21" t="n"/>
      <c r="BG337" s="21" t="n"/>
      <c r="BH337" s="27">
        <f>SUM(BF337:BG337)</f>
        <v/>
      </c>
      <c r="BI337" s="28" t="n"/>
      <c r="BJ337" s="28" t="n"/>
      <c r="BK337" s="29">
        <f>IF(AND(BH337=0,BI337=0,BJ337=0),0,IF(AND(BH337=0,BI337=0),BJ337/1,IF(AND(BH337=0,BJ337=0),BI337/1,IF(AND(BI337=0,BJ337=0),BH337/1,IF(BH337=0,FLOOR((BI337+BJ337)/2,0.1),IF(BI337=0,(BH337+BJ337)/2,IF(BJ337=0,(BI337+BH337)/2,FLOOR(((BH337+BI337+BJ337)/3),0.1))))))))</f>
        <v/>
      </c>
      <c r="BL337" s="21" t="n"/>
      <c r="BM337" s="21" t="n"/>
      <c r="BN337" s="27">
        <f>SUM(BL337:BM337)</f>
        <v/>
      </c>
      <c r="BO337" s="28" t="n"/>
      <c r="BP337" s="31" t="n"/>
      <c r="BQ337" s="29">
        <f>IF(AND(BN337=0,BO337=0,BP337=0),0,IF(AND(BN337=0,BO337=0),BP337/1,IF(AND(BN337=0,BP337=0),BO337/1,IF(AND(BO337=0,BP337=0),BN337/1,IF(BN337=0,FLOOR((BO337+BP337)/2,0.1),IF(BO337=0,(BN337+BP337)/2,IF(BP337=0,(BO337+BN337)/2,FLOOR(((BN337+BO337+BP337)/3),0.1))))))))</f>
        <v/>
      </c>
      <c r="BR337" s="21" t="n"/>
      <c r="BS337" s="21" t="n"/>
      <c r="BT337" s="27">
        <f>SUM(BR337:BS337)</f>
        <v/>
      </c>
      <c r="BU337" s="28" t="n"/>
      <c r="BV337" s="31" t="n"/>
      <c r="BW337" s="29">
        <f>IF(AND(BT337=0,BU337=0,BV337=0),0,IF(AND(BT337=0,BU337=0),BV337/1,IF(AND(BT337=0,BV337=0),BU337/1,IF(AND(BU337=0,BV337=0),BT337/1,IF(BT337=0,FLOOR((BU337+BV337)/2,0.1),IF(BU337=0,(BT337+BV337)/2,IF(BV337=0,(BU337+BT337)/2,FLOOR(((BT337+BU337+BV337)/3),0.1))))))))</f>
        <v/>
      </c>
      <c r="BX337" s="21" t="n"/>
      <c r="BY337" s="21" t="n"/>
      <c r="BZ337" s="27">
        <f>SUM(BX337:BY337)</f>
        <v/>
      </c>
      <c r="CA337" s="28" t="n"/>
      <c r="CB337" s="31" t="n"/>
      <c r="CC337" s="29">
        <f>IF(AND(BZ337=0,CA337=0,CB337=0),0,IF(AND(BZ337=0,CA337=0),CB337/1,IF(AND(BZ337=0,CB337=0),CA337/1,IF(AND(CA337=0,CB337=0),BZ337/1,IF(BZ337=0,FLOOR((CA337+CB337)/2,0.1),IF(CA337=0,(BZ337+CB337)/2,IF(CB337=0,(CA337+BZ337)/2,FLOOR(((BZ337+CA337+CB337)/3),0.1))))))))</f>
        <v/>
      </c>
      <c r="CD337" s="21" t="n"/>
      <c r="CE337" s="21" t="n"/>
      <c r="CF337" s="27">
        <f>SUM(CD337:CE337)</f>
        <v/>
      </c>
      <c r="CG337" s="28" t="n"/>
      <c r="CH337" s="31" t="n"/>
      <c r="CI337" s="29">
        <f>IF(AND(CF337=0,CG337=0,CH337=0),0,IF(AND(CF337=0,CG337=0),CH337/1,IF(AND(CF337=0,CH337=0),CG337/1,IF(AND(CG337=0,CH337=0),CF337/1,IF(CF337=0,FLOOR((CG337+CH337)/2,0.1),IF(CG337=0,(CF337+CH337)/2,IF(CH337=0,(CG337+CF337)/2,FLOOR(((CF337+CG337+CH337)/3),0.1))))))))</f>
        <v/>
      </c>
      <c r="CJ337" s="21" t="n"/>
      <c r="CK337" s="21" t="n"/>
      <c r="CL337" s="27">
        <f>SUM(CJ337:CK337)</f>
        <v/>
      </c>
      <c r="CM337" s="28" t="n"/>
      <c r="CN337" s="31" t="n"/>
      <c r="CO337" s="29">
        <f>IF(AND(CL337=0,CM337=0,CN337=0),0,IF(AND(CL337=0,CM337=0),CN337/1,IF(AND(CL337=0,CN337=0),CM337/1,IF(AND(CM337=0,CN337=0),CL337/1,IF(CL337=0,FLOOR((CM337+CN337)/2,0.1),IF(CM337=0,(CL337+CN337)/2,IF(CN337=0,(CM337+CL337)/2,FLOOR(((CL337+CM337+CN337)/3),0.1))))))))</f>
        <v/>
      </c>
      <c r="CP337" s="21" t="n"/>
      <c r="CQ337" s="21" t="n"/>
      <c r="CR337" s="27">
        <f>SUM(CP337:CQ337)</f>
        <v/>
      </c>
      <c r="CS337" s="28" t="n"/>
      <c r="CT337" s="31" t="n"/>
      <c r="CU337" s="29">
        <f>IF(AND(CR337=0,CS337=0,CT337=0),0,IF(AND(CR337=0,CS337=0),CT337/1,IF(AND(CR337=0,CT337=0),CS337/1,IF(AND(CS337=0,CT337=0),CR337/1,IF(CR337=0,FLOOR((CS337+CT337)/2,0.1),IF(CS337=0,(CR337+CT337)/2,IF(CT337=0,(CS337+CR337)/2,FLOOR(((CR337+CS337+CT337)/3),0.1))))))))</f>
        <v/>
      </c>
      <c r="CV337" s="21" t="n"/>
      <c r="CW337" s="21" t="n"/>
      <c r="CX337" s="27">
        <f>SUM(CV337:CW337)</f>
        <v/>
      </c>
      <c r="CY337" s="28" t="n"/>
      <c r="CZ337" s="31" t="n"/>
      <c r="DA337" s="29">
        <f>IF(AND(CX337=0,CY337=0,CZ337=0),0,IF(AND(CX337=0,CY337=0),CZ337/1,IF(AND(CX337=0,CZ337=0),CY337/1,IF(AND(CY337=0,CZ337=0),CX337/1,IF(CX337=0,FLOOR((CY337+CZ337)/2,0.1),IF(CY337=0,(CX337+CZ337)/2,IF(CZ337=0,(CY337+CX337)/2,FLOOR(((CX337+CY337+CZ337)/3),0.1))))))))</f>
        <v/>
      </c>
      <c r="DB337" s="21" t="n"/>
      <c r="DC337" s="21" t="n"/>
      <c r="DD337" s="27">
        <f>SUM(DB337:DC337)</f>
        <v/>
      </c>
      <c r="DE337" s="28" t="n"/>
      <c r="DF337" s="31" t="n"/>
      <c r="DG337" s="29">
        <f>IF(AND(DD337=0,DE337=0,DF337=0),0,IF(AND(DD337=0,DE337=0),DF337/1,IF(AND(DD337=0,DF337=0),DE337/1,IF(AND(DE337=0,DF337=0),DD337/1,IF(DD337=0,FLOOR((DE337+DF337)/2,0.1),IF(DE337=0,(DD337+DF337)/2,IF(DF337=0,(DE337+DD337)/2,FLOOR(((DD337+DE337+DF337)/3),0.1))))))))</f>
        <v/>
      </c>
      <c r="DH337" s="34">
        <f>SUM(O337,U337,AA337,AG337,AM337,AS337,AY337,BE337,BK337,BQ337,BW337,CC337,CI337,CO337,CU337,DA337,DG337)</f>
        <v/>
      </c>
      <c r="DI337" s="39">
        <f>RANK(DH337,DH$4:DH$503)</f>
        <v/>
      </c>
      <c r="DJ337" s="40" t="inlineStr">
        <is>
          <t>CHOOSE RATING</t>
        </is>
      </c>
      <c r="DK337" s="40" t="inlineStr">
        <is>
          <t>CHOOSE RATING</t>
        </is>
      </c>
      <c r="DL337" s="40" t="inlineStr">
        <is>
          <t>CHOOSE RATING</t>
        </is>
      </c>
      <c r="DM337" s="40" t="inlineStr">
        <is>
          <t>CHOOSE RATING</t>
        </is>
      </c>
      <c r="DN337" s="40" t="inlineStr">
        <is>
          <t>CHOOSE RATING</t>
        </is>
      </c>
      <c r="DO337" s="40" t="inlineStr">
        <is>
          <t>CHOOSE RATING</t>
        </is>
      </c>
      <c r="DP337" s="40" t="inlineStr">
        <is>
          <t>CHOOSE RATING</t>
        </is>
      </c>
      <c r="DQ337" s="40" t="inlineStr">
        <is>
          <t>CHOOSE RATING</t>
        </is>
      </c>
      <c r="DR337" s="43" t="inlineStr">
        <is>
          <t>2024/2025</t>
        </is>
      </c>
      <c r="DS337" s="45" t="inlineStr">
        <is>
          <t>THIRD</t>
        </is>
      </c>
      <c r="DT337" s="40" t="inlineStr">
        <is>
          <t>CHOOSE RATING</t>
        </is>
      </c>
      <c r="DU337" s="40" t="inlineStr">
        <is>
          <t>CHOOSE RATING</t>
        </is>
      </c>
      <c r="DV337" s="40" t="inlineStr">
        <is>
          <t>CHOOSE RATING</t>
        </is>
      </c>
      <c r="DW337" s="40" t="inlineStr">
        <is>
          <t>CHOOSE RATING</t>
        </is>
      </c>
      <c r="DX337" s="40" t="inlineStr">
        <is>
          <t>CHOOSE RATING</t>
        </is>
      </c>
      <c r="DY337" s="40" t="inlineStr">
        <is>
          <t>CHOOSE RATING</t>
        </is>
      </c>
      <c r="DZ337" s="53" t="inlineStr">
        <is>
          <t>CHOOSE RATING</t>
        </is>
      </c>
      <c r="EA337" s="54" t="inlineStr">
        <is>
          <t>Add the Tutor's Comment . . .</t>
        </is>
      </c>
      <c r="EB337" s="55" t="inlineStr">
        <is>
          <t>Choose Principals comment</t>
        </is>
      </c>
      <c r="EC337" s="56" t="n"/>
      <c r="ED337" s="57" t="inlineStr">
        <is>
          <t>Next Term Begins on Monday, 22nd September, 2025</t>
        </is>
      </c>
    </row>
    <row r="338" ht="30.6" customHeight="1" s="6">
      <c r="A338" s="18" t="n">
        <v>335</v>
      </c>
      <c r="B338" s="19" t="n"/>
      <c r="C338" s="20" t="n"/>
      <c r="D338" s="128" t="n"/>
      <c r="E338" s="21" t="n"/>
      <c r="F338" s="22" t="n"/>
      <c r="G338" s="22" t="n"/>
      <c r="H338" s="22" t="n"/>
      <c r="I338" s="26">
        <f>G338-H338</f>
        <v/>
      </c>
      <c r="J338" s="21" t="n"/>
      <c r="K338" s="21" t="n"/>
      <c r="L338" s="27">
        <f>SUM(J338:K338)</f>
        <v/>
      </c>
      <c r="M338" s="28" t="n"/>
      <c r="N338" s="28" t="n"/>
      <c r="O338" s="29">
        <f>IF(AND(L338=0,M338=0,N338=0),0,IF(AND(L338=0,M338=0),N338/1,IF(AND(L338=0,N338=0),M338/1,IF(AND(M338=0,N338=0),L338/1,IF(L338=0,FLOOR((M338+N338)/2,0.1),IF(M338=0,(L338+N338)/2,IF(N338=0,(M338+L338)/2,FLOOR(((L338+M338+N338)/3),0.1))))))))</f>
        <v/>
      </c>
      <c r="P338" s="21" t="n"/>
      <c r="Q338" s="21" t="n"/>
      <c r="R338" s="27">
        <f>SUM(P338:Q338)</f>
        <v/>
      </c>
      <c r="S338" s="28" t="n"/>
      <c r="T338" s="28" t="n"/>
      <c r="U338" s="29">
        <f>IF(AND(R338=0,S338=0,T338=0),0,IF(AND(R338=0,S338=0),T338/1,IF(AND(R338=0,T338=0),S338/1,IF(AND(S338=0,T338=0),R338/1,IF(R338=0,FLOOR((S338+T338)/2,0.1),IF(S338=0,(R338+T338)/2,IF(T338=0,(S338+R338)/2,FLOOR(((R338+S338+T338)/3),0.1))))))))</f>
        <v/>
      </c>
      <c r="V338" s="21" t="n"/>
      <c r="W338" s="21" t="n"/>
      <c r="X338" s="27">
        <f>SUM(V338:W338)</f>
        <v/>
      </c>
      <c r="Y338" s="28" t="n"/>
      <c r="Z338" s="28" t="n"/>
      <c r="AA338" s="29">
        <f>IF(AND(X338=0,Y338=0,Z338=0),0,IF(AND(X338=0,Y338=0),Z338/1,IF(AND(X338=0,Z338=0),Y338/1,IF(AND(Y338=0,Z338=0),X338/1,IF(X338=0,FLOOR((Y338+Z338)/2,0.1),IF(Y338=0,(X338+Z338)/2,IF(Z338=0,(Y338+X338)/2,FLOOR(((X338+Y338+Z338)/3),0.1))))))))</f>
        <v/>
      </c>
      <c r="AB338" s="21" t="n"/>
      <c r="AC338" s="21" t="n"/>
      <c r="AD338" s="27">
        <f>SUM(AB338:AC338)</f>
        <v/>
      </c>
      <c r="AE338" s="28" t="n"/>
      <c r="AF338" s="28" t="n"/>
      <c r="AG338" s="29">
        <f>IF(AND(AD338=0,AE338=0,AF338=0),0,IF(AND(AD338=0,AE338=0),AF338/1,IF(AND(AD338=0,AF338=0),AE338/1,IF(AND(AE338=0,AF338=0),AD338/1,IF(AD338=0,FLOOR((AE338+AF338)/2,0.1),IF(AE338=0,(AD338+AF338)/2,IF(AF338=0,(AE338+AD338)/2,FLOOR(((AD338+AE338+AF338)/3),0.1))))))))</f>
        <v/>
      </c>
      <c r="AH338" s="21" t="n"/>
      <c r="AI338" s="21" t="n"/>
      <c r="AJ338" s="27">
        <f>SUM(AH338:AI338)</f>
        <v/>
      </c>
      <c r="AK338" s="28" t="n"/>
      <c r="AL338" s="28" t="n"/>
      <c r="AM338" s="29">
        <f>IF(AND(AJ338=0,AK338=0,AL338=0),0,IF(AND(AJ338=0,AK338=0),AL338/1,IF(AND(AJ338=0,AL338=0),AK338/1,IF(AND(AK338=0,AL338=0),AJ338/1,IF(AJ338=0,FLOOR((AK338+AL338)/2,0.1),IF(AK338=0,(AJ338+AL338)/2,IF(AL338=0,(AK338+AJ338)/2,FLOOR(((AJ338+AK338+AL338)/3),0.1))))))))</f>
        <v/>
      </c>
      <c r="AN338" s="21" t="n"/>
      <c r="AO338" s="21" t="n"/>
      <c r="AP338" s="27">
        <f>SUM(AN338:AO338)</f>
        <v/>
      </c>
      <c r="AQ338" s="28" t="n"/>
      <c r="AR338" s="30" t="n"/>
      <c r="AS338" s="29">
        <f>IF(AND(AP338=0,AQ338=0,AR338=0),0,IF(AND(AP338=0,AQ338=0),AR338/1,IF(AND(AP338=0,AR338=0),AQ338/1,IF(AND(AQ338=0,AR338=0),AP338/1,IF(AP338=0,FLOOR((AQ338+AR338)/2,0.1),IF(AQ338=0,(AP338+AR338)/2,IF(AR338=0,(AQ338+AP338)/2,FLOOR(((AP338+AQ338+AR338)/3),0.1))))))))</f>
        <v/>
      </c>
      <c r="AT338" s="21" t="n"/>
      <c r="AU338" s="21" t="n"/>
      <c r="AV338" s="27">
        <f>SUM(AT338:AU338)</f>
        <v/>
      </c>
      <c r="AW338" s="28" t="n"/>
      <c r="AX338" s="30" t="n"/>
      <c r="AY338" s="29">
        <f>IF(AND(AV338=0,AW338=0,AX338=0),0,IF(AND(AV338=0,AW338=0),AX338/1,IF(AND(AV338=0,AX338=0),AW338/1,IF(AND(AW338=0,AX338=0),AV338/1,IF(AV338=0,FLOOR((AW338+AX338)/2,0.1),IF(AW338=0,(AV338+AX338)/2,IF(AX338=0,(AW338+AV338)/2,FLOOR(((AV338+AW338+AX338)/3),0.1))))))))</f>
        <v/>
      </c>
      <c r="AZ338" s="21" t="n"/>
      <c r="BA338" s="21" t="n"/>
      <c r="BB338" s="27">
        <f>SUM(AZ338:BA338)</f>
        <v/>
      </c>
      <c r="BC338" s="28" t="n"/>
      <c r="BD338" s="28" t="n"/>
      <c r="BE338" s="29">
        <f>IF(AND(BB338=0,BC338=0,BD338=0),0,IF(AND(BB338=0,BC338=0),BD338/1,IF(AND(BB338=0,BD338=0),BC338/1,IF(AND(BC338=0,BD338=0),BB338/1,IF(BB338=0,FLOOR((BC338+BD338)/2,0.1),IF(BC338=0,(BB338+BD338)/2,IF(BD338=0,(BC338+BB338)/2,FLOOR(((BB338+BC338+BD338)/3),0.1))))))))</f>
        <v/>
      </c>
      <c r="BF338" s="21" t="n"/>
      <c r="BG338" s="21" t="n"/>
      <c r="BH338" s="27">
        <f>SUM(BF338:BG338)</f>
        <v/>
      </c>
      <c r="BI338" s="28" t="n"/>
      <c r="BJ338" s="28" t="n"/>
      <c r="BK338" s="29">
        <f>IF(AND(BH338=0,BI338=0,BJ338=0),0,IF(AND(BH338=0,BI338=0),BJ338/1,IF(AND(BH338=0,BJ338=0),BI338/1,IF(AND(BI338=0,BJ338=0),BH338/1,IF(BH338=0,FLOOR((BI338+BJ338)/2,0.1),IF(BI338=0,(BH338+BJ338)/2,IF(BJ338=0,(BI338+BH338)/2,FLOOR(((BH338+BI338+BJ338)/3),0.1))))))))</f>
        <v/>
      </c>
      <c r="BL338" s="21" t="n"/>
      <c r="BM338" s="21" t="n"/>
      <c r="BN338" s="27">
        <f>SUM(BL338:BM338)</f>
        <v/>
      </c>
      <c r="BO338" s="28" t="n"/>
      <c r="BP338" s="31" t="n"/>
      <c r="BQ338" s="29">
        <f>IF(AND(BN338=0,BO338=0,BP338=0),0,IF(AND(BN338=0,BO338=0),BP338/1,IF(AND(BN338=0,BP338=0),BO338/1,IF(AND(BO338=0,BP338=0),BN338/1,IF(BN338=0,FLOOR((BO338+BP338)/2,0.1),IF(BO338=0,(BN338+BP338)/2,IF(BP338=0,(BO338+BN338)/2,FLOOR(((BN338+BO338+BP338)/3),0.1))))))))</f>
        <v/>
      </c>
      <c r="BR338" s="21" t="n"/>
      <c r="BS338" s="21" t="n"/>
      <c r="BT338" s="27">
        <f>SUM(BR338:BS338)</f>
        <v/>
      </c>
      <c r="BU338" s="28" t="n"/>
      <c r="BV338" s="31" t="n"/>
      <c r="BW338" s="29">
        <f>IF(AND(BT338=0,BU338=0,BV338=0),0,IF(AND(BT338=0,BU338=0),BV338/1,IF(AND(BT338=0,BV338=0),BU338/1,IF(AND(BU338=0,BV338=0),BT338/1,IF(BT338=0,FLOOR((BU338+BV338)/2,0.1),IF(BU338=0,(BT338+BV338)/2,IF(BV338=0,(BU338+BT338)/2,FLOOR(((BT338+BU338+BV338)/3),0.1))))))))</f>
        <v/>
      </c>
      <c r="BX338" s="21" t="n"/>
      <c r="BY338" s="21" t="n"/>
      <c r="BZ338" s="27">
        <f>SUM(BX338:BY338)</f>
        <v/>
      </c>
      <c r="CA338" s="28" t="n"/>
      <c r="CB338" s="31" t="n"/>
      <c r="CC338" s="29">
        <f>IF(AND(BZ338=0,CA338=0,CB338=0),0,IF(AND(BZ338=0,CA338=0),CB338/1,IF(AND(BZ338=0,CB338=0),CA338/1,IF(AND(CA338=0,CB338=0),BZ338/1,IF(BZ338=0,FLOOR((CA338+CB338)/2,0.1),IF(CA338=0,(BZ338+CB338)/2,IF(CB338=0,(CA338+BZ338)/2,FLOOR(((BZ338+CA338+CB338)/3),0.1))))))))</f>
        <v/>
      </c>
      <c r="CD338" s="21" t="n"/>
      <c r="CE338" s="21" t="n"/>
      <c r="CF338" s="27">
        <f>SUM(CD338:CE338)</f>
        <v/>
      </c>
      <c r="CG338" s="28" t="n"/>
      <c r="CH338" s="31" t="n"/>
      <c r="CI338" s="29">
        <f>IF(AND(CF338=0,CG338=0,CH338=0),0,IF(AND(CF338=0,CG338=0),CH338/1,IF(AND(CF338=0,CH338=0),CG338/1,IF(AND(CG338=0,CH338=0),CF338/1,IF(CF338=0,FLOOR((CG338+CH338)/2,0.1),IF(CG338=0,(CF338+CH338)/2,IF(CH338=0,(CG338+CF338)/2,FLOOR(((CF338+CG338+CH338)/3),0.1))))))))</f>
        <v/>
      </c>
      <c r="CJ338" s="21" t="n"/>
      <c r="CK338" s="21" t="n"/>
      <c r="CL338" s="27">
        <f>SUM(CJ338:CK338)</f>
        <v/>
      </c>
      <c r="CM338" s="28" t="n"/>
      <c r="CN338" s="31" t="n"/>
      <c r="CO338" s="29">
        <f>IF(AND(CL338=0,CM338=0,CN338=0),0,IF(AND(CL338=0,CM338=0),CN338/1,IF(AND(CL338=0,CN338=0),CM338/1,IF(AND(CM338=0,CN338=0),CL338/1,IF(CL338=0,FLOOR((CM338+CN338)/2,0.1),IF(CM338=0,(CL338+CN338)/2,IF(CN338=0,(CM338+CL338)/2,FLOOR(((CL338+CM338+CN338)/3),0.1))))))))</f>
        <v/>
      </c>
      <c r="CP338" s="21" t="n"/>
      <c r="CQ338" s="21" t="n"/>
      <c r="CR338" s="27">
        <f>SUM(CP338:CQ338)</f>
        <v/>
      </c>
      <c r="CS338" s="28" t="n"/>
      <c r="CT338" s="31" t="n"/>
      <c r="CU338" s="29">
        <f>IF(AND(CR338=0,CS338=0,CT338=0),0,IF(AND(CR338=0,CS338=0),CT338/1,IF(AND(CR338=0,CT338=0),CS338/1,IF(AND(CS338=0,CT338=0),CR338/1,IF(CR338=0,FLOOR((CS338+CT338)/2,0.1),IF(CS338=0,(CR338+CT338)/2,IF(CT338=0,(CS338+CR338)/2,FLOOR(((CR338+CS338+CT338)/3),0.1))))))))</f>
        <v/>
      </c>
      <c r="CV338" s="21" t="n"/>
      <c r="CW338" s="21" t="n"/>
      <c r="CX338" s="27">
        <f>SUM(CV338:CW338)</f>
        <v/>
      </c>
      <c r="CY338" s="28" t="n"/>
      <c r="CZ338" s="31" t="n"/>
      <c r="DA338" s="29">
        <f>IF(AND(CX338=0,CY338=0,CZ338=0),0,IF(AND(CX338=0,CY338=0),CZ338/1,IF(AND(CX338=0,CZ338=0),CY338/1,IF(AND(CY338=0,CZ338=0),CX338/1,IF(CX338=0,FLOOR((CY338+CZ338)/2,0.1),IF(CY338=0,(CX338+CZ338)/2,IF(CZ338=0,(CY338+CX338)/2,FLOOR(((CX338+CY338+CZ338)/3),0.1))))))))</f>
        <v/>
      </c>
      <c r="DB338" s="21" t="n"/>
      <c r="DC338" s="21" t="n"/>
      <c r="DD338" s="27">
        <f>SUM(DB338:DC338)</f>
        <v/>
      </c>
      <c r="DE338" s="28" t="n"/>
      <c r="DF338" s="31" t="n"/>
      <c r="DG338" s="29">
        <f>IF(AND(DD338=0,DE338=0,DF338=0),0,IF(AND(DD338=0,DE338=0),DF338/1,IF(AND(DD338=0,DF338=0),DE338/1,IF(AND(DE338=0,DF338=0),DD338/1,IF(DD338=0,FLOOR((DE338+DF338)/2,0.1),IF(DE338=0,(DD338+DF338)/2,IF(DF338=0,(DE338+DD338)/2,FLOOR(((DD338+DE338+DF338)/3),0.1))))))))</f>
        <v/>
      </c>
      <c r="DH338" s="34">
        <f>SUM(O338,U338,AA338,AG338,AM338,AS338,AY338,BE338,BK338,BQ338,BW338,CC338,CI338,CO338,CU338,DA338,DG338)</f>
        <v/>
      </c>
      <c r="DI338" s="39">
        <f>RANK(DH338,DH$4:DH$503)</f>
        <v/>
      </c>
      <c r="DJ338" s="40" t="inlineStr">
        <is>
          <t>CHOOSE RATING</t>
        </is>
      </c>
      <c r="DK338" s="40" t="inlineStr">
        <is>
          <t>CHOOSE RATING</t>
        </is>
      </c>
      <c r="DL338" s="40" t="inlineStr">
        <is>
          <t>CHOOSE RATING</t>
        </is>
      </c>
      <c r="DM338" s="40" t="inlineStr">
        <is>
          <t>CHOOSE RATING</t>
        </is>
      </c>
      <c r="DN338" s="40" t="inlineStr">
        <is>
          <t>CHOOSE RATING</t>
        </is>
      </c>
      <c r="DO338" s="40" t="inlineStr">
        <is>
          <t>CHOOSE RATING</t>
        </is>
      </c>
      <c r="DP338" s="40" t="inlineStr">
        <is>
          <t>CHOOSE RATING</t>
        </is>
      </c>
      <c r="DQ338" s="40" t="inlineStr">
        <is>
          <t>CHOOSE RATING</t>
        </is>
      </c>
      <c r="DR338" s="43" t="inlineStr">
        <is>
          <t>2024/2025</t>
        </is>
      </c>
      <c r="DS338" s="45" t="inlineStr">
        <is>
          <t>THIRD</t>
        </is>
      </c>
      <c r="DT338" s="40" t="inlineStr">
        <is>
          <t>CHOOSE RATING</t>
        </is>
      </c>
      <c r="DU338" s="40" t="inlineStr">
        <is>
          <t>CHOOSE RATING</t>
        </is>
      </c>
      <c r="DV338" s="40" t="inlineStr">
        <is>
          <t>CHOOSE RATING</t>
        </is>
      </c>
      <c r="DW338" s="40" t="inlineStr">
        <is>
          <t>CHOOSE RATING</t>
        </is>
      </c>
      <c r="DX338" s="40" t="inlineStr">
        <is>
          <t>CHOOSE RATING</t>
        </is>
      </c>
      <c r="DY338" s="40" t="inlineStr">
        <is>
          <t>CHOOSE RATING</t>
        </is>
      </c>
      <c r="DZ338" s="53" t="inlineStr">
        <is>
          <t>CHOOSE RATING</t>
        </is>
      </c>
      <c r="EA338" s="54" t="inlineStr">
        <is>
          <t>Add the Tutor's Comment . . .</t>
        </is>
      </c>
      <c r="EB338" s="55" t="inlineStr">
        <is>
          <t>Choose Principals comment</t>
        </is>
      </c>
      <c r="EC338" s="56" t="n"/>
      <c r="ED338" s="57" t="inlineStr">
        <is>
          <t>Next Term Begins on Monday, 22nd September, 2025</t>
        </is>
      </c>
    </row>
    <row r="339" ht="30.6" customHeight="1" s="6">
      <c r="A339" s="18" t="n">
        <v>336</v>
      </c>
      <c r="B339" s="19" t="n"/>
      <c r="C339" s="20" t="n"/>
      <c r="D339" s="128" t="n"/>
      <c r="E339" s="21" t="n"/>
      <c r="F339" s="22" t="n"/>
      <c r="G339" s="22" t="n"/>
      <c r="H339" s="22" t="n"/>
      <c r="I339" s="26">
        <f>G339-H339</f>
        <v/>
      </c>
      <c r="J339" s="21" t="n"/>
      <c r="K339" s="21" t="n"/>
      <c r="L339" s="27">
        <f>SUM(J339:K339)</f>
        <v/>
      </c>
      <c r="M339" s="28" t="n"/>
      <c r="N339" s="28" t="n"/>
      <c r="O339" s="29">
        <f>IF(AND(L339=0,M339=0,N339=0),0,IF(AND(L339=0,M339=0),N339/1,IF(AND(L339=0,N339=0),M339/1,IF(AND(M339=0,N339=0),L339/1,IF(L339=0,FLOOR((M339+N339)/2,0.1),IF(M339=0,(L339+N339)/2,IF(N339=0,(M339+L339)/2,FLOOR(((L339+M339+N339)/3),0.1))))))))</f>
        <v/>
      </c>
      <c r="P339" s="21" t="n"/>
      <c r="Q339" s="21" t="n"/>
      <c r="R339" s="27">
        <f>SUM(P339:Q339)</f>
        <v/>
      </c>
      <c r="S339" s="28" t="n"/>
      <c r="T339" s="28" t="n"/>
      <c r="U339" s="29">
        <f>IF(AND(R339=0,S339=0,T339=0),0,IF(AND(R339=0,S339=0),T339/1,IF(AND(R339=0,T339=0),S339/1,IF(AND(S339=0,T339=0),R339/1,IF(R339=0,FLOOR((S339+T339)/2,0.1),IF(S339=0,(R339+T339)/2,IF(T339=0,(S339+R339)/2,FLOOR(((R339+S339+T339)/3),0.1))))))))</f>
        <v/>
      </c>
      <c r="V339" s="21" t="n"/>
      <c r="W339" s="21" t="n"/>
      <c r="X339" s="27">
        <f>SUM(V339:W339)</f>
        <v/>
      </c>
      <c r="Y339" s="28" t="n"/>
      <c r="Z339" s="28" t="n"/>
      <c r="AA339" s="29">
        <f>IF(AND(X339=0,Y339=0,Z339=0),0,IF(AND(X339=0,Y339=0),Z339/1,IF(AND(X339=0,Z339=0),Y339/1,IF(AND(Y339=0,Z339=0),X339/1,IF(X339=0,FLOOR((Y339+Z339)/2,0.1),IF(Y339=0,(X339+Z339)/2,IF(Z339=0,(Y339+X339)/2,FLOOR(((X339+Y339+Z339)/3),0.1))))))))</f>
        <v/>
      </c>
      <c r="AB339" s="21" t="n"/>
      <c r="AC339" s="21" t="n"/>
      <c r="AD339" s="27">
        <f>SUM(AB339:AC339)</f>
        <v/>
      </c>
      <c r="AE339" s="28" t="n"/>
      <c r="AF339" s="28" t="n"/>
      <c r="AG339" s="29">
        <f>IF(AND(AD339=0,AE339=0,AF339=0),0,IF(AND(AD339=0,AE339=0),AF339/1,IF(AND(AD339=0,AF339=0),AE339/1,IF(AND(AE339=0,AF339=0),AD339/1,IF(AD339=0,FLOOR((AE339+AF339)/2,0.1),IF(AE339=0,(AD339+AF339)/2,IF(AF339=0,(AE339+AD339)/2,FLOOR(((AD339+AE339+AF339)/3),0.1))))))))</f>
        <v/>
      </c>
      <c r="AH339" s="21" t="n"/>
      <c r="AI339" s="21" t="n"/>
      <c r="AJ339" s="27">
        <f>SUM(AH339:AI339)</f>
        <v/>
      </c>
      <c r="AK339" s="28" t="n"/>
      <c r="AL339" s="28" t="n"/>
      <c r="AM339" s="29">
        <f>IF(AND(AJ339=0,AK339=0,AL339=0),0,IF(AND(AJ339=0,AK339=0),AL339/1,IF(AND(AJ339=0,AL339=0),AK339/1,IF(AND(AK339=0,AL339=0),AJ339/1,IF(AJ339=0,FLOOR((AK339+AL339)/2,0.1),IF(AK339=0,(AJ339+AL339)/2,IF(AL339=0,(AK339+AJ339)/2,FLOOR(((AJ339+AK339+AL339)/3),0.1))))))))</f>
        <v/>
      </c>
      <c r="AN339" s="21" t="n"/>
      <c r="AO339" s="21" t="n"/>
      <c r="AP339" s="27">
        <f>SUM(AN339:AO339)</f>
        <v/>
      </c>
      <c r="AQ339" s="28" t="n"/>
      <c r="AR339" s="30" t="n"/>
      <c r="AS339" s="29">
        <f>IF(AND(AP339=0,AQ339=0,AR339=0),0,IF(AND(AP339=0,AQ339=0),AR339/1,IF(AND(AP339=0,AR339=0),AQ339/1,IF(AND(AQ339=0,AR339=0),AP339/1,IF(AP339=0,FLOOR((AQ339+AR339)/2,0.1),IF(AQ339=0,(AP339+AR339)/2,IF(AR339=0,(AQ339+AP339)/2,FLOOR(((AP339+AQ339+AR339)/3),0.1))))))))</f>
        <v/>
      </c>
      <c r="AT339" s="21" t="n"/>
      <c r="AU339" s="21" t="n"/>
      <c r="AV339" s="27">
        <f>SUM(AT339:AU339)</f>
        <v/>
      </c>
      <c r="AW339" s="28" t="n"/>
      <c r="AX339" s="30" t="n"/>
      <c r="AY339" s="29">
        <f>IF(AND(AV339=0,AW339=0,AX339=0),0,IF(AND(AV339=0,AW339=0),AX339/1,IF(AND(AV339=0,AX339=0),AW339/1,IF(AND(AW339=0,AX339=0),AV339/1,IF(AV339=0,FLOOR((AW339+AX339)/2,0.1),IF(AW339=0,(AV339+AX339)/2,IF(AX339=0,(AW339+AV339)/2,FLOOR(((AV339+AW339+AX339)/3),0.1))))))))</f>
        <v/>
      </c>
      <c r="AZ339" s="21" t="n"/>
      <c r="BA339" s="21" t="n"/>
      <c r="BB339" s="27">
        <f>SUM(AZ339:BA339)</f>
        <v/>
      </c>
      <c r="BC339" s="28" t="n"/>
      <c r="BD339" s="28" t="n"/>
      <c r="BE339" s="29">
        <f>IF(AND(BB339=0,BC339=0,BD339=0),0,IF(AND(BB339=0,BC339=0),BD339/1,IF(AND(BB339=0,BD339=0),BC339/1,IF(AND(BC339=0,BD339=0),BB339/1,IF(BB339=0,FLOOR((BC339+BD339)/2,0.1),IF(BC339=0,(BB339+BD339)/2,IF(BD339=0,(BC339+BB339)/2,FLOOR(((BB339+BC339+BD339)/3),0.1))))))))</f>
        <v/>
      </c>
      <c r="BF339" s="21" t="n"/>
      <c r="BG339" s="21" t="n"/>
      <c r="BH339" s="27">
        <f>SUM(BF339:BG339)</f>
        <v/>
      </c>
      <c r="BI339" s="28" t="n"/>
      <c r="BJ339" s="28" t="n"/>
      <c r="BK339" s="29">
        <f>IF(AND(BH339=0,BI339=0,BJ339=0),0,IF(AND(BH339=0,BI339=0),BJ339/1,IF(AND(BH339=0,BJ339=0),BI339/1,IF(AND(BI339=0,BJ339=0),BH339/1,IF(BH339=0,FLOOR((BI339+BJ339)/2,0.1),IF(BI339=0,(BH339+BJ339)/2,IF(BJ339=0,(BI339+BH339)/2,FLOOR(((BH339+BI339+BJ339)/3),0.1))))))))</f>
        <v/>
      </c>
      <c r="BL339" s="21" t="n"/>
      <c r="BM339" s="21" t="n"/>
      <c r="BN339" s="27">
        <f>SUM(BL339:BM339)</f>
        <v/>
      </c>
      <c r="BO339" s="28" t="n"/>
      <c r="BP339" s="31" t="n"/>
      <c r="BQ339" s="29">
        <f>IF(AND(BN339=0,BO339=0,BP339=0),0,IF(AND(BN339=0,BO339=0),BP339/1,IF(AND(BN339=0,BP339=0),BO339/1,IF(AND(BO339=0,BP339=0),BN339/1,IF(BN339=0,FLOOR((BO339+BP339)/2,0.1),IF(BO339=0,(BN339+BP339)/2,IF(BP339=0,(BO339+BN339)/2,FLOOR(((BN339+BO339+BP339)/3),0.1))))))))</f>
        <v/>
      </c>
      <c r="BR339" s="21" t="n"/>
      <c r="BS339" s="21" t="n"/>
      <c r="BT339" s="27">
        <f>SUM(BR339:BS339)</f>
        <v/>
      </c>
      <c r="BU339" s="28" t="n"/>
      <c r="BV339" s="31" t="n"/>
      <c r="BW339" s="29">
        <f>IF(AND(BT339=0,BU339=0,BV339=0),0,IF(AND(BT339=0,BU339=0),BV339/1,IF(AND(BT339=0,BV339=0),BU339/1,IF(AND(BU339=0,BV339=0),BT339/1,IF(BT339=0,FLOOR((BU339+BV339)/2,0.1),IF(BU339=0,(BT339+BV339)/2,IF(BV339=0,(BU339+BT339)/2,FLOOR(((BT339+BU339+BV339)/3),0.1))))))))</f>
        <v/>
      </c>
      <c r="BX339" s="21" t="n"/>
      <c r="BY339" s="21" t="n"/>
      <c r="BZ339" s="27">
        <f>SUM(BX339:BY339)</f>
        <v/>
      </c>
      <c r="CA339" s="28" t="n"/>
      <c r="CB339" s="31" t="n"/>
      <c r="CC339" s="29">
        <f>IF(AND(BZ339=0,CA339=0,CB339=0),0,IF(AND(BZ339=0,CA339=0),CB339/1,IF(AND(BZ339=0,CB339=0),CA339/1,IF(AND(CA339=0,CB339=0),BZ339/1,IF(BZ339=0,FLOOR((CA339+CB339)/2,0.1),IF(CA339=0,(BZ339+CB339)/2,IF(CB339=0,(CA339+BZ339)/2,FLOOR(((BZ339+CA339+CB339)/3),0.1))))))))</f>
        <v/>
      </c>
      <c r="CD339" s="21" t="n"/>
      <c r="CE339" s="21" t="n"/>
      <c r="CF339" s="27">
        <f>SUM(CD339:CE339)</f>
        <v/>
      </c>
      <c r="CG339" s="28" t="n"/>
      <c r="CH339" s="31" t="n"/>
      <c r="CI339" s="29">
        <f>IF(AND(CF339=0,CG339=0,CH339=0),0,IF(AND(CF339=0,CG339=0),CH339/1,IF(AND(CF339=0,CH339=0),CG339/1,IF(AND(CG339=0,CH339=0),CF339/1,IF(CF339=0,FLOOR((CG339+CH339)/2,0.1),IF(CG339=0,(CF339+CH339)/2,IF(CH339=0,(CG339+CF339)/2,FLOOR(((CF339+CG339+CH339)/3),0.1))))))))</f>
        <v/>
      </c>
      <c r="CJ339" s="21" t="n"/>
      <c r="CK339" s="21" t="n"/>
      <c r="CL339" s="27">
        <f>SUM(CJ339:CK339)</f>
        <v/>
      </c>
      <c r="CM339" s="28" t="n"/>
      <c r="CN339" s="31" t="n"/>
      <c r="CO339" s="29">
        <f>IF(AND(CL339=0,CM339=0,CN339=0),0,IF(AND(CL339=0,CM339=0),CN339/1,IF(AND(CL339=0,CN339=0),CM339/1,IF(AND(CM339=0,CN339=0),CL339/1,IF(CL339=0,FLOOR((CM339+CN339)/2,0.1),IF(CM339=0,(CL339+CN339)/2,IF(CN339=0,(CM339+CL339)/2,FLOOR(((CL339+CM339+CN339)/3),0.1))))))))</f>
        <v/>
      </c>
      <c r="CP339" s="21" t="n"/>
      <c r="CQ339" s="21" t="n"/>
      <c r="CR339" s="27">
        <f>SUM(CP339:CQ339)</f>
        <v/>
      </c>
      <c r="CS339" s="28" t="n"/>
      <c r="CT339" s="31" t="n"/>
      <c r="CU339" s="29">
        <f>IF(AND(CR339=0,CS339=0,CT339=0),0,IF(AND(CR339=0,CS339=0),CT339/1,IF(AND(CR339=0,CT339=0),CS339/1,IF(AND(CS339=0,CT339=0),CR339/1,IF(CR339=0,FLOOR((CS339+CT339)/2,0.1),IF(CS339=0,(CR339+CT339)/2,IF(CT339=0,(CS339+CR339)/2,FLOOR(((CR339+CS339+CT339)/3),0.1))))))))</f>
        <v/>
      </c>
      <c r="CV339" s="21" t="n"/>
      <c r="CW339" s="21" t="n"/>
      <c r="CX339" s="27">
        <f>SUM(CV339:CW339)</f>
        <v/>
      </c>
      <c r="CY339" s="28" t="n"/>
      <c r="CZ339" s="31" t="n"/>
      <c r="DA339" s="29">
        <f>IF(AND(CX339=0,CY339=0,CZ339=0),0,IF(AND(CX339=0,CY339=0),CZ339/1,IF(AND(CX339=0,CZ339=0),CY339/1,IF(AND(CY339=0,CZ339=0),CX339/1,IF(CX339=0,FLOOR((CY339+CZ339)/2,0.1),IF(CY339=0,(CX339+CZ339)/2,IF(CZ339=0,(CY339+CX339)/2,FLOOR(((CX339+CY339+CZ339)/3),0.1))))))))</f>
        <v/>
      </c>
      <c r="DB339" s="21" t="n"/>
      <c r="DC339" s="21" t="n"/>
      <c r="DD339" s="27">
        <f>SUM(DB339:DC339)</f>
        <v/>
      </c>
      <c r="DE339" s="28" t="n"/>
      <c r="DF339" s="31" t="n"/>
      <c r="DG339" s="29">
        <f>IF(AND(DD339=0,DE339=0,DF339=0),0,IF(AND(DD339=0,DE339=0),DF339/1,IF(AND(DD339=0,DF339=0),DE339/1,IF(AND(DE339=0,DF339=0),DD339/1,IF(DD339=0,FLOOR((DE339+DF339)/2,0.1),IF(DE339=0,(DD339+DF339)/2,IF(DF339=0,(DE339+DD339)/2,FLOOR(((DD339+DE339+DF339)/3),0.1))))))))</f>
        <v/>
      </c>
      <c r="DH339" s="34">
        <f>SUM(O339,U339,AA339,AG339,AM339,AS339,AY339,BE339,BK339,BQ339,BW339,CC339,CI339,CO339,CU339,DA339,DG339)</f>
        <v/>
      </c>
      <c r="DI339" s="39">
        <f>RANK(DH339,DH$4:DH$503)</f>
        <v/>
      </c>
      <c r="DJ339" s="40" t="inlineStr">
        <is>
          <t>CHOOSE RATING</t>
        </is>
      </c>
      <c r="DK339" s="40" t="inlineStr">
        <is>
          <t>CHOOSE RATING</t>
        </is>
      </c>
      <c r="DL339" s="40" t="inlineStr">
        <is>
          <t>CHOOSE RATING</t>
        </is>
      </c>
      <c r="DM339" s="40" t="inlineStr">
        <is>
          <t>CHOOSE RATING</t>
        </is>
      </c>
      <c r="DN339" s="40" t="inlineStr">
        <is>
          <t>CHOOSE RATING</t>
        </is>
      </c>
      <c r="DO339" s="40" t="inlineStr">
        <is>
          <t>CHOOSE RATING</t>
        </is>
      </c>
      <c r="DP339" s="40" t="inlineStr">
        <is>
          <t>CHOOSE RATING</t>
        </is>
      </c>
      <c r="DQ339" s="40" t="inlineStr">
        <is>
          <t>CHOOSE RATING</t>
        </is>
      </c>
      <c r="DR339" s="43" t="inlineStr">
        <is>
          <t>2024/2025</t>
        </is>
      </c>
      <c r="DS339" s="45" t="inlineStr">
        <is>
          <t>THIRD</t>
        </is>
      </c>
      <c r="DT339" s="40" t="inlineStr">
        <is>
          <t>CHOOSE RATING</t>
        </is>
      </c>
      <c r="DU339" s="40" t="inlineStr">
        <is>
          <t>CHOOSE RATING</t>
        </is>
      </c>
      <c r="DV339" s="40" t="inlineStr">
        <is>
          <t>CHOOSE RATING</t>
        </is>
      </c>
      <c r="DW339" s="40" t="inlineStr">
        <is>
          <t>CHOOSE RATING</t>
        </is>
      </c>
      <c r="DX339" s="40" t="inlineStr">
        <is>
          <t>CHOOSE RATING</t>
        </is>
      </c>
      <c r="DY339" s="40" t="inlineStr">
        <is>
          <t>CHOOSE RATING</t>
        </is>
      </c>
      <c r="DZ339" s="53" t="inlineStr">
        <is>
          <t>CHOOSE RATING</t>
        </is>
      </c>
      <c r="EA339" s="54" t="inlineStr">
        <is>
          <t>Add the Tutor's Comment . . .</t>
        </is>
      </c>
      <c r="EB339" s="55" t="inlineStr">
        <is>
          <t>Choose Principals comment</t>
        </is>
      </c>
      <c r="EC339" s="56" t="n"/>
      <c r="ED339" s="57" t="inlineStr">
        <is>
          <t>Next Term Begins on Monday, 22nd September, 2025</t>
        </is>
      </c>
    </row>
    <row r="340" ht="30.6" customHeight="1" s="6">
      <c r="A340" s="18" t="n">
        <v>337</v>
      </c>
      <c r="B340" s="19" t="n"/>
      <c r="C340" s="20" t="n"/>
      <c r="D340" s="128" t="n"/>
      <c r="E340" s="21" t="n"/>
      <c r="F340" s="22" t="n"/>
      <c r="G340" s="22" t="n"/>
      <c r="H340" s="22" t="n"/>
      <c r="I340" s="26">
        <f>G340-H340</f>
        <v/>
      </c>
      <c r="J340" s="21" t="n"/>
      <c r="K340" s="21" t="n"/>
      <c r="L340" s="27">
        <f>SUM(J340:K340)</f>
        <v/>
      </c>
      <c r="M340" s="28" t="n"/>
      <c r="N340" s="28" t="n"/>
      <c r="O340" s="29">
        <f>IF(AND(L340=0,M340=0,N340=0),0,IF(AND(L340=0,M340=0),N340/1,IF(AND(L340=0,N340=0),M340/1,IF(AND(M340=0,N340=0),L340/1,IF(L340=0,FLOOR((M340+N340)/2,0.1),IF(M340=0,(L340+N340)/2,IF(N340=0,(M340+L340)/2,FLOOR(((L340+M340+N340)/3),0.1))))))))</f>
        <v/>
      </c>
      <c r="P340" s="21" t="n"/>
      <c r="Q340" s="21" t="n"/>
      <c r="R340" s="27">
        <f>SUM(P340:Q340)</f>
        <v/>
      </c>
      <c r="S340" s="28" t="n"/>
      <c r="T340" s="28" t="n"/>
      <c r="U340" s="29">
        <f>IF(AND(R340=0,S340=0,T340=0),0,IF(AND(R340=0,S340=0),T340/1,IF(AND(R340=0,T340=0),S340/1,IF(AND(S340=0,T340=0),R340/1,IF(R340=0,FLOOR((S340+T340)/2,0.1),IF(S340=0,(R340+T340)/2,IF(T340=0,(S340+R340)/2,FLOOR(((R340+S340+T340)/3),0.1))))))))</f>
        <v/>
      </c>
      <c r="V340" s="21" t="n"/>
      <c r="W340" s="21" t="n"/>
      <c r="X340" s="27">
        <f>SUM(V340:W340)</f>
        <v/>
      </c>
      <c r="Y340" s="28" t="n"/>
      <c r="Z340" s="28" t="n"/>
      <c r="AA340" s="29">
        <f>IF(AND(X340=0,Y340=0,Z340=0),0,IF(AND(X340=0,Y340=0),Z340/1,IF(AND(X340=0,Z340=0),Y340/1,IF(AND(Y340=0,Z340=0),X340/1,IF(X340=0,FLOOR((Y340+Z340)/2,0.1),IF(Y340=0,(X340+Z340)/2,IF(Z340=0,(Y340+X340)/2,FLOOR(((X340+Y340+Z340)/3),0.1))))))))</f>
        <v/>
      </c>
      <c r="AB340" s="21" t="n"/>
      <c r="AC340" s="21" t="n"/>
      <c r="AD340" s="27">
        <f>SUM(AB340:AC340)</f>
        <v/>
      </c>
      <c r="AE340" s="28" t="n"/>
      <c r="AF340" s="28" t="n"/>
      <c r="AG340" s="29">
        <f>IF(AND(AD340=0,AE340=0,AF340=0),0,IF(AND(AD340=0,AE340=0),AF340/1,IF(AND(AD340=0,AF340=0),AE340/1,IF(AND(AE340=0,AF340=0),AD340/1,IF(AD340=0,FLOOR((AE340+AF340)/2,0.1),IF(AE340=0,(AD340+AF340)/2,IF(AF340=0,(AE340+AD340)/2,FLOOR(((AD340+AE340+AF340)/3),0.1))))))))</f>
        <v/>
      </c>
      <c r="AH340" s="21" t="n"/>
      <c r="AI340" s="21" t="n"/>
      <c r="AJ340" s="27">
        <f>SUM(AH340:AI340)</f>
        <v/>
      </c>
      <c r="AK340" s="28" t="n"/>
      <c r="AL340" s="28" t="n"/>
      <c r="AM340" s="29">
        <f>IF(AND(AJ340=0,AK340=0,AL340=0),0,IF(AND(AJ340=0,AK340=0),AL340/1,IF(AND(AJ340=0,AL340=0),AK340/1,IF(AND(AK340=0,AL340=0),AJ340/1,IF(AJ340=0,FLOOR((AK340+AL340)/2,0.1),IF(AK340=0,(AJ340+AL340)/2,IF(AL340=0,(AK340+AJ340)/2,FLOOR(((AJ340+AK340+AL340)/3),0.1))))))))</f>
        <v/>
      </c>
      <c r="AN340" s="21" t="n"/>
      <c r="AO340" s="21" t="n"/>
      <c r="AP340" s="27">
        <f>SUM(AN340:AO340)</f>
        <v/>
      </c>
      <c r="AQ340" s="28" t="n"/>
      <c r="AR340" s="30" t="n"/>
      <c r="AS340" s="29">
        <f>IF(AND(AP340=0,AQ340=0,AR340=0),0,IF(AND(AP340=0,AQ340=0),AR340/1,IF(AND(AP340=0,AR340=0),AQ340/1,IF(AND(AQ340=0,AR340=0),AP340/1,IF(AP340=0,FLOOR((AQ340+AR340)/2,0.1),IF(AQ340=0,(AP340+AR340)/2,IF(AR340=0,(AQ340+AP340)/2,FLOOR(((AP340+AQ340+AR340)/3),0.1))))))))</f>
        <v/>
      </c>
      <c r="AT340" s="21" t="n"/>
      <c r="AU340" s="21" t="n"/>
      <c r="AV340" s="27">
        <f>SUM(AT340:AU340)</f>
        <v/>
      </c>
      <c r="AW340" s="28" t="n"/>
      <c r="AX340" s="30" t="n"/>
      <c r="AY340" s="29">
        <f>IF(AND(AV340=0,AW340=0,AX340=0),0,IF(AND(AV340=0,AW340=0),AX340/1,IF(AND(AV340=0,AX340=0),AW340/1,IF(AND(AW340=0,AX340=0),AV340/1,IF(AV340=0,FLOOR((AW340+AX340)/2,0.1),IF(AW340=0,(AV340+AX340)/2,IF(AX340=0,(AW340+AV340)/2,FLOOR(((AV340+AW340+AX340)/3),0.1))))))))</f>
        <v/>
      </c>
      <c r="AZ340" s="21" t="n"/>
      <c r="BA340" s="21" t="n"/>
      <c r="BB340" s="27">
        <f>SUM(AZ340:BA340)</f>
        <v/>
      </c>
      <c r="BC340" s="28" t="n"/>
      <c r="BD340" s="28" t="n"/>
      <c r="BE340" s="29">
        <f>IF(AND(BB340=0,BC340=0,BD340=0),0,IF(AND(BB340=0,BC340=0),BD340/1,IF(AND(BB340=0,BD340=0),BC340/1,IF(AND(BC340=0,BD340=0),BB340/1,IF(BB340=0,FLOOR((BC340+BD340)/2,0.1),IF(BC340=0,(BB340+BD340)/2,IF(BD340=0,(BC340+BB340)/2,FLOOR(((BB340+BC340+BD340)/3),0.1))))))))</f>
        <v/>
      </c>
      <c r="BF340" s="21" t="n"/>
      <c r="BG340" s="21" t="n"/>
      <c r="BH340" s="27">
        <f>SUM(BF340:BG340)</f>
        <v/>
      </c>
      <c r="BI340" s="28" t="n"/>
      <c r="BJ340" s="28" t="n"/>
      <c r="BK340" s="29">
        <f>IF(AND(BH340=0,BI340=0,BJ340=0),0,IF(AND(BH340=0,BI340=0),BJ340/1,IF(AND(BH340=0,BJ340=0),BI340/1,IF(AND(BI340=0,BJ340=0),BH340/1,IF(BH340=0,FLOOR((BI340+BJ340)/2,0.1),IF(BI340=0,(BH340+BJ340)/2,IF(BJ340=0,(BI340+BH340)/2,FLOOR(((BH340+BI340+BJ340)/3),0.1))))))))</f>
        <v/>
      </c>
      <c r="BL340" s="21" t="n"/>
      <c r="BM340" s="21" t="n"/>
      <c r="BN340" s="27">
        <f>SUM(BL340:BM340)</f>
        <v/>
      </c>
      <c r="BO340" s="28" t="n"/>
      <c r="BP340" s="31" t="n"/>
      <c r="BQ340" s="29">
        <f>IF(AND(BN340=0,BO340=0,BP340=0),0,IF(AND(BN340=0,BO340=0),BP340/1,IF(AND(BN340=0,BP340=0),BO340/1,IF(AND(BO340=0,BP340=0),BN340/1,IF(BN340=0,FLOOR((BO340+BP340)/2,0.1),IF(BO340=0,(BN340+BP340)/2,IF(BP340=0,(BO340+BN340)/2,FLOOR(((BN340+BO340+BP340)/3),0.1))))))))</f>
        <v/>
      </c>
      <c r="BR340" s="21" t="n"/>
      <c r="BS340" s="21" t="n"/>
      <c r="BT340" s="27">
        <f>SUM(BR340:BS340)</f>
        <v/>
      </c>
      <c r="BU340" s="28" t="n"/>
      <c r="BV340" s="31" t="n"/>
      <c r="BW340" s="29">
        <f>IF(AND(BT340=0,BU340=0,BV340=0),0,IF(AND(BT340=0,BU340=0),BV340/1,IF(AND(BT340=0,BV340=0),BU340/1,IF(AND(BU340=0,BV340=0),BT340/1,IF(BT340=0,FLOOR((BU340+BV340)/2,0.1),IF(BU340=0,(BT340+BV340)/2,IF(BV340=0,(BU340+BT340)/2,FLOOR(((BT340+BU340+BV340)/3),0.1))))))))</f>
        <v/>
      </c>
      <c r="BX340" s="21" t="n"/>
      <c r="BY340" s="21" t="n"/>
      <c r="BZ340" s="27">
        <f>SUM(BX340:BY340)</f>
        <v/>
      </c>
      <c r="CA340" s="28" t="n"/>
      <c r="CB340" s="31" t="n"/>
      <c r="CC340" s="29">
        <f>IF(AND(BZ340=0,CA340=0,CB340=0),0,IF(AND(BZ340=0,CA340=0),CB340/1,IF(AND(BZ340=0,CB340=0),CA340/1,IF(AND(CA340=0,CB340=0),BZ340/1,IF(BZ340=0,FLOOR((CA340+CB340)/2,0.1),IF(CA340=0,(BZ340+CB340)/2,IF(CB340=0,(CA340+BZ340)/2,FLOOR(((BZ340+CA340+CB340)/3),0.1))))))))</f>
        <v/>
      </c>
      <c r="CD340" s="21" t="n"/>
      <c r="CE340" s="21" t="n"/>
      <c r="CF340" s="27">
        <f>SUM(CD340:CE340)</f>
        <v/>
      </c>
      <c r="CG340" s="28" t="n"/>
      <c r="CH340" s="31" t="n"/>
      <c r="CI340" s="29">
        <f>IF(AND(CF340=0,CG340=0,CH340=0),0,IF(AND(CF340=0,CG340=0),CH340/1,IF(AND(CF340=0,CH340=0),CG340/1,IF(AND(CG340=0,CH340=0),CF340/1,IF(CF340=0,FLOOR((CG340+CH340)/2,0.1),IF(CG340=0,(CF340+CH340)/2,IF(CH340=0,(CG340+CF340)/2,FLOOR(((CF340+CG340+CH340)/3),0.1))))))))</f>
        <v/>
      </c>
      <c r="CJ340" s="21" t="n"/>
      <c r="CK340" s="21" t="n"/>
      <c r="CL340" s="27">
        <f>SUM(CJ340:CK340)</f>
        <v/>
      </c>
      <c r="CM340" s="28" t="n"/>
      <c r="CN340" s="31" t="n"/>
      <c r="CO340" s="29">
        <f>IF(AND(CL340=0,CM340=0,CN340=0),0,IF(AND(CL340=0,CM340=0),CN340/1,IF(AND(CL340=0,CN340=0),CM340/1,IF(AND(CM340=0,CN340=0),CL340/1,IF(CL340=0,FLOOR((CM340+CN340)/2,0.1),IF(CM340=0,(CL340+CN340)/2,IF(CN340=0,(CM340+CL340)/2,FLOOR(((CL340+CM340+CN340)/3),0.1))))))))</f>
        <v/>
      </c>
      <c r="CP340" s="21" t="n"/>
      <c r="CQ340" s="21" t="n"/>
      <c r="CR340" s="27">
        <f>SUM(CP340:CQ340)</f>
        <v/>
      </c>
      <c r="CS340" s="28" t="n"/>
      <c r="CT340" s="31" t="n"/>
      <c r="CU340" s="29">
        <f>IF(AND(CR340=0,CS340=0,CT340=0),0,IF(AND(CR340=0,CS340=0),CT340/1,IF(AND(CR340=0,CT340=0),CS340/1,IF(AND(CS340=0,CT340=0),CR340/1,IF(CR340=0,FLOOR((CS340+CT340)/2,0.1),IF(CS340=0,(CR340+CT340)/2,IF(CT340=0,(CS340+CR340)/2,FLOOR(((CR340+CS340+CT340)/3),0.1))))))))</f>
        <v/>
      </c>
      <c r="CV340" s="21" t="n"/>
      <c r="CW340" s="21" t="n"/>
      <c r="CX340" s="27">
        <f>SUM(CV340:CW340)</f>
        <v/>
      </c>
      <c r="CY340" s="28" t="n"/>
      <c r="CZ340" s="31" t="n"/>
      <c r="DA340" s="29">
        <f>IF(AND(CX340=0,CY340=0,CZ340=0),0,IF(AND(CX340=0,CY340=0),CZ340/1,IF(AND(CX340=0,CZ340=0),CY340/1,IF(AND(CY340=0,CZ340=0),CX340/1,IF(CX340=0,FLOOR((CY340+CZ340)/2,0.1),IF(CY340=0,(CX340+CZ340)/2,IF(CZ340=0,(CY340+CX340)/2,FLOOR(((CX340+CY340+CZ340)/3),0.1))))))))</f>
        <v/>
      </c>
      <c r="DB340" s="21" t="n"/>
      <c r="DC340" s="21" t="n"/>
      <c r="DD340" s="27">
        <f>SUM(DB340:DC340)</f>
        <v/>
      </c>
      <c r="DE340" s="28" t="n"/>
      <c r="DF340" s="31" t="n"/>
      <c r="DG340" s="29">
        <f>IF(AND(DD340=0,DE340=0,DF340=0),0,IF(AND(DD340=0,DE340=0),DF340/1,IF(AND(DD340=0,DF340=0),DE340/1,IF(AND(DE340=0,DF340=0),DD340/1,IF(DD340=0,FLOOR((DE340+DF340)/2,0.1),IF(DE340=0,(DD340+DF340)/2,IF(DF340=0,(DE340+DD340)/2,FLOOR(((DD340+DE340+DF340)/3),0.1))))))))</f>
        <v/>
      </c>
      <c r="DH340" s="34">
        <f>SUM(O340,U340,AA340,AG340,AM340,AS340,AY340,BE340,BK340,BQ340,BW340,CC340,CI340,CO340,CU340,DA340,DG340)</f>
        <v/>
      </c>
      <c r="DI340" s="39">
        <f>RANK(DH340,DH$4:DH$503)</f>
        <v/>
      </c>
      <c r="DJ340" s="40" t="inlineStr">
        <is>
          <t>CHOOSE RATING</t>
        </is>
      </c>
      <c r="DK340" s="40" t="inlineStr">
        <is>
          <t>CHOOSE RATING</t>
        </is>
      </c>
      <c r="DL340" s="40" t="inlineStr">
        <is>
          <t>CHOOSE RATING</t>
        </is>
      </c>
      <c r="DM340" s="40" t="inlineStr">
        <is>
          <t>CHOOSE RATING</t>
        </is>
      </c>
      <c r="DN340" s="40" t="inlineStr">
        <is>
          <t>CHOOSE RATING</t>
        </is>
      </c>
      <c r="DO340" s="40" t="inlineStr">
        <is>
          <t>CHOOSE RATING</t>
        </is>
      </c>
      <c r="DP340" s="40" t="inlineStr">
        <is>
          <t>CHOOSE RATING</t>
        </is>
      </c>
      <c r="DQ340" s="40" t="inlineStr">
        <is>
          <t>CHOOSE RATING</t>
        </is>
      </c>
      <c r="DR340" s="43" t="inlineStr">
        <is>
          <t>2024/2025</t>
        </is>
      </c>
      <c r="DS340" s="45" t="inlineStr">
        <is>
          <t>THIRD</t>
        </is>
      </c>
      <c r="DT340" s="40" t="inlineStr">
        <is>
          <t>CHOOSE RATING</t>
        </is>
      </c>
      <c r="DU340" s="40" t="inlineStr">
        <is>
          <t>CHOOSE RATING</t>
        </is>
      </c>
      <c r="DV340" s="40" t="inlineStr">
        <is>
          <t>CHOOSE RATING</t>
        </is>
      </c>
      <c r="DW340" s="40" t="inlineStr">
        <is>
          <t>CHOOSE RATING</t>
        </is>
      </c>
      <c r="DX340" s="40" t="inlineStr">
        <is>
          <t>CHOOSE RATING</t>
        </is>
      </c>
      <c r="DY340" s="40" t="inlineStr">
        <is>
          <t>CHOOSE RATING</t>
        </is>
      </c>
      <c r="DZ340" s="53" t="inlineStr">
        <is>
          <t>CHOOSE RATING</t>
        </is>
      </c>
      <c r="EA340" s="54" t="inlineStr">
        <is>
          <t>Add the Tutor's Comment . . .</t>
        </is>
      </c>
      <c r="EB340" s="55" t="inlineStr">
        <is>
          <t>Choose Principals comment</t>
        </is>
      </c>
      <c r="EC340" s="56" t="n"/>
      <c r="ED340" s="57" t="inlineStr">
        <is>
          <t>Next Term Begins on Monday, 22nd September, 2025</t>
        </is>
      </c>
    </row>
    <row r="341" ht="30.6" customHeight="1" s="6">
      <c r="A341" s="18" t="n">
        <v>338</v>
      </c>
      <c r="B341" s="19" t="n"/>
      <c r="C341" s="20" t="n"/>
      <c r="D341" s="128" t="n"/>
      <c r="E341" s="21" t="n"/>
      <c r="F341" s="22" t="n"/>
      <c r="G341" s="22" t="n"/>
      <c r="H341" s="22" t="n"/>
      <c r="I341" s="26">
        <f>G341-H341</f>
        <v/>
      </c>
      <c r="J341" s="21" t="n"/>
      <c r="K341" s="21" t="n"/>
      <c r="L341" s="27">
        <f>SUM(J341:K341)</f>
        <v/>
      </c>
      <c r="M341" s="28" t="n"/>
      <c r="N341" s="28" t="n"/>
      <c r="O341" s="29">
        <f>IF(AND(L341=0,M341=0,N341=0),0,IF(AND(L341=0,M341=0),N341/1,IF(AND(L341=0,N341=0),M341/1,IF(AND(M341=0,N341=0),L341/1,IF(L341=0,FLOOR((M341+N341)/2,0.1),IF(M341=0,(L341+N341)/2,IF(N341=0,(M341+L341)/2,FLOOR(((L341+M341+N341)/3),0.1))))))))</f>
        <v/>
      </c>
      <c r="P341" s="21" t="n"/>
      <c r="Q341" s="21" t="n"/>
      <c r="R341" s="27">
        <f>SUM(P341:Q341)</f>
        <v/>
      </c>
      <c r="S341" s="28" t="n"/>
      <c r="T341" s="28" t="n"/>
      <c r="U341" s="29">
        <f>IF(AND(R341=0,S341=0,T341=0),0,IF(AND(R341=0,S341=0),T341/1,IF(AND(R341=0,T341=0),S341/1,IF(AND(S341=0,T341=0),R341/1,IF(R341=0,FLOOR((S341+T341)/2,0.1),IF(S341=0,(R341+T341)/2,IF(T341=0,(S341+R341)/2,FLOOR(((R341+S341+T341)/3),0.1))))))))</f>
        <v/>
      </c>
      <c r="V341" s="21" t="n"/>
      <c r="W341" s="21" t="n"/>
      <c r="X341" s="27">
        <f>SUM(V341:W341)</f>
        <v/>
      </c>
      <c r="Y341" s="28" t="n"/>
      <c r="Z341" s="28" t="n"/>
      <c r="AA341" s="29">
        <f>IF(AND(X341=0,Y341=0,Z341=0),0,IF(AND(X341=0,Y341=0),Z341/1,IF(AND(X341=0,Z341=0),Y341/1,IF(AND(Y341=0,Z341=0),X341/1,IF(X341=0,FLOOR((Y341+Z341)/2,0.1),IF(Y341=0,(X341+Z341)/2,IF(Z341=0,(Y341+X341)/2,FLOOR(((X341+Y341+Z341)/3),0.1))))))))</f>
        <v/>
      </c>
      <c r="AB341" s="21" t="n"/>
      <c r="AC341" s="21" t="n"/>
      <c r="AD341" s="27">
        <f>SUM(AB341:AC341)</f>
        <v/>
      </c>
      <c r="AE341" s="28" t="n"/>
      <c r="AF341" s="28" t="n"/>
      <c r="AG341" s="29">
        <f>IF(AND(AD341=0,AE341=0,AF341=0),0,IF(AND(AD341=0,AE341=0),AF341/1,IF(AND(AD341=0,AF341=0),AE341/1,IF(AND(AE341=0,AF341=0),AD341/1,IF(AD341=0,FLOOR((AE341+AF341)/2,0.1),IF(AE341=0,(AD341+AF341)/2,IF(AF341=0,(AE341+AD341)/2,FLOOR(((AD341+AE341+AF341)/3),0.1))))))))</f>
        <v/>
      </c>
      <c r="AH341" s="21" t="n"/>
      <c r="AI341" s="21" t="n"/>
      <c r="AJ341" s="27">
        <f>SUM(AH341:AI341)</f>
        <v/>
      </c>
      <c r="AK341" s="28" t="n"/>
      <c r="AL341" s="28" t="n"/>
      <c r="AM341" s="29">
        <f>IF(AND(AJ341=0,AK341=0,AL341=0),0,IF(AND(AJ341=0,AK341=0),AL341/1,IF(AND(AJ341=0,AL341=0),AK341/1,IF(AND(AK341=0,AL341=0),AJ341/1,IF(AJ341=0,FLOOR((AK341+AL341)/2,0.1),IF(AK341=0,(AJ341+AL341)/2,IF(AL341=0,(AK341+AJ341)/2,FLOOR(((AJ341+AK341+AL341)/3),0.1))))))))</f>
        <v/>
      </c>
      <c r="AN341" s="21" t="n"/>
      <c r="AO341" s="21" t="n"/>
      <c r="AP341" s="27">
        <f>SUM(AN341:AO341)</f>
        <v/>
      </c>
      <c r="AQ341" s="28" t="n"/>
      <c r="AR341" s="30" t="n"/>
      <c r="AS341" s="29">
        <f>IF(AND(AP341=0,AQ341=0,AR341=0),0,IF(AND(AP341=0,AQ341=0),AR341/1,IF(AND(AP341=0,AR341=0),AQ341/1,IF(AND(AQ341=0,AR341=0),AP341/1,IF(AP341=0,FLOOR((AQ341+AR341)/2,0.1),IF(AQ341=0,(AP341+AR341)/2,IF(AR341=0,(AQ341+AP341)/2,FLOOR(((AP341+AQ341+AR341)/3),0.1))))))))</f>
        <v/>
      </c>
      <c r="AT341" s="21" t="n"/>
      <c r="AU341" s="21" t="n"/>
      <c r="AV341" s="27">
        <f>SUM(AT341:AU341)</f>
        <v/>
      </c>
      <c r="AW341" s="28" t="n"/>
      <c r="AX341" s="30" t="n"/>
      <c r="AY341" s="29">
        <f>IF(AND(AV341=0,AW341=0,AX341=0),0,IF(AND(AV341=0,AW341=0),AX341/1,IF(AND(AV341=0,AX341=0),AW341/1,IF(AND(AW341=0,AX341=0),AV341/1,IF(AV341=0,FLOOR((AW341+AX341)/2,0.1),IF(AW341=0,(AV341+AX341)/2,IF(AX341=0,(AW341+AV341)/2,FLOOR(((AV341+AW341+AX341)/3),0.1))))))))</f>
        <v/>
      </c>
      <c r="AZ341" s="21" t="n"/>
      <c r="BA341" s="21" t="n"/>
      <c r="BB341" s="27">
        <f>SUM(AZ341:BA341)</f>
        <v/>
      </c>
      <c r="BC341" s="28" t="n"/>
      <c r="BD341" s="28" t="n"/>
      <c r="BE341" s="29">
        <f>IF(AND(BB341=0,BC341=0,BD341=0),0,IF(AND(BB341=0,BC341=0),BD341/1,IF(AND(BB341=0,BD341=0),BC341/1,IF(AND(BC341=0,BD341=0),BB341/1,IF(BB341=0,FLOOR((BC341+BD341)/2,0.1),IF(BC341=0,(BB341+BD341)/2,IF(BD341=0,(BC341+BB341)/2,FLOOR(((BB341+BC341+BD341)/3),0.1))))))))</f>
        <v/>
      </c>
      <c r="BF341" s="21" t="n"/>
      <c r="BG341" s="21" t="n"/>
      <c r="BH341" s="27">
        <f>SUM(BF341:BG341)</f>
        <v/>
      </c>
      <c r="BI341" s="28" t="n"/>
      <c r="BJ341" s="28" t="n"/>
      <c r="BK341" s="29">
        <f>IF(AND(BH341=0,BI341=0,BJ341=0),0,IF(AND(BH341=0,BI341=0),BJ341/1,IF(AND(BH341=0,BJ341=0),BI341/1,IF(AND(BI341=0,BJ341=0),BH341/1,IF(BH341=0,FLOOR((BI341+BJ341)/2,0.1),IF(BI341=0,(BH341+BJ341)/2,IF(BJ341=0,(BI341+BH341)/2,FLOOR(((BH341+BI341+BJ341)/3),0.1))))))))</f>
        <v/>
      </c>
      <c r="BL341" s="21" t="n"/>
      <c r="BM341" s="21" t="n"/>
      <c r="BN341" s="27">
        <f>SUM(BL341:BM341)</f>
        <v/>
      </c>
      <c r="BO341" s="28" t="n"/>
      <c r="BP341" s="31" t="n"/>
      <c r="BQ341" s="29">
        <f>IF(AND(BN341=0,BO341=0,BP341=0),0,IF(AND(BN341=0,BO341=0),BP341/1,IF(AND(BN341=0,BP341=0),BO341/1,IF(AND(BO341=0,BP341=0),BN341/1,IF(BN341=0,FLOOR((BO341+BP341)/2,0.1),IF(BO341=0,(BN341+BP341)/2,IF(BP341=0,(BO341+BN341)/2,FLOOR(((BN341+BO341+BP341)/3),0.1))))))))</f>
        <v/>
      </c>
      <c r="BR341" s="21" t="n"/>
      <c r="BS341" s="21" t="n"/>
      <c r="BT341" s="27">
        <f>SUM(BR341:BS341)</f>
        <v/>
      </c>
      <c r="BU341" s="28" t="n"/>
      <c r="BV341" s="31" t="n"/>
      <c r="BW341" s="29">
        <f>IF(AND(BT341=0,BU341=0,BV341=0),0,IF(AND(BT341=0,BU341=0),BV341/1,IF(AND(BT341=0,BV341=0),BU341/1,IF(AND(BU341=0,BV341=0),BT341/1,IF(BT341=0,FLOOR((BU341+BV341)/2,0.1),IF(BU341=0,(BT341+BV341)/2,IF(BV341=0,(BU341+BT341)/2,FLOOR(((BT341+BU341+BV341)/3),0.1))))))))</f>
        <v/>
      </c>
      <c r="BX341" s="21" t="n"/>
      <c r="BY341" s="21" t="n"/>
      <c r="BZ341" s="27">
        <f>SUM(BX341:BY341)</f>
        <v/>
      </c>
      <c r="CA341" s="28" t="n"/>
      <c r="CB341" s="31" t="n"/>
      <c r="CC341" s="29">
        <f>IF(AND(BZ341=0,CA341=0,CB341=0),0,IF(AND(BZ341=0,CA341=0),CB341/1,IF(AND(BZ341=0,CB341=0),CA341/1,IF(AND(CA341=0,CB341=0),BZ341/1,IF(BZ341=0,FLOOR((CA341+CB341)/2,0.1),IF(CA341=0,(BZ341+CB341)/2,IF(CB341=0,(CA341+BZ341)/2,FLOOR(((BZ341+CA341+CB341)/3),0.1))))))))</f>
        <v/>
      </c>
      <c r="CD341" s="21" t="n"/>
      <c r="CE341" s="21" t="n"/>
      <c r="CF341" s="27">
        <f>SUM(CD341:CE341)</f>
        <v/>
      </c>
      <c r="CG341" s="28" t="n"/>
      <c r="CH341" s="31" t="n"/>
      <c r="CI341" s="29">
        <f>IF(AND(CF341=0,CG341=0,CH341=0),0,IF(AND(CF341=0,CG341=0),CH341/1,IF(AND(CF341=0,CH341=0),CG341/1,IF(AND(CG341=0,CH341=0),CF341/1,IF(CF341=0,FLOOR((CG341+CH341)/2,0.1),IF(CG341=0,(CF341+CH341)/2,IF(CH341=0,(CG341+CF341)/2,FLOOR(((CF341+CG341+CH341)/3),0.1))))))))</f>
        <v/>
      </c>
      <c r="CJ341" s="21" t="n"/>
      <c r="CK341" s="21" t="n"/>
      <c r="CL341" s="27">
        <f>SUM(CJ341:CK341)</f>
        <v/>
      </c>
      <c r="CM341" s="28" t="n"/>
      <c r="CN341" s="31" t="n"/>
      <c r="CO341" s="29">
        <f>IF(AND(CL341=0,CM341=0,CN341=0),0,IF(AND(CL341=0,CM341=0),CN341/1,IF(AND(CL341=0,CN341=0),CM341/1,IF(AND(CM341=0,CN341=0),CL341/1,IF(CL341=0,FLOOR((CM341+CN341)/2,0.1),IF(CM341=0,(CL341+CN341)/2,IF(CN341=0,(CM341+CL341)/2,FLOOR(((CL341+CM341+CN341)/3),0.1))))))))</f>
        <v/>
      </c>
      <c r="CP341" s="21" t="n"/>
      <c r="CQ341" s="21" t="n"/>
      <c r="CR341" s="27">
        <f>SUM(CP341:CQ341)</f>
        <v/>
      </c>
      <c r="CS341" s="28" t="n"/>
      <c r="CT341" s="31" t="n"/>
      <c r="CU341" s="29">
        <f>IF(AND(CR341=0,CS341=0,CT341=0),0,IF(AND(CR341=0,CS341=0),CT341/1,IF(AND(CR341=0,CT341=0),CS341/1,IF(AND(CS341=0,CT341=0),CR341/1,IF(CR341=0,FLOOR((CS341+CT341)/2,0.1),IF(CS341=0,(CR341+CT341)/2,IF(CT341=0,(CS341+CR341)/2,FLOOR(((CR341+CS341+CT341)/3),0.1))))))))</f>
        <v/>
      </c>
      <c r="CV341" s="21" t="n"/>
      <c r="CW341" s="21" t="n"/>
      <c r="CX341" s="27">
        <f>SUM(CV341:CW341)</f>
        <v/>
      </c>
      <c r="CY341" s="28" t="n"/>
      <c r="CZ341" s="31" t="n"/>
      <c r="DA341" s="29">
        <f>IF(AND(CX341=0,CY341=0,CZ341=0),0,IF(AND(CX341=0,CY341=0),CZ341/1,IF(AND(CX341=0,CZ341=0),CY341/1,IF(AND(CY341=0,CZ341=0),CX341/1,IF(CX341=0,FLOOR((CY341+CZ341)/2,0.1),IF(CY341=0,(CX341+CZ341)/2,IF(CZ341=0,(CY341+CX341)/2,FLOOR(((CX341+CY341+CZ341)/3),0.1))))))))</f>
        <v/>
      </c>
      <c r="DB341" s="21" t="n"/>
      <c r="DC341" s="21" t="n"/>
      <c r="DD341" s="27">
        <f>SUM(DB341:DC341)</f>
        <v/>
      </c>
      <c r="DE341" s="28" t="n"/>
      <c r="DF341" s="31" t="n"/>
      <c r="DG341" s="29">
        <f>IF(AND(DD341=0,DE341=0,DF341=0),0,IF(AND(DD341=0,DE341=0),DF341/1,IF(AND(DD341=0,DF341=0),DE341/1,IF(AND(DE341=0,DF341=0),DD341/1,IF(DD341=0,FLOOR((DE341+DF341)/2,0.1),IF(DE341=0,(DD341+DF341)/2,IF(DF341=0,(DE341+DD341)/2,FLOOR(((DD341+DE341+DF341)/3),0.1))))))))</f>
        <v/>
      </c>
      <c r="DH341" s="34">
        <f>SUM(O341,U341,AA341,AG341,AM341,AS341,AY341,BE341,BK341,BQ341,BW341,CC341,CI341,CO341,CU341,DA341,DG341)</f>
        <v/>
      </c>
      <c r="DI341" s="39">
        <f>RANK(DH341,DH$4:DH$503)</f>
        <v/>
      </c>
      <c r="DJ341" s="40" t="inlineStr">
        <is>
          <t>CHOOSE RATING</t>
        </is>
      </c>
      <c r="DK341" s="40" t="inlineStr">
        <is>
          <t>CHOOSE RATING</t>
        </is>
      </c>
      <c r="DL341" s="40" t="inlineStr">
        <is>
          <t>CHOOSE RATING</t>
        </is>
      </c>
      <c r="DM341" s="40" t="inlineStr">
        <is>
          <t>CHOOSE RATING</t>
        </is>
      </c>
      <c r="DN341" s="40" t="inlineStr">
        <is>
          <t>CHOOSE RATING</t>
        </is>
      </c>
      <c r="DO341" s="40" t="inlineStr">
        <is>
          <t>CHOOSE RATING</t>
        </is>
      </c>
      <c r="DP341" s="40" t="inlineStr">
        <is>
          <t>CHOOSE RATING</t>
        </is>
      </c>
      <c r="DQ341" s="40" t="inlineStr">
        <is>
          <t>CHOOSE RATING</t>
        </is>
      </c>
      <c r="DR341" s="43" t="inlineStr">
        <is>
          <t>2024/2025</t>
        </is>
      </c>
      <c r="DS341" s="45" t="inlineStr">
        <is>
          <t>THIRD</t>
        </is>
      </c>
      <c r="DT341" s="40" t="inlineStr">
        <is>
          <t>CHOOSE RATING</t>
        </is>
      </c>
      <c r="DU341" s="40" t="inlineStr">
        <is>
          <t>CHOOSE RATING</t>
        </is>
      </c>
      <c r="DV341" s="40" t="inlineStr">
        <is>
          <t>CHOOSE RATING</t>
        </is>
      </c>
      <c r="DW341" s="40" t="inlineStr">
        <is>
          <t>CHOOSE RATING</t>
        </is>
      </c>
      <c r="DX341" s="40" t="inlineStr">
        <is>
          <t>CHOOSE RATING</t>
        </is>
      </c>
      <c r="DY341" s="40" t="inlineStr">
        <is>
          <t>CHOOSE RATING</t>
        </is>
      </c>
      <c r="DZ341" s="53" t="inlineStr">
        <is>
          <t>CHOOSE RATING</t>
        </is>
      </c>
      <c r="EA341" s="54" t="inlineStr">
        <is>
          <t>Add the Tutor's Comment . . .</t>
        </is>
      </c>
      <c r="EB341" s="55" t="inlineStr">
        <is>
          <t>Choose Principals comment</t>
        </is>
      </c>
      <c r="EC341" s="56" t="n"/>
      <c r="ED341" s="57" t="inlineStr">
        <is>
          <t>Next Term Begins on Monday, 22nd September, 2025</t>
        </is>
      </c>
    </row>
    <row r="342" ht="30.6" customHeight="1" s="6">
      <c r="A342" s="18" t="n">
        <v>339</v>
      </c>
      <c r="B342" s="19" t="n"/>
      <c r="C342" s="20" t="n"/>
      <c r="D342" s="128" t="n"/>
      <c r="E342" s="21" t="n"/>
      <c r="F342" s="22" t="n"/>
      <c r="G342" s="22" t="n"/>
      <c r="H342" s="22" t="n"/>
      <c r="I342" s="26">
        <f>G342-H342</f>
        <v/>
      </c>
      <c r="J342" s="21" t="n"/>
      <c r="K342" s="21" t="n"/>
      <c r="L342" s="27">
        <f>SUM(J342:K342)</f>
        <v/>
      </c>
      <c r="M342" s="28" t="n"/>
      <c r="N342" s="28" t="n"/>
      <c r="O342" s="29">
        <f>IF(AND(L342=0,M342=0,N342=0),0,IF(AND(L342=0,M342=0),N342/1,IF(AND(L342=0,N342=0),M342/1,IF(AND(M342=0,N342=0),L342/1,IF(L342=0,FLOOR((M342+N342)/2,0.1),IF(M342=0,(L342+N342)/2,IF(N342=0,(M342+L342)/2,FLOOR(((L342+M342+N342)/3),0.1))))))))</f>
        <v/>
      </c>
      <c r="P342" s="21" t="n"/>
      <c r="Q342" s="21" t="n"/>
      <c r="R342" s="27">
        <f>SUM(P342:Q342)</f>
        <v/>
      </c>
      <c r="S342" s="28" t="n"/>
      <c r="T342" s="28" t="n"/>
      <c r="U342" s="29">
        <f>IF(AND(R342=0,S342=0,T342=0),0,IF(AND(R342=0,S342=0),T342/1,IF(AND(R342=0,T342=0),S342/1,IF(AND(S342=0,T342=0),R342/1,IF(R342=0,FLOOR((S342+T342)/2,0.1),IF(S342=0,(R342+T342)/2,IF(T342=0,(S342+R342)/2,FLOOR(((R342+S342+T342)/3),0.1))))))))</f>
        <v/>
      </c>
      <c r="V342" s="21" t="n"/>
      <c r="W342" s="21" t="n"/>
      <c r="X342" s="27">
        <f>SUM(V342:W342)</f>
        <v/>
      </c>
      <c r="Y342" s="28" t="n"/>
      <c r="Z342" s="28" t="n"/>
      <c r="AA342" s="29">
        <f>IF(AND(X342=0,Y342=0,Z342=0),0,IF(AND(X342=0,Y342=0),Z342/1,IF(AND(X342=0,Z342=0),Y342/1,IF(AND(Y342=0,Z342=0),X342/1,IF(X342=0,FLOOR((Y342+Z342)/2,0.1),IF(Y342=0,(X342+Z342)/2,IF(Z342=0,(Y342+X342)/2,FLOOR(((X342+Y342+Z342)/3),0.1))))))))</f>
        <v/>
      </c>
      <c r="AB342" s="21" t="n"/>
      <c r="AC342" s="21" t="n"/>
      <c r="AD342" s="27">
        <f>SUM(AB342:AC342)</f>
        <v/>
      </c>
      <c r="AE342" s="28" t="n"/>
      <c r="AF342" s="28" t="n"/>
      <c r="AG342" s="29">
        <f>IF(AND(AD342=0,AE342=0,AF342=0),0,IF(AND(AD342=0,AE342=0),AF342/1,IF(AND(AD342=0,AF342=0),AE342/1,IF(AND(AE342=0,AF342=0),AD342/1,IF(AD342=0,FLOOR((AE342+AF342)/2,0.1),IF(AE342=0,(AD342+AF342)/2,IF(AF342=0,(AE342+AD342)/2,FLOOR(((AD342+AE342+AF342)/3),0.1))))))))</f>
        <v/>
      </c>
      <c r="AH342" s="21" t="n"/>
      <c r="AI342" s="21" t="n"/>
      <c r="AJ342" s="27">
        <f>SUM(AH342:AI342)</f>
        <v/>
      </c>
      <c r="AK342" s="28" t="n"/>
      <c r="AL342" s="28" t="n"/>
      <c r="AM342" s="29">
        <f>IF(AND(AJ342=0,AK342=0,AL342=0),0,IF(AND(AJ342=0,AK342=0),AL342/1,IF(AND(AJ342=0,AL342=0),AK342/1,IF(AND(AK342=0,AL342=0),AJ342/1,IF(AJ342=0,FLOOR((AK342+AL342)/2,0.1),IF(AK342=0,(AJ342+AL342)/2,IF(AL342=0,(AK342+AJ342)/2,FLOOR(((AJ342+AK342+AL342)/3),0.1))))))))</f>
        <v/>
      </c>
      <c r="AN342" s="21" t="n"/>
      <c r="AO342" s="21" t="n"/>
      <c r="AP342" s="27">
        <f>SUM(AN342:AO342)</f>
        <v/>
      </c>
      <c r="AQ342" s="28" t="n"/>
      <c r="AR342" s="30" t="n"/>
      <c r="AS342" s="29">
        <f>IF(AND(AP342=0,AQ342=0,AR342=0),0,IF(AND(AP342=0,AQ342=0),AR342/1,IF(AND(AP342=0,AR342=0),AQ342/1,IF(AND(AQ342=0,AR342=0),AP342/1,IF(AP342=0,FLOOR((AQ342+AR342)/2,0.1),IF(AQ342=0,(AP342+AR342)/2,IF(AR342=0,(AQ342+AP342)/2,FLOOR(((AP342+AQ342+AR342)/3),0.1))))))))</f>
        <v/>
      </c>
      <c r="AT342" s="21" t="n"/>
      <c r="AU342" s="21" t="n"/>
      <c r="AV342" s="27">
        <f>SUM(AT342:AU342)</f>
        <v/>
      </c>
      <c r="AW342" s="28" t="n"/>
      <c r="AX342" s="30" t="n"/>
      <c r="AY342" s="29">
        <f>IF(AND(AV342=0,AW342=0,AX342=0),0,IF(AND(AV342=0,AW342=0),AX342/1,IF(AND(AV342=0,AX342=0),AW342/1,IF(AND(AW342=0,AX342=0),AV342/1,IF(AV342=0,FLOOR((AW342+AX342)/2,0.1),IF(AW342=0,(AV342+AX342)/2,IF(AX342=0,(AW342+AV342)/2,FLOOR(((AV342+AW342+AX342)/3),0.1))))))))</f>
        <v/>
      </c>
      <c r="AZ342" s="21" t="n"/>
      <c r="BA342" s="21" t="n"/>
      <c r="BB342" s="27">
        <f>SUM(AZ342:BA342)</f>
        <v/>
      </c>
      <c r="BC342" s="28" t="n"/>
      <c r="BD342" s="28" t="n"/>
      <c r="BE342" s="29">
        <f>IF(AND(BB342=0,BC342=0,BD342=0),0,IF(AND(BB342=0,BC342=0),BD342/1,IF(AND(BB342=0,BD342=0),BC342/1,IF(AND(BC342=0,BD342=0),BB342/1,IF(BB342=0,FLOOR((BC342+BD342)/2,0.1),IF(BC342=0,(BB342+BD342)/2,IF(BD342=0,(BC342+BB342)/2,FLOOR(((BB342+BC342+BD342)/3),0.1))))))))</f>
        <v/>
      </c>
      <c r="BF342" s="21" t="n"/>
      <c r="BG342" s="21" t="n"/>
      <c r="BH342" s="27">
        <f>SUM(BF342:BG342)</f>
        <v/>
      </c>
      <c r="BI342" s="28" t="n"/>
      <c r="BJ342" s="28" t="n"/>
      <c r="BK342" s="29">
        <f>IF(AND(BH342=0,BI342=0,BJ342=0),0,IF(AND(BH342=0,BI342=0),BJ342/1,IF(AND(BH342=0,BJ342=0),BI342/1,IF(AND(BI342=0,BJ342=0),BH342/1,IF(BH342=0,FLOOR((BI342+BJ342)/2,0.1),IF(BI342=0,(BH342+BJ342)/2,IF(BJ342=0,(BI342+BH342)/2,FLOOR(((BH342+BI342+BJ342)/3),0.1))))))))</f>
        <v/>
      </c>
      <c r="BL342" s="21" t="n"/>
      <c r="BM342" s="21" t="n"/>
      <c r="BN342" s="27">
        <f>SUM(BL342:BM342)</f>
        <v/>
      </c>
      <c r="BO342" s="28" t="n"/>
      <c r="BP342" s="31" t="n"/>
      <c r="BQ342" s="29">
        <f>IF(AND(BN342=0,BO342=0,BP342=0),0,IF(AND(BN342=0,BO342=0),BP342/1,IF(AND(BN342=0,BP342=0),BO342/1,IF(AND(BO342=0,BP342=0),BN342/1,IF(BN342=0,FLOOR((BO342+BP342)/2,0.1),IF(BO342=0,(BN342+BP342)/2,IF(BP342=0,(BO342+BN342)/2,FLOOR(((BN342+BO342+BP342)/3),0.1))))))))</f>
        <v/>
      </c>
      <c r="BR342" s="21" t="n"/>
      <c r="BS342" s="21" t="n"/>
      <c r="BT342" s="27">
        <f>SUM(BR342:BS342)</f>
        <v/>
      </c>
      <c r="BU342" s="28" t="n"/>
      <c r="BV342" s="31" t="n"/>
      <c r="BW342" s="29">
        <f>IF(AND(BT342=0,BU342=0,BV342=0),0,IF(AND(BT342=0,BU342=0),BV342/1,IF(AND(BT342=0,BV342=0),BU342/1,IF(AND(BU342=0,BV342=0),BT342/1,IF(BT342=0,FLOOR((BU342+BV342)/2,0.1),IF(BU342=0,(BT342+BV342)/2,IF(BV342=0,(BU342+BT342)/2,FLOOR(((BT342+BU342+BV342)/3),0.1))))))))</f>
        <v/>
      </c>
      <c r="BX342" s="21" t="n"/>
      <c r="BY342" s="21" t="n"/>
      <c r="BZ342" s="27">
        <f>SUM(BX342:BY342)</f>
        <v/>
      </c>
      <c r="CA342" s="28" t="n"/>
      <c r="CB342" s="31" t="n"/>
      <c r="CC342" s="29">
        <f>IF(AND(BZ342=0,CA342=0,CB342=0),0,IF(AND(BZ342=0,CA342=0),CB342/1,IF(AND(BZ342=0,CB342=0),CA342/1,IF(AND(CA342=0,CB342=0),BZ342/1,IF(BZ342=0,FLOOR((CA342+CB342)/2,0.1),IF(CA342=0,(BZ342+CB342)/2,IF(CB342=0,(CA342+BZ342)/2,FLOOR(((BZ342+CA342+CB342)/3),0.1))))))))</f>
        <v/>
      </c>
      <c r="CD342" s="21" t="n"/>
      <c r="CE342" s="21" t="n"/>
      <c r="CF342" s="27">
        <f>SUM(CD342:CE342)</f>
        <v/>
      </c>
      <c r="CG342" s="28" t="n"/>
      <c r="CH342" s="31" t="n"/>
      <c r="CI342" s="29">
        <f>IF(AND(CF342=0,CG342=0,CH342=0),0,IF(AND(CF342=0,CG342=0),CH342/1,IF(AND(CF342=0,CH342=0),CG342/1,IF(AND(CG342=0,CH342=0),CF342/1,IF(CF342=0,FLOOR((CG342+CH342)/2,0.1),IF(CG342=0,(CF342+CH342)/2,IF(CH342=0,(CG342+CF342)/2,FLOOR(((CF342+CG342+CH342)/3),0.1))))))))</f>
        <v/>
      </c>
      <c r="CJ342" s="21" t="n"/>
      <c r="CK342" s="21" t="n"/>
      <c r="CL342" s="27">
        <f>SUM(CJ342:CK342)</f>
        <v/>
      </c>
      <c r="CM342" s="28" t="n"/>
      <c r="CN342" s="31" t="n"/>
      <c r="CO342" s="29">
        <f>IF(AND(CL342=0,CM342=0,CN342=0),0,IF(AND(CL342=0,CM342=0),CN342/1,IF(AND(CL342=0,CN342=0),CM342/1,IF(AND(CM342=0,CN342=0),CL342/1,IF(CL342=0,FLOOR((CM342+CN342)/2,0.1),IF(CM342=0,(CL342+CN342)/2,IF(CN342=0,(CM342+CL342)/2,FLOOR(((CL342+CM342+CN342)/3),0.1))))))))</f>
        <v/>
      </c>
      <c r="CP342" s="21" t="n"/>
      <c r="CQ342" s="21" t="n"/>
      <c r="CR342" s="27">
        <f>SUM(CP342:CQ342)</f>
        <v/>
      </c>
      <c r="CS342" s="28" t="n"/>
      <c r="CT342" s="31" t="n"/>
      <c r="CU342" s="29">
        <f>IF(AND(CR342=0,CS342=0,CT342=0),0,IF(AND(CR342=0,CS342=0),CT342/1,IF(AND(CR342=0,CT342=0),CS342/1,IF(AND(CS342=0,CT342=0),CR342/1,IF(CR342=0,FLOOR((CS342+CT342)/2,0.1),IF(CS342=0,(CR342+CT342)/2,IF(CT342=0,(CS342+CR342)/2,FLOOR(((CR342+CS342+CT342)/3),0.1))))))))</f>
        <v/>
      </c>
      <c r="CV342" s="21" t="n"/>
      <c r="CW342" s="21" t="n"/>
      <c r="CX342" s="27">
        <f>SUM(CV342:CW342)</f>
        <v/>
      </c>
      <c r="CY342" s="28" t="n"/>
      <c r="CZ342" s="31" t="n"/>
      <c r="DA342" s="29">
        <f>IF(AND(CX342=0,CY342=0,CZ342=0),0,IF(AND(CX342=0,CY342=0),CZ342/1,IF(AND(CX342=0,CZ342=0),CY342/1,IF(AND(CY342=0,CZ342=0),CX342/1,IF(CX342=0,FLOOR((CY342+CZ342)/2,0.1),IF(CY342=0,(CX342+CZ342)/2,IF(CZ342=0,(CY342+CX342)/2,FLOOR(((CX342+CY342+CZ342)/3),0.1))))))))</f>
        <v/>
      </c>
      <c r="DB342" s="21" t="n"/>
      <c r="DC342" s="21" t="n"/>
      <c r="DD342" s="27">
        <f>SUM(DB342:DC342)</f>
        <v/>
      </c>
      <c r="DE342" s="28" t="n"/>
      <c r="DF342" s="31" t="n"/>
      <c r="DG342" s="29">
        <f>IF(AND(DD342=0,DE342=0,DF342=0),0,IF(AND(DD342=0,DE342=0),DF342/1,IF(AND(DD342=0,DF342=0),DE342/1,IF(AND(DE342=0,DF342=0),DD342/1,IF(DD342=0,FLOOR((DE342+DF342)/2,0.1),IF(DE342=0,(DD342+DF342)/2,IF(DF342=0,(DE342+DD342)/2,FLOOR(((DD342+DE342+DF342)/3),0.1))))))))</f>
        <v/>
      </c>
      <c r="DH342" s="34">
        <f>SUM(O342,U342,AA342,AG342,AM342,AS342,AY342,BE342,BK342,BQ342,BW342,CC342,CI342,CO342,CU342,DA342,DG342)</f>
        <v/>
      </c>
      <c r="DI342" s="39">
        <f>RANK(DH342,DH$4:DH$503)</f>
        <v/>
      </c>
      <c r="DJ342" s="40" t="inlineStr">
        <is>
          <t>CHOOSE RATING</t>
        </is>
      </c>
      <c r="DK342" s="40" t="inlineStr">
        <is>
          <t>CHOOSE RATING</t>
        </is>
      </c>
      <c r="DL342" s="40" t="inlineStr">
        <is>
          <t>CHOOSE RATING</t>
        </is>
      </c>
      <c r="DM342" s="40" t="inlineStr">
        <is>
          <t>CHOOSE RATING</t>
        </is>
      </c>
      <c r="DN342" s="40" t="inlineStr">
        <is>
          <t>CHOOSE RATING</t>
        </is>
      </c>
      <c r="DO342" s="40" t="inlineStr">
        <is>
          <t>CHOOSE RATING</t>
        </is>
      </c>
      <c r="DP342" s="40" t="inlineStr">
        <is>
          <t>CHOOSE RATING</t>
        </is>
      </c>
      <c r="DQ342" s="40" t="inlineStr">
        <is>
          <t>CHOOSE RATING</t>
        </is>
      </c>
      <c r="DR342" s="43" t="inlineStr">
        <is>
          <t>2024/2025</t>
        </is>
      </c>
      <c r="DS342" s="45" t="inlineStr">
        <is>
          <t>THIRD</t>
        </is>
      </c>
      <c r="DT342" s="40" t="inlineStr">
        <is>
          <t>CHOOSE RATING</t>
        </is>
      </c>
      <c r="DU342" s="40" t="inlineStr">
        <is>
          <t>CHOOSE RATING</t>
        </is>
      </c>
      <c r="DV342" s="40" t="inlineStr">
        <is>
          <t>CHOOSE RATING</t>
        </is>
      </c>
      <c r="DW342" s="40" t="inlineStr">
        <is>
          <t>CHOOSE RATING</t>
        </is>
      </c>
      <c r="DX342" s="40" t="inlineStr">
        <is>
          <t>CHOOSE RATING</t>
        </is>
      </c>
      <c r="DY342" s="40" t="inlineStr">
        <is>
          <t>CHOOSE RATING</t>
        </is>
      </c>
      <c r="DZ342" s="53" t="inlineStr">
        <is>
          <t>CHOOSE RATING</t>
        </is>
      </c>
      <c r="EA342" s="54" t="inlineStr">
        <is>
          <t>Add the Tutor's Comment . . .</t>
        </is>
      </c>
      <c r="EB342" s="55" t="inlineStr">
        <is>
          <t>Choose Principals comment</t>
        </is>
      </c>
      <c r="EC342" s="56" t="n"/>
      <c r="ED342" s="57" t="inlineStr">
        <is>
          <t>Next Term Begins on Monday, 22nd September, 2025</t>
        </is>
      </c>
    </row>
    <row r="343" ht="30.6" customHeight="1" s="6">
      <c r="A343" s="18" t="n">
        <v>340</v>
      </c>
      <c r="B343" s="19" t="n"/>
      <c r="C343" s="20" t="n"/>
      <c r="D343" s="128" t="n"/>
      <c r="E343" s="21" t="n"/>
      <c r="F343" s="22" t="n"/>
      <c r="G343" s="22" t="n"/>
      <c r="H343" s="22" t="n"/>
      <c r="I343" s="26">
        <f>G343-H343</f>
        <v/>
      </c>
      <c r="J343" s="21" t="n"/>
      <c r="K343" s="21" t="n"/>
      <c r="L343" s="27">
        <f>SUM(J343:K343)</f>
        <v/>
      </c>
      <c r="M343" s="28" t="n"/>
      <c r="N343" s="28" t="n"/>
      <c r="O343" s="29">
        <f>IF(AND(L343=0,M343=0,N343=0),0,IF(AND(L343=0,M343=0),N343/1,IF(AND(L343=0,N343=0),M343/1,IF(AND(M343=0,N343=0),L343/1,IF(L343=0,FLOOR((M343+N343)/2,0.1),IF(M343=0,(L343+N343)/2,IF(N343=0,(M343+L343)/2,FLOOR(((L343+M343+N343)/3),0.1))))))))</f>
        <v/>
      </c>
      <c r="P343" s="21" t="n"/>
      <c r="Q343" s="21" t="n"/>
      <c r="R343" s="27">
        <f>SUM(P343:Q343)</f>
        <v/>
      </c>
      <c r="S343" s="28" t="n"/>
      <c r="T343" s="28" t="n"/>
      <c r="U343" s="29">
        <f>IF(AND(R343=0,S343=0,T343=0),0,IF(AND(R343=0,S343=0),T343/1,IF(AND(R343=0,T343=0),S343/1,IF(AND(S343=0,T343=0),R343/1,IF(R343=0,FLOOR((S343+T343)/2,0.1),IF(S343=0,(R343+T343)/2,IF(T343=0,(S343+R343)/2,FLOOR(((R343+S343+T343)/3),0.1))))))))</f>
        <v/>
      </c>
      <c r="V343" s="21" t="n"/>
      <c r="W343" s="21" t="n"/>
      <c r="X343" s="27">
        <f>SUM(V343:W343)</f>
        <v/>
      </c>
      <c r="Y343" s="28" t="n"/>
      <c r="Z343" s="28" t="n"/>
      <c r="AA343" s="29">
        <f>IF(AND(X343=0,Y343=0,Z343=0),0,IF(AND(X343=0,Y343=0),Z343/1,IF(AND(X343=0,Z343=0),Y343/1,IF(AND(Y343=0,Z343=0),X343/1,IF(X343=0,FLOOR((Y343+Z343)/2,0.1),IF(Y343=0,(X343+Z343)/2,IF(Z343=0,(Y343+X343)/2,FLOOR(((X343+Y343+Z343)/3),0.1))))))))</f>
        <v/>
      </c>
      <c r="AB343" s="21" t="n"/>
      <c r="AC343" s="21" t="n"/>
      <c r="AD343" s="27">
        <f>SUM(AB343:AC343)</f>
        <v/>
      </c>
      <c r="AE343" s="28" t="n"/>
      <c r="AF343" s="28" t="n"/>
      <c r="AG343" s="29">
        <f>IF(AND(AD343=0,AE343=0,AF343=0),0,IF(AND(AD343=0,AE343=0),AF343/1,IF(AND(AD343=0,AF343=0),AE343/1,IF(AND(AE343=0,AF343=0),AD343/1,IF(AD343=0,FLOOR((AE343+AF343)/2,0.1),IF(AE343=0,(AD343+AF343)/2,IF(AF343=0,(AE343+AD343)/2,FLOOR(((AD343+AE343+AF343)/3),0.1))))))))</f>
        <v/>
      </c>
      <c r="AH343" s="21" t="n"/>
      <c r="AI343" s="21" t="n"/>
      <c r="AJ343" s="27">
        <f>SUM(AH343:AI343)</f>
        <v/>
      </c>
      <c r="AK343" s="28" t="n"/>
      <c r="AL343" s="28" t="n"/>
      <c r="AM343" s="29">
        <f>IF(AND(AJ343=0,AK343=0,AL343=0),0,IF(AND(AJ343=0,AK343=0),AL343/1,IF(AND(AJ343=0,AL343=0),AK343/1,IF(AND(AK343=0,AL343=0),AJ343/1,IF(AJ343=0,FLOOR((AK343+AL343)/2,0.1),IF(AK343=0,(AJ343+AL343)/2,IF(AL343=0,(AK343+AJ343)/2,FLOOR(((AJ343+AK343+AL343)/3),0.1))))))))</f>
        <v/>
      </c>
      <c r="AN343" s="21" t="n"/>
      <c r="AO343" s="21" t="n"/>
      <c r="AP343" s="27">
        <f>SUM(AN343:AO343)</f>
        <v/>
      </c>
      <c r="AQ343" s="28" t="n"/>
      <c r="AR343" s="30" t="n"/>
      <c r="AS343" s="29">
        <f>IF(AND(AP343=0,AQ343=0,AR343=0),0,IF(AND(AP343=0,AQ343=0),AR343/1,IF(AND(AP343=0,AR343=0),AQ343/1,IF(AND(AQ343=0,AR343=0),AP343/1,IF(AP343=0,FLOOR((AQ343+AR343)/2,0.1),IF(AQ343=0,(AP343+AR343)/2,IF(AR343=0,(AQ343+AP343)/2,FLOOR(((AP343+AQ343+AR343)/3),0.1))))))))</f>
        <v/>
      </c>
      <c r="AT343" s="21" t="n"/>
      <c r="AU343" s="21" t="n"/>
      <c r="AV343" s="27">
        <f>SUM(AT343:AU343)</f>
        <v/>
      </c>
      <c r="AW343" s="28" t="n"/>
      <c r="AX343" s="30" t="n"/>
      <c r="AY343" s="29">
        <f>IF(AND(AV343=0,AW343=0,AX343=0),0,IF(AND(AV343=0,AW343=0),AX343/1,IF(AND(AV343=0,AX343=0),AW343/1,IF(AND(AW343=0,AX343=0),AV343/1,IF(AV343=0,FLOOR((AW343+AX343)/2,0.1),IF(AW343=0,(AV343+AX343)/2,IF(AX343=0,(AW343+AV343)/2,FLOOR(((AV343+AW343+AX343)/3),0.1))))))))</f>
        <v/>
      </c>
      <c r="AZ343" s="21" t="n"/>
      <c r="BA343" s="21" t="n"/>
      <c r="BB343" s="27">
        <f>SUM(AZ343:BA343)</f>
        <v/>
      </c>
      <c r="BC343" s="28" t="n"/>
      <c r="BD343" s="28" t="n"/>
      <c r="BE343" s="29">
        <f>IF(AND(BB343=0,BC343=0,BD343=0),0,IF(AND(BB343=0,BC343=0),BD343/1,IF(AND(BB343=0,BD343=0),BC343/1,IF(AND(BC343=0,BD343=0),BB343/1,IF(BB343=0,FLOOR((BC343+BD343)/2,0.1),IF(BC343=0,(BB343+BD343)/2,IF(BD343=0,(BC343+BB343)/2,FLOOR(((BB343+BC343+BD343)/3),0.1))))))))</f>
        <v/>
      </c>
      <c r="BF343" s="21" t="n"/>
      <c r="BG343" s="21" t="n"/>
      <c r="BH343" s="27">
        <f>SUM(BF343:BG343)</f>
        <v/>
      </c>
      <c r="BI343" s="28" t="n"/>
      <c r="BJ343" s="28" t="n"/>
      <c r="BK343" s="29">
        <f>IF(AND(BH343=0,BI343=0,BJ343=0),0,IF(AND(BH343=0,BI343=0),BJ343/1,IF(AND(BH343=0,BJ343=0),BI343/1,IF(AND(BI343=0,BJ343=0),BH343/1,IF(BH343=0,FLOOR((BI343+BJ343)/2,0.1),IF(BI343=0,(BH343+BJ343)/2,IF(BJ343=0,(BI343+BH343)/2,FLOOR(((BH343+BI343+BJ343)/3),0.1))))))))</f>
        <v/>
      </c>
      <c r="BL343" s="21" t="n"/>
      <c r="BM343" s="21" t="n"/>
      <c r="BN343" s="27">
        <f>SUM(BL343:BM343)</f>
        <v/>
      </c>
      <c r="BO343" s="28" t="n"/>
      <c r="BP343" s="31" t="n"/>
      <c r="BQ343" s="29">
        <f>IF(AND(BN343=0,BO343=0,BP343=0),0,IF(AND(BN343=0,BO343=0),BP343/1,IF(AND(BN343=0,BP343=0),BO343/1,IF(AND(BO343=0,BP343=0),BN343/1,IF(BN343=0,FLOOR((BO343+BP343)/2,0.1),IF(BO343=0,(BN343+BP343)/2,IF(BP343=0,(BO343+BN343)/2,FLOOR(((BN343+BO343+BP343)/3),0.1))))))))</f>
        <v/>
      </c>
      <c r="BR343" s="21" t="n"/>
      <c r="BS343" s="21" t="n"/>
      <c r="BT343" s="27">
        <f>SUM(BR343:BS343)</f>
        <v/>
      </c>
      <c r="BU343" s="28" t="n"/>
      <c r="BV343" s="31" t="n"/>
      <c r="BW343" s="29">
        <f>IF(AND(BT343=0,BU343=0,BV343=0),0,IF(AND(BT343=0,BU343=0),BV343/1,IF(AND(BT343=0,BV343=0),BU343/1,IF(AND(BU343=0,BV343=0),BT343/1,IF(BT343=0,FLOOR((BU343+BV343)/2,0.1),IF(BU343=0,(BT343+BV343)/2,IF(BV343=0,(BU343+BT343)/2,FLOOR(((BT343+BU343+BV343)/3),0.1))))))))</f>
        <v/>
      </c>
      <c r="BX343" s="21" t="n"/>
      <c r="BY343" s="21" t="n"/>
      <c r="BZ343" s="27">
        <f>SUM(BX343:BY343)</f>
        <v/>
      </c>
      <c r="CA343" s="28" t="n"/>
      <c r="CB343" s="31" t="n"/>
      <c r="CC343" s="29">
        <f>IF(AND(BZ343=0,CA343=0,CB343=0),0,IF(AND(BZ343=0,CA343=0),CB343/1,IF(AND(BZ343=0,CB343=0),CA343/1,IF(AND(CA343=0,CB343=0),BZ343/1,IF(BZ343=0,FLOOR((CA343+CB343)/2,0.1),IF(CA343=0,(BZ343+CB343)/2,IF(CB343=0,(CA343+BZ343)/2,FLOOR(((BZ343+CA343+CB343)/3),0.1))))))))</f>
        <v/>
      </c>
      <c r="CD343" s="21" t="n"/>
      <c r="CE343" s="21" t="n"/>
      <c r="CF343" s="27">
        <f>SUM(CD343:CE343)</f>
        <v/>
      </c>
      <c r="CG343" s="28" t="n"/>
      <c r="CH343" s="31" t="n"/>
      <c r="CI343" s="29">
        <f>IF(AND(CF343=0,CG343=0,CH343=0),0,IF(AND(CF343=0,CG343=0),CH343/1,IF(AND(CF343=0,CH343=0),CG343/1,IF(AND(CG343=0,CH343=0),CF343/1,IF(CF343=0,FLOOR((CG343+CH343)/2,0.1),IF(CG343=0,(CF343+CH343)/2,IF(CH343=0,(CG343+CF343)/2,FLOOR(((CF343+CG343+CH343)/3),0.1))))))))</f>
        <v/>
      </c>
      <c r="CJ343" s="21" t="n"/>
      <c r="CK343" s="21" t="n"/>
      <c r="CL343" s="27">
        <f>SUM(CJ343:CK343)</f>
        <v/>
      </c>
      <c r="CM343" s="28" t="n"/>
      <c r="CN343" s="31" t="n"/>
      <c r="CO343" s="29">
        <f>IF(AND(CL343=0,CM343=0,CN343=0),0,IF(AND(CL343=0,CM343=0),CN343/1,IF(AND(CL343=0,CN343=0),CM343/1,IF(AND(CM343=0,CN343=0),CL343/1,IF(CL343=0,FLOOR((CM343+CN343)/2,0.1),IF(CM343=0,(CL343+CN343)/2,IF(CN343=0,(CM343+CL343)/2,FLOOR(((CL343+CM343+CN343)/3),0.1))))))))</f>
        <v/>
      </c>
      <c r="CP343" s="21" t="n"/>
      <c r="CQ343" s="21" t="n"/>
      <c r="CR343" s="27">
        <f>SUM(CP343:CQ343)</f>
        <v/>
      </c>
      <c r="CS343" s="28" t="n"/>
      <c r="CT343" s="31" t="n"/>
      <c r="CU343" s="29">
        <f>IF(AND(CR343=0,CS343=0,CT343=0),0,IF(AND(CR343=0,CS343=0),CT343/1,IF(AND(CR343=0,CT343=0),CS343/1,IF(AND(CS343=0,CT343=0),CR343/1,IF(CR343=0,FLOOR((CS343+CT343)/2,0.1),IF(CS343=0,(CR343+CT343)/2,IF(CT343=0,(CS343+CR343)/2,FLOOR(((CR343+CS343+CT343)/3),0.1))))))))</f>
        <v/>
      </c>
      <c r="CV343" s="21" t="n"/>
      <c r="CW343" s="21" t="n"/>
      <c r="CX343" s="27">
        <f>SUM(CV343:CW343)</f>
        <v/>
      </c>
      <c r="CY343" s="28" t="n"/>
      <c r="CZ343" s="31" t="n"/>
      <c r="DA343" s="29">
        <f>IF(AND(CX343=0,CY343=0,CZ343=0),0,IF(AND(CX343=0,CY343=0),CZ343/1,IF(AND(CX343=0,CZ343=0),CY343/1,IF(AND(CY343=0,CZ343=0),CX343/1,IF(CX343=0,FLOOR((CY343+CZ343)/2,0.1),IF(CY343=0,(CX343+CZ343)/2,IF(CZ343=0,(CY343+CX343)/2,FLOOR(((CX343+CY343+CZ343)/3),0.1))))))))</f>
        <v/>
      </c>
      <c r="DB343" s="21" t="n"/>
      <c r="DC343" s="21" t="n"/>
      <c r="DD343" s="27">
        <f>SUM(DB343:DC343)</f>
        <v/>
      </c>
      <c r="DE343" s="28" t="n"/>
      <c r="DF343" s="31" t="n"/>
      <c r="DG343" s="29">
        <f>IF(AND(DD343=0,DE343=0,DF343=0),0,IF(AND(DD343=0,DE343=0),DF343/1,IF(AND(DD343=0,DF343=0),DE343/1,IF(AND(DE343=0,DF343=0),DD343/1,IF(DD343=0,FLOOR((DE343+DF343)/2,0.1),IF(DE343=0,(DD343+DF343)/2,IF(DF343=0,(DE343+DD343)/2,FLOOR(((DD343+DE343+DF343)/3),0.1))))))))</f>
        <v/>
      </c>
      <c r="DH343" s="34">
        <f>SUM(O343,U343,AA343,AG343,AM343,AS343,AY343,BE343,BK343,BQ343,BW343,CC343,CI343,CO343,CU343,DA343,DG343)</f>
        <v/>
      </c>
      <c r="DI343" s="39">
        <f>RANK(DH343,DH$4:DH$503)</f>
        <v/>
      </c>
      <c r="DJ343" s="40" t="inlineStr">
        <is>
          <t>CHOOSE RATING</t>
        </is>
      </c>
      <c r="DK343" s="40" t="inlineStr">
        <is>
          <t>CHOOSE RATING</t>
        </is>
      </c>
      <c r="DL343" s="40" t="inlineStr">
        <is>
          <t>CHOOSE RATING</t>
        </is>
      </c>
      <c r="DM343" s="40" t="inlineStr">
        <is>
          <t>CHOOSE RATING</t>
        </is>
      </c>
      <c r="DN343" s="40" t="inlineStr">
        <is>
          <t>CHOOSE RATING</t>
        </is>
      </c>
      <c r="DO343" s="40" t="inlineStr">
        <is>
          <t>CHOOSE RATING</t>
        </is>
      </c>
      <c r="DP343" s="40" t="inlineStr">
        <is>
          <t>CHOOSE RATING</t>
        </is>
      </c>
      <c r="DQ343" s="40" t="inlineStr">
        <is>
          <t>CHOOSE RATING</t>
        </is>
      </c>
      <c r="DR343" s="43" t="inlineStr">
        <is>
          <t>2024/2025</t>
        </is>
      </c>
      <c r="DS343" s="45" t="inlineStr">
        <is>
          <t>THIRD</t>
        </is>
      </c>
      <c r="DT343" s="40" t="inlineStr">
        <is>
          <t>CHOOSE RATING</t>
        </is>
      </c>
      <c r="DU343" s="40" t="inlineStr">
        <is>
          <t>CHOOSE RATING</t>
        </is>
      </c>
      <c r="DV343" s="40" t="inlineStr">
        <is>
          <t>CHOOSE RATING</t>
        </is>
      </c>
      <c r="DW343" s="40" t="inlineStr">
        <is>
          <t>CHOOSE RATING</t>
        </is>
      </c>
      <c r="DX343" s="40" t="inlineStr">
        <is>
          <t>CHOOSE RATING</t>
        </is>
      </c>
      <c r="DY343" s="40" t="inlineStr">
        <is>
          <t>CHOOSE RATING</t>
        </is>
      </c>
      <c r="DZ343" s="53" t="inlineStr">
        <is>
          <t>CHOOSE RATING</t>
        </is>
      </c>
      <c r="EA343" s="54" t="inlineStr">
        <is>
          <t>Add the Tutor's Comment . . .</t>
        </is>
      </c>
      <c r="EB343" s="55" t="inlineStr">
        <is>
          <t>Choose Principals comment</t>
        </is>
      </c>
      <c r="EC343" s="56" t="n"/>
      <c r="ED343" s="57" t="inlineStr">
        <is>
          <t>Next Term Begins on Monday, 22nd September, 2025</t>
        </is>
      </c>
    </row>
    <row r="344" ht="30.6" customHeight="1" s="6">
      <c r="A344" s="18" t="n">
        <v>341</v>
      </c>
      <c r="B344" s="19" t="n"/>
      <c r="C344" s="20" t="n"/>
      <c r="D344" s="128" t="n"/>
      <c r="E344" s="21" t="n"/>
      <c r="F344" s="22" t="n"/>
      <c r="G344" s="22" t="n"/>
      <c r="H344" s="22" t="n"/>
      <c r="I344" s="26">
        <f>G344-H344</f>
        <v/>
      </c>
      <c r="J344" s="21" t="n"/>
      <c r="K344" s="21" t="n"/>
      <c r="L344" s="27">
        <f>SUM(J344:K344)</f>
        <v/>
      </c>
      <c r="M344" s="28" t="n"/>
      <c r="N344" s="28" t="n"/>
      <c r="O344" s="29">
        <f>IF(AND(L344=0,M344=0,N344=0),0,IF(AND(L344=0,M344=0),N344/1,IF(AND(L344=0,N344=0),M344/1,IF(AND(M344=0,N344=0),L344/1,IF(L344=0,FLOOR((M344+N344)/2,0.1),IF(M344=0,(L344+N344)/2,IF(N344=0,(M344+L344)/2,FLOOR(((L344+M344+N344)/3),0.1))))))))</f>
        <v/>
      </c>
      <c r="P344" s="21" t="n"/>
      <c r="Q344" s="21" t="n"/>
      <c r="R344" s="27">
        <f>SUM(P344:Q344)</f>
        <v/>
      </c>
      <c r="S344" s="28" t="n"/>
      <c r="T344" s="28" t="n"/>
      <c r="U344" s="29">
        <f>IF(AND(R344=0,S344=0,T344=0),0,IF(AND(R344=0,S344=0),T344/1,IF(AND(R344=0,T344=0),S344/1,IF(AND(S344=0,T344=0),R344/1,IF(R344=0,FLOOR((S344+T344)/2,0.1),IF(S344=0,(R344+T344)/2,IF(T344=0,(S344+R344)/2,FLOOR(((R344+S344+T344)/3),0.1))))))))</f>
        <v/>
      </c>
      <c r="V344" s="21" t="n"/>
      <c r="W344" s="21" t="n"/>
      <c r="X344" s="27">
        <f>SUM(V344:W344)</f>
        <v/>
      </c>
      <c r="Y344" s="28" t="n"/>
      <c r="Z344" s="28" t="n"/>
      <c r="AA344" s="29">
        <f>IF(AND(X344=0,Y344=0,Z344=0),0,IF(AND(X344=0,Y344=0),Z344/1,IF(AND(X344=0,Z344=0),Y344/1,IF(AND(Y344=0,Z344=0),X344/1,IF(X344=0,FLOOR((Y344+Z344)/2,0.1),IF(Y344=0,(X344+Z344)/2,IF(Z344=0,(Y344+X344)/2,FLOOR(((X344+Y344+Z344)/3),0.1))))))))</f>
        <v/>
      </c>
      <c r="AB344" s="21" t="n"/>
      <c r="AC344" s="21" t="n"/>
      <c r="AD344" s="27">
        <f>SUM(AB344:AC344)</f>
        <v/>
      </c>
      <c r="AE344" s="28" t="n"/>
      <c r="AF344" s="28" t="n"/>
      <c r="AG344" s="29">
        <f>IF(AND(AD344=0,AE344=0,AF344=0),0,IF(AND(AD344=0,AE344=0),AF344/1,IF(AND(AD344=0,AF344=0),AE344/1,IF(AND(AE344=0,AF344=0),AD344/1,IF(AD344=0,FLOOR((AE344+AF344)/2,0.1),IF(AE344=0,(AD344+AF344)/2,IF(AF344=0,(AE344+AD344)/2,FLOOR(((AD344+AE344+AF344)/3),0.1))))))))</f>
        <v/>
      </c>
      <c r="AH344" s="21" t="n"/>
      <c r="AI344" s="21" t="n"/>
      <c r="AJ344" s="27">
        <f>SUM(AH344:AI344)</f>
        <v/>
      </c>
      <c r="AK344" s="28" t="n"/>
      <c r="AL344" s="28" t="n"/>
      <c r="AM344" s="29">
        <f>IF(AND(AJ344=0,AK344=0,AL344=0),0,IF(AND(AJ344=0,AK344=0),AL344/1,IF(AND(AJ344=0,AL344=0),AK344/1,IF(AND(AK344=0,AL344=0),AJ344/1,IF(AJ344=0,FLOOR((AK344+AL344)/2,0.1),IF(AK344=0,(AJ344+AL344)/2,IF(AL344=0,(AK344+AJ344)/2,FLOOR(((AJ344+AK344+AL344)/3),0.1))))))))</f>
        <v/>
      </c>
      <c r="AN344" s="21" t="n"/>
      <c r="AO344" s="21" t="n"/>
      <c r="AP344" s="27">
        <f>SUM(AN344:AO344)</f>
        <v/>
      </c>
      <c r="AQ344" s="28" t="n"/>
      <c r="AR344" s="30" t="n"/>
      <c r="AS344" s="29">
        <f>IF(AND(AP344=0,AQ344=0,AR344=0),0,IF(AND(AP344=0,AQ344=0),AR344/1,IF(AND(AP344=0,AR344=0),AQ344/1,IF(AND(AQ344=0,AR344=0),AP344/1,IF(AP344=0,FLOOR((AQ344+AR344)/2,0.1),IF(AQ344=0,(AP344+AR344)/2,IF(AR344=0,(AQ344+AP344)/2,FLOOR(((AP344+AQ344+AR344)/3),0.1))))))))</f>
        <v/>
      </c>
      <c r="AT344" s="21" t="n"/>
      <c r="AU344" s="21" t="n"/>
      <c r="AV344" s="27">
        <f>SUM(AT344:AU344)</f>
        <v/>
      </c>
      <c r="AW344" s="28" t="n"/>
      <c r="AX344" s="30" t="n"/>
      <c r="AY344" s="29">
        <f>IF(AND(AV344=0,AW344=0,AX344=0),0,IF(AND(AV344=0,AW344=0),AX344/1,IF(AND(AV344=0,AX344=0),AW344/1,IF(AND(AW344=0,AX344=0),AV344/1,IF(AV344=0,FLOOR((AW344+AX344)/2,0.1),IF(AW344=0,(AV344+AX344)/2,IF(AX344=0,(AW344+AV344)/2,FLOOR(((AV344+AW344+AX344)/3),0.1))))))))</f>
        <v/>
      </c>
      <c r="AZ344" s="21" t="n"/>
      <c r="BA344" s="21" t="n"/>
      <c r="BB344" s="27">
        <f>SUM(AZ344:BA344)</f>
        <v/>
      </c>
      <c r="BC344" s="28" t="n"/>
      <c r="BD344" s="28" t="n"/>
      <c r="BE344" s="29">
        <f>IF(AND(BB344=0,BC344=0,BD344=0),0,IF(AND(BB344=0,BC344=0),BD344/1,IF(AND(BB344=0,BD344=0),BC344/1,IF(AND(BC344=0,BD344=0),BB344/1,IF(BB344=0,FLOOR((BC344+BD344)/2,0.1),IF(BC344=0,(BB344+BD344)/2,IF(BD344=0,(BC344+BB344)/2,FLOOR(((BB344+BC344+BD344)/3),0.1))))))))</f>
        <v/>
      </c>
      <c r="BF344" s="21" t="n"/>
      <c r="BG344" s="21" t="n"/>
      <c r="BH344" s="27">
        <f>SUM(BF344:BG344)</f>
        <v/>
      </c>
      <c r="BI344" s="28" t="n"/>
      <c r="BJ344" s="28" t="n"/>
      <c r="BK344" s="29">
        <f>IF(AND(BH344=0,BI344=0,BJ344=0),0,IF(AND(BH344=0,BI344=0),BJ344/1,IF(AND(BH344=0,BJ344=0),BI344/1,IF(AND(BI344=0,BJ344=0),BH344/1,IF(BH344=0,FLOOR((BI344+BJ344)/2,0.1),IF(BI344=0,(BH344+BJ344)/2,IF(BJ344=0,(BI344+BH344)/2,FLOOR(((BH344+BI344+BJ344)/3),0.1))))))))</f>
        <v/>
      </c>
      <c r="BL344" s="21" t="n"/>
      <c r="BM344" s="21" t="n"/>
      <c r="BN344" s="27">
        <f>SUM(BL344:BM344)</f>
        <v/>
      </c>
      <c r="BO344" s="28" t="n"/>
      <c r="BP344" s="31" t="n"/>
      <c r="BQ344" s="29">
        <f>IF(AND(BN344=0,BO344=0,BP344=0),0,IF(AND(BN344=0,BO344=0),BP344/1,IF(AND(BN344=0,BP344=0),BO344/1,IF(AND(BO344=0,BP344=0),BN344/1,IF(BN344=0,FLOOR((BO344+BP344)/2,0.1),IF(BO344=0,(BN344+BP344)/2,IF(BP344=0,(BO344+BN344)/2,FLOOR(((BN344+BO344+BP344)/3),0.1))))))))</f>
        <v/>
      </c>
      <c r="BR344" s="21" t="n"/>
      <c r="BS344" s="21" t="n"/>
      <c r="BT344" s="27">
        <f>SUM(BR344:BS344)</f>
        <v/>
      </c>
      <c r="BU344" s="28" t="n"/>
      <c r="BV344" s="31" t="n"/>
      <c r="BW344" s="29">
        <f>IF(AND(BT344=0,BU344=0,BV344=0),0,IF(AND(BT344=0,BU344=0),BV344/1,IF(AND(BT344=0,BV344=0),BU344/1,IF(AND(BU344=0,BV344=0),BT344/1,IF(BT344=0,FLOOR((BU344+BV344)/2,0.1),IF(BU344=0,(BT344+BV344)/2,IF(BV344=0,(BU344+BT344)/2,FLOOR(((BT344+BU344+BV344)/3),0.1))))))))</f>
        <v/>
      </c>
      <c r="BX344" s="21" t="n"/>
      <c r="BY344" s="21" t="n"/>
      <c r="BZ344" s="27">
        <f>SUM(BX344:BY344)</f>
        <v/>
      </c>
      <c r="CA344" s="28" t="n"/>
      <c r="CB344" s="31" t="n"/>
      <c r="CC344" s="29">
        <f>IF(AND(BZ344=0,CA344=0,CB344=0),0,IF(AND(BZ344=0,CA344=0),CB344/1,IF(AND(BZ344=0,CB344=0),CA344/1,IF(AND(CA344=0,CB344=0),BZ344/1,IF(BZ344=0,FLOOR((CA344+CB344)/2,0.1),IF(CA344=0,(BZ344+CB344)/2,IF(CB344=0,(CA344+BZ344)/2,FLOOR(((BZ344+CA344+CB344)/3),0.1))))))))</f>
        <v/>
      </c>
      <c r="CD344" s="21" t="n"/>
      <c r="CE344" s="21" t="n"/>
      <c r="CF344" s="27">
        <f>SUM(CD344:CE344)</f>
        <v/>
      </c>
      <c r="CG344" s="28" t="n"/>
      <c r="CH344" s="31" t="n"/>
      <c r="CI344" s="29">
        <f>IF(AND(CF344=0,CG344=0,CH344=0),0,IF(AND(CF344=0,CG344=0),CH344/1,IF(AND(CF344=0,CH344=0),CG344/1,IF(AND(CG344=0,CH344=0),CF344/1,IF(CF344=0,FLOOR((CG344+CH344)/2,0.1),IF(CG344=0,(CF344+CH344)/2,IF(CH344=0,(CG344+CF344)/2,FLOOR(((CF344+CG344+CH344)/3),0.1))))))))</f>
        <v/>
      </c>
      <c r="CJ344" s="21" t="n"/>
      <c r="CK344" s="21" t="n"/>
      <c r="CL344" s="27">
        <f>SUM(CJ344:CK344)</f>
        <v/>
      </c>
      <c r="CM344" s="28" t="n"/>
      <c r="CN344" s="31" t="n"/>
      <c r="CO344" s="29">
        <f>IF(AND(CL344=0,CM344=0,CN344=0),0,IF(AND(CL344=0,CM344=0),CN344/1,IF(AND(CL344=0,CN344=0),CM344/1,IF(AND(CM344=0,CN344=0),CL344/1,IF(CL344=0,FLOOR((CM344+CN344)/2,0.1),IF(CM344=0,(CL344+CN344)/2,IF(CN344=0,(CM344+CL344)/2,FLOOR(((CL344+CM344+CN344)/3),0.1))))))))</f>
        <v/>
      </c>
      <c r="CP344" s="21" t="n"/>
      <c r="CQ344" s="21" t="n"/>
      <c r="CR344" s="27">
        <f>SUM(CP344:CQ344)</f>
        <v/>
      </c>
      <c r="CS344" s="28" t="n"/>
      <c r="CT344" s="31" t="n"/>
      <c r="CU344" s="29">
        <f>IF(AND(CR344=0,CS344=0,CT344=0),0,IF(AND(CR344=0,CS344=0),CT344/1,IF(AND(CR344=0,CT344=0),CS344/1,IF(AND(CS344=0,CT344=0),CR344/1,IF(CR344=0,FLOOR((CS344+CT344)/2,0.1),IF(CS344=0,(CR344+CT344)/2,IF(CT344=0,(CS344+CR344)/2,FLOOR(((CR344+CS344+CT344)/3),0.1))))))))</f>
        <v/>
      </c>
      <c r="CV344" s="21" t="n"/>
      <c r="CW344" s="21" t="n"/>
      <c r="CX344" s="27">
        <f>SUM(CV344:CW344)</f>
        <v/>
      </c>
      <c r="CY344" s="28" t="n"/>
      <c r="CZ344" s="31" t="n"/>
      <c r="DA344" s="29">
        <f>IF(AND(CX344=0,CY344=0,CZ344=0),0,IF(AND(CX344=0,CY344=0),CZ344/1,IF(AND(CX344=0,CZ344=0),CY344/1,IF(AND(CY344=0,CZ344=0),CX344/1,IF(CX344=0,FLOOR((CY344+CZ344)/2,0.1),IF(CY344=0,(CX344+CZ344)/2,IF(CZ344=0,(CY344+CX344)/2,FLOOR(((CX344+CY344+CZ344)/3),0.1))))))))</f>
        <v/>
      </c>
      <c r="DB344" s="21" t="n"/>
      <c r="DC344" s="21" t="n"/>
      <c r="DD344" s="27">
        <f>SUM(DB344:DC344)</f>
        <v/>
      </c>
      <c r="DE344" s="28" t="n"/>
      <c r="DF344" s="31" t="n"/>
      <c r="DG344" s="29">
        <f>IF(AND(DD344=0,DE344=0,DF344=0),0,IF(AND(DD344=0,DE344=0),DF344/1,IF(AND(DD344=0,DF344=0),DE344/1,IF(AND(DE344=0,DF344=0),DD344/1,IF(DD344=0,FLOOR((DE344+DF344)/2,0.1),IF(DE344=0,(DD344+DF344)/2,IF(DF344=0,(DE344+DD344)/2,FLOOR(((DD344+DE344+DF344)/3),0.1))))))))</f>
        <v/>
      </c>
      <c r="DH344" s="34">
        <f>SUM(O344,U344,AA344,AG344,AM344,AS344,AY344,BE344,BK344,BQ344,BW344,CC344,CI344,CO344,CU344,DA344,DG344)</f>
        <v/>
      </c>
      <c r="DI344" s="39">
        <f>RANK(DH344,DH$4:DH$503)</f>
        <v/>
      </c>
      <c r="DJ344" s="40" t="inlineStr">
        <is>
          <t>CHOOSE RATING</t>
        </is>
      </c>
      <c r="DK344" s="40" t="inlineStr">
        <is>
          <t>CHOOSE RATING</t>
        </is>
      </c>
      <c r="DL344" s="40" t="inlineStr">
        <is>
          <t>CHOOSE RATING</t>
        </is>
      </c>
      <c r="DM344" s="40" t="inlineStr">
        <is>
          <t>CHOOSE RATING</t>
        </is>
      </c>
      <c r="DN344" s="40" t="inlineStr">
        <is>
          <t>CHOOSE RATING</t>
        </is>
      </c>
      <c r="DO344" s="40" t="inlineStr">
        <is>
          <t>CHOOSE RATING</t>
        </is>
      </c>
      <c r="DP344" s="40" t="inlineStr">
        <is>
          <t>CHOOSE RATING</t>
        </is>
      </c>
      <c r="DQ344" s="40" t="inlineStr">
        <is>
          <t>CHOOSE RATING</t>
        </is>
      </c>
      <c r="DR344" s="43" t="inlineStr">
        <is>
          <t>2024/2025</t>
        </is>
      </c>
      <c r="DS344" s="45" t="inlineStr">
        <is>
          <t>THIRD</t>
        </is>
      </c>
      <c r="DT344" s="40" t="inlineStr">
        <is>
          <t>CHOOSE RATING</t>
        </is>
      </c>
      <c r="DU344" s="40" t="inlineStr">
        <is>
          <t>CHOOSE RATING</t>
        </is>
      </c>
      <c r="DV344" s="40" t="inlineStr">
        <is>
          <t>CHOOSE RATING</t>
        </is>
      </c>
      <c r="DW344" s="40" t="inlineStr">
        <is>
          <t>CHOOSE RATING</t>
        </is>
      </c>
      <c r="DX344" s="40" t="inlineStr">
        <is>
          <t>CHOOSE RATING</t>
        </is>
      </c>
      <c r="DY344" s="40" t="inlineStr">
        <is>
          <t>CHOOSE RATING</t>
        </is>
      </c>
      <c r="DZ344" s="53" t="inlineStr">
        <is>
          <t>CHOOSE RATING</t>
        </is>
      </c>
      <c r="EA344" s="54" t="inlineStr">
        <is>
          <t>Add the Tutor's Comment . . .</t>
        </is>
      </c>
      <c r="EB344" s="55" t="inlineStr">
        <is>
          <t>Choose Principals comment</t>
        </is>
      </c>
      <c r="EC344" s="56" t="n"/>
      <c r="ED344" s="57" t="inlineStr">
        <is>
          <t>Next Term Begins on Monday, 22nd September, 2025</t>
        </is>
      </c>
    </row>
    <row r="345" ht="30.6" customHeight="1" s="6">
      <c r="A345" s="18" t="n">
        <v>342</v>
      </c>
      <c r="B345" s="19" t="n"/>
      <c r="C345" s="20" t="n"/>
      <c r="D345" s="128" t="n"/>
      <c r="E345" s="21" t="n"/>
      <c r="F345" s="22" t="n"/>
      <c r="G345" s="22" t="n"/>
      <c r="H345" s="22" t="n"/>
      <c r="I345" s="26">
        <f>G345-H345</f>
        <v/>
      </c>
      <c r="J345" s="21" t="n"/>
      <c r="K345" s="21" t="n"/>
      <c r="L345" s="27">
        <f>SUM(J345:K345)</f>
        <v/>
      </c>
      <c r="M345" s="28" t="n"/>
      <c r="N345" s="28" t="n"/>
      <c r="O345" s="29">
        <f>IF(AND(L345=0,M345=0,N345=0),0,IF(AND(L345=0,M345=0),N345/1,IF(AND(L345=0,N345=0),M345/1,IF(AND(M345=0,N345=0),L345/1,IF(L345=0,FLOOR((M345+N345)/2,0.1),IF(M345=0,(L345+N345)/2,IF(N345=0,(M345+L345)/2,FLOOR(((L345+M345+N345)/3),0.1))))))))</f>
        <v/>
      </c>
      <c r="P345" s="21" t="n"/>
      <c r="Q345" s="21" t="n"/>
      <c r="R345" s="27">
        <f>SUM(P345:Q345)</f>
        <v/>
      </c>
      <c r="S345" s="28" t="n"/>
      <c r="T345" s="28" t="n"/>
      <c r="U345" s="29">
        <f>IF(AND(R345=0,S345=0,T345=0),0,IF(AND(R345=0,S345=0),T345/1,IF(AND(R345=0,T345=0),S345/1,IF(AND(S345=0,T345=0),R345/1,IF(R345=0,FLOOR((S345+T345)/2,0.1),IF(S345=0,(R345+T345)/2,IF(T345=0,(S345+R345)/2,FLOOR(((R345+S345+T345)/3),0.1))))))))</f>
        <v/>
      </c>
      <c r="V345" s="21" t="n"/>
      <c r="W345" s="21" t="n"/>
      <c r="X345" s="27">
        <f>SUM(V345:W345)</f>
        <v/>
      </c>
      <c r="Y345" s="28" t="n"/>
      <c r="Z345" s="28" t="n"/>
      <c r="AA345" s="29">
        <f>IF(AND(X345=0,Y345=0,Z345=0),0,IF(AND(X345=0,Y345=0),Z345/1,IF(AND(X345=0,Z345=0),Y345/1,IF(AND(Y345=0,Z345=0),X345/1,IF(X345=0,FLOOR((Y345+Z345)/2,0.1),IF(Y345=0,(X345+Z345)/2,IF(Z345=0,(Y345+X345)/2,FLOOR(((X345+Y345+Z345)/3),0.1))))))))</f>
        <v/>
      </c>
      <c r="AB345" s="21" t="n"/>
      <c r="AC345" s="21" t="n"/>
      <c r="AD345" s="27">
        <f>SUM(AB345:AC345)</f>
        <v/>
      </c>
      <c r="AE345" s="28" t="n"/>
      <c r="AF345" s="28" t="n"/>
      <c r="AG345" s="29">
        <f>IF(AND(AD345=0,AE345=0,AF345=0),0,IF(AND(AD345=0,AE345=0),AF345/1,IF(AND(AD345=0,AF345=0),AE345/1,IF(AND(AE345=0,AF345=0),AD345/1,IF(AD345=0,FLOOR((AE345+AF345)/2,0.1),IF(AE345=0,(AD345+AF345)/2,IF(AF345=0,(AE345+AD345)/2,FLOOR(((AD345+AE345+AF345)/3),0.1))))))))</f>
        <v/>
      </c>
      <c r="AH345" s="21" t="n"/>
      <c r="AI345" s="21" t="n"/>
      <c r="AJ345" s="27">
        <f>SUM(AH345:AI345)</f>
        <v/>
      </c>
      <c r="AK345" s="28" t="n"/>
      <c r="AL345" s="28" t="n"/>
      <c r="AM345" s="29">
        <f>IF(AND(AJ345=0,AK345=0,AL345=0),0,IF(AND(AJ345=0,AK345=0),AL345/1,IF(AND(AJ345=0,AL345=0),AK345/1,IF(AND(AK345=0,AL345=0),AJ345/1,IF(AJ345=0,FLOOR((AK345+AL345)/2,0.1),IF(AK345=0,(AJ345+AL345)/2,IF(AL345=0,(AK345+AJ345)/2,FLOOR(((AJ345+AK345+AL345)/3),0.1))))))))</f>
        <v/>
      </c>
      <c r="AN345" s="21" t="n"/>
      <c r="AO345" s="21" t="n"/>
      <c r="AP345" s="27">
        <f>SUM(AN345:AO345)</f>
        <v/>
      </c>
      <c r="AQ345" s="28" t="n"/>
      <c r="AR345" s="30" t="n"/>
      <c r="AS345" s="29">
        <f>IF(AND(AP345=0,AQ345=0,AR345=0),0,IF(AND(AP345=0,AQ345=0),AR345/1,IF(AND(AP345=0,AR345=0),AQ345/1,IF(AND(AQ345=0,AR345=0),AP345/1,IF(AP345=0,FLOOR((AQ345+AR345)/2,0.1),IF(AQ345=0,(AP345+AR345)/2,IF(AR345=0,(AQ345+AP345)/2,FLOOR(((AP345+AQ345+AR345)/3),0.1))))))))</f>
        <v/>
      </c>
      <c r="AT345" s="21" t="n"/>
      <c r="AU345" s="21" t="n"/>
      <c r="AV345" s="27">
        <f>SUM(AT345:AU345)</f>
        <v/>
      </c>
      <c r="AW345" s="28" t="n"/>
      <c r="AX345" s="30" t="n"/>
      <c r="AY345" s="29">
        <f>IF(AND(AV345=0,AW345=0,AX345=0),0,IF(AND(AV345=0,AW345=0),AX345/1,IF(AND(AV345=0,AX345=0),AW345/1,IF(AND(AW345=0,AX345=0),AV345/1,IF(AV345=0,FLOOR((AW345+AX345)/2,0.1),IF(AW345=0,(AV345+AX345)/2,IF(AX345=0,(AW345+AV345)/2,FLOOR(((AV345+AW345+AX345)/3),0.1))))))))</f>
        <v/>
      </c>
      <c r="AZ345" s="21" t="n"/>
      <c r="BA345" s="21" t="n"/>
      <c r="BB345" s="27">
        <f>SUM(AZ345:BA345)</f>
        <v/>
      </c>
      <c r="BC345" s="28" t="n"/>
      <c r="BD345" s="28" t="n"/>
      <c r="BE345" s="29">
        <f>IF(AND(BB345=0,BC345=0,BD345=0),0,IF(AND(BB345=0,BC345=0),BD345/1,IF(AND(BB345=0,BD345=0),BC345/1,IF(AND(BC345=0,BD345=0),BB345/1,IF(BB345=0,FLOOR((BC345+BD345)/2,0.1),IF(BC345=0,(BB345+BD345)/2,IF(BD345=0,(BC345+BB345)/2,FLOOR(((BB345+BC345+BD345)/3),0.1))))))))</f>
        <v/>
      </c>
      <c r="BF345" s="21" t="n"/>
      <c r="BG345" s="21" t="n"/>
      <c r="BH345" s="27">
        <f>SUM(BF345:BG345)</f>
        <v/>
      </c>
      <c r="BI345" s="28" t="n"/>
      <c r="BJ345" s="28" t="n"/>
      <c r="BK345" s="29">
        <f>IF(AND(BH345=0,BI345=0,BJ345=0),0,IF(AND(BH345=0,BI345=0),BJ345/1,IF(AND(BH345=0,BJ345=0),BI345/1,IF(AND(BI345=0,BJ345=0),BH345/1,IF(BH345=0,FLOOR((BI345+BJ345)/2,0.1),IF(BI345=0,(BH345+BJ345)/2,IF(BJ345=0,(BI345+BH345)/2,FLOOR(((BH345+BI345+BJ345)/3),0.1))))))))</f>
        <v/>
      </c>
      <c r="BL345" s="21" t="n"/>
      <c r="BM345" s="21" t="n"/>
      <c r="BN345" s="27">
        <f>SUM(BL345:BM345)</f>
        <v/>
      </c>
      <c r="BO345" s="28" t="n"/>
      <c r="BP345" s="31" t="n"/>
      <c r="BQ345" s="29">
        <f>IF(AND(BN345=0,BO345=0,BP345=0),0,IF(AND(BN345=0,BO345=0),BP345/1,IF(AND(BN345=0,BP345=0),BO345/1,IF(AND(BO345=0,BP345=0),BN345/1,IF(BN345=0,FLOOR((BO345+BP345)/2,0.1),IF(BO345=0,(BN345+BP345)/2,IF(BP345=0,(BO345+BN345)/2,FLOOR(((BN345+BO345+BP345)/3),0.1))))))))</f>
        <v/>
      </c>
      <c r="BR345" s="21" t="n"/>
      <c r="BS345" s="21" t="n"/>
      <c r="BT345" s="27">
        <f>SUM(BR345:BS345)</f>
        <v/>
      </c>
      <c r="BU345" s="28" t="n"/>
      <c r="BV345" s="31" t="n"/>
      <c r="BW345" s="29">
        <f>IF(AND(BT345=0,BU345=0,BV345=0),0,IF(AND(BT345=0,BU345=0),BV345/1,IF(AND(BT345=0,BV345=0),BU345/1,IF(AND(BU345=0,BV345=0),BT345/1,IF(BT345=0,FLOOR((BU345+BV345)/2,0.1),IF(BU345=0,(BT345+BV345)/2,IF(BV345=0,(BU345+BT345)/2,FLOOR(((BT345+BU345+BV345)/3),0.1))))))))</f>
        <v/>
      </c>
      <c r="BX345" s="21" t="n"/>
      <c r="BY345" s="21" t="n"/>
      <c r="BZ345" s="27">
        <f>SUM(BX345:BY345)</f>
        <v/>
      </c>
      <c r="CA345" s="28" t="n"/>
      <c r="CB345" s="31" t="n"/>
      <c r="CC345" s="29">
        <f>IF(AND(BZ345=0,CA345=0,CB345=0),0,IF(AND(BZ345=0,CA345=0),CB345/1,IF(AND(BZ345=0,CB345=0),CA345/1,IF(AND(CA345=0,CB345=0),BZ345/1,IF(BZ345=0,FLOOR((CA345+CB345)/2,0.1),IF(CA345=0,(BZ345+CB345)/2,IF(CB345=0,(CA345+BZ345)/2,FLOOR(((BZ345+CA345+CB345)/3),0.1))))))))</f>
        <v/>
      </c>
      <c r="CD345" s="21" t="n"/>
      <c r="CE345" s="21" t="n"/>
      <c r="CF345" s="27">
        <f>SUM(CD345:CE345)</f>
        <v/>
      </c>
      <c r="CG345" s="28" t="n"/>
      <c r="CH345" s="31" t="n"/>
      <c r="CI345" s="29">
        <f>IF(AND(CF345=0,CG345=0,CH345=0),0,IF(AND(CF345=0,CG345=0),CH345/1,IF(AND(CF345=0,CH345=0),CG345/1,IF(AND(CG345=0,CH345=0),CF345/1,IF(CF345=0,FLOOR((CG345+CH345)/2,0.1),IF(CG345=0,(CF345+CH345)/2,IF(CH345=0,(CG345+CF345)/2,FLOOR(((CF345+CG345+CH345)/3),0.1))))))))</f>
        <v/>
      </c>
      <c r="CJ345" s="21" t="n"/>
      <c r="CK345" s="21" t="n"/>
      <c r="CL345" s="27">
        <f>SUM(CJ345:CK345)</f>
        <v/>
      </c>
      <c r="CM345" s="28" t="n"/>
      <c r="CN345" s="31" t="n"/>
      <c r="CO345" s="29">
        <f>IF(AND(CL345=0,CM345=0,CN345=0),0,IF(AND(CL345=0,CM345=0),CN345/1,IF(AND(CL345=0,CN345=0),CM345/1,IF(AND(CM345=0,CN345=0),CL345/1,IF(CL345=0,FLOOR((CM345+CN345)/2,0.1),IF(CM345=0,(CL345+CN345)/2,IF(CN345=0,(CM345+CL345)/2,FLOOR(((CL345+CM345+CN345)/3),0.1))))))))</f>
        <v/>
      </c>
      <c r="CP345" s="21" t="n"/>
      <c r="CQ345" s="21" t="n"/>
      <c r="CR345" s="27">
        <f>SUM(CP345:CQ345)</f>
        <v/>
      </c>
      <c r="CS345" s="28" t="n"/>
      <c r="CT345" s="31" t="n"/>
      <c r="CU345" s="29">
        <f>IF(AND(CR345=0,CS345=0,CT345=0),0,IF(AND(CR345=0,CS345=0),CT345/1,IF(AND(CR345=0,CT345=0),CS345/1,IF(AND(CS345=0,CT345=0),CR345/1,IF(CR345=0,FLOOR((CS345+CT345)/2,0.1),IF(CS345=0,(CR345+CT345)/2,IF(CT345=0,(CS345+CR345)/2,FLOOR(((CR345+CS345+CT345)/3),0.1))))))))</f>
        <v/>
      </c>
      <c r="CV345" s="21" t="n"/>
      <c r="CW345" s="21" t="n"/>
      <c r="CX345" s="27">
        <f>SUM(CV345:CW345)</f>
        <v/>
      </c>
      <c r="CY345" s="28" t="n"/>
      <c r="CZ345" s="31" t="n"/>
      <c r="DA345" s="29">
        <f>IF(AND(CX345=0,CY345=0,CZ345=0),0,IF(AND(CX345=0,CY345=0),CZ345/1,IF(AND(CX345=0,CZ345=0),CY345/1,IF(AND(CY345=0,CZ345=0),CX345/1,IF(CX345=0,FLOOR((CY345+CZ345)/2,0.1),IF(CY345=0,(CX345+CZ345)/2,IF(CZ345=0,(CY345+CX345)/2,FLOOR(((CX345+CY345+CZ345)/3),0.1))))))))</f>
        <v/>
      </c>
      <c r="DB345" s="21" t="n"/>
      <c r="DC345" s="21" t="n"/>
      <c r="DD345" s="27">
        <f>SUM(DB345:DC345)</f>
        <v/>
      </c>
      <c r="DE345" s="28" t="n"/>
      <c r="DF345" s="31" t="n"/>
      <c r="DG345" s="29">
        <f>IF(AND(DD345=0,DE345=0,DF345=0),0,IF(AND(DD345=0,DE345=0),DF345/1,IF(AND(DD345=0,DF345=0),DE345/1,IF(AND(DE345=0,DF345=0),DD345/1,IF(DD345=0,FLOOR((DE345+DF345)/2,0.1),IF(DE345=0,(DD345+DF345)/2,IF(DF345=0,(DE345+DD345)/2,FLOOR(((DD345+DE345+DF345)/3),0.1))))))))</f>
        <v/>
      </c>
      <c r="DH345" s="34">
        <f>SUM(O345,U345,AA345,AG345,AM345,AS345,AY345,BE345,BK345,BQ345,BW345,CC345,CI345,CO345,CU345,DA345,DG345)</f>
        <v/>
      </c>
      <c r="DI345" s="39">
        <f>RANK(DH345,DH$4:DH$503)</f>
        <v/>
      </c>
      <c r="DJ345" s="40" t="inlineStr">
        <is>
          <t>CHOOSE RATING</t>
        </is>
      </c>
      <c r="DK345" s="40" t="inlineStr">
        <is>
          <t>CHOOSE RATING</t>
        </is>
      </c>
      <c r="DL345" s="40" t="inlineStr">
        <is>
          <t>CHOOSE RATING</t>
        </is>
      </c>
      <c r="DM345" s="40" t="inlineStr">
        <is>
          <t>CHOOSE RATING</t>
        </is>
      </c>
      <c r="DN345" s="40" t="inlineStr">
        <is>
          <t>CHOOSE RATING</t>
        </is>
      </c>
      <c r="DO345" s="40" t="inlineStr">
        <is>
          <t>CHOOSE RATING</t>
        </is>
      </c>
      <c r="DP345" s="40" t="inlineStr">
        <is>
          <t>CHOOSE RATING</t>
        </is>
      </c>
      <c r="DQ345" s="40" t="inlineStr">
        <is>
          <t>CHOOSE RATING</t>
        </is>
      </c>
      <c r="DR345" s="43" t="inlineStr">
        <is>
          <t>2024/2025</t>
        </is>
      </c>
      <c r="DS345" s="45" t="inlineStr">
        <is>
          <t>THIRD</t>
        </is>
      </c>
      <c r="DT345" s="40" t="inlineStr">
        <is>
          <t>CHOOSE RATING</t>
        </is>
      </c>
      <c r="DU345" s="40" t="inlineStr">
        <is>
          <t>CHOOSE RATING</t>
        </is>
      </c>
      <c r="DV345" s="40" t="inlineStr">
        <is>
          <t>CHOOSE RATING</t>
        </is>
      </c>
      <c r="DW345" s="40" t="inlineStr">
        <is>
          <t>CHOOSE RATING</t>
        </is>
      </c>
      <c r="DX345" s="40" t="inlineStr">
        <is>
          <t>CHOOSE RATING</t>
        </is>
      </c>
      <c r="DY345" s="40" t="inlineStr">
        <is>
          <t>CHOOSE RATING</t>
        </is>
      </c>
      <c r="DZ345" s="53" t="inlineStr">
        <is>
          <t>CHOOSE RATING</t>
        </is>
      </c>
      <c r="EA345" s="54" t="inlineStr">
        <is>
          <t>Add the Tutor's Comment . . .</t>
        </is>
      </c>
      <c r="EB345" s="55" t="inlineStr">
        <is>
          <t>Choose Principals comment</t>
        </is>
      </c>
      <c r="EC345" s="56" t="n"/>
      <c r="ED345" s="57" t="inlineStr">
        <is>
          <t>Next Term Begins on Monday, 22nd September, 2025</t>
        </is>
      </c>
    </row>
    <row r="346" ht="30.6" customHeight="1" s="6">
      <c r="A346" s="18" t="n">
        <v>343</v>
      </c>
      <c r="B346" s="19" t="n"/>
      <c r="C346" s="20" t="n"/>
      <c r="D346" s="128" t="n"/>
      <c r="E346" s="21" t="n"/>
      <c r="F346" s="22" t="n"/>
      <c r="G346" s="22" t="n"/>
      <c r="H346" s="22" t="n"/>
      <c r="I346" s="26">
        <f>G346-H346</f>
        <v/>
      </c>
      <c r="J346" s="21" t="n"/>
      <c r="K346" s="21" t="n"/>
      <c r="L346" s="27">
        <f>SUM(J346:K346)</f>
        <v/>
      </c>
      <c r="M346" s="28" t="n"/>
      <c r="N346" s="28" t="n"/>
      <c r="O346" s="29">
        <f>IF(AND(L346=0,M346=0,N346=0),0,IF(AND(L346=0,M346=0),N346/1,IF(AND(L346=0,N346=0),M346/1,IF(AND(M346=0,N346=0),L346/1,IF(L346=0,FLOOR((M346+N346)/2,0.1),IF(M346=0,(L346+N346)/2,IF(N346=0,(M346+L346)/2,FLOOR(((L346+M346+N346)/3),0.1))))))))</f>
        <v/>
      </c>
      <c r="P346" s="21" t="n"/>
      <c r="Q346" s="21" t="n"/>
      <c r="R346" s="27">
        <f>SUM(P346:Q346)</f>
        <v/>
      </c>
      <c r="S346" s="28" t="n"/>
      <c r="T346" s="28" t="n"/>
      <c r="U346" s="29">
        <f>IF(AND(R346=0,S346=0,T346=0),0,IF(AND(R346=0,S346=0),T346/1,IF(AND(R346=0,T346=0),S346/1,IF(AND(S346=0,T346=0),R346/1,IF(R346=0,FLOOR((S346+T346)/2,0.1),IF(S346=0,(R346+T346)/2,IF(T346=0,(S346+R346)/2,FLOOR(((R346+S346+T346)/3),0.1))))))))</f>
        <v/>
      </c>
      <c r="V346" s="21" t="n"/>
      <c r="W346" s="21" t="n"/>
      <c r="X346" s="27">
        <f>SUM(V346:W346)</f>
        <v/>
      </c>
      <c r="Y346" s="28" t="n"/>
      <c r="Z346" s="28" t="n"/>
      <c r="AA346" s="29">
        <f>IF(AND(X346=0,Y346=0,Z346=0),0,IF(AND(X346=0,Y346=0),Z346/1,IF(AND(X346=0,Z346=0),Y346/1,IF(AND(Y346=0,Z346=0),X346/1,IF(X346=0,FLOOR((Y346+Z346)/2,0.1),IF(Y346=0,(X346+Z346)/2,IF(Z346=0,(Y346+X346)/2,FLOOR(((X346+Y346+Z346)/3),0.1))))))))</f>
        <v/>
      </c>
      <c r="AB346" s="21" t="n"/>
      <c r="AC346" s="21" t="n"/>
      <c r="AD346" s="27">
        <f>SUM(AB346:AC346)</f>
        <v/>
      </c>
      <c r="AE346" s="28" t="n"/>
      <c r="AF346" s="28" t="n"/>
      <c r="AG346" s="29">
        <f>IF(AND(AD346=0,AE346=0,AF346=0),0,IF(AND(AD346=0,AE346=0),AF346/1,IF(AND(AD346=0,AF346=0),AE346/1,IF(AND(AE346=0,AF346=0),AD346/1,IF(AD346=0,FLOOR((AE346+AF346)/2,0.1),IF(AE346=0,(AD346+AF346)/2,IF(AF346=0,(AE346+AD346)/2,FLOOR(((AD346+AE346+AF346)/3),0.1))))))))</f>
        <v/>
      </c>
      <c r="AH346" s="21" t="n"/>
      <c r="AI346" s="21" t="n"/>
      <c r="AJ346" s="27">
        <f>SUM(AH346:AI346)</f>
        <v/>
      </c>
      <c r="AK346" s="28" t="n"/>
      <c r="AL346" s="28" t="n"/>
      <c r="AM346" s="29">
        <f>IF(AND(AJ346=0,AK346=0,AL346=0),0,IF(AND(AJ346=0,AK346=0),AL346/1,IF(AND(AJ346=0,AL346=0),AK346/1,IF(AND(AK346=0,AL346=0),AJ346/1,IF(AJ346=0,FLOOR((AK346+AL346)/2,0.1),IF(AK346=0,(AJ346+AL346)/2,IF(AL346=0,(AK346+AJ346)/2,FLOOR(((AJ346+AK346+AL346)/3),0.1))))))))</f>
        <v/>
      </c>
      <c r="AN346" s="21" t="n"/>
      <c r="AO346" s="21" t="n"/>
      <c r="AP346" s="27">
        <f>SUM(AN346:AO346)</f>
        <v/>
      </c>
      <c r="AQ346" s="28" t="n"/>
      <c r="AR346" s="30" t="n"/>
      <c r="AS346" s="29">
        <f>IF(AND(AP346=0,AQ346=0,AR346=0),0,IF(AND(AP346=0,AQ346=0),AR346/1,IF(AND(AP346=0,AR346=0),AQ346/1,IF(AND(AQ346=0,AR346=0),AP346/1,IF(AP346=0,FLOOR((AQ346+AR346)/2,0.1),IF(AQ346=0,(AP346+AR346)/2,IF(AR346=0,(AQ346+AP346)/2,FLOOR(((AP346+AQ346+AR346)/3),0.1))))))))</f>
        <v/>
      </c>
      <c r="AT346" s="21" t="n"/>
      <c r="AU346" s="21" t="n"/>
      <c r="AV346" s="27">
        <f>SUM(AT346:AU346)</f>
        <v/>
      </c>
      <c r="AW346" s="28" t="n"/>
      <c r="AX346" s="30" t="n"/>
      <c r="AY346" s="29">
        <f>IF(AND(AV346=0,AW346=0,AX346=0),0,IF(AND(AV346=0,AW346=0),AX346/1,IF(AND(AV346=0,AX346=0),AW346/1,IF(AND(AW346=0,AX346=0),AV346/1,IF(AV346=0,FLOOR((AW346+AX346)/2,0.1),IF(AW346=0,(AV346+AX346)/2,IF(AX346=0,(AW346+AV346)/2,FLOOR(((AV346+AW346+AX346)/3),0.1))))))))</f>
        <v/>
      </c>
      <c r="AZ346" s="21" t="n"/>
      <c r="BA346" s="21" t="n"/>
      <c r="BB346" s="27">
        <f>SUM(AZ346:BA346)</f>
        <v/>
      </c>
      <c r="BC346" s="28" t="n"/>
      <c r="BD346" s="28" t="n"/>
      <c r="BE346" s="29">
        <f>IF(AND(BB346=0,BC346=0,BD346=0),0,IF(AND(BB346=0,BC346=0),BD346/1,IF(AND(BB346=0,BD346=0),BC346/1,IF(AND(BC346=0,BD346=0),BB346/1,IF(BB346=0,FLOOR((BC346+BD346)/2,0.1),IF(BC346=0,(BB346+BD346)/2,IF(BD346=0,(BC346+BB346)/2,FLOOR(((BB346+BC346+BD346)/3),0.1))))))))</f>
        <v/>
      </c>
      <c r="BF346" s="21" t="n"/>
      <c r="BG346" s="21" t="n"/>
      <c r="BH346" s="27">
        <f>SUM(BF346:BG346)</f>
        <v/>
      </c>
      <c r="BI346" s="28" t="n"/>
      <c r="BJ346" s="28" t="n"/>
      <c r="BK346" s="29">
        <f>IF(AND(BH346=0,BI346=0,BJ346=0),0,IF(AND(BH346=0,BI346=0),BJ346/1,IF(AND(BH346=0,BJ346=0),BI346/1,IF(AND(BI346=0,BJ346=0),BH346/1,IF(BH346=0,FLOOR((BI346+BJ346)/2,0.1),IF(BI346=0,(BH346+BJ346)/2,IF(BJ346=0,(BI346+BH346)/2,FLOOR(((BH346+BI346+BJ346)/3),0.1))))))))</f>
        <v/>
      </c>
      <c r="BL346" s="21" t="n"/>
      <c r="BM346" s="21" t="n"/>
      <c r="BN346" s="27">
        <f>SUM(BL346:BM346)</f>
        <v/>
      </c>
      <c r="BO346" s="28" t="n"/>
      <c r="BP346" s="31" t="n"/>
      <c r="BQ346" s="29">
        <f>IF(AND(BN346=0,BO346=0,BP346=0),0,IF(AND(BN346=0,BO346=0),BP346/1,IF(AND(BN346=0,BP346=0),BO346/1,IF(AND(BO346=0,BP346=0),BN346/1,IF(BN346=0,FLOOR((BO346+BP346)/2,0.1),IF(BO346=0,(BN346+BP346)/2,IF(BP346=0,(BO346+BN346)/2,FLOOR(((BN346+BO346+BP346)/3),0.1))))))))</f>
        <v/>
      </c>
      <c r="BR346" s="21" t="n"/>
      <c r="BS346" s="21" t="n"/>
      <c r="BT346" s="27">
        <f>SUM(BR346:BS346)</f>
        <v/>
      </c>
      <c r="BU346" s="28" t="n"/>
      <c r="BV346" s="31" t="n"/>
      <c r="BW346" s="29">
        <f>IF(AND(BT346=0,BU346=0,BV346=0),0,IF(AND(BT346=0,BU346=0),BV346/1,IF(AND(BT346=0,BV346=0),BU346/1,IF(AND(BU346=0,BV346=0),BT346/1,IF(BT346=0,FLOOR((BU346+BV346)/2,0.1),IF(BU346=0,(BT346+BV346)/2,IF(BV346=0,(BU346+BT346)/2,FLOOR(((BT346+BU346+BV346)/3),0.1))))))))</f>
        <v/>
      </c>
      <c r="BX346" s="21" t="n"/>
      <c r="BY346" s="21" t="n"/>
      <c r="BZ346" s="27">
        <f>SUM(BX346:BY346)</f>
        <v/>
      </c>
      <c r="CA346" s="28" t="n"/>
      <c r="CB346" s="31" t="n"/>
      <c r="CC346" s="29">
        <f>IF(AND(BZ346=0,CA346=0,CB346=0),0,IF(AND(BZ346=0,CA346=0),CB346/1,IF(AND(BZ346=0,CB346=0),CA346/1,IF(AND(CA346=0,CB346=0),BZ346/1,IF(BZ346=0,FLOOR((CA346+CB346)/2,0.1),IF(CA346=0,(BZ346+CB346)/2,IF(CB346=0,(CA346+BZ346)/2,FLOOR(((BZ346+CA346+CB346)/3),0.1))))))))</f>
        <v/>
      </c>
      <c r="CD346" s="21" t="n"/>
      <c r="CE346" s="21" t="n"/>
      <c r="CF346" s="27">
        <f>SUM(CD346:CE346)</f>
        <v/>
      </c>
      <c r="CG346" s="28" t="n"/>
      <c r="CH346" s="31" t="n"/>
      <c r="CI346" s="29">
        <f>IF(AND(CF346=0,CG346=0,CH346=0),0,IF(AND(CF346=0,CG346=0),CH346/1,IF(AND(CF346=0,CH346=0),CG346/1,IF(AND(CG346=0,CH346=0),CF346/1,IF(CF346=0,FLOOR((CG346+CH346)/2,0.1),IF(CG346=0,(CF346+CH346)/2,IF(CH346=0,(CG346+CF346)/2,FLOOR(((CF346+CG346+CH346)/3),0.1))))))))</f>
        <v/>
      </c>
      <c r="CJ346" s="21" t="n"/>
      <c r="CK346" s="21" t="n"/>
      <c r="CL346" s="27">
        <f>SUM(CJ346:CK346)</f>
        <v/>
      </c>
      <c r="CM346" s="28" t="n"/>
      <c r="CN346" s="31" t="n"/>
      <c r="CO346" s="29">
        <f>IF(AND(CL346=0,CM346=0,CN346=0),0,IF(AND(CL346=0,CM346=0),CN346/1,IF(AND(CL346=0,CN346=0),CM346/1,IF(AND(CM346=0,CN346=0),CL346/1,IF(CL346=0,FLOOR((CM346+CN346)/2,0.1),IF(CM346=0,(CL346+CN346)/2,IF(CN346=0,(CM346+CL346)/2,FLOOR(((CL346+CM346+CN346)/3),0.1))))))))</f>
        <v/>
      </c>
      <c r="CP346" s="21" t="n"/>
      <c r="CQ346" s="21" t="n"/>
      <c r="CR346" s="27">
        <f>SUM(CP346:CQ346)</f>
        <v/>
      </c>
      <c r="CS346" s="28" t="n"/>
      <c r="CT346" s="31" t="n"/>
      <c r="CU346" s="29">
        <f>IF(AND(CR346=0,CS346=0,CT346=0),0,IF(AND(CR346=0,CS346=0),CT346/1,IF(AND(CR346=0,CT346=0),CS346/1,IF(AND(CS346=0,CT346=0),CR346/1,IF(CR346=0,FLOOR((CS346+CT346)/2,0.1),IF(CS346=0,(CR346+CT346)/2,IF(CT346=0,(CS346+CR346)/2,FLOOR(((CR346+CS346+CT346)/3),0.1))))))))</f>
        <v/>
      </c>
      <c r="CV346" s="21" t="n"/>
      <c r="CW346" s="21" t="n"/>
      <c r="CX346" s="27">
        <f>SUM(CV346:CW346)</f>
        <v/>
      </c>
      <c r="CY346" s="28" t="n"/>
      <c r="CZ346" s="31" t="n"/>
      <c r="DA346" s="29">
        <f>IF(AND(CX346=0,CY346=0,CZ346=0),0,IF(AND(CX346=0,CY346=0),CZ346/1,IF(AND(CX346=0,CZ346=0),CY346/1,IF(AND(CY346=0,CZ346=0),CX346/1,IF(CX346=0,FLOOR((CY346+CZ346)/2,0.1),IF(CY346=0,(CX346+CZ346)/2,IF(CZ346=0,(CY346+CX346)/2,FLOOR(((CX346+CY346+CZ346)/3),0.1))))))))</f>
        <v/>
      </c>
      <c r="DB346" s="21" t="n"/>
      <c r="DC346" s="21" t="n"/>
      <c r="DD346" s="27">
        <f>SUM(DB346:DC346)</f>
        <v/>
      </c>
      <c r="DE346" s="28" t="n"/>
      <c r="DF346" s="31" t="n"/>
      <c r="DG346" s="29">
        <f>IF(AND(DD346=0,DE346=0,DF346=0),0,IF(AND(DD346=0,DE346=0),DF346/1,IF(AND(DD346=0,DF346=0),DE346/1,IF(AND(DE346=0,DF346=0),DD346/1,IF(DD346=0,FLOOR((DE346+DF346)/2,0.1),IF(DE346=0,(DD346+DF346)/2,IF(DF346=0,(DE346+DD346)/2,FLOOR(((DD346+DE346+DF346)/3),0.1))))))))</f>
        <v/>
      </c>
      <c r="DH346" s="34">
        <f>SUM(O346,U346,AA346,AG346,AM346,AS346,AY346,BE346,BK346,BQ346,BW346,CC346,CI346,CO346,CU346,DA346,DG346)</f>
        <v/>
      </c>
      <c r="DI346" s="39">
        <f>RANK(DH346,DH$4:DH$503)</f>
        <v/>
      </c>
      <c r="DJ346" s="40" t="inlineStr">
        <is>
          <t>CHOOSE RATING</t>
        </is>
      </c>
      <c r="DK346" s="40" t="inlineStr">
        <is>
          <t>CHOOSE RATING</t>
        </is>
      </c>
      <c r="DL346" s="40" t="inlineStr">
        <is>
          <t>CHOOSE RATING</t>
        </is>
      </c>
      <c r="DM346" s="40" t="inlineStr">
        <is>
          <t>CHOOSE RATING</t>
        </is>
      </c>
      <c r="DN346" s="40" t="inlineStr">
        <is>
          <t>CHOOSE RATING</t>
        </is>
      </c>
      <c r="DO346" s="40" t="inlineStr">
        <is>
          <t>CHOOSE RATING</t>
        </is>
      </c>
      <c r="DP346" s="40" t="inlineStr">
        <is>
          <t>CHOOSE RATING</t>
        </is>
      </c>
      <c r="DQ346" s="40" t="inlineStr">
        <is>
          <t>CHOOSE RATING</t>
        </is>
      </c>
      <c r="DR346" s="43" t="inlineStr">
        <is>
          <t>2024/2025</t>
        </is>
      </c>
      <c r="DS346" s="45" t="inlineStr">
        <is>
          <t>THIRD</t>
        </is>
      </c>
      <c r="DT346" s="40" t="inlineStr">
        <is>
          <t>CHOOSE RATING</t>
        </is>
      </c>
      <c r="DU346" s="40" t="inlineStr">
        <is>
          <t>CHOOSE RATING</t>
        </is>
      </c>
      <c r="DV346" s="40" t="inlineStr">
        <is>
          <t>CHOOSE RATING</t>
        </is>
      </c>
      <c r="DW346" s="40" t="inlineStr">
        <is>
          <t>CHOOSE RATING</t>
        </is>
      </c>
      <c r="DX346" s="40" t="inlineStr">
        <is>
          <t>CHOOSE RATING</t>
        </is>
      </c>
      <c r="DY346" s="40" t="inlineStr">
        <is>
          <t>CHOOSE RATING</t>
        </is>
      </c>
      <c r="DZ346" s="53" t="inlineStr">
        <is>
          <t>CHOOSE RATING</t>
        </is>
      </c>
      <c r="EA346" s="54" t="inlineStr">
        <is>
          <t>Add the Tutor's Comment . . .</t>
        </is>
      </c>
      <c r="EB346" s="55" t="inlineStr">
        <is>
          <t>Choose Principals comment</t>
        </is>
      </c>
      <c r="EC346" s="56" t="n"/>
      <c r="ED346" s="57" t="inlineStr">
        <is>
          <t>Next Term Begins on Monday, 22nd September, 2025</t>
        </is>
      </c>
    </row>
    <row r="347" ht="30.6" customHeight="1" s="6">
      <c r="A347" s="18" t="n">
        <v>344</v>
      </c>
      <c r="B347" s="19" t="n"/>
      <c r="C347" s="20" t="n"/>
      <c r="D347" s="128" t="n"/>
      <c r="E347" s="21" t="n"/>
      <c r="F347" s="22" t="n"/>
      <c r="G347" s="22" t="n"/>
      <c r="H347" s="22" t="n"/>
      <c r="I347" s="26">
        <f>G347-H347</f>
        <v/>
      </c>
      <c r="J347" s="21" t="n"/>
      <c r="K347" s="21" t="n"/>
      <c r="L347" s="27">
        <f>SUM(J347:K347)</f>
        <v/>
      </c>
      <c r="M347" s="28" t="n"/>
      <c r="N347" s="28" t="n"/>
      <c r="O347" s="29">
        <f>IF(AND(L347=0,M347=0,N347=0),0,IF(AND(L347=0,M347=0),N347/1,IF(AND(L347=0,N347=0),M347/1,IF(AND(M347=0,N347=0),L347/1,IF(L347=0,FLOOR((M347+N347)/2,0.1),IF(M347=0,(L347+N347)/2,IF(N347=0,(M347+L347)/2,FLOOR(((L347+M347+N347)/3),0.1))))))))</f>
        <v/>
      </c>
      <c r="P347" s="21" t="n"/>
      <c r="Q347" s="21" t="n"/>
      <c r="R347" s="27">
        <f>SUM(P347:Q347)</f>
        <v/>
      </c>
      <c r="S347" s="28" t="n"/>
      <c r="T347" s="28" t="n"/>
      <c r="U347" s="29">
        <f>IF(AND(R347=0,S347=0,T347=0),0,IF(AND(R347=0,S347=0),T347/1,IF(AND(R347=0,T347=0),S347/1,IF(AND(S347=0,T347=0),R347/1,IF(R347=0,FLOOR((S347+T347)/2,0.1),IF(S347=0,(R347+T347)/2,IF(T347=0,(S347+R347)/2,FLOOR(((R347+S347+T347)/3),0.1))))))))</f>
        <v/>
      </c>
      <c r="V347" s="21" t="n"/>
      <c r="W347" s="21" t="n"/>
      <c r="X347" s="27">
        <f>SUM(V347:W347)</f>
        <v/>
      </c>
      <c r="Y347" s="28" t="n"/>
      <c r="Z347" s="28" t="n"/>
      <c r="AA347" s="29">
        <f>IF(AND(X347=0,Y347=0,Z347=0),0,IF(AND(X347=0,Y347=0),Z347/1,IF(AND(X347=0,Z347=0),Y347/1,IF(AND(Y347=0,Z347=0),X347/1,IF(X347=0,FLOOR((Y347+Z347)/2,0.1),IF(Y347=0,(X347+Z347)/2,IF(Z347=0,(Y347+X347)/2,FLOOR(((X347+Y347+Z347)/3),0.1))))))))</f>
        <v/>
      </c>
      <c r="AB347" s="21" t="n"/>
      <c r="AC347" s="21" t="n"/>
      <c r="AD347" s="27">
        <f>SUM(AB347:AC347)</f>
        <v/>
      </c>
      <c r="AE347" s="28" t="n"/>
      <c r="AF347" s="28" t="n"/>
      <c r="AG347" s="29">
        <f>IF(AND(AD347=0,AE347=0,AF347=0),0,IF(AND(AD347=0,AE347=0),AF347/1,IF(AND(AD347=0,AF347=0),AE347/1,IF(AND(AE347=0,AF347=0),AD347/1,IF(AD347=0,FLOOR((AE347+AF347)/2,0.1),IF(AE347=0,(AD347+AF347)/2,IF(AF347=0,(AE347+AD347)/2,FLOOR(((AD347+AE347+AF347)/3),0.1))))))))</f>
        <v/>
      </c>
      <c r="AH347" s="21" t="n"/>
      <c r="AI347" s="21" t="n"/>
      <c r="AJ347" s="27">
        <f>SUM(AH347:AI347)</f>
        <v/>
      </c>
      <c r="AK347" s="28" t="n"/>
      <c r="AL347" s="28" t="n"/>
      <c r="AM347" s="29">
        <f>IF(AND(AJ347=0,AK347=0,AL347=0),0,IF(AND(AJ347=0,AK347=0),AL347/1,IF(AND(AJ347=0,AL347=0),AK347/1,IF(AND(AK347=0,AL347=0),AJ347/1,IF(AJ347=0,FLOOR((AK347+AL347)/2,0.1),IF(AK347=0,(AJ347+AL347)/2,IF(AL347=0,(AK347+AJ347)/2,FLOOR(((AJ347+AK347+AL347)/3),0.1))))))))</f>
        <v/>
      </c>
      <c r="AN347" s="21" t="n"/>
      <c r="AO347" s="21" t="n"/>
      <c r="AP347" s="27">
        <f>SUM(AN347:AO347)</f>
        <v/>
      </c>
      <c r="AQ347" s="28" t="n"/>
      <c r="AR347" s="30" t="n"/>
      <c r="AS347" s="29">
        <f>IF(AND(AP347=0,AQ347=0,AR347=0),0,IF(AND(AP347=0,AQ347=0),AR347/1,IF(AND(AP347=0,AR347=0),AQ347/1,IF(AND(AQ347=0,AR347=0),AP347/1,IF(AP347=0,FLOOR((AQ347+AR347)/2,0.1),IF(AQ347=0,(AP347+AR347)/2,IF(AR347=0,(AQ347+AP347)/2,FLOOR(((AP347+AQ347+AR347)/3),0.1))))))))</f>
        <v/>
      </c>
      <c r="AT347" s="21" t="n"/>
      <c r="AU347" s="21" t="n"/>
      <c r="AV347" s="27">
        <f>SUM(AT347:AU347)</f>
        <v/>
      </c>
      <c r="AW347" s="28" t="n"/>
      <c r="AX347" s="30" t="n"/>
      <c r="AY347" s="29">
        <f>IF(AND(AV347=0,AW347=0,AX347=0),0,IF(AND(AV347=0,AW347=0),AX347/1,IF(AND(AV347=0,AX347=0),AW347/1,IF(AND(AW347=0,AX347=0),AV347/1,IF(AV347=0,FLOOR((AW347+AX347)/2,0.1),IF(AW347=0,(AV347+AX347)/2,IF(AX347=0,(AW347+AV347)/2,FLOOR(((AV347+AW347+AX347)/3),0.1))))))))</f>
        <v/>
      </c>
      <c r="AZ347" s="21" t="n"/>
      <c r="BA347" s="21" t="n"/>
      <c r="BB347" s="27">
        <f>SUM(AZ347:BA347)</f>
        <v/>
      </c>
      <c r="BC347" s="28" t="n"/>
      <c r="BD347" s="28" t="n"/>
      <c r="BE347" s="29">
        <f>IF(AND(BB347=0,BC347=0,BD347=0),0,IF(AND(BB347=0,BC347=0),BD347/1,IF(AND(BB347=0,BD347=0),BC347/1,IF(AND(BC347=0,BD347=0),BB347/1,IF(BB347=0,FLOOR((BC347+BD347)/2,0.1),IF(BC347=0,(BB347+BD347)/2,IF(BD347=0,(BC347+BB347)/2,FLOOR(((BB347+BC347+BD347)/3),0.1))))))))</f>
        <v/>
      </c>
      <c r="BF347" s="21" t="n"/>
      <c r="BG347" s="21" t="n"/>
      <c r="BH347" s="27">
        <f>SUM(BF347:BG347)</f>
        <v/>
      </c>
      <c r="BI347" s="28" t="n"/>
      <c r="BJ347" s="28" t="n"/>
      <c r="BK347" s="29">
        <f>IF(AND(BH347=0,BI347=0,BJ347=0),0,IF(AND(BH347=0,BI347=0),BJ347/1,IF(AND(BH347=0,BJ347=0),BI347/1,IF(AND(BI347=0,BJ347=0),BH347/1,IF(BH347=0,FLOOR((BI347+BJ347)/2,0.1),IF(BI347=0,(BH347+BJ347)/2,IF(BJ347=0,(BI347+BH347)/2,FLOOR(((BH347+BI347+BJ347)/3),0.1))))))))</f>
        <v/>
      </c>
      <c r="BL347" s="21" t="n"/>
      <c r="BM347" s="21" t="n"/>
      <c r="BN347" s="27">
        <f>SUM(BL347:BM347)</f>
        <v/>
      </c>
      <c r="BO347" s="28" t="n"/>
      <c r="BP347" s="31" t="n"/>
      <c r="BQ347" s="29">
        <f>IF(AND(BN347=0,BO347=0,BP347=0),0,IF(AND(BN347=0,BO347=0),BP347/1,IF(AND(BN347=0,BP347=0),BO347/1,IF(AND(BO347=0,BP347=0),BN347/1,IF(BN347=0,FLOOR((BO347+BP347)/2,0.1),IF(BO347=0,(BN347+BP347)/2,IF(BP347=0,(BO347+BN347)/2,FLOOR(((BN347+BO347+BP347)/3),0.1))))))))</f>
        <v/>
      </c>
      <c r="BR347" s="21" t="n"/>
      <c r="BS347" s="21" t="n"/>
      <c r="BT347" s="27">
        <f>SUM(BR347:BS347)</f>
        <v/>
      </c>
      <c r="BU347" s="28" t="n"/>
      <c r="BV347" s="31" t="n"/>
      <c r="BW347" s="29">
        <f>IF(AND(BT347=0,BU347=0,BV347=0),0,IF(AND(BT347=0,BU347=0),BV347/1,IF(AND(BT347=0,BV347=0),BU347/1,IF(AND(BU347=0,BV347=0),BT347/1,IF(BT347=0,FLOOR((BU347+BV347)/2,0.1),IF(BU347=0,(BT347+BV347)/2,IF(BV347=0,(BU347+BT347)/2,FLOOR(((BT347+BU347+BV347)/3),0.1))))))))</f>
        <v/>
      </c>
      <c r="BX347" s="21" t="n"/>
      <c r="BY347" s="21" t="n"/>
      <c r="BZ347" s="27">
        <f>SUM(BX347:BY347)</f>
        <v/>
      </c>
      <c r="CA347" s="28" t="n"/>
      <c r="CB347" s="31" t="n"/>
      <c r="CC347" s="29">
        <f>IF(AND(BZ347=0,CA347=0,CB347=0),0,IF(AND(BZ347=0,CA347=0),CB347/1,IF(AND(BZ347=0,CB347=0),CA347/1,IF(AND(CA347=0,CB347=0),BZ347/1,IF(BZ347=0,FLOOR((CA347+CB347)/2,0.1),IF(CA347=0,(BZ347+CB347)/2,IF(CB347=0,(CA347+BZ347)/2,FLOOR(((BZ347+CA347+CB347)/3),0.1))))))))</f>
        <v/>
      </c>
      <c r="CD347" s="21" t="n"/>
      <c r="CE347" s="21" t="n"/>
      <c r="CF347" s="27">
        <f>SUM(CD347:CE347)</f>
        <v/>
      </c>
      <c r="CG347" s="28" t="n"/>
      <c r="CH347" s="31" t="n"/>
      <c r="CI347" s="29">
        <f>IF(AND(CF347=0,CG347=0,CH347=0),0,IF(AND(CF347=0,CG347=0),CH347/1,IF(AND(CF347=0,CH347=0),CG347/1,IF(AND(CG347=0,CH347=0),CF347/1,IF(CF347=0,FLOOR((CG347+CH347)/2,0.1),IF(CG347=0,(CF347+CH347)/2,IF(CH347=0,(CG347+CF347)/2,FLOOR(((CF347+CG347+CH347)/3),0.1))))))))</f>
        <v/>
      </c>
      <c r="CJ347" s="21" t="n"/>
      <c r="CK347" s="21" t="n"/>
      <c r="CL347" s="27">
        <f>SUM(CJ347:CK347)</f>
        <v/>
      </c>
      <c r="CM347" s="28" t="n"/>
      <c r="CN347" s="31" t="n"/>
      <c r="CO347" s="29">
        <f>IF(AND(CL347=0,CM347=0,CN347=0),0,IF(AND(CL347=0,CM347=0),CN347/1,IF(AND(CL347=0,CN347=0),CM347/1,IF(AND(CM347=0,CN347=0),CL347/1,IF(CL347=0,FLOOR((CM347+CN347)/2,0.1),IF(CM347=0,(CL347+CN347)/2,IF(CN347=0,(CM347+CL347)/2,FLOOR(((CL347+CM347+CN347)/3),0.1))))))))</f>
        <v/>
      </c>
      <c r="CP347" s="21" t="n"/>
      <c r="CQ347" s="21" t="n"/>
      <c r="CR347" s="27">
        <f>SUM(CP347:CQ347)</f>
        <v/>
      </c>
      <c r="CS347" s="28" t="n"/>
      <c r="CT347" s="31" t="n"/>
      <c r="CU347" s="29">
        <f>IF(AND(CR347=0,CS347=0,CT347=0),0,IF(AND(CR347=0,CS347=0),CT347/1,IF(AND(CR347=0,CT347=0),CS347/1,IF(AND(CS347=0,CT347=0),CR347/1,IF(CR347=0,FLOOR((CS347+CT347)/2,0.1),IF(CS347=0,(CR347+CT347)/2,IF(CT347=0,(CS347+CR347)/2,FLOOR(((CR347+CS347+CT347)/3),0.1))))))))</f>
        <v/>
      </c>
      <c r="CV347" s="21" t="n"/>
      <c r="CW347" s="21" t="n"/>
      <c r="CX347" s="27">
        <f>SUM(CV347:CW347)</f>
        <v/>
      </c>
      <c r="CY347" s="28" t="n"/>
      <c r="CZ347" s="31" t="n"/>
      <c r="DA347" s="29">
        <f>IF(AND(CX347=0,CY347=0,CZ347=0),0,IF(AND(CX347=0,CY347=0),CZ347/1,IF(AND(CX347=0,CZ347=0),CY347/1,IF(AND(CY347=0,CZ347=0),CX347/1,IF(CX347=0,FLOOR((CY347+CZ347)/2,0.1),IF(CY347=0,(CX347+CZ347)/2,IF(CZ347=0,(CY347+CX347)/2,FLOOR(((CX347+CY347+CZ347)/3),0.1))))))))</f>
        <v/>
      </c>
      <c r="DB347" s="21" t="n"/>
      <c r="DC347" s="21" t="n"/>
      <c r="DD347" s="27">
        <f>SUM(DB347:DC347)</f>
        <v/>
      </c>
      <c r="DE347" s="28" t="n"/>
      <c r="DF347" s="31" t="n"/>
      <c r="DG347" s="29">
        <f>IF(AND(DD347=0,DE347=0,DF347=0),0,IF(AND(DD347=0,DE347=0),DF347/1,IF(AND(DD347=0,DF347=0),DE347/1,IF(AND(DE347=0,DF347=0),DD347/1,IF(DD347=0,FLOOR((DE347+DF347)/2,0.1),IF(DE347=0,(DD347+DF347)/2,IF(DF347=0,(DE347+DD347)/2,FLOOR(((DD347+DE347+DF347)/3),0.1))))))))</f>
        <v/>
      </c>
      <c r="DH347" s="34">
        <f>SUM(O347,U347,AA347,AG347,AM347,AS347,AY347,BE347,BK347,BQ347,BW347,CC347,CI347,CO347,CU347,DA347,DG347)</f>
        <v/>
      </c>
      <c r="DI347" s="39">
        <f>RANK(DH347,DH$4:DH$503)</f>
        <v/>
      </c>
      <c r="DJ347" s="40" t="inlineStr">
        <is>
          <t>CHOOSE RATING</t>
        </is>
      </c>
      <c r="DK347" s="40" t="inlineStr">
        <is>
          <t>CHOOSE RATING</t>
        </is>
      </c>
      <c r="DL347" s="40" t="inlineStr">
        <is>
          <t>CHOOSE RATING</t>
        </is>
      </c>
      <c r="DM347" s="40" t="inlineStr">
        <is>
          <t>CHOOSE RATING</t>
        </is>
      </c>
      <c r="DN347" s="40" t="inlineStr">
        <is>
          <t>CHOOSE RATING</t>
        </is>
      </c>
      <c r="DO347" s="40" t="inlineStr">
        <is>
          <t>CHOOSE RATING</t>
        </is>
      </c>
      <c r="DP347" s="40" t="inlineStr">
        <is>
          <t>CHOOSE RATING</t>
        </is>
      </c>
      <c r="DQ347" s="40" t="inlineStr">
        <is>
          <t>CHOOSE RATING</t>
        </is>
      </c>
      <c r="DR347" s="43" t="inlineStr">
        <is>
          <t>2024/2025</t>
        </is>
      </c>
      <c r="DS347" s="45" t="inlineStr">
        <is>
          <t>THIRD</t>
        </is>
      </c>
      <c r="DT347" s="40" t="inlineStr">
        <is>
          <t>CHOOSE RATING</t>
        </is>
      </c>
      <c r="DU347" s="40" t="inlineStr">
        <is>
          <t>CHOOSE RATING</t>
        </is>
      </c>
      <c r="DV347" s="40" t="inlineStr">
        <is>
          <t>CHOOSE RATING</t>
        </is>
      </c>
      <c r="DW347" s="40" t="inlineStr">
        <is>
          <t>CHOOSE RATING</t>
        </is>
      </c>
      <c r="DX347" s="40" t="inlineStr">
        <is>
          <t>CHOOSE RATING</t>
        </is>
      </c>
      <c r="DY347" s="40" t="inlineStr">
        <is>
          <t>CHOOSE RATING</t>
        </is>
      </c>
      <c r="DZ347" s="53" t="inlineStr">
        <is>
          <t>CHOOSE RATING</t>
        </is>
      </c>
      <c r="EA347" s="54" t="inlineStr">
        <is>
          <t>Add the Tutor's Comment . . .</t>
        </is>
      </c>
      <c r="EB347" s="55" t="inlineStr">
        <is>
          <t>Choose Principals comment</t>
        </is>
      </c>
      <c r="EC347" s="56" t="n"/>
      <c r="ED347" s="57" t="inlineStr">
        <is>
          <t>Next Term Begins on Monday, 22nd September, 2025</t>
        </is>
      </c>
    </row>
    <row r="348" ht="30.6" customHeight="1" s="6">
      <c r="A348" s="18" t="n">
        <v>345</v>
      </c>
      <c r="B348" s="19" t="n"/>
      <c r="C348" s="20" t="n"/>
      <c r="D348" s="128" t="n"/>
      <c r="E348" s="21" t="n"/>
      <c r="F348" s="22" t="n"/>
      <c r="G348" s="22" t="n"/>
      <c r="H348" s="22" t="n"/>
      <c r="I348" s="26">
        <f>G348-H348</f>
        <v/>
      </c>
      <c r="J348" s="21" t="n"/>
      <c r="K348" s="21" t="n"/>
      <c r="L348" s="27">
        <f>SUM(J348:K348)</f>
        <v/>
      </c>
      <c r="M348" s="28" t="n"/>
      <c r="N348" s="28" t="n"/>
      <c r="O348" s="29">
        <f>IF(AND(L348=0,M348=0,N348=0),0,IF(AND(L348=0,M348=0),N348/1,IF(AND(L348=0,N348=0),M348/1,IF(AND(M348=0,N348=0),L348/1,IF(L348=0,FLOOR((M348+N348)/2,0.1),IF(M348=0,(L348+N348)/2,IF(N348=0,(M348+L348)/2,FLOOR(((L348+M348+N348)/3),0.1))))))))</f>
        <v/>
      </c>
      <c r="P348" s="21" t="n"/>
      <c r="Q348" s="21" t="n"/>
      <c r="R348" s="27">
        <f>SUM(P348:Q348)</f>
        <v/>
      </c>
      <c r="S348" s="28" t="n"/>
      <c r="T348" s="28" t="n"/>
      <c r="U348" s="29">
        <f>IF(AND(R348=0,S348=0,T348=0),0,IF(AND(R348=0,S348=0),T348/1,IF(AND(R348=0,T348=0),S348/1,IF(AND(S348=0,T348=0),R348/1,IF(R348=0,FLOOR((S348+T348)/2,0.1),IF(S348=0,(R348+T348)/2,IF(T348=0,(S348+R348)/2,FLOOR(((R348+S348+T348)/3),0.1))))))))</f>
        <v/>
      </c>
      <c r="V348" s="21" t="n"/>
      <c r="W348" s="21" t="n"/>
      <c r="X348" s="27">
        <f>SUM(V348:W348)</f>
        <v/>
      </c>
      <c r="Y348" s="28" t="n"/>
      <c r="Z348" s="28" t="n"/>
      <c r="AA348" s="29">
        <f>IF(AND(X348=0,Y348=0,Z348=0),0,IF(AND(X348=0,Y348=0),Z348/1,IF(AND(X348=0,Z348=0),Y348/1,IF(AND(Y348=0,Z348=0),X348/1,IF(X348=0,FLOOR((Y348+Z348)/2,0.1),IF(Y348=0,(X348+Z348)/2,IF(Z348=0,(Y348+X348)/2,FLOOR(((X348+Y348+Z348)/3),0.1))))))))</f>
        <v/>
      </c>
      <c r="AB348" s="21" t="n"/>
      <c r="AC348" s="21" t="n"/>
      <c r="AD348" s="27">
        <f>SUM(AB348:AC348)</f>
        <v/>
      </c>
      <c r="AE348" s="28" t="n"/>
      <c r="AF348" s="28" t="n"/>
      <c r="AG348" s="29">
        <f>IF(AND(AD348=0,AE348=0,AF348=0),0,IF(AND(AD348=0,AE348=0),AF348/1,IF(AND(AD348=0,AF348=0),AE348/1,IF(AND(AE348=0,AF348=0),AD348/1,IF(AD348=0,FLOOR((AE348+AF348)/2,0.1),IF(AE348=0,(AD348+AF348)/2,IF(AF348=0,(AE348+AD348)/2,FLOOR(((AD348+AE348+AF348)/3),0.1))))))))</f>
        <v/>
      </c>
      <c r="AH348" s="21" t="n"/>
      <c r="AI348" s="21" t="n"/>
      <c r="AJ348" s="27">
        <f>SUM(AH348:AI348)</f>
        <v/>
      </c>
      <c r="AK348" s="28" t="n"/>
      <c r="AL348" s="28" t="n"/>
      <c r="AM348" s="29">
        <f>IF(AND(AJ348=0,AK348=0,AL348=0),0,IF(AND(AJ348=0,AK348=0),AL348/1,IF(AND(AJ348=0,AL348=0),AK348/1,IF(AND(AK348=0,AL348=0),AJ348/1,IF(AJ348=0,FLOOR((AK348+AL348)/2,0.1),IF(AK348=0,(AJ348+AL348)/2,IF(AL348=0,(AK348+AJ348)/2,FLOOR(((AJ348+AK348+AL348)/3),0.1))))))))</f>
        <v/>
      </c>
      <c r="AN348" s="21" t="n"/>
      <c r="AO348" s="21" t="n"/>
      <c r="AP348" s="27">
        <f>SUM(AN348:AO348)</f>
        <v/>
      </c>
      <c r="AQ348" s="28" t="n"/>
      <c r="AR348" s="30" t="n"/>
      <c r="AS348" s="29">
        <f>IF(AND(AP348=0,AQ348=0,AR348=0),0,IF(AND(AP348=0,AQ348=0),AR348/1,IF(AND(AP348=0,AR348=0),AQ348/1,IF(AND(AQ348=0,AR348=0),AP348/1,IF(AP348=0,FLOOR((AQ348+AR348)/2,0.1),IF(AQ348=0,(AP348+AR348)/2,IF(AR348=0,(AQ348+AP348)/2,FLOOR(((AP348+AQ348+AR348)/3),0.1))))))))</f>
        <v/>
      </c>
      <c r="AT348" s="21" t="n"/>
      <c r="AU348" s="21" t="n"/>
      <c r="AV348" s="27">
        <f>SUM(AT348:AU348)</f>
        <v/>
      </c>
      <c r="AW348" s="28" t="n"/>
      <c r="AX348" s="30" t="n"/>
      <c r="AY348" s="29">
        <f>IF(AND(AV348=0,AW348=0,AX348=0),0,IF(AND(AV348=0,AW348=0),AX348/1,IF(AND(AV348=0,AX348=0),AW348/1,IF(AND(AW348=0,AX348=0),AV348/1,IF(AV348=0,FLOOR((AW348+AX348)/2,0.1),IF(AW348=0,(AV348+AX348)/2,IF(AX348=0,(AW348+AV348)/2,FLOOR(((AV348+AW348+AX348)/3),0.1))))))))</f>
        <v/>
      </c>
      <c r="AZ348" s="21" t="n"/>
      <c r="BA348" s="21" t="n"/>
      <c r="BB348" s="27">
        <f>SUM(AZ348:BA348)</f>
        <v/>
      </c>
      <c r="BC348" s="28" t="n"/>
      <c r="BD348" s="28" t="n"/>
      <c r="BE348" s="29">
        <f>IF(AND(BB348=0,BC348=0,BD348=0),0,IF(AND(BB348=0,BC348=0),BD348/1,IF(AND(BB348=0,BD348=0),BC348/1,IF(AND(BC348=0,BD348=0),BB348/1,IF(BB348=0,FLOOR((BC348+BD348)/2,0.1),IF(BC348=0,(BB348+BD348)/2,IF(BD348=0,(BC348+BB348)/2,FLOOR(((BB348+BC348+BD348)/3),0.1))))))))</f>
        <v/>
      </c>
      <c r="BF348" s="21" t="n"/>
      <c r="BG348" s="21" t="n"/>
      <c r="BH348" s="27">
        <f>SUM(BF348:BG348)</f>
        <v/>
      </c>
      <c r="BI348" s="28" t="n"/>
      <c r="BJ348" s="28" t="n"/>
      <c r="BK348" s="29">
        <f>IF(AND(BH348=0,BI348=0,BJ348=0),0,IF(AND(BH348=0,BI348=0),BJ348/1,IF(AND(BH348=0,BJ348=0),BI348/1,IF(AND(BI348=0,BJ348=0),BH348/1,IF(BH348=0,FLOOR((BI348+BJ348)/2,0.1),IF(BI348=0,(BH348+BJ348)/2,IF(BJ348=0,(BI348+BH348)/2,FLOOR(((BH348+BI348+BJ348)/3),0.1))))))))</f>
        <v/>
      </c>
      <c r="BL348" s="21" t="n"/>
      <c r="BM348" s="21" t="n"/>
      <c r="BN348" s="27">
        <f>SUM(BL348:BM348)</f>
        <v/>
      </c>
      <c r="BO348" s="28" t="n"/>
      <c r="BP348" s="31" t="n"/>
      <c r="BQ348" s="29">
        <f>IF(AND(BN348=0,BO348=0,BP348=0),0,IF(AND(BN348=0,BO348=0),BP348/1,IF(AND(BN348=0,BP348=0),BO348/1,IF(AND(BO348=0,BP348=0),BN348/1,IF(BN348=0,FLOOR((BO348+BP348)/2,0.1),IF(BO348=0,(BN348+BP348)/2,IF(BP348=0,(BO348+BN348)/2,FLOOR(((BN348+BO348+BP348)/3),0.1))))))))</f>
        <v/>
      </c>
      <c r="BR348" s="21" t="n"/>
      <c r="BS348" s="21" t="n"/>
      <c r="BT348" s="27">
        <f>SUM(BR348:BS348)</f>
        <v/>
      </c>
      <c r="BU348" s="28" t="n"/>
      <c r="BV348" s="31" t="n"/>
      <c r="BW348" s="29">
        <f>IF(AND(BT348=0,BU348=0,BV348=0),0,IF(AND(BT348=0,BU348=0),BV348/1,IF(AND(BT348=0,BV348=0),BU348/1,IF(AND(BU348=0,BV348=0),BT348/1,IF(BT348=0,FLOOR((BU348+BV348)/2,0.1),IF(BU348=0,(BT348+BV348)/2,IF(BV348=0,(BU348+BT348)/2,FLOOR(((BT348+BU348+BV348)/3),0.1))))))))</f>
        <v/>
      </c>
      <c r="BX348" s="21" t="n"/>
      <c r="BY348" s="21" t="n"/>
      <c r="BZ348" s="27">
        <f>SUM(BX348:BY348)</f>
        <v/>
      </c>
      <c r="CA348" s="28" t="n"/>
      <c r="CB348" s="31" t="n"/>
      <c r="CC348" s="29">
        <f>IF(AND(BZ348=0,CA348=0,CB348=0),0,IF(AND(BZ348=0,CA348=0),CB348/1,IF(AND(BZ348=0,CB348=0),CA348/1,IF(AND(CA348=0,CB348=0),BZ348/1,IF(BZ348=0,FLOOR((CA348+CB348)/2,0.1),IF(CA348=0,(BZ348+CB348)/2,IF(CB348=0,(CA348+BZ348)/2,FLOOR(((BZ348+CA348+CB348)/3),0.1))))))))</f>
        <v/>
      </c>
      <c r="CD348" s="21" t="n"/>
      <c r="CE348" s="21" t="n"/>
      <c r="CF348" s="27">
        <f>SUM(CD348:CE348)</f>
        <v/>
      </c>
      <c r="CG348" s="28" t="n"/>
      <c r="CH348" s="31" t="n"/>
      <c r="CI348" s="29">
        <f>IF(AND(CF348=0,CG348=0,CH348=0),0,IF(AND(CF348=0,CG348=0),CH348/1,IF(AND(CF348=0,CH348=0),CG348/1,IF(AND(CG348=0,CH348=0),CF348/1,IF(CF348=0,FLOOR((CG348+CH348)/2,0.1),IF(CG348=0,(CF348+CH348)/2,IF(CH348=0,(CG348+CF348)/2,FLOOR(((CF348+CG348+CH348)/3),0.1))))))))</f>
        <v/>
      </c>
      <c r="CJ348" s="21" t="n"/>
      <c r="CK348" s="21" t="n"/>
      <c r="CL348" s="27">
        <f>SUM(CJ348:CK348)</f>
        <v/>
      </c>
      <c r="CM348" s="28" t="n"/>
      <c r="CN348" s="31" t="n"/>
      <c r="CO348" s="29">
        <f>IF(AND(CL348=0,CM348=0,CN348=0),0,IF(AND(CL348=0,CM348=0),CN348/1,IF(AND(CL348=0,CN348=0),CM348/1,IF(AND(CM348=0,CN348=0),CL348/1,IF(CL348=0,FLOOR((CM348+CN348)/2,0.1),IF(CM348=0,(CL348+CN348)/2,IF(CN348=0,(CM348+CL348)/2,FLOOR(((CL348+CM348+CN348)/3),0.1))))))))</f>
        <v/>
      </c>
      <c r="CP348" s="21" t="n"/>
      <c r="CQ348" s="21" t="n"/>
      <c r="CR348" s="27">
        <f>SUM(CP348:CQ348)</f>
        <v/>
      </c>
      <c r="CS348" s="28" t="n"/>
      <c r="CT348" s="31" t="n"/>
      <c r="CU348" s="29">
        <f>IF(AND(CR348=0,CS348=0,CT348=0),0,IF(AND(CR348=0,CS348=0),CT348/1,IF(AND(CR348=0,CT348=0),CS348/1,IF(AND(CS348=0,CT348=0),CR348/1,IF(CR348=0,FLOOR((CS348+CT348)/2,0.1),IF(CS348=0,(CR348+CT348)/2,IF(CT348=0,(CS348+CR348)/2,FLOOR(((CR348+CS348+CT348)/3),0.1))))))))</f>
        <v/>
      </c>
      <c r="CV348" s="21" t="n"/>
      <c r="CW348" s="21" t="n"/>
      <c r="CX348" s="27">
        <f>SUM(CV348:CW348)</f>
        <v/>
      </c>
      <c r="CY348" s="28" t="n"/>
      <c r="CZ348" s="31" t="n"/>
      <c r="DA348" s="29">
        <f>IF(AND(CX348=0,CY348=0,CZ348=0),0,IF(AND(CX348=0,CY348=0),CZ348/1,IF(AND(CX348=0,CZ348=0),CY348/1,IF(AND(CY348=0,CZ348=0),CX348/1,IF(CX348=0,FLOOR((CY348+CZ348)/2,0.1),IF(CY348=0,(CX348+CZ348)/2,IF(CZ348=0,(CY348+CX348)/2,FLOOR(((CX348+CY348+CZ348)/3),0.1))))))))</f>
        <v/>
      </c>
      <c r="DB348" s="21" t="n"/>
      <c r="DC348" s="21" t="n"/>
      <c r="DD348" s="27">
        <f>SUM(DB348:DC348)</f>
        <v/>
      </c>
      <c r="DE348" s="28" t="n"/>
      <c r="DF348" s="31" t="n"/>
      <c r="DG348" s="29">
        <f>IF(AND(DD348=0,DE348=0,DF348=0),0,IF(AND(DD348=0,DE348=0),DF348/1,IF(AND(DD348=0,DF348=0),DE348/1,IF(AND(DE348=0,DF348=0),DD348/1,IF(DD348=0,FLOOR((DE348+DF348)/2,0.1),IF(DE348=0,(DD348+DF348)/2,IF(DF348=0,(DE348+DD348)/2,FLOOR(((DD348+DE348+DF348)/3),0.1))))))))</f>
        <v/>
      </c>
      <c r="DH348" s="34">
        <f>SUM(O348,U348,AA348,AG348,AM348,AS348,AY348,BE348,BK348,BQ348,BW348,CC348,CI348,CO348,CU348,DA348,DG348)</f>
        <v/>
      </c>
      <c r="DI348" s="39">
        <f>RANK(DH348,DH$4:DH$503)</f>
        <v/>
      </c>
      <c r="DJ348" s="40" t="inlineStr">
        <is>
          <t>CHOOSE RATING</t>
        </is>
      </c>
      <c r="DK348" s="40" t="inlineStr">
        <is>
          <t>CHOOSE RATING</t>
        </is>
      </c>
      <c r="DL348" s="40" t="inlineStr">
        <is>
          <t>CHOOSE RATING</t>
        </is>
      </c>
      <c r="DM348" s="40" t="inlineStr">
        <is>
          <t>CHOOSE RATING</t>
        </is>
      </c>
      <c r="DN348" s="40" t="inlineStr">
        <is>
          <t>CHOOSE RATING</t>
        </is>
      </c>
      <c r="DO348" s="40" t="inlineStr">
        <is>
          <t>CHOOSE RATING</t>
        </is>
      </c>
      <c r="DP348" s="40" t="inlineStr">
        <is>
          <t>CHOOSE RATING</t>
        </is>
      </c>
      <c r="DQ348" s="40" t="inlineStr">
        <is>
          <t>CHOOSE RATING</t>
        </is>
      </c>
      <c r="DR348" s="43" t="inlineStr">
        <is>
          <t>2024/2025</t>
        </is>
      </c>
      <c r="DS348" s="45" t="inlineStr">
        <is>
          <t>THIRD</t>
        </is>
      </c>
      <c r="DT348" s="40" t="inlineStr">
        <is>
          <t>CHOOSE RATING</t>
        </is>
      </c>
      <c r="DU348" s="40" t="inlineStr">
        <is>
          <t>CHOOSE RATING</t>
        </is>
      </c>
      <c r="DV348" s="40" t="inlineStr">
        <is>
          <t>CHOOSE RATING</t>
        </is>
      </c>
      <c r="DW348" s="40" t="inlineStr">
        <is>
          <t>CHOOSE RATING</t>
        </is>
      </c>
      <c r="DX348" s="40" t="inlineStr">
        <is>
          <t>CHOOSE RATING</t>
        </is>
      </c>
      <c r="DY348" s="40" t="inlineStr">
        <is>
          <t>CHOOSE RATING</t>
        </is>
      </c>
      <c r="DZ348" s="53" t="inlineStr">
        <is>
          <t>CHOOSE RATING</t>
        </is>
      </c>
      <c r="EA348" s="54" t="inlineStr">
        <is>
          <t>Add the Tutor's Comment . . .</t>
        </is>
      </c>
      <c r="EB348" s="55" t="inlineStr">
        <is>
          <t>Choose Principals comment</t>
        </is>
      </c>
      <c r="EC348" s="56" t="n"/>
      <c r="ED348" s="57" t="inlineStr">
        <is>
          <t>Next Term Begins on Monday, 22nd September, 2025</t>
        </is>
      </c>
    </row>
    <row r="349" ht="30.6" customHeight="1" s="6">
      <c r="A349" s="18" t="n">
        <v>346</v>
      </c>
      <c r="B349" s="19" t="n"/>
      <c r="C349" s="20" t="n"/>
      <c r="D349" s="128" t="n"/>
      <c r="E349" s="21" t="n"/>
      <c r="F349" s="22" t="n"/>
      <c r="G349" s="22" t="n"/>
      <c r="H349" s="22" t="n"/>
      <c r="I349" s="26">
        <f>G349-H349</f>
        <v/>
      </c>
      <c r="J349" s="21" t="n"/>
      <c r="K349" s="21" t="n"/>
      <c r="L349" s="27">
        <f>SUM(J349:K349)</f>
        <v/>
      </c>
      <c r="M349" s="28" t="n"/>
      <c r="N349" s="28" t="n"/>
      <c r="O349" s="29">
        <f>IF(AND(L349=0,M349=0,N349=0),0,IF(AND(L349=0,M349=0),N349/1,IF(AND(L349=0,N349=0),M349/1,IF(AND(M349=0,N349=0),L349/1,IF(L349=0,FLOOR((M349+N349)/2,0.1),IF(M349=0,(L349+N349)/2,IF(N349=0,(M349+L349)/2,FLOOR(((L349+M349+N349)/3),0.1))))))))</f>
        <v/>
      </c>
      <c r="P349" s="21" t="n"/>
      <c r="Q349" s="21" t="n"/>
      <c r="R349" s="27">
        <f>SUM(P349:Q349)</f>
        <v/>
      </c>
      <c r="S349" s="28" t="n"/>
      <c r="T349" s="28" t="n"/>
      <c r="U349" s="29">
        <f>IF(AND(R349=0,S349=0,T349=0),0,IF(AND(R349=0,S349=0),T349/1,IF(AND(R349=0,T349=0),S349/1,IF(AND(S349=0,T349=0),R349/1,IF(R349=0,FLOOR((S349+T349)/2,0.1),IF(S349=0,(R349+T349)/2,IF(T349=0,(S349+R349)/2,FLOOR(((R349+S349+T349)/3),0.1))))))))</f>
        <v/>
      </c>
      <c r="V349" s="21" t="n"/>
      <c r="W349" s="21" t="n"/>
      <c r="X349" s="27">
        <f>SUM(V349:W349)</f>
        <v/>
      </c>
      <c r="Y349" s="28" t="n"/>
      <c r="Z349" s="28" t="n"/>
      <c r="AA349" s="29">
        <f>IF(AND(X349=0,Y349=0,Z349=0),0,IF(AND(X349=0,Y349=0),Z349/1,IF(AND(X349=0,Z349=0),Y349/1,IF(AND(Y349=0,Z349=0),X349/1,IF(X349=0,FLOOR((Y349+Z349)/2,0.1),IF(Y349=0,(X349+Z349)/2,IF(Z349=0,(Y349+X349)/2,FLOOR(((X349+Y349+Z349)/3),0.1))))))))</f>
        <v/>
      </c>
      <c r="AB349" s="21" t="n"/>
      <c r="AC349" s="21" t="n"/>
      <c r="AD349" s="27">
        <f>SUM(AB349:AC349)</f>
        <v/>
      </c>
      <c r="AE349" s="28" t="n"/>
      <c r="AF349" s="28" t="n"/>
      <c r="AG349" s="29">
        <f>IF(AND(AD349=0,AE349=0,AF349=0),0,IF(AND(AD349=0,AE349=0),AF349/1,IF(AND(AD349=0,AF349=0),AE349/1,IF(AND(AE349=0,AF349=0),AD349/1,IF(AD349=0,FLOOR((AE349+AF349)/2,0.1),IF(AE349=0,(AD349+AF349)/2,IF(AF349=0,(AE349+AD349)/2,FLOOR(((AD349+AE349+AF349)/3),0.1))))))))</f>
        <v/>
      </c>
      <c r="AH349" s="21" t="n"/>
      <c r="AI349" s="21" t="n"/>
      <c r="AJ349" s="27">
        <f>SUM(AH349:AI349)</f>
        <v/>
      </c>
      <c r="AK349" s="28" t="n"/>
      <c r="AL349" s="28" t="n"/>
      <c r="AM349" s="29">
        <f>IF(AND(AJ349=0,AK349=0,AL349=0),0,IF(AND(AJ349=0,AK349=0),AL349/1,IF(AND(AJ349=0,AL349=0),AK349/1,IF(AND(AK349=0,AL349=0),AJ349/1,IF(AJ349=0,FLOOR((AK349+AL349)/2,0.1),IF(AK349=0,(AJ349+AL349)/2,IF(AL349=0,(AK349+AJ349)/2,FLOOR(((AJ349+AK349+AL349)/3),0.1))))))))</f>
        <v/>
      </c>
      <c r="AN349" s="21" t="n"/>
      <c r="AO349" s="21" t="n"/>
      <c r="AP349" s="27">
        <f>SUM(AN349:AO349)</f>
        <v/>
      </c>
      <c r="AQ349" s="28" t="n"/>
      <c r="AR349" s="30" t="n"/>
      <c r="AS349" s="29">
        <f>IF(AND(AP349=0,AQ349=0,AR349=0),0,IF(AND(AP349=0,AQ349=0),AR349/1,IF(AND(AP349=0,AR349=0),AQ349/1,IF(AND(AQ349=0,AR349=0),AP349/1,IF(AP349=0,FLOOR((AQ349+AR349)/2,0.1),IF(AQ349=0,(AP349+AR349)/2,IF(AR349=0,(AQ349+AP349)/2,FLOOR(((AP349+AQ349+AR349)/3),0.1))))))))</f>
        <v/>
      </c>
      <c r="AT349" s="21" t="n"/>
      <c r="AU349" s="21" t="n"/>
      <c r="AV349" s="27">
        <f>SUM(AT349:AU349)</f>
        <v/>
      </c>
      <c r="AW349" s="28" t="n"/>
      <c r="AX349" s="30" t="n"/>
      <c r="AY349" s="29">
        <f>IF(AND(AV349=0,AW349=0,AX349=0),0,IF(AND(AV349=0,AW349=0),AX349/1,IF(AND(AV349=0,AX349=0),AW349/1,IF(AND(AW349=0,AX349=0),AV349/1,IF(AV349=0,FLOOR((AW349+AX349)/2,0.1),IF(AW349=0,(AV349+AX349)/2,IF(AX349=0,(AW349+AV349)/2,FLOOR(((AV349+AW349+AX349)/3),0.1))))))))</f>
        <v/>
      </c>
      <c r="AZ349" s="21" t="n"/>
      <c r="BA349" s="21" t="n"/>
      <c r="BB349" s="27">
        <f>SUM(AZ349:BA349)</f>
        <v/>
      </c>
      <c r="BC349" s="28" t="n"/>
      <c r="BD349" s="28" t="n"/>
      <c r="BE349" s="29">
        <f>IF(AND(BB349=0,BC349=0,BD349=0),0,IF(AND(BB349=0,BC349=0),BD349/1,IF(AND(BB349=0,BD349=0),BC349/1,IF(AND(BC349=0,BD349=0),BB349/1,IF(BB349=0,FLOOR((BC349+BD349)/2,0.1),IF(BC349=0,(BB349+BD349)/2,IF(BD349=0,(BC349+BB349)/2,FLOOR(((BB349+BC349+BD349)/3),0.1))))))))</f>
        <v/>
      </c>
      <c r="BF349" s="21" t="n"/>
      <c r="BG349" s="21" t="n"/>
      <c r="BH349" s="27">
        <f>SUM(BF349:BG349)</f>
        <v/>
      </c>
      <c r="BI349" s="28" t="n"/>
      <c r="BJ349" s="28" t="n"/>
      <c r="BK349" s="29">
        <f>IF(AND(BH349=0,BI349=0,BJ349=0),0,IF(AND(BH349=0,BI349=0),BJ349/1,IF(AND(BH349=0,BJ349=0),BI349/1,IF(AND(BI349=0,BJ349=0),BH349/1,IF(BH349=0,FLOOR((BI349+BJ349)/2,0.1),IF(BI349=0,(BH349+BJ349)/2,IF(BJ349=0,(BI349+BH349)/2,FLOOR(((BH349+BI349+BJ349)/3),0.1))))))))</f>
        <v/>
      </c>
      <c r="BL349" s="21" t="n"/>
      <c r="BM349" s="21" t="n"/>
      <c r="BN349" s="27">
        <f>SUM(BL349:BM349)</f>
        <v/>
      </c>
      <c r="BO349" s="28" t="n"/>
      <c r="BP349" s="31" t="n"/>
      <c r="BQ349" s="29">
        <f>IF(AND(BN349=0,BO349=0,BP349=0),0,IF(AND(BN349=0,BO349=0),BP349/1,IF(AND(BN349=0,BP349=0),BO349/1,IF(AND(BO349=0,BP349=0),BN349/1,IF(BN349=0,FLOOR((BO349+BP349)/2,0.1),IF(BO349=0,(BN349+BP349)/2,IF(BP349=0,(BO349+BN349)/2,FLOOR(((BN349+BO349+BP349)/3),0.1))))))))</f>
        <v/>
      </c>
      <c r="BR349" s="21" t="n"/>
      <c r="BS349" s="21" t="n"/>
      <c r="BT349" s="27">
        <f>SUM(BR349:BS349)</f>
        <v/>
      </c>
      <c r="BU349" s="28" t="n"/>
      <c r="BV349" s="31" t="n"/>
      <c r="BW349" s="29">
        <f>IF(AND(BT349=0,BU349=0,BV349=0),0,IF(AND(BT349=0,BU349=0),BV349/1,IF(AND(BT349=0,BV349=0),BU349/1,IF(AND(BU349=0,BV349=0),BT349/1,IF(BT349=0,FLOOR((BU349+BV349)/2,0.1),IF(BU349=0,(BT349+BV349)/2,IF(BV349=0,(BU349+BT349)/2,FLOOR(((BT349+BU349+BV349)/3),0.1))))))))</f>
        <v/>
      </c>
      <c r="BX349" s="21" t="n"/>
      <c r="BY349" s="21" t="n"/>
      <c r="BZ349" s="27">
        <f>SUM(BX349:BY349)</f>
        <v/>
      </c>
      <c r="CA349" s="28" t="n"/>
      <c r="CB349" s="31" t="n"/>
      <c r="CC349" s="29">
        <f>IF(AND(BZ349=0,CA349=0,CB349=0),0,IF(AND(BZ349=0,CA349=0),CB349/1,IF(AND(BZ349=0,CB349=0),CA349/1,IF(AND(CA349=0,CB349=0),BZ349/1,IF(BZ349=0,FLOOR((CA349+CB349)/2,0.1),IF(CA349=0,(BZ349+CB349)/2,IF(CB349=0,(CA349+BZ349)/2,FLOOR(((BZ349+CA349+CB349)/3),0.1))))))))</f>
        <v/>
      </c>
      <c r="CD349" s="21" t="n"/>
      <c r="CE349" s="21" t="n"/>
      <c r="CF349" s="27">
        <f>SUM(CD349:CE349)</f>
        <v/>
      </c>
      <c r="CG349" s="28" t="n"/>
      <c r="CH349" s="31" t="n"/>
      <c r="CI349" s="29">
        <f>IF(AND(CF349=0,CG349=0,CH349=0),0,IF(AND(CF349=0,CG349=0),CH349/1,IF(AND(CF349=0,CH349=0),CG349/1,IF(AND(CG349=0,CH349=0),CF349/1,IF(CF349=0,FLOOR((CG349+CH349)/2,0.1),IF(CG349=0,(CF349+CH349)/2,IF(CH349=0,(CG349+CF349)/2,FLOOR(((CF349+CG349+CH349)/3),0.1))))))))</f>
        <v/>
      </c>
      <c r="CJ349" s="21" t="n"/>
      <c r="CK349" s="21" t="n"/>
      <c r="CL349" s="27">
        <f>SUM(CJ349:CK349)</f>
        <v/>
      </c>
      <c r="CM349" s="28" t="n"/>
      <c r="CN349" s="31" t="n"/>
      <c r="CO349" s="29">
        <f>IF(AND(CL349=0,CM349=0,CN349=0),0,IF(AND(CL349=0,CM349=0),CN349/1,IF(AND(CL349=0,CN349=0),CM349/1,IF(AND(CM349=0,CN349=0),CL349/1,IF(CL349=0,FLOOR((CM349+CN349)/2,0.1),IF(CM349=0,(CL349+CN349)/2,IF(CN349=0,(CM349+CL349)/2,FLOOR(((CL349+CM349+CN349)/3),0.1))))))))</f>
        <v/>
      </c>
      <c r="CP349" s="21" t="n"/>
      <c r="CQ349" s="21" t="n"/>
      <c r="CR349" s="27">
        <f>SUM(CP349:CQ349)</f>
        <v/>
      </c>
      <c r="CS349" s="28" t="n"/>
      <c r="CT349" s="31" t="n"/>
      <c r="CU349" s="29">
        <f>IF(AND(CR349=0,CS349=0,CT349=0),0,IF(AND(CR349=0,CS349=0),CT349/1,IF(AND(CR349=0,CT349=0),CS349/1,IF(AND(CS349=0,CT349=0),CR349/1,IF(CR349=0,FLOOR((CS349+CT349)/2,0.1),IF(CS349=0,(CR349+CT349)/2,IF(CT349=0,(CS349+CR349)/2,FLOOR(((CR349+CS349+CT349)/3),0.1))))))))</f>
        <v/>
      </c>
      <c r="CV349" s="21" t="n"/>
      <c r="CW349" s="21" t="n"/>
      <c r="CX349" s="27">
        <f>SUM(CV349:CW349)</f>
        <v/>
      </c>
      <c r="CY349" s="28" t="n"/>
      <c r="CZ349" s="31" t="n"/>
      <c r="DA349" s="29">
        <f>IF(AND(CX349=0,CY349=0,CZ349=0),0,IF(AND(CX349=0,CY349=0),CZ349/1,IF(AND(CX349=0,CZ349=0),CY349/1,IF(AND(CY349=0,CZ349=0),CX349/1,IF(CX349=0,FLOOR((CY349+CZ349)/2,0.1),IF(CY349=0,(CX349+CZ349)/2,IF(CZ349=0,(CY349+CX349)/2,FLOOR(((CX349+CY349+CZ349)/3),0.1))))))))</f>
        <v/>
      </c>
      <c r="DB349" s="21" t="n"/>
      <c r="DC349" s="21" t="n"/>
      <c r="DD349" s="27">
        <f>SUM(DB349:DC349)</f>
        <v/>
      </c>
      <c r="DE349" s="28" t="n"/>
      <c r="DF349" s="31" t="n"/>
      <c r="DG349" s="29">
        <f>IF(AND(DD349=0,DE349=0,DF349=0),0,IF(AND(DD349=0,DE349=0),DF349/1,IF(AND(DD349=0,DF349=0),DE349/1,IF(AND(DE349=0,DF349=0),DD349/1,IF(DD349=0,FLOOR((DE349+DF349)/2,0.1),IF(DE349=0,(DD349+DF349)/2,IF(DF349=0,(DE349+DD349)/2,FLOOR(((DD349+DE349+DF349)/3),0.1))))))))</f>
        <v/>
      </c>
      <c r="DH349" s="34">
        <f>SUM(O349,U349,AA349,AG349,AM349,AS349,AY349,BE349,BK349,BQ349,BW349,CC349,CI349,CO349,CU349,DA349,DG349)</f>
        <v/>
      </c>
      <c r="DI349" s="39">
        <f>RANK(DH349,DH$4:DH$503)</f>
        <v/>
      </c>
      <c r="DJ349" s="40" t="inlineStr">
        <is>
          <t>CHOOSE RATING</t>
        </is>
      </c>
      <c r="DK349" s="40" t="inlineStr">
        <is>
          <t>CHOOSE RATING</t>
        </is>
      </c>
      <c r="DL349" s="40" t="inlineStr">
        <is>
          <t>CHOOSE RATING</t>
        </is>
      </c>
      <c r="DM349" s="40" t="inlineStr">
        <is>
          <t>CHOOSE RATING</t>
        </is>
      </c>
      <c r="DN349" s="40" t="inlineStr">
        <is>
          <t>CHOOSE RATING</t>
        </is>
      </c>
      <c r="DO349" s="40" t="inlineStr">
        <is>
          <t>CHOOSE RATING</t>
        </is>
      </c>
      <c r="DP349" s="40" t="inlineStr">
        <is>
          <t>CHOOSE RATING</t>
        </is>
      </c>
      <c r="DQ349" s="40" t="inlineStr">
        <is>
          <t>CHOOSE RATING</t>
        </is>
      </c>
      <c r="DR349" s="43" t="inlineStr">
        <is>
          <t>2024/2025</t>
        </is>
      </c>
      <c r="DS349" s="45" t="inlineStr">
        <is>
          <t>THIRD</t>
        </is>
      </c>
      <c r="DT349" s="40" t="inlineStr">
        <is>
          <t>CHOOSE RATING</t>
        </is>
      </c>
      <c r="DU349" s="40" t="inlineStr">
        <is>
          <t>CHOOSE RATING</t>
        </is>
      </c>
      <c r="DV349" s="40" t="inlineStr">
        <is>
          <t>CHOOSE RATING</t>
        </is>
      </c>
      <c r="DW349" s="40" t="inlineStr">
        <is>
          <t>CHOOSE RATING</t>
        </is>
      </c>
      <c r="DX349" s="40" t="inlineStr">
        <is>
          <t>CHOOSE RATING</t>
        </is>
      </c>
      <c r="DY349" s="40" t="inlineStr">
        <is>
          <t>CHOOSE RATING</t>
        </is>
      </c>
      <c r="DZ349" s="53" t="inlineStr">
        <is>
          <t>CHOOSE RATING</t>
        </is>
      </c>
      <c r="EA349" s="54" t="inlineStr">
        <is>
          <t>Add the Tutor's Comment . . .</t>
        </is>
      </c>
      <c r="EB349" s="55" t="inlineStr">
        <is>
          <t>Choose Principals comment</t>
        </is>
      </c>
      <c r="EC349" s="56" t="n"/>
      <c r="ED349" s="57" t="inlineStr">
        <is>
          <t>Next Term Begins on Monday, 22nd September, 2025</t>
        </is>
      </c>
    </row>
    <row r="350" ht="30.6" customHeight="1" s="6">
      <c r="A350" s="18" t="n">
        <v>347</v>
      </c>
      <c r="B350" s="19" t="n"/>
      <c r="C350" s="20" t="n"/>
      <c r="D350" s="128" t="n"/>
      <c r="E350" s="21" t="n"/>
      <c r="F350" s="22" t="n"/>
      <c r="G350" s="22" t="n"/>
      <c r="H350" s="22" t="n"/>
      <c r="I350" s="26">
        <f>G350-H350</f>
        <v/>
      </c>
      <c r="J350" s="21" t="n"/>
      <c r="K350" s="21" t="n"/>
      <c r="L350" s="27">
        <f>SUM(J350:K350)</f>
        <v/>
      </c>
      <c r="M350" s="28" t="n"/>
      <c r="N350" s="28" t="n"/>
      <c r="O350" s="29">
        <f>IF(AND(L350=0,M350=0,N350=0),0,IF(AND(L350=0,M350=0),N350/1,IF(AND(L350=0,N350=0),M350/1,IF(AND(M350=0,N350=0),L350/1,IF(L350=0,FLOOR((M350+N350)/2,0.1),IF(M350=0,(L350+N350)/2,IF(N350=0,(M350+L350)/2,FLOOR(((L350+M350+N350)/3),0.1))))))))</f>
        <v/>
      </c>
      <c r="P350" s="21" t="n"/>
      <c r="Q350" s="21" t="n"/>
      <c r="R350" s="27">
        <f>SUM(P350:Q350)</f>
        <v/>
      </c>
      <c r="S350" s="28" t="n"/>
      <c r="T350" s="28" t="n"/>
      <c r="U350" s="29">
        <f>IF(AND(R350=0,S350=0,T350=0),0,IF(AND(R350=0,S350=0),T350/1,IF(AND(R350=0,T350=0),S350/1,IF(AND(S350=0,T350=0),R350/1,IF(R350=0,FLOOR((S350+T350)/2,0.1),IF(S350=0,(R350+T350)/2,IF(T350=0,(S350+R350)/2,FLOOR(((R350+S350+T350)/3),0.1))))))))</f>
        <v/>
      </c>
      <c r="V350" s="21" t="n"/>
      <c r="W350" s="21" t="n"/>
      <c r="X350" s="27">
        <f>SUM(V350:W350)</f>
        <v/>
      </c>
      <c r="Y350" s="28" t="n"/>
      <c r="Z350" s="28" t="n"/>
      <c r="AA350" s="29">
        <f>IF(AND(X350=0,Y350=0,Z350=0),0,IF(AND(X350=0,Y350=0),Z350/1,IF(AND(X350=0,Z350=0),Y350/1,IF(AND(Y350=0,Z350=0),X350/1,IF(X350=0,FLOOR((Y350+Z350)/2,0.1),IF(Y350=0,(X350+Z350)/2,IF(Z350=0,(Y350+X350)/2,FLOOR(((X350+Y350+Z350)/3),0.1))))))))</f>
        <v/>
      </c>
      <c r="AB350" s="21" t="n"/>
      <c r="AC350" s="21" t="n"/>
      <c r="AD350" s="27">
        <f>SUM(AB350:AC350)</f>
        <v/>
      </c>
      <c r="AE350" s="28" t="n"/>
      <c r="AF350" s="28" t="n"/>
      <c r="AG350" s="29">
        <f>IF(AND(AD350=0,AE350=0,AF350=0),0,IF(AND(AD350=0,AE350=0),AF350/1,IF(AND(AD350=0,AF350=0),AE350/1,IF(AND(AE350=0,AF350=0),AD350/1,IF(AD350=0,FLOOR((AE350+AF350)/2,0.1),IF(AE350=0,(AD350+AF350)/2,IF(AF350=0,(AE350+AD350)/2,FLOOR(((AD350+AE350+AF350)/3),0.1))))))))</f>
        <v/>
      </c>
      <c r="AH350" s="21" t="n"/>
      <c r="AI350" s="21" t="n"/>
      <c r="AJ350" s="27">
        <f>SUM(AH350:AI350)</f>
        <v/>
      </c>
      <c r="AK350" s="28" t="n"/>
      <c r="AL350" s="28" t="n"/>
      <c r="AM350" s="29">
        <f>IF(AND(AJ350=0,AK350=0,AL350=0),0,IF(AND(AJ350=0,AK350=0),AL350/1,IF(AND(AJ350=0,AL350=0),AK350/1,IF(AND(AK350=0,AL350=0),AJ350/1,IF(AJ350=0,FLOOR((AK350+AL350)/2,0.1),IF(AK350=0,(AJ350+AL350)/2,IF(AL350=0,(AK350+AJ350)/2,FLOOR(((AJ350+AK350+AL350)/3),0.1))))))))</f>
        <v/>
      </c>
      <c r="AN350" s="21" t="n"/>
      <c r="AO350" s="21" t="n"/>
      <c r="AP350" s="27">
        <f>SUM(AN350:AO350)</f>
        <v/>
      </c>
      <c r="AQ350" s="28" t="n"/>
      <c r="AR350" s="30" t="n"/>
      <c r="AS350" s="29">
        <f>IF(AND(AP350=0,AQ350=0,AR350=0),0,IF(AND(AP350=0,AQ350=0),AR350/1,IF(AND(AP350=0,AR350=0),AQ350/1,IF(AND(AQ350=0,AR350=0),AP350/1,IF(AP350=0,FLOOR((AQ350+AR350)/2,0.1),IF(AQ350=0,(AP350+AR350)/2,IF(AR350=0,(AQ350+AP350)/2,FLOOR(((AP350+AQ350+AR350)/3),0.1))))))))</f>
        <v/>
      </c>
      <c r="AT350" s="21" t="n"/>
      <c r="AU350" s="21" t="n"/>
      <c r="AV350" s="27">
        <f>SUM(AT350:AU350)</f>
        <v/>
      </c>
      <c r="AW350" s="28" t="n"/>
      <c r="AX350" s="30" t="n"/>
      <c r="AY350" s="29">
        <f>IF(AND(AV350=0,AW350=0,AX350=0),0,IF(AND(AV350=0,AW350=0),AX350/1,IF(AND(AV350=0,AX350=0),AW350/1,IF(AND(AW350=0,AX350=0),AV350/1,IF(AV350=0,FLOOR((AW350+AX350)/2,0.1),IF(AW350=0,(AV350+AX350)/2,IF(AX350=0,(AW350+AV350)/2,FLOOR(((AV350+AW350+AX350)/3),0.1))))))))</f>
        <v/>
      </c>
      <c r="AZ350" s="21" t="n"/>
      <c r="BA350" s="21" t="n"/>
      <c r="BB350" s="27">
        <f>SUM(AZ350:BA350)</f>
        <v/>
      </c>
      <c r="BC350" s="28" t="n"/>
      <c r="BD350" s="28" t="n"/>
      <c r="BE350" s="29">
        <f>IF(AND(BB350=0,BC350=0,BD350=0),0,IF(AND(BB350=0,BC350=0),BD350/1,IF(AND(BB350=0,BD350=0),BC350/1,IF(AND(BC350=0,BD350=0),BB350/1,IF(BB350=0,FLOOR((BC350+BD350)/2,0.1),IF(BC350=0,(BB350+BD350)/2,IF(BD350=0,(BC350+BB350)/2,FLOOR(((BB350+BC350+BD350)/3),0.1))))))))</f>
        <v/>
      </c>
      <c r="BF350" s="21" t="n"/>
      <c r="BG350" s="21" t="n"/>
      <c r="BH350" s="27">
        <f>SUM(BF350:BG350)</f>
        <v/>
      </c>
      <c r="BI350" s="28" t="n"/>
      <c r="BJ350" s="28" t="n"/>
      <c r="BK350" s="29">
        <f>IF(AND(BH350=0,BI350=0,BJ350=0),0,IF(AND(BH350=0,BI350=0),BJ350/1,IF(AND(BH350=0,BJ350=0),BI350/1,IF(AND(BI350=0,BJ350=0),BH350/1,IF(BH350=0,FLOOR((BI350+BJ350)/2,0.1),IF(BI350=0,(BH350+BJ350)/2,IF(BJ350=0,(BI350+BH350)/2,FLOOR(((BH350+BI350+BJ350)/3),0.1))))))))</f>
        <v/>
      </c>
      <c r="BL350" s="21" t="n"/>
      <c r="BM350" s="21" t="n"/>
      <c r="BN350" s="27">
        <f>SUM(BL350:BM350)</f>
        <v/>
      </c>
      <c r="BO350" s="28" t="n"/>
      <c r="BP350" s="31" t="n"/>
      <c r="BQ350" s="29">
        <f>IF(AND(BN350=0,BO350=0,BP350=0),0,IF(AND(BN350=0,BO350=0),BP350/1,IF(AND(BN350=0,BP350=0),BO350/1,IF(AND(BO350=0,BP350=0),BN350/1,IF(BN350=0,FLOOR((BO350+BP350)/2,0.1),IF(BO350=0,(BN350+BP350)/2,IF(BP350=0,(BO350+BN350)/2,FLOOR(((BN350+BO350+BP350)/3),0.1))))))))</f>
        <v/>
      </c>
      <c r="BR350" s="21" t="n"/>
      <c r="BS350" s="21" t="n"/>
      <c r="BT350" s="27">
        <f>SUM(BR350:BS350)</f>
        <v/>
      </c>
      <c r="BU350" s="28" t="n"/>
      <c r="BV350" s="31" t="n"/>
      <c r="BW350" s="29">
        <f>IF(AND(BT350=0,BU350=0,BV350=0),0,IF(AND(BT350=0,BU350=0),BV350/1,IF(AND(BT350=0,BV350=0),BU350/1,IF(AND(BU350=0,BV350=0),BT350/1,IF(BT350=0,FLOOR((BU350+BV350)/2,0.1),IF(BU350=0,(BT350+BV350)/2,IF(BV350=0,(BU350+BT350)/2,FLOOR(((BT350+BU350+BV350)/3),0.1))))))))</f>
        <v/>
      </c>
      <c r="BX350" s="21" t="n"/>
      <c r="BY350" s="21" t="n"/>
      <c r="BZ350" s="27">
        <f>SUM(BX350:BY350)</f>
        <v/>
      </c>
      <c r="CA350" s="28" t="n"/>
      <c r="CB350" s="31" t="n"/>
      <c r="CC350" s="29">
        <f>IF(AND(BZ350=0,CA350=0,CB350=0),0,IF(AND(BZ350=0,CA350=0),CB350/1,IF(AND(BZ350=0,CB350=0),CA350/1,IF(AND(CA350=0,CB350=0),BZ350/1,IF(BZ350=0,FLOOR((CA350+CB350)/2,0.1),IF(CA350=0,(BZ350+CB350)/2,IF(CB350=0,(CA350+BZ350)/2,FLOOR(((BZ350+CA350+CB350)/3),0.1))))))))</f>
        <v/>
      </c>
      <c r="CD350" s="21" t="n"/>
      <c r="CE350" s="21" t="n"/>
      <c r="CF350" s="27">
        <f>SUM(CD350:CE350)</f>
        <v/>
      </c>
      <c r="CG350" s="28" t="n"/>
      <c r="CH350" s="31" t="n"/>
      <c r="CI350" s="29">
        <f>IF(AND(CF350=0,CG350=0,CH350=0),0,IF(AND(CF350=0,CG350=0),CH350/1,IF(AND(CF350=0,CH350=0),CG350/1,IF(AND(CG350=0,CH350=0),CF350/1,IF(CF350=0,FLOOR((CG350+CH350)/2,0.1),IF(CG350=0,(CF350+CH350)/2,IF(CH350=0,(CG350+CF350)/2,FLOOR(((CF350+CG350+CH350)/3),0.1))))))))</f>
        <v/>
      </c>
      <c r="CJ350" s="21" t="n"/>
      <c r="CK350" s="21" t="n"/>
      <c r="CL350" s="27">
        <f>SUM(CJ350:CK350)</f>
        <v/>
      </c>
      <c r="CM350" s="28" t="n"/>
      <c r="CN350" s="31" t="n"/>
      <c r="CO350" s="29">
        <f>IF(AND(CL350=0,CM350=0,CN350=0),0,IF(AND(CL350=0,CM350=0),CN350/1,IF(AND(CL350=0,CN350=0),CM350/1,IF(AND(CM350=0,CN350=0),CL350/1,IF(CL350=0,FLOOR((CM350+CN350)/2,0.1),IF(CM350=0,(CL350+CN350)/2,IF(CN350=0,(CM350+CL350)/2,FLOOR(((CL350+CM350+CN350)/3),0.1))))))))</f>
        <v/>
      </c>
      <c r="CP350" s="21" t="n"/>
      <c r="CQ350" s="21" t="n"/>
      <c r="CR350" s="27">
        <f>SUM(CP350:CQ350)</f>
        <v/>
      </c>
      <c r="CS350" s="28" t="n"/>
      <c r="CT350" s="31" t="n"/>
      <c r="CU350" s="29">
        <f>IF(AND(CR350=0,CS350=0,CT350=0),0,IF(AND(CR350=0,CS350=0),CT350/1,IF(AND(CR350=0,CT350=0),CS350/1,IF(AND(CS350=0,CT350=0),CR350/1,IF(CR350=0,FLOOR((CS350+CT350)/2,0.1),IF(CS350=0,(CR350+CT350)/2,IF(CT350=0,(CS350+CR350)/2,FLOOR(((CR350+CS350+CT350)/3),0.1))))))))</f>
        <v/>
      </c>
      <c r="CV350" s="21" t="n"/>
      <c r="CW350" s="21" t="n"/>
      <c r="CX350" s="27">
        <f>SUM(CV350:CW350)</f>
        <v/>
      </c>
      <c r="CY350" s="28" t="n"/>
      <c r="CZ350" s="31" t="n"/>
      <c r="DA350" s="29">
        <f>IF(AND(CX350=0,CY350=0,CZ350=0),0,IF(AND(CX350=0,CY350=0),CZ350/1,IF(AND(CX350=0,CZ350=0),CY350/1,IF(AND(CY350=0,CZ350=0),CX350/1,IF(CX350=0,FLOOR((CY350+CZ350)/2,0.1),IF(CY350=0,(CX350+CZ350)/2,IF(CZ350=0,(CY350+CX350)/2,FLOOR(((CX350+CY350+CZ350)/3),0.1))))))))</f>
        <v/>
      </c>
      <c r="DB350" s="21" t="n"/>
      <c r="DC350" s="21" t="n"/>
      <c r="DD350" s="27">
        <f>SUM(DB350:DC350)</f>
        <v/>
      </c>
      <c r="DE350" s="28" t="n"/>
      <c r="DF350" s="31" t="n"/>
      <c r="DG350" s="29">
        <f>IF(AND(DD350=0,DE350=0,DF350=0),0,IF(AND(DD350=0,DE350=0),DF350/1,IF(AND(DD350=0,DF350=0),DE350/1,IF(AND(DE350=0,DF350=0),DD350/1,IF(DD350=0,FLOOR((DE350+DF350)/2,0.1),IF(DE350=0,(DD350+DF350)/2,IF(DF350=0,(DE350+DD350)/2,FLOOR(((DD350+DE350+DF350)/3),0.1))))))))</f>
        <v/>
      </c>
      <c r="DH350" s="34">
        <f>SUM(O350,U350,AA350,AG350,AM350,AS350,AY350,BE350,BK350,BQ350,BW350,CC350,CI350,CO350,CU350,DA350,DG350)</f>
        <v/>
      </c>
      <c r="DI350" s="39">
        <f>RANK(DH350,DH$4:DH$503)</f>
        <v/>
      </c>
      <c r="DJ350" s="40" t="inlineStr">
        <is>
          <t>CHOOSE RATING</t>
        </is>
      </c>
      <c r="DK350" s="40" t="inlineStr">
        <is>
          <t>CHOOSE RATING</t>
        </is>
      </c>
      <c r="DL350" s="40" t="inlineStr">
        <is>
          <t>CHOOSE RATING</t>
        </is>
      </c>
      <c r="DM350" s="40" t="inlineStr">
        <is>
          <t>CHOOSE RATING</t>
        </is>
      </c>
      <c r="DN350" s="40" t="inlineStr">
        <is>
          <t>CHOOSE RATING</t>
        </is>
      </c>
      <c r="DO350" s="40" t="inlineStr">
        <is>
          <t>CHOOSE RATING</t>
        </is>
      </c>
      <c r="DP350" s="40" t="inlineStr">
        <is>
          <t>CHOOSE RATING</t>
        </is>
      </c>
      <c r="DQ350" s="40" t="inlineStr">
        <is>
          <t>CHOOSE RATING</t>
        </is>
      </c>
      <c r="DR350" s="43" t="inlineStr">
        <is>
          <t>2024/2025</t>
        </is>
      </c>
      <c r="DS350" s="45" t="inlineStr">
        <is>
          <t>THIRD</t>
        </is>
      </c>
      <c r="DT350" s="40" t="inlineStr">
        <is>
          <t>CHOOSE RATING</t>
        </is>
      </c>
      <c r="DU350" s="40" t="inlineStr">
        <is>
          <t>CHOOSE RATING</t>
        </is>
      </c>
      <c r="DV350" s="40" t="inlineStr">
        <is>
          <t>CHOOSE RATING</t>
        </is>
      </c>
      <c r="DW350" s="40" t="inlineStr">
        <is>
          <t>CHOOSE RATING</t>
        </is>
      </c>
      <c r="DX350" s="40" t="inlineStr">
        <is>
          <t>CHOOSE RATING</t>
        </is>
      </c>
      <c r="DY350" s="40" t="inlineStr">
        <is>
          <t>CHOOSE RATING</t>
        </is>
      </c>
      <c r="DZ350" s="53" t="inlineStr">
        <is>
          <t>CHOOSE RATING</t>
        </is>
      </c>
      <c r="EA350" s="54" t="inlineStr">
        <is>
          <t>Add the Tutor's Comment . . .</t>
        </is>
      </c>
      <c r="EB350" s="55" t="inlineStr">
        <is>
          <t>Choose Principals comment</t>
        </is>
      </c>
      <c r="EC350" s="56" t="n"/>
      <c r="ED350" s="57" t="inlineStr">
        <is>
          <t>Next Term Begins on Monday, 22nd September, 2025</t>
        </is>
      </c>
    </row>
    <row r="351" ht="30.6" customHeight="1" s="6">
      <c r="A351" s="18" t="n">
        <v>348</v>
      </c>
      <c r="B351" s="19" t="n"/>
      <c r="C351" s="20" t="n"/>
      <c r="D351" s="128" t="n"/>
      <c r="E351" s="21" t="n"/>
      <c r="F351" s="22" t="n"/>
      <c r="G351" s="22" t="n"/>
      <c r="H351" s="22" t="n"/>
      <c r="I351" s="26">
        <f>G351-H351</f>
        <v/>
      </c>
      <c r="J351" s="21" t="n"/>
      <c r="K351" s="21" t="n"/>
      <c r="L351" s="27">
        <f>SUM(J351:K351)</f>
        <v/>
      </c>
      <c r="M351" s="28" t="n"/>
      <c r="N351" s="28" t="n"/>
      <c r="O351" s="29">
        <f>IF(AND(L351=0,M351=0,N351=0),0,IF(AND(L351=0,M351=0),N351/1,IF(AND(L351=0,N351=0),M351/1,IF(AND(M351=0,N351=0),L351/1,IF(L351=0,FLOOR((M351+N351)/2,0.1),IF(M351=0,(L351+N351)/2,IF(N351=0,(M351+L351)/2,FLOOR(((L351+M351+N351)/3),0.1))))))))</f>
        <v/>
      </c>
      <c r="P351" s="21" t="n"/>
      <c r="Q351" s="21" t="n"/>
      <c r="R351" s="27">
        <f>SUM(P351:Q351)</f>
        <v/>
      </c>
      <c r="S351" s="28" t="n"/>
      <c r="T351" s="28" t="n"/>
      <c r="U351" s="29">
        <f>IF(AND(R351=0,S351=0,T351=0),0,IF(AND(R351=0,S351=0),T351/1,IF(AND(R351=0,T351=0),S351/1,IF(AND(S351=0,T351=0),R351/1,IF(R351=0,FLOOR((S351+T351)/2,0.1),IF(S351=0,(R351+T351)/2,IF(T351=0,(S351+R351)/2,FLOOR(((R351+S351+T351)/3),0.1))))))))</f>
        <v/>
      </c>
      <c r="V351" s="21" t="n"/>
      <c r="W351" s="21" t="n"/>
      <c r="X351" s="27">
        <f>SUM(V351:W351)</f>
        <v/>
      </c>
      <c r="Y351" s="28" t="n"/>
      <c r="Z351" s="28" t="n"/>
      <c r="AA351" s="29">
        <f>IF(AND(X351=0,Y351=0,Z351=0),0,IF(AND(X351=0,Y351=0),Z351/1,IF(AND(X351=0,Z351=0),Y351/1,IF(AND(Y351=0,Z351=0),X351/1,IF(X351=0,FLOOR((Y351+Z351)/2,0.1),IF(Y351=0,(X351+Z351)/2,IF(Z351=0,(Y351+X351)/2,FLOOR(((X351+Y351+Z351)/3),0.1))))))))</f>
        <v/>
      </c>
      <c r="AB351" s="21" t="n"/>
      <c r="AC351" s="21" t="n"/>
      <c r="AD351" s="27">
        <f>SUM(AB351:AC351)</f>
        <v/>
      </c>
      <c r="AE351" s="28" t="n"/>
      <c r="AF351" s="28" t="n"/>
      <c r="AG351" s="29">
        <f>IF(AND(AD351=0,AE351=0,AF351=0),0,IF(AND(AD351=0,AE351=0),AF351/1,IF(AND(AD351=0,AF351=0),AE351/1,IF(AND(AE351=0,AF351=0),AD351/1,IF(AD351=0,FLOOR((AE351+AF351)/2,0.1),IF(AE351=0,(AD351+AF351)/2,IF(AF351=0,(AE351+AD351)/2,FLOOR(((AD351+AE351+AF351)/3),0.1))))))))</f>
        <v/>
      </c>
      <c r="AH351" s="21" t="n"/>
      <c r="AI351" s="21" t="n"/>
      <c r="AJ351" s="27">
        <f>SUM(AH351:AI351)</f>
        <v/>
      </c>
      <c r="AK351" s="28" t="n"/>
      <c r="AL351" s="28" t="n"/>
      <c r="AM351" s="29">
        <f>IF(AND(AJ351=0,AK351=0,AL351=0),0,IF(AND(AJ351=0,AK351=0),AL351/1,IF(AND(AJ351=0,AL351=0),AK351/1,IF(AND(AK351=0,AL351=0),AJ351/1,IF(AJ351=0,FLOOR((AK351+AL351)/2,0.1),IF(AK351=0,(AJ351+AL351)/2,IF(AL351=0,(AK351+AJ351)/2,FLOOR(((AJ351+AK351+AL351)/3),0.1))))))))</f>
        <v/>
      </c>
      <c r="AN351" s="21" t="n"/>
      <c r="AO351" s="21" t="n"/>
      <c r="AP351" s="27">
        <f>SUM(AN351:AO351)</f>
        <v/>
      </c>
      <c r="AQ351" s="28" t="n"/>
      <c r="AR351" s="30" t="n"/>
      <c r="AS351" s="29">
        <f>IF(AND(AP351=0,AQ351=0,AR351=0),0,IF(AND(AP351=0,AQ351=0),AR351/1,IF(AND(AP351=0,AR351=0),AQ351/1,IF(AND(AQ351=0,AR351=0),AP351/1,IF(AP351=0,FLOOR((AQ351+AR351)/2,0.1),IF(AQ351=0,(AP351+AR351)/2,IF(AR351=0,(AQ351+AP351)/2,FLOOR(((AP351+AQ351+AR351)/3),0.1))))))))</f>
        <v/>
      </c>
      <c r="AT351" s="21" t="n"/>
      <c r="AU351" s="21" t="n"/>
      <c r="AV351" s="27">
        <f>SUM(AT351:AU351)</f>
        <v/>
      </c>
      <c r="AW351" s="28" t="n"/>
      <c r="AX351" s="30" t="n"/>
      <c r="AY351" s="29">
        <f>IF(AND(AV351=0,AW351=0,AX351=0),0,IF(AND(AV351=0,AW351=0),AX351/1,IF(AND(AV351=0,AX351=0),AW351/1,IF(AND(AW351=0,AX351=0),AV351/1,IF(AV351=0,FLOOR((AW351+AX351)/2,0.1),IF(AW351=0,(AV351+AX351)/2,IF(AX351=0,(AW351+AV351)/2,FLOOR(((AV351+AW351+AX351)/3),0.1))))))))</f>
        <v/>
      </c>
      <c r="AZ351" s="21" t="n"/>
      <c r="BA351" s="21" t="n"/>
      <c r="BB351" s="27">
        <f>SUM(AZ351:BA351)</f>
        <v/>
      </c>
      <c r="BC351" s="28" t="n"/>
      <c r="BD351" s="28" t="n"/>
      <c r="BE351" s="29">
        <f>IF(AND(BB351=0,BC351=0,BD351=0),0,IF(AND(BB351=0,BC351=0),BD351/1,IF(AND(BB351=0,BD351=0),BC351/1,IF(AND(BC351=0,BD351=0),BB351/1,IF(BB351=0,FLOOR((BC351+BD351)/2,0.1),IF(BC351=0,(BB351+BD351)/2,IF(BD351=0,(BC351+BB351)/2,FLOOR(((BB351+BC351+BD351)/3),0.1))))))))</f>
        <v/>
      </c>
      <c r="BF351" s="21" t="n"/>
      <c r="BG351" s="21" t="n"/>
      <c r="BH351" s="27">
        <f>SUM(BF351:BG351)</f>
        <v/>
      </c>
      <c r="BI351" s="28" t="n"/>
      <c r="BJ351" s="28" t="n"/>
      <c r="BK351" s="29">
        <f>IF(AND(BH351=0,BI351=0,BJ351=0),0,IF(AND(BH351=0,BI351=0),BJ351/1,IF(AND(BH351=0,BJ351=0),BI351/1,IF(AND(BI351=0,BJ351=0),BH351/1,IF(BH351=0,FLOOR((BI351+BJ351)/2,0.1),IF(BI351=0,(BH351+BJ351)/2,IF(BJ351=0,(BI351+BH351)/2,FLOOR(((BH351+BI351+BJ351)/3),0.1))))))))</f>
        <v/>
      </c>
      <c r="BL351" s="21" t="n"/>
      <c r="BM351" s="21" t="n"/>
      <c r="BN351" s="27">
        <f>SUM(BL351:BM351)</f>
        <v/>
      </c>
      <c r="BO351" s="28" t="n"/>
      <c r="BP351" s="31" t="n"/>
      <c r="BQ351" s="29">
        <f>IF(AND(BN351=0,BO351=0,BP351=0),0,IF(AND(BN351=0,BO351=0),BP351/1,IF(AND(BN351=0,BP351=0),BO351/1,IF(AND(BO351=0,BP351=0),BN351/1,IF(BN351=0,FLOOR((BO351+BP351)/2,0.1),IF(BO351=0,(BN351+BP351)/2,IF(BP351=0,(BO351+BN351)/2,FLOOR(((BN351+BO351+BP351)/3),0.1))))))))</f>
        <v/>
      </c>
      <c r="BR351" s="21" t="n"/>
      <c r="BS351" s="21" t="n"/>
      <c r="BT351" s="27">
        <f>SUM(BR351:BS351)</f>
        <v/>
      </c>
      <c r="BU351" s="28" t="n"/>
      <c r="BV351" s="31" t="n"/>
      <c r="BW351" s="29">
        <f>IF(AND(BT351=0,BU351=0,BV351=0),0,IF(AND(BT351=0,BU351=0),BV351/1,IF(AND(BT351=0,BV351=0),BU351/1,IF(AND(BU351=0,BV351=0),BT351/1,IF(BT351=0,FLOOR((BU351+BV351)/2,0.1),IF(BU351=0,(BT351+BV351)/2,IF(BV351=0,(BU351+BT351)/2,FLOOR(((BT351+BU351+BV351)/3),0.1))))))))</f>
        <v/>
      </c>
      <c r="BX351" s="21" t="n"/>
      <c r="BY351" s="21" t="n"/>
      <c r="BZ351" s="27">
        <f>SUM(BX351:BY351)</f>
        <v/>
      </c>
      <c r="CA351" s="28" t="n"/>
      <c r="CB351" s="31" t="n"/>
      <c r="CC351" s="29">
        <f>IF(AND(BZ351=0,CA351=0,CB351=0),0,IF(AND(BZ351=0,CA351=0),CB351/1,IF(AND(BZ351=0,CB351=0),CA351/1,IF(AND(CA351=0,CB351=0),BZ351/1,IF(BZ351=0,FLOOR((CA351+CB351)/2,0.1),IF(CA351=0,(BZ351+CB351)/2,IF(CB351=0,(CA351+BZ351)/2,FLOOR(((BZ351+CA351+CB351)/3),0.1))))))))</f>
        <v/>
      </c>
      <c r="CD351" s="21" t="n"/>
      <c r="CE351" s="21" t="n"/>
      <c r="CF351" s="27">
        <f>SUM(CD351:CE351)</f>
        <v/>
      </c>
      <c r="CG351" s="28" t="n"/>
      <c r="CH351" s="31" t="n"/>
      <c r="CI351" s="29">
        <f>IF(AND(CF351=0,CG351=0,CH351=0),0,IF(AND(CF351=0,CG351=0),CH351/1,IF(AND(CF351=0,CH351=0),CG351/1,IF(AND(CG351=0,CH351=0),CF351/1,IF(CF351=0,FLOOR((CG351+CH351)/2,0.1),IF(CG351=0,(CF351+CH351)/2,IF(CH351=0,(CG351+CF351)/2,FLOOR(((CF351+CG351+CH351)/3),0.1))))))))</f>
        <v/>
      </c>
      <c r="CJ351" s="21" t="n"/>
      <c r="CK351" s="21" t="n"/>
      <c r="CL351" s="27">
        <f>SUM(CJ351:CK351)</f>
        <v/>
      </c>
      <c r="CM351" s="28" t="n"/>
      <c r="CN351" s="31" t="n"/>
      <c r="CO351" s="29">
        <f>IF(AND(CL351=0,CM351=0,CN351=0),0,IF(AND(CL351=0,CM351=0),CN351/1,IF(AND(CL351=0,CN351=0),CM351/1,IF(AND(CM351=0,CN351=0),CL351/1,IF(CL351=0,FLOOR((CM351+CN351)/2,0.1),IF(CM351=0,(CL351+CN351)/2,IF(CN351=0,(CM351+CL351)/2,FLOOR(((CL351+CM351+CN351)/3),0.1))))))))</f>
        <v/>
      </c>
      <c r="CP351" s="21" t="n"/>
      <c r="CQ351" s="21" t="n"/>
      <c r="CR351" s="27">
        <f>SUM(CP351:CQ351)</f>
        <v/>
      </c>
      <c r="CS351" s="28" t="n"/>
      <c r="CT351" s="31" t="n"/>
      <c r="CU351" s="29">
        <f>IF(AND(CR351=0,CS351=0,CT351=0),0,IF(AND(CR351=0,CS351=0),CT351/1,IF(AND(CR351=0,CT351=0),CS351/1,IF(AND(CS351=0,CT351=0),CR351/1,IF(CR351=0,FLOOR((CS351+CT351)/2,0.1),IF(CS351=0,(CR351+CT351)/2,IF(CT351=0,(CS351+CR351)/2,FLOOR(((CR351+CS351+CT351)/3),0.1))))))))</f>
        <v/>
      </c>
      <c r="CV351" s="21" t="n"/>
      <c r="CW351" s="21" t="n"/>
      <c r="CX351" s="27">
        <f>SUM(CV351:CW351)</f>
        <v/>
      </c>
      <c r="CY351" s="28" t="n"/>
      <c r="CZ351" s="31" t="n"/>
      <c r="DA351" s="29">
        <f>IF(AND(CX351=0,CY351=0,CZ351=0),0,IF(AND(CX351=0,CY351=0),CZ351/1,IF(AND(CX351=0,CZ351=0),CY351/1,IF(AND(CY351=0,CZ351=0),CX351/1,IF(CX351=0,FLOOR((CY351+CZ351)/2,0.1),IF(CY351=0,(CX351+CZ351)/2,IF(CZ351=0,(CY351+CX351)/2,FLOOR(((CX351+CY351+CZ351)/3),0.1))))))))</f>
        <v/>
      </c>
      <c r="DB351" s="21" t="n"/>
      <c r="DC351" s="21" t="n"/>
      <c r="DD351" s="27">
        <f>SUM(DB351:DC351)</f>
        <v/>
      </c>
      <c r="DE351" s="28" t="n"/>
      <c r="DF351" s="31" t="n"/>
      <c r="DG351" s="29">
        <f>IF(AND(DD351=0,DE351=0,DF351=0),0,IF(AND(DD351=0,DE351=0),DF351/1,IF(AND(DD351=0,DF351=0),DE351/1,IF(AND(DE351=0,DF351=0),DD351/1,IF(DD351=0,FLOOR((DE351+DF351)/2,0.1),IF(DE351=0,(DD351+DF351)/2,IF(DF351=0,(DE351+DD351)/2,FLOOR(((DD351+DE351+DF351)/3),0.1))))))))</f>
        <v/>
      </c>
      <c r="DH351" s="34">
        <f>SUM(O351,U351,AA351,AG351,AM351,AS351,AY351,BE351,BK351,BQ351,BW351,CC351,CI351,CO351,CU351,DA351,DG351)</f>
        <v/>
      </c>
      <c r="DI351" s="39">
        <f>RANK(DH351,DH$4:DH$503)</f>
        <v/>
      </c>
      <c r="DJ351" s="40" t="inlineStr">
        <is>
          <t>CHOOSE RATING</t>
        </is>
      </c>
      <c r="DK351" s="40" t="inlineStr">
        <is>
          <t>CHOOSE RATING</t>
        </is>
      </c>
      <c r="DL351" s="40" t="inlineStr">
        <is>
          <t>CHOOSE RATING</t>
        </is>
      </c>
      <c r="DM351" s="40" t="inlineStr">
        <is>
          <t>CHOOSE RATING</t>
        </is>
      </c>
      <c r="DN351" s="40" t="inlineStr">
        <is>
          <t>CHOOSE RATING</t>
        </is>
      </c>
      <c r="DO351" s="40" t="inlineStr">
        <is>
          <t>CHOOSE RATING</t>
        </is>
      </c>
      <c r="DP351" s="40" t="inlineStr">
        <is>
          <t>CHOOSE RATING</t>
        </is>
      </c>
      <c r="DQ351" s="40" t="inlineStr">
        <is>
          <t>CHOOSE RATING</t>
        </is>
      </c>
      <c r="DR351" s="43" t="inlineStr">
        <is>
          <t>2024/2025</t>
        </is>
      </c>
      <c r="DS351" s="45" t="inlineStr">
        <is>
          <t>THIRD</t>
        </is>
      </c>
      <c r="DT351" s="40" t="inlineStr">
        <is>
          <t>CHOOSE RATING</t>
        </is>
      </c>
      <c r="DU351" s="40" t="inlineStr">
        <is>
          <t>CHOOSE RATING</t>
        </is>
      </c>
      <c r="DV351" s="40" t="inlineStr">
        <is>
          <t>CHOOSE RATING</t>
        </is>
      </c>
      <c r="DW351" s="40" t="inlineStr">
        <is>
          <t>CHOOSE RATING</t>
        </is>
      </c>
      <c r="DX351" s="40" t="inlineStr">
        <is>
          <t>CHOOSE RATING</t>
        </is>
      </c>
      <c r="DY351" s="40" t="inlineStr">
        <is>
          <t>CHOOSE RATING</t>
        </is>
      </c>
      <c r="DZ351" s="53" t="inlineStr">
        <is>
          <t>CHOOSE RATING</t>
        </is>
      </c>
      <c r="EA351" s="54" t="inlineStr">
        <is>
          <t>Add the Tutor's Comment . . .</t>
        </is>
      </c>
      <c r="EB351" s="55" t="inlineStr">
        <is>
          <t>Choose Principals comment</t>
        </is>
      </c>
      <c r="EC351" s="56" t="n"/>
      <c r="ED351" s="57" t="inlineStr">
        <is>
          <t>Next Term Begins on Monday, 22nd September, 2025</t>
        </is>
      </c>
    </row>
    <row r="352" ht="30.6" customHeight="1" s="6">
      <c r="A352" s="18" t="n">
        <v>349</v>
      </c>
      <c r="B352" s="19" t="n"/>
      <c r="C352" s="20" t="n"/>
      <c r="D352" s="128" t="n"/>
      <c r="E352" s="21" t="n"/>
      <c r="F352" s="22" t="n"/>
      <c r="G352" s="22" t="n"/>
      <c r="H352" s="22" t="n"/>
      <c r="I352" s="26">
        <f>G352-H352</f>
        <v/>
      </c>
      <c r="J352" s="21" t="n"/>
      <c r="K352" s="21" t="n"/>
      <c r="L352" s="27">
        <f>SUM(J352:K352)</f>
        <v/>
      </c>
      <c r="M352" s="28" t="n"/>
      <c r="N352" s="28" t="n"/>
      <c r="O352" s="29">
        <f>IF(AND(L352=0,M352=0,N352=0),0,IF(AND(L352=0,M352=0),N352/1,IF(AND(L352=0,N352=0),M352/1,IF(AND(M352=0,N352=0),L352/1,IF(L352=0,FLOOR((M352+N352)/2,0.1),IF(M352=0,(L352+N352)/2,IF(N352=0,(M352+L352)/2,FLOOR(((L352+M352+N352)/3),0.1))))))))</f>
        <v/>
      </c>
      <c r="P352" s="21" t="n"/>
      <c r="Q352" s="21" t="n"/>
      <c r="R352" s="27">
        <f>SUM(P352:Q352)</f>
        <v/>
      </c>
      <c r="S352" s="28" t="n"/>
      <c r="T352" s="28" t="n"/>
      <c r="U352" s="29">
        <f>IF(AND(R352=0,S352=0,T352=0),0,IF(AND(R352=0,S352=0),T352/1,IF(AND(R352=0,T352=0),S352/1,IF(AND(S352=0,T352=0),R352/1,IF(R352=0,FLOOR((S352+T352)/2,0.1),IF(S352=0,(R352+T352)/2,IF(T352=0,(S352+R352)/2,FLOOR(((R352+S352+T352)/3),0.1))))))))</f>
        <v/>
      </c>
      <c r="V352" s="21" t="n"/>
      <c r="W352" s="21" t="n"/>
      <c r="X352" s="27">
        <f>SUM(V352:W352)</f>
        <v/>
      </c>
      <c r="Y352" s="28" t="n"/>
      <c r="Z352" s="28" t="n"/>
      <c r="AA352" s="29">
        <f>IF(AND(X352=0,Y352=0,Z352=0),0,IF(AND(X352=0,Y352=0),Z352/1,IF(AND(X352=0,Z352=0),Y352/1,IF(AND(Y352=0,Z352=0),X352/1,IF(X352=0,FLOOR((Y352+Z352)/2,0.1),IF(Y352=0,(X352+Z352)/2,IF(Z352=0,(Y352+X352)/2,FLOOR(((X352+Y352+Z352)/3),0.1))))))))</f>
        <v/>
      </c>
      <c r="AB352" s="21" t="n"/>
      <c r="AC352" s="21" t="n"/>
      <c r="AD352" s="27">
        <f>SUM(AB352:AC352)</f>
        <v/>
      </c>
      <c r="AE352" s="28" t="n"/>
      <c r="AF352" s="28" t="n"/>
      <c r="AG352" s="29">
        <f>IF(AND(AD352=0,AE352=0,AF352=0),0,IF(AND(AD352=0,AE352=0),AF352/1,IF(AND(AD352=0,AF352=0),AE352/1,IF(AND(AE352=0,AF352=0),AD352/1,IF(AD352=0,FLOOR((AE352+AF352)/2,0.1),IF(AE352=0,(AD352+AF352)/2,IF(AF352=0,(AE352+AD352)/2,FLOOR(((AD352+AE352+AF352)/3),0.1))))))))</f>
        <v/>
      </c>
      <c r="AH352" s="21" t="n"/>
      <c r="AI352" s="21" t="n"/>
      <c r="AJ352" s="27">
        <f>SUM(AH352:AI352)</f>
        <v/>
      </c>
      <c r="AK352" s="28" t="n"/>
      <c r="AL352" s="28" t="n"/>
      <c r="AM352" s="29">
        <f>IF(AND(AJ352=0,AK352=0,AL352=0),0,IF(AND(AJ352=0,AK352=0),AL352/1,IF(AND(AJ352=0,AL352=0),AK352/1,IF(AND(AK352=0,AL352=0),AJ352/1,IF(AJ352=0,FLOOR((AK352+AL352)/2,0.1),IF(AK352=0,(AJ352+AL352)/2,IF(AL352=0,(AK352+AJ352)/2,FLOOR(((AJ352+AK352+AL352)/3),0.1))))))))</f>
        <v/>
      </c>
      <c r="AN352" s="21" t="n"/>
      <c r="AO352" s="21" t="n"/>
      <c r="AP352" s="27">
        <f>SUM(AN352:AO352)</f>
        <v/>
      </c>
      <c r="AQ352" s="28" t="n"/>
      <c r="AR352" s="30" t="n"/>
      <c r="AS352" s="29">
        <f>IF(AND(AP352=0,AQ352=0,AR352=0),0,IF(AND(AP352=0,AQ352=0),AR352/1,IF(AND(AP352=0,AR352=0),AQ352/1,IF(AND(AQ352=0,AR352=0),AP352/1,IF(AP352=0,FLOOR((AQ352+AR352)/2,0.1),IF(AQ352=0,(AP352+AR352)/2,IF(AR352=0,(AQ352+AP352)/2,FLOOR(((AP352+AQ352+AR352)/3),0.1))))))))</f>
        <v/>
      </c>
      <c r="AT352" s="21" t="n"/>
      <c r="AU352" s="21" t="n"/>
      <c r="AV352" s="27">
        <f>SUM(AT352:AU352)</f>
        <v/>
      </c>
      <c r="AW352" s="28" t="n"/>
      <c r="AX352" s="30" t="n"/>
      <c r="AY352" s="29">
        <f>IF(AND(AV352=0,AW352=0,AX352=0),0,IF(AND(AV352=0,AW352=0),AX352/1,IF(AND(AV352=0,AX352=0),AW352/1,IF(AND(AW352=0,AX352=0),AV352/1,IF(AV352=0,FLOOR((AW352+AX352)/2,0.1),IF(AW352=0,(AV352+AX352)/2,IF(AX352=0,(AW352+AV352)/2,FLOOR(((AV352+AW352+AX352)/3),0.1))))))))</f>
        <v/>
      </c>
      <c r="AZ352" s="21" t="n"/>
      <c r="BA352" s="21" t="n"/>
      <c r="BB352" s="27">
        <f>SUM(AZ352:BA352)</f>
        <v/>
      </c>
      <c r="BC352" s="28" t="n"/>
      <c r="BD352" s="28" t="n"/>
      <c r="BE352" s="29">
        <f>IF(AND(BB352=0,BC352=0,BD352=0),0,IF(AND(BB352=0,BC352=0),BD352/1,IF(AND(BB352=0,BD352=0),BC352/1,IF(AND(BC352=0,BD352=0),BB352/1,IF(BB352=0,FLOOR((BC352+BD352)/2,0.1),IF(BC352=0,(BB352+BD352)/2,IF(BD352=0,(BC352+BB352)/2,FLOOR(((BB352+BC352+BD352)/3),0.1))))))))</f>
        <v/>
      </c>
      <c r="BF352" s="21" t="n"/>
      <c r="BG352" s="21" t="n"/>
      <c r="BH352" s="27">
        <f>SUM(BF352:BG352)</f>
        <v/>
      </c>
      <c r="BI352" s="28" t="n"/>
      <c r="BJ352" s="28" t="n"/>
      <c r="BK352" s="29">
        <f>IF(AND(BH352=0,BI352=0,BJ352=0),0,IF(AND(BH352=0,BI352=0),BJ352/1,IF(AND(BH352=0,BJ352=0),BI352/1,IF(AND(BI352=0,BJ352=0),BH352/1,IF(BH352=0,FLOOR((BI352+BJ352)/2,0.1),IF(BI352=0,(BH352+BJ352)/2,IF(BJ352=0,(BI352+BH352)/2,FLOOR(((BH352+BI352+BJ352)/3),0.1))))))))</f>
        <v/>
      </c>
      <c r="BL352" s="21" t="n"/>
      <c r="BM352" s="21" t="n"/>
      <c r="BN352" s="27">
        <f>SUM(BL352:BM352)</f>
        <v/>
      </c>
      <c r="BO352" s="28" t="n"/>
      <c r="BP352" s="31" t="n"/>
      <c r="BQ352" s="29">
        <f>IF(AND(BN352=0,BO352=0,BP352=0),0,IF(AND(BN352=0,BO352=0),BP352/1,IF(AND(BN352=0,BP352=0),BO352/1,IF(AND(BO352=0,BP352=0),BN352/1,IF(BN352=0,FLOOR((BO352+BP352)/2,0.1),IF(BO352=0,(BN352+BP352)/2,IF(BP352=0,(BO352+BN352)/2,FLOOR(((BN352+BO352+BP352)/3),0.1))))))))</f>
        <v/>
      </c>
      <c r="BR352" s="21" t="n"/>
      <c r="BS352" s="21" t="n"/>
      <c r="BT352" s="27">
        <f>SUM(BR352:BS352)</f>
        <v/>
      </c>
      <c r="BU352" s="28" t="n"/>
      <c r="BV352" s="31" t="n"/>
      <c r="BW352" s="29">
        <f>IF(AND(BT352=0,BU352=0,BV352=0),0,IF(AND(BT352=0,BU352=0),BV352/1,IF(AND(BT352=0,BV352=0),BU352/1,IF(AND(BU352=0,BV352=0),BT352/1,IF(BT352=0,FLOOR((BU352+BV352)/2,0.1),IF(BU352=0,(BT352+BV352)/2,IF(BV352=0,(BU352+BT352)/2,FLOOR(((BT352+BU352+BV352)/3),0.1))))))))</f>
        <v/>
      </c>
      <c r="BX352" s="21" t="n"/>
      <c r="BY352" s="21" t="n"/>
      <c r="BZ352" s="27">
        <f>SUM(BX352:BY352)</f>
        <v/>
      </c>
      <c r="CA352" s="28" t="n"/>
      <c r="CB352" s="31" t="n"/>
      <c r="CC352" s="29">
        <f>IF(AND(BZ352=0,CA352=0,CB352=0),0,IF(AND(BZ352=0,CA352=0),CB352/1,IF(AND(BZ352=0,CB352=0),CA352/1,IF(AND(CA352=0,CB352=0),BZ352/1,IF(BZ352=0,FLOOR((CA352+CB352)/2,0.1),IF(CA352=0,(BZ352+CB352)/2,IF(CB352=0,(CA352+BZ352)/2,FLOOR(((BZ352+CA352+CB352)/3),0.1))))))))</f>
        <v/>
      </c>
      <c r="CD352" s="21" t="n"/>
      <c r="CE352" s="21" t="n"/>
      <c r="CF352" s="27">
        <f>SUM(CD352:CE352)</f>
        <v/>
      </c>
      <c r="CG352" s="28" t="n"/>
      <c r="CH352" s="31" t="n"/>
      <c r="CI352" s="29">
        <f>IF(AND(CF352=0,CG352=0,CH352=0),0,IF(AND(CF352=0,CG352=0),CH352/1,IF(AND(CF352=0,CH352=0),CG352/1,IF(AND(CG352=0,CH352=0),CF352/1,IF(CF352=0,FLOOR((CG352+CH352)/2,0.1),IF(CG352=0,(CF352+CH352)/2,IF(CH352=0,(CG352+CF352)/2,FLOOR(((CF352+CG352+CH352)/3),0.1))))))))</f>
        <v/>
      </c>
      <c r="CJ352" s="21" t="n"/>
      <c r="CK352" s="21" t="n"/>
      <c r="CL352" s="27">
        <f>SUM(CJ352:CK352)</f>
        <v/>
      </c>
      <c r="CM352" s="28" t="n"/>
      <c r="CN352" s="31" t="n"/>
      <c r="CO352" s="29">
        <f>IF(AND(CL352=0,CM352=0,CN352=0),0,IF(AND(CL352=0,CM352=0),CN352/1,IF(AND(CL352=0,CN352=0),CM352/1,IF(AND(CM352=0,CN352=0),CL352/1,IF(CL352=0,FLOOR((CM352+CN352)/2,0.1),IF(CM352=0,(CL352+CN352)/2,IF(CN352=0,(CM352+CL352)/2,FLOOR(((CL352+CM352+CN352)/3),0.1))))))))</f>
        <v/>
      </c>
      <c r="CP352" s="21" t="n"/>
      <c r="CQ352" s="21" t="n"/>
      <c r="CR352" s="27">
        <f>SUM(CP352:CQ352)</f>
        <v/>
      </c>
      <c r="CS352" s="28" t="n"/>
      <c r="CT352" s="31" t="n"/>
      <c r="CU352" s="29">
        <f>IF(AND(CR352=0,CS352=0,CT352=0),0,IF(AND(CR352=0,CS352=0),CT352/1,IF(AND(CR352=0,CT352=0),CS352/1,IF(AND(CS352=0,CT352=0),CR352/1,IF(CR352=0,FLOOR((CS352+CT352)/2,0.1),IF(CS352=0,(CR352+CT352)/2,IF(CT352=0,(CS352+CR352)/2,FLOOR(((CR352+CS352+CT352)/3),0.1))))))))</f>
        <v/>
      </c>
      <c r="CV352" s="21" t="n"/>
      <c r="CW352" s="21" t="n"/>
      <c r="CX352" s="27">
        <f>SUM(CV352:CW352)</f>
        <v/>
      </c>
      <c r="CY352" s="28" t="n"/>
      <c r="CZ352" s="31" t="n"/>
      <c r="DA352" s="29">
        <f>IF(AND(CX352=0,CY352=0,CZ352=0),0,IF(AND(CX352=0,CY352=0),CZ352/1,IF(AND(CX352=0,CZ352=0),CY352/1,IF(AND(CY352=0,CZ352=0),CX352/1,IF(CX352=0,FLOOR((CY352+CZ352)/2,0.1),IF(CY352=0,(CX352+CZ352)/2,IF(CZ352=0,(CY352+CX352)/2,FLOOR(((CX352+CY352+CZ352)/3),0.1))))))))</f>
        <v/>
      </c>
      <c r="DB352" s="21" t="n"/>
      <c r="DC352" s="21" t="n"/>
      <c r="DD352" s="27">
        <f>SUM(DB352:DC352)</f>
        <v/>
      </c>
      <c r="DE352" s="28" t="n"/>
      <c r="DF352" s="31" t="n"/>
      <c r="DG352" s="29">
        <f>IF(AND(DD352=0,DE352=0,DF352=0),0,IF(AND(DD352=0,DE352=0),DF352/1,IF(AND(DD352=0,DF352=0),DE352/1,IF(AND(DE352=0,DF352=0),DD352/1,IF(DD352=0,FLOOR((DE352+DF352)/2,0.1),IF(DE352=0,(DD352+DF352)/2,IF(DF352=0,(DE352+DD352)/2,FLOOR(((DD352+DE352+DF352)/3),0.1))))))))</f>
        <v/>
      </c>
      <c r="DH352" s="34">
        <f>SUM(O352,U352,AA352,AG352,AM352,AS352,AY352,BE352,BK352,BQ352,BW352,CC352,CI352,CO352,CU352,DA352,DG352)</f>
        <v/>
      </c>
      <c r="DI352" s="39">
        <f>RANK(DH352,DH$4:DH$503)</f>
        <v/>
      </c>
      <c r="DJ352" s="40" t="inlineStr">
        <is>
          <t>CHOOSE RATING</t>
        </is>
      </c>
      <c r="DK352" s="40" t="inlineStr">
        <is>
          <t>CHOOSE RATING</t>
        </is>
      </c>
      <c r="DL352" s="40" t="inlineStr">
        <is>
          <t>CHOOSE RATING</t>
        </is>
      </c>
      <c r="DM352" s="40" t="inlineStr">
        <is>
          <t>CHOOSE RATING</t>
        </is>
      </c>
      <c r="DN352" s="40" t="inlineStr">
        <is>
          <t>CHOOSE RATING</t>
        </is>
      </c>
      <c r="DO352" s="40" t="inlineStr">
        <is>
          <t>CHOOSE RATING</t>
        </is>
      </c>
      <c r="DP352" s="40" t="inlineStr">
        <is>
          <t>CHOOSE RATING</t>
        </is>
      </c>
      <c r="DQ352" s="40" t="inlineStr">
        <is>
          <t>CHOOSE RATING</t>
        </is>
      </c>
      <c r="DR352" s="43" t="inlineStr">
        <is>
          <t>2024/2025</t>
        </is>
      </c>
      <c r="DS352" s="45" t="inlineStr">
        <is>
          <t>THIRD</t>
        </is>
      </c>
      <c r="DT352" s="40" t="inlineStr">
        <is>
          <t>CHOOSE RATING</t>
        </is>
      </c>
      <c r="DU352" s="40" t="inlineStr">
        <is>
          <t>CHOOSE RATING</t>
        </is>
      </c>
      <c r="DV352" s="40" t="inlineStr">
        <is>
          <t>CHOOSE RATING</t>
        </is>
      </c>
      <c r="DW352" s="40" t="inlineStr">
        <is>
          <t>CHOOSE RATING</t>
        </is>
      </c>
      <c r="DX352" s="40" t="inlineStr">
        <is>
          <t>CHOOSE RATING</t>
        </is>
      </c>
      <c r="DY352" s="40" t="inlineStr">
        <is>
          <t>CHOOSE RATING</t>
        </is>
      </c>
      <c r="DZ352" s="53" t="inlineStr">
        <is>
          <t>CHOOSE RATING</t>
        </is>
      </c>
      <c r="EA352" s="54" t="inlineStr">
        <is>
          <t>Add the Tutor's Comment . . .</t>
        </is>
      </c>
      <c r="EB352" s="55" t="inlineStr">
        <is>
          <t>Choose Principals comment</t>
        </is>
      </c>
      <c r="EC352" s="56" t="n"/>
      <c r="ED352" s="57" t="inlineStr">
        <is>
          <t>Next Term Begins on Monday, 22nd September, 2025</t>
        </is>
      </c>
    </row>
    <row r="353" ht="30.6" customHeight="1" s="6">
      <c r="A353" s="18" t="n">
        <v>350</v>
      </c>
      <c r="B353" s="19" t="n"/>
      <c r="C353" s="20" t="n"/>
      <c r="D353" s="128" t="n"/>
      <c r="E353" s="21" t="n"/>
      <c r="F353" s="22" t="n"/>
      <c r="G353" s="22" t="n"/>
      <c r="H353" s="22" t="n"/>
      <c r="I353" s="26">
        <f>G353-H353</f>
        <v/>
      </c>
      <c r="J353" s="21" t="n"/>
      <c r="K353" s="21" t="n"/>
      <c r="L353" s="27">
        <f>SUM(J353:K353)</f>
        <v/>
      </c>
      <c r="M353" s="28" t="n"/>
      <c r="N353" s="28" t="n"/>
      <c r="O353" s="29">
        <f>IF(AND(L353=0,M353=0,N353=0),0,IF(AND(L353=0,M353=0),N353/1,IF(AND(L353=0,N353=0),M353/1,IF(AND(M353=0,N353=0),L353/1,IF(L353=0,FLOOR((M353+N353)/2,0.1),IF(M353=0,(L353+N353)/2,IF(N353=0,(M353+L353)/2,FLOOR(((L353+M353+N353)/3),0.1))))))))</f>
        <v/>
      </c>
      <c r="P353" s="21" t="n"/>
      <c r="Q353" s="21" t="n"/>
      <c r="R353" s="27">
        <f>SUM(P353:Q353)</f>
        <v/>
      </c>
      <c r="S353" s="28" t="n"/>
      <c r="T353" s="28" t="n"/>
      <c r="U353" s="29">
        <f>IF(AND(R353=0,S353=0,T353=0),0,IF(AND(R353=0,S353=0),T353/1,IF(AND(R353=0,T353=0),S353/1,IF(AND(S353=0,T353=0),R353/1,IF(R353=0,FLOOR((S353+T353)/2,0.1),IF(S353=0,(R353+T353)/2,IF(T353=0,(S353+R353)/2,FLOOR(((R353+S353+T353)/3),0.1))))))))</f>
        <v/>
      </c>
      <c r="V353" s="21" t="n"/>
      <c r="W353" s="21" t="n"/>
      <c r="X353" s="27">
        <f>SUM(V353:W353)</f>
        <v/>
      </c>
      <c r="Y353" s="28" t="n"/>
      <c r="Z353" s="28" t="n"/>
      <c r="AA353" s="29">
        <f>IF(AND(X353=0,Y353=0,Z353=0),0,IF(AND(X353=0,Y353=0),Z353/1,IF(AND(X353=0,Z353=0),Y353/1,IF(AND(Y353=0,Z353=0),X353/1,IF(X353=0,FLOOR((Y353+Z353)/2,0.1),IF(Y353=0,(X353+Z353)/2,IF(Z353=0,(Y353+X353)/2,FLOOR(((X353+Y353+Z353)/3),0.1))))))))</f>
        <v/>
      </c>
      <c r="AB353" s="21" t="n"/>
      <c r="AC353" s="21" t="n"/>
      <c r="AD353" s="27">
        <f>SUM(AB353:AC353)</f>
        <v/>
      </c>
      <c r="AE353" s="28" t="n"/>
      <c r="AF353" s="28" t="n"/>
      <c r="AG353" s="29">
        <f>IF(AND(AD353=0,AE353=0,AF353=0),0,IF(AND(AD353=0,AE353=0),AF353/1,IF(AND(AD353=0,AF353=0),AE353/1,IF(AND(AE353=0,AF353=0),AD353/1,IF(AD353=0,FLOOR((AE353+AF353)/2,0.1),IF(AE353=0,(AD353+AF353)/2,IF(AF353=0,(AE353+AD353)/2,FLOOR(((AD353+AE353+AF353)/3),0.1))))))))</f>
        <v/>
      </c>
      <c r="AH353" s="21" t="n"/>
      <c r="AI353" s="21" t="n"/>
      <c r="AJ353" s="27">
        <f>SUM(AH353:AI353)</f>
        <v/>
      </c>
      <c r="AK353" s="28" t="n"/>
      <c r="AL353" s="28" t="n"/>
      <c r="AM353" s="29">
        <f>IF(AND(AJ353=0,AK353=0,AL353=0),0,IF(AND(AJ353=0,AK353=0),AL353/1,IF(AND(AJ353=0,AL353=0),AK353/1,IF(AND(AK353=0,AL353=0),AJ353/1,IF(AJ353=0,FLOOR((AK353+AL353)/2,0.1),IF(AK353=0,(AJ353+AL353)/2,IF(AL353=0,(AK353+AJ353)/2,FLOOR(((AJ353+AK353+AL353)/3),0.1))))))))</f>
        <v/>
      </c>
      <c r="AN353" s="21" t="n"/>
      <c r="AO353" s="21" t="n"/>
      <c r="AP353" s="27">
        <f>SUM(AN353:AO353)</f>
        <v/>
      </c>
      <c r="AQ353" s="28" t="n"/>
      <c r="AR353" s="30" t="n"/>
      <c r="AS353" s="29">
        <f>IF(AND(AP353=0,AQ353=0,AR353=0),0,IF(AND(AP353=0,AQ353=0),AR353/1,IF(AND(AP353=0,AR353=0),AQ353/1,IF(AND(AQ353=0,AR353=0),AP353/1,IF(AP353=0,FLOOR((AQ353+AR353)/2,0.1),IF(AQ353=0,(AP353+AR353)/2,IF(AR353=0,(AQ353+AP353)/2,FLOOR(((AP353+AQ353+AR353)/3),0.1))))))))</f>
        <v/>
      </c>
      <c r="AT353" s="21" t="n"/>
      <c r="AU353" s="21" t="n"/>
      <c r="AV353" s="27">
        <f>SUM(AT353:AU353)</f>
        <v/>
      </c>
      <c r="AW353" s="28" t="n"/>
      <c r="AX353" s="30" t="n"/>
      <c r="AY353" s="29">
        <f>IF(AND(AV353=0,AW353=0,AX353=0),0,IF(AND(AV353=0,AW353=0),AX353/1,IF(AND(AV353=0,AX353=0),AW353/1,IF(AND(AW353=0,AX353=0),AV353/1,IF(AV353=0,FLOOR((AW353+AX353)/2,0.1),IF(AW353=0,(AV353+AX353)/2,IF(AX353=0,(AW353+AV353)/2,FLOOR(((AV353+AW353+AX353)/3),0.1))))))))</f>
        <v/>
      </c>
      <c r="AZ353" s="21" t="n"/>
      <c r="BA353" s="21" t="n"/>
      <c r="BB353" s="27">
        <f>SUM(AZ353:BA353)</f>
        <v/>
      </c>
      <c r="BC353" s="28" t="n"/>
      <c r="BD353" s="28" t="n"/>
      <c r="BE353" s="29">
        <f>IF(AND(BB353=0,BC353=0,BD353=0),0,IF(AND(BB353=0,BC353=0),BD353/1,IF(AND(BB353=0,BD353=0),BC353/1,IF(AND(BC353=0,BD353=0),BB353/1,IF(BB353=0,FLOOR((BC353+BD353)/2,0.1),IF(BC353=0,(BB353+BD353)/2,IF(BD353=0,(BC353+BB353)/2,FLOOR(((BB353+BC353+BD353)/3),0.1))))))))</f>
        <v/>
      </c>
      <c r="BF353" s="21" t="n"/>
      <c r="BG353" s="21" t="n"/>
      <c r="BH353" s="27">
        <f>SUM(BF353:BG353)</f>
        <v/>
      </c>
      <c r="BI353" s="28" t="n"/>
      <c r="BJ353" s="28" t="n"/>
      <c r="BK353" s="29">
        <f>IF(AND(BH353=0,BI353=0,BJ353=0),0,IF(AND(BH353=0,BI353=0),BJ353/1,IF(AND(BH353=0,BJ353=0),BI353/1,IF(AND(BI353=0,BJ353=0),BH353/1,IF(BH353=0,FLOOR((BI353+BJ353)/2,0.1),IF(BI353=0,(BH353+BJ353)/2,IF(BJ353=0,(BI353+BH353)/2,FLOOR(((BH353+BI353+BJ353)/3),0.1))))))))</f>
        <v/>
      </c>
      <c r="BL353" s="21" t="n"/>
      <c r="BM353" s="21" t="n"/>
      <c r="BN353" s="27">
        <f>SUM(BL353:BM353)</f>
        <v/>
      </c>
      <c r="BO353" s="28" t="n"/>
      <c r="BP353" s="31" t="n"/>
      <c r="BQ353" s="29">
        <f>IF(AND(BN353=0,BO353=0,BP353=0),0,IF(AND(BN353=0,BO353=0),BP353/1,IF(AND(BN353=0,BP353=0),BO353/1,IF(AND(BO353=0,BP353=0),BN353/1,IF(BN353=0,FLOOR((BO353+BP353)/2,0.1),IF(BO353=0,(BN353+BP353)/2,IF(BP353=0,(BO353+BN353)/2,FLOOR(((BN353+BO353+BP353)/3),0.1))))))))</f>
        <v/>
      </c>
      <c r="BR353" s="21" t="n"/>
      <c r="BS353" s="21" t="n"/>
      <c r="BT353" s="27">
        <f>SUM(BR353:BS353)</f>
        <v/>
      </c>
      <c r="BU353" s="28" t="n"/>
      <c r="BV353" s="31" t="n"/>
      <c r="BW353" s="29">
        <f>IF(AND(BT353=0,BU353=0,BV353=0),0,IF(AND(BT353=0,BU353=0),BV353/1,IF(AND(BT353=0,BV353=0),BU353/1,IF(AND(BU353=0,BV353=0),BT353/1,IF(BT353=0,FLOOR((BU353+BV353)/2,0.1),IF(BU353=0,(BT353+BV353)/2,IF(BV353=0,(BU353+BT353)/2,FLOOR(((BT353+BU353+BV353)/3),0.1))))))))</f>
        <v/>
      </c>
      <c r="BX353" s="21" t="n"/>
      <c r="BY353" s="21" t="n"/>
      <c r="BZ353" s="27">
        <f>SUM(BX353:BY353)</f>
        <v/>
      </c>
      <c r="CA353" s="28" t="n"/>
      <c r="CB353" s="31" t="n"/>
      <c r="CC353" s="29">
        <f>IF(AND(BZ353=0,CA353=0,CB353=0),0,IF(AND(BZ353=0,CA353=0),CB353/1,IF(AND(BZ353=0,CB353=0),CA353/1,IF(AND(CA353=0,CB353=0),BZ353/1,IF(BZ353=0,FLOOR((CA353+CB353)/2,0.1),IF(CA353=0,(BZ353+CB353)/2,IF(CB353=0,(CA353+BZ353)/2,FLOOR(((BZ353+CA353+CB353)/3),0.1))))))))</f>
        <v/>
      </c>
      <c r="CD353" s="21" t="n"/>
      <c r="CE353" s="21" t="n"/>
      <c r="CF353" s="27">
        <f>SUM(CD353:CE353)</f>
        <v/>
      </c>
      <c r="CG353" s="28" t="n"/>
      <c r="CH353" s="31" t="n"/>
      <c r="CI353" s="29">
        <f>IF(AND(CF353=0,CG353=0,CH353=0),0,IF(AND(CF353=0,CG353=0),CH353/1,IF(AND(CF353=0,CH353=0),CG353/1,IF(AND(CG353=0,CH353=0),CF353/1,IF(CF353=0,FLOOR((CG353+CH353)/2,0.1),IF(CG353=0,(CF353+CH353)/2,IF(CH353=0,(CG353+CF353)/2,FLOOR(((CF353+CG353+CH353)/3),0.1))))))))</f>
        <v/>
      </c>
      <c r="CJ353" s="21" t="n"/>
      <c r="CK353" s="21" t="n"/>
      <c r="CL353" s="27">
        <f>SUM(CJ353:CK353)</f>
        <v/>
      </c>
      <c r="CM353" s="28" t="n"/>
      <c r="CN353" s="31" t="n"/>
      <c r="CO353" s="29">
        <f>IF(AND(CL353=0,CM353=0,CN353=0),0,IF(AND(CL353=0,CM353=0),CN353/1,IF(AND(CL353=0,CN353=0),CM353/1,IF(AND(CM353=0,CN353=0),CL353/1,IF(CL353=0,FLOOR((CM353+CN353)/2,0.1),IF(CM353=0,(CL353+CN353)/2,IF(CN353=0,(CM353+CL353)/2,FLOOR(((CL353+CM353+CN353)/3),0.1))))))))</f>
        <v/>
      </c>
      <c r="CP353" s="21" t="n"/>
      <c r="CQ353" s="21" t="n"/>
      <c r="CR353" s="27">
        <f>SUM(CP353:CQ353)</f>
        <v/>
      </c>
      <c r="CS353" s="28" t="n"/>
      <c r="CT353" s="31" t="n"/>
      <c r="CU353" s="29">
        <f>IF(AND(CR353=0,CS353=0,CT353=0),0,IF(AND(CR353=0,CS353=0),CT353/1,IF(AND(CR353=0,CT353=0),CS353/1,IF(AND(CS353=0,CT353=0),CR353/1,IF(CR353=0,FLOOR((CS353+CT353)/2,0.1),IF(CS353=0,(CR353+CT353)/2,IF(CT353=0,(CS353+CR353)/2,FLOOR(((CR353+CS353+CT353)/3),0.1))))))))</f>
        <v/>
      </c>
      <c r="CV353" s="21" t="n"/>
      <c r="CW353" s="21" t="n"/>
      <c r="CX353" s="27">
        <f>SUM(CV353:CW353)</f>
        <v/>
      </c>
      <c r="CY353" s="28" t="n"/>
      <c r="CZ353" s="31" t="n"/>
      <c r="DA353" s="29">
        <f>IF(AND(CX353=0,CY353=0,CZ353=0),0,IF(AND(CX353=0,CY353=0),CZ353/1,IF(AND(CX353=0,CZ353=0),CY353/1,IF(AND(CY353=0,CZ353=0),CX353/1,IF(CX353=0,FLOOR((CY353+CZ353)/2,0.1),IF(CY353=0,(CX353+CZ353)/2,IF(CZ353=0,(CY353+CX353)/2,FLOOR(((CX353+CY353+CZ353)/3),0.1))))))))</f>
        <v/>
      </c>
      <c r="DB353" s="21" t="n"/>
      <c r="DC353" s="21" t="n"/>
      <c r="DD353" s="27">
        <f>SUM(DB353:DC353)</f>
        <v/>
      </c>
      <c r="DE353" s="28" t="n"/>
      <c r="DF353" s="31" t="n"/>
      <c r="DG353" s="29">
        <f>IF(AND(DD353=0,DE353=0,DF353=0),0,IF(AND(DD353=0,DE353=0),DF353/1,IF(AND(DD353=0,DF353=0),DE353/1,IF(AND(DE353=0,DF353=0),DD353/1,IF(DD353=0,FLOOR((DE353+DF353)/2,0.1),IF(DE353=0,(DD353+DF353)/2,IF(DF353=0,(DE353+DD353)/2,FLOOR(((DD353+DE353+DF353)/3),0.1))))))))</f>
        <v/>
      </c>
      <c r="DH353" s="34">
        <f>SUM(O353,U353,AA353,AG353,AM353,AS353,AY353,BE353,BK353,BQ353,BW353,CC353,CI353,CO353,CU353,DA353,DG353)</f>
        <v/>
      </c>
      <c r="DI353" s="39">
        <f>RANK(DH353,DH$4:DH$503)</f>
        <v/>
      </c>
      <c r="DJ353" s="40" t="inlineStr">
        <is>
          <t>CHOOSE RATING</t>
        </is>
      </c>
      <c r="DK353" s="40" t="inlineStr">
        <is>
          <t>CHOOSE RATING</t>
        </is>
      </c>
      <c r="DL353" s="40" t="inlineStr">
        <is>
          <t>CHOOSE RATING</t>
        </is>
      </c>
      <c r="DM353" s="40" t="inlineStr">
        <is>
          <t>CHOOSE RATING</t>
        </is>
      </c>
      <c r="DN353" s="40" t="inlineStr">
        <is>
          <t>CHOOSE RATING</t>
        </is>
      </c>
      <c r="DO353" s="40" t="inlineStr">
        <is>
          <t>CHOOSE RATING</t>
        </is>
      </c>
      <c r="DP353" s="40" t="inlineStr">
        <is>
          <t>CHOOSE RATING</t>
        </is>
      </c>
      <c r="DQ353" s="40" t="inlineStr">
        <is>
          <t>CHOOSE RATING</t>
        </is>
      </c>
      <c r="DR353" s="43" t="inlineStr">
        <is>
          <t>2024/2025</t>
        </is>
      </c>
      <c r="DS353" s="45" t="inlineStr">
        <is>
          <t>THIRD</t>
        </is>
      </c>
      <c r="DT353" s="40" t="inlineStr">
        <is>
          <t>CHOOSE RATING</t>
        </is>
      </c>
      <c r="DU353" s="40" t="inlineStr">
        <is>
          <t>CHOOSE RATING</t>
        </is>
      </c>
      <c r="DV353" s="40" t="inlineStr">
        <is>
          <t>CHOOSE RATING</t>
        </is>
      </c>
      <c r="DW353" s="40" t="inlineStr">
        <is>
          <t>CHOOSE RATING</t>
        </is>
      </c>
      <c r="DX353" s="40" t="inlineStr">
        <is>
          <t>CHOOSE RATING</t>
        </is>
      </c>
      <c r="DY353" s="40" t="inlineStr">
        <is>
          <t>CHOOSE RATING</t>
        </is>
      </c>
      <c r="DZ353" s="53" t="inlineStr">
        <is>
          <t>CHOOSE RATING</t>
        </is>
      </c>
      <c r="EA353" s="54" t="inlineStr">
        <is>
          <t>Add the Tutor's Comment . . .</t>
        </is>
      </c>
      <c r="EB353" s="55" t="inlineStr">
        <is>
          <t>Choose Principals comment</t>
        </is>
      </c>
      <c r="EC353" s="56" t="n"/>
      <c r="ED353" s="57" t="inlineStr">
        <is>
          <t>Next Term Begins on Monday, 22nd September, 2025</t>
        </is>
      </c>
    </row>
    <row r="354" ht="30.6" customHeight="1" s="6">
      <c r="A354" s="18" t="n">
        <v>351</v>
      </c>
      <c r="B354" s="19" t="n"/>
      <c r="C354" s="20" t="n"/>
      <c r="D354" s="128" t="n"/>
      <c r="E354" s="21" t="n"/>
      <c r="F354" s="22" t="n"/>
      <c r="G354" s="22" t="n"/>
      <c r="H354" s="22" t="n"/>
      <c r="I354" s="26">
        <f>G354-H354</f>
        <v/>
      </c>
      <c r="J354" s="21" t="n"/>
      <c r="K354" s="21" t="n"/>
      <c r="L354" s="27">
        <f>SUM(J354:K354)</f>
        <v/>
      </c>
      <c r="M354" s="28" t="n"/>
      <c r="N354" s="28" t="n"/>
      <c r="O354" s="29">
        <f>IF(AND(L354=0,M354=0,N354=0),0,IF(AND(L354=0,M354=0),N354/1,IF(AND(L354=0,N354=0),M354/1,IF(AND(M354=0,N354=0),L354/1,IF(L354=0,FLOOR((M354+N354)/2,0.1),IF(M354=0,(L354+N354)/2,IF(N354=0,(M354+L354)/2,FLOOR(((L354+M354+N354)/3),0.1))))))))</f>
        <v/>
      </c>
      <c r="P354" s="21" t="n"/>
      <c r="Q354" s="21" t="n"/>
      <c r="R354" s="27">
        <f>SUM(P354:Q354)</f>
        <v/>
      </c>
      <c r="S354" s="28" t="n"/>
      <c r="T354" s="28" t="n"/>
      <c r="U354" s="29">
        <f>IF(AND(R354=0,S354=0,T354=0),0,IF(AND(R354=0,S354=0),T354/1,IF(AND(R354=0,T354=0),S354/1,IF(AND(S354=0,T354=0),R354/1,IF(R354=0,FLOOR((S354+T354)/2,0.1),IF(S354=0,(R354+T354)/2,IF(T354=0,(S354+R354)/2,FLOOR(((R354+S354+T354)/3),0.1))))))))</f>
        <v/>
      </c>
      <c r="V354" s="21" t="n"/>
      <c r="W354" s="21" t="n"/>
      <c r="X354" s="27">
        <f>SUM(V354:W354)</f>
        <v/>
      </c>
      <c r="Y354" s="28" t="n"/>
      <c r="Z354" s="28" t="n"/>
      <c r="AA354" s="29">
        <f>IF(AND(X354=0,Y354=0,Z354=0),0,IF(AND(X354=0,Y354=0),Z354/1,IF(AND(X354=0,Z354=0),Y354/1,IF(AND(Y354=0,Z354=0),X354/1,IF(X354=0,FLOOR((Y354+Z354)/2,0.1),IF(Y354=0,(X354+Z354)/2,IF(Z354=0,(Y354+X354)/2,FLOOR(((X354+Y354+Z354)/3),0.1))))))))</f>
        <v/>
      </c>
      <c r="AB354" s="21" t="n"/>
      <c r="AC354" s="21" t="n"/>
      <c r="AD354" s="27">
        <f>SUM(AB354:AC354)</f>
        <v/>
      </c>
      <c r="AE354" s="28" t="n"/>
      <c r="AF354" s="28" t="n"/>
      <c r="AG354" s="29">
        <f>IF(AND(AD354=0,AE354=0,AF354=0),0,IF(AND(AD354=0,AE354=0),AF354/1,IF(AND(AD354=0,AF354=0),AE354/1,IF(AND(AE354=0,AF354=0),AD354/1,IF(AD354=0,FLOOR((AE354+AF354)/2,0.1),IF(AE354=0,(AD354+AF354)/2,IF(AF354=0,(AE354+AD354)/2,FLOOR(((AD354+AE354+AF354)/3),0.1))))))))</f>
        <v/>
      </c>
      <c r="AH354" s="21" t="n"/>
      <c r="AI354" s="21" t="n"/>
      <c r="AJ354" s="27">
        <f>SUM(AH354:AI354)</f>
        <v/>
      </c>
      <c r="AK354" s="28" t="n"/>
      <c r="AL354" s="28" t="n"/>
      <c r="AM354" s="29">
        <f>IF(AND(AJ354=0,AK354=0,AL354=0),0,IF(AND(AJ354=0,AK354=0),AL354/1,IF(AND(AJ354=0,AL354=0),AK354/1,IF(AND(AK354=0,AL354=0),AJ354/1,IF(AJ354=0,FLOOR((AK354+AL354)/2,0.1),IF(AK354=0,(AJ354+AL354)/2,IF(AL354=0,(AK354+AJ354)/2,FLOOR(((AJ354+AK354+AL354)/3),0.1))))))))</f>
        <v/>
      </c>
      <c r="AN354" s="21" t="n"/>
      <c r="AO354" s="21" t="n"/>
      <c r="AP354" s="27">
        <f>SUM(AN354:AO354)</f>
        <v/>
      </c>
      <c r="AQ354" s="28" t="n"/>
      <c r="AR354" s="30" t="n"/>
      <c r="AS354" s="29">
        <f>IF(AND(AP354=0,AQ354=0,AR354=0),0,IF(AND(AP354=0,AQ354=0),AR354/1,IF(AND(AP354=0,AR354=0),AQ354/1,IF(AND(AQ354=0,AR354=0),AP354/1,IF(AP354=0,FLOOR((AQ354+AR354)/2,0.1),IF(AQ354=0,(AP354+AR354)/2,IF(AR354=0,(AQ354+AP354)/2,FLOOR(((AP354+AQ354+AR354)/3),0.1))))))))</f>
        <v/>
      </c>
      <c r="AT354" s="21" t="n"/>
      <c r="AU354" s="21" t="n"/>
      <c r="AV354" s="27">
        <f>SUM(AT354:AU354)</f>
        <v/>
      </c>
      <c r="AW354" s="28" t="n"/>
      <c r="AX354" s="30" t="n"/>
      <c r="AY354" s="29">
        <f>IF(AND(AV354=0,AW354=0,AX354=0),0,IF(AND(AV354=0,AW354=0),AX354/1,IF(AND(AV354=0,AX354=0),AW354/1,IF(AND(AW354=0,AX354=0),AV354/1,IF(AV354=0,FLOOR((AW354+AX354)/2,0.1),IF(AW354=0,(AV354+AX354)/2,IF(AX354=0,(AW354+AV354)/2,FLOOR(((AV354+AW354+AX354)/3),0.1))))))))</f>
        <v/>
      </c>
      <c r="AZ354" s="21" t="n"/>
      <c r="BA354" s="21" t="n"/>
      <c r="BB354" s="27">
        <f>SUM(AZ354:BA354)</f>
        <v/>
      </c>
      <c r="BC354" s="28" t="n"/>
      <c r="BD354" s="28" t="n"/>
      <c r="BE354" s="29">
        <f>IF(AND(BB354=0,BC354=0,BD354=0),0,IF(AND(BB354=0,BC354=0),BD354/1,IF(AND(BB354=0,BD354=0),BC354/1,IF(AND(BC354=0,BD354=0),BB354/1,IF(BB354=0,FLOOR((BC354+BD354)/2,0.1),IF(BC354=0,(BB354+BD354)/2,IF(BD354=0,(BC354+BB354)/2,FLOOR(((BB354+BC354+BD354)/3),0.1))))))))</f>
        <v/>
      </c>
      <c r="BF354" s="21" t="n"/>
      <c r="BG354" s="21" t="n"/>
      <c r="BH354" s="27">
        <f>SUM(BF354:BG354)</f>
        <v/>
      </c>
      <c r="BI354" s="28" t="n"/>
      <c r="BJ354" s="28" t="n"/>
      <c r="BK354" s="29">
        <f>IF(AND(BH354=0,BI354=0,BJ354=0),0,IF(AND(BH354=0,BI354=0),BJ354/1,IF(AND(BH354=0,BJ354=0),BI354/1,IF(AND(BI354=0,BJ354=0),BH354/1,IF(BH354=0,FLOOR((BI354+BJ354)/2,0.1),IF(BI354=0,(BH354+BJ354)/2,IF(BJ354=0,(BI354+BH354)/2,FLOOR(((BH354+BI354+BJ354)/3),0.1))))))))</f>
        <v/>
      </c>
      <c r="BL354" s="21" t="n"/>
      <c r="BM354" s="21" t="n"/>
      <c r="BN354" s="27">
        <f>SUM(BL354:BM354)</f>
        <v/>
      </c>
      <c r="BO354" s="28" t="n"/>
      <c r="BP354" s="31" t="n"/>
      <c r="BQ354" s="29">
        <f>IF(AND(BN354=0,BO354=0,BP354=0),0,IF(AND(BN354=0,BO354=0),BP354/1,IF(AND(BN354=0,BP354=0),BO354/1,IF(AND(BO354=0,BP354=0),BN354/1,IF(BN354=0,FLOOR((BO354+BP354)/2,0.1),IF(BO354=0,(BN354+BP354)/2,IF(BP354=0,(BO354+BN354)/2,FLOOR(((BN354+BO354+BP354)/3),0.1))))))))</f>
        <v/>
      </c>
      <c r="BR354" s="21" t="n"/>
      <c r="BS354" s="21" t="n"/>
      <c r="BT354" s="27">
        <f>SUM(BR354:BS354)</f>
        <v/>
      </c>
      <c r="BU354" s="28" t="n"/>
      <c r="BV354" s="31" t="n"/>
      <c r="BW354" s="29">
        <f>IF(AND(BT354=0,BU354=0,BV354=0),0,IF(AND(BT354=0,BU354=0),BV354/1,IF(AND(BT354=0,BV354=0),BU354/1,IF(AND(BU354=0,BV354=0),BT354/1,IF(BT354=0,FLOOR((BU354+BV354)/2,0.1),IF(BU354=0,(BT354+BV354)/2,IF(BV354=0,(BU354+BT354)/2,FLOOR(((BT354+BU354+BV354)/3),0.1))))))))</f>
        <v/>
      </c>
      <c r="BX354" s="21" t="n"/>
      <c r="BY354" s="21" t="n"/>
      <c r="BZ354" s="27">
        <f>SUM(BX354:BY354)</f>
        <v/>
      </c>
      <c r="CA354" s="28" t="n"/>
      <c r="CB354" s="31" t="n"/>
      <c r="CC354" s="29">
        <f>IF(AND(BZ354=0,CA354=0,CB354=0),0,IF(AND(BZ354=0,CA354=0),CB354/1,IF(AND(BZ354=0,CB354=0),CA354/1,IF(AND(CA354=0,CB354=0),BZ354/1,IF(BZ354=0,FLOOR((CA354+CB354)/2,0.1),IF(CA354=0,(BZ354+CB354)/2,IF(CB354=0,(CA354+BZ354)/2,FLOOR(((BZ354+CA354+CB354)/3),0.1))))))))</f>
        <v/>
      </c>
      <c r="CD354" s="21" t="n"/>
      <c r="CE354" s="21" t="n"/>
      <c r="CF354" s="27">
        <f>SUM(CD354:CE354)</f>
        <v/>
      </c>
      <c r="CG354" s="28" t="n"/>
      <c r="CH354" s="31" t="n"/>
      <c r="CI354" s="29">
        <f>IF(AND(CF354=0,CG354=0,CH354=0),0,IF(AND(CF354=0,CG354=0),CH354/1,IF(AND(CF354=0,CH354=0),CG354/1,IF(AND(CG354=0,CH354=0),CF354/1,IF(CF354=0,FLOOR((CG354+CH354)/2,0.1),IF(CG354=0,(CF354+CH354)/2,IF(CH354=0,(CG354+CF354)/2,FLOOR(((CF354+CG354+CH354)/3),0.1))))))))</f>
        <v/>
      </c>
      <c r="CJ354" s="21" t="n"/>
      <c r="CK354" s="21" t="n"/>
      <c r="CL354" s="27">
        <f>SUM(CJ354:CK354)</f>
        <v/>
      </c>
      <c r="CM354" s="28" t="n"/>
      <c r="CN354" s="31" t="n"/>
      <c r="CO354" s="29">
        <f>IF(AND(CL354=0,CM354=0,CN354=0),0,IF(AND(CL354=0,CM354=0),CN354/1,IF(AND(CL354=0,CN354=0),CM354/1,IF(AND(CM354=0,CN354=0),CL354/1,IF(CL354=0,FLOOR((CM354+CN354)/2,0.1),IF(CM354=0,(CL354+CN354)/2,IF(CN354=0,(CM354+CL354)/2,FLOOR(((CL354+CM354+CN354)/3),0.1))))))))</f>
        <v/>
      </c>
      <c r="CP354" s="21" t="n"/>
      <c r="CQ354" s="21" t="n"/>
      <c r="CR354" s="27">
        <f>SUM(CP354:CQ354)</f>
        <v/>
      </c>
      <c r="CS354" s="28" t="n"/>
      <c r="CT354" s="31" t="n"/>
      <c r="CU354" s="29">
        <f>IF(AND(CR354=0,CS354=0,CT354=0),0,IF(AND(CR354=0,CS354=0),CT354/1,IF(AND(CR354=0,CT354=0),CS354/1,IF(AND(CS354=0,CT354=0),CR354/1,IF(CR354=0,FLOOR((CS354+CT354)/2,0.1),IF(CS354=0,(CR354+CT354)/2,IF(CT354=0,(CS354+CR354)/2,FLOOR(((CR354+CS354+CT354)/3),0.1))))))))</f>
        <v/>
      </c>
      <c r="CV354" s="21" t="n"/>
      <c r="CW354" s="21" t="n"/>
      <c r="CX354" s="27">
        <f>SUM(CV354:CW354)</f>
        <v/>
      </c>
      <c r="CY354" s="28" t="n"/>
      <c r="CZ354" s="31" t="n"/>
      <c r="DA354" s="29">
        <f>IF(AND(CX354=0,CY354=0,CZ354=0),0,IF(AND(CX354=0,CY354=0),CZ354/1,IF(AND(CX354=0,CZ354=0),CY354/1,IF(AND(CY354=0,CZ354=0),CX354/1,IF(CX354=0,FLOOR((CY354+CZ354)/2,0.1),IF(CY354=0,(CX354+CZ354)/2,IF(CZ354=0,(CY354+CX354)/2,FLOOR(((CX354+CY354+CZ354)/3),0.1))))))))</f>
        <v/>
      </c>
      <c r="DB354" s="21" t="n"/>
      <c r="DC354" s="21" t="n"/>
      <c r="DD354" s="27">
        <f>SUM(DB354:DC354)</f>
        <v/>
      </c>
      <c r="DE354" s="28" t="n"/>
      <c r="DF354" s="31" t="n"/>
      <c r="DG354" s="29">
        <f>IF(AND(DD354=0,DE354=0,DF354=0),0,IF(AND(DD354=0,DE354=0),DF354/1,IF(AND(DD354=0,DF354=0),DE354/1,IF(AND(DE354=0,DF354=0),DD354/1,IF(DD354=0,FLOOR((DE354+DF354)/2,0.1),IF(DE354=0,(DD354+DF354)/2,IF(DF354=0,(DE354+DD354)/2,FLOOR(((DD354+DE354+DF354)/3),0.1))))))))</f>
        <v/>
      </c>
      <c r="DH354" s="34">
        <f>SUM(O354,U354,AA354,AG354,AM354,AS354,AY354,BE354,BK354,BQ354,BW354,CC354,CI354,CO354,CU354,DA354,DG354)</f>
        <v/>
      </c>
      <c r="DI354" s="39">
        <f>RANK(DH354,DH$4:DH$503)</f>
        <v/>
      </c>
      <c r="DJ354" s="40" t="inlineStr">
        <is>
          <t>CHOOSE RATING</t>
        </is>
      </c>
      <c r="DK354" s="40" t="inlineStr">
        <is>
          <t>CHOOSE RATING</t>
        </is>
      </c>
      <c r="DL354" s="40" t="inlineStr">
        <is>
          <t>CHOOSE RATING</t>
        </is>
      </c>
      <c r="DM354" s="40" t="inlineStr">
        <is>
          <t>CHOOSE RATING</t>
        </is>
      </c>
      <c r="DN354" s="40" t="inlineStr">
        <is>
          <t>CHOOSE RATING</t>
        </is>
      </c>
      <c r="DO354" s="40" t="inlineStr">
        <is>
          <t>CHOOSE RATING</t>
        </is>
      </c>
      <c r="DP354" s="40" t="inlineStr">
        <is>
          <t>CHOOSE RATING</t>
        </is>
      </c>
      <c r="DQ354" s="40" t="inlineStr">
        <is>
          <t>CHOOSE RATING</t>
        </is>
      </c>
      <c r="DR354" s="43" t="inlineStr">
        <is>
          <t>2024/2025</t>
        </is>
      </c>
      <c r="DS354" s="45" t="inlineStr">
        <is>
          <t>THIRD</t>
        </is>
      </c>
      <c r="DT354" s="40" t="inlineStr">
        <is>
          <t>CHOOSE RATING</t>
        </is>
      </c>
      <c r="DU354" s="40" t="inlineStr">
        <is>
          <t>CHOOSE RATING</t>
        </is>
      </c>
      <c r="DV354" s="40" t="inlineStr">
        <is>
          <t>CHOOSE RATING</t>
        </is>
      </c>
      <c r="DW354" s="40" t="inlineStr">
        <is>
          <t>CHOOSE RATING</t>
        </is>
      </c>
      <c r="DX354" s="40" t="inlineStr">
        <is>
          <t>CHOOSE RATING</t>
        </is>
      </c>
      <c r="DY354" s="40" t="inlineStr">
        <is>
          <t>CHOOSE RATING</t>
        </is>
      </c>
      <c r="DZ354" s="53" t="inlineStr">
        <is>
          <t>CHOOSE RATING</t>
        </is>
      </c>
      <c r="EA354" s="54" t="inlineStr">
        <is>
          <t>Add the Tutor's Comment . . .</t>
        </is>
      </c>
      <c r="EB354" s="55" t="inlineStr">
        <is>
          <t>Choose Principals comment</t>
        </is>
      </c>
      <c r="EC354" s="56" t="n"/>
      <c r="ED354" s="57" t="inlineStr">
        <is>
          <t>Next Term Begins on Monday, 22nd September, 2025</t>
        </is>
      </c>
    </row>
    <row r="355" ht="30.6" customHeight="1" s="6">
      <c r="A355" s="18" t="n">
        <v>352</v>
      </c>
      <c r="B355" s="19" t="n"/>
      <c r="C355" s="20" t="n"/>
      <c r="D355" s="128" t="n"/>
      <c r="E355" s="21" t="n"/>
      <c r="F355" s="22" t="n"/>
      <c r="G355" s="22" t="n"/>
      <c r="H355" s="22" t="n"/>
      <c r="I355" s="26">
        <f>G355-H355</f>
        <v/>
      </c>
      <c r="J355" s="21" t="n"/>
      <c r="K355" s="21" t="n"/>
      <c r="L355" s="27">
        <f>SUM(J355:K355)</f>
        <v/>
      </c>
      <c r="M355" s="28" t="n"/>
      <c r="N355" s="28" t="n"/>
      <c r="O355" s="29">
        <f>IF(AND(L355=0,M355=0,N355=0),0,IF(AND(L355=0,M355=0),N355/1,IF(AND(L355=0,N355=0),M355/1,IF(AND(M355=0,N355=0),L355/1,IF(L355=0,FLOOR((M355+N355)/2,0.1),IF(M355=0,(L355+N355)/2,IF(N355=0,(M355+L355)/2,FLOOR(((L355+M355+N355)/3),0.1))))))))</f>
        <v/>
      </c>
      <c r="P355" s="21" t="n"/>
      <c r="Q355" s="21" t="n"/>
      <c r="R355" s="27">
        <f>SUM(P355:Q355)</f>
        <v/>
      </c>
      <c r="S355" s="28" t="n"/>
      <c r="T355" s="28" t="n"/>
      <c r="U355" s="29">
        <f>IF(AND(R355=0,S355=0,T355=0),0,IF(AND(R355=0,S355=0),T355/1,IF(AND(R355=0,T355=0),S355/1,IF(AND(S355=0,T355=0),R355/1,IF(R355=0,FLOOR((S355+T355)/2,0.1),IF(S355=0,(R355+T355)/2,IF(T355=0,(S355+R355)/2,FLOOR(((R355+S355+T355)/3),0.1))))))))</f>
        <v/>
      </c>
      <c r="V355" s="21" t="n"/>
      <c r="W355" s="21" t="n"/>
      <c r="X355" s="27">
        <f>SUM(V355:W355)</f>
        <v/>
      </c>
      <c r="Y355" s="28" t="n"/>
      <c r="Z355" s="28" t="n"/>
      <c r="AA355" s="29">
        <f>IF(AND(X355=0,Y355=0,Z355=0),0,IF(AND(X355=0,Y355=0),Z355/1,IF(AND(X355=0,Z355=0),Y355/1,IF(AND(Y355=0,Z355=0),X355/1,IF(X355=0,FLOOR((Y355+Z355)/2,0.1),IF(Y355=0,(X355+Z355)/2,IF(Z355=0,(Y355+X355)/2,FLOOR(((X355+Y355+Z355)/3),0.1))))))))</f>
        <v/>
      </c>
      <c r="AB355" s="21" t="n"/>
      <c r="AC355" s="21" t="n"/>
      <c r="AD355" s="27">
        <f>SUM(AB355:AC355)</f>
        <v/>
      </c>
      <c r="AE355" s="28" t="n"/>
      <c r="AF355" s="28" t="n"/>
      <c r="AG355" s="29">
        <f>IF(AND(AD355=0,AE355=0,AF355=0),0,IF(AND(AD355=0,AE355=0),AF355/1,IF(AND(AD355=0,AF355=0),AE355/1,IF(AND(AE355=0,AF355=0),AD355/1,IF(AD355=0,FLOOR((AE355+AF355)/2,0.1),IF(AE355=0,(AD355+AF355)/2,IF(AF355=0,(AE355+AD355)/2,FLOOR(((AD355+AE355+AF355)/3),0.1))))))))</f>
        <v/>
      </c>
      <c r="AH355" s="21" t="n"/>
      <c r="AI355" s="21" t="n"/>
      <c r="AJ355" s="27">
        <f>SUM(AH355:AI355)</f>
        <v/>
      </c>
      <c r="AK355" s="28" t="n"/>
      <c r="AL355" s="28" t="n"/>
      <c r="AM355" s="29">
        <f>IF(AND(AJ355=0,AK355=0,AL355=0),0,IF(AND(AJ355=0,AK355=0),AL355/1,IF(AND(AJ355=0,AL355=0),AK355/1,IF(AND(AK355=0,AL355=0),AJ355/1,IF(AJ355=0,FLOOR((AK355+AL355)/2,0.1),IF(AK355=0,(AJ355+AL355)/2,IF(AL355=0,(AK355+AJ355)/2,FLOOR(((AJ355+AK355+AL355)/3),0.1))))))))</f>
        <v/>
      </c>
      <c r="AN355" s="21" t="n"/>
      <c r="AO355" s="21" t="n"/>
      <c r="AP355" s="27">
        <f>SUM(AN355:AO355)</f>
        <v/>
      </c>
      <c r="AQ355" s="28" t="n"/>
      <c r="AR355" s="30" t="n"/>
      <c r="AS355" s="29">
        <f>IF(AND(AP355=0,AQ355=0,AR355=0),0,IF(AND(AP355=0,AQ355=0),AR355/1,IF(AND(AP355=0,AR355=0),AQ355/1,IF(AND(AQ355=0,AR355=0),AP355/1,IF(AP355=0,FLOOR((AQ355+AR355)/2,0.1),IF(AQ355=0,(AP355+AR355)/2,IF(AR355=0,(AQ355+AP355)/2,FLOOR(((AP355+AQ355+AR355)/3),0.1))))))))</f>
        <v/>
      </c>
      <c r="AT355" s="21" t="n"/>
      <c r="AU355" s="21" t="n"/>
      <c r="AV355" s="27">
        <f>SUM(AT355:AU355)</f>
        <v/>
      </c>
      <c r="AW355" s="28" t="n"/>
      <c r="AX355" s="30" t="n"/>
      <c r="AY355" s="29">
        <f>IF(AND(AV355=0,AW355=0,AX355=0),0,IF(AND(AV355=0,AW355=0),AX355/1,IF(AND(AV355=0,AX355=0),AW355/1,IF(AND(AW355=0,AX355=0),AV355/1,IF(AV355=0,FLOOR((AW355+AX355)/2,0.1),IF(AW355=0,(AV355+AX355)/2,IF(AX355=0,(AW355+AV355)/2,FLOOR(((AV355+AW355+AX355)/3),0.1))))))))</f>
        <v/>
      </c>
      <c r="AZ355" s="21" t="n"/>
      <c r="BA355" s="21" t="n"/>
      <c r="BB355" s="27">
        <f>SUM(AZ355:BA355)</f>
        <v/>
      </c>
      <c r="BC355" s="28" t="n"/>
      <c r="BD355" s="28" t="n"/>
      <c r="BE355" s="29">
        <f>IF(AND(BB355=0,BC355=0,BD355=0),0,IF(AND(BB355=0,BC355=0),BD355/1,IF(AND(BB355=0,BD355=0),BC355/1,IF(AND(BC355=0,BD355=0),BB355/1,IF(BB355=0,FLOOR((BC355+BD355)/2,0.1),IF(BC355=0,(BB355+BD355)/2,IF(BD355=0,(BC355+BB355)/2,FLOOR(((BB355+BC355+BD355)/3),0.1))))))))</f>
        <v/>
      </c>
      <c r="BF355" s="21" t="n"/>
      <c r="BG355" s="21" t="n"/>
      <c r="BH355" s="27">
        <f>SUM(BF355:BG355)</f>
        <v/>
      </c>
      <c r="BI355" s="28" t="n"/>
      <c r="BJ355" s="28" t="n"/>
      <c r="BK355" s="29">
        <f>IF(AND(BH355=0,BI355=0,BJ355=0),0,IF(AND(BH355=0,BI355=0),BJ355/1,IF(AND(BH355=0,BJ355=0),BI355/1,IF(AND(BI355=0,BJ355=0),BH355/1,IF(BH355=0,FLOOR((BI355+BJ355)/2,0.1),IF(BI355=0,(BH355+BJ355)/2,IF(BJ355=0,(BI355+BH355)/2,FLOOR(((BH355+BI355+BJ355)/3),0.1))))))))</f>
        <v/>
      </c>
      <c r="BL355" s="21" t="n"/>
      <c r="BM355" s="21" t="n"/>
      <c r="BN355" s="27">
        <f>SUM(BL355:BM355)</f>
        <v/>
      </c>
      <c r="BO355" s="28" t="n"/>
      <c r="BP355" s="31" t="n"/>
      <c r="BQ355" s="29">
        <f>IF(AND(BN355=0,BO355=0,BP355=0),0,IF(AND(BN355=0,BO355=0),BP355/1,IF(AND(BN355=0,BP355=0),BO355/1,IF(AND(BO355=0,BP355=0),BN355/1,IF(BN355=0,FLOOR((BO355+BP355)/2,0.1),IF(BO355=0,(BN355+BP355)/2,IF(BP355=0,(BO355+BN355)/2,FLOOR(((BN355+BO355+BP355)/3),0.1))))))))</f>
        <v/>
      </c>
      <c r="BR355" s="21" t="n"/>
      <c r="BS355" s="21" t="n"/>
      <c r="BT355" s="27">
        <f>SUM(BR355:BS355)</f>
        <v/>
      </c>
      <c r="BU355" s="28" t="n"/>
      <c r="BV355" s="31" t="n"/>
      <c r="BW355" s="29">
        <f>IF(AND(BT355=0,BU355=0,BV355=0),0,IF(AND(BT355=0,BU355=0),BV355/1,IF(AND(BT355=0,BV355=0),BU355/1,IF(AND(BU355=0,BV355=0),BT355/1,IF(BT355=0,FLOOR((BU355+BV355)/2,0.1),IF(BU355=0,(BT355+BV355)/2,IF(BV355=0,(BU355+BT355)/2,FLOOR(((BT355+BU355+BV355)/3),0.1))))))))</f>
        <v/>
      </c>
      <c r="BX355" s="21" t="n"/>
      <c r="BY355" s="21" t="n"/>
      <c r="BZ355" s="27">
        <f>SUM(BX355:BY355)</f>
        <v/>
      </c>
      <c r="CA355" s="28" t="n"/>
      <c r="CB355" s="31" t="n"/>
      <c r="CC355" s="29">
        <f>IF(AND(BZ355=0,CA355=0,CB355=0),0,IF(AND(BZ355=0,CA355=0),CB355/1,IF(AND(BZ355=0,CB355=0),CA355/1,IF(AND(CA355=0,CB355=0),BZ355/1,IF(BZ355=0,FLOOR((CA355+CB355)/2,0.1),IF(CA355=0,(BZ355+CB355)/2,IF(CB355=0,(CA355+BZ355)/2,FLOOR(((BZ355+CA355+CB355)/3),0.1))))))))</f>
        <v/>
      </c>
      <c r="CD355" s="21" t="n"/>
      <c r="CE355" s="21" t="n"/>
      <c r="CF355" s="27">
        <f>SUM(CD355:CE355)</f>
        <v/>
      </c>
      <c r="CG355" s="28" t="n"/>
      <c r="CH355" s="31" t="n"/>
      <c r="CI355" s="29">
        <f>IF(AND(CF355=0,CG355=0,CH355=0),0,IF(AND(CF355=0,CG355=0),CH355/1,IF(AND(CF355=0,CH355=0),CG355/1,IF(AND(CG355=0,CH355=0),CF355/1,IF(CF355=0,FLOOR((CG355+CH355)/2,0.1),IF(CG355=0,(CF355+CH355)/2,IF(CH355=0,(CG355+CF355)/2,FLOOR(((CF355+CG355+CH355)/3),0.1))))))))</f>
        <v/>
      </c>
      <c r="CJ355" s="21" t="n"/>
      <c r="CK355" s="21" t="n"/>
      <c r="CL355" s="27">
        <f>SUM(CJ355:CK355)</f>
        <v/>
      </c>
      <c r="CM355" s="28" t="n"/>
      <c r="CN355" s="31" t="n"/>
      <c r="CO355" s="29">
        <f>IF(AND(CL355=0,CM355=0,CN355=0),0,IF(AND(CL355=0,CM355=0),CN355/1,IF(AND(CL355=0,CN355=0),CM355/1,IF(AND(CM355=0,CN355=0),CL355/1,IF(CL355=0,FLOOR((CM355+CN355)/2,0.1),IF(CM355=0,(CL355+CN355)/2,IF(CN355=0,(CM355+CL355)/2,FLOOR(((CL355+CM355+CN355)/3),0.1))))))))</f>
        <v/>
      </c>
      <c r="CP355" s="21" t="n"/>
      <c r="CQ355" s="21" t="n"/>
      <c r="CR355" s="27">
        <f>SUM(CP355:CQ355)</f>
        <v/>
      </c>
      <c r="CS355" s="28" t="n"/>
      <c r="CT355" s="31" t="n"/>
      <c r="CU355" s="29">
        <f>IF(AND(CR355=0,CS355=0,CT355=0),0,IF(AND(CR355=0,CS355=0),CT355/1,IF(AND(CR355=0,CT355=0),CS355/1,IF(AND(CS355=0,CT355=0),CR355/1,IF(CR355=0,FLOOR((CS355+CT355)/2,0.1),IF(CS355=0,(CR355+CT355)/2,IF(CT355=0,(CS355+CR355)/2,FLOOR(((CR355+CS355+CT355)/3),0.1))))))))</f>
        <v/>
      </c>
      <c r="CV355" s="21" t="n"/>
      <c r="CW355" s="21" t="n"/>
      <c r="CX355" s="27">
        <f>SUM(CV355:CW355)</f>
        <v/>
      </c>
      <c r="CY355" s="28" t="n"/>
      <c r="CZ355" s="31" t="n"/>
      <c r="DA355" s="29">
        <f>IF(AND(CX355=0,CY355=0,CZ355=0),0,IF(AND(CX355=0,CY355=0),CZ355/1,IF(AND(CX355=0,CZ355=0),CY355/1,IF(AND(CY355=0,CZ355=0),CX355/1,IF(CX355=0,FLOOR((CY355+CZ355)/2,0.1),IF(CY355=0,(CX355+CZ355)/2,IF(CZ355=0,(CY355+CX355)/2,FLOOR(((CX355+CY355+CZ355)/3),0.1))))))))</f>
        <v/>
      </c>
      <c r="DB355" s="21" t="n"/>
      <c r="DC355" s="21" t="n"/>
      <c r="DD355" s="27">
        <f>SUM(DB355:DC355)</f>
        <v/>
      </c>
      <c r="DE355" s="28" t="n"/>
      <c r="DF355" s="31" t="n"/>
      <c r="DG355" s="29">
        <f>IF(AND(DD355=0,DE355=0,DF355=0),0,IF(AND(DD355=0,DE355=0),DF355/1,IF(AND(DD355=0,DF355=0),DE355/1,IF(AND(DE355=0,DF355=0),DD355/1,IF(DD355=0,FLOOR((DE355+DF355)/2,0.1),IF(DE355=0,(DD355+DF355)/2,IF(DF355=0,(DE355+DD355)/2,FLOOR(((DD355+DE355+DF355)/3),0.1))))))))</f>
        <v/>
      </c>
      <c r="DH355" s="34">
        <f>SUM(O355,U355,AA355,AG355,AM355,AS355,AY355,BE355,BK355,BQ355,BW355,CC355,CI355,CO355,CU355,DA355,DG355)</f>
        <v/>
      </c>
      <c r="DI355" s="39">
        <f>RANK(DH355,DH$4:DH$503)</f>
        <v/>
      </c>
      <c r="DJ355" s="40" t="inlineStr">
        <is>
          <t>CHOOSE RATING</t>
        </is>
      </c>
      <c r="DK355" s="40" t="inlineStr">
        <is>
          <t>CHOOSE RATING</t>
        </is>
      </c>
      <c r="DL355" s="40" t="inlineStr">
        <is>
          <t>CHOOSE RATING</t>
        </is>
      </c>
      <c r="DM355" s="40" t="inlineStr">
        <is>
          <t>CHOOSE RATING</t>
        </is>
      </c>
      <c r="DN355" s="40" t="inlineStr">
        <is>
          <t>CHOOSE RATING</t>
        </is>
      </c>
      <c r="DO355" s="40" t="inlineStr">
        <is>
          <t>CHOOSE RATING</t>
        </is>
      </c>
      <c r="DP355" s="40" t="inlineStr">
        <is>
          <t>CHOOSE RATING</t>
        </is>
      </c>
      <c r="DQ355" s="40" t="inlineStr">
        <is>
          <t>CHOOSE RATING</t>
        </is>
      </c>
      <c r="DR355" s="43" t="inlineStr">
        <is>
          <t>2024/2025</t>
        </is>
      </c>
      <c r="DS355" s="45" t="inlineStr">
        <is>
          <t>THIRD</t>
        </is>
      </c>
      <c r="DT355" s="40" t="inlineStr">
        <is>
          <t>CHOOSE RATING</t>
        </is>
      </c>
      <c r="DU355" s="40" t="inlineStr">
        <is>
          <t>CHOOSE RATING</t>
        </is>
      </c>
      <c r="DV355" s="40" t="inlineStr">
        <is>
          <t>CHOOSE RATING</t>
        </is>
      </c>
      <c r="DW355" s="40" t="inlineStr">
        <is>
          <t>CHOOSE RATING</t>
        </is>
      </c>
      <c r="DX355" s="40" t="inlineStr">
        <is>
          <t>CHOOSE RATING</t>
        </is>
      </c>
      <c r="DY355" s="40" t="inlineStr">
        <is>
          <t>CHOOSE RATING</t>
        </is>
      </c>
      <c r="DZ355" s="53" t="inlineStr">
        <is>
          <t>CHOOSE RATING</t>
        </is>
      </c>
      <c r="EA355" s="54" t="inlineStr">
        <is>
          <t>Add the Tutor's Comment . . .</t>
        </is>
      </c>
      <c r="EB355" s="55" t="inlineStr">
        <is>
          <t>Choose Principals comment</t>
        </is>
      </c>
      <c r="EC355" s="56" t="n"/>
      <c r="ED355" s="57" t="inlineStr">
        <is>
          <t>Next Term Begins on Monday, 22nd September, 2025</t>
        </is>
      </c>
    </row>
    <row r="356" ht="30.6" customHeight="1" s="6">
      <c r="A356" s="18" t="n">
        <v>353</v>
      </c>
      <c r="B356" s="19" t="n"/>
      <c r="C356" s="20" t="n"/>
      <c r="D356" s="128" t="n"/>
      <c r="E356" s="21" t="n"/>
      <c r="F356" s="22" t="n"/>
      <c r="G356" s="22" t="n"/>
      <c r="H356" s="22" t="n"/>
      <c r="I356" s="26">
        <f>G356-H356</f>
        <v/>
      </c>
      <c r="J356" s="21" t="n"/>
      <c r="K356" s="21" t="n"/>
      <c r="L356" s="27">
        <f>SUM(J356:K356)</f>
        <v/>
      </c>
      <c r="M356" s="28" t="n"/>
      <c r="N356" s="28" t="n"/>
      <c r="O356" s="29">
        <f>IF(AND(L356=0,M356=0,N356=0),0,IF(AND(L356=0,M356=0),N356/1,IF(AND(L356=0,N356=0),M356/1,IF(AND(M356=0,N356=0),L356/1,IF(L356=0,FLOOR((M356+N356)/2,0.1),IF(M356=0,(L356+N356)/2,IF(N356=0,(M356+L356)/2,FLOOR(((L356+M356+N356)/3),0.1))))))))</f>
        <v/>
      </c>
      <c r="P356" s="21" t="n"/>
      <c r="Q356" s="21" t="n"/>
      <c r="R356" s="27">
        <f>SUM(P356:Q356)</f>
        <v/>
      </c>
      <c r="S356" s="28" t="n"/>
      <c r="T356" s="28" t="n"/>
      <c r="U356" s="29">
        <f>IF(AND(R356=0,S356=0,T356=0),0,IF(AND(R356=0,S356=0),T356/1,IF(AND(R356=0,T356=0),S356/1,IF(AND(S356=0,T356=0),R356/1,IF(R356=0,FLOOR((S356+T356)/2,0.1),IF(S356=0,(R356+T356)/2,IF(T356=0,(S356+R356)/2,FLOOR(((R356+S356+T356)/3),0.1))))))))</f>
        <v/>
      </c>
      <c r="V356" s="21" t="n"/>
      <c r="W356" s="21" t="n"/>
      <c r="X356" s="27">
        <f>SUM(V356:W356)</f>
        <v/>
      </c>
      <c r="Y356" s="28" t="n"/>
      <c r="Z356" s="28" t="n"/>
      <c r="AA356" s="29">
        <f>IF(AND(X356=0,Y356=0,Z356=0),0,IF(AND(X356=0,Y356=0),Z356/1,IF(AND(X356=0,Z356=0),Y356/1,IF(AND(Y356=0,Z356=0),X356/1,IF(X356=0,FLOOR((Y356+Z356)/2,0.1),IF(Y356=0,(X356+Z356)/2,IF(Z356=0,(Y356+X356)/2,FLOOR(((X356+Y356+Z356)/3),0.1))))))))</f>
        <v/>
      </c>
      <c r="AB356" s="21" t="n"/>
      <c r="AC356" s="21" t="n"/>
      <c r="AD356" s="27">
        <f>SUM(AB356:AC356)</f>
        <v/>
      </c>
      <c r="AE356" s="28" t="n"/>
      <c r="AF356" s="28" t="n"/>
      <c r="AG356" s="29">
        <f>IF(AND(AD356=0,AE356=0,AF356=0),0,IF(AND(AD356=0,AE356=0),AF356/1,IF(AND(AD356=0,AF356=0),AE356/1,IF(AND(AE356=0,AF356=0),AD356/1,IF(AD356=0,FLOOR((AE356+AF356)/2,0.1),IF(AE356=0,(AD356+AF356)/2,IF(AF356=0,(AE356+AD356)/2,FLOOR(((AD356+AE356+AF356)/3),0.1))))))))</f>
        <v/>
      </c>
      <c r="AH356" s="21" t="n"/>
      <c r="AI356" s="21" t="n"/>
      <c r="AJ356" s="27">
        <f>SUM(AH356:AI356)</f>
        <v/>
      </c>
      <c r="AK356" s="28" t="n"/>
      <c r="AL356" s="28" t="n"/>
      <c r="AM356" s="29">
        <f>IF(AND(AJ356=0,AK356=0,AL356=0),0,IF(AND(AJ356=0,AK356=0),AL356/1,IF(AND(AJ356=0,AL356=0),AK356/1,IF(AND(AK356=0,AL356=0),AJ356/1,IF(AJ356=0,FLOOR((AK356+AL356)/2,0.1),IF(AK356=0,(AJ356+AL356)/2,IF(AL356=0,(AK356+AJ356)/2,FLOOR(((AJ356+AK356+AL356)/3),0.1))))))))</f>
        <v/>
      </c>
      <c r="AN356" s="21" t="n"/>
      <c r="AO356" s="21" t="n"/>
      <c r="AP356" s="27">
        <f>SUM(AN356:AO356)</f>
        <v/>
      </c>
      <c r="AQ356" s="28" t="n"/>
      <c r="AR356" s="30" t="n"/>
      <c r="AS356" s="29">
        <f>IF(AND(AP356=0,AQ356=0,AR356=0),0,IF(AND(AP356=0,AQ356=0),AR356/1,IF(AND(AP356=0,AR356=0),AQ356/1,IF(AND(AQ356=0,AR356=0),AP356/1,IF(AP356=0,FLOOR((AQ356+AR356)/2,0.1),IF(AQ356=0,(AP356+AR356)/2,IF(AR356=0,(AQ356+AP356)/2,FLOOR(((AP356+AQ356+AR356)/3),0.1))))))))</f>
        <v/>
      </c>
      <c r="AT356" s="21" t="n"/>
      <c r="AU356" s="21" t="n"/>
      <c r="AV356" s="27">
        <f>SUM(AT356:AU356)</f>
        <v/>
      </c>
      <c r="AW356" s="28" t="n"/>
      <c r="AX356" s="30" t="n"/>
      <c r="AY356" s="29">
        <f>IF(AND(AV356=0,AW356=0,AX356=0),0,IF(AND(AV356=0,AW356=0),AX356/1,IF(AND(AV356=0,AX356=0),AW356/1,IF(AND(AW356=0,AX356=0),AV356/1,IF(AV356=0,FLOOR((AW356+AX356)/2,0.1),IF(AW356=0,(AV356+AX356)/2,IF(AX356=0,(AW356+AV356)/2,FLOOR(((AV356+AW356+AX356)/3),0.1))))))))</f>
        <v/>
      </c>
      <c r="AZ356" s="21" t="n"/>
      <c r="BA356" s="21" t="n"/>
      <c r="BB356" s="27">
        <f>SUM(AZ356:BA356)</f>
        <v/>
      </c>
      <c r="BC356" s="28" t="n"/>
      <c r="BD356" s="28" t="n"/>
      <c r="BE356" s="29">
        <f>IF(AND(BB356=0,BC356=0,BD356=0),0,IF(AND(BB356=0,BC356=0),BD356/1,IF(AND(BB356=0,BD356=0),BC356/1,IF(AND(BC356=0,BD356=0),BB356/1,IF(BB356=0,FLOOR((BC356+BD356)/2,0.1),IF(BC356=0,(BB356+BD356)/2,IF(BD356=0,(BC356+BB356)/2,FLOOR(((BB356+BC356+BD356)/3),0.1))))))))</f>
        <v/>
      </c>
      <c r="BF356" s="21" t="n"/>
      <c r="BG356" s="21" t="n"/>
      <c r="BH356" s="27">
        <f>SUM(BF356:BG356)</f>
        <v/>
      </c>
      <c r="BI356" s="28" t="n"/>
      <c r="BJ356" s="28" t="n"/>
      <c r="BK356" s="29">
        <f>IF(AND(BH356=0,BI356=0,BJ356=0),0,IF(AND(BH356=0,BI356=0),BJ356/1,IF(AND(BH356=0,BJ356=0),BI356/1,IF(AND(BI356=0,BJ356=0),BH356/1,IF(BH356=0,FLOOR((BI356+BJ356)/2,0.1),IF(BI356=0,(BH356+BJ356)/2,IF(BJ356=0,(BI356+BH356)/2,FLOOR(((BH356+BI356+BJ356)/3),0.1))))))))</f>
        <v/>
      </c>
      <c r="BL356" s="21" t="n"/>
      <c r="BM356" s="21" t="n"/>
      <c r="BN356" s="27">
        <f>SUM(BL356:BM356)</f>
        <v/>
      </c>
      <c r="BO356" s="28" t="n"/>
      <c r="BP356" s="31" t="n"/>
      <c r="BQ356" s="29">
        <f>IF(AND(BN356=0,BO356=0,BP356=0),0,IF(AND(BN356=0,BO356=0),BP356/1,IF(AND(BN356=0,BP356=0),BO356/1,IF(AND(BO356=0,BP356=0),BN356/1,IF(BN356=0,FLOOR((BO356+BP356)/2,0.1),IF(BO356=0,(BN356+BP356)/2,IF(BP356=0,(BO356+BN356)/2,FLOOR(((BN356+BO356+BP356)/3),0.1))))))))</f>
        <v/>
      </c>
      <c r="BR356" s="21" t="n"/>
      <c r="BS356" s="21" t="n"/>
      <c r="BT356" s="27">
        <f>SUM(BR356:BS356)</f>
        <v/>
      </c>
      <c r="BU356" s="28" t="n"/>
      <c r="BV356" s="31" t="n"/>
      <c r="BW356" s="29">
        <f>IF(AND(BT356=0,BU356=0,BV356=0),0,IF(AND(BT356=0,BU356=0),BV356/1,IF(AND(BT356=0,BV356=0),BU356/1,IF(AND(BU356=0,BV356=0),BT356/1,IF(BT356=0,FLOOR((BU356+BV356)/2,0.1),IF(BU356=0,(BT356+BV356)/2,IF(BV356=0,(BU356+BT356)/2,FLOOR(((BT356+BU356+BV356)/3),0.1))))))))</f>
        <v/>
      </c>
      <c r="BX356" s="21" t="n"/>
      <c r="BY356" s="21" t="n"/>
      <c r="BZ356" s="27">
        <f>SUM(BX356:BY356)</f>
        <v/>
      </c>
      <c r="CA356" s="28" t="n"/>
      <c r="CB356" s="31" t="n"/>
      <c r="CC356" s="29">
        <f>IF(AND(BZ356=0,CA356=0,CB356=0),0,IF(AND(BZ356=0,CA356=0),CB356/1,IF(AND(BZ356=0,CB356=0),CA356/1,IF(AND(CA356=0,CB356=0),BZ356/1,IF(BZ356=0,FLOOR((CA356+CB356)/2,0.1),IF(CA356=0,(BZ356+CB356)/2,IF(CB356=0,(CA356+BZ356)/2,FLOOR(((BZ356+CA356+CB356)/3),0.1))))))))</f>
        <v/>
      </c>
      <c r="CD356" s="21" t="n"/>
      <c r="CE356" s="21" t="n"/>
      <c r="CF356" s="27">
        <f>SUM(CD356:CE356)</f>
        <v/>
      </c>
      <c r="CG356" s="28" t="n"/>
      <c r="CH356" s="31" t="n"/>
      <c r="CI356" s="29">
        <f>IF(AND(CF356=0,CG356=0,CH356=0),0,IF(AND(CF356=0,CG356=0),CH356/1,IF(AND(CF356=0,CH356=0),CG356/1,IF(AND(CG356=0,CH356=0),CF356/1,IF(CF356=0,FLOOR((CG356+CH356)/2,0.1),IF(CG356=0,(CF356+CH356)/2,IF(CH356=0,(CG356+CF356)/2,FLOOR(((CF356+CG356+CH356)/3),0.1))))))))</f>
        <v/>
      </c>
      <c r="CJ356" s="21" t="n"/>
      <c r="CK356" s="21" t="n"/>
      <c r="CL356" s="27">
        <f>SUM(CJ356:CK356)</f>
        <v/>
      </c>
      <c r="CM356" s="28" t="n"/>
      <c r="CN356" s="31" t="n"/>
      <c r="CO356" s="29">
        <f>IF(AND(CL356=0,CM356=0,CN356=0),0,IF(AND(CL356=0,CM356=0),CN356/1,IF(AND(CL356=0,CN356=0),CM356/1,IF(AND(CM356=0,CN356=0),CL356/1,IF(CL356=0,FLOOR((CM356+CN356)/2,0.1),IF(CM356=0,(CL356+CN356)/2,IF(CN356=0,(CM356+CL356)/2,FLOOR(((CL356+CM356+CN356)/3),0.1))))))))</f>
        <v/>
      </c>
      <c r="CP356" s="21" t="n"/>
      <c r="CQ356" s="21" t="n"/>
      <c r="CR356" s="27">
        <f>SUM(CP356:CQ356)</f>
        <v/>
      </c>
      <c r="CS356" s="28" t="n"/>
      <c r="CT356" s="31" t="n"/>
      <c r="CU356" s="29">
        <f>IF(AND(CR356=0,CS356=0,CT356=0),0,IF(AND(CR356=0,CS356=0),CT356/1,IF(AND(CR356=0,CT356=0),CS356/1,IF(AND(CS356=0,CT356=0),CR356/1,IF(CR356=0,FLOOR((CS356+CT356)/2,0.1),IF(CS356=0,(CR356+CT356)/2,IF(CT356=0,(CS356+CR356)/2,FLOOR(((CR356+CS356+CT356)/3),0.1))))))))</f>
        <v/>
      </c>
      <c r="CV356" s="21" t="n"/>
      <c r="CW356" s="21" t="n"/>
      <c r="CX356" s="27">
        <f>SUM(CV356:CW356)</f>
        <v/>
      </c>
      <c r="CY356" s="28" t="n"/>
      <c r="CZ356" s="31" t="n"/>
      <c r="DA356" s="29">
        <f>IF(AND(CX356=0,CY356=0,CZ356=0),0,IF(AND(CX356=0,CY356=0),CZ356/1,IF(AND(CX356=0,CZ356=0),CY356/1,IF(AND(CY356=0,CZ356=0),CX356/1,IF(CX356=0,FLOOR((CY356+CZ356)/2,0.1),IF(CY356=0,(CX356+CZ356)/2,IF(CZ356=0,(CY356+CX356)/2,FLOOR(((CX356+CY356+CZ356)/3),0.1))))))))</f>
        <v/>
      </c>
      <c r="DB356" s="21" t="n"/>
      <c r="DC356" s="21" t="n"/>
      <c r="DD356" s="27">
        <f>SUM(DB356:DC356)</f>
        <v/>
      </c>
      <c r="DE356" s="28" t="n"/>
      <c r="DF356" s="31" t="n"/>
      <c r="DG356" s="29">
        <f>IF(AND(DD356=0,DE356=0,DF356=0),0,IF(AND(DD356=0,DE356=0),DF356/1,IF(AND(DD356=0,DF356=0),DE356/1,IF(AND(DE356=0,DF356=0),DD356/1,IF(DD356=0,FLOOR((DE356+DF356)/2,0.1),IF(DE356=0,(DD356+DF356)/2,IF(DF356=0,(DE356+DD356)/2,FLOOR(((DD356+DE356+DF356)/3),0.1))))))))</f>
        <v/>
      </c>
      <c r="DH356" s="34">
        <f>SUM(O356,U356,AA356,AG356,AM356,AS356,AY356,BE356,BK356,BQ356,BW356,CC356,CI356,CO356,CU356,DA356,DG356)</f>
        <v/>
      </c>
      <c r="DI356" s="39">
        <f>RANK(DH356,DH$4:DH$503)</f>
        <v/>
      </c>
      <c r="DJ356" s="40" t="inlineStr">
        <is>
          <t>CHOOSE RATING</t>
        </is>
      </c>
      <c r="DK356" s="40" t="inlineStr">
        <is>
          <t>CHOOSE RATING</t>
        </is>
      </c>
      <c r="DL356" s="40" t="inlineStr">
        <is>
          <t>CHOOSE RATING</t>
        </is>
      </c>
      <c r="DM356" s="40" t="inlineStr">
        <is>
          <t>CHOOSE RATING</t>
        </is>
      </c>
      <c r="DN356" s="40" t="inlineStr">
        <is>
          <t>CHOOSE RATING</t>
        </is>
      </c>
      <c r="DO356" s="40" t="inlineStr">
        <is>
          <t>CHOOSE RATING</t>
        </is>
      </c>
      <c r="DP356" s="40" t="inlineStr">
        <is>
          <t>CHOOSE RATING</t>
        </is>
      </c>
      <c r="DQ356" s="40" t="inlineStr">
        <is>
          <t>CHOOSE RATING</t>
        </is>
      </c>
      <c r="DR356" s="43" t="inlineStr">
        <is>
          <t>2024/2025</t>
        </is>
      </c>
      <c r="DS356" s="45" t="inlineStr">
        <is>
          <t>THIRD</t>
        </is>
      </c>
      <c r="DT356" s="40" t="inlineStr">
        <is>
          <t>CHOOSE RATING</t>
        </is>
      </c>
      <c r="DU356" s="40" t="inlineStr">
        <is>
          <t>CHOOSE RATING</t>
        </is>
      </c>
      <c r="DV356" s="40" t="inlineStr">
        <is>
          <t>CHOOSE RATING</t>
        </is>
      </c>
      <c r="DW356" s="40" t="inlineStr">
        <is>
          <t>CHOOSE RATING</t>
        </is>
      </c>
      <c r="DX356" s="40" t="inlineStr">
        <is>
          <t>CHOOSE RATING</t>
        </is>
      </c>
      <c r="DY356" s="40" t="inlineStr">
        <is>
          <t>CHOOSE RATING</t>
        </is>
      </c>
      <c r="DZ356" s="53" t="inlineStr">
        <is>
          <t>CHOOSE RATING</t>
        </is>
      </c>
      <c r="EA356" s="54" t="inlineStr">
        <is>
          <t>Add the Tutor's Comment . . .</t>
        </is>
      </c>
      <c r="EB356" s="55" t="inlineStr">
        <is>
          <t>Choose Principals comment</t>
        </is>
      </c>
      <c r="EC356" s="56" t="n"/>
      <c r="ED356" s="57" t="inlineStr">
        <is>
          <t>Next Term Begins on Monday, 22nd September, 2025</t>
        </is>
      </c>
    </row>
    <row r="357" ht="30.6" customHeight="1" s="6">
      <c r="A357" s="18" t="n">
        <v>354</v>
      </c>
      <c r="B357" s="19" t="n"/>
      <c r="C357" s="20" t="n"/>
      <c r="D357" s="128" t="n"/>
      <c r="E357" s="21" t="n"/>
      <c r="F357" s="22" t="n"/>
      <c r="G357" s="22" t="n"/>
      <c r="H357" s="22" t="n"/>
      <c r="I357" s="26">
        <f>G357-H357</f>
        <v/>
      </c>
      <c r="J357" s="21" t="n"/>
      <c r="K357" s="21" t="n"/>
      <c r="L357" s="27">
        <f>SUM(J357:K357)</f>
        <v/>
      </c>
      <c r="M357" s="28" t="n"/>
      <c r="N357" s="28" t="n"/>
      <c r="O357" s="29">
        <f>IF(AND(L357=0,M357=0,N357=0),0,IF(AND(L357=0,M357=0),N357/1,IF(AND(L357=0,N357=0),M357/1,IF(AND(M357=0,N357=0),L357/1,IF(L357=0,FLOOR((M357+N357)/2,0.1),IF(M357=0,(L357+N357)/2,IF(N357=0,(M357+L357)/2,FLOOR(((L357+M357+N357)/3),0.1))))))))</f>
        <v/>
      </c>
      <c r="P357" s="21" t="n"/>
      <c r="Q357" s="21" t="n"/>
      <c r="R357" s="27">
        <f>SUM(P357:Q357)</f>
        <v/>
      </c>
      <c r="S357" s="28" t="n"/>
      <c r="T357" s="28" t="n"/>
      <c r="U357" s="29">
        <f>IF(AND(R357=0,S357=0,T357=0),0,IF(AND(R357=0,S357=0),T357/1,IF(AND(R357=0,T357=0),S357/1,IF(AND(S357=0,T357=0),R357/1,IF(R357=0,FLOOR((S357+T357)/2,0.1),IF(S357=0,(R357+T357)/2,IF(T357=0,(S357+R357)/2,FLOOR(((R357+S357+T357)/3),0.1))))))))</f>
        <v/>
      </c>
      <c r="V357" s="21" t="n"/>
      <c r="W357" s="21" t="n"/>
      <c r="X357" s="27">
        <f>SUM(V357:W357)</f>
        <v/>
      </c>
      <c r="Y357" s="28" t="n"/>
      <c r="Z357" s="28" t="n"/>
      <c r="AA357" s="29">
        <f>IF(AND(X357=0,Y357=0,Z357=0),0,IF(AND(X357=0,Y357=0),Z357/1,IF(AND(X357=0,Z357=0),Y357/1,IF(AND(Y357=0,Z357=0),X357/1,IF(X357=0,FLOOR((Y357+Z357)/2,0.1),IF(Y357=0,(X357+Z357)/2,IF(Z357=0,(Y357+X357)/2,FLOOR(((X357+Y357+Z357)/3),0.1))))))))</f>
        <v/>
      </c>
      <c r="AB357" s="21" t="n"/>
      <c r="AC357" s="21" t="n"/>
      <c r="AD357" s="27">
        <f>SUM(AB357:AC357)</f>
        <v/>
      </c>
      <c r="AE357" s="28" t="n"/>
      <c r="AF357" s="28" t="n"/>
      <c r="AG357" s="29">
        <f>IF(AND(AD357=0,AE357=0,AF357=0),0,IF(AND(AD357=0,AE357=0),AF357/1,IF(AND(AD357=0,AF357=0),AE357/1,IF(AND(AE357=0,AF357=0),AD357/1,IF(AD357=0,FLOOR((AE357+AF357)/2,0.1),IF(AE357=0,(AD357+AF357)/2,IF(AF357=0,(AE357+AD357)/2,FLOOR(((AD357+AE357+AF357)/3),0.1))))))))</f>
        <v/>
      </c>
      <c r="AH357" s="21" t="n"/>
      <c r="AI357" s="21" t="n"/>
      <c r="AJ357" s="27">
        <f>SUM(AH357:AI357)</f>
        <v/>
      </c>
      <c r="AK357" s="28" t="n"/>
      <c r="AL357" s="28" t="n"/>
      <c r="AM357" s="29">
        <f>IF(AND(AJ357=0,AK357=0,AL357=0),0,IF(AND(AJ357=0,AK357=0),AL357/1,IF(AND(AJ357=0,AL357=0),AK357/1,IF(AND(AK357=0,AL357=0),AJ357/1,IF(AJ357=0,FLOOR((AK357+AL357)/2,0.1),IF(AK357=0,(AJ357+AL357)/2,IF(AL357=0,(AK357+AJ357)/2,FLOOR(((AJ357+AK357+AL357)/3),0.1))))))))</f>
        <v/>
      </c>
      <c r="AN357" s="21" t="n"/>
      <c r="AO357" s="21" t="n"/>
      <c r="AP357" s="27">
        <f>SUM(AN357:AO357)</f>
        <v/>
      </c>
      <c r="AQ357" s="28" t="n"/>
      <c r="AR357" s="30" t="n"/>
      <c r="AS357" s="29">
        <f>IF(AND(AP357=0,AQ357=0,AR357=0),0,IF(AND(AP357=0,AQ357=0),AR357/1,IF(AND(AP357=0,AR357=0),AQ357/1,IF(AND(AQ357=0,AR357=0),AP357/1,IF(AP357=0,FLOOR((AQ357+AR357)/2,0.1),IF(AQ357=0,(AP357+AR357)/2,IF(AR357=0,(AQ357+AP357)/2,FLOOR(((AP357+AQ357+AR357)/3),0.1))))))))</f>
        <v/>
      </c>
      <c r="AT357" s="21" t="n"/>
      <c r="AU357" s="21" t="n"/>
      <c r="AV357" s="27">
        <f>SUM(AT357:AU357)</f>
        <v/>
      </c>
      <c r="AW357" s="28" t="n"/>
      <c r="AX357" s="30" t="n"/>
      <c r="AY357" s="29">
        <f>IF(AND(AV357=0,AW357=0,AX357=0),0,IF(AND(AV357=0,AW357=0),AX357/1,IF(AND(AV357=0,AX357=0),AW357/1,IF(AND(AW357=0,AX357=0),AV357/1,IF(AV357=0,FLOOR((AW357+AX357)/2,0.1),IF(AW357=0,(AV357+AX357)/2,IF(AX357=0,(AW357+AV357)/2,FLOOR(((AV357+AW357+AX357)/3),0.1))))))))</f>
        <v/>
      </c>
      <c r="AZ357" s="21" t="n"/>
      <c r="BA357" s="21" t="n"/>
      <c r="BB357" s="27">
        <f>SUM(AZ357:BA357)</f>
        <v/>
      </c>
      <c r="BC357" s="28" t="n"/>
      <c r="BD357" s="28" t="n"/>
      <c r="BE357" s="29">
        <f>IF(AND(BB357=0,BC357=0,BD357=0),0,IF(AND(BB357=0,BC357=0),BD357/1,IF(AND(BB357=0,BD357=0),BC357/1,IF(AND(BC357=0,BD357=0),BB357/1,IF(BB357=0,FLOOR((BC357+BD357)/2,0.1),IF(BC357=0,(BB357+BD357)/2,IF(BD357=0,(BC357+BB357)/2,FLOOR(((BB357+BC357+BD357)/3),0.1))))))))</f>
        <v/>
      </c>
      <c r="BF357" s="21" t="n"/>
      <c r="BG357" s="21" t="n"/>
      <c r="BH357" s="27">
        <f>SUM(BF357:BG357)</f>
        <v/>
      </c>
      <c r="BI357" s="28" t="n"/>
      <c r="BJ357" s="28" t="n"/>
      <c r="BK357" s="29">
        <f>IF(AND(BH357=0,BI357=0,BJ357=0),0,IF(AND(BH357=0,BI357=0),BJ357/1,IF(AND(BH357=0,BJ357=0),BI357/1,IF(AND(BI357=0,BJ357=0),BH357/1,IF(BH357=0,FLOOR((BI357+BJ357)/2,0.1),IF(BI357=0,(BH357+BJ357)/2,IF(BJ357=0,(BI357+BH357)/2,FLOOR(((BH357+BI357+BJ357)/3),0.1))))))))</f>
        <v/>
      </c>
      <c r="BL357" s="21" t="n"/>
      <c r="BM357" s="21" t="n"/>
      <c r="BN357" s="27">
        <f>SUM(BL357:BM357)</f>
        <v/>
      </c>
      <c r="BO357" s="28" t="n"/>
      <c r="BP357" s="31" t="n"/>
      <c r="BQ357" s="29">
        <f>IF(AND(BN357=0,BO357=0,BP357=0),0,IF(AND(BN357=0,BO357=0),BP357/1,IF(AND(BN357=0,BP357=0),BO357/1,IF(AND(BO357=0,BP357=0),BN357/1,IF(BN357=0,FLOOR((BO357+BP357)/2,0.1),IF(BO357=0,(BN357+BP357)/2,IF(BP357=0,(BO357+BN357)/2,FLOOR(((BN357+BO357+BP357)/3),0.1))))))))</f>
        <v/>
      </c>
      <c r="BR357" s="21" t="n"/>
      <c r="BS357" s="21" t="n"/>
      <c r="BT357" s="27">
        <f>SUM(BR357:BS357)</f>
        <v/>
      </c>
      <c r="BU357" s="28" t="n"/>
      <c r="BV357" s="31" t="n"/>
      <c r="BW357" s="29">
        <f>IF(AND(BT357=0,BU357=0,BV357=0),0,IF(AND(BT357=0,BU357=0),BV357/1,IF(AND(BT357=0,BV357=0),BU357/1,IF(AND(BU357=0,BV357=0),BT357/1,IF(BT357=0,FLOOR((BU357+BV357)/2,0.1),IF(BU357=0,(BT357+BV357)/2,IF(BV357=0,(BU357+BT357)/2,FLOOR(((BT357+BU357+BV357)/3),0.1))))))))</f>
        <v/>
      </c>
      <c r="BX357" s="21" t="n"/>
      <c r="BY357" s="21" t="n"/>
      <c r="BZ357" s="27">
        <f>SUM(BX357:BY357)</f>
        <v/>
      </c>
      <c r="CA357" s="28" t="n"/>
      <c r="CB357" s="31" t="n"/>
      <c r="CC357" s="29">
        <f>IF(AND(BZ357=0,CA357=0,CB357=0),0,IF(AND(BZ357=0,CA357=0),CB357/1,IF(AND(BZ357=0,CB357=0),CA357/1,IF(AND(CA357=0,CB357=0),BZ357/1,IF(BZ357=0,FLOOR((CA357+CB357)/2,0.1),IF(CA357=0,(BZ357+CB357)/2,IF(CB357=0,(CA357+BZ357)/2,FLOOR(((BZ357+CA357+CB357)/3),0.1))))))))</f>
        <v/>
      </c>
      <c r="CD357" s="21" t="n"/>
      <c r="CE357" s="21" t="n"/>
      <c r="CF357" s="27">
        <f>SUM(CD357:CE357)</f>
        <v/>
      </c>
      <c r="CG357" s="28" t="n"/>
      <c r="CH357" s="31" t="n"/>
      <c r="CI357" s="29">
        <f>IF(AND(CF357=0,CG357=0,CH357=0),0,IF(AND(CF357=0,CG357=0),CH357/1,IF(AND(CF357=0,CH357=0),CG357/1,IF(AND(CG357=0,CH357=0),CF357/1,IF(CF357=0,FLOOR((CG357+CH357)/2,0.1),IF(CG357=0,(CF357+CH357)/2,IF(CH357=0,(CG357+CF357)/2,FLOOR(((CF357+CG357+CH357)/3),0.1))))))))</f>
        <v/>
      </c>
      <c r="CJ357" s="21" t="n"/>
      <c r="CK357" s="21" t="n"/>
      <c r="CL357" s="27">
        <f>SUM(CJ357:CK357)</f>
        <v/>
      </c>
      <c r="CM357" s="28" t="n"/>
      <c r="CN357" s="31" t="n"/>
      <c r="CO357" s="29">
        <f>IF(AND(CL357=0,CM357=0,CN357=0),0,IF(AND(CL357=0,CM357=0),CN357/1,IF(AND(CL357=0,CN357=0),CM357/1,IF(AND(CM357=0,CN357=0),CL357/1,IF(CL357=0,FLOOR((CM357+CN357)/2,0.1),IF(CM357=0,(CL357+CN357)/2,IF(CN357=0,(CM357+CL357)/2,FLOOR(((CL357+CM357+CN357)/3),0.1))))))))</f>
        <v/>
      </c>
      <c r="CP357" s="21" t="n"/>
      <c r="CQ357" s="21" t="n"/>
      <c r="CR357" s="27">
        <f>SUM(CP357:CQ357)</f>
        <v/>
      </c>
      <c r="CS357" s="28" t="n"/>
      <c r="CT357" s="31" t="n"/>
      <c r="CU357" s="29">
        <f>IF(AND(CR357=0,CS357=0,CT357=0),0,IF(AND(CR357=0,CS357=0),CT357/1,IF(AND(CR357=0,CT357=0),CS357/1,IF(AND(CS357=0,CT357=0),CR357/1,IF(CR357=0,FLOOR((CS357+CT357)/2,0.1),IF(CS357=0,(CR357+CT357)/2,IF(CT357=0,(CS357+CR357)/2,FLOOR(((CR357+CS357+CT357)/3),0.1))))))))</f>
        <v/>
      </c>
      <c r="CV357" s="21" t="n"/>
      <c r="CW357" s="21" t="n"/>
      <c r="CX357" s="27">
        <f>SUM(CV357:CW357)</f>
        <v/>
      </c>
      <c r="CY357" s="28" t="n"/>
      <c r="CZ357" s="31" t="n"/>
      <c r="DA357" s="29">
        <f>IF(AND(CX357=0,CY357=0,CZ357=0),0,IF(AND(CX357=0,CY357=0),CZ357/1,IF(AND(CX357=0,CZ357=0),CY357/1,IF(AND(CY357=0,CZ357=0),CX357/1,IF(CX357=0,FLOOR((CY357+CZ357)/2,0.1),IF(CY357=0,(CX357+CZ357)/2,IF(CZ357=0,(CY357+CX357)/2,FLOOR(((CX357+CY357+CZ357)/3),0.1))))))))</f>
        <v/>
      </c>
      <c r="DB357" s="21" t="n"/>
      <c r="DC357" s="21" t="n"/>
      <c r="DD357" s="27">
        <f>SUM(DB357:DC357)</f>
        <v/>
      </c>
      <c r="DE357" s="28" t="n"/>
      <c r="DF357" s="31" t="n"/>
      <c r="DG357" s="29">
        <f>IF(AND(DD357=0,DE357=0,DF357=0),0,IF(AND(DD357=0,DE357=0),DF357/1,IF(AND(DD357=0,DF357=0),DE357/1,IF(AND(DE357=0,DF357=0),DD357/1,IF(DD357=0,FLOOR((DE357+DF357)/2,0.1),IF(DE357=0,(DD357+DF357)/2,IF(DF357=0,(DE357+DD357)/2,FLOOR(((DD357+DE357+DF357)/3),0.1))))))))</f>
        <v/>
      </c>
      <c r="DH357" s="34">
        <f>SUM(O357,U357,AA357,AG357,AM357,AS357,AY357,BE357,BK357,BQ357,BW357,CC357,CI357,CO357,CU357,DA357,DG357)</f>
        <v/>
      </c>
      <c r="DI357" s="39">
        <f>RANK(DH357,DH$4:DH$503)</f>
        <v/>
      </c>
      <c r="DJ357" s="40" t="inlineStr">
        <is>
          <t>CHOOSE RATING</t>
        </is>
      </c>
      <c r="DK357" s="40" t="inlineStr">
        <is>
          <t>CHOOSE RATING</t>
        </is>
      </c>
      <c r="DL357" s="40" t="inlineStr">
        <is>
          <t>CHOOSE RATING</t>
        </is>
      </c>
      <c r="DM357" s="40" t="inlineStr">
        <is>
          <t>CHOOSE RATING</t>
        </is>
      </c>
      <c r="DN357" s="40" t="inlineStr">
        <is>
          <t>CHOOSE RATING</t>
        </is>
      </c>
      <c r="DO357" s="40" t="inlineStr">
        <is>
          <t>CHOOSE RATING</t>
        </is>
      </c>
      <c r="DP357" s="40" t="inlineStr">
        <is>
          <t>CHOOSE RATING</t>
        </is>
      </c>
      <c r="DQ357" s="40" t="inlineStr">
        <is>
          <t>CHOOSE RATING</t>
        </is>
      </c>
      <c r="DR357" s="43" t="inlineStr">
        <is>
          <t>2024/2025</t>
        </is>
      </c>
      <c r="DS357" s="45" t="inlineStr">
        <is>
          <t>THIRD</t>
        </is>
      </c>
      <c r="DT357" s="40" t="inlineStr">
        <is>
          <t>CHOOSE RATING</t>
        </is>
      </c>
      <c r="DU357" s="40" t="inlineStr">
        <is>
          <t>CHOOSE RATING</t>
        </is>
      </c>
      <c r="DV357" s="40" t="inlineStr">
        <is>
          <t>CHOOSE RATING</t>
        </is>
      </c>
      <c r="DW357" s="40" t="inlineStr">
        <is>
          <t>CHOOSE RATING</t>
        </is>
      </c>
      <c r="DX357" s="40" t="inlineStr">
        <is>
          <t>CHOOSE RATING</t>
        </is>
      </c>
      <c r="DY357" s="40" t="inlineStr">
        <is>
          <t>CHOOSE RATING</t>
        </is>
      </c>
      <c r="DZ357" s="53" t="inlineStr">
        <is>
          <t>CHOOSE RATING</t>
        </is>
      </c>
      <c r="EA357" s="54" t="inlineStr">
        <is>
          <t>Add the Tutor's Comment . . .</t>
        </is>
      </c>
      <c r="EB357" s="55" t="inlineStr">
        <is>
          <t>Choose Principals comment</t>
        </is>
      </c>
      <c r="EC357" s="56" t="n"/>
      <c r="ED357" s="57" t="inlineStr">
        <is>
          <t>Next Term Begins on Monday, 22nd September, 2025</t>
        </is>
      </c>
    </row>
    <row r="358" ht="30.6" customHeight="1" s="6">
      <c r="A358" s="18" t="n">
        <v>355</v>
      </c>
      <c r="B358" s="19" t="n"/>
      <c r="C358" s="20" t="n"/>
      <c r="D358" s="128" t="n"/>
      <c r="E358" s="21" t="n"/>
      <c r="F358" s="22" t="n"/>
      <c r="G358" s="22" t="n"/>
      <c r="H358" s="22" t="n"/>
      <c r="I358" s="26">
        <f>G358-H358</f>
        <v/>
      </c>
      <c r="J358" s="21" t="n"/>
      <c r="K358" s="21" t="n"/>
      <c r="L358" s="27">
        <f>SUM(J358:K358)</f>
        <v/>
      </c>
      <c r="M358" s="28" t="n"/>
      <c r="N358" s="28" t="n"/>
      <c r="O358" s="29">
        <f>IF(AND(L358=0,M358=0,N358=0),0,IF(AND(L358=0,M358=0),N358/1,IF(AND(L358=0,N358=0),M358/1,IF(AND(M358=0,N358=0),L358/1,IF(L358=0,FLOOR((M358+N358)/2,0.1),IF(M358=0,(L358+N358)/2,IF(N358=0,(M358+L358)/2,FLOOR(((L358+M358+N358)/3),0.1))))))))</f>
        <v/>
      </c>
      <c r="P358" s="21" t="n"/>
      <c r="Q358" s="21" t="n"/>
      <c r="R358" s="27">
        <f>SUM(P358:Q358)</f>
        <v/>
      </c>
      <c r="S358" s="28" t="n"/>
      <c r="T358" s="28" t="n"/>
      <c r="U358" s="29">
        <f>IF(AND(R358=0,S358=0,T358=0),0,IF(AND(R358=0,S358=0),T358/1,IF(AND(R358=0,T358=0),S358/1,IF(AND(S358=0,T358=0),R358/1,IF(R358=0,FLOOR((S358+T358)/2,0.1),IF(S358=0,(R358+T358)/2,IF(T358=0,(S358+R358)/2,FLOOR(((R358+S358+T358)/3),0.1))))))))</f>
        <v/>
      </c>
      <c r="V358" s="21" t="n"/>
      <c r="W358" s="21" t="n"/>
      <c r="X358" s="27">
        <f>SUM(V358:W358)</f>
        <v/>
      </c>
      <c r="Y358" s="28" t="n"/>
      <c r="Z358" s="28" t="n"/>
      <c r="AA358" s="29">
        <f>IF(AND(X358=0,Y358=0,Z358=0),0,IF(AND(X358=0,Y358=0),Z358/1,IF(AND(X358=0,Z358=0),Y358/1,IF(AND(Y358=0,Z358=0),X358/1,IF(X358=0,FLOOR((Y358+Z358)/2,0.1),IF(Y358=0,(X358+Z358)/2,IF(Z358=0,(Y358+X358)/2,FLOOR(((X358+Y358+Z358)/3),0.1))))))))</f>
        <v/>
      </c>
      <c r="AB358" s="21" t="n"/>
      <c r="AC358" s="21" t="n"/>
      <c r="AD358" s="27">
        <f>SUM(AB358:AC358)</f>
        <v/>
      </c>
      <c r="AE358" s="28" t="n"/>
      <c r="AF358" s="28" t="n"/>
      <c r="AG358" s="29">
        <f>IF(AND(AD358=0,AE358=0,AF358=0),0,IF(AND(AD358=0,AE358=0),AF358/1,IF(AND(AD358=0,AF358=0),AE358/1,IF(AND(AE358=0,AF358=0),AD358/1,IF(AD358=0,FLOOR((AE358+AF358)/2,0.1),IF(AE358=0,(AD358+AF358)/2,IF(AF358=0,(AE358+AD358)/2,FLOOR(((AD358+AE358+AF358)/3),0.1))))))))</f>
        <v/>
      </c>
      <c r="AH358" s="21" t="n"/>
      <c r="AI358" s="21" t="n"/>
      <c r="AJ358" s="27">
        <f>SUM(AH358:AI358)</f>
        <v/>
      </c>
      <c r="AK358" s="28" t="n"/>
      <c r="AL358" s="28" t="n"/>
      <c r="AM358" s="29">
        <f>IF(AND(AJ358=0,AK358=0,AL358=0),0,IF(AND(AJ358=0,AK358=0),AL358/1,IF(AND(AJ358=0,AL358=0),AK358/1,IF(AND(AK358=0,AL358=0),AJ358/1,IF(AJ358=0,FLOOR((AK358+AL358)/2,0.1),IF(AK358=0,(AJ358+AL358)/2,IF(AL358=0,(AK358+AJ358)/2,FLOOR(((AJ358+AK358+AL358)/3),0.1))))))))</f>
        <v/>
      </c>
      <c r="AN358" s="21" t="n"/>
      <c r="AO358" s="21" t="n"/>
      <c r="AP358" s="27">
        <f>SUM(AN358:AO358)</f>
        <v/>
      </c>
      <c r="AQ358" s="28" t="n"/>
      <c r="AR358" s="30" t="n"/>
      <c r="AS358" s="29">
        <f>IF(AND(AP358=0,AQ358=0,AR358=0),0,IF(AND(AP358=0,AQ358=0),AR358/1,IF(AND(AP358=0,AR358=0),AQ358/1,IF(AND(AQ358=0,AR358=0),AP358/1,IF(AP358=0,FLOOR((AQ358+AR358)/2,0.1),IF(AQ358=0,(AP358+AR358)/2,IF(AR358=0,(AQ358+AP358)/2,FLOOR(((AP358+AQ358+AR358)/3),0.1))))))))</f>
        <v/>
      </c>
      <c r="AT358" s="21" t="n"/>
      <c r="AU358" s="21" t="n"/>
      <c r="AV358" s="27">
        <f>SUM(AT358:AU358)</f>
        <v/>
      </c>
      <c r="AW358" s="28" t="n"/>
      <c r="AX358" s="30" t="n"/>
      <c r="AY358" s="29">
        <f>IF(AND(AV358=0,AW358=0,AX358=0),0,IF(AND(AV358=0,AW358=0),AX358/1,IF(AND(AV358=0,AX358=0),AW358/1,IF(AND(AW358=0,AX358=0),AV358/1,IF(AV358=0,FLOOR((AW358+AX358)/2,0.1),IF(AW358=0,(AV358+AX358)/2,IF(AX358=0,(AW358+AV358)/2,FLOOR(((AV358+AW358+AX358)/3),0.1))))))))</f>
        <v/>
      </c>
      <c r="AZ358" s="21" t="n"/>
      <c r="BA358" s="21" t="n"/>
      <c r="BB358" s="27">
        <f>SUM(AZ358:BA358)</f>
        <v/>
      </c>
      <c r="BC358" s="28" t="n"/>
      <c r="BD358" s="28" t="n"/>
      <c r="BE358" s="29">
        <f>IF(AND(BB358=0,BC358=0,BD358=0),0,IF(AND(BB358=0,BC358=0),BD358/1,IF(AND(BB358=0,BD358=0),BC358/1,IF(AND(BC358=0,BD358=0),BB358/1,IF(BB358=0,FLOOR((BC358+BD358)/2,0.1),IF(BC358=0,(BB358+BD358)/2,IF(BD358=0,(BC358+BB358)/2,FLOOR(((BB358+BC358+BD358)/3),0.1))))))))</f>
        <v/>
      </c>
      <c r="BF358" s="21" t="n"/>
      <c r="BG358" s="21" t="n"/>
      <c r="BH358" s="27">
        <f>SUM(BF358:BG358)</f>
        <v/>
      </c>
      <c r="BI358" s="28" t="n"/>
      <c r="BJ358" s="28" t="n"/>
      <c r="BK358" s="29">
        <f>IF(AND(BH358=0,BI358=0,BJ358=0),0,IF(AND(BH358=0,BI358=0),BJ358/1,IF(AND(BH358=0,BJ358=0),BI358/1,IF(AND(BI358=0,BJ358=0),BH358/1,IF(BH358=0,FLOOR((BI358+BJ358)/2,0.1),IF(BI358=0,(BH358+BJ358)/2,IF(BJ358=0,(BI358+BH358)/2,FLOOR(((BH358+BI358+BJ358)/3),0.1))))))))</f>
        <v/>
      </c>
      <c r="BL358" s="21" t="n"/>
      <c r="BM358" s="21" t="n"/>
      <c r="BN358" s="27">
        <f>SUM(BL358:BM358)</f>
        <v/>
      </c>
      <c r="BO358" s="28" t="n"/>
      <c r="BP358" s="31" t="n"/>
      <c r="BQ358" s="29">
        <f>IF(AND(BN358=0,BO358=0,BP358=0),0,IF(AND(BN358=0,BO358=0),BP358/1,IF(AND(BN358=0,BP358=0),BO358/1,IF(AND(BO358=0,BP358=0),BN358/1,IF(BN358=0,FLOOR((BO358+BP358)/2,0.1),IF(BO358=0,(BN358+BP358)/2,IF(BP358=0,(BO358+BN358)/2,FLOOR(((BN358+BO358+BP358)/3),0.1))))))))</f>
        <v/>
      </c>
      <c r="BR358" s="21" t="n"/>
      <c r="BS358" s="21" t="n"/>
      <c r="BT358" s="27">
        <f>SUM(BR358:BS358)</f>
        <v/>
      </c>
      <c r="BU358" s="28" t="n"/>
      <c r="BV358" s="31" t="n"/>
      <c r="BW358" s="29">
        <f>IF(AND(BT358=0,BU358=0,BV358=0),0,IF(AND(BT358=0,BU358=0),BV358/1,IF(AND(BT358=0,BV358=0),BU358/1,IF(AND(BU358=0,BV358=0),BT358/1,IF(BT358=0,FLOOR((BU358+BV358)/2,0.1),IF(BU358=0,(BT358+BV358)/2,IF(BV358=0,(BU358+BT358)/2,FLOOR(((BT358+BU358+BV358)/3),0.1))))))))</f>
        <v/>
      </c>
      <c r="BX358" s="21" t="n"/>
      <c r="BY358" s="21" t="n"/>
      <c r="BZ358" s="27">
        <f>SUM(BX358:BY358)</f>
        <v/>
      </c>
      <c r="CA358" s="28" t="n"/>
      <c r="CB358" s="31" t="n"/>
      <c r="CC358" s="29">
        <f>IF(AND(BZ358=0,CA358=0,CB358=0),0,IF(AND(BZ358=0,CA358=0),CB358/1,IF(AND(BZ358=0,CB358=0),CA358/1,IF(AND(CA358=0,CB358=0),BZ358/1,IF(BZ358=0,FLOOR((CA358+CB358)/2,0.1),IF(CA358=0,(BZ358+CB358)/2,IF(CB358=0,(CA358+BZ358)/2,FLOOR(((BZ358+CA358+CB358)/3),0.1))))))))</f>
        <v/>
      </c>
      <c r="CD358" s="21" t="n"/>
      <c r="CE358" s="21" t="n"/>
      <c r="CF358" s="27">
        <f>SUM(CD358:CE358)</f>
        <v/>
      </c>
      <c r="CG358" s="28" t="n"/>
      <c r="CH358" s="31" t="n"/>
      <c r="CI358" s="29">
        <f>IF(AND(CF358=0,CG358=0,CH358=0),0,IF(AND(CF358=0,CG358=0),CH358/1,IF(AND(CF358=0,CH358=0),CG358/1,IF(AND(CG358=0,CH358=0),CF358/1,IF(CF358=0,FLOOR((CG358+CH358)/2,0.1),IF(CG358=0,(CF358+CH358)/2,IF(CH358=0,(CG358+CF358)/2,FLOOR(((CF358+CG358+CH358)/3),0.1))))))))</f>
        <v/>
      </c>
      <c r="CJ358" s="21" t="n"/>
      <c r="CK358" s="21" t="n"/>
      <c r="CL358" s="27">
        <f>SUM(CJ358:CK358)</f>
        <v/>
      </c>
      <c r="CM358" s="28" t="n"/>
      <c r="CN358" s="31" t="n"/>
      <c r="CO358" s="29">
        <f>IF(AND(CL358=0,CM358=0,CN358=0),0,IF(AND(CL358=0,CM358=0),CN358/1,IF(AND(CL358=0,CN358=0),CM358/1,IF(AND(CM358=0,CN358=0),CL358/1,IF(CL358=0,FLOOR((CM358+CN358)/2,0.1),IF(CM358=0,(CL358+CN358)/2,IF(CN358=0,(CM358+CL358)/2,FLOOR(((CL358+CM358+CN358)/3),0.1))))))))</f>
        <v/>
      </c>
      <c r="CP358" s="21" t="n"/>
      <c r="CQ358" s="21" t="n"/>
      <c r="CR358" s="27">
        <f>SUM(CP358:CQ358)</f>
        <v/>
      </c>
      <c r="CS358" s="28" t="n"/>
      <c r="CT358" s="31" t="n"/>
      <c r="CU358" s="29">
        <f>IF(AND(CR358=0,CS358=0,CT358=0),0,IF(AND(CR358=0,CS358=0),CT358/1,IF(AND(CR358=0,CT358=0),CS358/1,IF(AND(CS358=0,CT358=0),CR358/1,IF(CR358=0,FLOOR((CS358+CT358)/2,0.1),IF(CS358=0,(CR358+CT358)/2,IF(CT358=0,(CS358+CR358)/2,FLOOR(((CR358+CS358+CT358)/3),0.1))))))))</f>
        <v/>
      </c>
      <c r="CV358" s="21" t="n"/>
      <c r="CW358" s="21" t="n"/>
      <c r="CX358" s="27">
        <f>SUM(CV358:CW358)</f>
        <v/>
      </c>
      <c r="CY358" s="28" t="n"/>
      <c r="CZ358" s="31" t="n"/>
      <c r="DA358" s="29">
        <f>IF(AND(CX358=0,CY358=0,CZ358=0),0,IF(AND(CX358=0,CY358=0),CZ358/1,IF(AND(CX358=0,CZ358=0),CY358/1,IF(AND(CY358=0,CZ358=0),CX358/1,IF(CX358=0,FLOOR((CY358+CZ358)/2,0.1),IF(CY358=0,(CX358+CZ358)/2,IF(CZ358=0,(CY358+CX358)/2,FLOOR(((CX358+CY358+CZ358)/3),0.1))))))))</f>
        <v/>
      </c>
      <c r="DB358" s="21" t="n"/>
      <c r="DC358" s="21" t="n"/>
      <c r="DD358" s="27">
        <f>SUM(DB358:DC358)</f>
        <v/>
      </c>
      <c r="DE358" s="28" t="n"/>
      <c r="DF358" s="31" t="n"/>
      <c r="DG358" s="29">
        <f>IF(AND(DD358=0,DE358=0,DF358=0),0,IF(AND(DD358=0,DE358=0),DF358/1,IF(AND(DD358=0,DF358=0),DE358/1,IF(AND(DE358=0,DF358=0),DD358/1,IF(DD358=0,FLOOR((DE358+DF358)/2,0.1),IF(DE358=0,(DD358+DF358)/2,IF(DF358=0,(DE358+DD358)/2,FLOOR(((DD358+DE358+DF358)/3),0.1))))))))</f>
        <v/>
      </c>
      <c r="DH358" s="34">
        <f>SUM(O358,U358,AA358,AG358,AM358,AS358,AY358,BE358,BK358,BQ358,BW358,CC358,CI358,CO358,CU358,DA358,DG358)</f>
        <v/>
      </c>
      <c r="DI358" s="39">
        <f>RANK(DH358,DH$4:DH$503)</f>
        <v/>
      </c>
      <c r="DJ358" s="40" t="inlineStr">
        <is>
          <t>CHOOSE RATING</t>
        </is>
      </c>
      <c r="DK358" s="40" t="inlineStr">
        <is>
          <t>CHOOSE RATING</t>
        </is>
      </c>
      <c r="DL358" s="40" t="inlineStr">
        <is>
          <t>CHOOSE RATING</t>
        </is>
      </c>
      <c r="DM358" s="40" t="inlineStr">
        <is>
          <t>CHOOSE RATING</t>
        </is>
      </c>
      <c r="DN358" s="40" t="inlineStr">
        <is>
          <t>CHOOSE RATING</t>
        </is>
      </c>
      <c r="DO358" s="40" t="inlineStr">
        <is>
          <t>CHOOSE RATING</t>
        </is>
      </c>
      <c r="DP358" s="40" t="inlineStr">
        <is>
          <t>CHOOSE RATING</t>
        </is>
      </c>
      <c r="DQ358" s="40" t="inlineStr">
        <is>
          <t>CHOOSE RATING</t>
        </is>
      </c>
      <c r="DR358" s="43" t="inlineStr">
        <is>
          <t>2024/2025</t>
        </is>
      </c>
      <c r="DS358" s="45" t="inlineStr">
        <is>
          <t>THIRD</t>
        </is>
      </c>
      <c r="DT358" s="40" t="inlineStr">
        <is>
          <t>CHOOSE RATING</t>
        </is>
      </c>
      <c r="DU358" s="40" t="inlineStr">
        <is>
          <t>CHOOSE RATING</t>
        </is>
      </c>
      <c r="DV358" s="40" t="inlineStr">
        <is>
          <t>CHOOSE RATING</t>
        </is>
      </c>
      <c r="DW358" s="40" t="inlineStr">
        <is>
          <t>CHOOSE RATING</t>
        </is>
      </c>
      <c r="DX358" s="40" t="inlineStr">
        <is>
          <t>CHOOSE RATING</t>
        </is>
      </c>
      <c r="DY358" s="40" t="inlineStr">
        <is>
          <t>CHOOSE RATING</t>
        </is>
      </c>
      <c r="DZ358" s="53" t="inlineStr">
        <is>
          <t>CHOOSE RATING</t>
        </is>
      </c>
      <c r="EA358" s="54" t="inlineStr">
        <is>
          <t>Add the Tutor's Comment . . .</t>
        </is>
      </c>
      <c r="EB358" s="55" t="inlineStr">
        <is>
          <t>Choose Principals comment</t>
        </is>
      </c>
      <c r="EC358" s="56" t="n"/>
      <c r="ED358" s="57" t="inlineStr">
        <is>
          <t>Next Term Begins on Monday, 22nd September, 2025</t>
        </is>
      </c>
    </row>
    <row r="359" ht="30.6" customHeight="1" s="6">
      <c r="A359" s="18" t="n">
        <v>356</v>
      </c>
      <c r="B359" s="19" t="n"/>
      <c r="C359" s="20" t="n"/>
      <c r="D359" s="128" t="n"/>
      <c r="E359" s="21" t="n"/>
      <c r="F359" s="22" t="n"/>
      <c r="G359" s="22" t="n"/>
      <c r="H359" s="22" t="n"/>
      <c r="I359" s="26">
        <f>G359-H359</f>
        <v/>
      </c>
      <c r="J359" s="21" t="n"/>
      <c r="K359" s="21" t="n"/>
      <c r="L359" s="27">
        <f>SUM(J359:K359)</f>
        <v/>
      </c>
      <c r="M359" s="28" t="n"/>
      <c r="N359" s="28" t="n"/>
      <c r="O359" s="29">
        <f>IF(AND(L359=0,M359=0,N359=0),0,IF(AND(L359=0,M359=0),N359/1,IF(AND(L359=0,N359=0),M359/1,IF(AND(M359=0,N359=0),L359/1,IF(L359=0,FLOOR((M359+N359)/2,0.1),IF(M359=0,(L359+N359)/2,IF(N359=0,(M359+L359)/2,FLOOR(((L359+M359+N359)/3),0.1))))))))</f>
        <v/>
      </c>
      <c r="P359" s="21" t="n"/>
      <c r="Q359" s="21" t="n"/>
      <c r="R359" s="27">
        <f>SUM(P359:Q359)</f>
        <v/>
      </c>
      <c r="S359" s="28" t="n"/>
      <c r="T359" s="28" t="n"/>
      <c r="U359" s="29">
        <f>IF(AND(R359=0,S359=0,T359=0),0,IF(AND(R359=0,S359=0),T359/1,IF(AND(R359=0,T359=0),S359/1,IF(AND(S359=0,T359=0),R359/1,IF(R359=0,FLOOR((S359+T359)/2,0.1),IF(S359=0,(R359+T359)/2,IF(T359=0,(S359+R359)/2,FLOOR(((R359+S359+T359)/3),0.1))))))))</f>
        <v/>
      </c>
      <c r="V359" s="21" t="n"/>
      <c r="W359" s="21" t="n"/>
      <c r="X359" s="27">
        <f>SUM(V359:W359)</f>
        <v/>
      </c>
      <c r="Y359" s="28" t="n"/>
      <c r="Z359" s="28" t="n"/>
      <c r="AA359" s="29">
        <f>IF(AND(X359=0,Y359=0,Z359=0),0,IF(AND(X359=0,Y359=0),Z359/1,IF(AND(X359=0,Z359=0),Y359/1,IF(AND(Y359=0,Z359=0),X359/1,IF(X359=0,FLOOR((Y359+Z359)/2,0.1),IF(Y359=0,(X359+Z359)/2,IF(Z359=0,(Y359+X359)/2,FLOOR(((X359+Y359+Z359)/3),0.1))))))))</f>
        <v/>
      </c>
      <c r="AB359" s="21" t="n"/>
      <c r="AC359" s="21" t="n"/>
      <c r="AD359" s="27">
        <f>SUM(AB359:AC359)</f>
        <v/>
      </c>
      <c r="AE359" s="28" t="n"/>
      <c r="AF359" s="28" t="n"/>
      <c r="AG359" s="29">
        <f>IF(AND(AD359=0,AE359=0,AF359=0),0,IF(AND(AD359=0,AE359=0),AF359/1,IF(AND(AD359=0,AF359=0),AE359/1,IF(AND(AE359=0,AF359=0),AD359/1,IF(AD359=0,FLOOR((AE359+AF359)/2,0.1),IF(AE359=0,(AD359+AF359)/2,IF(AF359=0,(AE359+AD359)/2,FLOOR(((AD359+AE359+AF359)/3),0.1))))))))</f>
        <v/>
      </c>
      <c r="AH359" s="21" t="n"/>
      <c r="AI359" s="21" t="n"/>
      <c r="AJ359" s="27">
        <f>SUM(AH359:AI359)</f>
        <v/>
      </c>
      <c r="AK359" s="28" t="n"/>
      <c r="AL359" s="28" t="n"/>
      <c r="AM359" s="29">
        <f>IF(AND(AJ359=0,AK359=0,AL359=0),0,IF(AND(AJ359=0,AK359=0),AL359/1,IF(AND(AJ359=0,AL359=0),AK359/1,IF(AND(AK359=0,AL359=0),AJ359/1,IF(AJ359=0,FLOOR((AK359+AL359)/2,0.1),IF(AK359=0,(AJ359+AL359)/2,IF(AL359=0,(AK359+AJ359)/2,FLOOR(((AJ359+AK359+AL359)/3),0.1))))))))</f>
        <v/>
      </c>
      <c r="AN359" s="21" t="n"/>
      <c r="AO359" s="21" t="n"/>
      <c r="AP359" s="27">
        <f>SUM(AN359:AO359)</f>
        <v/>
      </c>
      <c r="AQ359" s="28" t="n"/>
      <c r="AR359" s="30" t="n"/>
      <c r="AS359" s="29">
        <f>IF(AND(AP359=0,AQ359=0,AR359=0),0,IF(AND(AP359=0,AQ359=0),AR359/1,IF(AND(AP359=0,AR359=0),AQ359/1,IF(AND(AQ359=0,AR359=0),AP359/1,IF(AP359=0,FLOOR((AQ359+AR359)/2,0.1),IF(AQ359=0,(AP359+AR359)/2,IF(AR359=0,(AQ359+AP359)/2,FLOOR(((AP359+AQ359+AR359)/3),0.1))))))))</f>
        <v/>
      </c>
      <c r="AT359" s="21" t="n"/>
      <c r="AU359" s="21" t="n"/>
      <c r="AV359" s="27">
        <f>SUM(AT359:AU359)</f>
        <v/>
      </c>
      <c r="AW359" s="28" t="n"/>
      <c r="AX359" s="30" t="n"/>
      <c r="AY359" s="29">
        <f>IF(AND(AV359=0,AW359=0,AX359=0),0,IF(AND(AV359=0,AW359=0),AX359/1,IF(AND(AV359=0,AX359=0),AW359/1,IF(AND(AW359=0,AX359=0),AV359/1,IF(AV359=0,FLOOR((AW359+AX359)/2,0.1),IF(AW359=0,(AV359+AX359)/2,IF(AX359=0,(AW359+AV359)/2,FLOOR(((AV359+AW359+AX359)/3),0.1))))))))</f>
        <v/>
      </c>
      <c r="AZ359" s="21" t="n"/>
      <c r="BA359" s="21" t="n"/>
      <c r="BB359" s="27">
        <f>SUM(AZ359:BA359)</f>
        <v/>
      </c>
      <c r="BC359" s="28" t="n"/>
      <c r="BD359" s="28" t="n"/>
      <c r="BE359" s="29">
        <f>IF(AND(BB359=0,BC359=0,BD359=0),0,IF(AND(BB359=0,BC359=0),BD359/1,IF(AND(BB359=0,BD359=0),BC359/1,IF(AND(BC359=0,BD359=0),BB359/1,IF(BB359=0,FLOOR((BC359+BD359)/2,0.1),IF(BC359=0,(BB359+BD359)/2,IF(BD359=0,(BC359+BB359)/2,FLOOR(((BB359+BC359+BD359)/3),0.1))))))))</f>
        <v/>
      </c>
      <c r="BF359" s="21" t="n"/>
      <c r="BG359" s="21" t="n"/>
      <c r="BH359" s="27">
        <f>SUM(BF359:BG359)</f>
        <v/>
      </c>
      <c r="BI359" s="28" t="n"/>
      <c r="BJ359" s="28" t="n"/>
      <c r="BK359" s="29">
        <f>IF(AND(BH359=0,BI359=0,BJ359=0),0,IF(AND(BH359=0,BI359=0),BJ359/1,IF(AND(BH359=0,BJ359=0),BI359/1,IF(AND(BI359=0,BJ359=0),BH359/1,IF(BH359=0,FLOOR((BI359+BJ359)/2,0.1),IF(BI359=0,(BH359+BJ359)/2,IF(BJ359=0,(BI359+BH359)/2,FLOOR(((BH359+BI359+BJ359)/3),0.1))))))))</f>
        <v/>
      </c>
      <c r="BL359" s="21" t="n"/>
      <c r="BM359" s="21" t="n"/>
      <c r="BN359" s="27">
        <f>SUM(BL359:BM359)</f>
        <v/>
      </c>
      <c r="BO359" s="28" t="n"/>
      <c r="BP359" s="31" t="n"/>
      <c r="BQ359" s="29">
        <f>IF(AND(BN359=0,BO359=0,BP359=0),0,IF(AND(BN359=0,BO359=0),BP359/1,IF(AND(BN359=0,BP359=0),BO359/1,IF(AND(BO359=0,BP359=0),BN359/1,IF(BN359=0,FLOOR((BO359+BP359)/2,0.1),IF(BO359=0,(BN359+BP359)/2,IF(BP359=0,(BO359+BN359)/2,FLOOR(((BN359+BO359+BP359)/3),0.1))))))))</f>
        <v/>
      </c>
      <c r="BR359" s="21" t="n"/>
      <c r="BS359" s="21" t="n"/>
      <c r="BT359" s="27">
        <f>SUM(BR359:BS359)</f>
        <v/>
      </c>
      <c r="BU359" s="28" t="n"/>
      <c r="BV359" s="31" t="n"/>
      <c r="BW359" s="29">
        <f>IF(AND(BT359=0,BU359=0,BV359=0),0,IF(AND(BT359=0,BU359=0),BV359/1,IF(AND(BT359=0,BV359=0),BU359/1,IF(AND(BU359=0,BV359=0),BT359/1,IF(BT359=0,FLOOR((BU359+BV359)/2,0.1),IF(BU359=0,(BT359+BV359)/2,IF(BV359=0,(BU359+BT359)/2,FLOOR(((BT359+BU359+BV359)/3),0.1))))))))</f>
        <v/>
      </c>
      <c r="BX359" s="21" t="n"/>
      <c r="BY359" s="21" t="n"/>
      <c r="BZ359" s="27">
        <f>SUM(BX359:BY359)</f>
        <v/>
      </c>
      <c r="CA359" s="28" t="n"/>
      <c r="CB359" s="31" t="n"/>
      <c r="CC359" s="29">
        <f>IF(AND(BZ359=0,CA359=0,CB359=0),0,IF(AND(BZ359=0,CA359=0),CB359/1,IF(AND(BZ359=0,CB359=0),CA359/1,IF(AND(CA359=0,CB359=0),BZ359/1,IF(BZ359=0,FLOOR((CA359+CB359)/2,0.1),IF(CA359=0,(BZ359+CB359)/2,IF(CB359=0,(CA359+BZ359)/2,FLOOR(((BZ359+CA359+CB359)/3),0.1))))))))</f>
        <v/>
      </c>
      <c r="CD359" s="21" t="n"/>
      <c r="CE359" s="21" t="n"/>
      <c r="CF359" s="27">
        <f>SUM(CD359:CE359)</f>
        <v/>
      </c>
      <c r="CG359" s="28" t="n"/>
      <c r="CH359" s="31" t="n"/>
      <c r="CI359" s="29">
        <f>IF(AND(CF359=0,CG359=0,CH359=0),0,IF(AND(CF359=0,CG359=0),CH359/1,IF(AND(CF359=0,CH359=0),CG359/1,IF(AND(CG359=0,CH359=0),CF359/1,IF(CF359=0,FLOOR((CG359+CH359)/2,0.1),IF(CG359=0,(CF359+CH359)/2,IF(CH359=0,(CG359+CF359)/2,FLOOR(((CF359+CG359+CH359)/3),0.1))))))))</f>
        <v/>
      </c>
      <c r="CJ359" s="21" t="n"/>
      <c r="CK359" s="21" t="n"/>
      <c r="CL359" s="27">
        <f>SUM(CJ359:CK359)</f>
        <v/>
      </c>
      <c r="CM359" s="28" t="n"/>
      <c r="CN359" s="31" t="n"/>
      <c r="CO359" s="29">
        <f>IF(AND(CL359=0,CM359=0,CN359=0),0,IF(AND(CL359=0,CM359=0),CN359/1,IF(AND(CL359=0,CN359=0),CM359/1,IF(AND(CM359=0,CN359=0),CL359/1,IF(CL359=0,FLOOR((CM359+CN359)/2,0.1),IF(CM359=0,(CL359+CN359)/2,IF(CN359=0,(CM359+CL359)/2,FLOOR(((CL359+CM359+CN359)/3),0.1))))))))</f>
        <v/>
      </c>
      <c r="CP359" s="21" t="n"/>
      <c r="CQ359" s="21" t="n"/>
      <c r="CR359" s="27">
        <f>SUM(CP359:CQ359)</f>
        <v/>
      </c>
      <c r="CS359" s="28" t="n"/>
      <c r="CT359" s="31" t="n"/>
      <c r="CU359" s="29">
        <f>IF(AND(CR359=0,CS359=0,CT359=0),0,IF(AND(CR359=0,CS359=0),CT359/1,IF(AND(CR359=0,CT359=0),CS359/1,IF(AND(CS359=0,CT359=0),CR359/1,IF(CR359=0,FLOOR((CS359+CT359)/2,0.1),IF(CS359=0,(CR359+CT359)/2,IF(CT359=0,(CS359+CR359)/2,FLOOR(((CR359+CS359+CT359)/3),0.1))))))))</f>
        <v/>
      </c>
      <c r="CV359" s="21" t="n"/>
      <c r="CW359" s="21" t="n"/>
      <c r="CX359" s="27">
        <f>SUM(CV359:CW359)</f>
        <v/>
      </c>
      <c r="CY359" s="28" t="n"/>
      <c r="CZ359" s="31" t="n"/>
      <c r="DA359" s="29">
        <f>IF(AND(CX359=0,CY359=0,CZ359=0),0,IF(AND(CX359=0,CY359=0),CZ359/1,IF(AND(CX359=0,CZ359=0),CY359/1,IF(AND(CY359=0,CZ359=0),CX359/1,IF(CX359=0,FLOOR((CY359+CZ359)/2,0.1),IF(CY359=0,(CX359+CZ359)/2,IF(CZ359=0,(CY359+CX359)/2,FLOOR(((CX359+CY359+CZ359)/3),0.1))))))))</f>
        <v/>
      </c>
      <c r="DB359" s="21" t="n"/>
      <c r="DC359" s="21" t="n"/>
      <c r="DD359" s="27">
        <f>SUM(DB359:DC359)</f>
        <v/>
      </c>
      <c r="DE359" s="28" t="n"/>
      <c r="DF359" s="31" t="n"/>
      <c r="DG359" s="29">
        <f>IF(AND(DD359=0,DE359=0,DF359=0),0,IF(AND(DD359=0,DE359=0),DF359/1,IF(AND(DD359=0,DF359=0),DE359/1,IF(AND(DE359=0,DF359=0),DD359/1,IF(DD359=0,FLOOR((DE359+DF359)/2,0.1),IF(DE359=0,(DD359+DF359)/2,IF(DF359=0,(DE359+DD359)/2,FLOOR(((DD359+DE359+DF359)/3),0.1))))))))</f>
        <v/>
      </c>
      <c r="DH359" s="34">
        <f>SUM(O359,U359,AA359,AG359,AM359,AS359,AY359,BE359,BK359,BQ359,BW359,CC359,CI359,CO359,CU359,DA359,DG359)</f>
        <v/>
      </c>
      <c r="DI359" s="39">
        <f>RANK(DH359,DH$4:DH$503)</f>
        <v/>
      </c>
      <c r="DJ359" s="40" t="inlineStr">
        <is>
          <t>CHOOSE RATING</t>
        </is>
      </c>
      <c r="DK359" s="40" t="inlineStr">
        <is>
          <t>CHOOSE RATING</t>
        </is>
      </c>
      <c r="DL359" s="40" t="inlineStr">
        <is>
          <t>CHOOSE RATING</t>
        </is>
      </c>
      <c r="DM359" s="40" t="inlineStr">
        <is>
          <t>CHOOSE RATING</t>
        </is>
      </c>
      <c r="DN359" s="40" t="inlineStr">
        <is>
          <t>CHOOSE RATING</t>
        </is>
      </c>
      <c r="DO359" s="40" t="inlineStr">
        <is>
          <t>CHOOSE RATING</t>
        </is>
      </c>
      <c r="DP359" s="40" t="inlineStr">
        <is>
          <t>CHOOSE RATING</t>
        </is>
      </c>
      <c r="DQ359" s="40" t="inlineStr">
        <is>
          <t>CHOOSE RATING</t>
        </is>
      </c>
      <c r="DR359" s="43" t="inlineStr">
        <is>
          <t>2024/2025</t>
        </is>
      </c>
      <c r="DS359" s="45" t="inlineStr">
        <is>
          <t>THIRD</t>
        </is>
      </c>
      <c r="DT359" s="40" t="inlineStr">
        <is>
          <t>CHOOSE RATING</t>
        </is>
      </c>
      <c r="DU359" s="40" t="inlineStr">
        <is>
          <t>CHOOSE RATING</t>
        </is>
      </c>
      <c r="DV359" s="40" t="inlineStr">
        <is>
          <t>CHOOSE RATING</t>
        </is>
      </c>
      <c r="DW359" s="40" t="inlineStr">
        <is>
          <t>CHOOSE RATING</t>
        </is>
      </c>
      <c r="DX359" s="40" t="inlineStr">
        <is>
          <t>CHOOSE RATING</t>
        </is>
      </c>
      <c r="DY359" s="40" t="inlineStr">
        <is>
          <t>CHOOSE RATING</t>
        </is>
      </c>
      <c r="DZ359" s="53" t="inlineStr">
        <is>
          <t>CHOOSE RATING</t>
        </is>
      </c>
      <c r="EA359" s="54" t="inlineStr">
        <is>
          <t>Add the Tutor's Comment . . .</t>
        </is>
      </c>
      <c r="EB359" s="55" t="inlineStr">
        <is>
          <t>Choose Principals comment</t>
        </is>
      </c>
      <c r="EC359" s="56" t="n"/>
      <c r="ED359" s="57" t="inlineStr">
        <is>
          <t>Next Term Begins on Monday, 22nd September, 2025</t>
        </is>
      </c>
    </row>
    <row r="360" ht="30.6" customHeight="1" s="6">
      <c r="A360" s="18" t="n">
        <v>357</v>
      </c>
      <c r="B360" s="19" t="n"/>
      <c r="C360" s="20" t="n"/>
      <c r="D360" s="128" t="n"/>
      <c r="E360" s="21" t="n"/>
      <c r="F360" s="22" t="n"/>
      <c r="G360" s="22" t="n"/>
      <c r="H360" s="22" t="n"/>
      <c r="I360" s="26">
        <f>G360-H360</f>
        <v/>
      </c>
      <c r="J360" s="21" t="n"/>
      <c r="K360" s="21" t="n"/>
      <c r="L360" s="27">
        <f>SUM(J360:K360)</f>
        <v/>
      </c>
      <c r="M360" s="28" t="n"/>
      <c r="N360" s="28" t="n"/>
      <c r="O360" s="29">
        <f>IF(AND(L360=0,M360=0,N360=0),0,IF(AND(L360=0,M360=0),N360/1,IF(AND(L360=0,N360=0),M360/1,IF(AND(M360=0,N360=0),L360/1,IF(L360=0,FLOOR((M360+N360)/2,0.1),IF(M360=0,(L360+N360)/2,IF(N360=0,(M360+L360)/2,FLOOR(((L360+M360+N360)/3),0.1))))))))</f>
        <v/>
      </c>
      <c r="P360" s="21" t="n"/>
      <c r="Q360" s="21" t="n"/>
      <c r="R360" s="27">
        <f>SUM(P360:Q360)</f>
        <v/>
      </c>
      <c r="S360" s="28" t="n"/>
      <c r="T360" s="28" t="n"/>
      <c r="U360" s="29">
        <f>IF(AND(R360=0,S360=0,T360=0),0,IF(AND(R360=0,S360=0),T360/1,IF(AND(R360=0,T360=0),S360/1,IF(AND(S360=0,T360=0),R360/1,IF(R360=0,FLOOR((S360+T360)/2,0.1),IF(S360=0,(R360+T360)/2,IF(T360=0,(S360+R360)/2,FLOOR(((R360+S360+T360)/3),0.1))))))))</f>
        <v/>
      </c>
      <c r="V360" s="21" t="n"/>
      <c r="W360" s="21" t="n"/>
      <c r="X360" s="27">
        <f>SUM(V360:W360)</f>
        <v/>
      </c>
      <c r="Y360" s="28" t="n"/>
      <c r="Z360" s="28" t="n"/>
      <c r="AA360" s="29">
        <f>IF(AND(X360=0,Y360=0,Z360=0),0,IF(AND(X360=0,Y360=0),Z360/1,IF(AND(X360=0,Z360=0),Y360/1,IF(AND(Y360=0,Z360=0),X360/1,IF(X360=0,FLOOR((Y360+Z360)/2,0.1),IF(Y360=0,(X360+Z360)/2,IF(Z360=0,(Y360+X360)/2,FLOOR(((X360+Y360+Z360)/3),0.1))))))))</f>
        <v/>
      </c>
      <c r="AB360" s="21" t="n"/>
      <c r="AC360" s="21" t="n"/>
      <c r="AD360" s="27">
        <f>SUM(AB360:AC360)</f>
        <v/>
      </c>
      <c r="AE360" s="28" t="n"/>
      <c r="AF360" s="28" t="n"/>
      <c r="AG360" s="29">
        <f>IF(AND(AD360=0,AE360=0,AF360=0),0,IF(AND(AD360=0,AE360=0),AF360/1,IF(AND(AD360=0,AF360=0),AE360/1,IF(AND(AE360=0,AF360=0),AD360/1,IF(AD360=0,FLOOR((AE360+AF360)/2,0.1),IF(AE360=0,(AD360+AF360)/2,IF(AF360=0,(AE360+AD360)/2,FLOOR(((AD360+AE360+AF360)/3),0.1))))))))</f>
        <v/>
      </c>
      <c r="AH360" s="21" t="n"/>
      <c r="AI360" s="21" t="n"/>
      <c r="AJ360" s="27">
        <f>SUM(AH360:AI360)</f>
        <v/>
      </c>
      <c r="AK360" s="28" t="n"/>
      <c r="AL360" s="28" t="n"/>
      <c r="AM360" s="29">
        <f>IF(AND(AJ360=0,AK360=0,AL360=0),0,IF(AND(AJ360=0,AK360=0),AL360/1,IF(AND(AJ360=0,AL360=0),AK360/1,IF(AND(AK360=0,AL360=0),AJ360/1,IF(AJ360=0,FLOOR((AK360+AL360)/2,0.1),IF(AK360=0,(AJ360+AL360)/2,IF(AL360=0,(AK360+AJ360)/2,FLOOR(((AJ360+AK360+AL360)/3),0.1))))))))</f>
        <v/>
      </c>
      <c r="AN360" s="21" t="n"/>
      <c r="AO360" s="21" t="n"/>
      <c r="AP360" s="27">
        <f>SUM(AN360:AO360)</f>
        <v/>
      </c>
      <c r="AQ360" s="28" t="n"/>
      <c r="AR360" s="30" t="n"/>
      <c r="AS360" s="29">
        <f>IF(AND(AP360=0,AQ360=0,AR360=0),0,IF(AND(AP360=0,AQ360=0),AR360/1,IF(AND(AP360=0,AR360=0),AQ360/1,IF(AND(AQ360=0,AR360=0),AP360/1,IF(AP360=0,FLOOR((AQ360+AR360)/2,0.1),IF(AQ360=0,(AP360+AR360)/2,IF(AR360=0,(AQ360+AP360)/2,FLOOR(((AP360+AQ360+AR360)/3),0.1))))))))</f>
        <v/>
      </c>
      <c r="AT360" s="21" t="n"/>
      <c r="AU360" s="21" t="n"/>
      <c r="AV360" s="27">
        <f>SUM(AT360:AU360)</f>
        <v/>
      </c>
      <c r="AW360" s="28" t="n"/>
      <c r="AX360" s="30" t="n"/>
      <c r="AY360" s="29">
        <f>IF(AND(AV360=0,AW360=0,AX360=0),0,IF(AND(AV360=0,AW360=0),AX360/1,IF(AND(AV360=0,AX360=0),AW360/1,IF(AND(AW360=0,AX360=0),AV360/1,IF(AV360=0,FLOOR((AW360+AX360)/2,0.1),IF(AW360=0,(AV360+AX360)/2,IF(AX360=0,(AW360+AV360)/2,FLOOR(((AV360+AW360+AX360)/3),0.1))))))))</f>
        <v/>
      </c>
      <c r="AZ360" s="21" t="n"/>
      <c r="BA360" s="21" t="n"/>
      <c r="BB360" s="27">
        <f>SUM(AZ360:BA360)</f>
        <v/>
      </c>
      <c r="BC360" s="28" t="n"/>
      <c r="BD360" s="28" t="n"/>
      <c r="BE360" s="29">
        <f>IF(AND(BB360=0,BC360=0,BD360=0),0,IF(AND(BB360=0,BC360=0),BD360/1,IF(AND(BB360=0,BD360=0),BC360/1,IF(AND(BC360=0,BD360=0),BB360/1,IF(BB360=0,FLOOR((BC360+BD360)/2,0.1),IF(BC360=0,(BB360+BD360)/2,IF(BD360=0,(BC360+BB360)/2,FLOOR(((BB360+BC360+BD360)/3),0.1))))))))</f>
        <v/>
      </c>
      <c r="BF360" s="21" t="n"/>
      <c r="BG360" s="21" t="n"/>
      <c r="BH360" s="27">
        <f>SUM(BF360:BG360)</f>
        <v/>
      </c>
      <c r="BI360" s="28" t="n"/>
      <c r="BJ360" s="28" t="n"/>
      <c r="BK360" s="29">
        <f>IF(AND(BH360=0,BI360=0,BJ360=0),0,IF(AND(BH360=0,BI360=0),BJ360/1,IF(AND(BH360=0,BJ360=0),BI360/1,IF(AND(BI360=0,BJ360=0),BH360/1,IF(BH360=0,FLOOR((BI360+BJ360)/2,0.1),IF(BI360=0,(BH360+BJ360)/2,IF(BJ360=0,(BI360+BH360)/2,FLOOR(((BH360+BI360+BJ360)/3),0.1))))))))</f>
        <v/>
      </c>
      <c r="BL360" s="21" t="n"/>
      <c r="BM360" s="21" t="n"/>
      <c r="BN360" s="27">
        <f>SUM(BL360:BM360)</f>
        <v/>
      </c>
      <c r="BO360" s="28" t="n"/>
      <c r="BP360" s="31" t="n"/>
      <c r="BQ360" s="29">
        <f>IF(AND(BN360=0,BO360=0,BP360=0),0,IF(AND(BN360=0,BO360=0),BP360/1,IF(AND(BN360=0,BP360=0),BO360/1,IF(AND(BO360=0,BP360=0),BN360/1,IF(BN360=0,FLOOR((BO360+BP360)/2,0.1),IF(BO360=0,(BN360+BP360)/2,IF(BP360=0,(BO360+BN360)/2,FLOOR(((BN360+BO360+BP360)/3),0.1))))))))</f>
        <v/>
      </c>
      <c r="BR360" s="21" t="n"/>
      <c r="BS360" s="21" t="n"/>
      <c r="BT360" s="27">
        <f>SUM(BR360:BS360)</f>
        <v/>
      </c>
      <c r="BU360" s="28" t="n"/>
      <c r="BV360" s="31" t="n"/>
      <c r="BW360" s="29">
        <f>IF(AND(BT360=0,BU360=0,BV360=0),0,IF(AND(BT360=0,BU360=0),BV360/1,IF(AND(BT360=0,BV360=0),BU360/1,IF(AND(BU360=0,BV360=0),BT360/1,IF(BT360=0,FLOOR((BU360+BV360)/2,0.1),IF(BU360=0,(BT360+BV360)/2,IF(BV360=0,(BU360+BT360)/2,FLOOR(((BT360+BU360+BV360)/3),0.1))))))))</f>
        <v/>
      </c>
      <c r="BX360" s="21" t="n"/>
      <c r="BY360" s="21" t="n"/>
      <c r="BZ360" s="27">
        <f>SUM(BX360:BY360)</f>
        <v/>
      </c>
      <c r="CA360" s="28" t="n"/>
      <c r="CB360" s="31" t="n"/>
      <c r="CC360" s="29">
        <f>IF(AND(BZ360=0,CA360=0,CB360=0),0,IF(AND(BZ360=0,CA360=0),CB360/1,IF(AND(BZ360=0,CB360=0),CA360/1,IF(AND(CA360=0,CB360=0),BZ360/1,IF(BZ360=0,FLOOR((CA360+CB360)/2,0.1),IF(CA360=0,(BZ360+CB360)/2,IF(CB360=0,(CA360+BZ360)/2,FLOOR(((BZ360+CA360+CB360)/3),0.1))))))))</f>
        <v/>
      </c>
      <c r="CD360" s="21" t="n"/>
      <c r="CE360" s="21" t="n"/>
      <c r="CF360" s="27">
        <f>SUM(CD360:CE360)</f>
        <v/>
      </c>
      <c r="CG360" s="28" t="n"/>
      <c r="CH360" s="31" t="n"/>
      <c r="CI360" s="29">
        <f>IF(AND(CF360=0,CG360=0,CH360=0),0,IF(AND(CF360=0,CG360=0),CH360/1,IF(AND(CF360=0,CH360=0),CG360/1,IF(AND(CG360=0,CH360=0),CF360/1,IF(CF360=0,FLOOR((CG360+CH360)/2,0.1),IF(CG360=0,(CF360+CH360)/2,IF(CH360=0,(CG360+CF360)/2,FLOOR(((CF360+CG360+CH360)/3),0.1))))))))</f>
        <v/>
      </c>
      <c r="CJ360" s="21" t="n"/>
      <c r="CK360" s="21" t="n"/>
      <c r="CL360" s="27">
        <f>SUM(CJ360:CK360)</f>
        <v/>
      </c>
      <c r="CM360" s="28" t="n"/>
      <c r="CN360" s="31" t="n"/>
      <c r="CO360" s="29">
        <f>IF(AND(CL360=0,CM360=0,CN360=0),0,IF(AND(CL360=0,CM360=0),CN360/1,IF(AND(CL360=0,CN360=0),CM360/1,IF(AND(CM360=0,CN360=0),CL360/1,IF(CL360=0,FLOOR((CM360+CN360)/2,0.1),IF(CM360=0,(CL360+CN360)/2,IF(CN360=0,(CM360+CL360)/2,FLOOR(((CL360+CM360+CN360)/3),0.1))))))))</f>
        <v/>
      </c>
      <c r="CP360" s="21" t="n"/>
      <c r="CQ360" s="21" t="n"/>
      <c r="CR360" s="27">
        <f>SUM(CP360:CQ360)</f>
        <v/>
      </c>
      <c r="CS360" s="28" t="n"/>
      <c r="CT360" s="31" t="n"/>
      <c r="CU360" s="29">
        <f>IF(AND(CR360=0,CS360=0,CT360=0),0,IF(AND(CR360=0,CS360=0),CT360/1,IF(AND(CR360=0,CT360=0),CS360/1,IF(AND(CS360=0,CT360=0),CR360/1,IF(CR360=0,FLOOR((CS360+CT360)/2,0.1),IF(CS360=0,(CR360+CT360)/2,IF(CT360=0,(CS360+CR360)/2,FLOOR(((CR360+CS360+CT360)/3),0.1))))))))</f>
        <v/>
      </c>
      <c r="CV360" s="21" t="n"/>
      <c r="CW360" s="21" t="n"/>
      <c r="CX360" s="27">
        <f>SUM(CV360:CW360)</f>
        <v/>
      </c>
      <c r="CY360" s="28" t="n"/>
      <c r="CZ360" s="31" t="n"/>
      <c r="DA360" s="29">
        <f>IF(AND(CX360=0,CY360=0,CZ360=0),0,IF(AND(CX360=0,CY360=0),CZ360/1,IF(AND(CX360=0,CZ360=0),CY360/1,IF(AND(CY360=0,CZ360=0),CX360/1,IF(CX360=0,FLOOR((CY360+CZ360)/2,0.1),IF(CY360=0,(CX360+CZ360)/2,IF(CZ360=0,(CY360+CX360)/2,FLOOR(((CX360+CY360+CZ360)/3),0.1))))))))</f>
        <v/>
      </c>
      <c r="DB360" s="21" t="n"/>
      <c r="DC360" s="21" t="n"/>
      <c r="DD360" s="27">
        <f>SUM(DB360:DC360)</f>
        <v/>
      </c>
      <c r="DE360" s="28" t="n"/>
      <c r="DF360" s="31" t="n"/>
      <c r="DG360" s="29">
        <f>IF(AND(DD360=0,DE360=0,DF360=0),0,IF(AND(DD360=0,DE360=0),DF360/1,IF(AND(DD360=0,DF360=0),DE360/1,IF(AND(DE360=0,DF360=0),DD360/1,IF(DD360=0,FLOOR((DE360+DF360)/2,0.1),IF(DE360=0,(DD360+DF360)/2,IF(DF360=0,(DE360+DD360)/2,FLOOR(((DD360+DE360+DF360)/3),0.1))))))))</f>
        <v/>
      </c>
      <c r="DH360" s="34">
        <f>SUM(O360,U360,AA360,AG360,AM360,AS360,AY360,BE360,BK360,BQ360,BW360,CC360,CI360,CO360,CU360,DA360,DG360)</f>
        <v/>
      </c>
      <c r="DI360" s="39">
        <f>RANK(DH360,DH$4:DH$503)</f>
        <v/>
      </c>
      <c r="DJ360" s="40" t="inlineStr">
        <is>
          <t>CHOOSE RATING</t>
        </is>
      </c>
      <c r="DK360" s="40" t="inlineStr">
        <is>
          <t>CHOOSE RATING</t>
        </is>
      </c>
      <c r="DL360" s="40" t="inlineStr">
        <is>
          <t>CHOOSE RATING</t>
        </is>
      </c>
      <c r="DM360" s="40" t="inlineStr">
        <is>
          <t>CHOOSE RATING</t>
        </is>
      </c>
      <c r="DN360" s="40" t="inlineStr">
        <is>
          <t>CHOOSE RATING</t>
        </is>
      </c>
      <c r="DO360" s="40" t="inlineStr">
        <is>
          <t>CHOOSE RATING</t>
        </is>
      </c>
      <c r="DP360" s="40" t="inlineStr">
        <is>
          <t>CHOOSE RATING</t>
        </is>
      </c>
      <c r="DQ360" s="40" t="inlineStr">
        <is>
          <t>CHOOSE RATING</t>
        </is>
      </c>
      <c r="DR360" s="43" t="inlineStr">
        <is>
          <t>2024/2025</t>
        </is>
      </c>
      <c r="DS360" s="45" t="inlineStr">
        <is>
          <t>THIRD</t>
        </is>
      </c>
      <c r="DT360" s="40" t="inlineStr">
        <is>
          <t>CHOOSE RATING</t>
        </is>
      </c>
      <c r="DU360" s="40" t="inlineStr">
        <is>
          <t>CHOOSE RATING</t>
        </is>
      </c>
      <c r="DV360" s="40" t="inlineStr">
        <is>
          <t>CHOOSE RATING</t>
        </is>
      </c>
      <c r="DW360" s="40" t="inlineStr">
        <is>
          <t>CHOOSE RATING</t>
        </is>
      </c>
      <c r="DX360" s="40" t="inlineStr">
        <is>
          <t>CHOOSE RATING</t>
        </is>
      </c>
      <c r="DY360" s="40" t="inlineStr">
        <is>
          <t>CHOOSE RATING</t>
        </is>
      </c>
      <c r="DZ360" s="53" t="inlineStr">
        <is>
          <t>CHOOSE RATING</t>
        </is>
      </c>
      <c r="EA360" s="54" t="inlineStr">
        <is>
          <t>Add the Tutor's Comment . . .</t>
        </is>
      </c>
      <c r="EB360" s="55" t="inlineStr">
        <is>
          <t>Choose Principals comment</t>
        </is>
      </c>
      <c r="EC360" s="56" t="n"/>
      <c r="ED360" s="57" t="inlineStr">
        <is>
          <t>Next Term Begins on Monday, 22nd September, 2025</t>
        </is>
      </c>
    </row>
    <row r="361" ht="30.6" customHeight="1" s="6">
      <c r="A361" s="18" t="n">
        <v>358</v>
      </c>
      <c r="B361" s="19" t="n"/>
      <c r="C361" s="20" t="n"/>
      <c r="D361" s="128" t="n"/>
      <c r="E361" s="21" t="n"/>
      <c r="F361" s="22" t="n"/>
      <c r="G361" s="22" t="n"/>
      <c r="H361" s="22" t="n"/>
      <c r="I361" s="26">
        <f>G361-H361</f>
        <v/>
      </c>
      <c r="J361" s="21" t="n"/>
      <c r="K361" s="21" t="n"/>
      <c r="L361" s="27">
        <f>SUM(J361:K361)</f>
        <v/>
      </c>
      <c r="M361" s="28" t="n"/>
      <c r="N361" s="28" t="n"/>
      <c r="O361" s="29">
        <f>IF(AND(L361=0,M361=0,N361=0),0,IF(AND(L361=0,M361=0),N361/1,IF(AND(L361=0,N361=0),M361/1,IF(AND(M361=0,N361=0),L361/1,IF(L361=0,FLOOR((M361+N361)/2,0.1),IF(M361=0,(L361+N361)/2,IF(N361=0,(M361+L361)/2,FLOOR(((L361+M361+N361)/3),0.1))))))))</f>
        <v/>
      </c>
      <c r="P361" s="21" t="n"/>
      <c r="Q361" s="21" t="n"/>
      <c r="R361" s="27">
        <f>SUM(P361:Q361)</f>
        <v/>
      </c>
      <c r="S361" s="28" t="n"/>
      <c r="T361" s="28" t="n"/>
      <c r="U361" s="29">
        <f>IF(AND(R361=0,S361=0,T361=0),0,IF(AND(R361=0,S361=0),T361/1,IF(AND(R361=0,T361=0),S361/1,IF(AND(S361=0,T361=0),R361/1,IF(R361=0,FLOOR((S361+T361)/2,0.1),IF(S361=0,(R361+T361)/2,IF(T361=0,(S361+R361)/2,FLOOR(((R361+S361+T361)/3),0.1))))))))</f>
        <v/>
      </c>
      <c r="V361" s="21" t="n"/>
      <c r="W361" s="21" t="n"/>
      <c r="X361" s="27">
        <f>SUM(V361:W361)</f>
        <v/>
      </c>
      <c r="Y361" s="28" t="n"/>
      <c r="Z361" s="28" t="n"/>
      <c r="AA361" s="29">
        <f>IF(AND(X361=0,Y361=0,Z361=0),0,IF(AND(X361=0,Y361=0),Z361/1,IF(AND(X361=0,Z361=0),Y361/1,IF(AND(Y361=0,Z361=0),X361/1,IF(X361=0,FLOOR((Y361+Z361)/2,0.1),IF(Y361=0,(X361+Z361)/2,IF(Z361=0,(Y361+X361)/2,FLOOR(((X361+Y361+Z361)/3),0.1))))))))</f>
        <v/>
      </c>
      <c r="AB361" s="21" t="n"/>
      <c r="AC361" s="21" t="n"/>
      <c r="AD361" s="27">
        <f>SUM(AB361:AC361)</f>
        <v/>
      </c>
      <c r="AE361" s="28" t="n"/>
      <c r="AF361" s="28" t="n"/>
      <c r="AG361" s="29">
        <f>IF(AND(AD361=0,AE361=0,AF361=0),0,IF(AND(AD361=0,AE361=0),AF361/1,IF(AND(AD361=0,AF361=0),AE361/1,IF(AND(AE361=0,AF361=0),AD361/1,IF(AD361=0,FLOOR((AE361+AF361)/2,0.1),IF(AE361=0,(AD361+AF361)/2,IF(AF361=0,(AE361+AD361)/2,FLOOR(((AD361+AE361+AF361)/3),0.1))))))))</f>
        <v/>
      </c>
      <c r="AH361" s="21" t="n"/>
      <c r="AI361" s="21" t="n"/>
      <c r="AJ361" s="27">
        <f>SUM(AH361:AI361)</f>
        <v/>
      </c>
      <c r="AK361" s="28" t="n"/>
      <c r="AL361" s="28" t="n"/>
      <c r="AM361" s="29">
        <f>IF(AND(AJ361=0,AK361=0,AL361=0),0,IF(AND(AJ361=0,AK361=0),AL361/1,IF(AND(AJ361=0,AL361=0),AK361/1,IF(AND(AK361=0,AL361=0),AJ361/1,IF(AJ361=0,FLOOR((AK361+AL361)/2,0.1),IF(AK361=0,(AJ361+AL361)/2,IF(AL361=0,(AK361+AJ361)/2,FLOOR(((AJ361+AK361+AL361)/3),0.1))))))))</f>
        <v/>
      </c>
      <c r="AN361" s="21" t="n"/>
      <c r="AO361" s="21" t="n"/>
      <c r="AP361" s="27">
        <f>SUM(AN361:AO361)</f>
        <v/>
      </c>
      <c r="AQ361" s="28" t="n"/>
      <c r="AR361" s="30" t="n"/>
      <c r="AS361" s="29">
        <f>IF(AND(AP361=0,AQ361=0,AR361=0),0,IF(AND(AP361=0,AQ361=0),AR361/1,IF(AND(AP361=0,AR361=0),AQ361/1,IF(AND(AQ361=0,AR361=0),AP361/1,IF(AP361=0,FLOOR((AQ361+AR361)/2,0.1),IF(AQ361=0,(AP361+AR361)/2,IF(AR361=0,(AQ361+AP361)/2,FLOOR(((AP361+AQ361+AR361)/3),0.1))))))))</f>
        <v/>
      </c>
      <c r="AT361" s="21" t="n"/>
      <c r="AU361" s="21" t="n"/>
      <c r="AV361" s="27">
        <f>SUM(AT361:AU361)</f>
        <v/>
      </c>
      <c r="AW361" s="28" t="n"/>
      <c r="AX361" s="30" t="n"/>
      <c r="AY361" s="29">
        <f>IF(AND(AV361=0,AW361=0,AX361=0),0,IF(AND(AV361=0,AW361=0),AX361/1,IF(AND(AV361=0,AX361=0),AW361/1,IF(AND(AW361=0,AX361=0),AV361/1,IF(AV361=0,FLOOR((AW361+AX361)/2,0.1),IF(AW361=0,(AV361+AX361)/2,IF(AX361=0,(AW361+AV361)/2,FLOOR(((AV361+AW361+AX361)/3),0.1))))))))</f>
        <v/>
      </c>
      <c r="AZ361" s="21" t="n"/>
      <c r="BA361" s="21" t="n"/>
      <c r="BB361" s="27">
        <f>SUM(AZ361:BA361)</f>
        <v/>
      </c>
      <c r="BC361" s="28" t="n"/>
      <c r="BD361" s="28" t="n"/>
      <c r="BE361" s="29">
        <f>IF(AND(BB361=0,BC361=0,BD361=0),0,IF(AND(BB361=0,BC361=0),BD361/1,IF(AND(BB361=0,BD361=0),BC361/1,IF(AND(BC361=0,BD361=0),BB361/1,IF(BB361=0,FLOOR((BC361+BD361)/2,0.1),IF(BC361=0,(BB361+BD361)/2,IF(BD361=0,(BC361+BB361)/2,FLOOR(((BB361+BC361+BD361)/3),0.1))))))))</f>
        <v/>
      </c>
      <c r="BF361" s="21" t="n"/>
      <c r="BG361" s="21" t="n"/>
      <c r="BH361" s="27">
        <f>SUM(BF361:BG361)</f>
        <v/>
      </c>
      <c r="BI361" s="28" t="n"/>
      <c r="BJ361" s="28" t="n"/>
      <c r="BK361" s="29">
        <f>IF(AND(BH361=0,BI361=0,BJ361=0),0,IF(AND(BH361=0,BI361=0),BJ361/1,IF(AND(BH361=0,BJ361=0),BI361/1,IF(AND(BI361=0,BJ361=0),BH361/1,IF(BH361=0,FLOOR((BI361+BJ361)/2,0.1),IF(BI361=0,(BH361+BJ361)/2,IF(BJ361=0,(BI361+BH361)/2,FLOOR(((BH361+BI361+BJ361)/3),0.1))))))))</f>
        <v/>
      </c>
      <c r="BL361" s="21" t="n"/>
      <c r="BM361" s="21" t="n"/>
      <c r="BN361" s="27">
        <f>SUM(BL361:BM361)</f>
        <v/>
      </c>
      <c r="BO361" s="28" t="n"/>
      <c r="BP361" s="31" t="n"/>
      <c r="BQ361" s="29">
        <f>IF(AND(BN361=0,BO361=0,BP361=0),0,IF(AND(BN361=0,BO361=0),BP361/1,IF(AND(BN361=0,BP361=0),BO361/1,IF(AND(BO361=0,BP361=0),BN361/1,IF(BN361=0,FLOOR((BO361+BP361)/2,0.1),IF(BO361=0,(BN361+BP361)/2,IF(BP361=0,(BO361+BN361)/2,FLOOR(((BN361+BO361+BP361)/3),0.1))))))))</f>
        <v/>
      </c>
      <c r="BR361" s="21" t="n"/>
      <c r="BS361" s="21" t="n"/>
      <c r="BT361" s="27">
        <f>SUM(BR361:BS361)</f>
        <v/>
      </c>
      <c r="BU361" s="28" t="n"/>
      <c r="BV361" s="31" t="n"/>
      <c r="BW361" s="29">
        <f>IF(AND(BT361=0,BU361=0,BV361=0),0,IF(AND(BT361=0,BU361=0),BV361/1,IF(AND(BT361=0,BV361=0),BU361/1,IF(AND(BU361=0,BV361=0),BT361/1,IF(BT361=0,FLOOR((BU361+BV361)/2,0.1),IF(BU361=0,(BT361+BV361)/2,IF(BV361=0,(BU361+BT361)/2,FLOOR(((BT361+BU361+BV361)/3),0.1))))))))</f>
        <v/>
      </c>
      <c r="BX361" s="21" t="n"/>
      <c r="BY361" s="21" t="n"/>
      <c r="BZ361" s="27">
        <f>SUM(BX361:BY361)</f>
        <v/>
      </c>
      <c r="CA361" s="28" t="n"/>
      <c r="CB361" s="31" t="n"/>
      <c r="CC361" s="29">
        <f>IF(AND(BZ361=0,CA361=0,CB361=0),0,IF(AND(BZ361=0,CA361=0),CB361/1,IF(AND(BZ361=0,CB361=0),CA361/1,IF(AND(CA361=0,CB361=0),BZ361/1,IF(BZ361=0,FLOOR((CA361+CB361)/2,0.1),IF(CA361=0,(BZ361+CB361)/2,IF(CB361=0,(CA361+BZ361)/2,FLOOR(((BZ361+CA361+CB361)/3),0.1))))))))</f>
        <v/>
      </c>
      <c r="CD361" s="21" t="n"/>
      <c r="CE361" s="21" t="n"/>
      <c r="CF361" s="27">
        <f>SUM(CD361:CE361)</f>
        <v/>
      </c>
      <c r="CG361" s="28" t="n"/>
      <c r="CH361" s="31" t="n"/>
      <c r="CI361" s="29">
        <f>IF(AND(CF361=0,CG361=0,CH361=0),0,IF(AND(CF361=0,CG361=0),CH361/1,IF(AND(CF361=0,CH361=0),CG361/1,IF(AND(CG361=0,CH361=0),CF361/1,IF(CF361=0,FLOOR((CG361+CH361)/2,0.1),IF(CG361=0,(CF361+CH361)/2,IF(CH361=0,(CG361+CF361)/2,FLOOR(((CF361+CG361+CH361)/3),0.1))))))))</f>
        <v/>
      </c>
      <c r="CJ361" s="21" t="n"/>
      <c r="CK361" s="21" t="n"/>
      <c r="CL361" s="27">
        <f>SUM(CJ361:CK361)</f>
        <v/>
      </c>
      <c r="CM361" s="28" t="n"/>
      <c r="CN361" s="31" t="n"/>
      <c r="CO361" s="29">
        <f>IF(AND(CL361=0,CM361=0,CN361=0),0,IF(AND(CL361=0,CM361=0),CN361/1,IF(AND(CL361=0,CN361=0),CM361/1,IF(AND(CM361=0,CN361=0),CL361/1,IF(CL361=0,FLOOR((CM361+CN361)/2,0.1),IF(CM361=0,(CL361+CN361)/2,IF(CN361=0,(CM361+CL361)/2,FLOOR(((CL361+CM361+CN361)/3),0.1))))))))</f>
        <v/>
      </c>
      <c r="CP361" s="21" t="n"/>
      <c r="CQ361" s="21" t="n"/>
      <c r="CR361" s="27">
        <f>SUM(CP361:CQ361)</f>
        <v/>
      </c>
      <c r="CS361" s="28" t="n"/>
      <c r="CT361" s="31" t="n"/>
      <c r="CU361" s="29">
        <f>IF(AND(CR361=0,CS361=0,CT361=0),0,IF(AND(CR361=0,CS361=0),CT361/1,IF(AND(CR361=0,CT361=0),CS361/1,IF(AND(CS361=0,CT361=0),CR361/1,IF(CR361=0,FLOOR((CS361+CT361)/2,0.1),IF(CS361=0,(CR361+CT361)/2,IF(CT361=0,(CS361+CR361)/2,FLOOR(((CR361+CS361+CT361)/3),0.1))))))))</f>
        <v/>
      </c>
      <c r="CV361" s="21" t="n"/>
      <c r="CW361" s="21" t="n"/>
      <c r="CX361" s="27">
        <f>SUM(CV361:CW361)</f>
        <v/>
      </c>
      <c r="CY361" s="28" t="n"/>
      <c r="CZ361" s="31" t="n"/>
      <c r="DA361" s="29">
        <f>IF(AND(CX361=0,CY361=0,CZ361=0),0,IF(AND(CX361=0,CY361=0),CZ361/1,IF(AND(CX361=0,CZ361=0),CY361/1,IF(AND(CY361=0,CZ361=0),CX361/1,IF(CX361=0,FLOOR((CY361+CZ361)/2,0.1),IF(CY361=0,(CX361+CZ361)/2,IF(CZ361=0,(CY361+CX361)/2,FLOOR(((CX361+CY361+CZ361)/3),0.1))))))))</f>
        <v/>
      </c>
      <c r="DB361" s="21" t="n"/>
      <c r="DC361" s="21" t="n"/>
      <c r="DD361" s="27">
        <f>SUM(DB361:DC361)</f>
        <v/>
      </c>
      <c r="DE361" s="28" t="n"/>
      <c r="DF361" s="31" t="n"/>
      <c r="DG361" s="29">
        <f>IF(AND(DD361=0,DE361=0,DF361=0),0,IF(AND(DD361=0,DE361=0),DF361/1,IF(AND(DD361=0,DF361=0),DE361/1,IF(AND(DE361=0,DF361=0),DD361/1,IF(DD361=0,FLOOR((DE361+DF361)/2,0.1),IF(DE361=0,(DD361+DF361)/2,IF(DF361=0,(DE361+DD361)/2,FLOOR(((DD361+DE361+DF361)/3),0.1))))))))</f>
        <v/>
      </c>
      <c r="DH361" s="34">
        <f>SUM(O361,U361,AA361,AG361,AM361,AS361,AY361,BE361,BK361,BQ361,BW361,CC361,CI361,CO361,CU361,DA361,DG361)</f>
        <v/>
      </c>
      <c r="DI361" s="39">
        <f>RANK(DH361,DH$4:DH$503)</f>
        <v/>
      </c>
      <c r="DJ361" s="40" t="inlineStr">
        <is>
          <t>CHOOSE RATING</t>
        </is>
      </c>
      <c r="DK361" s="40" t="inlineStr">
        <is>
          <t>CHOOSE RATING</t>
        </is>
      </c>
      <c r="DL361" s="40" t="inlineStr">
        <is>
          <t>CHOOSE RATING</t>
        </is>
      </c>
      <c r="DM361" s="40" t="inlineStr">
        <is>
          <t>CHOOSE RATING</t>
        </is>
      </c>
      <c r="DN361" s="40" t="inlineStr">
        <is>
          <t>CHOOSE RATING</t>
        </is>
      </c>
      <c r="DO361" s="40" t="inlineStr">
        <is>
          <t>CHOOSE RATING</t>
        </is>
      </c>
      <c r="DP361" s="40" t="inlineStr">
        <is>
          <t>CHOOSE RATING</t>
        </is>
      </c>
      <c r="DQ361" s="40" t="inlineStr">
        <is>
          <t>CHOOSE RATING</t>
        </is>
      </c>
      <c r="DR361" s="43" t="inlineStr">
        <is>
          <t>2024/2025</t>
        </is>
      </c>
      <c r="DS361" s="45" t="inlineStr">
        <is>
          <t>THIRD</t>
        </is>
      </c>
      <c r="DT361" s="40" t="inlineStr">
        <is>
          <t>CHOOSE RATING</t>
        </is>
      </c>
      <c r="DU361" s="40" t="inlineStr">
        <is>
          <t>CHOOSE RATING</t>
        </is>
      </c>
      <c r="DV361" s="40" t="inlineStr">
        <is>
          <t>CHOOSE RATING</t>
        </is>
      </c>
      <c r="DW361" s="40" t="inlineStr">
        <is>
          <t>CHOOSE RATING</t>
        </is>
      </c>
      <c r="DX361" s="40" t="inlineStr">
        <is>
          <t>CHOOSE RATING</t>
        </is>
      </c>
      <c r="DY361" s="40" t="inlineStr">
        <is>
          <t>CHOOSE RATING</t>
        </is>
      </c>
      <c r="DZ361" s="53" t="inlineStr">
        <is>
          <t>CHOOSE RATING</t>
        </is>
      </c>
      <c r="EA361" s="54" t="inlineStr">
        <is>
          <t>Add the Tutor's Comment . . .</t>
        </is>
      </c>
      <c r="EB361" s="55" t="inlineStr">
        <is>
          <t>Choose Principals comment</t>
        </is>
      </c>
      <c r="EC361" s="56" t="n"/>
      <c r="ED361" s="57" t="inlineStr">
        <is>
          <t>Next Term Begins on Monday, 22nd September, 2025</t>
        </is>
      </c>
    </row>
    <row r="362" ht="30.6" customHeight="1" s="6">
      <c r="A362" s="18" t="n">
        <v>359</v>
      </c>
      <c r="B362" s="19" t="n"/>
      <c r="C362" s="20" t="n"/>
      <c r="D362" s="128" t="n"/>
      <c r="E362" s="21" t="n"/>
      <c r="F362" s="22" t="n"/>
      <c r="G362" s="22" t="n"/>
      <c r="H362" s="22" t="n"/>
      <c r="I362" s="26">
        <f>G362-H362</f>
        <v/>
      </c>
      <c r="J362" s="21" t="n"/>
      <c r="K362" s="21" t="n"/>
      <c r="L362" s="27">
        <f>SUM(J362:K362)</f>
        <v/>
      </c>
      <c r="M362" s="28" t="n"/>
      <c r="N362" s="28" t="n"/>
      <c r="O362" s="29">
        <f>IF(AND(L362=0,M362=0,N362=0),0,IF(AND(L362=0,M362=0),N362/1,IF(AND(L362=0,N362=0),M362/1,IF(AND(M362=0,N362=0),L362/1,IF(L362=0,FLOOR((M362+N362)/2,0.1),IF(M362=0,(L362+N362)/2,IF(N362=0,(M362+L362)/2,FLOOR(((L362+M362+N362)/3),0.1))))))))</f>
        <v/>
      </c>
      <c r="P362" s="21" t="n"/>
      <c r="Q362" s="21" t="n"/>
      <c r="R362" s="27">
        <f>SUM(P362:Q362)</f>
        <v/>
      </c>
      <c r="S362" s="28" t="n"/>
      <c r="T362" s="28" t="n"/>
      <c r="U362" s="29">
        <f>IF(AND(R362=0,S362=0,T362=0),0,IF(AND(R362=0,S362=0),T362/1,IF(AND(R362=0,T362=0),S362/1,IF(AND(S362=0,T362=0),R362/1,IF(R362=0,FLOOR((S362+T362)/2,0.1),IF(S362=0,(R362+T362)/2,IF(T362=0,(S362+R362)/2,FLOOR(((R362+S362+T362)/3),0.1))))))))</f>
        <v/>
      </c>
      <c r="V362" s="21" t="n"/>
      <c r="W362" s="21" t="n"/>
      <c r="X362" s="27">
        <f>SUM(V362:W362)</f>
        <v/>
      </c>
      <c r="Y362" s="28" t="n"/>
      <c r="Z362" s="28" t="n"/>
      <c r="AA362" s="29">
        <f>IF(AND(X362=0,Y362=0,Z362=0),0,IF(AND(X362=0,Y362=0),Z362/1,IF(AND(X362=0,Z362=0),Y362/1,IF(AND(Y362=0,Z362=0),X362/1,IF(X362=0,FLOOR((Y362+Z362)/2,0.1),IF(Y362=0,(X362+Z362)/2,IF(Z362=0,(Y362+X362)/2,FLOOR(((X362+Y362+Z362)/3),0.1))))))))</f>
        <v/>
      </c>
      <c r="AB362" s="21" t="n"/>
      <c r="AC362" s="21" t="n"/>
      <c r="AD362" s="27">
        <f>SUM(AB362:AC362)</f>
        <v/>
      </c>
      <c r="AE362" s="28" t="n"/>
      <c r="AF362" s="28" t="n"/>
      <c r="AG362" s="29">
        <f>IF(AND(AD362=0,AE362=0,AF362=0),0,IF(AND(AD362=0,AE362=0),AF362/1,IF(AND(AD362=0,AF362=0),AE362/1,IF(AND(AE362=0,AF362=0),AD362/1,IF(AD362=0,FLOOR((AE362+AF362)/2,0.1),IF(AE362=0,(AD362+AF362)/2,IF(AF362=0,(AE362+AD362)/2,FLOOR(((AD362+AE362+AF362)/3),0.1))))))))</f>
        <v/>
      </c>
      <c r="AH362" s="21" t="n"/>
      <c r="AI362" s="21" t="n"/>
      <c r="AJ362" s="27">
        <f>SUM(AH362:AI362)</f>
        <v/>
      </c>
      <c r="AK362" s="28" t="n"/>
      <c r="AL362" s="28" t="n"/>
      <c r="AM362" s="29">
        <f>IF(AND(AJ362=0,AK362=0,AL362=0),0,IF(AND(AJ362=0,AK362=0),AL362/1,IF(AND(AJ362=0,AL362=0),AK362/1,IF(AND(AK362=0,AL362=0),AJ362/1,IF(AJ362=0,FLOOR((AK362+AL362)/2,0.1),IF(AK362=0,(AJ362+AL362)/2,IF(AL362=0,(AK362+AJ362)/2,FLOOR(((AJ362+AK362+AL362)/3),0.1))))))))</f>
        <v/>
      </c>
      <c r="AN362" s="21" t="n"/>
      <c r="AO362" s="21" t="n"/>
      <c r="AP362" s="27">
        <f>SUM(AN362:AO362)</f>
        <v/>
      </c>
      <c r="AQ362" s="28" t="n"/>
      <c r="AR362" s="30" t="n"/>
      <c r="AS362" s="29">
        <f>IF(AND(AP362=0,AQ362=0,AR362=0),0,IF(AND(AP362=0,AQ362=0),AR362/1,IF(AND(AP362=0,AR362=0),AQ362/1,IF(AND(AQ362=0,AR362=0),AP362/1,IF(AP362=0,FLOOR((AQ362+AR362)/2,0.1),IF(AQ362=0,(AP362+AR362)/2,IF(AR362=0,(AQ362+AP362)/2,FLOOR(((AP362+AQ362+AR362)/3),0.1))))))))</f>
        <v/>
      </c>
      <c r="AT362" s="21" t="n"/>
      <c r="AU362" s="21" t="n"/>
      <c r="AV362" s="27">
        <f>SUM(AT362:AU362)</f>
        <v/>
      </c>
      <c r="AW362" s="28" t="n"/>
      <c r="AX362" s="30" t="n"/>
      <c r="AY362" s="29">
        <f>IF(AND(AV362=0,AW362=0,AX362=0),0,IF(AND(AV362=0,AW362=0),AX362/1,IF(AND(AV362=0,AX362=0),AW362/1,IF(AND(AW362=0,AX362=0),AV362/1,IF(AV362=0,FLOOR((AW362+AX362)/2,0.1),IF(AW362=0,(AV362+AX362)/2,IF(AX362=0,(AW362+AV362)/2,FLOOR(((AV362+AW362+AX362)/3),0.1))))))))</f>
        <v/>
      </c>
      <c r="AZ362" s="21" t="n"/>
      <c r="BA362" s="21" t="n"/>
      <c r="BB362" s="27">
        <f>SUM(AZ362:BA362)</f>
        <v/>
      </c>
      <c r="BC362" s="28" t="n"/>
      <c r="BD362" s="28" t="n"/>
      <c r="BE362" s="29">
        <f>IF(AND(BB362=0,BC362=0,BD362=0),0,IF(AND(BB362=0,BC362=0),BD362/1,IF(AND(BB362=0,BD362=0),BC362/1,IF(AND(BC362=0,BD362=0),BB362/1,IF(BB362=0,FLOOR((BC362+BD362)/2,0.1),IF(BC362=0,(BB362+BD362)/2,IF(BD362=0,(BC362+BB362)/2,FLOOR(((BB362+BC362+BD362)/3),0.1))))))))</f>
        <v/>
      </c>
      <c r="BF362" s="21" t="n"/>
      <c r="BG362" s="21" t="n"/>
      <c r="BH362" s="27">
        <f>SUM(BF362:BG362)</f>
        <v/>
      </c>
      <c r="BI362" s="28" t="n"/>
      <c r="BJ362" s="28" t="n"/>
      <c r="BK362" s="29">
        <f>IF(AND(BH362=0,BI362=0,BJ362=0),0,IF(AND(BH362=0,BI362=0),BJ362/1,IF(AND(BH362=0,BJ362=0),BI362/1,IF(AND(BI362=0,BJ362=0),BH362/1,IF(BH362=0,FLOOR((BI362+BJ362)/2,0.1),IF(BI362=0,(BH362+BJ362)/2,IF(BJ362=0,(BI362+BH362)/2,FLOOR(((BH362+BI362+BJ362)/3),0.1))))))))</f>
        <v/>
      </c>
      <c r="BL362" s="21" t="n"/>
      <c r="BM362" s="21" t="n"/>
      <c r="BN362" s="27">
        <f>SUM(BL362:BM362)</f>
        <v/>
      </c>
      <c r="BO362" s="28" t="n"/>
      <c r="BP362" s="31" t="n"/>
      <c r="BQ362" s="29">
        <f>IF(AND(BN362=0,BO362=0,BP362=0),0,IF(AND(BN362=0,BO362=0),BP362/1,IF(AND(BN362=0,BP362=0),BO362/1,IF(AND(BO362=0,BP362=0),BN362/1,IF(BN362=0,FLOOR((BO362+BP362)/2,0.1),IF(BO362=0,(BN362+BP362)/2,IF(BP362=0,(BO362+BN362)/2,FLOOR(((BN362+BO362+BP362)/3),0.1))))))))</f>
        <v/>
      </c>
      <c r="BR362" s="21" t="n"/>
      <c r="BS362" s="21" t="n"/>
      <c r="BT362" s="27">
        <f>SUM(BR362:BS362)</f>
        <v/>
      </c>
      <c r="BU362" s="28" t="n"/>
      <c r="BV362" s="31" t="n"/>
      <c r="BW362" s="29">
        <f>IF(AND(BT362=0,BU362=0,BV362=0),0,IF(AND(BT362=0,BU362=0),BV362/1,IF(AND(BT362=0,BV362=0),BU362/1,IF(AND(BU362=0,BV362=0),BT362/1,IF(BT362=0,FLOOR((BU362+BV362)/2,0.1),IF(BU362=0,(BT362+BV362)/2,IF(BV362=0,(BU362+BT362)/2,FLOOR(((BT362+BU362+BV362)/3),0.1))))))))</f>
        <v/>
      </c>
      <c r="BX362" s="21" t="n"/>
      <c r="BY362" s="21" t="n"/>
      <c r="BZ362" s="27">
        <f>SUM(BX362:BY362)</f>
        <v/>
      </c>
      <c r="CA362" s="28" t="n"/>
      <c r="CB362" s="31" t="n"/>
      <c r="CC362" s="29">
        <f>IF(AND(BZ362=0,CA362=0,CB362=0),0,IF(AND(BZ362=0,CA362=0),CB362/1,IF(AND(BZ362=0,CB362=0),CA362/1,IF(AND(CA362=0,CB362=0),BZ362/1,IF(BZ362=0,FLOOR((CA362+CB362)/2,0.1),IF(CA362=0,(BZ362+CB362)/2,IF(CB362=0,(CA362+BZ362)/2,FLOOR(((BZ362+CA362+CB362)/3),0.1))))))))</f>
        <v/>
      </c>
      <c r="CD362" s="21" t="n"/>
      <c r="CE362" s="21" t="n"/>
      <c r="CF362" s="27">
        <f>SUM(CD362:CE362)</f>
        <v/>
      </c>
      <c r="CG362" s="28" t="n"/>
      <c r="CH362" s="31" t="n"/>
      <c r="CI362" s="29">
        <f>IF(AND(CF362=0,CG362=0,CH362=0),0,IF(AND(CF362=0,CG362=0),CH362/1,IF(AND(CF362=0,CH362=0),CG362/1,IF(AND(CG362=0,CH362=0),CF362/1,IF(CF362=0,FLOOR((CG362+CH362)/2,0.1),IF(CG362=0,(CF362+CH362)/2,IF(CH362=0,(CG362+CF362)/2,FLOOR(((CF362+CG362+CH362)/3),0.1))))))))</f>
        <v/>
      </c>
      <c r="CJ362" s="21" t="n"/>
      <c r="CK362" s="21" t="n"/>
      <c r="CL362" s="27">
        <f>SUM(CJ362:CK362)</f>
        <v/>
      </c>
      <c r="CM362" s="28" t="n"/>
      <c r="CN362" s="31" t="n"/>
      <c r="CO362" s="29">
        <f>IF(AND(CL362=0,CM362=0,CN362=0),0,IF(AND(CL362=0,CM362=0),CN362/1,IF(AND(CL362=0,CN362=0),CM362/1,IF(AND(CM362=0,CN362=0),CL362/1,IF(CL362=0,FLOOR((CM362+CN362)/2,0.1),IF(CM362=0,(CL362+CN362)/2,IF(CN362=0,(CM362+CL362)/2,FLOOR(((CL362+CM362+CN362)/3),0.1))))))))</f>
        <v/>
      </c>
      <c r="CP362" s="21" t="n"/>
      <c r="CQ362" s="21" t="n"/>
      <c r="CR362" s="27">
        <f>SUM(CP362:CQ362)</f>
        <v/>
      </c>
      <c r="CS362" s="28" t="n"/>
      <c r="CT362" s="31" t="n"/>
      <c r="CU362" s="29">
        <f>IF(AND(CR362=0,CS362=0,CT362=0),0,IF(AND(CR362=0,CS362=0),CT362/1,IF(AND(CR362=0,CT362=0),CS362/1,IF(AND(CS362=0,CT362=0),CR362/1,IF(CR362=0,FLOOR((CS362+CT362)/2,0.1),IF(CS362=0,(CR362+CT362)/2,IF(CT362=0,(CS362+CR362)/2,FLOOR(((CR362+CS362+CT362)/3),0.1))))))))</f>
        <v/>
      </c>
      <c r="CV362" s="21" t="n"/>
      <c r="CW362" s="21" t="n"/>
      <c r="CX362" s="27">
        <f>SUM(CV362:CW362)</f>
        <v/>
      </c>
      <c r="CY362" s="28" t="n"/>
      <c r="CZ362" s="31" t="n"/>
      <c r="DA362" s="29">
        <f>IF(AND(CX362=0,CY362=0,CZ362=0),0,IF(AND(CX362=0,CY362=0),CZ362/1,IF(AND(CX362=0,CZ362=0),CY362/1,IF(AND(CY362=0,CZ362=0),CX362/1,IF(CX362=0,FLOOR((CY362+CZ362)/2,0.1),IF(CY362=0,(CX362+CZ362)/2,IF(CZ362=0,(CY362+CX362)/2,FLOOR(((CX362+CY362+CZ362)/3),0.1))))))))</f>
        <v/>
      </c>
      <c r="DB362" s="21" t="n"/>
      <c r="DC362" s="21" t="n"/>
      <c r="DD362" s="27">
        <f>SUM(DB362:DC362)</f>
        <v/>
      </c>
      <c r="DE362" s="28" t="n"/>
      <c r="DF362" s="31" t="n"/>
      <c r="DG362" s="29">
        <f>IF(AND(DD362=0,DE362=0,DF362=0),0,IF(AND(DD362=0,DE362=0),DF362/1,IF(AND(DD362=0,DF362=0),DE362/1,IF(AND(DE362=0,DF362=0),DD362/1,IF(DD362=0,FLOOR((DE362+DF362)/2,0.1),IF(DE362=0,(DD362+DF362)/2,IF(DF362=0,(DE362+DD362)/2,FLOOR(((DD362+DE362+DF362)/3),0.1))))))))</f>
        <v/>
      </c>
      <c r="DH362" s="34">
        <f>SUM(O362,U362,AA362,AG362,AM362,AS362,AY362,BE362,BK362,BQ362,BW362,CC362,CI362,CO362,CU362,DA362,DG362)</f>
        <v/>
      </c>
      <c r="DI362" s="39">
        <f>RANK(DH362,DH$4:DH$503)</f>
        <v/>
      </c>
      <c r="DJ362" s="40" t="inlineStr">
        <is>
          <t>CHOOSE RATING</t>
        </is>
      </c>
      <c r="DK362" s="40" t="inlineStr">
        <is>
          <t>CHOOSE RATING</t>
        </is>
      </c>
      <c r="DL362" s="40" t="inlineStr">
        <is>
          <t>CHOOSE RATING</t>
        </is>
      </c>
      <c r="DM362" s="40" t="inlineStr">
        <is>
          <t>CHOOSE RATING</t>
        </is>
      </c>
      <c r="DN362" s="40" t="inlineStr">
        <is>
          <t>CHOOSE RATING</t>
        </is>
      </c>
      <c r="DO362" s="40" t="inlineStr">
        <is>
          <t>CHOOSE RATING</t>
        </is>
      </c>
      <c r="DP362" s="40" t="inlineStr">
        <is>
          <t>CHOOSE RATING</t>
        </is>
      </c>
      <c r="DQ362" s="40" t="inlineStr">
        <is>
          <t>CHOOSE RATING</t>
        </is>
      </c>
      <c r="DR362" s="43" t="inlineStr">
        <is>
          <t>2024/2025</t>
        </is>
      </c>
      <c r="DS362" s="45" t="inlineStr">
        <is>
          <t>THIRD</t>
        </is>
      </c>
      <c r="DT362" s="40" t="inlineStr">
        <is>
          <t>CHOOSE RATING</t>
        </is>
      </c>
      <c r="DU362" s="40" t="inlineStr">
        <is>
          <t>CHOOSE RATING</t>
        </is>
      </c>
      <c r="DV362" s="40" t="inlineStr">
        <is>
          <t>CHOOSE RATING</t>
        </is>
      </c>
      <c r="DW362" s="40" t="inlineStr">
        <is>
          <t>CHOOSE RATING</t>
        </is>
      </c>
      <c r="DX362" s="40" t="inlineStr">
        <is>
          <t>CHOOSE RATING</t>
        </is>
      </c>
      <c r="DY362" s="40" t="inlineStr">
        <is>
          <t>CHOOSE RATING</t>
        </is>
      </c>
      <c r="DZ362" s="53" t="inlineStr">
        <is>
          <t>CHOOSE RATING</t>
        </is>
      </c>
      <c r="EA362" s="54" t="inlineStr">
        <is>
          <t>Add the Tutor's Comment . . .</t>
        </is>
      </c>
      <c r="EB362" s="55" t="inlineStr">
        <is>
          <t>Choose Principals comment</t>
        </is>
      </c>
      <c r="EC362" s="56" t="n"/>
      <c r="ED362" s="57" t="inlineStr">
        <is>
          <t>Next Term Begins on Monday, 22nd September, 2025</t>
        </is>
      </c>
    </row>
    <row r="363" ht="30.6" customHeight="1" s="6">
      <c r="A363" s="18" t="n">
        <v>360</v>
      </c>
      <c r="B363" s="19" t="n"/>
      <c r="C363" s="20" t="n"/>
      <c r="D363" s="128" t="n"/>
      <c r="E363" s="21" t="n"/>
      <c r="F363" s="22" t="n"/>
      <c r="G363" s="22" t="n"/>
      <c r="H363" s="22" t="n"/>
      <c r="I363" s="26">
        <f>G363-H363</f>
        <v/>
      </c>
      <c r="J363" s="21" t="n"/>
      <c r="K363" s="21" t="n"/>
      <c r="L363" s="27">
        <f>SUM(J363:K363)</f>
        <v/>
      </c>
      <c r="M363" s="28" t="n"/>
      <c r="N363" s="28" t="n"/>
      <c r="O363" s="29">
        <f>IF(AND(L363=0,M363=0,N363=0),0,IF(AND(L363=0,M363=0),N363/1,IF(AND(L363=0,N363=0),M363/1,IF(AND(M363=0,N363=0),L363/1,IF(L363=0,FLOOR((M363+N363)/2,0.1),IF(M363=0,(L363+N363)/2,IF(N363=0,(M363+L363)/2,FLOOR(((L363+M363+N363)/3),0.1))))))))</f>
        <v/>
      </c>
      <c r="P363" s="21" t="n"/>
      <c r="Q363" s="21" t="n"/>
      <c r="R363" s="27">
        <f>SUM(P363:Q363)</f>
        <v/>
      </c>
      <c r="S363" s="28" t="n"/>
      <c r="T363" s="28" t="n"/>
      <c r="U363" s="29">
        <f>IF(AND(R363=0,S363=0,T363=0),0,IF(AND(R363=0,S363=0),T363/1,IF(AND(R363=0,T363=0),S363/1,IF(AND(S363=0,T363=0),R363/1,IF(R363=0,FLOOR((S363+T363)/2,0.1),IF(S363=0,(R363+T363)/2,IF(T363=0,(S363+R363)/2,FLOOR(((R363+S363+T363)/3),0.1))))))))</f>
        <v/>
      </c>
      <c r="V363" s="21" t="n"/>
      <c r="W363" s="21" t="n"/>
      <c r="X363" s="27">
        <f>SUM(V363:W363)</f>
        <v/>
      </c>
      <c r="Y363" s="28" t="n"/>
      <c r="Z363" s="28" t="n"/>
      <c r="AA363" s="29">
        <f>IF(AND(X363=0,Y363=0,Z363=0),0,IF(AND(X363=0,Y363=0),Z363/1,IF(AND(X363=0,Z363=0),Y363/1,IF(AND(Y363=0,Z363=0),X363/1,IF(X363=0,FLOOR((Y363+Z363)/2,0.1),IF(Y363=0,(X363+Z363)/2,IF(Z363=0,(Y363+X363)/2,FLOOR(((X363+Y363+Z363)/3),0.1))))))))</f>
        <v/>
      </c>
      <c r="AB363" s="21" t="n"/>
      <c r="AC363" s="21" t="n"/>
      <c r="AD363" s="27">
        <f>SUM(AB363:AC363)</f>
        <v/>
      </c>
      <c r="AE363" s="28" t="n"/>
      <c r="AF363" s="28" t="n"/>
      <c r="AG363" s="29">
        <f>IF(AND(AD363=0,AE363=0,AF363=0),0,IF(AND(AD363=0,AE363=0),AF363/1,IF(AND(AD363=0,AF363=0),AE363/1,IF(AND(AE363=0,AF363=0),AD363/1,IF(AD363=0,FLOOR((AE363+AF363)/2,0.1),IF(AE363=0,(AD363+AF363)/2,IF(AF363=0,(AE363+AD363)/2,FLOOR(((AD363+AE363+AF363)/3),0.1))))))))</f>
        <v/>
      </c>
      <c r="AH363" s="21" t="n"/>
      <c r="AI363" s="21" t="n"/>
      <c r="AJ363" s="27">
        <f>SUM(AH363:AI363)</f>
        <v/>
      </c>
      <c r="AK363" s="28" t="n"/>
      <c r="AL363" s="28" t="n"/>
      <c r="AM363" s="29">
        <f>IF(AND(AJ363=0,AK363=0,AL363=0),0,IF(AND(AJ363=0,AK363=0),AL363/1,IF(AND(AJ363=0,AL363=0),AK363/1,IF(AND(AK363=0,AL363=0),AJ363/1,IF(AJ363=0,FLOOR((AK363+AL363)/2,0.1),IF(AK363=0,(AJ363+AL363)/2,IF(AL363=0,(AK363+AJ363)/2,FLOOR(((AJ363+AK363+AL363)/3),0.1))))))))</f>
        <v/>
      </c>
      <c r="AN363" s="21" t="n"/>
      <c r="AO363" s="21" t="n"/>
      <c r="AP363" s="27">
        <f>SUM(AN363:AO363)</f>
        <v/>
      </c>
      <c r="AQ363" s="28" t="n"/>
      <c r="AR363" s="30" t="n"/>
      <c r="AS363" s="29">
        <f>IF(AND(AP363=0,AQ363=0,AR363=0),0,IF(AND(AP363=0,AQ363=0),AR363/1,IF(AND(AP363=0,AR363=0),AQ363/1,IF(AND(AQ363=0,AR363=0),AP363/1,IF(AP363=0,FLOOR((AQ363+AR363)/2,0.1),IF(AQ363=0,(AP363+AR363)/2,IF(AR363=0,(AQ363+AP363)/2,FLOOR(((AP363+AQ363+AR363)/3),0.1))))))))</f>
        <v/>
      </c>
      <c r="AT363" s="21" t="n"/>
      <c r="AU363" s="21" t="n"/>
      <c r="AV363" s="27">
        <f>SUM(AT363:AU363)</f>
        <v/>
      </c>
      <c r="AW363" s="28" t="n"/>
      <c r="AX363" s="30" t="n"/>
      <c r="AY363" s="29">
        <f>IF(AND(AV363=0,AW363=0,AX363=0),0,IF(AND(AV363=0,AW363=0),AX363/1,IF(AND(AV363=0,AX363=0),AW363/1,IF(AND(AW363=0,AX363=0),AV363/1,IF(AV363=0,FLOOR((AW363+AX363)/2,0.1),IF(AW363=0,(AV363+AX363)/2,IF(AX363=0,(AW363+AV363)/2,FLOOR(((AV363+AW363+AX363)/3),0.1))))))))</f>
        <v/>
      </c>
      <c r="AZ363" s="21" t="n"/>
      <c r="BA363" s="21" t="n"/>
      <c r="BB363" s="27">
        <f>SUM(AZ363:BA363)</f>
        <v/>
      </c>
      <c r="BC363" s="28" t="n"/>
      <c r="BD363" s="28" t="n"/>
      <c r="BE363" s="29">
        <f>IF(AND(BB363=0,BC363=0,BD363=0),0,IF(AND(BB363=0,BC363=0),BD363/1,IF(AND(BB363=0,BD363=0),BC363/1,IF(AND(BC363=0,BD363=0),BB363/1,IF(BB363=0,FLOOR((BC363+BD363)/2,0.1),IF(BC363=0,(BB363+BD363)/2,IF(BD363=0,(BC363+BB363)/2,FLOOR(((BB363+BC363+BD363)/3),0.1))))))))</f>
        <v/>
      </c>
      <c r="BF363" s="21" t="n"/>
      <c r="BG363" s="21" t="n"/>
      <c r="BH363" s="27">
        <f>SUM(BF363:BG363)</f>
        <v/>
      </c>
      <c r="BI363" s="28" t="n"/>
      <c r="BJ363" s="28" t="n"/>
      <c r="BK363" s="29">
        <f>IF(AND(BH363=0,BI363=0,BJ363=0),0,IF(AND(BH363=0,BI363=0),BJ363/1,IF(AND(BH363=0,BJ363=0),BI363/1,IF(AND(BI363=0,BJ363=0),BH363/1,IF(BH363=0,FLOOR((BI363+BJ363)/2,0.1),IF(BI363=0,(BH363+BJ363)/2,IF(BJ363=0,(BI363+BH363)/2,FLOOR(((BH363+BI363+BJ363)/3),0.1))))))))</f>
        <v/>
      </c>
      <c r="BL363" s="21" t="n"/>
      <c r="BM363" s="21" t="n"/>
      <c r="BN363" s="27">
        <f>SUM(BL363:BM363)</f>
        <v/>
      </c>
      <c r="BO363" s="28" t="n"/>
      <c r="BP363" s="31" t="n"/>
      <c r="BQ363" s="29">
        <f>IF(AND(BN363=0,BO363=0,BP363=0),0,IF(AND(BN363=0,BO363=0),BP363/1,IF(AND(BN363=0,BP363=0),BO363/1,IF(AND(BO363=0,BP363=0),BN363/1,IF(BN363=0,FLOOR((BO363+BP363)/2,0.1),IF(BO363=0,(BN363+BP363)/2,IF(BP363=0,(BO363+BN363)/2,FLOOR(((BN363+BO363+BP363)/3),0.1))))))))</f>
        <v/>
      </c>
      <c r="BR363" s="21" t="n"/>
      <c r="BS363" s="21" t="n"/>
      <c r="BT363" s="27">
        <f>SUM(BR363:BS363)</f>
        <v/>
      </c>
      <c r="BU363" s="28" t="n"/>
      <c r="BV363" s="31" t="n"/>
      <c r="BW363" s="29">
        <f>IF(AND(BT363=0,BU363=0,BV363=0),0,IF(AND(BT363=0,BU363=0),BV363/1,IF(AND(BT363=0,BV363=0),BU363/1,IF(AND(BU363=0,BV363=0),BT363/1,IF(BT363=0,FLOOR((BU363+BV363)/2,0.1),IF(BU363=0,(BT363+BV363)/2,IF(BV363=0,(BU363+BT363)/2,FLOOR(((BT363+BU363+BV363)/3),0.1))))))))</f>
        <v/>
      </c>
      <c r="BX363" s="21" t="n"/>
      <c r="BY363" s="21" t="n"/>
      <c r="BZ363" s="27">
        <f>SUM(BX363:BY363)</f>
        <v/>
      </c>
      <c r="CA363" s="28" t="n"/>
      <c r="CB363" s="31" t="n"/>
      <c r="CC363" s="29">
        <f>IF(AND(BZ363=0,CA363=0,CB363=0),0,IF(AND(BZ363=0,CA363=0),CB363/1,IF(AND(BZ363=0,CB363=0),CA363/1,IF(AND(CA363=0,CB363=0),BZ363/1,IF(BZ363=0,FLOOR((CA363+CB363)/2,0.1),IF(CA363=0,(BZ363+CB363)/2,IF(CB363=0,(CA363+BZ363)/2,FLOOR(((BZ363+CA363+CB363)/3),0.1))))))))</f>
        <v/>
      </c>
      <c r="CD363" s="21" t="n"/>
      <c r="CE363" s="21" t="n"/>
      <c r="CF363" s="27">
        <f>SUM(CD363:CE363)</f>
        <v/>
      </c>
      <c r="CG363" s="28" t="n"/>
      <c r="CH363" s="31" t="n"/>
      <c r="CI363" s="29">
        <f>IF(AND(CF363=0,CG363=0,CH363=0),0,IF(AND(CF363=0,CG363=0),CH363/1,IF(AND(CF363=0,CH363=0),CG363/1,IF(AND(CG363=0,CH363=0),CF363/1,IF(CF363=0,FLOOR((CG363+CH363)/2,0.1),IF(CG363=0,(CF363+CH363)/2,IF(CH363=0,(CG363+CF363)/2,FLOOR(((CF363+CG363+CH363)/3),0.1))))))))</f>
        <v/>
      </c>
      <c r="CJ363" s="21" t="n"/>
      <c r="CK363" s="21" t="n"/>
      <c r="CL363" s="27">
        <f>SUM(CJ363:CK363)</f>
        <v/>
      </c>
      <c r="CM363" s="28" t="n"/>
      <c r="CN363" s="31" t="n"/>
      <c r="CO363" s="29">
        <f>IF(AND(CL363=0,CM363=0,CN363=0),0,IF(AND(CL363=0,CM363=0),CN363/1,IF(AND(CL363=0,CN363=0),CM363/1,IF(AND(CM363=0,CN363=0),CL363/1,IF(CL363=0,FLOOR((CM363+CN363)/2,0.1),IF(CM363=0,(CL363+CN363)/2,IF(CN363=0,(CM363+CL363)/2,FLOOR(((CL363+CM363+CN363)/3),0.1))))))))</f>
        <v/>
      </c>
      <c r="CP363" s="21" t="n"/>
      <c r="CQ363" s="21" t="n"/>
      <c r="CR363" s="27">
        <f>SUM(CP363:CQ363)</f>
        <v/>
      </c>
      <c r="CS363" s="28" t="n"/>
      <c r="CT363" s="31" t="n"/>
      <c r="CU363" s="29">
        <f>IF(AND(CR363=0,CS363=0,CT363=0),0,IF(AND(CR363=0,CS363=0),CT363/1,IF(AND(CR363=0,CT363=0),CS363/1,IF(AND(CS363=0,CT363=0),CR363/1,IF(CR363=0,FLOOR((CS363+CT363)/2,0.1),IF(CS363=0,(CR363+CT363)/2,IF(CT363=0,(CS363+CR363)/2,FLOOR(((CR363+CS363+CT363)/3),0.1))))))))</f>
        <v/>
      </c>
      <c r="CV363" s="21" t="n"/>
      <c r="CW363" s="21" t="n"/>
      <c r="CX363" s="27">
        <f>SUM(CV363:CW363)</f>
        <v/>
      </c>
      <c r="CY363" s="28" t="n"/>
      <c r="CZ363" s="31" t="n"/>
      <c r="DA363" s="29">
        <f>IF(AND(CX363=0,CY363=0,CZ363=0),0,IF(AND(CX363=0,CY363=0),CZ363/1,IF(AND(CX363=0,CZ363=0),CY363/1,IF(AND(CY363=0,CZ363=0),CX363/1,IF(CX363=0,FLOOR((CY363+CZ363)/2,0.1),IF(CY363=0,(CX363+CZ363)/2,IF(CZ363=0,(CY363+CX363)/2,FLOOR(((CX363+CY363+CZ363)/3),0.1))))))))</f>
        <v/>
      </c>
      <c r="DB363" s="21" t="n"/>
      <c r="DC363" s="21" t="n"/>
      <c r="DD363" s="27">
        <f>SUM(DB363:DC363)</f>
        <v/>
      </c>
      <c r="DE363" s="28" t="n"/>
      <c r="DF363" s="31" t="n"/>
      <c r="DG363" s="29">
        <f>IF(AND(DD363=0,DE363=0,DF363=0),0,IF(AND(DD363=0,DE363=0),DF363/1,IF(AND(DD363=0,DF363=0),DE363/1,IF(AND(DE363=0,DF363=0),DD363/1,IF(DD363=0,FLOOR((DE363+DF363)/2,0.1),IF(DE363=0,(DD363+DF363)/2,IF(DF363=0,(DE363+DD363)/2,FLOOR(((DD363+DE363+DF363)/3),0.1))))))))</f>
        <v/>
      </c>
      <c r="DH363" s="34">
        <f>SUM(O363,U363,AA363,AG363,AM363,AS363,AY363,BE363,BK363,BQ363,BW363,CC363,CI363,CO363,CU363,DA363,DG363)</f>
        <v/>
      </c>
      <c r="DI363" s="39">
        <f>RANK(DH363,DH$4:DH$503)</f>
        <v/>
      </c>
      <c r="DJ363" s="40" t="inlineStr">
        <is>
          <t>CHOOSE RATING</t>
        </is>
      </c>
      <c r="DK363" s="40" t="inlineStr">
        <is>
          <t>CHOOSE RATING</t>
        </is>
      </c>
      <c r="DL363" s="40" t="inlineStr">
        <is>
          <t>CHOOSE RATING</t>
        </is>
      </c>
      <c r="DM363" s="40" t="inlineStr">
        <is>
          <t>CHOOSE RATING</t>
        </is>
      </c>
      <c r="DN363" s="40" t="inlineStr">
        <is>
          <t>CHOOSE RATING</t>
        </is>
      </c>
      <c r="DO363" s="40" t="inlineStr">
        <is>
          <t>CHOOSE RATING</t>
        </is>
      </c>
      <c r="DP363" s="40" t="inlineStr">
        <is>
          <t>CHOOSE RATING</t>
        </is>
      </c>
      <c r="DQ363" s="40" t="inlineStr">
        <is>
          <t>CHOOSE RATING</t>
        </is>
      </c>
      <c r="DR363" s="43" t="inlineStr">
        <is>
          <t>2024/2025</t>
        </is>
      </c>
      <c r="DS363" s="45" t="inlineStr">
        <is>
          <t>THIRD</t>
        </is>
      </c>
      <c r="DT363" s="40" t="inlineStr">
        <is>
          <t>CHOOSE RATING</t>
        </is>
      </c>
      <c r="DU363" s="40" t="inlineStr">
        <is>
          <t>CHOOSE RATING</t>
        </is>
      </c>
      <c r="DV363" s="40" t="inlineStr">
        <is>
          <t>CHOOSE RATING</t>
        </is>
      </c>
      <c r="DW363" s="40" t="inlineStr">
        <is>
          <t>CHOOSE RATING</t>
        </is>
      </c>
      <c r="DX363" s="40" t="inlineStr">
        <is>
          <t>CHOOSE RATING</t>
        </is>
      </c>
      <c r="DY363" s="40" t="inlineStr">
        <is>
          <t>CHOOSE RATING</t>
        </is>
      </c>
      <c r="DZ363" s="53" t="inlineStr">
        <is>
          <t>CHOOSE RATING</t>
        </is>
      </c>
      <c r="EA363" s="54" t="inlineStr">
        <is>
          <t>Add the Tutor's Comment . . .</t>
        </is>
      </c>
      <c r="EB363" s="55" t="inlineStr">
        <is>
          <t>Choose Principals comment</t>
        </is>
      </c>
      <c r="EC363" s="56" t="n"/>
      <c r="ED363" s="57" t="inlineStr">
        <is>
          <t>Next Term Begins on Monday, 22nd September, 2025</t>
        </is>
      </c>
    </row>
    <row r="364" ht="30.6" customHeight="1" s="6">
      <c r="A364" s="18" t="n">
        <v>361</v>
      </c>
      <c r="B364" s="19" t="n"/>
      <c r="C364" s="20" t="n"/>
      <c r="D364" s="128" t="n"/>
      <c r="E364" s="21" t="n"/>
      <c r="F364" s="22" t="n"/>
      <c r="G364" s="22" t="n"/>
      <c r="H364" s="22" t="n"/>
      <c r="I364" s="26">
        <f>G364-H364</f>
        <v/>
      </c>
      <c r="J364" s="21" t="n"/>
      <c r="K364" s="21" t="n"/>
      <c r="L364" s="27">
        <f>SUM(J364:K364)</f>
        <v/>
      </c>
      <c r="M364" s="28" t="n"/>
      <c r="N364" s="28" t="n"/>
      <c r="O364" s="29">
        <f>IF(AND(L364=0,M364=0,N364=0),0,IF(AND(L364=0,M364=0),N364/1,IF(AND(L364=0,N364=0),M364/1,IF(AND(M364=0,N364=0),L364/1,IF(L364=0,FLOOR((M364+N364)/2,0.1),IF(M364=0,(L364+N364)/2,IF(N364=0,(M364+L364)/2,FLOOR(((L364+M364+N364)/3),0.1))))))))</f>
        <v/>
      </c>
      <c r="P364" s="21" t="n"/>
      <c r="Q364" s="21" t="n"/>
      <c r="R364" s="27">
        <f>SUM(P364:Q364)</f>
        <v/>
      </c>
      <c r="S364" s="28" t="n"/>
      <c r="T364" s="28" t="n"/>
      <c r="U364" s="29">
        <f>IF(AND(R364=0,S364=0,T364=0),0,IF(AND(R364=0,S364=0),T364/1,IF(AND(R364=0,T364=0),S364/1,IF(AND(S364=0,T364=0),R364/1,IF(R364=0,FLOOR((S364+T364)/2,0.1),IF(S364=0,(R364+T364)/2,IF(T364=0,(S364+R364)/2,FLOOR(((R364+S364+T364)/3),0.1))))))))</f>
        <v/>
      </c>
      <c r="V364" s="21" t="n"/>
      <c r="W364" s="21" t="n"/>
      <c r="X364" s="27">
        <f>SUM(V364:W364)</f>
        <v/>
      </c>
      <c r="Y364" s="28" t="n"/>
      <c r="Z364" s="28" t="n"/>
      <c r="AA364" s="29">
        <f>IF(AND(X364=0,Y364=0,Z364=0),0,IF(AND(X364=0,Y364=0),Z364/1,IF(AND(X364=0,Z364=0),Y364/1,IF(AND(Y364=0,Z364=0),X364/1,IF(X364=0,FLOOR((Y364+Z364)/2,0.1),IF(Y364=0,(X364+Z364)/2,IF(Z364=0,(Y364+X364)/2,FLOOR(((X364+Y364+Z364)/3),0.1))))))))</f>
        <v/>
      </c>
      <c r="AB364" s="21" t="n"/>
      <c r="AC364" s="21" t="n"/>
      <c r="AD364" s="27">
        <f>SUM(AB364:AC364)</f>
        <v/>
      </c>
      <c r="AE364" s="28" t="n"/>
      <c r="AF364" s="28" t="n"/>
      <c r="AG364" s="29">
        <f>IF(AND(AD364=0,AE364=0,AF364=0),0,IF(AND(AD364=0,AE364=0),AF364/1,IF(AND(AD364=0,AF364=0),AE364/1,IF(AND(AE364=0,AF364=0),AD364/1,IF(AD364=0,FLOOR((AE364+AF364)/2,0.1),IF(AE364=0,(AD364+AF364)/2,IF(AF364=0,(AE364+AD364)/2,FLOOR(((AD364+AE364+AF364)/3),0.1))))))))</f>
        <v/>
      </c>
      <c r="AH364" s="21" t="n"/>
      <c r="AI364" s="21" t="n"/>
      <c r="AJ364" s="27">
        <f>SUM(AH364:AI364)</f>
        <v/>
      </c>
      <c r="AK364" s="28" t="n"/>
      <c r="AL364" s="28" t="n"/>
      <c r="AM364" s="29">
        <f>IF(AND(AJ364=0,AK364=0,AL364=0),0,IF(AND(AJ364=0,AK364=0),AL364/1,IF(AND(AJ364=0,AL364=0),AK364/1,IF(AND(AK364=0,AL364=0),AJ364/1,IF(AJ364=0,FLOOR((AK364+AL364)/2,0.1),IF(AK364=0,(AJ364+AL364)/2,IF(AL364=0,(AK364+AJ364)/2,FLOOR(((AJ364+AK364+AL364)/3),0.1))))))))</f>
        <v/>
      </c>
      <c r="AN364" s="21" t="n"/>
      <c r="AO364" s="21" t="n"/>
      <c r="AP364" s="27">
        <f>SUM(AN364:AO364)</f>
        <v/>
      </c>
      <c r="AQ364" s="28" t="n"/>
      <c r="AR364" s="30" t="n"/>
      <c r="AS364" s="29">
        <f>IF(AND(AP364=0,AQ364=0,AR364=0),0,IF(AND(AP364=0,AQ364=0),AR364/1,IF(AND(AP364=0,AR364=0),AQ364/1,IF(AND(AQ364=0,AR364=0),AP364/1,IF(AP364=0,FLOOR((AQ364+AR364)/2,0.1),IF(AQ364=0,(AP364+AR364)/2,IF(AR364=0,(AQ364+AP364)/2,FLOOR(((AP364+AQ364+AR364)/3),0.1))))))))</f>
        <v/>
      </c>
      <c r="AT364" s="21" t="n"/>
      <c r="AU364" s="21" t="n"/>
      <c r="AV364" s="27">
        <f>SUM(AT364:AU364)</f>
        <v/>
      </c>
      <c r="AW364" s="28" t="n"/>
      <c r="AX364" s="30" t="n"/>
      <c r="AY364" s="29">
        <f>IF(AND(AV364=0,AW364=0,AX364=0),0,IF(AND(AV364=0,AW364=0),AX364/1,IF(AND(AV364=0,AX364=0),AW364/1,IF(AND(AW364=0,AX364=0),AV364/1,IF(AV364=0,FLOOR((AW364+AX364)/2,0.1),IF(AW364=0,(AV364+AX364)/2,IF(AX364=0,(AW364+AV364)/2,FLOOR(((AV364+AW364+AX364)/3),0.1))))))))</f>
        <v/>
      </c>
      <c r="AZ364" s="21" t="n"/>
      <c r="BA364" s="21" t="n"/>
      <c r="BB364" s="27">
        <f>SUM(AZ364:BA364)</f>
        <v/>
      </c>
      <c r="BC364" s="28" t="n"/>
      <c r="BD364" s="28" t="n"/>
      <c r="BE364" s="29">
        <f>IF(AND(BB364=0,BC364=0,BD364=0),0,IF(AND(BB364=0,BC364=0),BD364/1,IF(AND(BB364=0,BD364=0),BC364/1,IF(AND(BC364=0,BD364=0),BB364/1,IF(BB364=0,FLOOR((BC364+BD364)/2,0.1),IF(BC364=0,(BB364+BD364)/2,IF(BD364=0,(BC364+BB364)/2,FLOOR(((BB364+BC364+BD364)/3),0.1))))))))</f>
        <v/>
      </c>
      <c r="BF364" s="21" t="n"/>
      <c r="BG364" s="21" t="n"/>
      <c r="BH364" s="27">
        <f>SUM(BF364:BG364)</f>
        <v/>
      </c>
      <c r="BI364" s="28" t="n"/>
      <c r="BJ364" s="28" t="n"/>
      <c r="BK364" s="29">
        <f>IF(AND(BH364=0,BI364=0,BJ364=0),0,IF(AND(BH364=0,BI364=0),BJ364/1,IF(AND(BH364=0,BJ364=0),BI364/1,IF(AND(BI364=0,BJ364=0),BH364/1,IF(BH364=0,FLOOR((BI364+BJ364)/2,0.1),IF(BI364=0,(BH364+BJ364)/2,IF(BJ364=0,(BI364+BH364)/2,FLOOR(((BH364+BI364+BJ364)/3),0.1))))))))</f>
        <v/>
      </c>
      <c r="BL364" s="21" t="n"/>
      <c r="BM364" s="21" t="n"/>
      <c r="BN364" s="27">
        <f>SUM(BL364:BM364)</f>
        <v/>
      </c>
      <c r="BO364" s="28" t="n"/>
      <c r="BP364" s="31" t="n"/>
      <c r="BQ364" s="29">
        <f>IF(AND(BN364=0,BO364=0,BP364=0),0,IF(AND(BN364=0,BO364=0),BP364/1,IF(AND(BN364=0,BP364=0),BO364/1,IF(AND(BO364=0,BP364=0),BN364/1,IF(BN364=0,FLOOR((BO364+BP364)/2,0.1),IF(BO364=0,(BN364+BP364)/2,IF(BP364=0,(BO364+BN364)/2,FLOOR(((BN364+BO364+BP364)/3),0.1))))))))</f>
        <v/>
      </c>
      <c r="BR364" s="21" t="n"/>
      <c r="BS364" s="21" t="n"/>
      <c r="BT364" s="27">
        <f>SUM(BR364:BS364)</f>
        <v/>
      </c>
      <c r="BU364" s="28" t="n"/>
      <c r="BV364" s="31" t="n"/>
      <c r="BW364" s="29">
        <f>IF(AND(BT364=0,BU364=0,BV364=0),0,IF(AND(BT364=0,BU364=0),BV364/1,IF(AND(BT364=0,BV364=0),BU364/1,IF(AND(BU364=0,BV364=0),BT364/1,IF(BT364=0,FLOOR((BU364+BV364)/2,0.1),IF(BU364=0,(BT364+BV364)/2,IF(BV364=0,(BU364+BT364)/2,FLOOR(((BT364+BU364+BV364)/3),0.1))))))))</f>
        <v/>
      </c>
      <c r="BX364" s="21" t="n"/>
      <c r="BY364" s="21" t="n"/>
      <c r="BZ364" s="27">
        <f>SUM(BX364:BY364)</f>
        <v/>
      </c>
      <c r="CA364" s="28" t="n"/>
      <c r="CB364" s="31" t="n"/>
      <c r="CC364" s="29">
        <f>IF(AND(BZ364=0,CA364=0,CB364=0),0,IF(AND(BZ364=0,CA364=0),CB364/1,IF(AND(BZ364=0,CB364=0),CA364/1,IF(AND(CA364=0,CB364=0),BZ364/1,IF(BZ364=0,FLOOR((CA364+CB364)/2,0.1),IF(CA364=0,(BZ364+CB364)/2,IF(CB364=0,(CA364+BZ364)/2,FLOOR(((BZ364+CA364+CB364)/3),0.1))))))))</f>
        <v/>
      </c>
      <c r="CD364" s="21" t="n"/>
      <c r="CE364" s="21" t="n"/>
      <c r="CF364" s="27">
        <f>SUM(CD364:CE364)</f>
        <v/>
      </c>
      <c r="CG364" s="28" t="n"/>
      <c r="CH364" s="31" t="n"/>
      <c r="CI364" s="29">
        <f>IF(AND(CF364=0,CG364=0,CH364=0),0,IF(AND(CF364=0,CG364=0),CH364/1,IF(AND(CF364=0,CH364=0),CG364/1,IF(AND(CG364=0,CH364=0),CF364/1,IF(CF364=0,FLOOR((CG364+CH364)/2,0.1),IF(CG364=0,(CF364+CH364)/2,IF(CH364=0,(CG364+CF364)/2,FLOOR(((CF364+CG364+CH364)/3),0.1))))))))</f>
        <v/>
      </c>
      <c r="CJ364" s="21" t="n"/>
      <c r="CK364" s="21" t="n"/>
      <c r="CL364" s="27">
        <f>SUM(CJ364:CK364)</f>
        <v/>
      </c>
      <c r="CM364" s="28" t="n"/>
      <c r="CN364" s="31" t="n"/>
      <c r="CO364" s="29">
        <f>IF(AND(CL364=0,CM364=0,CN364=0),0,IF(AND(CL364=0,CM364=0),CN364/1,IF(AND(CL364=0,CN364=0),CM364/1,IF(AND(CM364=0,CN364=0),CL364/1,IF(CL364=0,FLOOR((CM364+CN364)/2,0.1),IF(CM364=0,(CL364+CN364)/2,IF(CN364=0,(CM364+CL364)/2,FLOOR(((CL364+CM364+CN364)/3),0.1))))))))</f>
        <v/>
      </c>
      <c r="CP364" s="21" t="n"/>
      <c r="CQ364" s="21" t="n"/>
      <c r="CR364" s="27">
        <f>SUM(CP364:CQ364)</f>
        <v/>
      </c>
      <c r="CS364" s="28" t="n"/>
      <c r="CT364" s="31" t="n"/>
      <c r="CU364" s="29">
        <f>IF(AND(CR364=0,CS364=0,CT364=0),0,IF(AND(CR364=0,CS364=0),CT364/1,IF(AND(CR364=0,CT364=0),CS364/1,IF(AND(CS364=0,CT364=0),CR364/1,IF(CR364=0,FLOOR((CS364+CT364)/2,0.1),IF(CS364=0,(CR364+CT364)/2,IF(CT364=0,(CS364+CR364)/2,FLOOR(((CR364+CS364+CT364)/3),0.1))))))))</f>
        <v/>
      </c>
      <c r="CV364" s="21" t="n"/>
      <c r="CW364" s="21" t="n"/>
      <c r="CX364" s="27">
        <f>SUM(CV364:CW364)</f>
        <v/>
      </c>
      <c r="CY364" s="28" t="n"/>
      <c r="CZ364" s="31" t="n"/>
      <c r="DA364" s="29">
        <f>IF(AND(CX364=0,CY364=0,CZ364=0),0,IF(AND(CX364=0,CY364=0),CZ364/1,IF(AND(CX364=0,CZ364=0),CY364/1,IF(AND(CY364=0,CZ364=0),CX364/1,IF(CX364=0,FLOOR((CY364+CZ364)/2,0.1),IF(CY364=0,(CX364+CZ364)/2,IF(CZ364=0,(CY364+CX364)/2,FLOOR(((CX364+CY364+CZ364)/3),0.1))))))))</f>
        <v/>
      </c>
      <c r="DB364" s="21" t="n"/>
      <c r="DC364" s="21" t="n"/>
      <c r="DD364" s="27">
        <f>SUM(DB364:DC364)</f>
        <v/>
      </c>
      <c r="DE364" s="28" t="n"/>
      <c r="DF364" s="31" t="n"/>
      <c r="DG364" s="29">
        <f>IF(AND(DD364=0,DE364=0,DF364=0),0,IF(AND(DD364=0,DE364=0),DF364/1,IF(AND(DD364=0,DF364=0),DE364/1,IF(AND(DE364=0,DF364=0),DD364/1,IF(DD364=0,FLOOR((DE364+DF364)/2,0.1),IF(DE364=0,(DD364+DF364)/2,IF(DF364=0,(DE364+DD364)/2,FLOOR(((DD364+DE364+DF364)/3),0.1))))))))</f>
        <v/>
      </c>
      <c r="DH364" s="34">
        <f>SUM(O364,U364,AA364,AG364,AM364,AS364,AY364,BE364,BK364,BQ364,BW364,CC364,CI364,CO364,CU364,DA364,DG364)</f>
        <v/>
      </c>
      <c r="DI364" s="39">
        <f>RANK(DH364,DH$4:DH$503)</f>
        <v/>
      </c>
      <c r="DJ364" s="40" t="inlineStr">
        <is>
          <t>CHOOSE RATING</t>
        </is>
      </c>
      <c r="DK364" s="40" t="inlineStr">
        <is>
          <t>CHOOSE RATING</t>
        </is>
      </c>
      <c r="DL364" s="40" t="inlineStr">
        <is>
          <t>CHOOSE RATING</t>
        </is>
      </c>
      <c r="DM364" s="40" t="inlineStr">
        <is>
          <t>CHOOSE RATING</t>
        </is>
      </c>
      <c r="DN364" s="40" t="inlineStr">
        <is>
          <t>CHOOSE RATING</t>
        </is>
      </c>
      <c r="DO364" s="40" t="inlineStr">
        <is>
          <t>CHOOSE RATING</t>
        </is>
      </c>
      <c r="DP364" s="40" t="inlineStr">
        <is>
          <t>CHOOSE RATING</t>
        </is>
      </c>
      <c r="DQ364" s="40" t="inlineStr">
        <is>
          <t>CHOOSE RATING</t>
        </is>
      </c>
      <c r="DR364" s="43" t="inlineStr">
        <is>
          <t>2024/2025</t>
        </is>
      </c>
      <c r="DS364" s="45" t="inlineStr">
        <is>
          <t>THIRD</t>
        </is>
      </c>
      <c r="DT364" s="40" t="inlineStr">
        <is>
          <t>CHOOSE RATING</t>
        </is>
      </c>
      <c r="DU364" s="40" t="inlineStr">
        <is>
          <t>CHOOSE RATING</t>
        </is>
      </c>
      <c r="DV364" s="40" t="inlineStr">
        <is>
          <t>CHOOSE RATING</t>
        </is>
      </c>
      <c r="DW364" s="40" t="inlineStr">
        <is>
          <t>CHOOSE RATING</t>
        </is>
      </c>
      <c r="DX364" s="40" t="inlineStr">
        <is>
          <t>CHOOSE RATING</t>
        </is>
      </c>
      <c r="DY364" s="40" t="inlineStr">
        <is>
          <t>CHOOSE RATING</t>
        </is>
      </c>
      <c r="DZ364" s="53" t="inlineStr">
        <is>
          <t>CHOOSE RATING</t>
        </is>
      </c>
      <c r="EA364" s="54" t="inlineStr">
        <is>
          <t>Add the Tutor's Comment . . .</t>
        </is>
      </c>
      <c r="EB364" s="55" t="inlineStr">
        <is>
          <t>Choose Principals comment</t>
        </is>
      </c>
      <c r="EC364" s="56" t="n"/>
      <c r="ED364" s="57" t="inlineStr">
        <is>
          <t>Next Term Begins on Monday, 22nd September, 2025</t>
        </is>
      </c>
    </row>
    <row r="365" ht="30.6" customHeight="1" s="6">
      <c r="A365" s="18" t="n">
        <v>362</v>
      </c>
      <c r="B365" s="19" t="n"/>
      <c r="C365" s="20" t="n"/>
      <c r="D365" s="128" t="n"/>
      <c r="E365" s="21" t="n"/>
      <c r="F365" s="22" t="n"/>
      <c r="G365" s="22" t="n"/>
      <c r="H365" s="22" t="n"/>
      <c r="I365" s="26">
        <f>G365-H365</f>
        <v/>
      </c>
      <c r="J365" s="21" t="n"/>
      <c r="K365" s="21" t="n"/>
      <c r="L365" s="27">
        <f>SUM(J365:K365)</f>
        <v/>
      </c>
      <c r="M365" s="28" t="n"/>
      <c r="N365" s="28" t="n"/>
      <c r="O365" s="29">
        <f>IF(AND(L365=0,M365=0,N365=0),0,IF(AND(L365=0,M365=0),N365/1,IF(AND(L365=0,N365=0),M365/1,IF(AND(M365=0,N365=0),L365/1,IF(L365=0,FLOOR((M365+N365)/2,0.1),IF(M365=0,(L365+N365)/2,IF(N365=0,(M365+L365)/2,FLOOR(((L365+M365+N365)/3),0.1))))))))</f>
        <v/>
      </c>
      <c r="P365" s="21" t="n"/>
      <c r="Q365" s="21" t="n"/>
      <c r="R365" s="27">
        <f>SUM(P365:Q365)</f>
        <v/>
      </c>
      <c r="S365" s="28" t="n"/>
      <c r="T365" s="28" t="n"/>
      <c r="U365" s="29">
        <f>IF(AND(R365=0,S365=0,T365=0),0,IF(AND(R365=0,S365=0),T365/1,IF(AND(R365=0,T365=0),S365/1,IF(AND(S365=0,T365=0),R365/1,IF(R365=0,FLOOR((S365+T365)/2,0.1),IF(S365=0,(R365+T365)/2,IF(T365=0,(S365+R365)/2,FLOOR(((R365+S365+T365)/3),0.1))))))))</f>
        <v/>
      </c>
      <c r="V365" s="21" t="n"/>
      <c r="W365" s="21" t="n"/>
      <c r="X365" s="27">
        <f>SUM(V365:W365)</f>
        <v/>
      </c>
      <c r="Y365" s="28" t="n"/>
      <c r="Z365" s="28" t="n"/>
      <c r="AA365" s="29">
        <f>IF(AND(X365=0,Y365=0,Z365=0),0,IF(AND(X365=0,Y365=0),Z365/1,IF(AND(X365=0,Z365=0),Y365/1,IF(AND(Y365=0,Z365=0),X365/1,IF(X365=0,FLOOR((Y365+Z365)/2,0.1),IF(Y365=0,(X365+Z365)/2,IF(Z365=0,(Y365+X365)/2,FLOOR(((X365+Y365+Z365)/3),0.1))))))))</f>
        <v/>
      </c>
      <c r="AB365" s="21" t="n"/>
      <c r="AC365" s="21" t="n"/>
      <c r="AD365" s="27">
        <f>SUM(AB365:AC365)</f>
        <v/>
      </c>
      <c r="AE365" s="28" t="n"/>
      <c r="AF365" s="28" t="n"/>
      <c r="AG365" s="29">
        <f>IF(AND(AD365=0,AE365=0,AF365=0),0,IF(AND(AD365=0,AE365=0),AF365/1,IF(AND(AD365=0,AF365=0),AE365/1,IF(AND(AE365=0,AF365=0),AD365/1,IF(AD365=0,FLOOR((AE365+AF365)/2,0.1),IF(AE365=0,(AD365+AF365)/2,IF(AF365=0,(AE365+AD365)/2,FLOOR(((AD365+AE365+AF365)/3),0.1))))))))</f>
        <v/>
      </c>
      <c r="AH365" s="21" t="n"/>
      <c r="AI365" s="21" t="n"/>
      <c r="AJ365" s="27">
        <f>SUM(AH365:AI365)</f>
        <v/>
      </c>
      <c r="AK365" s="28" t="n"/>
      <c r="AL365" s="28" t="n"/>
      <c r="AM365" s="29">
        <f>IF(AND(AJ365=0,AK365=0,AL365=0),0,IF(AND(AJ365=0,AK365=0),AL365/1,IF(AND(AJ365=0,AL365=0),AK365/1,IF(AND(AK365=0,AL365=0),AJ365/1,IF(AJ365=0,FLOOR((AK365+AL365)/2,0.1),IF(AK365=0,(AJ365+AL365)/2,IF(AL365=0,(AK365+AJ365)/2,FLOOR(((AJ365+AK365+AL365)/3),0.1))))))))</f>
        <v/>
      </c>
      <c r="AN365" s="21" t="n"/>
      <c r="AO365" s="21" t="n"/>
      <c r="AP365" s="27">
        <f>SUM(AN365:AO365)</f>
        <v/>
      </c>
      <c r="AQ365" s="28" t="n"/>
      <c r="AR365" s="30" t="n"/>
      <c r="AS365" s="29">
        <f>IF(AND(AP365=0,AQ365=0,AR365=0),0,IF(AND(AP365=0,AQ365=0),AR365/1,IF(AND(AP365=0,AR365=0),AQ365/1,IF(AND(AQ365=0,AR365=0),AP365/1,IF(AP365=0,FLOOR((AQ365+AR365)/2,0.1),IF(AQ365=0,(AP365+AR365)/2,IF(AR365=0,(AQ365+AP365)/2,FLOOR(((AP365+AQ365+AR365)/3),0.1))))))))</f>
        <v/>
      </c>
      <c r="AT365" s="21" t="n"/>
      <c r="AU365" s="21" t="n"/>
      <c r="AV365" s="27">
        <f>SUM(AT365:AU365)</f>
        <v/>
      </c>
      <c r="AW365" s="28" t="n"/>
      <c r="AX365" s="30" t="n"/>
      <c r="AY365" s="29">
        <f>IF(AND(AV365=0,AW365=0,AX365=0),0,IF(AND(AV365=0,AW365=0),AX365/1,IF(AND(AV365=0,AX365=0),AW365/1,IF(AND(AW365=0,AX365=0),AV365/1,IF(AV365=0,FLOOR((AW365+AX365)/2,0.1),IF(AW365=0,(AV365+AX365)/2,IF(AX365=0,(AW365+AV365)/2,FLOOR(((AV365+AW365+AX365)/3),0.1))))))))</f>
        <v/>
      </c>
      <c r="AZ365" s="21" t="n"/>
      <c r="BA365" s="21" t="n"/>
      <c r="BB365" s="27">
        <f>SUM(AZ365:BA365)</f>
        <v/>
      </c>
      <c r="BC365" s="28" t="n"/>
      <c r="BD365" s="28" t="n"/>
      <c r="BE365" s="29">
        <f>IF(AND(BB365=0,BC365=0,BD365=0),0,IF(AND(BB365=0,BC365=0),BD365/1,IF(AND(BB365=0,BD365=0),BC365/1,IF(AND(BC365=0,BD365=0),BB365/1,IF(BB365=0,FLOOR((BC365+BD365)/2,0.1),IF(BC365=0,(BB365+BD365)/2,IF(BD365=0,(BC365+BB365)/2,FLOOR(((BB365+BC365+BD365)/3),0.1))))))))</f>
        <v/>
      </c>
      <c r="BF365" s="21" t="n"/>
      <c r="BG365" s="21" t="n"/>
      <c r="BH365" s="27">
        <f>SUM(BF365:BG365)</f>
        <v/>
      </c>
      <c r="BI365" s="28" t="n"/>
      <c r="BJ365" s="28" t="n"/>
      <c r="BK365" s="29">
        <f>IF(AND(BH365=0,BI365=0,BJ365=0),0,IF(AND(BH365=0,BI365=0),BJ365/1,IF(AND(BH365=0,BJ365=0),BI365/1,IF(AND(BI365=0,BJ365=0),BH365/1,IF(BH365=0,FLOOR((BI365+BJ365)/2,0.1),IF(BI365=0,(BH365+BJ365)/2,IF(BJ365=0,(BI365+BH365)/2,FLOOR(((BH365+BI365+BJ365)/3),0.1))))))))</f>
        <v/>
      </c>
      <c r="BL365" s="21" t="n"/>
      <c r="BM365" s="21" t="n"/>
      <c r="BN365" s="27">
        <f>SUM(BL365:BM365)</f>
        <v/>
      </c>
      <c r="BO365" s="28" t="n"/>
      <c r="BP365" s="31" t="n"/>
      <c r="BQ365" s="29">
        <f>IF(AND(BN365=0,BO365=0,BP365=0),0,IF(AND(BN365=0,BO365=0),BP365/1,IF(AND(BN365=0,BP365=0),BO365/1,IF(AND(BO365=0,BP365=0),BN365/1,IF(BN365=0,FLOOR((BO365+BP365)/2,0.1),IF(BO365=0,(BN365+BP365)/2,IF(BP365=0,(BO365+BN365)/2,FLOOR(((BN365+BO365+BP365)/3),0.1))))))))</f>
        <v/>
      </c>
      <c r="BR365" s="21" t="n"/>
      <c r="BS365" s="21" t="n"/>
      <c r="BT365" s="27">
        <f>SUM(BR365:BS365)</f>
        <v/>
      </c>
      <c r="BU365" s="28" t="n"/>
      <c r="BV365" s="31" t="n"/>
      <c r="BW365" s="29">
        <f>IF(AND(BT365=0,BU365=0,BV365=0),0,IF(AND(BT365=0,BU365=0),BV365/1,IF(AND(BT365=0,BV365=0),BU365/1,IF(AND(BU365=0,BV365=0),BT365/1,IF(BT365=0,FLOOR((BU365+BV365)/2,0.1),IF(BU365=0,(BT365+BV365)/2,IF(BV365=0,(BU365+BT365)/2,FLOOR(((BT365+BU365+BV365)/3),0.1))))))))</f>
        <v/>
      </c>
      <c r="BX365" s="21" t="n"/>
      <c r="BY365" s="21" t="n"/>
      <c r="BZ365" s="27">
        <f>SUM(BX365:BY365)</f>
        <v/>
      </c>
      <c r="CA365" s="28" t="n"/>
      <c r="CB365" s="31" t="n"/>
      <c r="CC365" s="29">
        <f>IF(AND(BZ365=0,CA365=0,CB365=0),0,IF(AND(BZ365=0,CA365=0),CB365/1,IF(AND(BZ365=0,CB365=0),CA365/1,IF(AND(CA365=0,CB365=0),BZ365/1,IF(BZ365=0,FLOOR((CA365+CB365)/2,0.1),IF(CA365=0,(BZ365+CB365)/2,IF(CB365=0,(CA365+BZ365)/2,FLOOR(((BZ365+CA365+CB365)/3),0.1))))))))</f>
        <v/>
      </c>
      <c r="CD365" s="21" t="n"/>
      <c r="CE365" s="21" t="n"/>
      <c r="CF365" s="27">
        <f>SUM(CD365:CE365)</f>
        <v/>
      </c>
      <c r="CG365" s="28" t="n"/>
      <c r="CH365" s="31" t="n"/>
      <c r="CI365" s="29">
        <f>IF(AND(CF365=0,CG365=0,CH365=0),0,IF(AND(CF365=0,CG365=0),CH365/1,IF(AND(CF365=0,CH365=0),CG365/1,IF(AND(CG365=0,CH365=0),CF365/1,IF(CF365=0,FLOOR((CG365+CH365)/2,0.1),IF(CG365=0,(CF365+CH365)/2,IF(CH365=0,(CG365+CF365)/2,FLOOR(((CF365+CG365+CH365)/3),0.1))))))))</f>
        <v/>
      </c>
      <c r="CJ365" s="21" t="n"/>
      <c r="CK365" s="21" t="n"/>
      <c r="CL365" s="27">
        <f>SUM(CJ365:CK365)</f>
        <v/>
      </c>
      <c r="CM365" s="28" t="n"/>
      <c r="CN365" s="31" t="n"/>
      <c r="CO365" s="29">
        <f>IF(AND(CL365=0,CM365=0,CN365=0),0,IF(AND(CL365=0,CM365=0),CN365/1,IF(AND(CL365=0,CN365=0),CM365/1,IF(AND(CM365=0,CN365=0),CL365/1,IF(CL365=0,FLOOR((CM365+CN365)/2,0.1),IF(CM365=0,(CL365+CN365)/2,IF(CN365=0,(CM365+CL365)/2,FLOOR(((CL365+CM365+CN365)/3),0.1))))))))</f>
        <v/>
      </c>
      <c r="CP365" s="21" t="n"/>
      <c r="CQ365" s="21" t="n"/>
      <c r="CR365" s="27">
        <f>SUM(CP365:CQ365)</f>
        <v/>
      </c>
      <c r="CS365" s="28" t="n"/>
      <c r="CT365" s="31" t="n"/>
      <c r="CU365" s="29">
        <f>IF(AND(CR365=0,CS365=0,CT365=0),0,IF(AND(CR365=0,CS365=0),CT365/1,IF(AND(CR365=0,CT365=0),CS365/1,IF(AND(CS365=0,CT365=0),CR365/1,IF(CR365=0,FLOOR((CS365+CT365)/2,0.1),IF(CS365=0,(CR365+CT365)/2,IF(CT365=0,(CS365+CR365)/2,FLOOR(((CR365+CS365+CT365)/3),0.1))))))))</f>
        <v/>
      </c>
      <c r="CV365" s="21" t="n"/>
      <c r="CW365" s="21" t="n"/>
      <c r="CX365" s="27">
        <f>SUM(CV365:CW365)</f>
        <v/>
      </c>
      <c r="CY365" s="28" t="n"/>
      <c r="CZ365" s="31" t="n"/>
      <c r="DA365" s="29">
        <f>IF(AND(CX365=0,CY365=0,CZ365=0),0,IF(AND(CX365=0,CY365=0),CZ365/1,IF(AND(CX365=0,CZ365=0),CY365/1,IF(AND(CY365=0,CZ365=0),CX365/1,IF(CX365=0,FLOOR((CY365+CZ365)/2,0.1),IF(CY365=0,(CX365+CZ365)/2,IF(CZ365=0,(CY365+CX365)/2,FLOOR(((CX365+CY365+CZ365)/3),0.1))))))))</f>
        <v/>
      </c>
      <c r="DB365" s="21" t="n"/>
      <c r="DC365" s="21" t="n"/>
      <c r="DD365" s="27">
        <f>SUM(DB365:DC365)</f>
        <v/>
      </c>
      <c r="DE365" s="28" t="n"/>
      <c r="DF365" s="31" t="n"/>
      <c r="DG365" s="29">
        <f>IF(AND(DD365=0,DE365=0,DF365=0),0,IF(AND(DD365=0,DE365=0),DF365/1,IF(AND(DD365=0,DF365=0),DE365/1,IF(AND(DE365=0,DF365=0),DD365/1,IF(DD365=0,FLOOR((DE365+DF365)/2,0.1),IF(DE365=0,(DD365+DF365)/2,IF(DF365=0,(DE365+DD365)/2,FLOOR(((DD365+DE365+DF365)/3),0.1))))))))</f>
        <v/>
      </c>
      <c r="DH365" s="34">
        <f>SUM(O365,U365,AA365,AG365,AM365,AS365,AY365,BE365,BK365,BQ365,BW365,CC365,CI365,CO365,CU365,DA365,DG365)</f>
        <v/>
      </c>
      <c r="DI365" s="39">
        <f>RANK(DH365,DH$4:DH$503)</f>
        <v/>
      </c>
      <c r="DJ365" s="40" t="inlineStr">
        <is>
          <t>CHOOSE RATING</t>
        </is>
      </c>
      <c r="DK365" s="40" t="inlineStr">
        <is>
          <t>CHOOSE RATING</t>
        </is>
      </c>
      <c r="DL365" s="40" t="inlineStr">
        <is>
          <t>CHOOSE RATING</t>
        </is>
      </c>
      <c r="DM365" s="40" t="inlineStr">
        <is>
          <t>CHOOSE RATING</t>
        </is>
      </c>
      <c r="DN365" s="40" t="inlineStr">
        <is>
          <t>CHOOSE RATING</t>
        </is>
      </c>
      <c r="DO365" s="40" t="inlineStr">
        <is>
          <t>CHOOSE RATING</t>
        </is>
      </c>
      <c r="DP365" s="40" t="inlineStr">
        <is>
          <t>CHOOSE RATING</t>
        </is>
      </c>
      <c r="DQ365" s="40" t="inlineStr">
        <is>
          <t>CHOOSE RATING</t>
        </is>
      </c>
      <c r="DR365" s="43" t="inlineStr">
        <is>
          <t>2024/2025</t>
        </is>
      </c>
      <c r="DS365" s="45" t="inlineStr">
        <is>
          <t>THIRD</t>
        </is>
      </c>
      <c r="DT365" s="40" t="inlineStr">
        <is>
          <t>CHOOSE RATING</t>
        </is>
      </c>
      <c r="DU365" s="40" t="inlineStr">
        <is>
          <t>CHOOSE RATING</t>
        </is>
      </c>
      <c r="DV365" s="40" t="inlineStr">
        <is>
          <t>CHOOSE RATING</t>
        </is>
      </c>
      <c r="DW365" s="40" t="inlineStr">
        <is>
          <t>CHOOSE RATING</t>
        </is>
      </c>
      <c r="DX365" s="40" t="inlineStr">
        <is>
          <t>CHOOSE RATING</t>
        </is>
      </c>
      <c r="DY365" s="40" t="inlineStr">
        <is>
          <t>CHOOSE RATING</t>
        </is>
      </c>
      <c r="DZ365" s="53" t="inlineStr">
        <is>
          <t>CHOOSE RATING</t>
        </is>
      </c>
      <c r="EA365" s="54" t="inlineStr">
        <is>
          <t>Add the Tutor's Comment . . .</t>
        </is>
      </c>
      <c r="EB365" s="55" t="inlineStr">
        <is>
          <t>Choose Principals comment</t>
        </is>
      </c>
      <c r="EC365" s="56" t="n"/>
      <c r="ED365" s="57" t="inlineStr">
        <is>
          <t>Next Term Begins on Monday, 22nd September, 2025</t>
        </is>
      </c>
    </row>
    <row r="366" ht="30.6" customHeight="1" s="6">
      <c r="A366" s="18" t="n">
        <v>363</v>
      </c>
      <c r="B366" s="19" t="n"/>
      <c r="C366" s="20" t="n"/>
      <c r="D366" s="128" t="n"/>
      <c r="E366" s="21" t="n"/>
      <c r="F366" s="22" t="n"/>
      <c r="G366" s="22" t="n"/>
      <c r="H366" s="22" t="n"/>
      <c r="I366" s="26">
        <f>G366-H366</f>
        <v/>
      </c>
      <c r="J366" s="21" t="n"/>
      <c r="K366" s="21" t="n"/>
      <c r="L366" s="27">
        <f>SUM(J366:K366)</f>
        <v/>
      </c>
      <c r="M366" s="28" t="n"/>
      <c r="N366" s="28" t="n"/>
      <c r="O366" s="29">
        <f>IF(AND(L366=0,M366=0,N366=0),0,IF(AND(L366=0,M366=0),N366/1,IF(AND(L366=0,N366=0),M366/1,IF(AND(M366=0,N366=0),L366/1,IF(L366=0,FLOOR((M366+N366)/2,0.1),IF(M366=0,(L366+N366)/2,IF(N366=0,(M366+L366)/2,FLOOR(((L366+M366+N366)/3),0.1))))))))</f>
        <v/>
      </c>
      <c r="P366" s="21" t="n"/>
      <c r="Q366" s="21" t="n"/>
      <c r="R366" s="27">
        <f>SUM(P366:Q366)</f>
        <v/>
      </c>
      <c r="S366" s="28" t="n"/>
      <c r="T366" s="28" t="n"/>
      <c r="U366" s="29">
        <f>IF(AND(R366=0,S366=0,T366=0),0,IF(AND(R366=0,S366=0),T366/1,IF(AND(R366=0,T366=0),S366/1,IF(AND(S366=0,T366=0),R366/1,IF(R366=0,FLOOR((S366+T366)/2,0.1),IF(S366=0,(R366+T366)/2,IF(T366=0,(S366+R366)/2,FLOOR(((R366+S366+T366)/3),0.1))))))))</f>
        <v/>
      </c>
      <c r="V366" s="21" t="n"/>
      <c r="W366" s="21" t="n"/>
      <c r="X366" s="27">
        <f>SUM(V366:W366)</f>
        <v/>
      </c>
      <c r="Y366" s="28" t="n"/>
      <c r="Z366" s="28" t="n"/>
      <c r="AA366" s="29">
        <f>IF(AND(X366=0,Y366=0,Z366=0),0,IF(AND(X366=0,Y366=0),Z366/1,IF(AND(X366=0,Z366=0),Y366/1,IF(AND(Y366=0,Z366=0),X366/1,IF(X366=0,FLOOR((Y366+Z366)/2,0.1),IF(Y366=0,(X366+Z366)/2,IF(Z366=0,(Y366+X366)/2,FLOOR(((X366+Y366+Z366)/3),0.1))))))))</f>
        <v/>
      </c>
      <c r="AB366" s="21" t="n"/>
      <c r="AC366" s="21" t="n"/>
      <c r="AD366" s="27">
        <f>SUM(AB366:AC366)</f>
        <v/>
      </c>
      <c r="AE366" s="28" t="n"/>
      <c r="AF366" s="28" t="n"/>
      <c r="AG366" s="29">
        <f>IF(AND(AD366=0,AE366=0,AF366=0),0,IF(AND(AD366=0,AE366=0),AF366/1,IF(AND(AD366=0,AF366=0),AE366/1,IF(AND(AE366=0,AF366=0),AD366/1,IF(AD366=0,FLOOR((AE366+AF366)/2,0.1),IF(AE366=0,(AD366+AF366)/2,IF(AF366=0,(AE366+AD366)/2,FLOOR(((AD366+AE366+AF366)/3),0.1))))))))</f>
        <v/>
      </c>
      <c r="AH366" s="21" t="n"/>
      <c r="AI366" s="21" t="n"/>
      <c r="AJ366" s="27">
        <f>SUM(AH366:AI366)</f>
        <v/>
      </c>
      <c r="AK366" s="28" t="n"/>
      <c r="AL366" s="28" t="n"/>
      <c r="AM366" s="29">
        <f>IF(AND(AJ366=0,AK366=0,AL366=0),0,IF(AND(AJ366=0,AK366=0),AL366/1,IF(AND(AJ366=0,AL366=0),AK366/1,IF(AND(AK366=0,AL366=0),AJ366/1,IF(AJ366=0,FLOOR((AK366+AL366)/2,0.1),IF(AK366=0,(AJ366+AL366)/2,IF(AL366=0,(AK366+AJ366)/2,FLOOR(((AJ366+AK366+AL366)/3),0.1))))))))</f>
        <v/>
      </c>
      <c r="AN366" s="21" t="n"/>
      <c r="AO366" s="21" t="n"/>
      <c r="AP366" s="27">
        <f>SUM(AN366:AO366)</f>
        <v/>
      </c>
      <c r="AQ366" s="28" t="n"/>
      <c r="AR366" s="30" t="n"/>
      <c r="AS366" s="29">
        <f>IF(AND(AP366=0,AQ366=0,AR366=0),0,IF(AND(AP366=0,AQ366=0),AR366/1,IF(AND(AP366=0,AR366=0),AQ366/1,IF(AND(AQ366=0,AR366=0),AP366/1,IF(AP366=0,FLOOR((AQ366+AR366)/2,0.1),IF(AQ366=0,(AP366+AR366)/2,IF(AR366=0,(AQ366+AP366)/2,FLOOR(((AP366+AQ366+AR366)/3),0.1))))))))</f>
        <v/>
      </c>
      <c r="AT366" s="21" t="n"/>
      <c r="AU366" s="21" t="n"/>
      <c r="AV366" s="27">
        <f>SUM(AT366:AU366)</f>
        <v/>
      </c>
      <c r="AW366" s="28" t="n"/>
      <c r="AX366" s="30" t="n"/>
      <c r="AY366" s="29">
        <f>IF(AND(AV366=0,AW366=0,AX366=0),0,IF(AND(AV366=0,AW366=0),AX366/1,IF(AND(AV366=0,AX366=0),AW366/1,IF(AND(AW366=0,AX366=0),AV366/1,IF(AV366=0,FLOOR((AW366+AX366)/2,0.1),IF(AW366=0,(AV366+AX366)/2,IF(AX366=0,(AW366+AV366)/2,FLOOR(((AV366+AW366+AX366)/3),0.1))))))))</f>
        <v/>
      </c>
      <c r="AZ366" s="21" t="n"/>
      <c r="BA366" s="21" t="n"/>
      <c r="BB366" s="27">
        <f>SUM(AZ366:BA366)</f>
        <v/>
      </c>
      <c r="BC366" s="28" t="n"/>
      <c r="BD366" s="28" t="n"/>
      <c r="BE366" s="29">
        <f>IF(AND(BB366=0,BC366=0,BD366=0),0,IF(AND(BB366=0,BC366=0),BD366/1,IF(AND(BB366=0,BD366=0),BC366/1,IF(AND(BC366=0,BD366=0),BB366/1,IF(BB366=0,FLOOR((BC366+BD366)/2,0.1),IF(BC366=0,(BB366+BD366)/2,IF(BD366=0,(BC366+BB366)/2,FLOOR(((BB366+BC366+BD366)/3),0.1))))))))</f>
        <v/>
      </c>
      <c r="BF366" s="21" t="n"/>
      <c r="BG366" s="21" t="n"/>
      <c r="BH366" s="27">
        <f>SUM(BF366:BG366)</f>
        <v/>
      </c>
      <c r="BI366" s="28" t="n"/>
      <c r="BJ366" s="28" t="n"/>
      <c r="BK366" s="29">
        <f>IF(AND(BH366=0,BI366=0,BJ366=0),0,IF(AND(BH366=0,BI366=0),BJ366/1,IF(AND(BH366=0,BJ366=0),BI366/1,IF(AND(BI366=0,BJ366=0),BH366/1,IF(BH366=0,FLOOR((BI366+BJ366)/2,0.1),IF(BI366=0,(BH366+BJ366)/2,IF(BJ366=0,(BI366+BH366)/2,FLOOR(((BH366+BI366+BJ366)/3),0.1))))))))</f>
        <v/>
      </c>
      <c r="BL366" s="21" t="n"/>
      <c r="BM366" s="21" t="n"/>
      <c r="BN366" s="27">
        <f>SUM(BL366:BM366)</f>
        <v/>
      </c>
      <c r="BO366" s="28" t="n"/>
      <c r="BP366" s="31" t="n"/>
      <c r="BQ366" s="29">
        <f>IF(AND(BN366=0,BO366=0,BP366=0),0,IF(AND(BN366=0,BO366=0),BP366/1,IF(AND(BN366=0,BP366=0),BO366/1,IF(AND(BO366=0,BP366=0),BN366/1,IF(BN366=0,FLOOR((BO366+BP366)/2,0.1),IF(BO366=0,(BN366+BP366)/2,IF(BP366=0,(BO366+BN366)/2,FLOOR(((BN366+BO366+BP366)/3),0.1))))))))</f>
        <v/>
      </c>
      <c r="BR366" s="21" t="n"/>
      <c r="BS366" s="21" t="n"/>
      <c r="BT366" s="27">
        <f>SUM(BR366:BS366)</f>
        <v/>
      </c>
      <c r="BU366" s="28" t="n"/>
      <c r="BV366" s="31" t="n"/>
      <c r="BW366" s="29">
        <f>IF(AND(BT366=0,BU366=0,BV366=0),0,IF(AND(BT366=0,BU366=0),BV366/1,IF(AND(BT366=0,BV366=0),BU366/1,IF(AND(BU366=0,BV366=0),BT366/1,IF(BT366=0,FLOOR((BU366+BV366)/2,0.1),IF(BU366=0,(BT366+BV366)/2,IF(BV366=0,(BU366+BT366)/2,FLOOR(((BT366+BU366+BV366)/3),0.1))))))))</f>
        <v/>
      </c>
      <c r="BX366" s="21" t="n"/>
      <c r="BY366" s="21" t="n"/>
      <c r="BZ366" s="27">
        <f>SUM(BX366:BY366)</f>
        <v/>
      </c>
      <c r="CA366" s="28" t="n"/>
      <c r="CB366" s="31" t="n"/>
      <c r="CC366" s="29">
        <f>IF(AND(BZ366=0,CA366=0,CB366=0),0,IF(AND(BZ366=0,CA366=0),CB366/1,IF(AND(BZ366=0,CB366=0),CA366/1,IF(AND(CA366=0,CB366=0),BZ366/1,IF(BZ366=0,FLOOR((CA366+CB366)/2,0.1),IF(CA366=0,(BZ366+CB366)/2,IF(CB366=0,(CA366+BZ366)/2,FLOOR(((BZ366+CA366+CB366)/3),0.1))))))))</f>
        <v/>
      </c>
      <c r="CD366" s="21" t="n"/>
      <c r="CE366" s="21" t="n"/>
      <c r="CF366" s="27">
        <f>SUM(CD366:CE366)</f>
        <v/>
      </c>
      <c r="CG366" s="28" t="n"/>
      <c r="CH366" s="31" t="n"/>
      <c r="CI366" s="29">
        <f>IF(AND(CF366=0,CG366=0,CH366=0),0,IF(AND(CF366=0,CG366=0),CH366/1,IF(AND(CF366=0,CH366=0),CG366/1,IF(AND(CG366=0,CH366=0),CF366/1,IF(CF366=0,FLOOR((CG366+CH366)/2,0.1),IF(CG366=0,(CF366+CH366)/2,IF(CH366=0,(CG366+CF366)/2,FLOOR(((CF366+CG366+CH366)/3),0.1))))))))</f>
        <v/>
      </c>
      <c r="CJ366" s="21" t="n"/>
      <c r="CK366" s="21" t="n"/>
      <c r="CL366" s="27">
        <f>SUM(CJ366:CK366)</f>
        <v/>
      </c>
      <c r="CM366" s="28" t="n"/>
      <c r="CN366" s="31" t="n"/>
      <c r="CO366" s="29">
        <f>IF(AND(CL366=0,CM366=0,CN366=0),0,IF(AND(CL366=0,CM366=0),CN366/1,IF(AND(CL366=0,CN366=0),CM366/1,IF(AND(CM366=0,CN366=0),CL366/1,IF(CL366=0,FLOOR((CM366+CN366)/2,0.1),IF(CM366=0,(CL366+CN366)/2,IF(CN366=0,(CM366+CL366)/2,FLOOR(((CL366+CM366+CN366)/3),0.1))))))))</f>
        <v/>
      </c>
      <c r="CP366" s="21" t="n"/>
      <c r="CQ366" s="21" t="n"/>
      <c r="CR366" s="27">
        <f>SUM(CP366:CQ366)</f>
        <v/>
      </c>
      <c r="CS366" s="28" t="n"/>
      <c r="CT366" s="31" t="n"/>
      <c r="CU366" s="29">
        <f>IF(AND(CR366=0,CS366=0,CT366=0),0,IF(AND(CR366=0,CS366=0),CT366/1,IF(AND(CR366=0,CT366=0),CS366/1,IF(AND(CS366=0,CT366=0),CR366/1,IF(CR366=0,FLOOR((CS366+CT366)/2,0.1),IF(CS366=0,(CR366+CT366)/2,IF(CT366=0,(CS366+CR366)/2,FLOOR(((CR366+CS366+CT366)/3),0.1))))))))</f>
        <v/>
      </c>
      <c r="CV366" s="21" t="n"/>
      <c r="CW366" s="21" t="n"/>
      <c r="CX366" s="27">
        <f>SUM(CV366:CW366)</f>
        <v/>
      </c>
      <c r="CY366" s="28" t="n"/>
      <c r="CZ366" s="31" t="n"/>
      <c r="DA366" s="29">
        <f>IF(AND(CX366=0,CY366=0,CZ366=0),0,IF(AND(CX366=0,CY366=0),CZ366/1,IF(AND(CX366=0,CZ366=0),CY366/1,IF(AND(CY366=0,CZ366=0),CX366/1,IF(CX366=0,FLOOR((CY366+CZ366)/2,0.1),IF(CY366=0,(CX366+CZ366)/2,IF(CZ366=0,(CY366+CX366)/2,FLOOR(((CX366+CY366+CZ366)/3),0.1))))))))</f>
        <v/>
      </c>
      <c r="DB366" s="21" t="n"/>
      <c r="DC366" s="21" t="n"/>
      <c r="DD366" s="27">
        <f>SUM(DB366:DC366)</f>
        <v/>
      </c>
      <c r="DE366" s="28" t="n"/>
      <c r="DF366" s="31" t="n"/>
      <c r="DG366" s="29">
        <f>IF(AND(DD366=0,DE366=0,DF366=0),0,IF(AND(DD366=0,DE366=0),DF366/1,IF(AND(DD366=0,DF366=0),DE366/1,IF(AND(DE366=0,DF366=0),DD366/1,IF(DD366=0,FLOOR((DE366+DF366)/2,0.1),IF(DE366=0,(DD366+DF366)/2,IF(DF366=0,(DE366+DD366)/2,FLOOR(((DD366+DE366+DF366)/3),0.1))))))))</f>
        <v/>
      </c>
      <c r="DH366" s="34">
        <f>SUM(O366,U366,AA366,AG366,AM366,AS366,AY366,BE366,BK366,BQ366,BW366,CC366,CI366,CO366,CU366,DA366,DG366)</f>
        <v/>
      </c>
      <c r="DI366" s="39">
        <f>RANK(DH366,DH$4:DH$503)</f>
        <v/>
      </c>
      <c r="DJ366" s="40" t="inlineStr">
        <is>
          <t>CHOOSE RATING</t>
        </is>
      </c>
      <c r="DK366" s="40" t="inlineStr">
        <is>
          <t>CHOOSE RATING</t>
        </is>
      </c>
      <c r="DL366" s="40" t="inlineStr">
        <is>
          <t>CHOOSE RATING</t>
        </is>
      </c>
      <c r="DM366" s="40" t="inlineStr">
        <is>
          <t>CHOOSE RATING</t>
        </is>
      </c>
      <c r="DN366" s="40" t="inlineStr">
        <is>
          <t>CHOOSE RATING</t>
        </is>
      </c>
      <c r="DO366" s="40" t="inlineStr">
        <is>
          <t>CHOOSE RATING</t>
        </is>
      </c>
      <c r="DP366" s="40" t="inlineStr">
        <is>
          <t>CHOOSE RATING</t>
        </is>
      </c>
      <c r="DQ366" s="40" t="inlineStr">
        <is>
          <t>CHOOSE RATING</t>
        </is>
      </c>
      <c r="DR366" s="43" t="inlineStr">
        <is>
          <t>2024/2025</t>
        </is>
      </c>
      <c r="DS366" s="45" t="inlineStr">
        <is>
          <t>THIRD</t>
        </is>
      </c>
      <c r="DT366" s="40" t="inlineStr">
        <is>
          <t>CHOOSE RATING</t>
        </is>
      </c>
      <c r="DU366" s="40" t="inlineStr">
        <is>
          <t>CHOOSE RATING</t>
        </is>
      </c>
      <c r="DV366" s="40" t="inlineStr">
        <is>
          <t>CHOOSE RATING</t>
        </is>
      </c>
      <c r="DW366" s="40" t="inlineStr">
        <is>
          <t>CHOOSE RATING</t>
        </is>
      </c>
      <c r="DX366" s="40" t="inlineStr">
        <is>
          <t>CHOOSE RATING</t>
        </is>
      </c>
      <c r="DY366" s="40" t="inlineStr">
        <is>
          <t>CHOOSE RATING</t>
        </is>
      </c>
      <c r="DZ366" s="53" t="inlineStr">
        <is>
          <t>CHOOSE RATING</t>
        </is>
      </c>
      <c r="EA366" s="54" t="inlineStr">
        <is>
          <t>Add the Tutor's Comment . . .</t>
        </is>
      </c>
      <c r="EB366" s="55" t="inlineStr">
        <is>
          <t>Choose Principals comment</t>
        </is>
      </c>
      <c r="EC366" s="56" t="n"/>
      <c r="ED366" s="57" t="inlineStr">
        <is>
          <t>Next Term Begins on Monday, 22nd September, 2025</t>
        </is>
      </c>
    </row>
    <row r="367" ht="30.6" customHeight="1" s="6">
      <c r="A367" s="18" t="n">
        <v>364</v>
      </c>
      <c r="B367" s="19" t="n"/>
      <c r="C367" s="20" t="n"/>
      <c r="D367" s="128" t="n"/>
      <c r="E367" s="21" t="n"/>
      <c r="F367" s="22" t="n"/>
      <c r="G367" s="22" t="n"/>
      <c r="H367" s="22" t="n"/>
      <c r="I367" s="26">
        <f>G367-H367</f>
        <v/>
      </c>
      <c r="J367" s="21" t="n"/>
      <c r="K367" s="21" t="n"/>
      <c r="L367" s="27">
        <f>SUM(J367:K367)</f>
        <v/>
      </c>
      <c r="M367" s="28" t="n"/>
      <c r="N367" s="28" t="n"/>
      <c r="O367" s="29">
        <f>IF(AND(L367=0,M367=0,N367=0),0,IF(AND(L367=0,M367=0),N367/1,IF(AND(L367=0,N367=0),M367/1,IF(AND(M367=0,N367=0),L367/1,IF(L367=0,FLOOR((M367+N367)/2,0.1),IF(M367=0,(L367+N367)/2,IF(N367=0,(M367+L367)/2,FLOOR(((L367+M367+N367)/3),0.1))))))))</f>
        <v/>
      </c>
      <c r="P367" s="21" t="n"/>
      <c r="Q367" s="21" t="n"/>
      <c r="R367" s="27">
        <f>SUM(P367:Q367)</f>
        <v/>
      </c>
      <c r="S367" s="28" t="n"/>
      <c r="T367" s="28" t="n"/>
      <c r="U367" s="29">
        <f>IF(AND(R367=0,S367=0,T367=0),0,IF(AND(R367=0,S367=0),T367/1,IF(AND(R367=0,T367=0),S367/1,IF(AND(S367=0,T367=0),R367/1,IF(R367=0,FLOOR((S367+T367)/2,0.1),IF(S367=0,(R367+T367)/2,IF(T367=0,(S367+R367)/2,FLOOR(((R367+S367+T367)/3),0.1))))))))</f>
        <v/>
      </c>
      <c r="V367" s="21" t="n"/>
      <c r="W367" s="21" t="n"/>
      <c r="X367" s="27">
        <f>SUM(V367:W367)</f>
        <v/>
      </c>
      <c r="Y367" s="28" t="n"/>
      <c r="Z367" s="28" t="n"/>
      <c r="AA367" s="29">
        <f>IF(AND(X367=0,Y367=0,Z367=0),0,IF(AND(X367=0,Y367=0),Z367/1,IF(AND(X367=0,Z367=0),Y367/1,IF(AND(Y367=0,Z367=0),X367/1,IF(X367=0,FLOOR((Y367+Z367)/2,0.1),IF(Y367=0,(X367+Z367)/2,IF(Z367=0,(Y367+X367)/2,FLOOR(((X367+Y367+Z367)/3),0.1))))))))</f>
        <v/>
      </c>
      <c r="AB367" s="21" t="n"/>
      <c r="AC367" s="21" t="n"/>
      <c r="AD367" s="27">
        <f>SUM(AB367:AC367)</f>
        <v/>
      </c>
      <c r="AE367" s="28" t="n"/>
      <c r="AF367" s="28" t="n"/>
      <c r="AG367" s="29">
        <f>IF(AND(AD367=0,AE367=0,AF367=0),0,IF(AND(AD367=0,AE367=0),AF367/1,IF(AND(AD367=0,AF367=0),AE367/1,IF(AND(AE367=0,AF367=0),AD367/1,IF(AD367=0,FLOOR((AE367+AF367)/2,0.1),IF(AE367=0,(AD367+AF367)/2,IF(AF367=0,(AE367+AD367)/2,FLOOR(((AD367+AE367+AF367)/3),0.1))))))))</f>
        <v/>
      </c>
      <c r="AH367" s="21" t="n"/>
      <c r="AI367" s="21" t="n"/>
      <c r="AJ367" s="27">
        <f>SUM(AH367:AI367)</f>
        <v/>
      </c>
      <c r="AK367" s="28" t="n"/>
      <c r="AL367" s="28" t="n"/>
      <c r="AM367" s="29">
        <f>IF(AND(AJ367=0,AK367=0,AL367=0),0,IF(AND(AJ367=0,AK367=0),AL367/1,IF(AND(AJ367=0,AL367=0),AK367/1,IF(AND(AK367=0,AL367=0),AJ367/1,IF(AJ367=0,FLOOR((AK367+AL367)/2,0.1),IF(AK367=0,(AJ367+AL367)/2,IF(AL367=0,(AK367+AJ367)/2,FLOOR(((AJ367+AK367+AL367)/3),0.1))))))))</f>
        <v/>
      </c>
      <c r="AN367" s="21" t="n"/>
      <c r="AO367" s="21" t="n"/>
      <c r="AP367" s="27">
        <f>SUM(AN367:AO367)</f>
        <v/>
      </c>
      <c r="AQ367" s="28" t="n"/>
      <c r="AR367" s="30" t="n"/>
      <c r="AS367" s="29">
        <f>IF(AND(AP367=0,AQ367=0,AR367=0),0,IF(AND(AP367=0,AQ367=0),AR367/1,IF(AND(AP367=0,AR367=0),AQ367/1,IF(AND(AQ367=0,AR367=0),AP367/1,IF(AP367=0,FLOOR((AQ367+AR367)/2,0.1),IF(AQ367=0,(AP367+AR367)/2,IF(AR367=0,(AQ367+AP367)/2,FLOOR(((AP367+AQ367+AR367)/3),0.1))))))))</f>
        <v/>
      </c>
      <c r="AT367" s="21" t="n"/>
      <c r="AU367" s="21" t="n"/>
      <c r="AV367" s="27">
        <f>SUM(AT367:AU367)</f>
        <v/>
      </c>
      <c r="AW367" s="28" t="n"/>
      <c r="AX367" s="30" t="n"/>
      <c r="AY367" s="29">
        <f>IF(AND(AV367=0,AW367=0,AX367=0),0,IF(AND(AV367=0,AW367=0),AX367/1,IF(AND(AV367=0,AX367=0),AW367/1,IF(AND(AW367=0,AX367=0),AV367/1,IF(AV367=0,FLOOR((AW367+AX367)/2,0.1),IF(AW367=0,(AV367+AX367)/2,IF(AX367=0,(AW367+AV367)/2,FLOOR(((AV367+AW367+AX367)/3),0.1))))))))</f>
        <v/>
      </c>
      <c r="AZ367" s="21" t="n"/>
      <c r="BA367" s="21" t="n"/>
      <c r="BB367" s="27">
        <f>SUM(AZ367:BA367)</f>
        <v/>
      </c>
      <c r="BC367" s="28" t="n"/>
      <c r="BD367" s="28" t="n"/>
      <c r="BE367" s="29">
        <f>IF(AND(BB367=0,BC367=0,BD367=0),0,IF(AND(BB367=0,BC367=0),BD367/1,IF(AND(BB367=0,BD367=0),BC367/1,IF(AND(BC367=0,BD367=0),BB367/1,IF(BB367=0,FLOOR((BC367+BD367)/2,0.1),IF(BC367=0,(BB367+BD367)/2,IF(BD367=0,(BC367+BB367)/2,FLOOR(((BB367+BC367+BD367)/3),0.1))))))))</f>
        <v/>
      </c>
      <c r="BF367" s="21" t="n"/>
      <c r="BG367" s="21" t="n"/>
      <c r="BH367" s="27">
        <f>SUM(BF367:BG367)</f>
        <v/>
      </c>
      <c r="BI367" s="28" t="n"/>
      <c r="BJ367" s="28" t="n"/>
      <c r="BK367" s="29">
        <f>IF(AND(BH367=0,BI367=0,BJ367=0),0,IF(AND(BH367=0,BI367=0),BJ367/1,IF(AND(BH367=0,BJ367=0),BI367/1,IF(AND(BI367=0,BJ367=0),BH367/1,IF(BH367=0,FLOOR((BI367+BJ367)/2,0.1),IF(BI367=0,(BH367+BJ367)/2,IF(BJ367=0,(BI367+BH367)/2,FLOOR(((BH367+BI367+BJ367)/3),0.1))))))))</f>
        <v/>
      </c>
      <c r="BL367" s="21" t="n"/>
      <c r="BM367" s="21" t="n"/>
      <c r="BN367" s="27">
        <f>SUM(BL367:BM367)</f>
        <v/>
      </c>
      <c r="BO367" s="28" t="n"/>
      <c r="BP367" s="31" t="n"/>
      <c r="BQ367" s="29">
        <f>IF(AND(BN367=0,BO367=0,BP367=0),0,IF(AND(BN367=0,BO367=0),BP367/1,IF(AND(BN367=0,BP367=0),BO367/1,IF(AND(BO367=0,BP367=0),BN367/1,IF(BN367=0,FLOOR((BO367+BP367)/2,0.1),IF(BO367=0,(BN367+BP367)/2,IF(BP367=0,(BO367+BN367)/2,FLOOR(((BN367+BO367+BP367)/3),0.1))))))))</f>
        <v/>
      </c>
      <c r="BR367" s="21" t="n"/>
      <c r="BS367" s="21" t="n"/>
      <c r="BT367" s="27">
        <f>SUM(BR367:BS367)</f>
        <v/>
      </c>
      <c r="BU367" s="28" t="n"/>
      <c r="BV367" s="31" t="n"/>
      <c r="BW367" s="29">
        <f>IF(AND(BT367=0,BU367=0,BV367=0),0,IF(AND(BT367=0,BU367=0),BV367/1,IF(AND(BT367=0,BV367=0),BU367/1,IF(AND(BU367=0,BV367=0),BT367/1,IF(BT367=0,FLOOR((BU367+BV367)/2,0.1),IF(BU367=0,(BT367+BV367)/2,IF(BV367=0,(BU367+BT367)/2,FLOOR(((BT367+BU367+BV367)/3),0.1))))))))</f>
        <v/>
      </c>
      <c r="BX367" s="21" t="n"/>
      <c r="BY367" s="21" t="n"/>
      <c r="BZ367" s="27">
        <f>SUM(BX367:BY367)</f>
        <v/>
      </c>
      <c r="CA367" s="28" t="n"/>
      <c r="CB367" s="31" t="n"/>
      <c r="CC367" s="29">
        <f>IF(AND(BZ367=0,CA367=0,CB367=0),0,IF(AND(BZ367=0,CA367=0),CB367/1,IF(AND(BZ367=0,CB367=0),CA367/1,IF(AND(CA367=0,CB367=0),BZ367/1,IF(BZ367=0,FLOOR((CA367+CB367)/2,0.1),IF(CA367=0,(BZ367+CB367)/2,IF(CB367=0,(CA367+BZ367)/2,FLOOR(((BZ367+CA367+CB367)/3),0.1))))))))</f>
        <v/>
      </c>
      <c r="CD367" s="21" t="n"/>
      <c r="CE367" s="21" t="n"/>
      <c r="CF367" s="27">
        <f>SUM(CD367:CE367)</f>
        <v/>
      </c>
      <c r="CG367" s="28" t="n"/>
      <c r="CH367" s="31" t="n"/>
      <c r="CI367" s="29">
        <f>IF(AND(CF367=0,CG367=0,CH367=0),0,IF(AND(CF367=0,CG367=0),CH367/1,IF(AND(CF367=0,CH367=0),CG367/1,IF(AND(CG367=0,CH367=0),CF367/1,IF(CF367=0,FLOOR((CG367+CH367)/2,0.1),IF(CG367=0,(CF367+CH367)/2,IF(CH367=0,(CG367+CF367)/2,FLOOR(((CF367+CG367+CH367)/3),0.1))))))))</f>
        <v/>
      </c>
      <c r="CJ367" s="21" t="n"/>
      <c r="CK367" s="21" t="n"/>
      <c r="CL367" s="27">
        <f>SUM(CJ367:CK367)</f>
        <v/>
      </c>
      <c r="CM367" s="28" t="n"/>
      <c r="CN367" s="31" t="n"/>
      <c r="CO367" s="29">
        <f>IF(AND(CL367=0,CM367=0,CN367=0),0,IF(AND(CL367=0,CM367=0),CN367/1,IF(AND(CL367=0,CN367=0),CM367/1,IF(AND(CM367=0,CN367=0),CL367/1,IF(CL367=0,FLOOR((CM367+CN367)/2,0.1),IF(CM367=0,(CL367+CN367)/2,IF(CN367=0,(CM367+CL367)/2,FLOOR(((CL367+CM367+CN367)/3),0.1))))))))</f>
        <v/>
      </c>
      <c r="CP367" s="21" t="n"/>
      <c r="CQ367" s="21" t="n"/>
      <c r="CR367" s="27">
        <f>SUM(CP367:CQ367)</f>
        <v/>
      </c>
      <c r="CS367" s="28" t="n"/>
      <c r="CT367" s="31" t="n"/>
      <c r="CU367" s="29">
        <f>IF(AND(CR367=0,CS367=0,CT367=0),0,IF(AND(CR367=0,CS367=0),CT367/1,IF(AND(CR367=0,CT367=0),CS367/1,IF(AND(CS367=0,CT367=0),CR367/1,IF(CR367=0,FLOOR((CS367+CT367)/2,0.1),IF(CS367=0,(CR367+CT367)/2,IF(CT367=0,(CS367+CR367)/2,FLOOR(((CR367+CS367+CT367)/3),0.1))))))))</f>
        <v/>
      </c>
      <c r="CV367" s="21" t="n"/>
      <c r="CW367" s="21" t="n"/>
      <c r="CX367" s="27">
        <f>SUM(CV367:CW367)</f>
        <v/>
      </c>
      <c r="CY367" s="28" t="n"/>
      <c r="CZ367" s="31" t="n"/>
      <c r="DA367" s="29">
        <f>IF(AND(CX367=0,CY367=0,CZ367=0),0,IF(AND(CX367=0,CY367=0),CZ367/1,IF(AND(CX367=0,CZ367=0),CY367/1,IF(AND(CY367=0,CZ367=0),CX367/1,IF(CX367=0,FLOOR((CY367+CZ367)/2,0.1),IF(CY367=0,(CX367+CZ367)/2,IF(CZ367=0,(CY367+CX367)/2,FLOOR(((CX367+CY367+CZ367)/3),0.1))))))))</f>
        <v/>
      </c>
      <c r="DB367" s="21" t="n"/>
      <c r="DC367" s="21" t="n"/>
      <c r="DD367" s="27">
        <f>SUM(DB367:DC367)</f>
        <v/>
      </c>
      <c r="DE367" s="28" t="n"/>
      <c r="DF367" s="31" t="n"/>
      <c r="DG367" s="29">
        <f>IF(AND(DD367=0,DE367=0,DF367=0),0,IF(AND(DD367=0,DE367=0),DF367/1,IF(AND(DD367=0,DF367=0),DE367/1,IF(AND(DE367=0,DF367=0),DD367/1,IF(DD367=0,FLOOR((DE367+DF367)/2,0.1),IF(DE367=0,(DD367+DF367)/2,IF(DF367=0,(DE367+DD367)/2,FLOOR(((DD367+DE367+DF367)/3),0.1))))))))</f>
        <v/>
      </c>
      <c r="DH367" s="34">
        <f>SUM(O367,U367,AA367,AG367,AM367,AS367,AY367,BE367,BK367,BQ367,BW367,CC367,CI367,CO367,CU367,DA367,DG367)</f>
        <v/>
      </c>
      <c r="DI367" s="39">
        <f>RANK(DH367,DH$4:DH$503)</f>
        <v/>
      </c>
      <c r="DJ367" s="40" t="inlineStr">
        <is>
          <t>CHOOSE RATING</t>
        </is>
      </c>
      <c r="DK367" s="40" t="inlineStr">
        <is>
          <t>CHOOSE RATING</t>
        </is>
      </c>
      <c r="DL367" s="40" t="inlineStr">
        <is>
          <t>CHOOSE RATING</t>
        </is>
      </c>
      <c r="DM367" s="40" t="inlineStr">
        <is>
          <t>CHOOSE RATING</t>
        </is>
      </c>
      <c r="DN367" s="40" t="inlineStr">
        <is>
          <t>CHOOSE RATING</t>
        </is>
      </c>
      <c r="DO367" s="40" t="inlineStr">
        <is>
          <t>CHOOSE RATING</t>
        </is>
      </c>
      <c r="DP367" s="40" t="inlineStr">
        <is>
          <t>CHOOSE RATING</t>
        </is>
      </c>
      <c r="DQ367" s="40" t="inlineStr">
        <is>
          <t>CHOOSE RATING</t>
        </is>
      </c>
      <c r="DR367" s="43" t="inlineStr">
        <is>
          <t>2024/2025</t>
        </is>
      </c>
      <c r="DS367" s="45" t="inlineStr">
        <is>
          <t>THIRD</t>
        </is>
      </c>
      <c r="DT367" s="40" t="inlineStr">
        <is>
          <t>CHOOSE RATING</t>
        </is>
      </c>
      <c r="DU367" s="40" t="inlineStr">
        <is>
          <t>CHOOSE RATING</t>
        </is>
      </c>
      <c r="DV367" s="40" t="inlineStr">
        <is>
          <t>CHOOSE RATING</t>
        </is>
      </c>
      <c r="DW367" s="40" t="inlineStr">
        <is>
          <t>CHOOSE RATING</t>
        </is>
      </c>
      <c r="DX367" s="40" t="inlineStr">
        <is>
          <t>CHOOSE RATING</t>
        </is>
      </c>
      <c r="DY367" s="40" t="inlineStr">
        <is>
          <t>CHOOSE RATING</t>
        </is>
      </c>
      <c r="DZ367" s="53" t="inlineStr">
        <is>
          <t>CHOOSE RATING</t>
        </is>
      </c>
      <c r="EA367" s="54" t="inlineStr">
        <is>
          <t>Add the Tutor's Comment . . .</t>
        </is>
      </c>
      <c r="EB367" s="55" t="inlineStr">
        <is>
          <t>Choose Principals comment</t>
        </is>
      </c>
      <c r="EC367" s="56" t="n"/>
      <c r="ED367" s="57" t="inlineStr">
        <is>
          <t>Next Term Begins on Monday, 22nd September, 2025</t>
        </is>
      </c>
    </row>
    <row r="368" ht="30.6" customHeight="1" s="6">
      <c r="A368" s="18" t="n">
        <v>365</v>
      </c>
      <c r="B368" s="19" t="n"/>
      <c r="C368" s="20" t="n"/>
      <c r="D368" s="128" t="n"/>
      <c r="E368" s="21" t="n"/>
      <c r="F368" s="22" t="n"/>
      <c r="G368" s="22" t="n"/>
      <c r="H368" s="22" t="n"/>
      <c r="I368" s="26">
        <f>G368-H368</f>
        <v/>
      </c>
      <c r="J368" s="21" t="n"/>
      <c r="K368" s="21" t="n"/>
      <c r="L368" s="27">
        <f>SUM(J368:K368)</f>
        <v/>
      </c>
      <c r="M368" s="28" t="n"/>
      <c r="N368" s="28" t="n"/>
      <c r="O368" s="29">
        <f>IF(AND(L368=0,M368=0,N368=0),0,IF(AND(L368=0,M368=0),N368/1,IF(AND(L368=0,N368=0),M368/1,IF(AND(M368=0,N368=0),L368/1,IF(L368=0,FLOOR((M368+N368)/2,0.1),IF(M368=0,(L368+N368)/2,IF(N368=0,(M368+L368)/2,FLOOR(((L368+M368+N368)/3),0.1))))))))</f>
        <v/>
      </c>
      <c r="P368" s="21" t="n"/>
      <c r="Q368" s="21" t="n"/>
      <c r="R368" s="27">
        <f>SUM(P368:Q368)</f>
        <v/>
      </c>
      <c r="S368" s="28" t="n"/>
      <c r="T368" s="28" t="n"/>
      <c r="U368" s="29">
        <f>IF(AND(R368=0,S368=0,T368=0),0,IF(AND(R368=0,S368=0),T368/1,IF(AND(R368=0,T368=0),S368/1,IF(AND(S368=0,T368=0),R368/1,IF(R368=0,FLOOR((S368+T368)/2,0.1),IF(S368=0,(R368+T368)/2,IF(T368=0,(S368+R368)/2,FLOOR(((R368+S368+T368)/3),0.1))))))))</f>
        <v/>
      </c>
      <c r="V368" s="21" t="n"/>
      <c r="W368" s="21" t="n"/>
      <c r="X368" s="27">
        <f>SUM(V368:W368)</f>
        <v/>
      </c>
      <c r="Y368" s="28" t="n"/>
      <c r="Z368" s="28" t="n"/>
      <c r="AA368" s="29">
        <f>IF(AND(X368=0,Y368=0,Z368=0),0,IF(AND(X368=0,Y368=0),Z368/1,IF(AND(X368=0,Z368=0),Y368/1,IF(AND(Y368=0,Z368=0),X368/1,IF(X368=0,FLOOR((Y368+Z368)/2,0.1),IF(Y368=0,(X368+Z368)/2,IF(Z368=0,(Y368+X368)/2,FLOOR(((X368+Y368+Z368)/3),0.1))))))))</f>
        <v/>
      </c>
      <c r="AB368" s="21" t="n"/>
      <c r="AC368" s="21" t="n"/>
      <c r="AD368" s="27">
        <f>SUM(AB368:AC368)</f>
        <v/>
      </c>
      <c r="AE368" s="28" t="n"/>
      <c r="AF368" s="28" t="n"/>
      <c r="AG368" s="29">
        <f>IF(AND(AD368=0,AE368=0,AF368=0),0,IF(AND(AD368=0,AE368=0),AF368/1,IF(AND(AD368=0,AF368=0),AE368/1,IF(AND(AE368=0,AF368=0),AD368/1,IF(AD368=0,FLOOR((AE368+AF368)/2,0.1),IF(AE368=0,(AD368+AF368)/2,IF(AF368=0,(AE368+AD368)/2,FLOOR(((AD368+AE368+AF368)/3),0.1))))))))</f>
        <v/>
      </c>
      <c r="AH368" s="21" t="n"/>
      <c r="AI368" s="21" t="n"/>
      <c r="AJ368" s="27">
        <f>SUM(AH368:AI368)</f>
        <v/>
      </c>
      <c r="AK368" s="28" t="n"/>
      <c r="AL368" s="28" t="n"/>
      <c r="AM368" s="29">
        <f>IF(AND(AJ368=0,AK368=0,AL368=0),0,IF(AND(AJ368=0,AK368=0),AL368/1,IF(AND(AJ368=0,AL368=0),AK368/1,IF(AND(AK368=0,AL368=0),AJ368/1,IF(AJ368=0,FLOOR((AK368+AL368)/2,0.1),IF(AK368=0,(AJ368+AL368)/2,IF(AL368=0,(AK368+AJ368)/2,FLOOR(((AJ368+AK368+AL368)/3),0.1))))))))</f>
        <v/>
      </c>
      <c r="AN368" s="21" t="n"/>
      <c r="AO368" s="21" t="n"/>
      <c r="AP368" s="27">
        <f>SUM(AN368:AO368)</f>
        <v/>
      </c>
      <c r="AQ368" s="28" t="n"/>
      <c r="AR368" s="30" t="n"/>
      <c r="AS368" s="29">
        <f>IF(AND(AP368=0,AQ368=0,AR368=0),0,IF(AND(AP368=0,AQ368=0),AR368/1,IF(AND(AP368=0,AR368=0),AQ368/1,IF(AND(AQ368=0,AR368=0),AP368/1,IF(AP368=0,FLOOR((AQ368+AR368)/2,0.1),IF(AQ368=0,(AP368+AR368)/2,IF(AR368=0,(AQ368+AP368)/2,FLOOR(((AP368+AQ368+AR368)/3),0.1))))))))</f>
        <v/>
      </c>
      <c r="AT368" s="21" t="n"/>
      <c r="AU368" s="21" t="n"/>
      <c r="AV368" s="27">
        <f>SUM(AT368:AU368)</f>
        <v/>
      </c>
      <c r="AW368" s="28" t="n"/>
      <c r="AX368" s="30" t="n"/>
      <c r="AY368" s="29">
        <f>IF(AND(AV368=0,AW368=0,AX368=0),0,IF(AND(AV368=0,AW368=0),AX368/1,IF(AND(AV368=0,AX368=0),AW368/1,IF(AND(AW368=0,AX368=0),AV368/1,IF(AV368=0,FLOOR((AW368+AX368)/2,0.1),IF(AW368=0,(AV368+AX368)/2,IF(AX368=0,(AW368+AV368)/2,FLOOR(((AV368+AW368+AX368)/3),0.1))))))))</f>
        <v/>
      </c>
      <c r="AZ368" s="21" t="n"/>
      <c r="BA368" s="21" t="n"/>
      <c r="BB368" s="27">
        <f>SUM(AZ368:BA368)</f>
        <v/>
      </c>
      <c r="BC368" s="28" t="n"/>
      <c r="BD368" s="28" t="n"/>
      <c r="BE368" s="29">
        <f>IF(AND(BB368=0,BC368=0,BD368=0),0,IF(AND(BB368=0,BC368=0),BD368/1,IF(AND(BB368=0,BD368=0),BC368/1,IF(AND(BC368=0,BD368=0),BB368/1,IF(BB368=0,FLOOR((BC368+BD368)/2,0.1),IF(BC368=0,(BB368+BD368)/2,IF(BD368=0,(BC368+BB368)/2,FLOOR(((BB368+BC368+BD368)/3),0.1))))))))</f>
        <v/>
      </c>
      <c r="BF368" s="21" t="n"/>
      <c r="BG368" s="21" t="n"/>
      <c r="BH368" s="27">
        <f>SUM(BF368:BG368)</f>
        <v/>
      </c>
      <c r="BI368" s="28" t="n"/>
      <c r="BJ368" s="28" t="n"/>
      <c r="BK368" s="29">
        <f>IF(AND(BH368=0,BI368=0,BJ368=0),0,IF(AND(BH368=0,BI368=0),BJ368/1,IF(AND(BH368=0,BJ368=0),BI368/1,IF(AND(BI368=0,BJ368=0),BH368/1,IF(BH368=0,FLOOR((BI368+BJ368)/2,0.1),IF(BI368=0,(BH368+BJ368)/2,IF(BJ368=0,(BI368+BH368)/2,FLOOR(((BH368+BI368+BJ368)/3),0.1))))))))</f>
        <v/>
      </c>
      <c r="BL368" s="21" t="n"/>
      <c r="BM368" s="21" t="n"/>
      <c r="BN368" s="27">
        <f>SUM(BL368:BM368)</f>
        <v/>
      </c>
      <c r="BO368" s="28" t="n"/>
      <c r="BP368" s="31" t="n"/>
      <c r="BQ368" s="29">
        <f>IF(AND(BN368=0,BO368=0,BP368=0),0,IF(AND(BN368=0,BO368=0),BP368/1,IF(AND(BN368=0,BP368=0),BO368/1,IF(AND(BO368=0,BP368=0),BN368/1,IF(BN368=0,FLOOR((BO368+BP368)/2,0.1),IF(BO368=0,(BN368+BP368)/2,IF(BP368=0,(BO368+BN368)/2,FLOOR(((BN368+BO368+BP368)/3),0.1))))))))</f>
        <v/>
      </c>
      <c r="BR368" s="21" t="n"/>
      <c r="BS368" s="21" t="n"/>
      <c r="BT368" s="27">
        <f>SUM(BR368:BS368)</f>
        <v/>
      </c>
      <c r="BU368" s="28" t="n"/>
      <c r="BV368" s="31" t="n"/>
      <c r="BW368" s="29">
        <f>IF(AND(BT368=0,BU368=0,BV368=0),0,IF(AND(BT368=0,BU368=0),BV368/1,IF(AND(BT368=0,BV368=0),BU368/1,IF(AND(BU368=0,BV368=0),BT368/1,IF(BT368=0,FLOOR((BU368+BV368)/2,0.1),IF(BU368=0,(BT368+BV368)/2,IF(BV368=0,(BU368+BT368)/2,FLOOR(((BT368+BU368+BV368)/3),0.1))))))))</f>
        <v/>
      </c>
      <c r="BX368" s="21" t="n"/>
      <c r="BY368" s="21" t="n"/>
      <c r="BZ368" s="27">
        <f>SUM(BX368:BY368)</f>
        <v/>
      </c>
      <c r="CA368" s="28" t="n"/>
      <c r="CB368" s="31" t="n"/>
      <c r="CC368" s="29">
        <f>IF(AND(BZ368=0,CA368=0,CB368=0),0,IF(AND(BZ368=0,CA368=0),CB368/1,IF(AND(BZ368=0,CB368=0),CA368/1,IF(AND(CA368=0,CB368=0),BZ368/1,IF(BZ368=0,FLOOR((CA368+CB368)/2,0.1),IF(CA368=0,(BZ368+CB368)/2,IF(CB368=0,(CA368+BZ368)/2,FLOOR(((BZ368+CA368+CB368)/3),0.1))))))))</f>
        <v/>
      </c>
      <c r="CD368" s="21" t="n"/>
      <c r="CE368" s="21" t="n"/>
      <c r="CF368" s="27">
        <f>SUM(CD368:CE368)</f>
        <v/>
      </c>
      <c r="CG368" s="28" t="n"/>
      <c r="CH368" s="31" t="n"/>
      <c r="CI368" s="29">
        <f>IF(AND(CF368=0,CG368=0,CH368=0),0,IF(AND(CF368=0,CG368=0),CH368/1,IF(AND(CF368=0,CH368=0),CG368/1,IF(AND(CG368=0,CH368=0),CF368/1,IF(CF368=0,FLOOR((CG368+CH368)/2,0.1),IF(CG368=0,(CF368+CH368)/2,IF(CH368=0,(CG368+CF368)/2,FLOOR(((CF368+CG368+CH368)/3),0.1))))))))</f>
        <v/>
      </c>
      <c r="CJ368" s="21" t="n"/>
      <c r="CK368" s="21" t="n"/>
      <c r="CL368" s="27">
        <f>SUM(CJ368:CK368)</f>
        <v/>
      </c>
      <c r="CM368" s="28" t="n"/>
      <c r="CN368" s="31" t="n"/>
      <c r="CO368" s="29">
        <f>IF(AND(CL368=0,CM368=0,CN368=0),0,IF(AND(CL368=0,CM368=0),CN368/1,IF(AND(CL368=0,CN368=0),CM368/1,IF(AND(CM368=0,CN368=0),CL368/1,IF(CL368=0,FLOOR((CM368+CN368)/2,0.1),IF(CM368=0,(CL368+CN368)/2,IF(CN368=0,(CM368+CL368)/2,FLOOR(((CL368+CM368+CN368)/3),0.1))))))))</f>
        <v/>
      </c>
      <c r="CP368" s="21" t="n"/>
      <c r="CQ368" s="21" t="n"/>
      <c r="CR368" s="27">
        <f>SUM(CP368:CQ368)</f>
        <v/>
      </c>
      <c r="CS368" s="28" t="n"/>
      <c r="CT368" s="31" t="n"/>
      <c r="CU368" s="29">
        <f>IF(AND(CR368=0,CS368=0,CT368=0),0,IF(AND(CR368=0,CS368=0),CT368/1,IF(AND(CR368=0,CT368=0),CS368/1,IF(AND(CS368=0,CT368=0),CR368/1,IF(CR368=0,FLOOR((CS368+CT368)/2,0.1),IF(CS368=0,(CR368+CT368)/2,IF(CT368=0,(CS368+CR368)/2,FLOOR(((CR368+CS368+CT368)/3),0.1))))))))</f>
        <v/>
      </c>
      <c r="CV368" s="21" t="n"/>
      <c r="CW368" s="21" t="n"/>
      <c r="CX368" s="27">
        <f>SUM(CV368:CW368)</f>
        <v/>
      </c>
      <c r="CY368" s="28" t="n"/>
      <c r="CZ368" s="31" t="n"/>
      <c r="DA368" s="29">
        <f>IF(AND(CX368=0,CY368=0,CZ368=0),0,IF(AND(CX368=0,CY368=0),CZ368/1,IF(AND(CX368=0,CZ368=0),CY368/1,IF(AND(CY368=0,CZ368=0),CX368/1,IF(CX368=0,FLOOR((CY368+CZ368)/2,0.1),IF(CY368=0,(CX368+CZ368)/2,IF(CZ368=0,(CY368+CX368)/2,FLOOR(((CX368+CY368+CZ368)/3),0.1))))))))</f>
        <v/>
      </c>
      <c r="DB368" s="21" t="n"/>
      <c r="DC368" s="21" t="n"/>
      <c r="DD368" s="27">
        <f>SUM(DB368:DC368)</f>
        <v/>
      </c>
      <c r="DE368" s="28" t="n"/>
      <c r="DF368" s="31" t="n"/>
      <c r="DG368" s="29">
        <f>IF(AND(DD368=0,DE368=0,DF368=0),0,IF(AND(DD368=0,DE368=0),DF368/1,IF(AND(DD368=0,DF368=0),DE368/1,IF(AND(DE368=0,DF368=0),DD368/1,IF(DD368=0,FLOOR((DE368+DF368)/2,0.1),IF(DE368=0,(DD368+DF368)/2,IF(DF368=0,(DE368+DD368)/2,FLOOR(((DD368+DE368+DF368)/3),0.1))))))))</f>
        <v/>
      </c>
      <c r="DH368" s="34">
        <f>SUM(O368,U368,AA368,AG368,AM368,AS368,AY368,BE368,BK368,BQ368,BW368,CC368,CI368,CO368,CU368,DA368,DG368)</f>
        <v/>
      </c>
      <c r="DI368" s="39">
        <f>RANK(DH368,DH$4:DH$503)</f>
        <v/>
      </c>
      <c r="DJ368" s="40" t="inlineStr">
        <is>
          <t>CHOOSE RATING</t>
        </is>
      </c>
      <c r="DK368" s="40" t="inlineStr">
        <is>
          <t>CHOOSE RATING</t>
        </is>
      </c>
      <c r="DL368" s="40" t="inlineStr">
        <is>
          <t>CHOOSE RATING</t>
        </is>
      </c>
      <c r="DM368" s="40" t="inlineStr">
        <is>
          <t>CHOOSE RATING</t>
        </is>
      </c>
      <c r="DN368" s="40" t="inlineStr">
        <is>
          <t>CHOOSE RATING</t>
        </is>
      </c>
      <c r="DO368" s="40" t="inlineStr">
        <is>
          <t>CHOOSE RATING</t>
        </is>
      </c>
      <c r="DP368" s="40" t="inlineStr">
        <is>
          <t>CHOOSE RATING</t>
        </is>
      </c>
      <c r="DQ368" s="40" t="inlineStr">
        <is>
          <t>CHOOSE RATING</t>
        </is>
      </c>
      <c r="DR368" s="43" t="inlineStr">
        <is>
          <t>2024/2025</t>
        </is>
      </c>
      <c r="DS368" s="45" t="inlineStr">
        <is>
          <t>THIRD</t>
        </is>
      </c>
      <c r="DT368" s="40" t="inlineStr">
        <is>
          <t>CHOOSE RATING</t>
        </is>
      </c>
      <c r="DU368" s="40" t="inlineStr">
        <is>
          <t>CHOOSE RATING</t>
        </is>
      </c>
      <c r="DV368" s="40" t="inlineStr">
        <is>
          <t>CHOOSE RATING</t>
        </is>
      </c>
      <c r="DW368" s="40" t="inlineStr">
        <is>
          <t>CHOOSE RATING</t>
        </is>
      </c>
      <c r="DX368" s="40" t="inlineStr">
        <is>
          <t>CHOOSE RATING</t>
        </is>
      </c>
      <c r="DY368" s="40" t="inlineStr">
        <is>
          <t>CHOOSE RATING</t>
        </is>
      </c>
      <c r="DZ368" s="53" t="inlineStr">
        <is>
          <t>CHOOSE RATING</t>
        </is>
      </c>
      <c r="EA368" s="54" t="inlineStr">
        <is>
          <t>Add the Tutor's Comment . . .</t>
        </is>
      </c>
      <c r="EB368" s="55" t="inlineStr">
        <is>
          <t>Choose Principals comment</t>
        </is>
      </c>
      <c r="EC368" s="56" t="n"/>
      <c r="ED368" s="57" t="inlineStr">
        <is>
          <t>Next Term Begins on Monday, 22nd September, 2025</t>
        </is>
      </c>
    </row>
    <row r="369" ht="30.6" customHeight="1" s="6">
      <c r="A369" s="18" t="n">
        <v>366</v>
      </c>
      <c r="B369" s="19" t="n"/>
      <c r="C369" s="20" t="n"/>
      <c r="D369" s="128" t="n"/>
      <c r="E369" s="21" t="n"/>
      <c r="F369" s="22" t="n"/>
      <c r="G369" s="22" t="n"/>
      <c r="H369" s="22" t="n"/>
      <c r="I369" s="26">
        <f>G369-H369</f>
        <v/>
      </c>
      <c r="J369" s="21" t="n"/>
      <c r="K369" s="21" t="n"/>
      <c r="L369" s="27">
        <f>SUM(J369:K369)</f>
        <v/>
      </c>
      <c r="M369" s="28" t="n"/>
      <c r="N369" s="28" t="n"/>
      <c r="O369" s="29">
        <f>IF(AND(L369=0,M369=0,N369=0),0,IF(AND(L369=0,M369=0),N369/1,IF(AND(L369=0,N369=0),M369/1,IF(AND(M369=0,N369=0),L369/1,IF(L369=0,FLOOR((M369+N369)/2,0.1),IF(M369=0,(L369+N369)/2,IF(N369=0,(M369+L369)/2,FLOOR(((L369+M369+N369)/3),0.1))))))))</f>
        <v/>
      </c>
      <c r="P369" s="21" t="n"/>
      <c r="Q369" s="21" t="n"/>
      <c r="R369" s="27">
        <f>SUM(P369:Q369)</f>
        <v/>
      </c>
      <c r="S369" s="28" t="n"/>
      <c r="T369" s="28" t="n"/>
      <c r="U369" s="29">
        <f>IF(AND(R369=0,S369=0,T369=0),0,IF(AND(R369=0,S369=0),T369/1,IF(AND(R369=0,T369=0),S369/1,IF(AND(S369=0,T369=0),R369/1,IF(R369=0,FLOOR((S369+T369)/2,0.1),IF(S369=0,(R369+T369)/2,IF(T369=0,(S369+R369)/2,FLOOR(((R369+S369+T369)/3),0.1))))))))</f>
        <v/>
      </c>
      <c r="V369" s="21" t="n"/>
      <c r="W369" s="21" t="n"/>
      <c r="X369" s="27">
        <f>SUM(V369:W369)</f>
        <v/>
      </c>
      <c r="Y369" s="28" t="n"/>
      <c r="Z369" s="28" t="n"/>
      <c r="AA369" s="29">
        <f>IF(AND(X369=0,Y369=0,Z369=0),0,IF(AND(X369=0,Y369=0),Z369/1,IF(AND(X369=0,Z369=0),Y369/1,IF(AND(Y369=0,Z369=0),X369/1,IF(X369=0,FLOOR((Y369+Z369)/2,0.1),IF(Y369=0,(X369+Z369)/2,IF(Z369=0,(Y369+X369)/2,FLOOR(((X369+Y369+Z369)/3),0.1))))))))</f>
        <v/>
      </c>
      <c r="AB369" s="21" t="n"/>
      <c r="AC369" s="21" t="n"/>
      <c r="AD369" s="27">
        <f>SUM(AB369:AC369)</f>
        <v/>
      </c>
      <c r="AE369" s="28" t="n"/>
      <c r="AF369" s="28" t="n"/>
      <c r="AG369" s="29">
        <f>IF(AND(AD369=0,AE369=0,AF369=0),0,IF(AND(AD369=0,AE369=0),AF369/1,IF(AND(AD369=0,AF369=0),AE369/1,IF(AND(AE369=0,AF369=0),AD369/1,IF(AD369=0,FLOOR((AE369+AF369)/2,0.1),IF(AE369=0,(AD369+AF369)/2,IF(AF369=0,(AE369+AD369)/2,FLOOR(((AD369+AE369+AF369)/3),0.1))))))))</f>
        <v/>
      </c>
      <c r="AH369" s="21" t="n"/>
      <c r="AI369" s="21" t="n"/>
      <c r="AJ369" s="27">
        <f>SUM(AH369:AI369)</f>
        <v/>
      </c>
      <c r="AK369" s="28" t="n"/>
      <c r="AL369" s="28" t="n"/>
      <c r="AM369" s="29">
        <f>IF(AND(AJ369=0,AK369=0,AL369=0),0,IF(AND(AJ369=0,AK369=0),AL369/1,IF(AND(AJ369=0,AL369=0),AK369/1,IF(AND(AK369=0,AL369=0),AJ369/1,IF(AJ369=0,FLOOR((AK369+AL369)/2,0.1),IF(AK369=0,(AJ369+AL369)/2,IF(AL369=0,(AK369+AJ369)/2,FLOOR(((AJ369+AK369+AL369)/3),0.1))))))))</f>
        <v/>
      </c>
      <c r="AN369" s="21" t="n"/>
      <c r="AO369" s="21" t="n"/>
      <c r="AP369" s="27">
        <f>SUM(AN369:AO369)</f>
        <v/>
      </c>
      <c r="AQ369" s="28" t="n"/>
      <c r="AR369" s="30" t="n"/>
      <c r="AS369" s="29">
        <f>IF(AND(AP369=0,AQ369=0,AR369=0),0,IF(AND(AP369=0,AQ369=0),AR369/1,IF(AND(AP369=0,AR369=0),AQ369/1,IF(AND(AQ369=0,AR369=0),AP369/1,IF(AP369=0,FLOOR((AQ369+AR369)/2,0.1),IF(AQ369=0,(AP369+AR369)/2,IF(AR369=0,(AQ369+AP369)/2,FLOOR(((AP369+AQ369+AR369)/3),0.1))))))))</f>
        <v/>
      </c>
      <c r="AT369" s="21" t="n"/>
      <c r="AU369" s="21" t="n"/>
      <c r="AV369" s="27">
        <f>SUM(AT369:AU369)</f>
        <v/>
      </c>
      <c r="AW369" s="28" t="n"/>
      <c r="AX369" s="30" t="n"/>
      <c r="AY369" s="29">
        <f>IF(AND(AV369=0,AW369=0,AX369=0),0,IF(AND(AV369=0,AW369=0),AX369/1,IF(AND(AV369=0,AX369=0),AW369/1,IF(AND(AW369=0,AX369=0),AV369/1,IF(AV369=0,FLOOR((AW369+AX369)/2,0.1),IF(AW369=0,(AV369+AX369)/2,IF(AX369=0,(AW369+AV369)/2,FLOOR(((AV369+AW369+AX369)/3),0.1))))))))</f>
        <v/>
      </c>
      <c r="AZ369" s="21" t="n"/>
      <c r="BA369" s="21" t="n"/>
      <c r="BB369" s="27">
        <f>SUM(AZ369:BA369)</f>
        <v/>
      </c>
      <c r="BC369" s="28" t="n"/>
      <c r="BD369" s="28" t="n"/>
      <c r="BE369" s="29">
        <f>IF(AND(BB369=0,BC369=0,BD369=0),0,IF(AND(BB369=0,BC369=0),BD369/1,IF(AND(BB369=0,BD369=0),BC369/1,IF(AND(BC369=0,BD369=0),BB369/1,IF(BB369=0,FLOOR((BC369+BD369)/2,0.1),IF(BC369=0,(BB369+BD369)/2,IF(BD369=0,(BC369+BB369)/2,FLOOR(((BB369+BC369+BD369)/3),0.1))))))))</f>
        <v/>
      </c>
      <c r="BF369" s="21" t="n"/>
      <c r="BG369" s="21" t="n"/>
      <c r="BH369" s="27">
        <f>SUM(BF369:BG369)</f>
        <v/>
      </c>
      <c r="BI369" s="28" t="n"/>
      <c r="BJ369" s="28" t="n"/>
      <c r="BK369" s="29">
        <f>IF(AND(BH369=0,BI369=0,BJ369=0),0,IF(AND(BH369=0,BI369=0),BJ369/1,IF(AND(BH369=0,BJ369=0),BI369/1,IF(AND(BI369=0,BJ369=0),BH369/1,IF(BH369=0,FLOOR((BI369+BJ369)/2,0.1),IF(BI369=0,(BH369+BJ369)/2,IF(BJ369=0,(BI369+BH369)/2,FLOOR(((BH369+BI369+BJ369)/3),0.1))))))))</f>
        <v/>
      </c>
      <c r="BL369" s="21" t="n"/>
      <c r="BM369" s="21" t="n"/>
      <c r="BN369" s="27">
        <f>SUM(BL369:BM369)</f>
        <v/>
      </c>
      <c r="BO369" s="28" t="n"/>
      <c r="BP369" s="31" t="n"/>
      <c r="BQ369" s="29">
        <f>IF(AND(BN369=0,BO369=0,BP369=0),0,IF(AND(BN369=0,BO369=0),BP369/1,IF(AND(BN369=0,BP369=0),BO369/1,IF(AND(BO369=0,BP369=0),BN369/1,IF(BN369=0,FLOOR((BO369+BP369)/2,0.1),IF(BO369=0,(BN369+BP369)/2,IF(BP369=0,(BO369+BN369)/2,FLOOR(((BN369+BO369+BP369)/3),0.1))))))))</f>
        <v/>
      </c>
      <c r="BR369" s="21" t="n"/>
      <c r="BS369" s="21" t="n"/>
      <c r="BT369" s="27">
        <f>SUM(BR369:BS369)</f>
        <v/>
      </c>
      <c r="BU369" s="28" t="n"/>
      <c r="BV369" s="31" t="n"/>
      <c r="BW369" s="29">
        <f>IF(AND(BT369=0,BU369=0,BV369=0),0,IF(AND(BT369=0,BU369=0),BV369/1,IF(AND(BT369=0,BV369=0),BU369/1,IF(AND(BU369=0,BV369=0),BT369/1,IF(BT369=0,FLOOR((BU369+BV369)/2,0.1),IF(BU369=0,(BT369+BV369)/2,IF(BV369=0,(BU369+BT369)/2,FLOOR(((BT369+BU369+BV369)/3),0.1))))))))</f>
        <v/>
      </c>
      <c r="BX369" s="21" t="n"/>
      <c r="BY369" s="21" t="n"/>
      <c r="BZ369" s="27">
        <f>SUM(BX369:BY369)</f>
        <v/>
      </c>
      <c r="CA369" s="28" t="n"/>
      <c r="CB369" s="31" t="n"/>
      <c r="CC369" s="29">
        <f>IF(AND(BZ369=0,CA369=0,CB369=0),0,IF(AND(BZ369=0,CA369=0),CB369/1,IF(AND(BZ369=0,CB369=0),CA369/1,IF(AND(CA369=0,CB369=0),BZ369/1,IF(BZ369=0,FLOOR((CA369+CB369)/2,0.1),IF(CA369=0,(BZ369+CB369)/2,IF(CB369=0,(CA369+BZ369)/2,FLOOR(((BZ369+CA369+CB369)/3),0.1))))))))</f>
        <v/>
      </c>
      <c r="CD369" s="21" t="n"/>
      <c r="CE369" s="21" t="n"/>
      <c r="CF369" s="27">
        <f>SUM(CD369:CE369)</f>
        <v/>
      </c>
      <c r="CG369" s="28" t="n"/>
      <c r="CH369" s="31" t="n"/>
      <c r="CI369" s="29">
        <f>IF(AND(CF369=0,CG369=0,CH369=0),0,IF(AND(CF369=0,CG369=0),CH369/1,IF(AND(CF369=0,CH369=0),CG369/1,IF(AND(CG369=0,CH369=0),CF369/1,IF(CF369=0,FLOOR((CG369+CH369)/2,0.1),IF(CG369=0,(CF369+CH369)/2,IF(CH369=0,(CG369+CF369)/2,FLOOR(((CF369+CG369+CH369)/3),0.1))))))))</f>
        <v/>
      </c>
      <c r="CJ369" s="21" t="n"/>
      <c r="CK369" s="21" t="n"/>
      <c r="CL369" s="27">
        <f>SUM(CJ369:CK369)</f>
        <v/>
      </c>
      <c r="CM369" s="28" t="n"/>
      <c r="CN369" s="31" t="n"/>
      <c r="CO369" s="29">
        <f>IF(AND(CL369=0,CM369=0,CN369=0),0,IF(AND(CL369=0,CM369=0),CN369/1,IF(AND(CL369=0,CN369=0),CM369/1,IF(AND(CM369=0,CN369=0),CL369/1,IF(CL369=0,FLOOR((CM369+CN369)/2,0.1),IF(CM369=0,(CL369+CN369)/2,IF(CN369=0,(CM369+CL369)/2,FLOOR(((CL369+CM369+CN369)/3),0.1))))))))</f>
        <v/>
      </c>
      <c r="CP369" s="21" t="n"/>
      <c r="CQ369" s="21" t="n"/>
      <c r="CR369" s="27">
        <f>SUM(CP369:CQ369)</f>
        <v/>
      </c>
      <c r="CS369" s="28" t="n"/>
      <c r="CT369" s="31" t="n"/>
      <c r="CU369" s="29">
        <f>IF(AND(CR369=0,CS369=0,CT369=0),0,IF(AND(CR369=0,CS369=0),CT369/1,IF(AND(CR369=0,CT369=0),CS369/1,IF(AND(CS369=0,CT369=0),CR369/1,IF(CR369=0,FLOOR((CS369+CT369)/2,0.1),IF(CS369=0,(CR369+CT369)/2,IF(CT369=0,(CS369+CR369)/2,FLOOR(((CR369+CS369+CT369)/3),0.1))))))))</f>
        <v/>
      </c>
      <c r="CV369" s="21" t="n"/>
      <c r="CW369" s="21" t="n"/>
      <c r="CX369" s="27">
        <f>SUM(CV369:CW369)</f>
        <v/>
      </c>
      <c r="CY369" s="28" t="n"/>
      <c r="CZ369" s="31" t="n"/>
      <c r="DA369" s="29">
        <f>IF(AND(CX369=0,CY369=0,CZ369=0),0,IF(AND(CX369=0,CY369=0),CZ369/1,IF(AND(CX369=0,CZ369=0),CY369/1,IF(AND(CY369=0,CZ369=0),CX369/1,IF(CX369=0,FLOOR((CY369+CZ369)/2,0.1),IF(CY369=0,(CX369+CZ369)/2,IF(CZ369=0,(CY369+CX369)/2,FLOOR(((CX369+CY369+CZ369)/3),0.1))))))))</f>
        <v/>
      </c>
      <c r="DB369" s="21" t="n"/>
      <c r="DC369" s="21" t="n"/>
      <c r="DD369" s="27">
        <f>SUM(DB369:DC369)</f>
        <v/>
      </c>
      <c r="DE369" s="28" t="n"/>
      <c r="DF369" s="31" t="n"/>
      <c r="DG369" s="29">
        <f>IF(AND(DD369=0,DE369=0,DF369=0),0,IF(AND(DD369=0,DE369=0),DF369/1,IF(AND(DD369=0,DF369=0),DE369/1,IF(AND(DE369=0,DF369=0),DD369/1,IF(DD369=0,FLOOR((DE369+DF369)/2,0.1),IF(DE369=0,(DD369+DF369)/2,IF(DF369=0,(DE369+DD369)/2,FLOOR(((DD369+DE369+DF369)/3),0.1))))))))</f>
        <v/>
      </c>
      <c r="DH369" s="34">
        <f>SUM(O369,U369,AA369,AG369,AM369,AS369,AY369,BE369,BK369,BQ369,BW369,CC369,CI369,CO369,CU369,DA369,DG369)</f>
        <v/>
      </c>
      <c r="DI369" s="39">
        <f>RANK(DH369,DH$4:DH$503)</f>
        <v/>
      </c>
      <c r="DJ369" s="40" t="inlineStr">
        <is>
          <t>CHOOSE RATING</t>
        </is>
      </c>
      <c r="DK369" s="40" t="inlineStr">
        <is>
          <t>CHOOSE RATING</t>
        </is>
      </c>
      <c r="DL369" s="40" t="inlineStr">
        <is>
          <t>CHOOSE RATING</t>
        </is>
      </c>
      <c r="DM369" s="40" t="inlineStr">
        <is>
          <t>CHOOSE RATING</t>
        </is>
      </c>
      <c r="DN369" s="40" t="inlineStr">
        <is>
          <t>CHOOSE RATING</t>
        </is>
      </c>
      <c r="DO369" s="40" t="inlineStr">
        <is>
          <t>CHOOSE RATING</t>
        </is>
      </c>
      <c r="DP369" s="40" t="inlineStr">
        <is>
          <t>CHOOSE RATING</t>
        </is>
      </c>
      <c r="DQ369" s="40" t="inlineStr">
        <is>
          <t>CHOOSE RATING</t>
        </is>
      </c>
      <c r="DR369" s="43" t="inlineStr">
        <is>
          <t>2024/2025</t>
        </is>
      </c>
      <c r="DS369" s="45" t="inlineStr">
        <is>
          <t>THIRD</t>
        </is>
      </c>
      <c r="DT369" s="40" t="inlineStr">
        <is>
          <t>CHOOSE RATING</t>
        </is>
      </c>
      <c r="DU369" s="40" t="inlineStr">
        <is>
          <t>CHOOSE RATING</t>
        </is>
      </c>
      <c r="DV369" s="40" t="inlineStr">
        <is>
          <t>CHOOSE RATING</t>
        </is>
      </c>
      <c r="DW369" s="40" t="inlineStr">
        <is>
          <t>CHOOSE RATING</t>
        </is>
      </c>
      <c r="DX369" s="40" t="inlineStr">
        <is>
          <t>CHOOSE RATING</t>
        </is>
      </c>
      <c r="DY369" s="40" t="inlineStr">
        <is>
          <t>CHOOSE RATING</t>
        </is>
      </c>
      <c r="DZ369" s="53" t="inlineStr">
        <is>
          <t>CHOOSE RATING</t>
        </is>
      </c>
      <c r="EA369" s="54" t="inlineStr">
        <is>
          <t>Add the Tutor's Comment . . .</t>
        </is>
      </c>
      <c r="EB369" s="55" t="inlineStr">
        <is>
          <t>Choose Principals comment</t>
        </is>
      </c>
      <c r="EC369" s="56" t="n"/>
      <c r="ED369" s="57" t="inlineStr">
        <is>
          <t>Next Term Begins on Monday, 22nd September, 2025</t>
        </is>
      </c>
    </row>
    <row r="370" ht="30.6" customHeight="1" s="6">
      <c r="A370" s="18" t="n">
        <v>367</v>
      </c>
      <c r="B370" s="19" t="n"/>
      <c r="C370" s="20" t="n"/>
      <c r="D370" s="128" t="n"/>
      <c r="E370" s="21" t="n"/>
      <c r="F370" s="22" t="n"/>
      <c r="G370" s="22" t="n"/>
      <c r="H370" s="22" t="n"/>
      <c r="I370" s="26">
        <f>G370-H370</f>
        <v/>
      </c>
      <c r="J370" s="21" t="n"/>
      <c r="K370" s="21" t="n"/>
      <c r="L370" s="27">
        <f>SUM(J370:K370)</f>
        <v/>
      </c>
      <c r="M370" s="28" t="n"/>
      <c r="N370" s="28" t="n"/>
      <c r="O370" s="29">
        <f>IF(AND(L370=0,M370=0,N370=0),0,IF(AND(L370=0,M370=0),N370/1,IF(AND(L370=0,N370=0),M370/1,IF(AND(M370=0,N370=0),L370/1,IF(L370=0,FLOOR((M370+N370)/2,0.1),IF(M370=0,(L370+N370)/2,IF(N370=0,(M370+L370)/2,FLOOR(((L370+M370+N370)/3),0.1))))))))</f>
        <v/>
      </c>
      <c r="P370" s="21" t="n"/>
      <c r="Q370" s="21" t="n"/>
      <c r="R370" s="27">
        <f>SUM(P370:Q370)</f>
        <v/>
      </c>
      <c r="S370" s="28" t="n"/>
      <c r="T370" s="28" t="n"/>
      <c r="U370" s="29">
        <f>IF(AND(R370=0,S370=0,T370=0),0,IF(AND(R370=0,S370=0),T370/1,IF(AND(R370=0,T370=0),S370/1,IF(AND(S370=0,T370=0),R370/1,IF(R370=0,FLOOR((S370+T370)/2,0.1),IF(S370=0,(R370+T370)/2,IF(T370=0,(S370+R370)/2,FLOOR(((R370+S370+T370)/3),0.1))))))))</f>
        <v/>
      </c>
      <c r="V370" s="21" t="n"/>
      <c r="W370" s="21" t="n"/>
      <c r="X370" s="27">
        <f>SUM(V370:W370)</f>
        <v/>
      </c>
      <c r="Y370" s="28" t="n"/>
      <c r="Z370" s="28" t="n"/>
      <c r="AA370" s="29">
        <f>IF(AND(X370=0,Y370=0,Z370=0),0,IF(AND(X370=0,Y370=0),Z370/1,IF(AND(X370=0,Z370=0),Y370/1,IF(AND(Y370=0,Z370=0),X370/1,IF(X370=0,FLOOR((Y370+Z370)/2,0.1),IF(Y370=0,(X370+Z370)/2,IF(Z370=0,(Y370+X370)/2,FLOOR(((X370+Y370+Z370)/3),0.1))))))))</f>
        <v/>
      </c>
      <c r="AB370" s="21" t="n"/>
      <c r="AC370" s="21" t="n"/>
      <c r="AD370" s="27">
        <f>SUM(AB370:AC370)</f>
        <v/>
      </c>
      <c r="AE370" s="28" t="n"/>
      <c r="AF370" s="28" t="n"/>
      <c r="AG370" s="29">
        <f>IF(AND(AD370=0,AE370=0,AF370=0),0,IF(AND(AD370=0,AE370=0),AF370/1,IF(AND(AD370=0,AF370=0),AE370/1,IF(AND(AE370=0,AF370=0),AD370/1,IF(AD370=0,FLOOR((AE370+AF370)/2,0.1),IF(AE370=0,(AD370+AF370)/2,IF(AF370=0,(AE370+AD370)/2,FLOOR(((AD370+AE370+AF370)/3),0.1))))))))</f>
        <v/>
      </c>
      <c r="AH370" s="21" t="n"/>
      <c r="AI370" s="21" t="n"/>
      <c r="AJ370" s="27">
        <f>SUM(AH370:AI370)</f>
        <v/>
      </c>
      <c r="AK370" s="28" t="n"/>
      <c r="AL370" s="28" t="n"/>
      <c r="AM370" s="29">
        <f>IF(AND(AJ370=0,AK370=0,AL370=0),0,IF(AND(AJ370=0,AK370=0),AL370/1,IF(AND(AJ370=0,AL370=0),AK370/1,IF(AND(AK370=0,AL370=0),AJ370/1,IF(AJ370=0,FLOOR((AK370+AL370)/2,0.1),IF(AK370=0,(AJ370+AL370)/2,IF(AL370=0,(AK370+AJ370)/2,FLOOR(((AJ370+AK370+AL370)/3),0.1))))))))</f>
        <v/>
      </c>
      <c r="AN370" s="21" t="n"/>
      <c r="AO370" s="21" t="n"/>
      <c r="AP370" s="27">
        <f>SUM(AN370:AO370)</f>
        <v/>
      </c>
      <c r="AQ370" s="28" t="n"/>
      <c r="AR370" s="30" t="n"/>
      <c r="AS370" s="29">
        <f>IF(AND(AP370=0,AQ370=0,AR370=0),0,IF(AND(AP370=0,AQ370=0),AR370/1,IF(AND(AP370=0,AR370=0),AQ370/1,IF(AND(AQ370=0,AR370=0),AP370/1,IF(AP370=0,FLOOR((AQ370+AR370)/2,0.1),IF(AQ370=0,(AP370+AR370)/2,IF(AR370=0,(AQ370+AP370)/2,FLOOR(((AP370+AQ370+AR370)/3),0.1))))))))</f>
        <v/>
      </c>
      <c r="AT370" s="21" t="n"/>
      <c r="AU370" s="21" t="n"/>
      <c r="AV370" s="27">
        <f>SUM(AT370:AU370)</f>
        <v/>
      </c>
      <c r="AW370" s="28" t="n"/>
      <c r="AX370" s="30" t="n"/>
      <c r="AY370" s="29">
        <f>IF(AND(AV370=0,AW370=0,AX370=0),0,IF(AND(AV370=0,AW370=0),AX370/1,IF(AND(AV370=0,AX370=0),AW370/1,IF(AND(AW370=0,AX370=0),AV370/1,IF(AV370=0,FLOOR((AW370+AX370)/2,0.1),IF(AW370=0,(AV370+AX370)/2,IF(AX370=0,(AW370+AV370)/2,FLOOR(((AV370+AW370+AX370)/3),0.1))))))))</f>
        <v/>
      </c>
      <c r="AZ370" s="21" t="n"/>
      <c r="BA370" s="21" t="n"/>
      <c r="BB370" s="27">
        <f>SUM(AZ370:BA370)</f>
        <v/>
      </c>
      <c r="BC370" s="28" t="n"/>
      <c r="BD370" s="28" t="n"/>
      <c r="BE370" s="29">
        <f>IF(AND(BB370=0,BC370=0,BD370=0),0,IF(AND(BB370=0,BC370=0),BD370/1,IF(AND(BB370=0,BD370=0),BC370/1,IF(AND(BC370=0,BD370=0),BB370/1,IF(BB370=0,FLOOR((BC370+BD370)/2,0.1),IF(BC370=0,(BB370+BD370)/2,IF(BD370=0,(BC370+BB370)/2,FLOOR(((BB370+BC370+BD370)/3),0.1))))))))</f>
        <v/>
      </c>
      <c r="BF370" s="21" t="n"/>
      <c r="BG370" s="21" t="n"/>
      <c r="BH370" s="27">
        <f>SUM(BF370:BG370)</f>
        <v/>
      </c>
      <c r="BI370" s="28" t="n"/>
      <c r="BJ370" s="28" t="n"/>
      <c r="BK370" s="29">
        <f>IF(AND(BH370=0,BI370=0,BJ370=0),0,IF(AND(BH370=0,BI370=0),BJ370/1,IF(AND(BH370=0,BJ370=0),BI370/1,IF(AND(BI370=0,BJ370=0),BH370/1,IF(BH370=0,FLOOR((BI370+BJ370)/2,0.1),IF(BI370=0,(BH370+BJ370)/2,IF(BJ370=0,(BI370+BH370)/2,FLOOR(((BH370+BI370+BJ370)/3),0.1))))))))</f>
        <v/>
      </c>
      <c r="BL370" s="21" t="n"/>
      <c r="BM370" s="21" t="n"/>
      <c r="BN370" s="27">
        <f>SUM(BL370:BM370)</f>
        <v/>
      </c>
      <c r="BO370" s="28" t="n"/>
      <c r="BP370" s="31" t="n"/>
      <c r="BQ370" s="29">
        <f>IF(AND(BN370=0,BO370=0,BP370=0),0,IF(AND(BN370=0,BO370=0),BP370/1,IF(AND(BN370=0,BP370=0),BO370/1,IF(AND(BO370=0,BP370=0),BN370/1,IF(BN370=0,FLOOR((BO370+BP370)/2,0.1),IF(BO370=0,(BN370+BP370)/2,IF(BP370=0,(BO370+BN370)/2,FLOOR(((BN370+BO370+BP370)/3),0.1))))))))</f>
        <v/>
      </c>
      <c r="BR370" s="21" t="n"/>
      <c r="BS370" s="21" t="n"/>
      <c r="BT370" s="27">
        <f>SUM(BR370:BS370)</f>
        <v/>
      </c>
      <c r="BU370" s="28" t="n"/>
      <c r="BV370" s="31" t="n"/>
      <c r="BW370" s="29">
        <f>IF(AND(BT370=0,BU370=0,BV370=0),0,IF(AND(BT370=0,BU370=0),BV370/1,IF(AND(BT370=0,BV370=0),BU370/1,IF(AND(BU370=0,BV370=0),BT370/1,IF(BT370=0,FLOOR((BU370+BV370)/2,0.1),IF(BU370=0,(BT370+BV370)/2,IF(BV370=0,(BU370+BT370)/2,FLOOR(((BT370+BU370+BV370)/3),0.1))))))))</f>
        <v/>
      </c>
      <c r="BX370" s="21" t="n"/>
      <c r="BY370" s="21" t="n"/>
      <c r="BZ370" s="27">
        <f>SUM(BX370:BY370)</f>
        <v/>
      </c>
      <c r="CA370" s="28" t="n"/>
      <c r="CB370" s="31" t="n"/>
      <c r="CC370" s="29">
        <f>IF(AND(BZ370=0,CA370=0,CB370=0),0,IF(AND(BZ370=0,CA370=0),CB370/1,IF(AND(BZ370=0,CB370=0),CA370/1,IF(AND(CA370=0,CB370=0),BZ370/1,IF(BZ370=0,FLOOR((CA370+CB370)/2,0.1),IF(CA370=0,(BZ370+CB370)/2,IF(CB370=0,(CA370+BZ370)/2,FLOOR(((BZ370+CA370+CB370)/3),0.1))))))))</f>
        <v/>
      </c>
      <c r="CD370" s="21" t="n"/>
      <c r="CE370" s="21" t="n"/>
      <c r="CF370" s="27">
        <f>SUM(CD370:CE370)</f>
        <v/>
      </c>
      <c r="CG370" s="28" t="n"/>
      <c r="CH370" s="31" t="n"/>
      <c r="CI370" s="29">
        <f>IF(AND(CF370=0,CG370=0,CH370=0),0,IF(AND(CF370=0,CG370=0),CH370/1,IF(AND(CF370=0,CH370=0),CG370/1,IF(AND(CG370=0,CH370=0),CF370/1,IF(CF370=0,FLOOR((CG370+CH370)/2,0.1),IF(CG370=0,(CF370+CH370)/2,IF(CH370=0,(CG370+CF370)/2,FLOOR(((CF370+CG370+CH370)/3),0.1))))))))</f>
        <v/>
      </c>
      <c r="CJ370" s="21" t="n"/>
      <c r="CK370" s="21" t="n"/>
      <c r="CL370" s="27">
        <f>SUM(CJ370:CK370)</f>
        <v/>
      </c>
      <c r="CM370" s="28" t="n"/>
      <c r="CN370" s="31" t="n"/>
      <c r="CO370" s="29">
        <f>IF(AND(CL370=0,CM370=0,CN370=0),0,IF(AND(CL370=0,CM370=0),CN370/1,IF(AND(CL370=0,CN370=0),CM370/1,IF(AND(CM370=0,CN370=0),CL370/1,IF(CL370=0,FLOOR((CM370+CN370)/2,0.1),IF(CM370=0,(CL370+CN370)/2,IF(CN370=0,(CM370+CL370)/2,FLOOR(((CL370+CM370+CN370)/3),0.1))))))))</f>
        <v/>
      </c>
      <c r="CP370" s="21" t="n"/>
      <c r="CQ370" s="21" t="n"/>
      <c r="CR370" s="27">
        <f>SUM(CP370:CQ370)</f>
        <v/>
      </c>
      <c r="CS370" s="28" t="n"/>
      <c r="CT370" s="31" t="n"/>
      <c r="CU370" s="29">
        <f>IF(AND(CR370=0,CS370=0,CT370=0),0,IF(AND(CR370=0,CS370=0),CT370/1,IF(AND(CR370=0,CT370=0),CS370/1,IF(AND(CS370=0,CT370=0),CR370/1,IF(CR370=0,FLOOR((CS370+CT370)/2,0.1),IF(CS370=0,(CR370+CT370)/2,IF(CT370=0,(CS370+CR370)/2,FLOOR(((CR370+CS370+CT370)/3),0.1))))))))</f>
        <v/>
      </c>
      <c r="CV370" s="21" t="n"/>
      <c r="CW370" s="21" t="n"/>
      <c r="CX370" s="27">
        <f>SUM(CV370:CW370)</f>
        <v/>
      </c>
      <c r="CY370" s="28" t="n"/>
      <c r="CZ370" s="31" t="n"/>
      <c r="DA370" s="29">
        <f>IF(AND(CX370=0,CY370=0,CZ370=0),0,IF(AND(CX370=0,CY370=0),CZ370/1,IF(AND(CX370=0,CZ370=0),CY370/1,IF(AND(CY370=0,CZ370=0),CX370/1,IF(CX370=0,FLOOR((CY370+CZ370)/2,0.1),IF(CY370=0,(CX370+CZ370)/2,IF(CZ370=0,(CY370+CX370)/2,FLOOR(((CX370+CY370+CZ370)/3),0.1))))))))</f>
        <v/>
      </c>
      <c r="DB370" s="21" t="n"/>
      <c r="DC370" s="21" t="n"/>
      <c r="DD370" s="27">
        <f>SUM(DB370:DC370)</f>
        <v/>
      </c>
      <c r="DE370" s="28" t="n"/>
      <c r="DF370" s="31" t="n"/>
      <c r="DG370" s="29">
        <f>IF(AND(DD370=0,DE370=0,DF370=0),0,IF(AND(DD370=0,DE370=0),DF370/1,IF(AND(DD370=0,DF370=0),DE370/1,IF(AND(DE370=0,DF370=0),DD370/1,IF(DD370=0,FLOOR((DE370+DF370)/2,0.1),IF(DE370=0,(DD370+DF370)/2,IF(DF370=0,(DE370+DD370)/2,FLOOR(((DD370+DE370+DF370)/3),0.1))))))))</f>
        <v/>
      </c>
      <c r="DH370" s="34">
        <f>SUM(O370,U370,AA370,AG370,AM370,AS370,AY370,BE370,BK370,BQ370,BW370,CC370,CI370,CO370,CU370,DA370,DG370)</f>
        <v/>
      </c>
      <c r="DI370" s="39">
        <f>RANK(DH370,DH$4:DH$503)</f>
        <v/>
      </c>
      <c r="DJ370" s="40" t="inlineStr">
        <is>
          <t>CHOOSE RATING</t>
        </is>
      </c>
      <c r="DK370" s="40" t="inlineStr">
        <is>
          <t>CHOOSE RATING</t>
        </is>
      </c>
      <c r="DL370" s="40" t="inlineStr">
        <is>
          <t>CHOOSE RATING</t>
        </is>
      </c>
      <c r="DM370" s="40" t="inlineStr">
        <is>
          <t>CHOOSE RATING</t>
        </is>
      </c>
      <c r="DN370" s="40" t="inlineStr">
        <is>
          <t>CHOOSE RATING</t>
        </is>
      </c>
      <c r="DO370" s="40" t="inlineStr">
        <is>
          <t>CHOOSE RATING</t>
        </is>
      </c>
      <c r="DP370" s="40" t="inlineStr">
        <is>
          <t>CHOOSE RATING</t>
        </is>
      </c>
      <c r="DQ370" s="40" t="inlineStr">
        <is>
          <t>CHOOSE RATING</t>
        </is>
      </c>
      <c r="DR370" s="43" t="inlineStr">
        <is>
          <t>2024/2025</t>
        </is>
      </c>
      <c r="DS370" s="45" t="inlineStr">
        <is>
          <t>THIRD</t>
        </is>
      </c>
      <c r="DT370" s="40" t="inlineStr">
        <is>
          <t>CHOOSE RATING</t>
        </is>
      </c>
      <c r="DU370" s="40" t="inlineStr">
        <is>
          <t>CHOOSE RATING</t>
        </is>
      </c>
      <c r="DV370" s="40" t="inlineStr">
        <is>
          <t>CHOOSE RATING</t>
        </is>
      </c>
      <c r="DW370" s="40" t="inlineStr">
        <is>
          <t>CHOOSE RATING</t>
        </is>
      </c>
      <c r="DX370" s="40" t="inlineStr">
        <is>
          <t>CHOOSE RATING</t>
        </is>
      </c>
      <c r="DY370" s="40" t="inlineStr">
        <is>
          <t>CHOOSE RATING</t>
        </is>
      </c>
      <c r="DZ370" s="53" t="inlineStr">
        <is>
          <t>CHOOSE RATING</t>
        </is>
      </c>
      <c r="EA370" s="54" t="inlineStr">
        <is>
          <t>Add the Tutor's Comment . . .</t>
        </is>
      </c>
      <c r="EB370" s="55" t="inlineStr">
        <is>
          <t>Choose Principals comment</t>
        </is>
      </c>
      <c r="EC370" s="56" t="n"/>
      <c r="ED370" s="57" t="inlineStr">
        <is>
          <t>Next Term Begins on Monday, 22nd September, 2025</t>
        </is>
      </c>
    </row>
    <row r="371" ht="30.6" customHeight="1" s="6">
      <c r="A371" s="18" t="n">
        <v>368</v>
      </c>
      <c r="B371" s="19" t="n"/>
      <c r="C371" s="20" t="n"/>
      <c r="D371" s="128" t="n"/>
      <c r="E371" s="21" t="n"/>
      <c r="F371" s="22" t="n"/>
      <c r="G371" s="22" t="n"/>
      <c r="H371" s="22" t="n"/>
      <c r="I371" s="26">
        <f>G371-H371</f>
        <v/>
      </c>
      <c r="J371" s="21" t="n"/>
      <c r="K371" s="21" t="n"/>
      <c r="L371" s="27">
        <f>SUM(J371:K371)</f>
        <v/>
      </c>
      <c r="M371" s="28" t="n"/>
      <c r="N371" s="28" t="n"/>
      <c r="O371" s="29">
        <f>IF(AND(L371=0,M371=0,N371=0),0,IF(AND(L371=0,M371=0),N371/1,IF(AND(L371=0,N371=0),M371/1,IF(AND(M371=0,N371=0),L371/1,IF(L371=0,FLOOR((M371+N371)/2,0.1),IF(M371=0,(L371+N371)/2,IF(N371=0,(M371+L371)/2,FLOOR(((L371+M371+N371)/3),0.1))))))))</f>
        <v/>
      </c>
      <c r="P371" s="21" t="n"/>
      <c r="Q371" s="21" t="n"/>
      <c r="R371" s="27">
        <f>SUM(P371:Q371)</f>
        <v/>
      </c>
      <c r="S371" s="28" t="n"/>
      <c r="T371" s="28" t="n"/>
      <c r="U371" s="29">
        <f>IF(AND(R371=0,S371=0,T371=0),0,IF(AND(R371=0,S371=0),T371/1,IF(AND(R371=0,T371=0),S371/1,IF(AND(S371=0,T371=0),R371/1,IF(R371=0,FLOOR((S371+T371)/2,0.1),IF(S371=0,(R371+T371)/2,IF(T371=0,(S371+R371)/2,FLOOR(((R371+S371+T371)/3),0.1))))))))</f>
        <v/>
      </c>
      <c r="V371" s="21" t="n"/>
      <c r="W371" s="21" t="n"/>
      <c r="X371" s="27">
        <f>SUM(V371:W371)</f>
        <v/>
      </c>
      <c r="Y371" s="28" t="n"/>
      <c r="Z371" s="28" t="n"/>
      <c r="AA371" s="29">
        <f>IF(AND(X371=0,Y371=0,Z371=0),0,IF(AND(X371=0,Y371=0),Z371/1,IF(AND(X371=0,Z371=0),Y371/1,IF(AND(Y371=0,Z371=0),X371/1,IF(X371=0,FLOOR((Y371+Z371)/2,0.1),IF(Y371=0,(X371+Z371)/2,IF(Z371=0,(Y371+X371)/2,FLOOR(((X371+Y371+Z371)/3),0.1))))))))</f>
        <v/>
      </c>
      <c r="AB371" s="21" t="n"/>
      <c r="AC371" s="21" t="n"/>
      <c r="AD371" s="27">
        <f>SUM(AB371:AC371)</f>
        <v/>
      </c>
      <c r="AE371" s="28" t="n"/>
      <c r="AF371" s="28" t="n"/>
      <c r="AG371" s="29">
        <f>IF(AND(AD371=0,AE371=0,AF371=0),0,IF(AND(AD371=0,AE371=0),AF371/1,IF(AND(AD371=0,AF371=0),AE371/1,IF(AND(AE371=0,AF371=0),AD371/1,IF(AD371=0,FLOOR((AE371+AF371)/2,0.1),IF(AE371=0,(AD371+AF371)/2,IF(AF371=0,(AE371+AD371)/2,FLOOR(((AD371+AE371+AF371)/3),0.1))))))))</f>
        <v/>
      </c>
      <c r="AH371" s="21" t="n"/>
      <c r="AI371" s="21" t="n"/>
      <c r="AJ371" s="27">
        <f>SUM(AH371:AI371)</f>
        <v/>
      </c>
      <c r="AK371" s="28" t="n"/>
      <c r="AL371" s="28" t="n"/>
      <c r="AM371" s="29">
        <f>IF(AND(AJ371=0,AK371=0,AL371=0),0,IF(AND(AJ371=0,AK371=0),AL371/1,IF(AND(AJ371=0,AL371=0),AK371/1,IF(AND(AK371=0,AL371=0),AJ371/1,IF(AJ371=0,FLOOR((AK371+AL371)/2,0.1),IF(AK371=0,(AJ371+AL371)/2,IF(AL371=0,(AK371+AJ371)/2,FLOOR(((AJ371+AK371+AL371)/3),0.1))))))))</f>
        <v/>
      </c>
      <c r="AN371" s="21" t="n"/>
      <c r="AO371" s="21" t="n"/>
      <c r="AP371" s="27">
        <f>SUM(AN371:AO371)</f>
        <v/>
      </c>
      <c r="AQ371" s="28" t="n"/>
      <c r="AR371" s="30" t="n"/>
      <c r="AS371" s="29">
        <f>IF(AND(AP371=0,AQ371=0,AR371=0),0,IF(AND(AP371=0,AQ371=0),AR371/1,IF(AND(AP371=0,AR371=0),AQ371/1,IF(AND(AQ371=0,AR371=0),AP371/1,IF(AP371=0,FLOOR((AQ371+AR371)/2,0.1),IF(AQ371=0,(AP371+AR371)/2,IF(AR371=0,(AQ371+AP371)/2,FLOOR(((AP371+AQ371+AR371)/3),0.1))))))))</f>
        <v/>
      </c>
      <c r="AT371" s="21" t="n"/>
      <c r="AU371" s="21" t="n"/>
      <c r="AV371" s="27">
        <f>SUM(AT371:AU371)</f>
        <v/>
      </c>
      <c r="AW371" s="28" t="n"/>
      <c r="AX371" s="30" t="n"/>
      <c r="AY371" s="29">
        <f>IF(AND(AV371=0,AW371=0,AX371=0),0,IF(AND(AV371=0,AW371=0),AX371/1,IF(AND(AV371=0,AX371=0),AW371/1,IF(AND(AW371=0,AX371=0),AV371/1,IF(AV371=0,FLOOR((AW371+AX371)/2,0.1),IF(AW371=0,(AV371+AX371)/2,IF(AX371=0,(AW371+AV371)/2,FLOOR(((AV371+AW371+AX371)/3),0.1))))))))</f>
        <v/>
      </c>
      <c r="AZ371" s="21" t="n"/>
      <c r="BA371" s="21" t="n"/>
      <c r="BB371" s="27">
        <f>SUM(AZ371:BA371)</f>
        <v/>
      </c>
      <c r="BC371" s="28" t="n"/>
      <c r="BD371" s="28" t="n"/>
      <c r="BE371" s="29">
        <f>IF(AND(BB371=0,BC371=0,BD371=0),0,IF(AND(BB371=0,BC371=0),BD371/1,IF(AND(BB371=0,BD371=0),BC371/1,IF(AND(BC371=0,BD371=0),BB371/1,IF(BB371=0,FLOOR((BC371+BD371)/2,0.1),IF(BC371=0,(BB371+BD371)/2,IF(BD371=0,(BC371+BB371)/2,FLOOR(((BB371+BC371+BD371)/3),0.1))))))))</f>
        <v/>
      </c>
      <c r="BF371" s="21" t="n"/>
      <c r="BG371" s="21" t="n"/>
      <c r="BH371" s="27">
        <f>SUM(BF371:BG371)</f>
        <v/>
      </c>
      <c r="BI371" s="28" t="n"/>
      <c r="BJ371" s="28" t="n"/>
      <c r="BK371" s="29">
        <f>IF(AND(BH371=0,BI371=0,BJ371=0),0,IF(AND(BH371=0,BI371=0),BJ371/1,IF(AND(BH371=0,BJ371=0),BI371/1,IF(AND(BI371=0,BJ371=0),BH371/1,IF(BH371=0,FLOOR((BI371+BJ371)/2,0.1),IF(BI371=0,(BH371+BJ371)/2,IF(BJ371=0,(BI371+BH371)/2,FLOOR(((BH371+BI371+BJ371)/3),0.1))))))))</f>
        <v/>
      </c>
      <c r="BL371" s="21" t="n"/>
      <c r="BM371" s="21" t="n"/>
      <c r="BN371" s="27">
        <f>SUM(BL371:BM371)</f>
        <v/>
      </c>
      <c r="BO371" s="28" t="n"/>
      <c r="BP371" s="31" t="n"/>
      <c r="BQ371" s="29">
        <f>IF(AND(BN371=0,BO371=0,BP371=0),0,IF(AND(BN371=0,BO371=0),BP371/1,IF(AND(BN371=0,BP371=0),BO371/1,IF(AND(BO371=0,BP371=0),BN371/1,IF(BN371=0,FLOOR((BO371+BP371)/2,0.1),IF(BO371=0,(BN371+BP371)/2,IF(BP371=0,(BO371+BN371)/2,FLOOR(((BN371+BO371+BP371)/3),0.1))))))))</f>
        <v/>
      </c>
      <c r="BR371" s="21" t="n"/>
      <c r="BS371" s="21" t="n"/>
      <c r="BT371" s="27">
        <f>SUM(BR371:BS371)</f>
        <v/>
      </c>
      <c r="BU371" s="28" t="n"/>
      <c r="BV371" s="31" t="n"/>
      <c r="BW371" s="29">
        <f>IF(AND(BT371=0,BU371=0,BV371=0),0,IF(AND(BT371=0,BU371=0),BV371/1,IF(AND(BT371=0,BV371=0),BU371/1,IF(AND(BU371=0,BV371=0),BT371/1,IF(BT371=0,FLOOR((BU371+BV371)/2,0.1),IF(BU371=0,(BT371+BV371)/2,IF(BV371=0,(BU371+BT371)/2,FLOOR(((BT371+BU371+BV371)/3),0.1))))))))</f>
        <v/>
      </c>
      <c r="BX371" s="21" t="n"/>
      <c r="BY371" s="21" t="n"/>
      <c r="BZ371" s="27">
        <f>SUM(BX371:BY371)</f>
        <v/>
      </c>
      <c r="CA371" s="28" t="n"/>
      <c r="CB371" s="31" t="n"/>
      <c r="CC371" s="29">
        <f>IF(AND(BZ371=0,CA371=0,CB371=0),0,IF(AND(BZ371=0,CA371=0),CB371/1,IF(AND(BZ371=0,CB371=0),CA371/1,IF(AND(CA371=0,CB371=0),BZ371/1,IF(BZ371=0,FLOOR((CA371+CB371)/2,0.1),IF(CA371=0,(BZ371+CB371)/2,IF(CB371=0,(CA371+BZ371)/2,FLOOR(((BZ371+CA371+CB371)/3),0.1))))))))</f>
        <v/>
      </c>
      <c r="CD371" s="21" t="n"/>
      <c r="CE371" s="21" t="n"/>
      <c r="CF371" s="27">
        <f>SUM(CD371:CE371)</f>
        <v/>
      </c>
      <c r="CG371" s="28" t="n"/>
      <c r="CH371" s="31" t="n"/>
      <c r="CI371" s="29">
        <f>IF(AND(CF371=0,CG371=0,CH371=0),0,IF(AND(CF371=0,CG371=0),CH371/1,IF(AND(CF371=0,CH371=0),CG371/1,IF(AND(CG371=0,CH371=0),CF371/1,IF(CF371=0,FLOOR((CG371+CH371)/2,0.1),IF(CG371=0,(CF371+CH371)/2,IF(CH371=0,(CG371+CF371)/2,FLOOR(((CF371+CG371+CH371)/3),0.1))))))))</f>
        <v/>
      </c>
      <c r="CJ371" s="21" t="n"/>
      <c r="CK371" s="21" t="n"/>
      <c r="CL371" s="27">
        <f>SUM(CJ371:CK371)</f>
        <v/>
      </c>
      <c r="CM371" s="28" t="n"/>
      <c r="CN371" s="31" t="n"/>
      <c r="CO371" s="29">
        <f>IF(AND(CL371=0,CM371=0,CN371=0),0,IF(AND(CL371=0,CM371=0),CN371/1,IF(AND(CL371=0,CN371=0),CM371/1,IF(AND(CM371=0,CN371=0),CL371/1,IF(CL371=0,FLOOR((CM371+CN371)/2,0.1),IF(CM371=0,(CL371+CN371)/2,IF(CN371=0,(CM371+CL371)/2,FLOOR(((CL371+CM371+CN371)/3),0.1))))))))</f>
        <v/>
      </c>
      <c r="CP371" s="21" t="n"/>
      <c r="CQ371" s="21" t="n"/>
      <c r="CR371" s="27">
        <f>SUM(CP371:CQ371)</f>
        <v/>
      </c>
      <c r="CS371" s="28" t="n"/>
      <c r="CT371" s="31" t="n"/>
      <c r="CU371" s="29">
        <f>IF(AND(CR371=0,CS371=0,CT371=0),0,IF(AND(CR371=0,CS371=0),CT371/1,IF(AND(CR371=0,CT371=0),CS371/1,IF(AND(CS371=0,CT371=0),CR371/1,IF(CR371=0,FLOOR((CS371+CT371)/2,0.1),IF(CS371=0,(CR371+CT371)/2,IF(CT371=0,(CS371+CR371)/2,FLOOR(((CR371+CS371+CT371)/3),0.1))))))))</f>
        <v/>
      </c>
      <c r="CV371" s="21" t="n"/>
      <c r="CW371" s="21" t="n"/>
      <c r="CX371" s="27">
        <f>SUM(CV371:CW371)</f>
        <v/>
      </c>
      <c r="CY371" s="28" t="n"/>
      <c r="CZ371" s="31" t="n"/>
      <c r="DA371" s="29">
        <f>IF(AND(CX371=0,CY371=0,CZ371=0),0,IF(AND(CX371=0,CY371=0),CZ371/1,IF(AND(CX371=0,CZ371=0),CY371/1,IF(AND(CY371=0,CZ371=0),CX371/1,IF(CX371=0,FLOOR((CY371+CZ371)/2,0.1),IF(CY371=0,(CX371+CZ371)/2,IF(CZ371=0,(CY371+CX371)/2,FLOOR(((CX371+CY371+CZ371)/3),0.1))))))))</f>
        <v/>
      </c>
      <c r="DB371" s="21" t="n"/>
      <c r="DC371" s="21" t="n"/>
      <c r="DD371" s="27">
        <f>SUM(DB371:DC371)</f>
        <v/>
      </c>
      <c r="DE371" s="28" t="n"/>
      <c r="DF371" s="31" t="n"/>
      <c r="DG371" s="29">
        <f>IF(AND(DD371=0,DE371=0,DF371=0),0,IF(AND(DD371=0,DE371=0),DF371/1,IF(AND(DD371=0,DF371=0),DE371/1,IF(AND(DE371=0,DF371=0),DD371/1,IF(DD371=0,FLOOR((DE371+DF371)/2,0.1),IF(DE371=0,(DD371+DF371)/2,IF(DF371=0,(DE371+DD371)/2,FLOOR(((DD371+DE371+DF371)/3),0.1))))))))</f>
        <v/>
      </c>
      <c r="DH371" s="34">
        <f>SUM(O371,U371,AA371,AG371,AM371,AS371,AY371,BE371,BK371,BQ371,BW371,CC371,CI371,CO371,CU371,DA371,DG371)</f>
        <v/>
      </c>
      <c r="DI371" s="39">
        <f>RANK(DH371,DH$4:DH$503)</f>
        <v/>
      </c>
      <c r="DJ371" s="40" t="inlineStr">
        <is>
          <t>CHOOSE RATING</t>
        </is>
      </c>
      <c r="DK371" s="40" t="inlineStr">
        <is>
          <t>CHOOSE RATING</t>
        </is>
      </c>
      <c r="DL371" s="40" t="inlineStr">
        <is>
          <t>CHOOSE RATING</t>
        </is>
      </c>
      <c r="DM371" s="40" t="inlineStr">
        <is>
          <t>CHOOSE RATING</t>
        </is>
      </c>
      <c r="DN371" s="40" t="inlineStr">
        <is>
          <t>CHOOSE RATING</t>
        </is>
      </c>
      <c r="DO371" s="40" t="inlineStr">
        <is>
          <t>CHOOSE RATING</t>
        </is>
      </c>
      <c r="DP371" s="40" t="inlineStr">
        <is>
          <t>CHOOSE RATING</t>
        </is>
      </c>
      <c r="DQ371" s="40" t="inlineStr">
        <is>
          <t>CHOOSE RATING</t>
        </is>
      </c>
      <c r="DR371" s="43" t="inlineStr">
        <is>
          <t>2024/2025</t>
        </is>
      </c>
      <c r="DS371" s="45" t="inlineStr">
        <is>
          <t>THIRD</t>
        </is>
      </c>
      <c r="DT371" s="40" t="inlineStr">
        <is>
          <t>CHOOSE RATING</t>
        </is>
      </c>
      <c r="DU371" s="40" t="inlineStr">
        <is>
          <t>CHOOSE RATING</t>
        </is>
      </c>
      <c r="DV371" s="40" t="inlineStr">
        <is>
          <t>CHOOSE RATING</t>
        </is>
      </c>
      <c r="DW371" s="40" t="inlineStr">
        <is>
          <t>CHOOSE RATING</t>
        </is>
      </c>
      <c r="DX371" s="40" t="inlineStr">
        <is>
          <t>CHOOSE RATING</t>
        </is>
      </c>
      <c r="DY371" s="40" t="inlineStr">
        <is>
          <t>CHOOSE RATING</t>
        </is>
      </c>
      <c r="DZ371" s="53" t="inlineStr">
        <is>
          <t>CHOOSE RATING</t>
        </is>
      </c>
      <c r="EA371" s="54" t="inlineStr">
        <is>
          <t>Add the Tutor's Comment . . .</t>
        </is>
      </c>
      <c r="EB371" s="55" t="inlineStr">
        <is>
          <t>Choose Principals comment</t>
        </is>
      </c>
      <c r="EC371" s="56" t="n"/>
      <c r="ED371" s="57" t="inlineStr">
        <is>
          <t>Next Term Begins on Monday, 22nd September, 2025</t>
        </is>
      </c>
    </row>
    <row r="372" ht="30.6" customHeight="1" s="6">
      <c r="A372" s="18" t="n">
        <v>369</v>
      </c>
      <c r="B372" s="19" t="n"/>
      <c r="C372" s="20" t="n"/>
      <c r="D372" s="128" t="n"/>
      <c r="E372" s="21" t="n"/>
      <c r="F372" s="22" t="n"/>
      <c r="G372" s="22" t="n"/>
      <c r="H372" s="22" t="n"/>
      <c r="I372" s="26">
        <f>G372-H372</f>
        <v/>
      </c>
      <c r="J372" s="21" t="n"/>
      <c r="K372" s="21" t="n"/>
      <c r="L372" s="27">
        <f>SUM(J372:K372)</f>
        <v/>
      </c>
      <c r="M372" s="28" t="n"/>
      <c r="N372" s="28" t="n"/>
      <c r="O372" s="29">
        <f>IF(AND(L372=0,M372=0,N372=0),0,IF(AND(L372=0,M372=0),N372/1,IF(AND(L372=0,N372=0),M372/1,IF(AND(M372=0,N372=0),L372/1,IF(L372=0,FLOOR((M372+N372)/2,0.1),IF(M372=0,(L372+N372)/2,IF(N372=0,(M372+L372)/2,FLOOR(((L372+M372+N372)/3),0.1))))))))</f>
        <v/>
      </c>
      <c r="P372" s="21" t="n"/>
      <c r="Q372" s="21" t="n"/>
      <c r="R372" s="27">
        <f>SUM(P372:Q372)</f>
        <v/>
      </c>
      <c r="S372" s="28" t="n"/>
      <c r="T372" s="28" t="n"/>
      <c r="U372" s="29">
        <f>IF(AND(R372=0,S372=0,T372=0),0,IF(AND(R372=0,S372=0),T372/1,IF(AND(R372=0,T372=0),S372/1,IF(AND(S372=0,T372=0),R372/1,IF(R372=0,FLOOR((S372+T372)/2,0.1),IF(S372=0,(R372+T372)/2,IF(T372=0,(S372+R372)/2,FLOOR(((R372+S372+T372)/3),0.1))))))))</f>
        <v/>
      </c>
      <c r="V372" s="21" t="n"/>
      <c r="W372" s="21" t="n"/>
      <c r="X372" s="27">
        <f>SUM(V372:W372)</f>
        <v/>
      </c>
      <c r="Y372" s="28" t="n"/>
      <c r="Z372" s="28" t="n"/>
      <c r="AA372" s="29">
        <f>IF(AND(X372=0,Y372=0,Z372=0),0,IF(AND(X372=0,Y372=0),Z372/1,IF(AND(X372=0,Z372=0),Y372/1,IF(AND(Y372=0,Z372=0),X372/1,IF(X372=0,FLOOR((Y372+Z372)/2,0.1),IF(Y372=0,(X372+Z372)/2,IF(Z372=0,(Y372+X372)/2,FLOOR(((X372+Y372+Z372)/3),0.1))))))))</f>
        <v/>
      </c>
      <c r="AB372" s="21" t="n"/>
      <c r="AC372" s="21" t="n"/>
      <c r="AD372" s="27">
        <f>SUM(AB372:AC372)</f>
        <v/>
      </c>
      <c r="AE372" s="28" t="n"/>
      <c r="AF372" s="28" t="n"/>
      <c r="AG372" s="29">
        <f>IF(AND(AD372=0,AE372=0,AF372=0),0,IF(AND(AD372=0,AE372=0),AF372/1,IF(AND(AD372=0,AF372=0),AE372/1,IF(AND(AE372=0,AF372=0),AD372/1,IF(AD372=0,FLOOR((AE372+AF372)/2,0.1),IF(AE372=0,(AD372+AF372)/2,IF(AF372=0,(AE372+AD372)/2,FLOOR(((AD372+AE372+AF372)/3),0.1))))))))</f>
        <v/>
      </c>
      <c r="AH372" s="21" t="n"/>
      <c r="AI372" s="21" t="n"/>
      <c r="AJ372" s="27">
        <f>SUM(AH372:AI372)</f>
        <v/>
      </c>
      <c r="AK372" s="28" t="n"/>
      <c r="AL372" s="28" t="n"/>
      <c r="AM372" s="29">
        <f>IF(AND(AJ372=0,AK372=0,AL372=0),0,IF(AND(AJ372=0,AK372=0),AL372/1,IF(AND(AJ372=0,AL372=0),AK372/1,IF(AND(AK372=0,AL372=0),AJ372/1,IF(AJ372=0,FLOOR((AK372+AL372)/2,0.1),IF(AK372=0,(AJ372+AL372)/2,IF(AL372=0,(AK372+AJ372)/2,FLOOR(((AJ372+AK372+AL372)/3),0.1))))))))</f>
        <v/>
      </c>
      <c r="AN372" s="21" t="n"/>
      <c r="AO372" s="21" t="n"/>
      <c r="AP372" s="27">
        <f>SUM(AN372:AO372)</f>
        <v/>
      </c>
      <c r="AQ372" s="28" t="n"/>
      <c r="AR372" s="30" t="n"/>
      <c r="AS372" s="29">
        <f>IF(AND(AP372=0,AQ372=0,AR372=0),0,IF(AND(AP372=0,AQ372=0),AR372/1,IF(AND(AP372=0,AR372=0),AQ372/1,IF(AND(AQ372=0,AR372=0),AP372/1,IF(AP372=0,FLOOR((AQ372+AR372)/2,0.1),IF(AQ372=0,(AP372+AR372)/2,IF(AR372=0,(AQ372+AP372)/2,FLOOR(((AP372+AQ372+AR372)/3),0.1))))))))</f>
        <v/>
      </c>
      <c r="AT372" s="21" t="n"/>
      <c r="AU372" s="21" t="n"/>
      <c r="AV372" s="27">
        <f>SUM(AT372:AU372)</f>
        <v/>
      </c>
      <c r="AW372" s="28" t="n"/>
      <c r="AX372" s="30" t="n"/>
      <c r="AY372" s="29">
        <f>IF(AND(AV372=0,AW372=0,AX372=0),0,IF(AND(AV372=0,AW372=0),AX372/1,IF(AND(AV372=0,AX372=0),AW372/1,IF(AND(AW372=0,AX372=0),AV372/1,IF(AV372=0,FLOOR((AW372+AX372)/2,0.1),IF(AW372=0,(AV372+AX372)/2,IF(AX372=0,(AW372+AV372)/2,FLOOR(((AV372+AW372+AX372)/3),0.1))))))))</f>
        <v/>
      </c>
      <c r="AZ372" s="21" t="n"/>
      <c r="BA372" s="21" t="n"/>
      <c r="BB372" s="27">
        <f>SUM(AZ372:BA372)</f>
        <v/>
      </c>
      <c r="BC372" s="28" t="n"/>
      <c r="BD372" s="28" t="n"/>
      <c r="BE372" s="29">
        <f>IF(AND(BB372=0,BC372=0,BD372=0),0,IF(AND(BB372=0,BC372=0),BD372/1,IF(AND(BB372=0,BD372=0),BC372/1,IF(AND(BC372=0,BD372=0),BB372/1,IF(BB372=0,FLOOR((BC372+BD372)/2,0.1),IF(BC372=0,(BB372+BD372)/2,IF(BD372=0,(BC372+BB372)/2,FLOOR(((BB372+BC372+BD372)/3),0.1))))))))</f>
        <v/>
      </c>
      <c r="BF372" s="21" t="n"/>
      <c r="BG372" s="21" t="n"/>
      <c r="BH372" s="27">
        <f>SUM(BF372:BG372)</f>
        <v/>
      </c>
      <c r="BI372" s="28" t="n"/>
      <c r="BJ372" s="28" t="n"/>
      <c r="BK372" s="29">
        <f>IF(AND(BH372=0,BI372=0,BJ372=0),0,IF(AND(BH372=0,BI372=0),BJ372/1,IF(AND(BH372=0,BJ372=0),BI372/1,IF(AND(BI372=0,BJ372=0),BH372/1,IF(BH372=0,FLOOR((BI372+BJ372)/2,0.1),IF(BI372=0,(BH372+BJ372)/2,IF(BJ372=0,(BI372+BH372)/2,FLOOR(((BH372+BI372+BJ372)/3),0.1))))))))</f>
        <v/>
      </c>
      <c r="BL372" s="21" t="n"/>
      <c r="BM372" s="21" t="n"/>
      <c r="BN372" s="27">
        <f>SUM(BL372:BM372)</f>
        <v/>
      </c>
      <c r="BO372" s="28" t="n"/>
      <c r="BP372" s="31" t="n"/>
      <c r="BQ372" s="29">
        <f>IF(AND(BN372=0,BO372=0,BP372=0),0,IF(AND(BN372=0,BO372=0),BP372/1,IF(AND(BN372=0,BP372=0),BO372/1,IF(AND(BO372=0,BP372=0),BN372/1,IF(BN372=0,FLOOR((BO372+BP372)/2,0.1),IF(BO372=0,(BN372+BP372)/2,IF(BP372=0,(BO372+BN372)/2,FLOOR(((BN372+BO372+BP372)/3),0.1))))))))</f>
        <v/>
      </c>
      <c r="BR372" s="21" t="n"/>
      <c r="BS372" s="21" t="n"/>
      <c r="BT372" s="27">
        <f>SUM(BR372:BS372)</f>
        <v/>
      </c>
      <c r="BU372" s="28" t="n"/>
      <c r="BV372" s="31" t="n"/>
      <c r="BW372" s="29">
        <f>IF(AND(BT372=0,BU372=0,BV372=0),0,IF(AND(BT372=0,BU372=0),BV372/1,IF(AND(BT372=0,BV372=0),BU372/1,IF(AND(BU372=0,BV372=0),BT372/1,IF(BT372=0,FLOOR((BU372+BV372)/2,0.1),IF(BU372=0,(BT372+BV372)/2,IF(BV372=0,(BU372+BT372)/2,FLOOR(((BT372+BU372+BV372)/3),0.1))))))))</f>
        <v/>
      </c>
      <c r="BX372" s="21" t="n"/>
      <c r="BY372" s="21" t="n"/>
      <c r="BZ372" s="27">
        <f>SUM(BX372:BY372)</f>
        <v/>
      </c>
      <c r="CA372" s="28" t="n"/>
      <c r="CB372" s="31" t="n"/>
      <c r="CC372" s="29">
        <f>IF(AND(BZ372=0,CA372=0,CB372=0),0,IF(AND(BZ372=0,CA372=0),CB372/1,IF(AND(BZ372=0,CB372=0),CA372/1,IF(AND(CA372=0,CB372=0),BZ372/1,IF(BZ372=0,FLOOR((CA372+CB372)/2,0.1),IF(CA372=0,(BZ372+CB372)/2,IF(CB372=0,(CA372+BZ372)/2,FLOOR(((BZ372+CA372+CB372)/3),0.1))))))))</f>
        <v/>
      </c>
      <c r="CD372" s="21" t="n"/>
      <c r="CE372" s="21" t="n"/>
      <c r="CF372" s="27">
        <f>SUM(CD372:CE372)</f>
        <v/>
      </c>
      <c r="CG372" s="28" t="n"/>
      <c r="CH372" s="31" t="n"/>
      <c r="CI372" s="29">
        <f>IF(AND(CF372=0,CG372=0,CH372=0),0,IF(AND(CF372=0,CG372=0),CH372/1,IF(AND(CF372=0,CH372=0),CG372/1,IF(AND(CG372=0,CH372=0),CF372/1,IF(CF372=0,FLOOR((CG372+CH372)/2,0.1),IF(CG372=0,(CF372+CH372)/2,IF(CH372=0,(CG372+CF372)/2,FLOOR(((CF372+CG372+CH372)/3),0.1))))))))</f>
        <v/>
      </c>
      <c r="CJ372" s="21" t="n"/>
      <c r="CK372" s="21" t="n"/>
      <c r="CL372" s="27">
        <f>SUM(CJ372:CK372)</f>
        <v/>
      </c>
      <c r="CM372" s="28" t="n"/>
      <c r="CN372" s="31" t="n"/>
      <c r="CO372" s="29">
        <f>IF(AND(CL372=0,CM372=0,CN372=0),0,IF(AND(CL372=0,CM372=0),CN372/1,IF(AND(CL372=0,CN372=0),CM372/1,IF(AND(CM372=0,CN372=0),CL372/1,IF(CL372=0,FLOOR((CM372+CN372)/2,0.1),IF(CM372=0,(CL372+CN372)/2,IF(CN372=0,(CM372+CL372)/2,FLOOR(((CL372+CM372+CN372)/3),0.1))))))))</f>
        <v/>
      </c>
      <c r="CP372" s="21" t="n"/>
      <c r="CQ372" s="21" t="n"/>
      <c r="CR372" s="27">
        <f>SUM(CP372:CQ372)</f>
        <v/>
      </c>
      <c r="CS372" s="28" t="n"/>
      <c r="CT372" s="31" t="n"/>
      <c r="CU372" s="29">
        <f>IF(AND(CR372=0,CS372=0,CT372=0),0,IF(AND(CR372=0,CS372=0),CT372/1,IF(AND(CR372=0,CT372=0),CS372/1,IF(AND(CS372=0,CT372=0),CR372/1,IF(CR372=0,FLOOR((CS372+CT372)/2,0.1),IF(CS372=0,(CR372+CT372)/2,IF(CT372=0,(CS372+CR372)/2,FLOOR(((CR372+CS372+CT372)/3),0.1))))))))</f>
        <v/>
      </c>
      <c r="CV372" s="21" t="n"/>
      <c r="CW372" s="21" t="n"/>
      <c r="CX372" s="27">
        <f>SUM(CV372:CW372)</f>
        <v/>
      </c>
      <c r="CY372" s="28" t="n"/>
      <c r="CZ372" s="31" t="n"/>
      <c r="DA372" s="29">
        <f>IF(AND(CX372=0,CY372=0,CZ372=0),0,IF(AND(CX372=0,CY372=0),CZ372/1,IF(AND(CX372=0,CZ372=0),CY372/1,IF(AND(CY372=0,CZ372=0),CX372/1,IF(CX372=0,FLOOR((CY372+CZ372)/2,0.1),IF(CY372=0,(CX372+CZ372)/2,IF(CZ372=0,(CY372+CX372)/2,FLOOR(((CX372+CY372+CZ372)/3),0.1))))))))</f>
        <v/>
      </c>
      <c r="DB372" s="21" t="n"/>
      <c r="DC372" s="21" t="n"/>
      <c r="DD372" s="27">
        <f>SUM(DB372:DC372)</f>
        <v/>
      </c>
      <c r="DE372" s="28" t="n"/>
      <c r="DF372" s="31" t="n"/>
      <c r="DG372" s="29">
        <f>IF(AND(DD372=0,DE372=0,DF372=0),0,IF(AND(DD372=0,DE372=0),DF372/1,IF(AND(DD372=0,DF372=0),DE372/1,IF(AND(DE372=0,DF372=0),DD372/1,IF(DD372=0,FLOOR((DE372+DF372)/2,0.1),IF(DE372=0,(DD372+DF372)/2,IF(DF372=0,(DE372+DD372)/2,FLOOR(((DD372+DE372+DF372)/3),0.1))))))))</f>
        <v/>
      </c>
      <c r="DH372" s="34">
        <f>SUM(O372,U372,AA372,AG372,AM372,AS372,AY372,BE372,BK372,BQ372,BW372,CC372,CI372,CO372,CU372,DA372,DG372)</f>
        <v/>
      </c>
      <c r="DI372" s="39">
        <f>RANK(DH372,DH$4:DH$503)</f>
        <v/>
      </c>
      <c r="DJ372" s="40" t="inlineStr">
        <is>
          <t>CHOOSE RATING</t>
        </is>
      </c>
      <c r="DK372" s="40" t="inlineStr">
        <is>
          <t>CHOOSE RATING</t>
        </is>
      </c>
      <c r="DL372" s="40" t="inlineStr">
        <is>
          <t>CHOOSE RATING</t>
        </is>
      </c>
      <c r="DM372" s="40" t="inlineStr">
        <is>
          <t>CHOOSE RATING</t>
        </is>
      </c>
      <c r="DN372" s="40" t="inlineStr">
        <is>
          <t>CHOOSE RATING</t>
        </is>
      </c>
      <c r="DO372" s="40" t="inlineStr">
        <is>
          <t>CHOOSE RATING</t>
        </is>
      </c>
      <c r="DP372" s="40" t="inlineStr">
        <is>
          <t>CHOOSE RATING</t>
        </is>
      </c>
      <c r="DQ372" s="40" t="inlineStr">
        <is>
          <t>CHOOSE RATING</t>
        </is>
      </c>
      <c r="DR372" s="43" t="inlineStr">
        <is>
          <t>2024/2025</t>
        </is>
      </c>
      <c r="DS372" s="45" t="inlineStr">
        <is>
          <t>THIRD</t>
        </is>
      </c>
      <c r="DT372" s="40" t="inlineStr">
        <is>
          <t>CHOOSE RATING</t>
        </is>
      </c>
      <c r="DU372" s="40" t="inlineStr">
        <is>
          <t>CHOOSE RATING</t>
        </is>
      </c>
      <c r="DV372" s="40" t="inlineStr">
        <is>
          <t>CHOOSE RATING</t>
        </is>
      </c>
      <c r="DW372" s="40" t="inlineStr">
        <is>
          <t>CHOOSE RATING</t>
        </is>
      </c>
      <c r="DX372" s="40" t="inlineStr">
        <is>
          <t>CHOOSE RATING</t>
        </is>
      </c>
      <c r="DY372" s="40" t="inlineStr">
        <is>
          <t>CHOOSE RATING</t>
        </is>
      </c>
      <c r="DZ372" s="53" t="inlineStr">
        <is>
          <t>CHOOSE RATING</t>
        </is>
      </c>
      <c r="EA372" s="54" t="inlineStr">
        <is>
          <t>Add the Tutor's Comment . . .</t>
        </is>
      </c>
      <c r="EB372" s="55" t="inlineStr">
        <is>
          <t>Choose Principals comment</t>
        </is>
      </c>
      <c r="EC372" s="56" t="n"/>
      <c r="ED372" s="57" t="inlineStr">
        <is>
          <t>Next Term Begins on Monday, 22nd September, 2025</t>
        </is>
      </c>
    </row>
    <row r="373" ht="30.6" customHeight="1" s="6">
      <c r="A373" s="18" t="n">
        <v>370</v>
      </c>
      <c r="B373" s="19" t="n"/>
      <c r="C373" s="20" t="n"/>
      <c r="D373" s="128" t="n"/>
      <c r="E373" s="21" t="n"/>
      <c r="F373" s="22" t="n"/>
      <c r="G373" s="22" t="n"/>
      <c r="H373" s="22" t="n"/>
      <c r="I373" s="26">
        <f>G373-H373</f>
        <v/>
      </c>
      <c r="J373" s="21" t="n"/>
      <c r="K373" s="21" t="n"/>
      <c r="L373" s="27">
        <f>SUM(J373:K373)</f>
        <v/>
      </c>
      <c r="M373" s="28" t="n"/>
      <c r="N373" s="28" t="n"/>
      <c r="O373" s="29">
        <f>IF(AND(L373=0,M373=0,N373=0),0,IF(AND(L373=0,M373=0),N373/1,IF(AND(L373=0,N373=0),M373/1,IF(AND(M373=0,N373=0),L373/1,IF(L373=0,FLOOR((M373+N373)/2,0.1),IF(M373=0,(L373+N373)/2,IF(N373=0,(M373+L373)/2,FLOOR(((L373+M373+N373)/3),0.1))))))))</f>
        <v/>
      </c>
      <c r="P373" s="21" t="n"/>
      <c r="Q373" s="21" t="n"/>
      <c r="R373" s="27">
        <f>SUM(P373:Q373)</f>
        <v/>
      </c>
      <c r="S373" s="28" t="n"/>
      <c r="T373" s="28" t="n"/>
      <c r="U373" s="29">
        <f>IF(AND(R373=0,S373=0,T373=0),0,IF(AND(R373=0,S373=0),T373/1,IF(AND(R373=0,T373=0),S373/1,IF(AND(S373=0,T373=0),R373/1,IF(R373=0,FLOOR((S373+T373)/2,0.1),IF(S373=0,(R373+T373)/2,IF(T373=0,(S373+R373)/2,FLOOR(((R373+S373+T373)/3),0.1))))))))</f>
        <v/>
      </c>
      <c r="V373" s="21" t="n"/>
      <c r="W373" s="21" t="n"/>
      <c r="X373" s="27">
        <f>SUM(V373:W373)</f>
        <v/>
      </c>
      <c r="Y373" s="28" t="n"/>
      <c r="Z373" s="28" t="n"/>
      <c r="AA373" s="29">
        <f>IF(AND(X373=0,Y373=0,Z373=0),0,IF(AND(X373=0,Y373=0),Z373/1,IF(AND(X373=0,Z373=0),Y373/1,IF(AND(Y373=0,Z373=0),X373/1,IF(X373=0,FLOOR((Y373+Z373)/2,0.1),IF(Y373=0,(X373+Z373)/2,IF(Z373=0,(Y373+X373)/2,FLOOR(((X373+Y373+Z373)/3),0.1))))))))</f>
        <v/>
      </c>
      <c r="AB373" s="21" t="n"/>
      <c r="AC373" s="21" t="n"/>
      <c r="AD373" s="27">
        <f>SUM(AB373:AC373)</f>
        <v/>
      </c>
      <c r="AE373" s="28" t="n"/>
      <c r="AF373" s="28" t="n"/>
      <c r="AG373" s="29">
        <f>IF(AND(AD373=0,AE373=0,AF373=0),0,IF(AND(AD373=0,AE373=0),AF373/1,IF(AND(AD373=0,AF373=0),AE373/1,IF(AND(AE373=0,AF373=0),AD373/1,IF(AD373=0,FLOOR((AE373+AF373)/2,0.1),IF(AE373=0,(AD373+AF373)/2,IF(AF373=0,(AE373+AD373)/2,FLOOR(((AD373+AE373+AF373)/3),0.1))))))))</f>
        <v/>
      </c>
      <c r="AH373" s="21" t="n"/>
      <c r="AI373" s="21" t="n"/>
      <c r="AJ373" s="27">
        <f>SUM(AH373:AI373)</f>
        <v/>
      </c>
      <c r="AK373" s="28" t="n"/>
      <c r="AL373" s="28" t="n"/>
      <c r="AM373" s="29">
        <f>IF(AND(AJ373=0,AK373=0,AL373=0),0,IF(AND(AJ373=0,AK373=0),AL373/1,IF(AND(AJ373=0,AL373=0),AK373/1,IF(AND(AK373=0,AL373=0),AJ373/1,IF(AJ373=0,FLOOR((AK373+AL373)/2,0.1),IF(AK373=0,(AJ373+AL373)/2,IF(AL373=0,(AK373+AJ373)/2,FLOOR(((AJ373+AK373+AL373)/3),0.1))))))))</f>
        <v/>
      </c>
      <c r="AN373" s="21" t="n"/>
      <c r="AO373" s="21" t="n"/>
      <c r="AP373" s="27">
        <f>SUM(AN373:AO373)</f>
        <v/>
      </c>
      <c r="AQ373" s="28" t="n"/>
      <c r="AR373" s="30" t="n"/>
      <c r="AS373" s="29">
        <f>IF(AND(AP373=0,AQ373=0,AR373=0),0,IF(AND(AP373=0,AQ373=0),AR373/1,IF(AND(AP373=0,AR373=0),AQ373/1,IF(AND(AQ373=0,AR373=0),AP373/1,IF(AP373=0,FLOOR((AQ373+AR373)/2,0.1),IF(AQ373=0,(AP373+AR373)/2,IF(AR373=0,(AQ373+AP373)/2,FLOOR(((AP373+AQ373+AR373)/3),0.1))))))))</f>
        <v/>
      </c>
      <c r="AT373" s="21" t="n"/>
      <c r="AU373" s="21" t="n"/>
      <c r="AV373" s="27">
        <f>SUM(AT373:AU373)</f>
        <v/>
      </c>
      <c r="AW373" s="28" t="n"/>
      <c r="AX373" s="30" t="n"/>
      <c r="AY373" s="29">
        <f>IF(AND(AV373=0,AW373=0,AX373=0),0,IF(AND(AV373=0,AW373=0),AX373/1,IF(AND(AV373=0,AX373=0),AW373/1,IF(AND(AW373=0,AX373=0),AV373/1,IF(AV373=0,FLOOR((AW373+AX373)/2,0.1),IF(AW373=0,(AV373+AX373)/2,IF(AX373=0,(AW373+AV373)/2,FLOOR(((AV373+AW373+AX373)/3),0.1))))))))</f>
        <v/>
      </c>
      <c r="AZ373" s="21" t="n"/>
      <c r="BA373" s="21" t="n"/>
      <c r="BB373" s="27">
        <f>SUM(AZ373:BA373)</f>
        <v/>
      </c>
      <c r="BC373" s="28" t="n"/>
      <c r="BD373" s="28" t="n"/>
      <c r="BE373" s="29">
        <f>IF(AND(BB373=0,BC373=0,BD373=0),0,IF(AND(BB373=0,BC373=0),BD373/1,IF(AND(BB373=0,BD373=0),BC373/1,IF(AND(BC373=0,BD373=0),BB373/1,IF(BB373=0,FLOOR((BC373+BD373)/2,0.1),IF(BC373=0,(BB373+BD373)/2,IF(BD373=0,(BC373+BB373)/2,FLOOR(((BB373+BC373+BD373)/3),0.1))))))))</f>
        <v/>
      </c>
      <c r="BF373" s="21" t="n"/>
      <c r="BG373" s="21" t="n"/>
      <c r="BH373" s="27">
        <f>SUM(BF373:BG373)</f>
        <v/>
      </c>
      <c r="BI373" s="28" t="n"/>
      <c r="BJ373" s="28" t="n"/>
      <c r="BK373" s="29">
        <f>IF(AND(BH373=0,BI373=0,BJ373=0),0,IF(AND(BH373=0,BI373=0),BJ373/1,IF(AND(BH373=0,BJ373=0),BI373/1,IF(AND(BI373=0,BJ373=0),BH373/1,IF(BH373=0,FLOOR((BI373+BJ373)/2,0.1),IF(BI373=0,(BH373+BJ373)/2,IF(BJ373=0,(BI373+BH373)/2,FLOOR(((BH373+BI373+BJ373)/3),0.1))))))))</f>
        <v/>
      </c>
      <c r="BL373" s="21" t="n"/>
      <c r="BM373" s="21" t="n"/>
      <c r="BN373" s="27">
        <f>SUM(BL373:BM373)</f>
        <v/>
      </c>
      <c r="BO373" s="28" t="n"/>
      <c r="BP373" s="31" t="n"/>
      <c r="BQ373" s="29">
        <f>IF(AND(BN373=0,BO373=0,BP373=0),0,IF(AND(BN373=0,BO373=0),BP373/1,IF(AND(BN373=0,BP373=0),BO373/1,IF(AND(BO373=0,BP373=0),BN373/1,IF(BN373=0,FLOOR((BO373+BP373)/2,0.1),IF(BO373=0,(BN373+BP373)/2,IF(BP373=0,(BO373+BN373)/2,FLOOR(((BN373+BO373+BP373)/3),0.1))))))))</f>
        <v/>
      </c>
      <c r="BR373" s="21" t="n"/>
      <c r="BS373" s="21" t="n"/>
      <c r="BT373" s="27">
        <f>SUM(BR373:BS373)</f>
        <v/>
      </c>
      <c r="BU373" s="28" t="n"/>
      <c r="BV373" s="31" t="n"/>
      <c r="BW373" s="29">
        <f>IF(AND(BT373=0,BU373=0,BV373=0),0,IF(AND(BT373=0,BU373=0),BV373/1,IF(AND(BT373=0,BV373=0),BU373/1,IF(AND(BU373=0,BV373=0),BT373/1,IF(BT373=0,FLOOR((BU373+BV373)/2,0.1),IF(BU373=0,(BT373+BV373)/2,IF(BV373=0,(BU373+BT373)/2,FLOOR(((BT373+BU373+BV373)/3),0.1))))))))</f>
        <v/>
      </c>
      <c r="BX373" s="21" t="n"/>
      <c r="BY373" s="21" t="n"/>
      <c r="BZ373" s="27">
        <f>SUM(BX373:BY373)</f>
        <v/>
      </c>
      <c r="CA373" s="28" t="n"/>
      <c r="CB373" s="31" t="n"/>
      <c r="CC373" s="29">
        <f>IF(AND(BZ373=0,CA373=0,CB373=0),0,IF(AND(BZ373=0,CA373=0),CB373/1,IF(AND(BZ373=0,CB373=0),CA373/1,IF(AND(CA373=0,CB373=0),BZ373/1,IF(BZ373=0,FLOOR((CA373+CB373)/2,0.1),IF(CA373=0,(BZ373+CB373)/2,IF(CB373=0,(CA373+BZ373)/2,FLOOR(((BZ373+CA373+CB373)/3),0.1))))))))</f>
        <v/>
      </c>
      <c r="CD373" s="21" t="n"/>
      <c r="CE373" s="21" t="n"/>
      <c r="CF373" s="27">
        <f>SUM(CD373:CE373)</f>
        <v/>
      </c>
      <c r="CG373" s="28" t="n"/>
      <c r="CH373" s="31" t="n"/>
      <c r="CI373" s="29">
        <f>IF(AND(CF373=0,CG373=0,CH373=0),0,IF(AND(CF373=0,CG373=0),CH373/1,IF(AND(CF373=0,CH373=0),CG373/1,IF(AND(CG373=0,CH373=0),CF373/1,IF(CF373=0,FLOOR((CG373+CH373)/2,0.1),IF(CG373=0,(CF373+CH373)/2,IF(CH373=0,(CG373+CF373)/2,FLOOR(((CF373+CG373+CH373)/3),0.1))))))))</f>
        <v/>
      </c>
      <c r="CJ373" s="21" t="n"/>
      <c r="CK373" s="21" t="n"/>
      <c r="CL373" s="27">
        <f>SUM(CJ373:CK373)</f>
        <v/>
      </c>
      <c r="CM373" s="28" t="n"/>
      <c r="CN373" s="31" t="n"/>
      <c r="CO373" s="29">
        <f>IF(AND(CL373=0,CM373=0,CN373=0),0,IF(AND(CL373=0,CM373=0),CN373/1,IF(AND(CL373=0,CN373=0),CM373/1,IF(AND(CM373=0,CN373=0),CL373/1,IF(CL373=0,FLOOR((CM373+CN373)/2,0.1),IF(CM373=0,(CL373+CN373)/2,IF(CN373=0,(CM373+CL373)/2,FLOOR(((CL373+CM373+CN373)/3),0.1))))))))</f>
        <v/>
      </c>
      <c r="CP373" s="21" t="n"/>
      <c r="CQ373" s="21" t="n"/>
      <c r="CR373" s="27">
        <f>SUM(CP373:CQ373)</f>
        <v/>
      </c>
      <c r="CS373" s="28" t="n"/>
      <c r="CT373" s="31" t="n"/>
      <c r="CU373" s="29">
        <f>IF(AND(CR373=0,CS373=0,CT373=0),0,IF(AND(CR373=0,CS373=0),CT373/1,IF(AND(CR373=0,CT373=0),CS373/1,IF(AND(CS373=0,CT373=0),CR373/1,IF(CR373=0,FLOOR((CS373+CT373)/2,0.1),IF(CS373=0,(CR373+CT373)/2,IF(CT373=0,(CS373+CR373)/2,FLOOR(((CR373+CS373+CT373)/3),0.1))))))))</f>
        <v/>
      </c>
      <c r="CV373" s="21" t="n"/>
      <c r="CW373" s="21" t="n"/>
      <c r="CX373" s="27">
        <f>SUM(CV373:CW373)</f>
        <v/>
      </c>
      <c r="CY373" s="28" t="n"/>
      <c r="CZ373" s="31" t="n"/>
      <c r="DA373" s="29">
        <f>IF(AND(CX373=0,CY373=0,CZ373=0),0,IF(AND(CX373=0,CY373=0),CZ373/1,IF(AND(CX373=0,CZ373=0),CY373/1,IF(AND(CY373=0,CZ373=0),CX373/1,IF(CX373=0,FLOOR((CY373+CZ373)/2,0.1),IF(CY373=0,(CX373+CZ373)/2,IF(CZ373=0,(CY373+CX373)/2,FLOOR(((CX373+CY373+CZ373)/3),0.1))))))))</f>
        <v/>
      </c>
      <c r="DB373" s="21" t="n"/>
      <c r="DC373" s="21" t="n"/>
      <c r="DD373" s="27">
        <f>SUM(DB373:DC373)</f>
        <v/>
      </c>
      <c r="DE373" s="28" t="n"/>
      <c r="DF373" s="31" t="n"/>
      <c r="DG373" s="29">
        <f>IF(AND(DD373=0,DE373=0,DF373=0),0,IF(AND(DD373=0,DE373=0),DF373/1,IF(AND(DD373=0,DF373=0),DE373/1,IF(AND(DE373=0,DF373=0),DD373/1,IF(DD373=0,FLOOR((DE373+DF373)/2,0.1),IF(DE373=0,(DD373+DF373)/2,IF(DF373=0,(DE373+DD373)/2,FLOOR(((DD373+DE373+DF373)/3),0.1))))))))</f>
        <v/>
      </c>
      <c r="DH373" s="34">
        <f>SUM(O373,U373,AA373,AG373,AM373,AS373,AY373,BE373,BK373,BQ373,BW373,CC373,CI373,CO373,CU373,DA373,DG373)</f>
        <v/>
      </c>
      <c r="DI373" s="39">
        <f>RANK(DH373,DH$4:DH$503)</f>
        <v/>
      </c>
      <c r="DJ373" s="40" t="inlineStr">
        <is>
          <t>CHOOSE RATING</t>
        </is>
      </c>
      <c r="DK373" s="40" t="inlineStr">
        <is>
          <t>CHOOSE RATING</t>
        </is>
      </c>
      <c r="DL373" s="40" t="inlineStr">
        <is>
          <t>CHOOSE RATING</t>
        </is>
      </c>
      <c r="DM373" s="40" t="inlineStr">
        <is>
          <t>CHOOSE RATING</t>
        </is>
      </c>
      <c r="DN373" s="40" t="inlineStr">
        <is>
          <t>CHOOSE RATING</t>
        </is>
      </c>
      <c r="DO373" s="40" t="inlineStr">
        <is>
          <t>CHOOSE RATING</t>
        </is>
      </c>
      <c r="DP373" s="40" t="inlineStr">
        <is>
          <t>CHOOSE RATING</t>
        </is>
      </c>
      <c r="DQ373" s="40" t="inlineStr">
        <is>
          <t>CHOOSE RATING</t>
        </is>
      </c>
      <c r="DR373" s="43" t="inlineStr">
        <is>
          <t>2024/2025</t>
        </is>
      </c>
      <c r="DS373" s="45" t="inlineStr">
        <is>
          <t>THIRD</t>
        </is>
      </c>
      <c r="DT373" s="40" t="inlineStr">
        <is>
          <t>CHOOSE RATING</t>
        </is>
      </c>
      <c r="DU373" s="40" t="inlineStr">
        <is>
          <t>CHOOSE RATING</t>
        </is>
      </c>
      <c r="DV373" s="40" t="inlineStr">
        <is>
          <t>CHOOSE RATING</t>
        </is>
      </c>
      <c r="DW373" s="40" t="inlineStr">
        <is>
          <t>CHOOSE RATING</t>
        </is>
      </c>
      <c r="DX373" s="40" t="inlineStr">
        <is>
          <t>CHOOSE RATING</t>
        </is>
      </c>
      <c r="DY373" s="40" t="inlineStr">
        <is>
          <t>CHOOSE RATING</t>
        </is>
      </c>
      <c r="DZ373" s="53" t="inlineStr">
        <is>
          <t>CHOOSE RATING</t>
        </is>
      </c>
      <c r="EA373" s="54" t="inlineStr">
        <is>
          <t>Add the Tutor's Comment . . .</t>
        </is>
      </c>
      <c r="EB373" s="55" t="inlineStr">
        <is>
          <t>Choose Principals comment</t>
        </is>
      </c>
      <c r="EC373" s="56" t="n"/>
      <c r="ED373" s="57" t="inlineStr">
        <is>
          <t>Next Term Begins on Monday, 22nd September, 2025</t>
        </is>
      </c>
    </row>
    <row r="374" ht="30.6" customHeight="1" s="6">
      <c r="A374" s="18" t="n">
        <v>371</v>
      </c>
      <c r="B374" s="19" t="n"/>
      <c r="C374" s="20" t="n"/>
      <c r="D374" s="128" t="n"/>
      <c r="E374" s="21" t="n"/>
      <c r="F374" s="22" t="n"/>
      <c r="G374" s="22" t="n"/>
      <c r="H374" s="22" t="n"/>
      <c r="I374" s="26">
        <f>G374-H374</f>
        <v/>
      </c>
      <c r="J374" s="21" t="n"/>
      <c r="K374" s="21" t="n"/>
      <c r="L374" s="27">
        <f>SUM(J374:K374)</f>
        <v/>
      </c>
      <c r="M374" s="28" t="n"/>
      <c r="N374" s="28" t="n"/>
      <c r="O374" s="29">
        <f>IF(AND(L374=0,M374=0,N374=0),0,IF(AND(L374=0,M374=0),N374/1,IF(AND(L374=0,N374=0),M374/1,IF(AND(M374=0,N374=0),L374/1,IF(L374=0,FLOOR((M374+N374)/2,0.1),IF(M374=0,(L374+N374)/2,IF(N374=0,(M374+L374)/2,FLOOR(((L374+M374+N374)/3),0.1))))))))</f>
        <v/>
      </c>
      <c r="P374" s="21" t="n"/>
      <c r="Q374" s="21" t="n"/>
      <c r="R374" s="27">
        <f>SUM(P374:Q374)</f>
        <v/>
      </c>
      <c r="S374" s="28" t="n"/>
      <c r="T374" s="28" t="n"/>
      <c r="U374" s="29">
        <f>IF(AND(R374=0,S374=0,T374=0),0,IF(AND(R374=0,S374=0),T374/1,IF(AND(R374=0,T374=0),S374/1,IF(AND(S374=0,T374=0),R374/1,IF(R374=0,FLOOR((S374+T374)/2,0.1),IF(S374=0,(R374+T374)/2,IF(T374=0,(S374+R374)/2,FLOOR(((R374+S374+T374)/3),0.1))))))))</f>
        <v/>
      </c>
      <c r="V374" s="21" t="n"/>
      <c r="W374" s="21" t="n"/>
      <c r="X374" s="27">
        <f>SUM(V374:W374)</f>
        <v/>
      </c>
      <c r="Y374" s="28" t="n"/>
      <c r="Z374" s="28" t="n"/>
      <c r="AA374" s="29">
        <f>IF(AND(X374=0,Y374=0,Z374=0),0,IF(AND(X374=0,Y374=0),Z374/1,IF(AND(X374=0,Z374=0),Y374/1,IF(AND(Y374=0,Z374=0),X374/1,IF(X374=0,FLOOR((Y374+Z374)/2,0.1),IF(Y374=0,(X374+Z374)/2,IF(Z374=0,(Y374+X374)/2,FLOOR(((X374+Y374+Z374)/3),0.1))))))))</f>
        <v/>
      </c>
      <c r="AB374" s="21" t="n"/>
      <c r="AC374" s="21" t="n"/>
      <c r="AD374" s="27">
        <f>SUM(AB374:AC374)</f>
        <v/>
      </c>
      <c r="AE374" s="28" t="n"/>
      <c r="AF374" s="28" t="n"/>
      <c r="AG374" s="29">
        <f>IF(AND(AD374=0,AE374=0,AF374=0),0,IF(AND(AD374=0,AE374=0),AF374/1,IF(AND(AD374=0,AF374=0),AE374/1,IF(AND(AE374=0,AF374=0),AD374/1,IF(AD374=0,FLOOR((AE374+AF374)/2,0.1),IF(AE374=0,(AD374+AF374)/2,IF(AF374=0,(AE374+AD374)/2,FLOOR(((AD374+AE374+AF374)/3),0.1))))))))</f>
        <v/>
      </c>
      <c r="AH374" s="21" t="n"/>
      <c r="AI374" s="21" t="n"/>
      <c r="AJ374" s="27">
        <f>SUM(AH374:AI374)</f>
        <v/>
      </c>
      <c r="AK374" s="28" t="n"/>
      <c r="AL374" s="28" t="n"/>
      <c r="AM374" s="29">
        <f>IF(AND(AJ374=0,AK374=0,AL374=0),0,IF(AND(AJ374=0,AK374=0),AL374/1,IF(AND(AJ374=0,AL374=0),AK374/1,IF(AND(AK374=0,AL374=0),AJ374/1,IF(AJ374=0,FLOOR((AK374+AL374)/2,0.1),IF(AK374=0,(AJ374+AL374)/2,IF(AL374=0,(AK374+AJ374)/2,FLOOR(((AJ374+AK374+AL374)/3),0.1))))))))</f>
        <v/>
      </c>
      <c r="AN374" s="21" t="n"/>
      <c r="AO374" s="21" t="n"/>
      <c r="AP374" s="27">
        <f>SUM(AN374:AO374)</f>
        <v/>
      </c>
      <c r="AQ374" s="28" t="n"/>
      <c r="AR374" s="30" t="n"/>
      <c r="AS374" s="29">
        <f>IF(AND(AP374=0,AQ374=0,AR374=0),0,IF(AND(AP374=0,AQ374=0),AR374/1,IF(AND(AP374=0,AR374=0),AQ374/1,IF(AND(AQ374=0,AR374=0),AP374/1,IF(AP374=0,FLOOR((AQ374+AR374)/2,0.1),IF(AQ374=0,(AP374+AR374)/2,IF(AR374=0,(AQ374+AP374)/2,FLOOR(((AP374+AQ374+AR374)/3),0.1))))))))</f>
        <v/>
      </c>
      <c r="AT374" s="21" t="n"/>
      <c r="AU374" s="21" t="n"/>
      <c r="AV374" s="27">
        <f>SUM(AT374:AU374)</f>
        <v/>
      </c>
      <c r="AW374" s="28" t="n"/>
      <c r="AX374" s="30" t="n"/>
      <c r="AY374" s="29">
        <f>IF(AND(AV374=0,AW374=0,AX374=0),0,IF(AND(AV374=0,AW374=0),AX374/1,IF(AND(AV374=0,AX374=0),AW374/1,IF(AND(AW374=0,AX374=0),AV374/1,IF(AV374=0,FLOOR((AW374+AX374)/2,0.1),IF(AW374=0,(AV374+AX374)/2,IF(AX374=0,(AW374+AV374)/2,FLOOR(((AV374+AW374+AX374)/3),0.1))))))))</f>
        <v/>
      </c>
      <c r="AZ374" s="21" t="n"/>
      <c r="BA374" s="21" t="n"/>
      <c r="BB374" s="27">
        <f>SUM(AZ374:BA374)</f>
        <v/>
      </c>
      <c r="BC374" s="28" t="n"/>
      <c r="BD374" s="28" t="n"/>
      <c r="BE374" s="29">
        <f>IF(AND(BB374=0,BC374=0,BD374=0),0,IF(AND(BB374=0,BC374=0),BD374/1,IF(AND(BB374=0,BD374=0),BC374/1,IF(AND(BC374=0,BD374=0),BB374/1,IF(BB374=0,FLOOR((BC374+BD374)/2,0.1),IF(BC374=0,(BB374+BD374)/2,IF(BD374=0,(BC374+BB374)/2,FLOOR(((BB374+BC374+BD374)/3),0.1))))))))</f>
        <v/>
      </c>
      <c r="BF374" s="21" t="n"/>
      <c r="BG374" s="21" t="n"/>
      <c r="BH374" s="27">
        <f>SUM(BF374:BG374)</f>
        <v/>
      </c>
      <c r="BI374" s="28" t="n"/>
      <c r="BJ374" s="28" t="n"/>
      <c r="BK374" s="29">
        <f>IF(AND(BH374=0,BI374=0,BJ374=0),0,IF(AND(BH374=0,BI374=0),BJ374/1,IF(AND(BH374=0,BJ374=0),BI374/1,IF(AND(BI374=0,BJ374=0),BH374/1,IF(BH374=0,FLOOR((BI374+BJ374)/2,0.1),IF(BI374=0,(BH374+BJ374)/2,IF(BJ374=0,(BI374+BH374)/2,FLOOR(((BH374+BI374+BJ374)/3),0.1))))))))</f>
        <v/>
      </c>
      <c r="BL374" s="21" t="n"/>
      <c r="BM374" s="21" t="n"/>
      <c r="BN374" s="27">
        <f>SUM(BL374:BM374)</f>
        <v/>
      </c>
      <c r="BO374" s="28" t="n"/>
      <c r="BP374" s="31" t="n"/>
      <c r="BQ374" s="29">
        <f>IF(AND(BN374=0,BO374=0,BP374=0),0,IF(AND(BN374=0,BO374=0),BP374/1,IF(AND(BN374=0,BP374=0),BO374/1,IF(AND(BO374=0,BP374=0),BN374/1,IF(BN374=0,FLOOR((BO374+BP374)/2,0.1),IF(BO374=0,(BN374+BP374)/2,IF(BP374=0,(BO374+BN374)/2,FLOOR(((BN374+BO374+BP374)/3),0.1))))))))</f>
        <v/>
      </c>
      <c r="BR374" s="21" t="n"/>
      <c r="BS374" s="21" t="n"/>
      <c r="BT374" s="27">
        <f>SUM(BR374:BS374)</f>
        <v/>
      </c>
      <c r="BU374" s="28" t="n"/>
      <c r="BV374" s="31" t="n"/>
      <c r="BW374" s="29">
        <f>IF(AND(BT374=0,BU374=0,BV374=0),0,IF(AND(BT374=0,BU374=0),BV374/1,IF(AND(BT374=0,BV374=0),BU374/1,IF(AND(BU374=0,BV374=0),BT374/1,IF(BT374=0,FLOOR((BU374+BV374)/2,0.1),IF(BU374=0,(BT374+BV374)/2,IF(BV374=0,(BU374+BT374)/2,FLOOR(((BT374+BU374+BV374)/3),0.1))))))))</f>
        <v/>
      </c>
      <c r="BX374" s="21" t="n"/>
      <c r="BY374" s="21" t="n"/>
      <c r="BZ374" s="27">
        <f>SUM(BX374:BY374)</f>
        <v/>
      </c>
      <c r="CA374" s="28" t="n"/>
      <c r="CB374" s="31" t="n"/>
      <c r="CC374" s="29">
        <f>IF(AND(BZ374=0,CA374=0,CB374=0),0,IF(AND(BZ374=0,CA374=0),CB374/1,IF(AND(BZ374=0,CB374=0),CA374/1,IF(AND(CA374=0,CB374=0),BZ374/1,IF(BZ374=0,FLOOR((CA374+CB374)/2,0.1),IF(CA374=0,(BZ374+CB374)/2,IF(CB374=0,(CA374+BZ374)/2,FLOOR(((BZ374+CA374+CB374)/3),0.1))))))))</f>
        <v/>
      </c>
      <c r="CD374" s="21" t="n"/>
      <c r="CE374" s="21" t="n"/>
      <c r="CF374" s="27">
        <f>SUM(CD374:CE374)</f>
        <v/>
      </c>
      <c r="CG374" s="28" t="n"/>
      <c r="CH374" s="31" t="n"/>
      <c r="CI374" s="29">
        <f>IF(AND(CF374=0,CG374=0,CH374=0),0,IF(AND(CF374=0,CG374=0),CH374/1,IF(AND(CF374=0,CH374=0),CG374/1,IF(AND(CG374=0,CH374=0),CF374/1,IF(CF374=0,FLOOR((CG374+CH374)/2,0.1),IF(CG374=0,(CF374+CH374)/2,IF(CH374=0,(CG374+CF374)/2,FLOOR(((CF374+CG374+CH374)/3),0.1))))))))</f>
        <v/>
      </c>
      <c r="CJ374" s="21" t="n"/>
      <c r="CK374" s="21" t="n"/>
      <c r="CL374" s="27">
        <f>SUM(CJ374:CK374)</f>
        <v/>
      </c>
      <c r="CM374" s="28" t="n"/>
      <c r="CN374" s="31" t="n"/>
      <c r="CO374" s="29">
        <f>IF(AND(CL374=0,CM374=0,CN374=0),0,IF(AND(CL374=0,CM374=0),CN374/1,IF(AND(CL374=0,CN374=0),CM374/1,IF(AND(CM374=0,CN374=0),CL374/1,IF(CL374=0,FLOOR((CM374+CN374)/2,0.1),IF(CM374=0,(CL374+CN374)/2,IF(CN374=0,(CM374+CL374)/2,FLOOR(((CL374+CM374+CN374)/3),0.1))))))))</f>
        <v/>
      </c>
      <c r="CP374" s="21" t="n"/>
      <c r="CQ374" s="21" t="n"/>
      <c r="CR374" s="27">
        <f>SUM(CP374:CQ374)</f>
        <v/>
      </c>
      <c r="CS374" s="28" t="n"/>
      <c r="CT374" s="31" t="n"/>
      <c r="CU374" s="29">
        <f>IF(AND(CR374=0,CS374=0,CT374=0),0,IF(AND(CR374=0,CS374=0),CT374/1,IF(AND(CR374=0,CT374=0),CS374/1,IF(AND(CS374=0,CT374=0),CR374/1,IF(CR374=0,FLOOR((CS374+CT374)/2,0.1),IF(CS374=0,(CR374+CT374)/2,IF(CT374=0,(CS374+CR374)/2,FLOOR(((CR374+CS374+CT374)/3),0.1))))))))</f>
        <v/>
      </c>
      <c r="CV374" s="21" t="n"/>
      <c r="CW374" s="21" t="n"/>
      <c r="CX374" s="27">
        <f>SUM(CV374:CW374)</f>
        <v/>
      </c>
      <c r="CY374" s="28" t="n"/>
      <c r="CZ374" s="31" t="n"/>
      <c r="DA374" s="29">
        <f>IF(AND(CX374=0,CY374=0,CZ374=0),0,IF(AND(CX374=0,CY374=0),CZ374/1,IF(AND(CX374=0,CZ374=0),CY374/1,IF(AND(CY374=0,CZ374=0),CX374/1,IF(CX374=0,FLOOR((CY374+CZ374)/2,0.1),IF(CY374=0,(CX374+CZ374)/2,IF(CZ374=0,(CY374+CX374)/2,FLOOR(((CX374+CY374+CZ374)/3),0.1))))))))</f>
        <v/>
      </c>
      <c r="DB374" s="21" t="n"/>
      <c r="DC374" s="21" t="n"/>
      <c r="DD374" s="27">
        <f>SUM(DB374:DC374)</f>
        <v/>
      </c>
      <c r="DE374" s="28" t="n"/>
      <c r="DF374" s="31" t="n"/>
      <c r="DG374" s="29">
        <f>IF(AND(DD374=0,DE374=0,DF374=0),0,IF(AND(DD374=0,DE374=0),DF374/1,IF(AND(DD374=0,DF374=0),DE374/1,IF(AND(DE374=0,DF374=0),DD374/1,IF(DD374=0,FLOOR((DE374+DF374)/2,0.1),IF(DE374=0,(DD374+DF374)/2,IF(DF374=0,(DE374+DD374)/2,FLOOR(((DD374+DE374+DF374)/3),0.1))))))))</f>
        <v/>
      </c>
      <c r="DH374" s="34">
        <f>SUM(O374,U374,AA374,AG374,AM374,AS374,AY374,BE374,BK374,BQ374,BW374,CC374,CI374,CO374,CU374,DA374,DG374)</f>
        <v/>
      </c>
      <c r="DI374" s="39">
        <f>RANK(DH374,DH$4:DH$503)</f>
        <v/>
      </c>
      <c r="DJ374" s="40" t="inlineStr">
        <is>
          <t>CHOOSE RATING</t>
        </is>
      </c>
      <c r="DK374" s="40" t="inlineStr">
        <is>
          <t>CHOOSE RATING</t>
        </is>
      </c>
      <c r="DL374" s="40" t="inlineStr">
        <is>
          <t>CHOOSE RATING</t>
        </is>
      </c>
      <c r="DM374" s="40" t="inlineStr">
        <is>
          <t>CHOOSE RATING</t>
        </is>
      </c>
      <c r="DN374" s="40" t="inlineStr">
        <is>
          <t>CHOOSE RATING</t>
        </is>
      </c>
      <c r="DO374" s="40" t="inlineStr">
        <is>
          <t>CHOOSE RATING</t>
        </is>
      </c>
      <c r="DP374" s="40" t="inlineStr">
        <is>
          <t>CHOOSE RATING</t>
        </is>
      </c>
      <c r="DQ374" s="40" t="inlineStr">
        <is>
          <t>CHOOSE RATING</t>
        </is>
      </c>
      <c r="DR374" s="43" t="inlineStr">
        <is>
          <t>2024/2025</t>
        </is>
      </c>
      <c r="DS374" s="45" t="inlineStr">
        <is>
          <t>THIRD</t>
        </is>
      </c>
      <c r="DT374" s="40" t="inlineStr">
        <is>
          <t>CHOOSE RATING</t>
        </is>
      </c>
      <c r="DU374" s="40" t="inlineStr">
        <is>
          <t>CHOOSE RATING</t>
        </is>
      </c>
      <c r="DV374" s="40" t="inlineStr">
        <is>
          <t>CHOOSE RATING</t>
        </is>
      </c>
      <c r="DW374" s="40" t="inlineStr">
        <is>
          <t>CHOOSE RATING</t>
        </is>
      </c>
      <c r="DX374" s="40" t="inlineStr">
        <is>
          <t>CHOOSE RATING</t>
        </is>
      </c>
      <c r="DY374" s="40" t="inlineStr">
        <is>
          <t>CHOOSE RATING</t>
        </is>
      </c>
      <c r="DZ374" s="53" t="inlineStr">
        <is>
          <t>CHOOSE RATING</t>
        </is>
      </c>
      <c r="EA374" s="54" t="inlineStr">
        <is>
          <t>Add the Tutor's Comment . . .</t>
        </is>
      </c>
      <c r="EB374" s="55" t="inlineStr">
        <is>
          <t>Choose Principals comment</t>
        </is>
      </c>
      <c r="EC374" s="56" t="n"/>
      <c r="ED374" s="57" t="inlineStr">
        <is>
          <t>Next Term Begins on Monday, 22nd September, 2025</t>
        </is>
      </c>
    </row>
    <row r="375" ht="30.6" customHeight="1" s="6">
      <c r="A375" s="18" t="n">
        <v>372</v>
      </c>
      <c r="B375" s="19" t="n"/>
      <c r="C375" s="20" t="n"/>
      <c r="D375" s="128" t="n"/>
      <c r="E375" s="21" t="n"/>
      <c r="F375" s="22" t="n"/>
      <c r="G375" s="22" t="n"/>
      <c r="H375" s="22" t="n"/>
      <c r="I375" s="26">
        <f>G375-H375</f>
        <v/>
      </c>
      <c r="J375" s="21" t="n"/>
      <c r="K375" s="21" t="n"/>
      <c r="L375" s="27">
        <f>SUM(J375:K375)</f>
        <v/>
      </c>
      <c r="M375" s="28" t="n"/>
      <c r="N375" s="28" t="n"/>
      <c r="O375" s="29">
        <f>IF(AND(L375=0,M375=0,N375=0),0,IF(AND(L375=0,M375=0),N375/1,IF(AND(L375=0,N375=0),M375/1,IF(AND(M375=0,N375=0),L375/1,IF(L375=0,FLOOR((M375+N375)/2,0.1),IF(M375=0,(L375+N375)/2,IF(N375=0,(M375+L375)/2,FLOOR(((L375+M375+N375)/3),0.1))))))))</f>
        <v/>
      </c>
      <c r="P375" s="21" t="n"/>
      <c r="Q375" s="21" t="n"/>
      <c r="R375" s="27">
        <f>SUM(P375:Q375)</f>
        <v/>
      </c>
      <c r="S375" s="28" t="n"/>
      <c r="T375" s="28" t="n"/>
      <c r="U375" s="29">
        <f>IF(AND(R375=0,S375=0,T375=0),0,IF(AND(R375=0,S375=0),T375/1,IF(AND(R375=0,T375=0),S375/1,IF(AND(S375=0,T375=0),R375/1,IF(R375=0,FLOOR((S375+T375)/2,0.1),IF(S375=0,(R375+T375)/2,IF(T375=0,(S375+R375)/2,FLOOR(((R375+S375+T375)/3),0.1))))))))</f>
        <v/>
      </c>
      <c r="V375" s="21" t="n"/>
      <c r="W375" s="21" t="n"/>
      <c r="X375" s="27">
        <f>SUM(V375:W375)</f>
        <v/>
      </c>
      <c r="Y375" s="28" t="n"/>
      <c r="Z375" s="28" t="n"/>
      <c r="AA375" s="29">
        <f>IF(AND(X375=0,Y375=0,Z375=0),0,IF(AND(X375=0,Y375=0),Z375/1,IF(AND(X375=0,Z375=0),Y375/1,IF(AND(Y375=0,Z375=0),X375/1,IF(X375=0,FLOOR((Y375+Z375)/2,0.1),IF(Y375=0,(X375+Z375)/2,IF(Z375=0,(Y375+X375)/2,FLOOR(((X375+Y375+Z375)/3),0.1))))))))</f>
        <v/>
      </c>
      <c r="AB375" s="21" t="n"/>
      <c r="AC375" s="21" t="n"/>
      <c r="AD375" s="27">
        <f>SUM(AB375:AC375)</f>
        <v/>
      </c>
      <c r="AE375" s="28" t="n"/>
      <c r="AF375" s="28" t="n"/>
      <c r="AG375" s="29">
        <f>IF(AND(AD375=0,AE375=0,AF375=0),0,IF(AND(AD375=0,AE375=0),AF375/1,IF(AND(AD375=0,AF375=0),AE375/1,IF(AND(AE375=0,AF375=0),AD375/1,IF(AD375=0,FLOOR((AE375+AF375)/2,0.1),IF(AE375=0,(AD375+AF375)/2,IF(AF375=0,(AE375+AD375)/2,FLOOR(((AD375+AE375+AF375)/3),0.1))))))))</f>
        <v/>
      </c>
      <c r="AH375" s="21" t="n"/>
      <c r="AI375" s="21" t="n"/>
      <c r="AJ375" s="27">
        <f>SUM(AH375:AI375)</f>
        <v/>
      </c>
      <c r="AK375" s="28" t="n"/>
      <c r="AL375" s="28" t="n"/>
      <c r="AM375" s="29">
        <f>IF(AND(AJ375=0,AK375=0,AL375=0),0,IF(AND(AJ375=0,AK375=0),AL375/1,IF(AND(AJ375=0,AL375=0),AK375/1,IF(AND(AK375=0,AL375=0),AJ375/1,IF(AJ375=0,FLOOR((AK375+AL375)/2,0.1),IF(AK375=0,(AJ375+AL375)/2,IF(AL375=0,(AK375+AJ375)/2,FLOOR(((AJ375+AK375+AL375)/3),0.1))))))))</f>
        <v/>
      </c>
      <c r="AN375" s="21" t="n"/>
      <c r="AO375" s="21" t="n"/>
      <c r="AP375" s="27">
        <f>SUM(AN375:AO375)</f>
        <v/>
      </c>
      <c r="AQ375" s="28" t="n"/>
      <c r="AR375" s="30" t="n"/>
      <c r="AS375" s="29">
        <f>IF(AND(AP375=0,AQ375=0,AR375=0),0,IF(AND(AP375=0,AQ375=0),AR375/1,IF(AND(AP375=0,AR375=0),AQ375/1,IF(AND(AQ375=0,AR375=0),AP375/1,IF(AP375=0,FLOOR((AQ375+AR375)/2,0.1),IF(AQ375=0,(AP375+AR375)/2,IF(AR375=0,(AQ375+AP375)/2,FLOOR(((AP375+AQ375+AR375)/3),0.1))))))))</f>
        <v/>
      </c>
      <c r="AT375" s="21" t="n"/>
      <c r="AU375" s="21" t="n"/>
      <c r="AV375" s="27">
        <f>SUM(AT375:AU375)</f>
        <v/>
      </c>
      <c r="AW375" s="28" t="n"/>
      <c r="AX375" s="30" t="n"/>
      <c r="AY375" s="29">
        <f>IF(AND(AV375=0,AW375=0,AX375=0),0,IF(AND(AV375=0,AW375=0),AX375/1,IF(AND(AV375=0,AX375=0),AW375/1,IF(AND(AW375=0,AX375=0),AV375/1,IF(AV375=0,FLOOR((AW375+AX375)/2,0.1),IF(AW375=0,(AV375+AX375)/2,IF(AX375=0,(AW375+AV375)/2,FLOOR(((AV375+AW375+AX375)/3),0.1))))))))</f>
        <v/>
      </c>
      <c r="AZ375" s="21" t="n"/>
      <c r="BA375" s="21" t="n"/>
      <c r="BB375" s="27">
        <f>SUM(AZ375:BA375)</f>
        <v/>
      </c>
      <c r="BC375" s="28" t="n"/>
      <c r="BD375" s="28" t="n"/>
      <c r="BE375" s="29">
        <f>IF(AND(BB375=0,BC375=0,BD375=0),0,IF(AND(BB375=0,BC375=0),BD375/1,IF(AND(BB375=0,BD375=0),BC375/1,IF(AND(BC375=0,BD375=0),BB375/1,IF(BB375=0,FLOOR((BC375+BD375)/2,0.1),IF(BC375=0,(BB375+BD375)/2,IF(BD375=0,(BC375+BB375)/2,FLOOR(((BB375+BC375+BD375)/3),0.1))))))))</f>
        <v/>
      </c>
      <c r="BF375" s="21" t="n"/>
      <c r="BG375" s="21" t="n"/>
      <c r="BH375" s="27">
        <f>SUM(BF375:BG375)</f>
        <v/>
      </c>
      <c r="BI375" s="28" t="n"/>
      <c r="BJ375" s="28" t="n"/>
      <c r="BK375" s="29">
        <f>IF(AND(BH375=0,BI375=0,BJ375=0),0,IF(AND(BH375=0,BI375=0),BJ375/1,IF(AND(BH375=0,BJ375=0),BI375/1,IF(AND(BI375=0,BJ375=0),BH375/1,IF(BH375=0,FLOOR((BI375+BJ375)/2,0.1),IF(BI375=0,(BH375+BJ375)/2,IF(BJ375=0,(BI375+BH375)/2,FLOOR(((BH375+BI375+BJ375)/3),0.1))))))))</f>
        <v/>
      </c>
      <c r="BL375" s="21" t="n"/>
      <c r="BM375" s="21" t="n"/>
      <c r="BN375" s="27">
        <f>SUM(BL375:BM375)</f>
        <v/>
      </c>
      <c r="BO375" s="28" t="n"/>
      <c r="BP375" s="31" t="n"/>
      <c r="BQ375" s="29">
        <f>IF(AND(BN375=0,BO375=0,BP375=0),0,IF(AND(BN375=0,BO375=0),BP375/1,IF(AND(BN375=0,BP375=0),BO375/1,IF(AND(BO375=0,BP375=0),BN375/1,IF(BN375=0,FLOOR((BO375+BP375)/2,0.1),IF(BO375=0,(BN375+BP375)/2,IF(BP375=0,(BO375+BN375)/2,FLOOR(((BN375+BO375+BP375)/3),0.1))))))))</f>
        <v/>
      </c>
      <c r="BR375" s="21" t="n"/>
      <c r="BS375" s="21" t="n"/>
      <c r="BT375" s="27">
        <f>SUM(BR375:BS375)</f>
        <v/>
      </c>
      <c r="BU375" s="28" t="n"/>
      <c r="BV375" s="31" t="n"/>
      <c r="BW375" s="29">
        <f>IF(AND(BT375=0,BU375=0,BV375=0),0,IF(AND(BT375=0,BU375=0),BV375/1,IF(AND(BT375=0,BV375=0),BU375/1,IF(AND(BU375=0,BV375=0),BT375/1,IF(BT375=0,FLOOR((BU375+BV375)/2,0.1),IF(BU375=0,(BT375+BV375)/2,IF(BV375=0,(BU375+BT375)/2,FLOOR(((BT375+BU375+BV375)/3),0.1))))))))</f>
        <v/>
      </c>
      <c r="BX375" s="21" t="n"/>
      <c r="BY375" s="21" t="n"/>
      <c r="BZ375" s="27">
        <f>SUM(BX375:BY375)</f>
        <v/>
      </c>
      <c r="CA375" s="28" t="n"/>
      <c r="CB375" s="31" t="n"/>
      <c r="CC375" s="29">
        <f>IF(AND(BZ375=0,CA375=0,CB375=0),0,IF(AND(BZ375=0,CA375=0),CB375/1,IF(AND(BZ375=0,CB375=0),CA375/1,IF(AND(CA375=0,CB375=0),BZ375/1,IF(BZ375=0,FLOOR((CA375+CB375)/2,0.1),IF(CA375=0,(BZ375+CB375)/2,IF(CB375=0,(CA375+BZ375)/2,FLOOR(((BZ375+CA375+CB375)/3),0.1))))))))</f>
        <v/>
      </c>
      <c r="CD375" s="21" t="n"/>
      <c r="CE375" s="21" t="n"/>
      <c r="CF375" s="27">
        <f>SUM(CD375:CE375)</f>
        <v/>
      </c>
      <c r="CG375" s="28" t="n"/>
      <c r="CH375" s="31" t="n"/>
      <c r="CI375" s="29">
        <f>IF(AND(CF375=0,CG375=0,CH375=0),0,IF(AND(CF375=0,CG375=0),CH375/1,IF(AND(CF375=0,CH375=0),CG375/1,IF(AND(CG375=0,CH375=0),CF375/1,IF(CF375=0,FLOOR((CG375+CH375)/2,0.1),IF(CG375=0,(CF375+CH375)/2,IF(CH375=0,(CG375+CF375)/2,FLOOR(((CF375+CG375+CH375)/3),0.1))))))))</f>
        <v/>
      </c>
      <c r="CJ375" s="21" t="n"/>
      <c r="CK375" s="21" t="n"/>
      <c r="CL375" s="27">
        <f>SUM(CJ375:CK375)</f>
        <v/>
      </c>
      <c r="CM375" s="28" t="n"/>
      <c r="CN375" s="31" t="n"/>
      <c r="CO375" s="29">
        <f>IF(AND(CL375=0,CM375=0,CN375=0),0,IF(AND(CL375=0,CM375=0),CN375/1,IF(AND(CL375=0,CN375=0),CM375/1,IF(AND(CM375=0,CN375=0),CL375/1,IF(CL375=0,FLOOR((CM375+CN375)/2,0.1),IF(CM375=0,(CL375+CN375)/2,IF(CN375=0,(CM375+CL375)/2,FLOOR(((CL375+CM375+CN375)/3),0.1))))))))</f>
        <v/>
      </c>
      <c r="CP375" s="21" t="n"/>
      <c r="CQ375" s="21" t="n"/>
      <c r="CR375" s="27">
        <f>SUM(CP375:CQ375)</f>
        <v/>
      </c>
      <c r="CS375" s="28" t="n"/>
      <c r="CT375" s="31" t="n"/>
      <c r="CU375" s="29">
        <f>IF(AND(CR375=0,CS375=0,CT375=0),0,IF(AND(CR375=0,CS375=0),CT375/1,IF(AND(CR375=0,CT375=0),CS375/1,IF(AND(CS375=0,CT375=0),CR375/1,IF(CR375=0,FLOOR((CS375+CT375)/2,0.1),IF(CS375=0,(CR375+CT375)/2,IF(CT375=0,(CS375+CR375)/2,FLOOR(((CR375+CS375+CT375)/3),0.1))))))))</f>
        <v/>
      </c>
      <c r="CV375" s="21" t="n"/>
      <c r="CW375" s="21" t="n"/>
      <c r="CX375" s="27">
        <f>SUM(CV375:CW375)</f>
        <v/>
      </c>
      <c r="CY375" s="28" t="n"/>
      <c r="CZ375" s="31" t="n"/>
      <c r="DA375" s="29">
        <f>IF(AND(CX375=0,CY375=0,CZ375=0),0,IF(AND(CX375=0,CY375=0),CZ375/1,IF(AND(CX375=0,CZ375=0),CY375/1,IF(AND(CY375=0,CZ375=0),CX375/1,IF(CX375=0,FLOOR((CY375+CZ375)/2,0.1),IF(CY375=0,(CX375+CZ375)/2,IF(CZ375=0,(CY375+CX375)/2,FLOOR(((CX375+CY375+CZ375)/3),0.1))))))))</f>
        <v/>
      </c>
      <c r="DB375" s="21" t="n"/>
      <c r="DC375" s="21" t="n"/>
      <c r="DD375" s="27">
        <f>SUM(DB375:DC375)</f>
        <v/>
      </c>
      <c r="DE375" s="28" t="n"/>
      <c r="DF375" s="31" t="n"/>
      <c r="DG375" s="29">
        <f>IF(AND(DD375=0,DE375=0,DF375=0),0,IF(AND(DD375=0,DE375=0),DF375/1,IF(AND(DD375=0,DF375=0),DE375/1,IF(AND(DE375=0,DF375=0),DD375/1,IF(DD375=0,FLOOR((DE375+DF375)/2,0.1),IF(DE375=0,(DD375+DF375)/2,IF(DF375=0,(DE375+DD375)/2,FLOOR(((DD375+DE375+DF375)/3),0.1))))))))</f>
        <v/>
      </c>
      <c r="DH375" s="34">
        <f>SUM(O375,U375,AA375,AG375,AM375,AS375,AY375,BE375,BK375,BQ375,BW375,CC375,CI375,CO375,CU375,DA375,DG375)</f>
        <v/>
      </c>
      <c r="DI375" s="39">
        <f>RANK(DH375,DH$4:DH$503)</f>
        <v/>
      </c>
      <c r="DJ375" s="40" t="inlineStr">
        <is>
          <t>CHOOSE RATING</t>
        </is>
      </c>
      <c r="DK375" s="40" t="inlineStr">
        <is>
          <t>CHOOSE RATING</t>
        </is>
      </c>
      <c r="DL375" s="40" t="inlineStr">
        <is>
          <t>CHOOSE RATING</t>
        </is>
      </c>
      <c r="DM375" s="40" t="inlineStr">
        <is>
          <t>CHOOSE RATING</t>
        </is>
      </c>
      <c r="DN375" s="40" t="inlineStr">
        <is>
          <t>CHOOSE RATING</t>
        </is>
      </c>
      <c r="DO375" s="40" t="inlineStr">
        <is>
          <t>CHOOSE RATING</t>
        </is>
      </c>
      <c r="DP375" s="40" t="inlineStr">
        <is>
          <t>CHOOSE RATING</t>
        </is>
      </c>
      <c r="DQ375" s="40" t="inlineStr">
        <is>
          <t>CHOOSE RATING</t>
        </is>
      </c>
      <c r="DR375" s="43" t="inlineStr">
        <is>
          <t>2024/2025</t>
        </is>
      </c>
      <c r="DS375" s="45" t="inlineStr">
        <is>
          <t>THIRD</t>
        </is>
      </c>
      <c r="DT375" s="40" t="inlineStr">
        <is>
          <t>CHOOSE RATING</t>
        </is>
      </c>
      <c r="DU375" s="40" t="inlineStr">
        <is>
          <t>CHOOSE RATING</t>
        </is>
      </c>
      <c r="DV375" s="40" t="inlineStr">
        <is>
          <t>CHOOSE RATING</t>
        </is>
      </c>
      <c r="DW375" s="40" t="inlineStr">
        <is>
          <t>CHOOSE RATING</t>
        </is>
      </c>
      <c r="DX375" s="40" t="inlineStr">
        <is>
          <t>CHOOSE RATING</t>
        </is>
      </c>
      <c r="DY375" s="40" t="inlineStr">
        <is>
          <t>CHOOSE RATING</t>
        </is>
      </c>
      <c r="DZ375" s="53" t="inlineStr">
        <is>
          <t>CHOOSE RATING</t>
        </is>
      </c>
      <c r="EA375" s="54" t="inlineStr">
        <is>
          <t>Add the Tutor's Comment . . .</t>
        </is>
      </c>
      <c r="EB375" s="55" t="inlineStr">
        <is>
          <t>Choose Principals comment</t>
        </is>
      </c>
      <c r="EC375" s="56" t="n"/>
      <c r="ED375" s="57" t="inlineStr">
        <is>
          <t>Next Term Begins on Monday, 22nd September, 2025</t>
        </is>
      </c>
    </row>
    <row r="376" ht="30.6" customHeight="1" s="6">
      <c r="A376" s="18" t="n">
        <v>373</v>
      </c>
      <c r="B376" s="19" t="n"/>
      <c r="C376" s="20" t="n"/>
      <c r="D376" s="128" t="n"/>
      <c r="E376" s="21" t="n"/>
      <c r="F376" s="22" t="n"/>
      <c r="G376" s="22" t="n"/>
      <c r="H376" s="22" t="n"/>
      <c r="I376" s="26">
        <f>G376-H376</f>
        <v/>
      </c>
      <c r="J376" s="21" t="n"/>
      <c r="K376" s="21" t="n"/>
      <c r="L376" s="27">
        <f>SUM(J376:K376)</f>
        <v/>
      </c>
      <c r="M376" s="28" t="n"/>
      <c r="N376" s="28" t="n"/>
      <c r="O376" s="29">
        <f>IF(AND(L376=0,M376=0,N376=0),0,IF(AND(L376=0,M376=0),N376/1,IF(AND(L376=0,N376=0),M376/1,IF(AND(M376=0,N376=0),L376/1,IF(L376=0,FLOOR((M376+N376)/2,0.1),IF(M376=0,(L376+N376)/2,IF(N376=0,(M376+L376)/2,FLOOR(((L376+M376+N376)/3),0.1))))))))</f>
        <v/>
      </c>
      <c r="P376" s="21" t="n"/>
      <c r="Q376" s="21" t="n"/>
      <c r="R376" s="27">
        <f>SUM(P376:Q376)</f>
        <v/>
      </c>
      <c r="S376" s="28" t="n"/>
      <c r="T376" s="28" t="n"/>
      <c r="U376" s="29">
        <f>IF(AND(R376=0,S376=0,T376=0),0,IF(AND(R376=0,S376=0),T376/1,IF(AND(R376=0,T376=0),S376/1,IF(AND(S376=0,T376=0),R376/1,IF(R376=0,FLOOR((S376+T376)/2,0.1),IF(S376=0,(R376+T376)/2,IF(T376=0,(S376+R376)/2,FLOOR(((R376+S376+T376)/3),0.1))))))))</f>
        <v/>
      </c>
      <c r="V376" s="21" t="n"/>
      <c r="W376" s="21" t="n"/>
      <c r="X376" s="27">
        <f>SUM(V376:W376)</f>
        <v/>
      </c>
      <c r="Y376" s="28" t="n"/>
      <c r="Z376" s="28" t="n"/>
      <c r="AA376" s="29">
        <f>IF(AND(X376=0,Y376=0,Z376=0),0,IF(AND(X376=0,Y376=0),Z376/1,IF(AND(X376=0,Z376=0),Y376/1,IF(AND(Y376=0,Z376=0),X376/1,IF(X376=0,FLOOR((Y376+Z376)/2,0.1),IF(Y376=0,(X376+Z376)/2,IF(Z376=0,(Y376+X376)/2,FLOOR(((X376+Y376+Z376)/3),0.1))))))))</f>
        <v/>
      </c>
      <c r="AB376" s="21" t="n"/>
      <c r="AC376" s="21" t="n"/>
      <c r="AD376" s="27">
        <f>SUM(AB376:AC376)</f>
        <v/>
      </c>
      <c r="AE376" s="28" t="n"/>
      <c r="AF376" s="28" t="n"/>
      <c r="AG376" s="29">
        <f>IF(AND(AD376=0,AE376=0,AF376=0),0,IF(AND(AD376=0,AE376=0),AF376/1,IF(AND(AD376=0,AF376=0),AE376/1,IF(AND(AE376=0,AF376=0),AD376/1,IF(AD376=0,FLOOR((AE376+AF376)/2,0.1),IF(AE376=0,(AD376+AF376)/2,IF(AF376=0,(AE376+AD376)/2,FLOOR(((AD376+AE376+AF376)/3),0.1))))))))</f>
        <v/>
      </c>
      <c r="AH376" s="21" t="n"/>
      <c r="AI376" s="21" t="n"/>
      <c r="AJ376" s="27">
        <f>SUM(AH376:AI376)</f>
        <v/>
      </c>
      <c r="AK376" s="28" t="n"/>
      <c r="AL376" s="28" t="n"/>
      <c r="AM376" s="29">
        <f>IF(AND(AJ376=0,AK376=0,AL376=0),0,IF(AND(AJ376=0,AK376=0),AL376/1,IF(AND(AJ376=0,AL376=0),AK376/1,IF(AND(AK376=0,AL376=0),AJ376/1,IF(AJ376=0,FLOOR((AK376+AL376)/2,0.1),IF(AK376=0,(AJ376+AL376)/2,IF(AL376=0,(AK376+AJ376)/2,FLOOR(((AJ376+AK376+AL376)/3),0.1))))))))</f>
        <v/>
      </c>
      <c r="AN376" s="21" t="n"/>
      <c r="AO376" s="21" t="n"/>
      <c r="AP376" s="27">
        <f>SUM(AN376:AO376)</f>
        <v/>
      </c>
      <c r="AQ376" s="28" t="n"/>
      <c r="AR376" s="30" t="n"/>
      <c r="AS376" s="29">
        <f>IF(AND(AP376=0,AQ376=0,AR376=0),0,IF(AND(AP376=0,AQ376=0),AR376/1,IF(AND(AP376=0,AR376=0),AQ376/1,IF(AND(AQ376=0,AR376=0),AP376/1,IF(AP376=0,FLOOR((AQ376+AR376)/2,0.1),IF(AQ376=0,(AP376+AR376)/2,IF(AR376=0,(AQ376+AP376)/2,FLOOR(((AP376+AQ376+AR376)/3),0.1))))))))</f>
        <v/>
      </c>
      <c r="AT376" s="21" t="n"/>
      <c r="AU376" s="21" t="n"/>
      <c r="AV376" s="27">
        <f>SUM(AT376:AU376)</f>
        <v/>
      </c>
      <c r="AW376" s="28" t="n"/>
      <c r="AX376" s="30" t="n"/>
      <c r="AY376" s="29">
        <f>IF(AND(AV376=0,AW376=0,AX376=0),0,IF(AND(AV376=0,AW376=0),AX376/1,IF(AND(AV376=0,AX376=0),AW376/1,IF(AND(AW376=0,AX376=0),AV376/1,IF(AV376=0,FLOOR((AW376+AX376)/2,0.1),IF(AW376=0,(AV376+AX376)/2,IF(AX376=0,(AW376+AV376)/2,FLOOR(((AV376+AW376+AX376)/3),0.1))))))))</f>
        <v/>
      </c>
      <c r="AZ376" s="21" t="n"/>
      <c r="BA376" s="21" t="n"/>
      <c r="BB376" s="27">
        <f>SUM(AZ376:BA376)</f>
        <v/>
      </c>
      <c r="BC376" s="28" t="n"/>
      <c r="BD376" s="28" t="n"/>
      <c r="BE376" s="29">
        <f>IF(AND(BB376=0,BC376=0,BD376=0),0,IF(AND(BB376=0,BC376=0),BD376/1,IF(AND(BB376=0,BD376=0),BC376/1,IF(AND(BC376=0,BD376=0),BB376/1,IF(BB376=0,FLOOR((BC376+BD376)/2,0.1),IF(BC376=0,(BB376+BD376)/2,IF(BD376=0,(BC376+BB376)/2,FLOOR(((BB376+BC376+BD376)/3),0.1))))))))</f>
        <v/>
      </c>
      <c r="BF376" s="21" t="n"/>
      <c r="BG376" s="21" t="n"/>
      <c r="BH376" s="27">
        <f>SUM(BF376:BG376)</f>
        <v/>
      </c>
      <c r="BI376" s="28" t="n"/>
      <c r="BJ376" s="28" t="n"/>
      <c r="BK376" s="29">
        <f>IF(AND(BH376=0,BI376=0,BJ376=0),0,IF(AND(BH376=0,BI376=0),BJ376/1,IF(AND(BH376=0,BJ376=0),BI376/1,IF(AND(BI376=0,BJ376=0),BH376/1,IF(BH376=0,FLOOR((BI376+BJ376)/2,0.1),IF(BI376=0,(BH376+BJ376)/2,IF(BJ376=0,(BI376+BH376)/2,FLOOR(((BH376+BI376+BJ376)/3),0.1))))))))</f>
        <v/>
      </c>
      <c r="BL376" s="21" t="n"/>
      <c r="BM376" s="21" t="n"/>
      <c r="BN376" s="27">
        <f>SUM(BL376:BM376)</f>
        <v/>
      </c>
      <c r="BO376" s="28" t="n"/>
      <c r="BP376" s="31" t="n"/>
      <c r="BQ376" s="29">
        <f>IF(AND(BN376=0,BO376=0,BP376=0),0,IF(AND(BN376=0,BO376=0),BP376/1,IF(AND(BN376=0,BP376=0),BO376/1,IF(AND(BO376=0,BP376=0),BN376/1,IF(BN376=0,FLOOR((BO376+BP376)/2,0.1),IF(BO376=0,(BN376+BP376)/2,IF(BP376=0,(BO376+BN376)/2,FLOOR(((BN376+BO376+BP376)/3),0.1))))))))</f>
        <v/>
      </c>
      <c r="BR376" s="21" t="n"/>
      <c r="BS376" s="21" t="n"/>
      <c r="BT376" s="27">
        <f>SUM(BR376:BS376)</f>
        <v/>
      </c>
      <c r="BU376" s="28" t="n"/>
      <c r="BV376" s="31" t="n"/>
      <c r="BW376" s="29">
        <f>IF(AND(BT376=0,BU376=0,BV376=0),0,IF(AND(BT376=0,BU376=0),BV376/1,IF(AND(BT376=0,BV376=0),BU376/1,IF(AND(BU376=0,BV376=0),BT376/1,IF(BT376=0,FLOOR((BU376+BV376)/2,0.1),IF(BU376=0,(BT376+BV376)/2,IF(BV376=0,(BU376+BT376)/2,FLOOR(((BT376+BU376+BV376)/3),0.1))))))))</f>
        <v/>
      </c>
      <c r="BX376" s="21" t="n"/>
      <c r="BY376" s="21" t="n"/>
      <c r="BZ376" s="27">
        <f>SUM(BX376:BY376)</f>
        <v/>
      </c>
      <c r="CA376" s="28" t="n"/>
      <c r="CB376" s="31" t="n"/>
      <c r="CC376" s="29">
        <f>IF(AND(BZ376=0,CA376=0,CB376=0),0,IF(AND(BZ376=0,CA376=0),CB376/1,IF(AND(BZ376=0,CB376=0),CA376/1,IF(AND(CA376=0,CB376=0),BZ376/1,IF(BZ376=0,FLOOR((CA376+CB376)/2,0.1),IF(CA376=0,(BZ376+CB376)/2,IF(CB376=0,(CA376+BZ376)/2,FLOOR(((BZ376+CA376+CB376)/3),0.1))))))))</f>
        <v/>
      </c>
      <c r="CD376" s="21" t="n"/>
      <c r="CE376" s="21" t="n"/>
      <c r="CF376" s="27">
        <f>SUM(CD376:CE376)</f>
        <v/>
      </c>
      <c r="CG376" s="28" t="n"/>
      <c r="CH376" s="31" t="n"/>
      <c r="CI376" s="29">
        <f>IF(AND(CF376=0,CG376=0,CH376=0),0,IF(AND(CF376=0,CG376=0),CH376/1,IF(AND(CF376=0,CH376=0),CG376/1,IF(AND(CG376=0,CH376=0),CF376/1,IF(CF376=0,FLOOR((CG376+CH376)/2,0.1),IF(CG376=0,(CF376+CH376)/2,IF(CH376=0,(CG376+CF376)/2,FLOOR(((CF376+CG376+CH376)/3),0.1))))))))</f>
        <v/>
      </c>
      <c r="CJ376" s="21" t="n"/>
      <c r="CK376" s="21" t="n"/>
      <c r="CL376" s="27">
        <f>SUM(CJ376:CK376)</f>
        <v/>
      </c>
      <c r="CM376" s="28" t="n"/>
      <c r="CN376" s="31" t="n"/>
      <c r="CO376" s="29">
        <f>IF(AND(CL376=0,CM376=0,CN376=0),0,IF(AND(CL376=0,CM376=0),CN376/1,IF(AND(CL376=0,CN376=0),CM376/1,IF(AND(CM376=0,CN376=0),CL376/1,IF(CL376=0,FLOOR((CM376+CN376)/2,0.1),IF(CM376=0,(CL376+CN376)/2,IF(CN376=0,(CM376+CL376)/2,FLOOR(((CL376+CM376+CN376)/3),0.1))))))))</f>
        <v/>
      </c>
      <c r="CP376" s="21" t="n"/>
      <c r="CQ376" s="21" t="n"/>
      <c r="CR376" s="27">
        <f>SUM(CP376:CQ376)</f>
        <v/>
      </c>
      <c r="CS376" s="28" t="n"/>
      <c r="CT376" s="31" t="n"/>
      <c r="CU376" s="29">
        <f>IF(AND(CR376=0,CS376=0,CT376=0),0,IF(AND(CR376=0,CS376=0),CT376/1,IF(AND(CR376=0,CT376=0),CS376/1,IF(AND(CS376=0,CT376=0),CR376/1,IF(CR376=0,FLOOR((CS376+CT376)/2,0.1),IF(CS376=0,(CR376+CT376)/2,IF(CT376=0,(CS376+CR376)/2,FLOOR(((CR376+CS376+CT376)/3),0.1))))))))</f>
        <v/>
      </c>
      <c r="CV376" s="21" t="n"/>
      <c r="CW376" s="21" t="n"/>
      <c r="CX376" s="27">
        <f>SUM(CV376:CW376)</f>
        <v/>
      </c>
      <c r="CY376" s="28" t="n"/>
      <c r="CZ376" s="31" t="n"/>
      <c r="DA376" s="29">
        <f>IF(AND(CX376=0,CY376=0,CZ376=0),0,IF(AND(CX376=0,CY376=0),CZ376/1,IF(AND(CX376=0,CZ376=0),CY376/1,IF(AND(CY376=0,CZ376=0),CX376/1,IF(CX376=0,FLOOR((CY376+CZ376)/2,0.1),IF(CY376=0,(CX376+CZ376)/2,IF(CZ376=0,(CY376+CX376)/2,FLOOR(((CX376+CY376+CZ376)/3),0.1))))))))</f>
        <v/>
      </c>
      <c r="DB376" s="21" t="n"/>
      <c r="DC376" s="21" t="n"/>
      <c r="DD376" s="27">
        <f>SUM(DB376:DC376)</f>
        <v/>
      </c>
      <c r="DE376" s="28" t="n"/>
      <c r="DF376" s="31" t="n"/>
      <c r="DG376" s="29">
        <f>IF(AND(DD376=0,DE376=0,DF376=0),0,IF(AND(DD376=0,DE376=0),DF376/1,IF(AND(DD376=0,DF376=0),DE376/1,IF(AND(DE376=0,DF376=0),DD376/1,IF(DD376=0,FLOOR((DE376+DF376)/2,0.1),IF(DE376=0,(DD376+DF376)/2,IF(DF376=0,(DE376+DD376)/2,FLOOR(((DD376+DE376+DF376)/3),0.1))))))))</f>
        <v/>
      </c>
      <c r="DH376" s="34">
        <f>SUM(O376,U376,AA376,AG376,AM376,AS376,AY376,BE376,BK376,BQ376,BW376,CC376,CI376,CO376,CU376,DA376,DG376)</f>
        <v/>
      </c>
      <c r="DI376" s="39">
        <f>RANK(DH376,DH$4:DH$503)</f>
        <v/>
      </c>
      <c r="DJ376" s="40" t="inlineStr">
        <is>
          <t>CHOOSE RATING</t>
        </is>
      </c>
      <c r="DK376" s="40" t="inlineStr">
        <is>
          <t>CHOOSE RATING</t>
        </is>
      </c>
      <c r="DL376" s="40" t="inlineStr">
        <is>
          <t>CHOOSE RATING</t>
        </is>
      </c>
      <c r="DM376" s="40" t="inlineStr">
        <is>
          <t>CHOOSE RATING</t>
        </is>
      </c>
      <c r="DN376" s="40" t="inlineStr">
        <is>
          <t>CHOOSE RATING</t>
        </is>
      </c>
      <c r="DO376" s="40" t="inlineStr">
        <is>
          <t>CHOOSE RATING</t>
        </is>
      </c>
      <c r="DP376" s="40" t="inlineStr">
        <is>
          <t>CHOOSE RATING</t>
        </is>
      </c>
      <c r="DQ376" s="40" t="inlineStr">
        <is>
          <t>CHOOSE RATING</t>
        </is>
      </c>
      <c r="DR376" s="43" t="inlineStr">
        <is>
          <t>2024/2025</t>
        </is>
      </c>
      <c r="DS376" s="45" t="inlineStr">
        <is>
          <t>THIRD</t>
        </is>
      </c>
      <c r="DT376" s="40" t="inlineStr">
        <is>
          <t>CHOOSE RATING</t>
        </is>
      </c>
      <c r="DU376" s="40" t="inlineStr">
        <is>
          <t>CHOOSE RATING</t>
        </is>
      </c>
      <c r="DV376" s="40" t="inlineStr">
        <is>
          <t>CHOOSE RATING</t>
        </is>
      </c>
      <c r="DW376" s="40" t="inlineStr">
        <is>
          <t>CHOOSE RATING</t>
        </is>
      </c>
      <c r="DX376" s="40" t="inlineStr">
        <is>
          <t>CHOOSE RATING</t>
        </is>
      </c>
      <c r="DY376" s="40" t="inlineStr">
        <is>
          <t>CHOOSE RATING</t>
        </is>
      </c>
      <c r="DZ376" s="53" t="inlineStr">
        <is>
          <t>CHOOSE RATING</t>
        </is>
      </c>
      <c r="EA376" s="54" t="inlineStr">
        <is>
          <t>Add the Tutor's Comment . . .</t>
        </is>
      </c>
      <c r="EB376" s="55" t="inlineStr">
        <is>
          <t>Choose Principals comment</t>
        </is>
      </c>
      <c r="EC376" s="56" t="n"/>
      <c r="ED376" s="57" t="inlineStr">
        <is>
          <t>Next Term Begins on Monday, 22nd September, 2025</t>
        </is>
      </c>
    </row>
    <row r="377" ht="30.6" customHeight="1" s="6">
      <c r="A377" s="18" t="n">
        <v>374</v>
      </c>
      <c r="B377" s="19" t="n"/>
      <c r="C377" s="20" t="n"/>
      <c r="D377" s="128" t="n"/>
      <c r="E377" s="21" t="n"/>
      <c r="F377" s="22" t="n"/>
      <c r="G377" s="22" t="n"/>
      <c r="H377" s="22" t="n"/>
      <c r="I377" s="26">
        <f>G377-H377</f>
        <v/>
      </c>
      <c r="J377" s="21" t="n"/>
      <c r="K377" s="21" t="n"/>
      <c r="L377" s="27">
        <f>SUM(J377:K377)</f>
        <v/>
      </c>
      <c r="M377" s="28" t="n"/>
      <c r="N377" s="28" t="n"/>
      <c r="O377" s="29">
        <f>IF(AND(L377=0,M377=0,N377=0),0,IF(AND(L377=0,M377=0),N377/1,IF(AND(L377=0,N377=0),M377/1,IF(AND(M377=0,N377=0),L377/1,IF(L377=0,FLOOR((M377+N377)/2,0.1),IF(M377=0,(L377+N377)/2,IF(N377=0,(M377+L377)/2,FLOOR(((L377+M377+N377)/3),0.1))))))))</f>
        <v/>
      </c>
      <c r="P377" s="21" t="n"/>
      <c r="Q377" s="21" t="n"/>
      <c r="R377" s="27">
        <f>SUM(P377:Q377)</f>
        <v/>
      </c>
      <c r="S377" s="28" t="n"/>
      <c r="T377" s="28" t="n"/>
      <c r="U377" s="29">
        <f>IF(AND(R377=0,S377=0,T377=0),0,IF(AND(R377=0,S377=0),T377/1,IF(AND(R377=0,T377=0),S377/1,IF(AND(S377=0,T377=0),R377/1,IF(R377=0,FLOOR((S377+T377)/2,0.1),IF(S377=0,(R377+T377)/2,IF(T377=0,(S377+R377)/2,FLOOR(((R377+S377+T377)/3),0.1))))))))</f>
        <v/>
      </c>
      <c r="V377" s="21" t="n"/>
      <c r="W377" s="21" t="n"/>
      <c r="X377" s="27">
        <f>SUM(V377:W377)</f>
        <v/>
      </c>
      <c r="Y377" s="28" t="n"/>
      <c r="Z377" s="28" t="n"/>
      <c r="AA377" s="29">
        <f>IF(AND(X377=0,Y377=0,Z377=0),0,IF(AND(X377=0,Y377=0),Z377/1,IF(AND(X377=0,Z377=0),Y377/1,IF(AND(Y377=0,Z377=0),X377/1,IF(X377=0,FLOOR((Y377+Z377)/2,0.1),IF(Y377=0,(X377+Z377)/2,IF(Z377=0,(Y377+X377)/2,FLOOR(((X377+Y377+Z377)/3),0.1))))))))</f>
        <v/>
      </c>
      <c r="AB377" s="21" t="n"/>
      <c r="AC377" s="21" t="n"/>
      <c r="AD377" s="27">
        <f>SUM(AB377:AC377)</f>
        <v/>
      </c>
      <c r="AE377" s="28" t="n"/>
      <c r="AF377" s="28" t="n"/>
      <c r="AG377" s="29">
        <f>IF(AND(AD377=0,AE377=0,AF377=0),0,IF(AND(AD377=0,AE377=0),AF377/1,IF(AND(AD377=0,AF377=0),AE377/1,IF(AND(AE377=0,AF377=0),AD377/1,IF(AD377=0,FLOOR((AE377+AF377)/2,0.1),IF(AE377=0,(AD377+AF377)/2,IF(AF377=0,(AE377+AD377)/2,FLOOR(((AD377+AE377+AF377)/3),0.1))))))))</f>
        <v/>
      </c>
      <c r="AH377" s="21" t="n"/>
      <c r="AI377" s="21" t="n"/>
      <c r="AJ377" s="27">
        <f>SUM(AH377:AI377)</f>
        <v/>
      </c>
      <c r="AK377" s="28" t="n"/>
      <c r="AL377" s="28" t="n"/>
      <c r="AM377" s="29">
        <f>IF(AND(AJ377=0,AK377=0,AL377=0),0,IF(AND(AJ377=0,AK377=0),AL377/1,IF(AND(AJ377=0,AL377=0),AK377/1,IF(AND(AK377=0,AL377=0),AJ377/1,IF(AJ377=0,FLOOR((AK377+AL377)/2,0.1),IF(AK377=0,(AJ377+AL377)/2,IF(AL377=0,(AK377+AJ377)/2,FLOOR(((AJ377+AK377+AL377)/3),0.1))))))))</f>
        <v/>
      </c>
      <c r="AN377" s="21" t="n"/>
      <c r="AO377" s="21" t="n"/>
      <c r="AP377" s="27">
        <f>SUM(AN377:AO377)</f>
        <v/>
      </c>
      <c r="AQ377" s="28" t="n"/>
      <c r="AR377" s="30" t="n"/>
      <c r="AS377" s="29">
        <f>IF(AND(AP377=0,AQ377=0,AR377=0),0,IF(AND(AP377=0,AQ377=0),AR377/1,IF(AND(AP377=0,AR377=0),AQ377/1,IF(AND(AQ377=0,AR377=0),AP377/1,IF(AP377=0,FLOOR((AQ377+AR377)/2,0.1),IF(AQ377=0,(AP377+AR377)/2,IF(AR377=0,(AQ377+AP377)/2,FLOOR(((AP377+AQ377+AR377)/3),0.1))))))))</f>
        <v/>
      </c>
      <c r="AT377" s="21" t="n"/>
      <c r="AU377" s="21" t="n"/>
      <c r="AV377" s="27">
        <f>SUM(AT377:AU377)</f>
        <v/>
      </c>
      <c r="AW377" s="28" t="n"/>
      <c r="AX377" s="30" t="n"/>
      <c r="AY377" s="29">
        <f>IF(AND(AV377=0,AW377=0,AX377=0),0,IF(AND(AV377=0,AW377=0),AX377/1,IF(AND(AV377=0,AX377=0),AW377/1,IF(AND(AW377=0,AX377=0),AV377/1,IF(AV377=0,FLOOR((AW377+AX377)/2,0.1),IF(AW377=0,(AV377+AX377)/2,IF(AX377=0,(AW377+AV377)/2,FLOOR(((AV377+AW377+AX377)/3),0.1))))))))</f>
        <v/>
      </c>
      <c r="AZ377" s="21" t="n"/>
      <c r="BA377" s="21" t="n"/>
      <c r="BB377" s="27">
        <f>SUM(AZ377:BA377)</f>
        <v/>
      </c>
      <c r="BC377" s="28" t="n"/>
      <c r="BD377" s="28" t="n"/>
      <c r="BE377" s="29">
        <f>IF(AND(BB377=0,BC377=0,BD377=0),0,IF(AND(BB377=0,BC377=0),BD377/1,IF(AND(BB377=0,BD377=0),BC377/1,IF(AND(BC377=0,BD377=0),BB377/1,IF(BB377=0,FLOOR((BC377+BD377)/2,0.1),IF(BC377=0,(BB377+BD377)/2,IF(BD377=0,(BC377+BB377)/2,FLOOR(((BB377+BC377+BD377)/3),0.1))))))))</f>
        <v/>
      </c>
      <c r="BF377" s="21" t="n"/>
      <c r="BG377" s="21" t="n"/>
      <c r="BH377" s="27">
        <f>SUM(BF377:BG377)</f>
        <v/>
      </c>
      <c r="BI377" s="28" t="n"/>
      <c r="BJ377" s="28" t="n"/>
      <c r="BK377" s="29">
        <f>IF(AND(BH377=0,BI377=0,BJ377=0),0,IF(AND(BH377=0,BI377=0),BJ377/1,IF(AND(BH377=0,BJ377=0),BI377/1,IF(AND(BI377=0,BJ377=0),BH377/1,IF(BH377=0,FLOOR((BI377+BJ377)/2,0.1),IF(BI377=0,(BH377+BJ377)/2,IF(BJ377=0,(BI377+BH377)/2,FLOOR(((BH377+BI377+BJ377)/3),0.1))))))))</f>
        <v/>
      </c>
      <c r="BL377" s="21" t="n"/>
      <c r="BM377" s="21" t="n"/>
      <c r="BN377" s="27">
        <f>SUM(BL377:BM377)</f>
        <v/>
      </c>
      <c r="BO377" s="28" t="n"/>
      <c r="BP377" s="31" t="n"/>
      <c r="BQ377" s="29">
        <f>IF(AND(BN377=0,BO377=0,BP377=0),0,IF(AND(BN377=0,BO377=0),BP377/1,IF(AND(BN377=0,BP377=0),BO377/1,IF(AND(BO377=0,BP377=0),BN377/1,IF(BN377=0,FLOOR((BO377+BP377)/2,0.1),IF(BO377=0,(BN377+BP377)/2,IF(BP377=0,(BO377+BN377)/2,FLOOR(((BN377+BO377+BP377)/3),0.1))))))))</f>
        <v/>
      </c>
      <c r="BR377" s="21" t="n"/>
      <c r="BS377" s="21" t="n"/>
      <c r="BT377" s="27">
        <f>SUM(BR377:BS377)</f>
        <v/>
      </c>
      <c r="BU377" s="28" t="n"/>
      <c r="BV377" s="31" t="n"/>
      <c r="BW377" s="29">
        <f>IF(AND(BT377=0,BU377=0,BV377=0),0,IF(AND(BT377=0,BU377=0),BV377/1,IF(AND(BT377=0,BV377=0),BU377/1,IF(AND(BU377=0,BV377=0),BT377/1,IF(BT377=0,FLOOR((BU377+BV377)/2,0.1),IF(BU377=0,(BT377+BV377)/2,IF(BV377=0,(BU377+BT377)/2,FLOOR(((BT377+BU377+BV377)/3),0.1))))))))</f>
        <v/>
      </c>
      <c r="BX377" s="21" t="n"/>
      <c r="BY377" s="21" t="n"/>
      <c r="BZ377" s="27">
        <f>SUM(BX377:BY377)</f>
        <v/>
      </c>
      <c r="CA377" s="28" t="n"/>
      <c r="CB377" s="31" t="n"/>
      <c r="CC377" s="29">
        <f>IF(AND(BZ377=0,CA377=0,CB377=0),0,IF(AND(BZ377=0,CA377=0),CB377/1,IF(AND(BZ377=0,CB377=0),CA377/1,IF(AND(CA377=0,CB377=0),BZ377/1,IF(BZ377=0,FLOOR((CA377+CB377)/2,0.1),IF(CA377=0,(BZ377+CB377)/2,IF(CB377=0,(CA377+BZ377)/2,FLOOR(((BZ377+CA377+CB377)/3),0.1))))))))</f>
        <v/>
      </c>
      <c r="CD377" s="21" t="n"/>
      <c r="CE377" s="21" t="n"/>
      <c r="CF377" s="27">
        <f>SUM(CD377:CE377)</f>
        <v/>
      </c>
      <c r="CG377" s="28" t="n"/>
      <c r="CH377" s="31" t="n"/>
      <c r="CI377" s="29">
        <f>IF(AND(CF377=0,CG377=0,CH377=0),0,IF(AND(CF377=0,CG377=0),CH377/1,IF(AND(CF377=0,CH377=0),CG377/1,IF(AND(CG377=0,CH377=0),CF377/1,IF(CF377=0,FLOOR((CG377+CH377)/2,0.1),IF(CG377=0,(CF377+CH377)/2,IF(CH377=0,(CG377+CF377)/2,FLOOR(((CF377+CG377+CH377)/3),0.1))))))))</f>
        <v/>
      </c>
      <c r="CJ377" s="21" t="n"/>
      <c r="CK377" s="21" t="n"/>
      <c r="CL377" s="27">
        <f>SUM(CJ377:CK377)</f>
        <v/>
      </c>
      <c r="CM377" s="28" t="n"/>
      <c r="CN377" s="31" t="n"/>
      <c r="CO377" s="29">
        <f>IF(AND(CL377=0,CM377=0,CN377=0),0,IF(AND(CL377=0,CM377=0),CN377/1,IF(AND(CL377=0,CN377=0),CM377/1,IF(AND(CM377=0,CN377=0),CL377/1,IF(CL377=0,FLOOR((CM377+CN377)/2,0.1),IF(CM377=0,(CL377+CN377)/2,IF(CN377=0,(CM377+CL377)/2,FLOOR(((CL377+CM377+CN377)/3),0.1))))))))</f>
        <v/>
      </c>
      <c r="CP377" s="21" t="n"/>
      <c r="CQ377" s="21" t="n"/>
      <c r="CR377" s="27">
        <f>SUM(CP377:CQ377)</f>
        <v/>
      </c>
      <c r="CS377" s="28" t="n"/>
      <c r="CT377" s="31" t="n"/>
      <c r="CU377" s="29">
        <f>IF(AND(CR377=0,CS377=0,CT377=0),0,IF(AND(CR377=0,CS377=0),CT377/1,IF(AND(CR377=0,CT377=0),CS377/1,IF(AND(CS377=0,CT377=0),CR377/1,IF(CR377=0,FLOOR((CS377+CT377)/2,0.1),IF(CS377=0,(CR377+CT377)/2,IF(CT377=0,(CS377+CR377)/2,FLOOR(((CR377+CS377+CT377)/3),0.1))))))))</f>
        <v/>
      </c>
      <c r="CV377" s="21" t="n"/>
      <c r="CW377" s="21" t="n"/>
      <c r="CX377" s="27">
        <f>SUM(CV377:CW377)</f>
        <v/>
      </c>
      <c r="CY377" s="28" t="n"/>
      <c r="CZ377" s="31" t="n"/>
      <c r="DA377" s="29">
        <f>IF(AND(CX377=0,CY377=0,CZ377=0),0,IF(AND(CX377=0,CY377=0),CZ377/1,IF(AND(CX377=0,CZ377=0),CY377/1,IF(AND(CY377=0,CZ377=0),CX377/1,IF(CX377=0,FLOOR((CY377+CZ377)/2,0.1),IF(CY377=0,(CX377+CZ377)/2,IF(CZ377=0,(CY377+CX377)/2,FLOOR(((CX377+CY377+CZ377)/3),0.1))))))))</f>
        <v/>
      </c>
      <c r="DB377" s="21" t="n"/>
      <c r="DC377" s="21" t="n"/>
      <c r="DD377" s="27">
        <f>SUM(DB377:DC377)</f>
        <v/>
      </c>
      <c r="DE377" s="28" t="n"/>
      <c r="DF377" s="31" t="n"/>
      <c r="DG377" s="29">
        <f>IF(AND(DD377=0,DE377=0,DF377=0),0,IF(AND(DD377=0,DE377=0),DF377/1,IF(AND(DD377=0,DF377=0),DE377/1,IF(AND(DE377=0,DF377=0),DD377/1,IF(DD377=0,FLOOR((DE377+DF377)/2,0.1),IF(DE377=0,(DD377+DF377)/2,IF(DF377=0,(DE377+DD377)/2,FLOOR(((DD377+DE377+DF377)/3),0.1))))))))</f>
        <v/>
      </c>
      <c r="DH377" s="34">
        <f>SUM(O377,U377,AA377,AG377,AM377,AS377,AY377,BE377,BK377,BQ377,BW377,CC377,CI377,CO377,CU377,DA377,DG377)</f>
        <v/>
      </c>
      <c r="DI377" s="39">
        <f>RANK(DH377,DH$4:DH$503)</f>
        <v/>
      </c>
      <c r="DJ377" s="40" t="inlineStr">
        <is>
          <t>CHOOSE RATING</t>
        </is>
      </c>
      <c r="DK377" s="40" t="inlineStr">
        <is>
          <t>CHOOSE RATING</t>
        </is>
      </c>
      <c r="DL377" s="40" t="inlineStr">
        <is>
          <t>CHOOSE RATING</t>
        </is>
      </c>
      <c r="DM377" s="40" t="inlineStr">
        <is>
          <t>CHOOSE RATING</t>
        </is>
      </c>
      <c r="DN377" s="40" t="inlineStr">
        <is>
          <t>CHOOSE RATING</t>
        </is>
      </c>
      <c r="DO377" s="40" t="inlineStr">
        <is>
          <t>CHOOSE RATING</t>
        </is>
      </c>
      <c r="DP377" s="40" t="inlineStr">
        <is>
          <t>CHOOSE RATING</t>
        </is>
      </c>
      <c r="DQ377" s="40" t="inlineStr">
        <is>
          <t>CHOOSE RATING</t>
        </is>
      </c>
      <c r="DR377" s="43" t="inlineStr">
        <is>
          <t>2024/2025</t>
        </is>
      </c>
      <c r="DS377" s="45" t="inlineStr">
        <is>
          <t>THIRD</t>
        </is>
      </c>
      <c r="DT377" s="40" t="inlineStr">
        <is>
          <t>CHOOSE RATING</t>
        </is>
      </c>
      <c r="DU377" s="40" t="inlineStr">
        <is>
          <t>CHOOSE RATING</t>
        </is>
      </c>
      <c r="DV377" s="40" t="inlineStr">
        <is>
          <t>CHOOSE RATING</t>
        </is>
      </c>
      <c r="DW377" s="40" t="inlineStr">
        <is>
          <t>CHOOSE RATING</t>
        </is>
      </c>
      <c r="DX377" s="40" t="inlineStr">
        <is>
          <t>CHOOSE RATING</t>
        </is>
      </c>
      <c r="DY377" s="40" t="inlineStr">
        <is>
          <t>CHOOSE RATING</t>
        </is>
      </c>
      <c r="DZ377" s="53" t="inlineStr">
        <is>
          <t>CHOOSE RATING</t>
        </is>
      </c>
      <c r="EA377" s="54" t="inlineStr">
        <is>
          <t>Add the Tutor's Comment . . .</t>
        </is>
      </c>
      <c r="EB377" s="55" t="inlineStr">
        <is>
          <t>Choose Principals comment</t>
        </is>
      </c>
      <c r="EC377" s="56" t="n"/>
      <c r="ED377" s="57" t="inlineStr">
        <is>
          <t>Next Term Begins on Monday, 22nd September, 2025</t>
        </is>
      </c>
    </row>
    <row r="378" ht="30.6" customHeight="1" s="6">
      <c r="A378" s="18" t="n">
        <v>375</v>
      </c>
      <c r="B378" s="19" t="n"/>
      <c r="C378" s="20" t="n"/>
      <c r="D378" s="128" t="n"/>
      <c r="E378" s="21" t="n"/>
      <c r="F378" s="22" t="n"/>
      <c r="G378" s="22" t="n"/>
      <c r="H378" s="22" t="n"/>
      <c r="I378" s="26">
        <f>G378-H378</f>
        <v/>
      </c>
      <c r="J378" s="21" t="n"/>
      <c r="K378" s="21" t="n"/>
      <c r="L378" s="27">
        <f>SUM(J378:K378)</f>
        <v/>
      </c>
      <c r="M378" s="28" t="n"/>
      <c r="N378" s="28" t="n"/>
      <c r="O378" s="29">
        <f>IF(AND(L378=0,M378=0,N378=0),0,IF(AND(L378=0,M378=0),N378/1,IF(AND(L378=0,N378=0),M378/1,IF(AND(M378=0,N378=0),L378/1,IF(L378=0,FLOOR((M378+N378)/2,0.1),IF(M378=0,(L378+N378)/2,IF(N378=0,(M378+L378)/2,FLOOR(((L378+M378+N378)/3),0.1))))))))</f>
        <v/>
      </c>
      <c r="P378" s="21" t="n"/>
      <c r="Q378" s="21" t="n"/>
      <c r="R378" s="27">
        <f>SUM(P378:Q378)</f>
        <v/>
      </c>
      <c r="S378" s="28" t="n"/>
      <c r="T378" s="28" t="n"/>
      <c r="U378" s="29">
        <f>IF(AND(R378=0,S378=0,T378=0),0,IF(AND(R378=0,S378=0),T378/1,IF(AND(R378=0,T378=0),S378/1,IF(AND(S378=0,T378=0),R378/1,IF(R378=0,FLOOR((S378+T378)/2,0.1),IF(S378=0,(R378+T378)/2,IF(T378=0,(S378+R378)/2,FLOOR(((R378+S378+T378)/3),0.1))))))))</f>
        <v/>
      </c>
      <c r="V378" s="21" t="n"/>
      <c r="W378" s="21" t="n"/>
      <c r="X378" s="27">
        <f>SUM(V378:W378)</f>
        <v/>
      </c>
      <c r="Y378" s="28" t="n"/>
      <c r="Z378" s="28" t="n"/>
      <c r="AA378" s="29">
        <f>IF(AND(X378=0,Y378=0,Z378=0),0,IF(AND(X378=0,Y378=0),Z378/1,IF(AND(X378=0,Z378=0),Y378/1,IF(AND(Y378=0,Z378=0),X378/1,IF(X378=0,FLOOR((Y378+Z378)/2,0.1),IF(Y378=0,(X378+Z378)/2,IF(Z378=0,(Y378+X378)/2,FLOOR(((X378+Y378+Z378)/3),0.1))))))))</f>
        <v/>
      </c>
      <c r="AB378" s="21" t="n"/>
      <c r="AC378" s="21" t="n"/>
      <c r="AD378" s="27">
        <f>SUM(AB378:AC378)</f>
        <v/>
      </c>
      <c r="AE378" s="28" t="n"/>
      <c r="AF378" s="28" t="n"/>
      <c r="AG378" s="29">
        <f>IF(AND(AD378=0,AE378=0,AF378=0),0,IF(AND(AD378=0,AE378=0),AF378/1,IF(AND(AD378=0,AF378=0),AE378/1,IF(AND(AE378=0,AF378=0),AD378/1,IF(AD378=0,FLOOR((AE378+AF378)/2,0.1),IF(AE378=0,(AD378+AF378)/2,IF(AF378=0,(AE378+AD378)/2,FLOOR(((AD378+AE378+AF378)/3),0.1))))))))</f>
        <v/>
      </c>
      <c r="AH378" s="21" t="n"/>
      <c r="AI378" s="21" t="n"/>
      <c r="AJ378" s="27">
        <f>SUM(AH378:AI378)</f>
        <v/>
      </c>
      <c r="AK378" s="28" t="n"/>
      <c r="AL378" s="28" t="n"/>
      <c r="AM378" s="29">
        <f>IF(AND(AJ378=0,AK378=0,AL378=0),0,IF(AND(AJ378=0,AK378=0),AL378/1,IF(AND(AJ378=0,AL378=0),AK378/1,IF(AND(AK378=0,AL378=0),AJ378/1,IF(AJ378=0,FLOOR((AK378+AL378)/2,0.1),IF(AK378=0,(AJ378+AL378)/2,IF(AL378=0,(AK378+AJ378)/2,FLOOR(((AJ378+AK378+AL378)/3),0.1))))))))</f>
        <v/>
      </c>
      <c r="AN378" s="21" t="n"/>
      <c r="AO378" s="21" t="n"/>
      <c r="AP378" s="27">
        <f>SUM(AN378:AO378)</f>
        <v/>
      </c>
      <c r="AQ378" s="28" t="n"/>
      <c r="AR378" s="30" t="n"/>
      <c r="AS378" s="29">
        <f>IF(AND(AP378=0,AQ378=0,AR378=0),0,IF(AND(AP378=0,AQ378=0),AR378/1,IF(AND(AP378=0,AR378=0),AQ378/1,IF(AND(AQ378=0,AR378=0),AP378/1,IF(AP378=0,FLOOR((AQ378+AR378)/2,0.1),IF(AQ378=0,(AP378+AR378)/2,IF(AR378=0,(AQ378+AP378)/2,FLOOR(((AP378+AQ378+AR378)/3),0.1))))))))</f>
        <v/>
      </c>
      <c r="AT378" s="21" t="n"/>
      <c r="AU378" s="21" t="n"/>
      <c r="AV378" s="27">
        <f>SUM(AT378:AU378)</f>
        <v/>
      </c>
      <c r="AW378" s="28" t="n"/>
      <c r="AX378" s="30" t="n"/>
      <c r="AY378" s="29">
        <f>IF(AND(AV378=0,AW378=0,AX378=0),0,IF(AND(AV378=0,AW378=0),AX378/1,IF(AND(AV378=0,AX378=0),AW378/1,IF(AND(AW378=0,AX378=0),AV378/1,IF(AV378=0,FLOOR((AW378+AX378)/2,0.1),IF(AW378=0,(AV378+AX378)/2,IF(AX378=0,(AW378+AV378)/2,FLOOR(((AV378+AW378+AX378)/3),0.1))))))))</f>
        <v/>
      </c>
      <c r="AZ378" s="21" t="n"/>
      <c r="BA378" s="21" t="n"/>
      <c r="BB378" s="27">
        <f>SUM(AZ378:BA378)</f>
        <v/>
      </c>
      <c r="BC378" s="28" t="n"/>
      <c r="BD378" s="28" t="n"/>
      <c r="BE378" s="29">
        <f>IF(AND(BB378=0,BC378=0,BD378=0),0,IF(AND(BB378=0,BC378=0),BD378/1,IF(AND(BB378=0,BD378=0),BC378/1,IF(AND(BC378=0,BD378=0),BB378/1,IF(BB378=0,FLOOR((BC378+BD378)/2,0.1),IF(BC378=0,(BB378+BD378)/2,IF(BD378=0,(BC378+BB378)/2,FLOOR(((BB378+BC378+BD378)/3),0.1))))))))</f>
        <v/>
      </c>
      <c r="BF378" s="21" t="n"/>
      <c r="BG378" s="21" t="n"/>
      <c r="BH378" s="27">
        <f>SUM(BF378:BG378)</f>
        <v/>
      </c>
      <c r="BI378" s="28" t="n"/>
      <c r="BJ378" s="28" t="n"/>
      <c r="BK378" s="29">
        <f>IF(AND(BH378=0,BI378=0,BJ378=0),0,IF(AND(BH378=0,BI378=0),BJ378/1,IF(AND(BH378=0,BJ378=0),BI378/1,IF(AND(BI378=0,BJ378=0),BH378/1,IF(BH378=0,FLOOR((BI378+BJ378)/2,0.1),IF(BI378=0,(BH378+BJ378)/2,IF(BJ378=0,(BI378+BH378)/2,FLOOR(((BH378+BI378+BJ378)/3),0.1))))))))</f>
        <v/>
      </c>
      <c r="BL378" s="21" t="n"/>
      <c r="BM378" s="21" t="n"/>
      <c r="BN378" s="27">
        <f>SUM(BL378:BM378)</f>
        <v/>
      </c>
      <c r="BO378" s="28" t="n"/>
      <c r="BP378" s="31" t="n"/>
      <c r="BQ378" s="29">
        <f>IF(AND(BN378=0,BO378=0,BP378=0),0,IF(AND(BN378=0,BO378=0),BP378/1,IF(AND(BN378=0,BP378=0),BO378/1,IF(AND(BO378=0,BP378=0),BN378/1,IF(BN378=0,FLOOR((BO378+BP378)/2,0.1),IF(BO378=0,(BN378+BP378)/2,IF(BP378=0,(BO378+BN378)/2,FLOOR(((BN378+BO378+BP378)/3),0.1))))))))</f>
        <v/>
      </c>
      <c r="BR378" s="21" t="n"/>
      <c r="BS378" s="21" t="n"/>
      <c r="BT378" s="27">
        <f>SUM(BR378:BS378)</f>
        <v/>
      </c>
      <c r="BU378" s="28" t="n"/>
      <c r="BV378" s="31" t="n"/>
      <c r="BW378" s="29">
        <f>IF(AND(BT378=0,BU378=0,BV378=0),0,IF(AND(BT378=0,BU378=0),BV378/1,IF(AND(BT378=0,BV378=0),BU378/1,IF(AND(BU378=0,BV378=0),BT378/1,IF(BT378=0,FLOOR((BU378+BV378)/2,0.1),IF(BU378=0,(BT378+BV378)/2,IF(BV378=0,(BU378+BT378)/2,FLOOR(((BT378+BU378+BV378)/3),0.1))))))))</f>
        <v/>
      </c>
      <c r="BX378" s="21" t="n"/>
      <c r="BY378" s="21" t="n"/>
      <c r="BZ378" s="27">
        <f>SUM(BX378:BY378)</f>
        <v/>
      </c>
      <c r="CA378" s="28" t="n"/>
      <c r="CB378" s="31" t="n"/>
      <c r="CC378" s="29">
        <f>IF(AND(BZ378=0,CA378=0,CB378=0),0,IF(AND(BZ378=0,CA378=0),CB378/1,IF(AND(BZ378=0,CB378=0),CA378/1,IF(AND(CA378=0,CB378=0),BZ378/1,IF(BZ378=0,FLOOR((CA378+CB378)/2,0.1),IF(CA378=0,(BZ378+CB378)/2,IF(CB378=0,(CA378+BZ378)/2,FLOOR(((BZ378+CA378+CB378)/3),0.1))))))))</f>
        <v/>
      </c>
      <c r="CD378" s="21" t="n"/>
      <c r="CE378" s="21" t="n"/>
      <c r="CF378" s="27">
        <f>SUM(CD378:CE378)</f>
        <v/>
      </c>
      <c r="CG378" s="28" t="n"/>
      <c r="CH378" s="31" t="n"/>
      <c r="CI378" s="29">
        <f>IF(AND(CF378=0,CG378=0,CH378=0),0,IF(AND(CF378=0,CG378=0),CH378/1,IF(AND(CF378=0,CH378=0),CG378/1,IF(AND(CG378=0,CH378=0),CF378/1,IF(CF378=0,FLOOR((CG378+CH378)/2,0.1),IF(CG378=0,(CF378+CH378)/2,IF(CH378=0,(CG378+CF378)/2,FLOOR(((CF378+CG378+CH378)/3),0.1))))))))</f>
        <v/>
      </c>
      <c r="CJ378" s="21" t="n"/>
      <c r="CK378" s="21" t="n"/>
      <c r="CL378" s="27">
        <f>SUM(CJ378:CK378)</f>
        <v/>
      </c>
      <c r="CM378" s="28" t="n"/>
      <c r="CN378" s="31" t="n"/>
      <c r="CO378" s="29">
        <f>IF(AND(CL378=0,CM378=0,CN378=0),0,IF(AND(CL378=0,CM378=0),CN378/1,IF(AND(CL378=0,CN378=0),CM378/1,IF(AND(CM378=0,CN378=0),CL378/1,IF(CL378=0,FLOOR((CM378+CN378)/2,0.1),IF(CM378=0,(CL378+CN378)/2,IF(CN378=0,(CM378+CL378)/2,FLOOR(((CL378+CM378+CN378)/3),0.1))))))))</f>
        <v/>
      </c>
      <c r="CP378" s="21" t="n"/>
      <c r="CQ378" s="21" t="n"/>
      <c r="CR378" s="27">
        <f>SUM(CP378:CQ378)</f>
        <v/>
      </c>
      <c r="CS378" s="28" t="n"/>
      <c r="CT378" s="31" t="n"/>
      <c r="CU378" s="29">
        <f>IF(AND(CR378=0,CS378=0,CT378=0),0,IF(AND(CR378=0,CS378=0),CT378/1,IF(AND(CR378=0,CT378=0),CS378/1,IF(AND(CS378=0,CT378=0),CR378/1,IF(CR378=0,FLOOR((CS378+CT378)/2,0.1),IF(CS378=0,(CR378+CT378)/2,IF(CT378=0,(CS378+CR378)/2,FLOOR(((CR378+CS378+CT378)/3),0.1))))))))</f>
        <v/>
      </c>
      <c r="CV378" s="21" t="n"/>
      <c r="CW378" s="21" t="n"/>
      <c r="CX378" s="27">
        <f>SUM(CV378:CW378)</f>
        <v/>
      </c>
      <c r="CY378" s="28" t="n"/>
      <c r="CZ378" s="31" t="n"/>
      <c r="DA378" s="29">
        <f>IF(AND(CX378=0,CY378=0,CZ378=0),0,IF(AND(CX378=0,CY378=0),CZ378/1,IF(AND(CX378=0,CZ378=0),CY378/1,IF(AND(CY378=0,CZ378=0),CX378/1,IF(CX378=0,FLOOR((CY378+CZ378)/2,0.1),IF(CY378=0,(CX378+CZ378)/2,IF(CZ378=0,(CY378+CX378)/2,FLOOR(((CX378+CY378+CZ378)/3),0.1))))))))</f>
        <v/>
      </c>
      <c r="DB378" s="21" t="n"/>
      <c r="DC378" s="21" t="n"/>
      <c r="DD378" s="27">
        <f>SUM(DB378:DC378)</f>
        <v/>
      </c>
      <c r="DE378" s="28" t="n"/>
      <c r="DF378" s="31" t="n"/>
      <c r="DG378" s="29">
        <f>IF(AND(DD378=0,DE378=0,DF378=0),0,IF(AND(DD378=0,DE378=0),DF378/1,IF(AND(DD378=0,DF378=0),DE378/1,IF(AND(DE378=0,DF378=0),DD378/1,IF(DD378=0,FLOOR((DE378+DF378)/2,0.1),IF(DE378=0,(DD378+DF378)/2,IF(DF378=0,(DE378+DD378)/2,FLOOR(((DD378+DE378+DF378)/3),0.1))))))))</f>
        <v/>
      </c>
      <c r="DH378" s="34">
        <f>SUM(O378,U378,AA378,AG378,AM378,AS378,AY378,BE378,BK378,BQ378,BW378,CC378,CI378,CO378,CU378,DA378,DG378)</f>
        <v/>
      </c>
      <c r="DI378" s="39">
        <f>RANK(DH378,DH$4:DH$503)</f>
        <v/>
      </c>
      <c r="DJ378" s="40" t="inlineStr">
        <is>
          <t>CHOOSE RATING</t>
        </is>
      </c>
      <c r="DK378" s="40" t="inlineStr">
        <is>
          <t>CHOOSE RATING</t>
        </is>
      </c>
      <c r="DL378" s="40" t="inlineStr">
        <is>
          <t>CHOOSE RATING</t>
        </is>
      </c>
      <c r="DM378" s="40" t="inlineStr">
        <is>
          <t>CHOOSE RATING</t>
        </is>
      </c>
      <c r="DN378" s="40" t="inlineStr">
        <is>
          <t>CHOOSE RATING</t>
        </is>
      </c>
      <c r="DO378" s="40" t="inlineStr">
        <is>
          <t>CHOOSE RATING</t>
        </is>
      </c>
      <c r="DP378" s="40" t="inlineStr">
        <is>
          <t>CHOOSE RATING</t>
        </is>
      </c>
      <c r="DQ378" s="40" t="inlineStr">
        <is>
          <t>CHOOSE RATING</t>
        </is>
      </c>
      <c r="DR378" s="43" t="inlineStr">
        <is>
          <t>2024/2025</t>
        </is>
      </c>
      <c r="DS378" s="45" t="inlineStr">
        <is>
          <t>THIRD</t>
        </is>
      </c>
      <c r="DT378" s="40" t="inlineStr">
        <is>
          <t>CHOOSE RATING</t>
        </is>
      </c>
      <c r="DU378" s="40" t="inlineStr">
        <is>
          <t>CHOOSE RATING</t>
        </is>
      </c>
      <c r="DV378" s="40" t="inlineStr">
        <is>
          <t>CHOOSE RATING</t>
        </is>
      </c>
      <c r="DW378" s="40" t="inlineStr">
        <is>
          <t>CHOOSE RATING</t>
        </is>
      </c>
      <c r="DX378" s="40" t="inlineStr">
        <is>
          <t>CHOOSE RATING</t>
        </is>
      </c>
      <c r="DY378" s="40" t="inlineStr">
        <is>
          <t>CHOOSE RATING</t>
        </is>
      </c>
      <c r="DZ378" s="53" t="inlineStr">
        <is>
          <t>CHOOSE RATING</t>
        </is>
      </c>
      <c r="EA378" s="54" t="inlineStr">
        <is>
          <t>Add the Tutor's Comment . . .</t>
        </is>
      </c>
      <c r="EB378" s="55" t="inlineStr">
        <is>
          <t>Choose Principals comment</t>
        </is>
      </c>
      <c r="EC378" s="56" t="n"/>
      <c r="ED378" s="57" t="inlineStr">
        <is>
          <t>Next Term Begins on Monday, 22nd September, 2025</t>
        </is>
      </c>
    </row>
    <row r="379" ht="30.6" customHeight="1" s="6">
      <c r="A379" s="18" t="n">
        <v>376</v>
      </c>
      <c r="B379" s="19" t="n"/>
      <c r="C379" s="20" t="n"/>
      <c r="D379" s="128" t="n"/>
      <c r="E379" s="21" t="n"/>
      <c r="F379" s="22" t="n"/>
      <c r="G379" s="22" t="n"/>
      <c r="H379" s="22" t="n"/>
      <c r="I379" s="26">
        <f>G379-H379</f>
        <v/>
      </c>
      <c r="J379" s="21" t="n"/>
      <c r="K379" s="21" t="n"/>
      <c r="L379" s="27">
        <f>SUM(J379:K379)</f>
        <v/>
      </c>
      <c r="M379" s="28" t="n"/>
      <c r="N379" s="28" t="n"/>
      <c r="O379" s="29">
        <f>IF(AND(L379=0,M379=0,N379=0),0,IF(AND(L379=0,M379=0),N379/1,IF(AND(L379=0,N379=0),M379/1,IF(AND(M379=0,N379=0),L379/1,IF(L379=0,FLOOR((M379+N379)/2,0.1),IF(M379=0,(L379+N379)/2,IF(N379=0,(M379+L379)/2,FLOOR(((L379+M379+N379)/3),0.1))))))))</f>
        <v/>
      </c>
      <c r="P379" s="21" t="n"/>
      <c r="Q379" s="21" t="n"/>
      <c r="R379" s="27">
        <f>SUM(P379:Q379)</f>
        <v/>
      </c>
      <c r="S379" s="28" t="n"/>
      <c r="T379" s="28" t="n"/>
      <c r="U379" s="29">
        <f>IF(AND(R379=0,S379=0,T379=0),0,IF(AND(R379=0,S379=0),T379/1,IF(AND(R379=0,T379=0),S379/1,IF(AND(S379=0,T379=0),R379/1,IF(R379=0,FLOOR((S379+T379)/2,0.1),IF(S379=0,(R379+T379)/2,IF(T379=0,(S379+R379)/2,FLOOR(((R379+S379+T379)/3),0.1))))))))</f>
        <v/>
      </c>
      <c r="V379" s="21" t="n"/>
      <c r="W379" s="21" t="n"/>
      <c r="X379" s="27">
        <f>SUM(V379:W379)</f>
        <v/>
      </c>
      <c r="Y379" s="28" t="n"/>
      <c r="Z379" s="28" t="n"/>
      <c r="AA379" s="29">
        <f>IF(AND(X379=0,Y379=0,Z379=0),0,IF(AND(X379=0,Y379=0),Z379/1,IF(AND(X379=0,Z379=0),Y379/1,IF(AND(Y379=0,Z379=0),X379/1,IF(X379=0,FLOOR((Y379+Z379)/2,0.1),IF(Y379=0,(X379+Z379)/2,IF(Z379=0,(Y379+X379)/2,FLOOR(((X379+Y379+Z379)/3),0.1))))))))</f>
        <v/>
      </c>
      <c r="AB379" s="21" t="n"/>
      <c r="AC379" s="21" t="n"/>
      <c r="AD379" s="27">
        <f>SUM(AB379:AC379)</f>
        <v/>
      </c>
      <c r="AE379" s="28" t="n"/>
      <c r="AF379" s="28" t="n"/>
      <c r="AG379" s="29">
        <f>IF(AND(AD379=0,AE379=0,AF379=0),0,IF(AND(AD379=0,AE379=0),AF379/1,IF(AND(AD379=0,AF379=0),AE379/1,IF(AND(AE379=0,AF379=0),AD379/1,IF(AD379=0,FLOOR((AE379+AF379)/2,0.1),IF(AE379=0,(AD379+AF379)/2,IF(AF379=0,(AE379+AD379)/2,FLOOR(((AD379+AE379+AF379)/3),0.1))))))))</f>
        <v/>
      </c>
      <c r="AH379" s="21" t="n"/>
      <c r="AI379" s="21" t="n"/>
      <c r="AJ379" s="27">
        <f>SUM(AH379:AI379)</f>
        <v/>
      </c>
      <c r="AK379" s="28" t="n"/>
      <c r="AL379" s="28" t="n"/>
      <c r="AM379" s="29">
        <f>IF(AND(AJ379=0,AK379=0,AL379=0),0,IF(AND(AJ379=0,AK379=0),AL379/1,IF(AND(AJ379=0,AL379=0),AK379/1,IF(AND(AK379=0,AL379=0),AJ379/1,IF(AJ379=0,FLOOR((AK379+AL379)/2,0.1),IF(AK379=0,(AJ379+AL379)/2,IF(AL379=0,(AK379+AJ379)/2,FLOOR(((AJ379+AK379+AL379)/3),0.1))))))))</f>
        <v/>
      </c>
      <c r="AN379" s="21" t="n"/>
      <c r="AO379" s="21" t="n"/>
      <c r="AP379" s="27">
        <f>SUM(AN379:AO379)</f>
        <v/>
      </c>
      <c r="AQ379" s="28" t="n"/>
      <c r="AR379" s="30" t="n"/>
      <c r="AS379" s="29">
        <f>IF(AND(AP379=0,AQ379=0,AR379=0),0,IF(AND(AP379=0,AQ379=0),AR379/1,IF(AND(AP379=0,AR379=0),AQ379/1,IF(AND(AQ379=0,AR379=0),AP379/1,IF(AP379=0,FLOOR((AQ379+AR379)/2,0.1),IF(AQ379=0,(AP379+AR379)/2,IF(AR379=0,(AQ379+AP379)/2,FLOOR(((AP379+AQ379+AR379)/3),0.1))))))))</f>
        <v/>
      </c>
      <c r="AT379" s="21" t="n"/>
      <c r="AU379" s="21" t="n"/>
      <c r="AV379" s="27">
        <f>SUM(AT379:AU379)</f>
        <v/>
      </c>
      <c r="AW379" s="28" t="n"/>
      <c r="AX379" s="30" t="n"/>
      <c r="AY379" s="29">
        <f>IF(AND(AV379=0,AW379=0,AX379=0),0,IF(AND(AV379=0,AW379=0),AX379/1,IF(AND(AV379=0,AX379=0),AW379/1,IF(AND(AW379=0,AX379=0),AV379/1,IF(AV379=0,FLOOR((AW379+AX379)/2,0.1),IF(AW379=0,(AV379+AX379)/2,IF(AX379=0,(AW379+AV379)/2,FLOOR(((AV379+AW379+AX379)/3),0.1))))))))</f>
        <v/>
      </c>
      <c r="AZ379" s="21" t="n"/>
      <c r="BA379" s="21" t="n"/>
      <c r="BB379" s="27">
        <f>SUM(AZ379:BA379)</f>
        <v/>
      </c>
      <c r="BC379" s="28" t="n"/>
      <c r="BD379" s="28" t="n"/>
      <c r="BE379" s="29">
        <f>IF(AND(BB379=0,BC379=0,BD379=0),0,IF(AND(BB379=0,BC379=0),BD379/1,IF(AND(BB379=0,BD379=0),BC379/1,IF(AND(BC379=0,BD379=0),BB379/1,IF(BB379=0,FLOOR((BC379+BD379)/2,0.1),IF(BC379=0,(BB379+BD379)/2,IF(BD379=0,(BC379+BB379)/2,FLOOR(((BB379+BC379+BD379)/3),0.1))))))))</f>
        <v/>
      </c>
      <c r="BF379" s="21" t="n"/>
      <c r="BG379" s="21" t="n"/>
      <c r="BH379" s="27">
        <f>SUM(BF379:BG379)</f>
        <v/>
      </c>
      <c r="BI379" s="28" t="n"/>
      <c r="BJ379" s="28" t="n"/>
      <c r="BK379" s="29">
        <f>IF(AND(BH379=0,BI379=0,BJ379=0),0,IF(AND(BH379=0,BI379=0),BJ379/1,IF(AND(BH379=0,BJ379=0),BI379/1,IF(AND(BI379=0,BJ379=0),BH379/1,IF(BH379=0,FLOOR((BI379+BJ379)/2,0.1),IF(BI379=0,(BH379+BJ379)/2,IF(BJ379=0,(BI379+BH379)/2,FLOOR(((BH379+BI379+BJ379)/3),0.1))))))))</f>
        <v/>
      </c>
      <c r="BL379" s="21" t="n"/>
      <c r="BM379" s="21" t="n"/>
      <c r="BN379" s="27">
        <f>SUM(BL379:BM379)</f>
        <v/>
      </c>
      <c r="BO379" s="28" t="n"/>
      <c r="BP379" s="31" t="n"/>
      <c r="BQ379" s="29">
        <f>IF(AND(BN379=0,BO379=0,BP379=0),0,IF(AND(BN379=0,BO379=0),BP379/1,IF(AND(BN379=0,BP379=0),BO379/1,IF(AND(BO379=0,BP379=0),BN379/1,IF(BN379=0,FLOOR((BO379+BP379)/2,0.1),IF(BO379=0,(BN379+BP379)/2,IF(BP379=0,(BO379+BN379)/2,FLOOR(((BN379+BO379+BP379)/3),0.1))))))))</f>
        <v/>
      </c>
      <c r="BR379" s="21" t="n"/>
      <c r="BS379" s="21" t="n"/>
      <c r="BT379" s="27">
        <f>SUM(BR379:BS379)</f>
        <v/>
      </c>
      <c r="BU379" s="28" t="n"/>
      <c r="BV379" s="31" t="n"/>
      <c r="BW379" s="29">
        <f>IF(AND(BT379=0,BU379=0,BV379=0),0,IF(AND(BT379=0,BU379=0),BV379/1,IF(AND(BT379=0,BV379=0),BU379/1,IF(AND(BU379=0,BV379=0),BT379/1,IF(BT379=0,FLOOR((BU379+BV379)/2,0.1),IF(BU379=0,(BT379+BV379)/2,IF(BV379=0,(BU379+BT379)/2,FLOOR(((BT379+BU379+BV379)/3),0.1))))))))</f>
        <v/>
      </c>
      <c r="BX379" s="21" t="n"/>
      <c r="BY379" s="21" t="n"/>
      <c r="BZ379" s="27">
        <f>SUM(BX379:BY379)</f>
        <v/>
      </c>
      <c r="CA379" s="28" t="n"/>
      <c r="CB379" s="31" t="n"/>
      <c r="CC379" s="29">
        <f>IF(AND(BZ379=0,CA379=0,CB379=0),0,IF(AND(BZ379=0,CA379=0),CB379/1,IF(AND(BZ379=0,CB379=0),CA379/1,IF(AND(CA379=0,CB379=0),BZ379/1,IF(BZ379=0,FLOOR((CA379+CB379)/2,0.1),IF(CA379=0,(BZ379+CB379)/2,IF(CB379=0,(CA379+BZ379)/2,FLOOR(((BZ379+CA379+CB379)/3),0.1))))))))</f>
        <v/>
      </c>
      <c r="CD379" s="21" t="n"/>
      <c r="CE379" s="21" t="n"/>
      <c r="CF379" s="27">
        <f>SUM(CD379:CE379)</f>
        <v/>
      </c>
      <c r="CG379" s="28" t="n"/>
      <c r="CH379" s="31" t="n"/>
      <c r="CI379" s="29">
        <f>IF(AND(CF379=0,CG379=0,CH379=0),0,IF(AND(CF379=0,CG379=0),CH379/1,IF(AND(CF379=0,CH379=0),CG379/1,IF(AND(CG379=0,CH379=0),CF379/1,IF(CF379=0,FLOOR((CG379+CH379)/2,0.1),IF(CG379=0,(CF379+CH379)/2,IF(CH379=0,(CG379+CF379)/2,FLOOR(((CF379+CG379+CH379)/3),0.1))))))))</f>
        <v/>
      </c>
      <c r="CJ379" s="21" t="n"/>
      <c r="CK379" s="21" t="n"/>
      <c r="CL379" s="27">
        <f>SUM(CJ379:CK379)</f>
        <v/>
      </c>
      <c r="CM379" s="28" t="n"/>
      <c r="CN379" s="31" t="n"/>
      <c r="CO379" s="29">
        <f>IF(AND(CL379=0,CM379=0,CN379=0),0,IF(AND(CL379=0,CM379=0),CN379/1,IF(AND(CL379=0,CN379=0),CM379/1,IF(AND(CM379=0,CN379=0),CL379/1,IF(CL379=0,FLOOR((CM379+CN379)/2,0.1),IF(CM379=0,(CL379+CN379)/2,IF(CN379=0,(CM379+CL379)/2,FLOOR(((CL379+CM379+CN379)/3),0.1))))))))</f>
        <v/>
      </c>
      <c r="CP379" s="21" t="n"/>
      <c r="CQ379" s="21" t="n"/>
      <c r="CR379" s="27">
        <f>SUM(CP379:CQ379)</f>
        <v/>
      </c>
      <c r="CS379" s="28" t="n"/>
      <c r="CT379" s="31" t="n"/>
      <c r="CU379" s="29">
        <f>IF(AND(CR379=0,CS379=0,CT379=0),0,IF(AND(CR379=0,CS379=0),CT379/1,IF(AND(CR379=0,CT379=0),CS379/1,IF(AND(CS379=0,CT379=0),CR379/1,IF(CR379=0,FLOOR((CS379+CT379)/2,0.1),IF(CS379=0,(CR379+CT379)/2,IF(CT379=0,(CS379+CR379)/2,FLOOR(((CR379+CS379+CT379)/3),0.1))))))))</f>
        <v/>
      </c>
      <c r="CV379" s="21" t="n"/>
      <c r="CW379" s="21" t="n"/>
      <c r="CX379" s="27">
        <f>SUM(CV379:CW379)</f>
        <v/>
      </c>
      <c r="CY379" s="28" t="n"/>
      <c r="CZ379" s="31" t="n"/>
      <c r="DA379" s="29">
        <f>IF(AND(CX379=0,CY379=0,CZ379=0),0,IF(AND(CX379=0,CY379=0),CZ379/1,IF(AND(CX379=0,CZ379=0),CY379/1,IF(AND(CY379=0,CZ379=0),CX379/1,IF(CX379=0,FLOOR((CY379+CZ379)/2,0.1),IF(CY379=0,(CX379+CZ379)/2,IF(CZ379=0,(CY379+CX379)/2,FLOOR(((CX379+CY379+CZ379)/3),0.1))))))))</f>
        <v/>
      </c>
      <c r="DB379" s="21" t="n"/>
      <c r="DC379" s="21" t="n"/>
      <c r="DD379" s="27">
        <f>SUM(DB379:DC379)</f>
        <v/>
      </c>
      <c r="DE379" s="28" t="n"/>
      <c r="DF379" s="31" t="n"/>
      <c r="DG379" s="29">
        <f>IF(AND(DD379=0,DE379=0,DF379=0),0,IF(AND(DD379=0,DE379=0),DF379/1,IF(AND(DD379=0,DF379=0),DE379/1,IF(AND(DE379=0,DF379=0),DD379/1,IF(DD379=0,FLOOR((DE379+DF379)/2,0.1),IF(DE379=0,(DD379+DF379)/2,IF(DF379=0,(DE379+DD379)/2,FLOOR(((DD379+DE379+DF379)/3),0.1))))))))</f>
        <v/>
      </c>
      <c r="DH379" s="34">
        <f>SUM(O379,U379,AA379,AG379,AM379,AS379,AY379,BE379,BK379,BQ379,BW379,CC379,CI379,CO379,CU379,DA379,DG379)</f>
        <v/>
      </c>
      <c r="DI379" s="39">
        <f>RANK(DH379,DH$4:DH$503)</f>
        <v/>
      </c>
      <c r="DJ379" s="40" t="inlineStr">
        <is>
          <t>CHOOSE RATING</t>
        </is>
      </c>
      <c r="DK379" s="40" t="inlineStr">
        <is>
          <t>CHOOSE RATING</t>
        </is>
      </c>
      <c r="DL379" s="40" t="inlineStr">
        <is>
          <t>CHOOSE RATING</t>
        </is>
      </c>
      <c r="DM379" s="40" t="inlineStr">
        <is>
          <t>CHOOSE RATING</t>
        </is>
      </c>
      <c r="DN379" s="40" t="inlineStr">
        <is>
          <t>CHOOSE RATING</t>
        </is>
      </c>
      <c r="DO379" s="40" t="inlineStr">
        <is>
          <t>CHOOSE RATING</t>
        </is>
      </c>
      <c r="DP379" s="40" t="inlineStr">
        <is>
          <t>CHOOSE RATING</t>
        </is>
      </c>
      <c r="DQ379" s="40" t="inlineStr">
        <is>
          <t>CHOOSE RATING</t>
        </is>
      </c>
      <c r="DR379" s="43" t="inlineStr">
        <is>
          <t>2024/2025</t>
        </is>
      </c>
      <c r="DS379" s="45" t="inlineStr">
        <is>
          <t>THIRD</t>
        </is>
      </c>
      <c r="DT379" s="40" t="inlineStr">
        <is>
          <t>CHOOSE RATING</t>
        </is>
      </c>
      <c r="DU379" s="40" t="inlineStr">
        <is>
          <t>CHOOSE RATING</t>
        </is>
      </c>
      <c r="DV379" s="40" t="inlineStr">
        <is>
          <t>CHOOSE RATING</t>
        </is>
      </c>
      <c r="DW379" s="40" t="inlineStr">
        <is>
          <t>CHOOSE RATING</t>
        </is>
      </c>
      <c r="DX379" s="40" t="inlineStr">
        <is>
          <t>CHOOSE RATING</t>
        </is>
      </c>
      <c r="DY379" s="40" t="inlineStr">
        <is>
          <t>CHOOSE RATING</t>
        </is>
      </c>
      <c r="DZ379" s="53" t="inlineStr">
        <is>
          <t>CHOOSE RATING</t>
        </is>
      </c>
      <c r="EA379" s="54" t="inlineStr">
        <is>
          <t>Add the Tutor's Comment . . .</t>
        </is>
      </c>
      <c r="EB379" s="55" t="inlineStr">
        <is>
          <t>Choose Principals comment</t>
        </is>
      </c>
      <c r="EC379" s="56" t="n"/>
      <c r="ED379" s="57" t="inlineStr">
        <is>
          <t>Next Term Begins on Monday, 22nd September, 2025</t>
        </is>
      </c>
    </row>
    <row r="380" ht="30.6" customHeight="1" s="6">
      <c r="A380" s="18" t="n">
        <v>377</v>
      </c>
      <c r="B380" s="19" t="n"/>
      <c r="C380" s="20" t="n"/>
      <c r="D380" s="128" t="n"/>
      <c r="E380" s="21" t="n"/>
      <c r="F380" s="22" t="n"/>
      <c r="G380" s="22" t="n"/>
      <c r="H380" s="22" t="n"/>
      <c r="I380" s="26">
        <f>G380-H380</f>
        <v/>
      </c>
      <c r="J380" s="21" t="n"/>
      <c r="K380" s="21" t="n"/>
      <c r="L380" s="27">
        <f>SUM(J380:K380)</f>
        <v/>
      </c>
      <c r="M380" s="28" t="n"/>
      <c r="N380" s="28" t="n"/>
      <c r="O380" s="29">
        <f>IF(AND(L380=0,M380=0,N380=0),0,IF(AND(L380=0,M380=0),N380/1,IF(AND(L380=0,N380=0),M380/1,IF(AND(M380=0,N380=0),L380/1,IF(L380=0,FLOOR((M380+N380)/2,0.1),IF(M380=0,(L380+N380)/2,IF(N380=0,(M380+L380)/2,FLOOR(((L380+M380+N380)/3),0.1))))))))</f>
        <v/>
      </c>
      <c r="P380" s="21" t="n"/>
      <c r="Q380" s="21" t="n"/>
      <c r="R380" s="27">
        <f>SUM(P380:Q380)</f>
        <v/>
      </c>
      <c r="S380" s="28" t="n"/>
      <c r="T380" s="28" t="n"/>
      <c r="U380" s="29">
        <f>IF(AND(R380=0,S380=0,T380=0),0,IF(AND(R380=0,S380=0),T380/1,IF(AND(R380=0,T380=0),S380/1,IF(AND(S380=0,T380=0),R380/1,IF(R380=0,FLOOR((S380+T380)/2,0.1),IF(S380=0,(R380+T380)/2,IF(T380=0,(S380+R380)/2,FLOOR(((R380+S380+T380)/3),0.1))))))))</f>
        <v/>
      </c>
      <c r="V380" s="21" t="n"/>
      <c r="W380" s="21" t="n"/>
      <c r="X380" s="27">
        <f>SUM(V380:W380)</f>
        <v/>
      </c>
      <c r="Y380" s="28" t="n"/>
      <c r="Z380" s="28" t="n"/>
      <c r="AA380" s="29">
        <f>IF(AND(X380=0,Y380=0,Z380=0),0,IF(AND(X380=0,Y380=0),Z380/1,IF(AND(X380=0,Z380=0),Y380/1,IF(AND(Y380=0,Z380=0),X380/1,IF(X380=0,FLOOR((Y380+Z380)/2,0.1),IF(Y380=0,(X380+Z380)/2,IF(Z380=0,(Y380+X380)/2,FLOOR(((X380+Y380+Z380)/3),0.1))))))))</f>
        <v/>
      </c>
      <c r="AB380" s="21" t="n"/>
      <c r="AC380" s="21" t="n"/>
      <c r="AD380" s="27">
        <f>SUM(AB380:AC380)</f>
        <v/>
      </c>
      <c r="AE380" s="28" t="n"/>
      <c r="AF380" s="28" t="n"/>
      <c r="AG380" s="29">
        <f>IF(AND(AD380=0,AE380=0,AF380=0),0,IF(AND(AD380=0,AE380=0),AF380/1,IF(AND(AD380=0,AF380=0),AE380/1,IF(AND(AE380=0,AF380=0),AD380/1,IF(AD380=0,FLOOR((AE380+AF380)/2,0.1),IF(AE380=0,(AD380+AF380)/2,IF(AF380=0,(AE380+AD380)/2,FLOOR(((AD380+AE380+AF380)/3),0.1))))))))</f>
        <v/>
      </c>
      <c r="AH380" s="21" t="n"/>
      <c r="AI380" s="21" t="n"/>
      <c r="AJ380" s="27">
        <f>SUM(AH380:AI380)</f>
        <v/>
      </c>
      <c r="AK380" s="28" t="n"/>
      <c r="AL380" s="28" t="n"/>
      <c r="AM380" s="29">
        <f>IF(AND(AJ380=0,AK380=0,AL380=0),0,IF(AND(AJ380=0,AK380=0),AL380/1,IF(AND(AJ380=0,AL380=0),AK380/1,IF(AND(AK380=0,AL380=0),AJ380/1,IF(AJ380=0,FLOOR((AK380+AL380)/2,0.1),IF(AK380=0,(AJ380+AL380)/2,IF(AL380=0,(AK380+AJ380)/2,FLOOR(((AJ380+AK380+AL380)/3),0.1))))))))</f>
        <v/>
      </c>
      <c r="AN380" s="21" t="n"/>
      <c r="AO380" s="21" t="n"/>
      <c r="AP380" s="27">
        <f>SUM(AN380:AO380)</f>
        <v/>
      </c>
      <c r="AQ380" s="28" t="n"/>
      <c r="AR380" s="30" t="n"/>
      <c r="AS380" s="29">
        <f>IF(AND(AP380=0,AQ380=0,AR380=0),0,IF(AND(AP380=0,AQ380=0),AR380/1,IF(AND(AP380=0,AR380=0),AQ380/1,IF(AND(AQ380=0,AR380=0),AP380/1,IF(AP380=0,FLOOR((AQ380+AR380)/2,0.1),IF(AQ380=0,(AP380+AR380)/2,IF(AR380=0,(AQ380+AP380)/2,FLOOR(((AP380+AQ380+AR380)/3),0.1))))))))</f>
        <v/>
      </c>
      <c r="AT380" s="21" t="n"/>
      <c r="AU380" s="21" t="n"/>
      <c r="AV380" s="27">
        <f>SUM(AT380:AU380)</f>
        <v/>
      </c>
      <c r="AW380" s="28" t="n"/>
      <c r="AX380" s="30" t="n"/>
      <c r="AY380" s="29">
        <f>IF(AND(AV380=0,AW380=0,AX380=0),0,IF(AND(AV380=0,AW380=0),AX380/1,IF(AND(AV380=0,AX380=0),AW380/1,IF(AND(AW380=0,AX380=0),AV380/1,IF(AV380=0,FLOOR((AW380+AX380)/2,0.1),IF(AW380=0,(AV380+AX380)/2,IF(AX380=0,(AW380+AV380)/2,FLOOR(((AV380+AW380+AX380)/3),0.1))))))))</f>
        <v/>
      </c>
      <c r="AZ380" s="21" t="n"/>
      <c r="BA380" s="21" t="n"/>
      <c r="BB380" s="27">
        <f>SUM(AZ380:BA380)</f>
        <v/>
      </c>
      <c r="BC380" s="28" t="n"/>
      <c r="BD380" s="28" t="n"/>
      <c r="BE380" s="29">
        <f>IF(AND(BB380=0,BC380=0,BD380=0),0,IF(AND(BB380=0,BC380=0),BD380/1,IF(AND(BB380=0,BD380=0),BC380/1,IF(AND(BC380=0,BD380=0),BB380/1,IF(BB380=0,FLOOR((BC380+BD380)/2,0.1),IF(BC380=0,(BB380+BD380)/2,IF(BD380=0,(BC380+BB380)/2,FLOOR(((BB380+BC380+BD380)/3),0.1))))))))</f>
        <v/>
      </c>
      <c r="BF380" s="21" t="n"/>
      <c r="BG380" s="21" t="n"/>
      <c r="BH380" s="27">
        <f>SUM(BF380:BG380)</f>
        <v/>
      </c>
      <c r="BI380" s="28" t="n"/>
      <c r="BJ380" s="28" t="n"/>
      <c r="BK380" s="29">
        <f>IF(AND(BH380=0,BI380=0,BJ380=0),0,IF(AND(BH380=0,BI380=0),BJ380/1,IF(AND(BH380=0,BJ380=0),BI380/1,IF(AND(BI380=0,BJ380=0),BH380/1,IF(BH380=0,FLOOR((BI380+BJ380)/2,0.1),IF(BI380=0,(BH380+BJ380)/2,IF(BJ380=0,(BI380+BH380)/2,FLOOR(((BH380+BI380+BJ380)/3),0.1))))))))</f>
        <v/>
      </c>
      <c r="BL380" s="21" t="n"/>
      <c r="BM380" s="21" t="n"/>
      <c r="BN380" s="27">
        <f>SUM(BL380:BM380)</f>
        <v/>
      </c>
      <c r="BO380" s="28" t="n"/>
      <c r="BP380" s="31" t="n"/>
      <c r="BQ380" s="29">
        <f>IF(AND(BN380=0,BO380=0,BP380=0),0,IF(AND(BN380=0,BO380=0),BP380/1,IF(AND(BN380=0,BP380=0),BO380/1,IF(AND(BO380=0,BP380=0),BN380/1,IF(BN380=0,FLOOR((BO380+BP380)/2,0.1),IF(BO380=0,(BN380+BP380)/2,IF(BP380=0,(BO380+BN380)/2,FLOOR(((BN380+BO380+BP380)/3),0.1))))))))</f>
        <v/>
      </c>
      <c r="BR380" s="21" t="n"/>
      <c r="BS380" s="21" t="n"/>
      <c r="BT380" s="27">
        <f>SUM(BR380:BS380)</f>
        <v/>
      </c>
      <c r="BU380" s="28" t="n"/>
      <c r="BV380" s="31" t="n"/>
      <c r="BW380" s="29">
        <f>IF(AND(BT380=0,BU380=0,BV380=0),0,IF(AND(BT380=0,BU380=0),BV380/1,IF(AND(BT380=0,BV380=0),BU380/1,IF(AND(BU380=0,BV380=0),BT380/1,IF(BT380=0,FLOOR((BU380+BV380)/2,0.1),IF(BU380=0,(BT380+BV380)/2,IF(BV380=0,(BU380+BT380)/2,FLOOR(((BT380+BU380+BV380)/3),0.1))))))))</f>
        <v/>
      </c>
      <c r="BX380" s="21" t="n"/>
      <c r="BY380" s="21" t="n"/>
      <c r="BZ380" s="27">
        <f>SUM(BX380:BY380)</f>
        <v/>
      </c>
      <c r="CA380" s="28" t="n"/>
      <c r="CB380" s="31" t="n"/>
      <c r="CC380" s="29">
        <f>IF(AND(BZ380=0,CA380=0,CB380=0),0,IF(AND(BZ380=0,CA380=0),CB380/1,IF(AND(BZ380=0,CB380=0),CA380/1,IF(AND(CA380=0,CB380=0),BZ380/1,IF(BZ380=0,FLOOR((CA380+CB380)/2,0.1),IF(CA380=0,(BZ380+CB380)/2,IF(CB380=0,(CA380+BZ380)/2,FLOOR(((BZ380+CA380+CB380)/3),0.1))))))))</f>
        <v/>
      </c>
      <c r="CD380" s="21" t="n"/>
      <c r="CE380" s="21" t="n"/>
      <c r="CF380" s="27">
        <f>SUM(CD380:CE380)</f>
        <v/>
      </c>
      <c r="CG380" s="28" t="n"/>
      <c r="CH380" s="31" t="n"/>
      <c r="CI380" s="29">
        <f>IF(AND(CF380=0,CG380=0,CH380=0),0,IF(AND(CF380=0,CG380=0),CH380/1,IF(AND(CF380=0,CH380=0),CG380/1,IF(AND(CG380=0,CH380=0),CF380/1,IF(CF380=0,FLOOR((CG380+CH380)/2,0.1),IF(CG380=0,(CF380+CH380)/2,IF(CH380=0,(CG380+CF380)/2,FLOOR(((CF380+CG380+CH380)/3),0.1))))))))</f>
        <v/>
      </c>
      <c r="CJ380" s="21" t="n"/>
      <c r="CK380" s="21" t="n"/>
      <c r="CL380" s="27">
        <f>SUM(CJ380:CK380)</f>
        <v/>
      </c>
      <c r="CM380" s="28" t="n"/>
      <c r="CN380" s="31" t="n"/>
      <c r="CO380" s="29">
        <f>IF(AND(CL380=0,CM380=0,CN380=0),0,IF(AND(CL380=0,CM380=0),CN380/1,IF(AND(CL380=0,CN380=0),CM380/1,IF(AND(CM380=0,CN380=0),CL380/1,IF(CL380=0,FLOOR((CM380+CN380)/2,0.1),IF(CM380=0,(CL380+CN380)/2,IF(CN380=0,(CM380+CL380)/2,FLOOR(((CL380+CM380+CN380)/3),0.1))))))))</f>
        <v/>
      </c>
      <c r="CP380" s="21" t="n"/>
      <c r="CQ380" s="21" t="n"/>
      <c r="CR380" s="27">
        <f>SUM(CP380:CQ380)</f>
        <v/>
      </c>
      <c r="CS380" s="28" t="n"/>
      <c r="CT380" s="31" t="n"/>
      <c r="CU380" s="29">
        <f>IF(AND(CR380=0,CS380=0,CT380=0),0,IF(AND(CR380=0,CS380=0),CT380/1,IF(AND(CR380=0,CT380=0),CS380/1,IF(AND(CS380=0,CT380=0),CR380/1,IF(CR380=0,FLOOR((CS380+CT380)/2,0.1),IF(CS380=0,(CR380+CT380)/2,IF(CT380=0,(CS380+CR380)/2,FLOOR(((CR380+CS380+CT380)/3),0.1))))))))</f>
        <v/>
      </c>
      <c r="CV380" s="21" t="n"/>
      <c r="CW380" s="21" t="n"/>
      <c r="CX380" s="27">
        <f>SUM(CV380:CW380)</f>
        <v/>
      </c>
      <c r="CY380" s="28" t="n"/>
      <c r="CZ380" s="31" t="n"/>
      <c r="DA380" s="29">
        <f>IF(AND(CX380=0,CY380=0,CZ380=0),0,IF(AND(CX380=0,CY380=0),CZ380/1,IF(AND(CX380=0,CZ380=0),CY380/1,IF(AND(CY380=0,CZ380=0),CX380/1,IF(CX380=0,FLOOR((CY380+CZ380)/2,0.1),IF(CY380=0,(CX380+CZ380)/2,IF(CZ380=0,(CY380+CX380)/2,FLOOR(((CX380+CY380+CZ380)/3),0.1))))))))</f>
        <v/>
      </c>
      <c r="DB380" s="21" t="n"/>
      <c r="DC380" s="21" t="n"/>
      <c r="DD380" s="27">
        <f>SUM(DB380:DC380)</f>
        <v/>
      </c>
      <c r="DE380" s="28" t="n"/>
      <c r="DF380" s="31" t="n"/>
      <c r="DG380" s="29">
        <f>IF(AND(DD380=0,DE380=0,DF380=0),0,IF(AND(DD380=0,DE380=0),DF380/1,IF(AND(DD380=0,DF380=0),DE380/1,IF(AND(DE380=0,DF380=0),DD380/1,IF(DD380=0,FLOOR((DE380+DF380)/2,0.1),IF(DE380=0,(DD380+DF380)/2,IF(DF380=0,(DE380+DD380)/2,FLOOR(((DD380+DE380+DF380)/3),0.1))))))))</f>
        <v/>
      </c>
      <c r="DH380" s="34">
        <f>SUM(O380,U380,AA380,AG380,AM380,AS380,AY380,BE380,BK380,BQ380,BW380,CC380,CI380,CO380,CU380,DA380,DG380)</f>
        <v/>
      </c>
      <c r="DI380" s="39">
        <f>RANK(DH380,DH$4:DH$503)</f>
        <v/>
      </c>
      <c r="DJ380" s="40" t="inlineStr">
        <is>
          <t>CHOOSE RATING</t>
        </is>
      </c>
      <c r="DK380" s="40" t="inlineStr">
        <is>
          <t>CHOOSE RATING</t>
        </is>
      </c>
      <c r="DL380" s="40" t="inlineStr">
        <is>
          <t>CHOOSE RATING</t>
        </is>
      </c>
      <c r="DM380" s="40" t="inlineStr">
        <is>
          <t>CHOOSE RATING</t>
        </is>
      </c>
      <c r="DN380" s="40" t="inlineStr">
        <is>
          <t>CHOOSE RATING</t>
        </is>
      </c>
      <c r="DO380" s="40" t="inlineStr">
        <is>
          <t>CHOOSE RATING</t>
        </is>
      </c>
      <c r="DP380" s="40" t="inlineStr">
        <is>
          <t>CHOOSE RATING</t>
        </is>
      </c>
      <c r="DQ380" s="40" t="inlineStr">
        <is>
          <t>CHOOSE RATING</t>
        </is>
      </c>
      <c r="DR380" s="43" t="inlineStr">
        <is>
          <t>2024/2025</t>
        </is>
      </c>
      <c r="DS380" s="45" t="inlineStr">
        <is>
          <t>THIRD</t>
        </is>
      </c>
      <c r="DT380" s="40" t="inlineStr">
        <is>
          <t>CHOOSE RATING</t>
        </is>
      </c>
      <c r="DU380" s="40" t="inlineStr">
        <is>
          <t>CHOOSE RATING</t>
        </is>
      </c>
      <c r="DV380" s="40" t="inlineStr">
        <is>
          <t>CHOOSE RATING</t>
        </is>
      </c>
      <c r="DW380" s="40" t="inlineStr">
        <is>
          <t>CHOOSE RATING</t>
        </is>
      </c>
      <c r="DX380" s="40" t="inlineStr">
        <is>
          <t>CHOOSE RATING</t>
        </is>
      </c>
      <c r="DY380" s="40" t="inlineStr">
        <is>
          <t>CHOOSE RATING</t>
        </is>
      </c>
      <c r="DZ380" s="53" t="inlineStr">
        <is>
          <t>CHOOSE RATING</t>
        </is>
      </c>
      <c r="EA380" s="54" t="inlineStr">
        <is>
          <t>Add the Tutor's Comment . . .</t>
        </is>
      </c>
      <c r="EB380" s="55" t="inlineStr">
        <is>
          <t>Choose Principals comment</t>
        </is>
      </c>
      <c r="EC380" s="56" t="n"/>
      <c r="ED380" s="57" t="inlineStr">
        <is>
          <t>Next Term Begins on Monday, 22nd September, 2025</t>
        </is>
      </c>
    </row>
    <row r="381" ht="30.6" customHeight="1" s="6">
      <c r="A381" s="18" t="n">
        <v>378</v>
      </c>
      <c r="B381" s="19" t="n"/>
      <c r="C381" s="20" t="n"/>
      <c r="D381" s="128" t="n"/>
      <c r="E381" s="21" t="n"/>
      <c r="F381" s="22" t="n"/>
      <c r="G381" s="22" t="n"/>
      <c r="H381" s="22" t="n"/>
      <c r="I381" s="26">
        <f>G381-H381</f>
        <v/>
      </c>
      <c r="J381" s="21" t="n"/>
      <c r="K381" s="21" t="n"/>
      <c r="L381" s="27">
        <f>SUM(J381:K381)</f>
        <v/>
      </c>
      <c r="M381" s="28" t="n"/>
      <c r="N381" s="28" t="n"/>
      <c r="O381" s="29">
        <f>IF(AND(L381=0,M381=0,N381=0),0,IF(AND(L381=0,M381=0),N381/1,IF(AND(L381=0,N381=0),M381/1,IF(AND(M381=0,N381=0),L381/1,IF(L381=0,FLOOR((M381+N381)/2,0.1),IF(M381=0,(L381+N381)/2,IF(N381=0,(M381+L381)/2,FLOOR(((L381+M381+N381)/3),0.1))))))))</f>
        <v/>
      </c>
      <c r="P381" s="21" t="n"/>
      <c r="Q381" s="21" t="n"/>
      <c r="R381" s="27">
        <f>SUM(P381:Q381)</f>
        <v/>
      </c>
      <c r="S381" s="28" t="n"/>
      <c r="T381" s="28" t="n"/>
      <c r="U381" s="29">
        <f>IF(AND(R381=0,S381=0,T381=0),0,IF(AND(R381=0,S381=0),T381/1,IF(AND(R381=0,T381=0),S381/1,IF(AND(S381=0,T381=0),R381/1,IF(R381=0,FLOOR((S381+T381)/2,0.1),IF(S381=0,(R381+T381)/2,IF(T381=0,(S381+R381)/2,FLOOR(((R381+S381+T381)/3),0.1))))))))</f>
        <v/>
      </c>
      <c r="V381" s="21" t="n"/>
      <c r="W381" s="21" t="n"/>
      <c r="X381" s="27">
        <f>SUM(V381:W381)</f>
        <v/>
      </c>
      <c r="Y381" s="28" t="n"/>
      <c r="Z381" s="28" t="n"/>
      <c r="AA381" s="29">
        <f>IF(AND(X381=0,Y381=0,Z381=0),0,IF(AND(X381=0,Y381=0),Z381/1,IF(AND(X381=0,Z381=0),Y381/1,IF(AND(Y381=0,Z381=0),X381/1,IF(X381=0,FLOOR((Y381+Z381)/2,0.1),IF(Y381=0,(X381+Z381)/2,IF(Z381=0,(Y381+X381)/2,FLOOR(((X381+Y381+Z381)/3),0.1))))))))</f>
        <v/>
      </c>
      <c r="AB381" s="21" t="n"/>
      <c r="AC381" s="21" t="n"/>
      <c r="AD381" s="27">
        <f>SUM(AB381:AC381)</f>
        <v/>
      </c>
      <c r="AE381" s="28" t="n"/>
      <c r="AF381" s="28" t="n"/>
      <c r="AG381" s="29">
        <f>IF(AND(AD381=0,AE381=0,AF381=0),0,IF(AND(AD381=0,AE381=0),AF381/1,IF(AND(AD381=0,AF381=0),AE381/1,IF(AND(AE381=0,AF381=0),AD381/1,IF(AD381=0,FLOOR((AE381+AF381)/2,0.1),IF(AE381=0,(AD381+AF381)/2,IF(AF381=0,(AE381+AD381)/2,FLOOR(((AD381+AE381+AF381)/3),0.1))))))))</f>
        <v/>
      </c>
      <c r="AH381" s="21" t="n"/>
      <c r="AI381" s="21" t="n"/>
      <c r="AJ381" s="27">
        <f>SUM(AH381:AI381)</f>
        <v/>
      </c>
      <c r="AK381" s="28" t="n"/>
      <c r="AL381" s="28" t="n"/>
      <c r="AM381" s="29">
        <f>IF(AND(AJ381=0,AK381=0,AL381=0),0,IF(AND(AJ381=0,AK381=0),AL381/1,IF(AND(AJ381=0,AL381=0),AK381/1,IF(AND(AK381=0,AL381=0),AJ381/1,IF(AJ381=0,FLOOR((AK381+AL381)/2,0.1),IF(AK381=0,(AJ381+AL381)/2,IF(AL381=0,(AK381+AJ381)/2,FLOOR(((AJ381+AK381+AL381)/3),0.1))))))))</f>
        <v/>
      </c>
      <c r="AN381" s="21" t="n"/>
      <c r="AO381" s="21" t="n"/>
      <c r="AP381" s="27">
        <f>SUM(AN381:AO381)</f>
        <v/>
      </c>
      <c r="AQ381" s="28" t="n"/>
      <c r="AR381" s="30" t="n"/>
      <c r="AS381" s="29">
        <f>IF(AND(AP381=0,AQ381=0,AR381=0),0,IF(AND(AP381=0,AQ381=0),AR381/1,IF(AND(AP381=0,AR381=0),AQ381/1,IF(AND(AQ381=0,AR381=0),AP381/1,IF(AP381=0,FLOOR((AQ381+AR381)/2,0.1),IF(AQ381=0,(AP381+AR381)/2,IF(AR381=0,(AQ381+AP381)/2,FLOOR(((AP381+AQ381+AR381)/3),0.1))))))))</f>
        <v/>
      </c>
      <c r="AT381" s="21" t="n"/>
      <c r="AU381" s="21" t="n"/>
      <c r="AV381" s="27">
        <f>SUM(AT381:AU381)</f>
        <v/>
      </c>
      <c r="AW381" s="28" t="n"/>
      <c r="AX381" s="30" t="n"/>
      <c r="AY381" s="29">
        <f>IF(AND(AV381=0,AW381=0,AX381=0),0,IF(AND(AV381=0,AW381=0),AX381/1,IF(AND(AV381=0,AX381=0),AW381/1,IF(AND(AW381=0,AX381=0),AV381/1,IF(AV381=0,FLOOR((AW381+AX381)/2,0.1),IF(AW381=0,(AV381+AX381)/2,IF(AX381=0,(AW381+AV381)/2,FLOOR(((AV381+AW381+AX381)/3),0.1))))))))</f>
        <v/>
      </c>
      <c r="AZ381" s="21" t="n"/>
      <c r="BA381" s="21" t="n"/>
      <c r="BB381" s="27">
        <f>SUM(AZ381:BA381)</f>
        <v/>
      </c>
      <c r="BC381" s="28" t="n"/>
      <c r="BD381" s="28" t="n"/>
      <c r="BE381" s="29">
        <f>IF(AND(BB381=0,BC381=0,BD381=0),0,IF(AND(BB381=0,BC381=0),BD381/1,IF(AND(BB381=0,BD381=0),BC381/1,IF(AND(BC381=0,BD381=0),BB381/1,IF(BB381=0,FLOOR((BC381+BD381)/2,0.1),IF(BC381=0,(BB381+BD381)/2,IF(BD381=0,(BC381+BB381)/2,FLOOR(((BB381+BC381+BD381)/3),0.1))))))))</f>
        <v/>
      </c>
      <c r="BF381" s="21" t="n"/>
      <c r="BG381" s="21" t="n"/>
      <c r="BH381" s="27">
        <f>SUM(BF381:BG381)</f>
        <v/>
      </c>
      <c r="BI381" s="28" t="n"/>
      <c r="BJ381" s="28" t="n"/>
      <c r="BK381" s="29">
        <f>IF(AND(BH381=0,BI381=0,BJ381=0),0,IF(AND(BH381=0,BI381=0),BJ381/1,IF(AND(BH381=0,BJ381=0),BI381/1,IF(AND(BI381=0,BJ381=0),BH381/1,IF(BH381=0,FLOOR((BI381+BJ381)/2,0.1),IF(BI381=0,(BH381+BJ381)/2,IF(BJ381=0,(BI381+BH381)/2,FLOOR(((BH381+BI381+BJ381)/3),0.1))))))))</f>
        <v/>
      </c>
      <c r="BL381" s="21" t="n"/>
      <c r="BM381" s="21" t="n"/>
      <c r="BN381" s="27">
        <f>SUM(BL381:BM381)</f>
        <v/>
      </c>
      <c r="BO381" s="28" t="n"/>
      <c r="BP381" s="31" t="n"/>
      <c r="BQ381" s="29">
        <f>IF(AND(BN381=0,BO381=0,BP381=0),0,IF(AND(BN381=0,BO381=0),BP381/1,IF(AND(BN381=0,BP381=0),BO381/1,IF(AND(BO381=0,BP381=0),BN381/1,IF(BN381=0,FLOOR((BO381+BP381)/2,0.1),IF(BO381=0,(BN381+BP381)/2,IF(BP381=0,(BO381+BN381)/2,FLOOR(((BN381+BO381+BP381)/3),0.1))))))))</f>
        <v/>
      </c>
      <c r="BR381" s="21" t="n"/>
      <c r="BS381" s="21" t="n"/>
      <c r="BT381" s="27">
        <f>SUM(BR381:BS381)</f>
        <v/>
      </c>
      <c r="BU381" s="28" t="n"/>
      <c r="BV381" s="31" t="n"/>
      <c r="BW381" s="29">
        <f>IF(AND(BT381=0,BU381=0,BV381=0),0,IF(AND(BT381=0,BU381=0),BV381/1,IF(AND(BT381=0,BV381=0),BU381/1,IF(AND(BU381=0,BV381=0),BT381/1,IF(BT381=0,FLOOR((BU381+BV381)/2,0.1),IF(BU381=0,(BT381+BV381)/2,IF(BV381=0,(BU381+BT381)/2,FLOOR(((BT381+BU381+BV381)/3),0.1))))))))</f>
        <v/>
      </c>
      <c r="BX381" s="21" t="n"/>
      <c r="BY381" s="21" t="n"/>
      <c r="BZ381" s="27">
        <f>SUM(BX381:BY381)</f>
        <v/>
      </c>
      <c r="CA381" s="28" t="n"/>
      <c r="CB381" s="31" t="n"/>
      <c r="CC381" s="29">
        <f>IF(AND(BZ381=0,CA381=0,CB381=0),0,IF(AND(BZ381=0,CA381=0),CB381/1,IF(AND(BZ381=0,CB381=0),CA381/1,IF(AND(CA381=0,CB381=0),BZ381/1,IF(BZ381=0,FLOOR((CA381+CB381)/2,0.1),IF(CA381=0,(BZ381+CB381)/2,IF(CB381=0,(CA381+BZ381)/2,FLOOR(((BZ381+CA381+CB381)/3),0.1))))))))</f>
        <v/>
      </c>
      <c r="CD381" s="21" t="n"/>
      <c r="CE381" s="21" t="n"/>
      <c r="CF381" s="27">
        <f>SUM(CD381:CE381)</f>
        <v/>
      </c>
      <c r="CG381" s="28" t="n"/>
      <c r="CH381" s="31" t="n"/>
      <c r="CI381" s="29">
        <f>IF(AND(CF381=0,CG381=0,CH381=0),0,IF(AND(CF381=0,CG381=0),CH381/1,IF(AND(CF381=0,CH381=0),CG381/1,IF(AND(CG381=0,CH381=0),CF381/1,IF(CF381=0,FLOOR((CG381+CH381)/2,0.1),IF(CG381=0,(CF381+CH381)/2,IF(CH381=0,(CG381+CF381)/2,FLOOR(((CF381+CG381+CH381)/3),0.1))))))))</f>
        <v/>
      </c>
      <c r="CJ381" s="21" t="n"/>
      <c r="CK381" s="21" t="n"/>
      <c r="CL381" s="27">
        <f>SUM(CJ381:CK381)</f>
        <v/>
      </c>
      <c r="CM381" s="28" t="n"/>
      <c r="CN381" s="31" t="n"/>
      <c r="CO381" s="29">
        <f>IF(AND(CL381=0,CM381=0,CN381=0),0,IF(AND(CL381=0,CM381=0),CN381/1,IF(AND(CL381=0,CN381=0),CM381/1,IF(AND(CM381=0,CN381=0),CL381/1,IF(CL381=0,FLOOR((CM381+CN381)/2,0.1),IF(CM381=0,(CL381+CN381)/2,IF(CN381=0,(CM381+CL381)/2,FLOOR(((CL381+CM381+CN381)/3),0.1))))))))</f>
        <v/>
      </c>
      <c r="CP381" s="21" t="n"/>
      <c r="CQ381" s="21" t="n"/>
      <c r="CR381" s="27">
        <f>SUM(CP381:CQ381)</f>
        <v/>
      </c>
      <c r="CS381" s="28" t="n"/>
      <c r="CT381" s="31" t="n"/>
      <c r="CU381" s="29">
        <f>IF(AND(CR381=0,CS381=0,CT381=0),0,IF(AND(CR381=0,CS381=0),CT381/1,IF(AND(CR381=0,CT381=0),CS381/1,IF(AND(CS381=0,CT381=0),CR381/1,IF(CR381=0,FLOOR((CS381+CT381)/2,0.1),IF(CS381=0,(CR381+CT381)/2,IF(CT381=0,(CS381+CR381)/2,FLOOR(((CR381+CS381+CT381)/3),0.1))))))))</f>
        <v/>
      </c>
      <c r="CV381" s="21" t="n"/>
      <c r="CW381" s="21" t="n"/>
      <c r="CX381" s="27">
        <f>SUM(CV381:CW381)</f>
        <v/>
      </c>
      <c r="CY381" s="28" t="n"/>
      <c r="CZ381" s="31" t="n"/>
      <c r="DA381" s="29">
        <f>IF(AND(CX381=0,CY381=0,CZ381=0),0,IF(AND(CX381=0,CY381=0),CZ381/1,IF(AND(CX381=0,CZ381=0),CY381/1,IF(AND(CY381=0,CZ381=0),CX381/1,IF(CX381=0,FLOOR((CY381+CZ381)/2,0.1),IF(CY381=0,(CX381+CZ381)/2,IF(CZ381=0,(CY381+CX381)/2,FLOOR(((CX381+CY381+CZ381)/3),0.1))))))))</f>
        <v/>
      </c>
      <c r="DB381" s="21" t="n"/>
      <c r="DC381" s="21" t="n"/>
      <c r="DD381" s="27">
        <f>SUM(DB381:DC381)</f>
        <v/>
      </c>
      <c r="DE381" s="28" t="n"/>
      <c r="DF381" s="31" t="n"/>
      <c r="DG381" s="29">
        <f>IF(AND(DD381=0,DE381=0,DF381=0),0,IF(AND(DD381=0,DE381=0),DF381/1,IF(AND(DD381=0,DF381=0),DE381/1,IF(AND(DE381=0,DF381=0),DD381/1,IF(DD381=0,FLOOR((DE381+DF381)/2,0.1),IF(DE381=0,(DD381+DF381)/2,IF(DF381=0,(DE381+DD381)/2,FLOOR(((DD381+DE381+DF381)/3),0.1))))))))</f>
        <v/>
      </c>
      <c r="DH381" s="34">
        <f>SUM(O381,U381,AA381,AG381,AM381,AS381,AY381,BE381,BK381,BQ381,BW381,CC381,CI381,CO381,CU381,DA381,DG381)</f>
        <v/>
      </c>
      <c r="DI381" s="39">
        <f>RANK(DH381,DH$4:DH$503)</f>
        <v/>
      </c>
      <c r="DJ381" s="40" t="inlineStr">
        <is>
          <t>CHOOSE RATING</t>
        </is>
      </c>
      <c r="DK381" s="40" t="inlineStr">
        <is>
          <t>CHOOSE RATING</t>
        </is>
      </c>
      <c r="DL381" s="40" t="inlineStr">
        <is>
          <t>CHOOSE RATING</t>
        </is>
      </c>
      <c r="DM381" s="40" t="inlineStr">
        <is>
          <t>CHOOSE RATING</t>
        </is>
      </c>
      <c r="DN381" s="40" t="inlineStr">
        <is>
          <t>CHOOSE RATING</t>
        </is>
      </c>
      <c r="DO381" s="40" t="inlineStr">
        <is>
          <t>CHOOSE RATING</t>
        </is>
      </c>
      <c r="DP381" s="40" t="inlineStr">
        <is>
          <t>CHOOSE RATING</t>
        </is>
      </c>
      <c r="DQ381" s="40" t="inlineStr">
        <is>
          <t>CHOOSE RATING</t>
        </is>
      </c>
      <c r="DR381" s="43" t="inlineStr">
        <is>
          <t>2024/2025</t>
        </is>
      </c>
      <c r="DS381" s="45" t="inlineStr">
        <is>
          <t>THIRD</t>
        </is>
      </c>
      <c r="DT381" s="40" t="inlineStr">
        <is>
          <t>CHOOSE RATING</t>
        </is>
      </c>
      <c r="DU381" s="40" t="inlineStr">
        <is>
          <t>CHOOSE RATING</t>
        </is>
      </c>
      <c r="DV381" s="40" t="inlineStr">
        <is>
          <t>CHOOSE RATING</t>
        </is>
      </c>
      <c r="DW381" s="40" t="inlineStr">
        <is>
          <t>CHOOSE RATING</t>
        </is>
      </c>
      <c r="DX381" s="40" t="inlineStr">
        <is>
          <t>CHOOSE RATING</t>
        </is>
      </c>
      <c r="DY381" s="40" t="inlineStr">
        <is>
          <t>CHOOSE RATING</t>
        </is>
      </c>
      <c r="DZ381" s="53" t="inlineStr">
        <is>
          <t>CHOOSE RATING</t>
        </is>
      </c>
      <c r="EA381" s="54" t="inlineStr">
        <is>
          <t>Add the Tutor's Comment . . .</t>
        </is>
      </c>
      <c r="EB381" s="55" t="inlineStr">
        <is>
          <t>Choose Principals comment</t>
        </is>
      </c>
      <c r="EC381" s="56" t="n"/>
      <c r="ED381" s="57" t="inlineStr">
        <is>
          <t>Next Term Begins on Monday, 22nd September, 2025</t>
        </is>
      </c>
    </row>
    <row r="382" ht="30.6" customHeight="1" s="6">
      <c r="A382" s="18" t="n">
        <v>379</v>
      </c>
      <c r="B382" s="19" t="n"/>
      <c r="C382" s="20" t="n"/>
      <c r="D382" s="128" t="n"/>
      <c r="E382" s="21" t="n"/>
      <c r="F382" s="22" t="n"/>
      <c r="G382" s="22" t="n"/>
      <c r="H382" s="22" t="n"/>
      <c r="I382" s="26">
        <f>G382-H382</f>
        <v/>
      </c>
      <c r="J382" s="21" t="n"/>
      <c r="K382" s="21" t="n"/>
      <c r="L382" s="27">
        <f>SUM(J382:K382)</f>
        <v/>
      </c>
      <c r="M382" s="28" t="n"/>
      <c r="N382" s="28" t="n"/>
      <c r="O382" s="29">
        <f>IF(AND(L382=0,M382=0,N382=0),0,IF(AND(L382=0,M382=0),N382/1,IF(AND(L382=0,N382=0),M382/1,IF(AND(M382=0,N382=0),L382/1,IF(L382=0,FLOOR((M382+N382)/2,0.1),IF(M382=0,(L382+N382)/2,IF(N382=0,(M382+L382)/2,FLOOR(((L382+M382+N382)/3),0.1))))))))</f>
        <v/>
      </c>
      <c r="P382" s="21" t="n"/>
      <c r="Q382" s="21" t="n"/>
      <c r="R382" s="27">
        <f>SUM(P382:Q382)</f>
        <v/>
      </c>
      <c r="S382" s="28" t="n"/>
      <c r="T382" s="28" t="n"/>
      <c r="U382" s="29">
        <f>IF(AND(R382=0,S382=0,T382=0),0,IF(AND(R382=0,S382=0),T382/1,IF(AND(R382=0,T382=0),S382/1,IF(AND(S382=0,T382=0),R382/1,IF(R382=0,FLOOR((S382+T382)/2,0.1),IF(S382=0,(R382+T382)/2,IF(T382=0,(S382+R382)/2,FLOOR(((R382+S382+T382)/3),0.1))))))))</f>
        <v/>
      </c>
      <c r="V382" s="21" t="n"/>
      <c r="W382" s="21" t="n"/>
      <c r="X382" s="27">
        <f>SUM(V382:W382)</f>
        <v/>
      </c>
      <c r="Y382" s="28" t="n"/>
      <c r="Z382" s="28" t="n"/>
      <c r="AA382" s="29">
        <f>IF(AND(X382=0,Y382=0,Z382=0),0,IF(AND(X382=0,Y382=0),Z382/1,IF(AND(X382=0,Z382=0),Y382/1,IF(AND(Y382=0,Z382=0),X382/1,IF(X382=0,FLOOR((Y382+Z382)/2,0.1),IF(Y382=0,(X382+Z382)/2,IF(Z382=0,(Y382+X382)/2,FLOOR(((X382+Y382+Z382)/3),0.1))))))))</f>
        <v/>
      </c>
      <c r="AB382" s="21" t="n"/>
      <c r="AC382" s="21" t="n"/>
      <c r="AD382" s="27">
        <f>SUM(AB382:AC382)</f>
        <v/>
      </c>
      <c r="AE382" s="28" t="n"/>
      <c r="AF382" s="28" t="n"/>
      <c r="AG382" s="29">
        <f>IF(AND(AD382=0,AE382=0,AF382=0),0,IF(AND(AD382=0,AE382=0),AF382/1,IF(AND(AD382=0,AF382=0),AE382/1,IF(AND(AE382=0,AF382=0),AD382/1,IF(AD382=0,FLOOR((AE382+AF382)/2,0.1),IF(AE382=0,(AD382+AF382)/2,IF(AF382=0,(AE382+AD382)/2,FLOOR(((AD382+AE382+AF382)/3),0.1))))))))</f>
        <v/>
      </c>
      <c r="AH382" s="21" t="n"/>
      <c r="AI382" s="21" t="n"/>
      <c r="AJ382" s="27">
        <f>SUM(AH382:AI382)</f>
        <v/>
      </c>
      <c r="AK382" s="28" t="n"/>
      <c r="AL382" s="28" t="n"/>
      <c r="AM382" s="29">
        <f>IF(AND(AJ382=0,AK382=0,AL382=0),0,IF(AND(AJ382=0,AK382=0),AL382/1,IF(AND(AJ382=0,AL382=0),AK382/1,IF(AND(AK382=0,AL382=0),AJ382/1,IF(AJ382=0,FLOOR((AK382+AL382)/2,0.1),IF(AK382=0,(AJ382+AL382)/2,IF(AL382=0,(AK382+AJ382)/2,FLOOR(((AJ382+AK382+AL382)/3),0.1))))))))</f>
        <v/>
      </c>
      <c r="AN382" s="21" t="n"/>
      <c r="AO382" s="21" t="n"/>
      <c r="AP382" s="27">
        <f>SUM(AN382:AO382)</f>
        <v/>
      </c>
      <c r="AQ382" s="28" t="n"/>
      <c r="AR382" s="30" t="n"/>
      <c r="AS382" s="29">
        <f>IF(AND(AP382=0,AQ382=0,AR382=0),0,IF(AND(AP382=0,AQ382=0),AR382/1,IF(AND(AP382=0,AR382=0),AQ382/1,IF(AND(AQ382=0,AR382=0),AP382/1,IF(AP382=0,FLOOR((AQ382+AR382)/2,0.1),IF(AQ382=0,(AP382+AR382)/2,IF(AR382=0,(AQ382+AP382)/2,FLOOR(((AP382+AQ382+AR382)/3),0.1))))))))</f>
        <v/>
      </c>
      <c r="AT382" s="21" t="n"/>
      <c r="AU382" s="21" t="n"/>
      <c r="AV382" s="27">
        <f>SUM(AT382:AU382)</f>
        <v/>
      </c>
      <c r="AW382" s="28" t="n"/>
      <c r="AX382" s="30" t="n"/>
      <c r="AY382" s="29">
        <f>IF(AND(AV382=0,AW382=0,AX382=0),0,IF(AND(AV382=0,AW382=0),AX382/1,IF(AND(AV382=0,AX382=0),AW382/1,IF(AND(AW382=0,AX382=0),AV382/1,IF(AV382=0,FLOOR((AW382+AX382)/2,0.1),IF(AW382=0,(AV382+AX382)/2,IF(AX382=0,(AW382+AV382)/2,FLOOR(((AV382+AW382+AX382)/3),0.1))))))))</f>
        <v/>
      </c>
      <c r="AZ382" s="21" t="n"/>
      <c r="BA382" s="21" t="n"/>
      <c r="BB382" s="27">
        <f>SUM(AZ382:BA382)</f>
        <v/>
      </c>
      <c r="BC382" s="28" t="n"/>
      <c r="BD382" s="28" t="n"/>
      <c r="BE382" s="29">
        <f>IF(AND(BB382=0,BC382=0,BD382=0),0,IF(AND(BB382=0,BC382=0),BD382/1,IF(AND(BB382=0,BD382=0),BC382/1,IF(AND(BC382=0,BD382=0),BB382/1,IF(BB382=0,FLOOR((BC382+BD382)/2,0.1),IF(BC382=0,(BB382+BD382)/2,IF(BD382=0,(BC382+BB382)/2,FLOOR(((BB382+BC382+BD382)/3),0.1))))))))</f>
        <v/>
      </c>
      <c r="BF382" s="21" t="n"/>
      <c r="BG382" s="21" t="n"/>
      <c r="BH382" s="27">
        <f>SUM(BF382:BG382)</f>
        <v/>
      </c>
      <c r="BI382" s="28" t="n"/>
      <c r="BJ382" s="28" t="n"/>
      <c r="BK382" s="29">
        <f>IF(AND(BH382=0,BI382=0,BJ382=0),0,IF(AND(BH382=0,BI382=0),BJ382/1,IF(AND(BH382=0,BJ382=0),BI382/1,IF(AND(BI382=0,BJ382=0),BH382/1,IF(BH382=0,FLOOR((BI382+BJ382)/2,0.1),IF(BI382=0,(BH382+BJ382)/2,IF(BJ382=0,(BI382+BH382)/2,FLOOR(((BH382+BI382+BJ382)/3),0.1))))))))</f>
        <v/>
      </c>
      <c r="BL382" s="21" t="n"/>
      <c r="BM382" s="21" t="n"/>
      <c r="BN382" s="27">
        <f>SUM(BL382:BM382)</f>
        <v/>
      </c>
      <c r="BO382" s="28" t="n"/>
      <c r="BP382" s="31" t="n"/>
      <c r="BQ382" s="29">
        <f>IF(AND(BN382=0,BO382=0,BP382=0),0,IF(AND(BN382=0,BO382=0),BP382/1,IF(AND(BN382=0,BP382=0),BO382/1,IF(AND(BO382=0,BP382=0),BN382/1,IF(BN382=0,FLOOR((BO382+BP382)/2,0.1),IF(BO382=0,(BN382+BP382)/2,IF(BP382=0,(BO382+BN382)/2,FLOOR(((BN382+BO382+BP382)/3),0.1))))))))</f>
        <v/>
      </c>
      <c r="BR382" s="21" t="n"/>
      <c r="BS382" s="21" t="n"/>
      <c r="BT382" s="27">
        <f>SUM(BR382:BS382)</f>
        <v/>
      </c>
      <c r="BU382" s="28" t="n"/>
      <c r="BV382" s="31" t="n"/>
      <c r="BW382" s="29">
        <f>IF(AND(BT382=0,BU382=0,BV382=0),0,IF(AND(BT382=0,BU382=0),BV382/1,IF(AND(BT382=0,BV382=0),BU382/1,IF(AND(BU382=0,BV382=0),BT382/1,IF(BT382=0,FLOOR((BU382+BV382)/2,0.1),IF(BU382=0,(BT382+BV382)/2,IF(BV382=0,(BU382+BT382)/2,FLOOR(((BT382+BU382+BV382)/3),0.1))))))))</f>
        <v/>
      </c>
      <c r="BX382" s="21" t="n"/>
      <c r="BY382" s="21" t="n"/>
      <c r="BZ382" s="27">
        <f>SUM(BX382:BY382)</f>
        <v/>
      </c>
      <c r="CA382" s="28" t="n"/>
      <c r="CB382" s="31" t="n"/>
      <c r="CC382" s="29">
        <f>IF(AND(BZ382=0,CA382=0,CB382=0),0,IF(AND(BZ382=0,CA382=0),CB382/1,IF(AND(BZ382=0,CB382=0),CA382/1,IF(AND(CA382=0,CB382=0),BZ382/1,IF(BZ382=0,FLOOR((CA382+CB382)/2,0.1),IF(CA382=0,(BZ382+CB382)/2,IF(CB382=0,(CA382+BZ382)/2,FLOOR(((BZ382+CA382+CB382)/3),0.1))))))))</f>
        <v/>
      </c>
      <c r="CD382" s="21" t="n"/>
      <c r="CE382" s="21" t="n"/>
      <c r="CF382" s="27">
        <f>SUM(CD382:CE382)</f>
        <v/>
      </c>
      <c r="CG382" s="28" t="n"/>
      <c r="CH382" s="31" t="n"/>
      <c r="CI382" s="29">
        <f>IF(AND(CF382=0,CG382=0,CH382=0),0,IF(AND(CF382=0,CG382=0),CH382/1,IF(AND(CF382=0,CH382=0),CG382/1,IF(AND(CG382=0,CH382=0),CF382/1,IF(CF382=0,FLOOR((CG382+CH382)/2,0.1),IF(CG382=0,(CF382+CH382)/2,IF(CH382=0,(CG382+CF382)/2,FLOOR(((CF382+CG382+CH382)/3),0.1))))))))</f>
        <v/>
      </c>
      <c r="CJ382" s="21" t="n"/>
      <c r="CK382" s="21" t="n"/>
      <c r="CL382" s="27">
        <f>SUM(CJ382:CK382)</f>
        <v/>
      </c>
      <c r="CM382" s="28" t="n"/>
      <c r="CN382" s="31" t="n"/>
      <c r="CO382" s="29">
        <f>IF(AND(CL382=0,CM382=0,CN382=0),0,IF(AND(CL382=0,CM382=0),CN382/1,IF(AND(CL382=0,CN382=0),CM382/1,IF(AND(CM382=0,CN382=0),CL382/1,IF(CL382=0,FLOOR((CM382+CN382)/2,0.1),IF(CM382=0,(CL382+CN382)/2,IF(CN382=0,(CM382+CL382)/2,FLOOR(((CL382+CM382+CN382)/3),0.1))))))))</f>
        <v/>
      </c>
      <c r="CP382" s="21" t="n"/>
      <c r="CQ382" s="21" t="n"/>
      <c r="CR382" s="27">
        <f>SUM(CP382:CQ382)</f>
        <v/>
      </c>
      <c r="CS382" s="28" t="n"/>
      <c r="CT382" s="31" t="n"/>
      <c r="CU382" s="29">
        <f>IF(AND(CR382=0,CS382=0,CT382=0),0,IF(AND(CR382=0,CS382=0),CT382/1,IF(AND(CR382=0,CT382=0),CS382/1,IF(AND(CS382=0,CT382=0),CR382/1,IF(CR382=0,FLOOR((CS382+CT382)/2,0.1),IF(CS382=0,(CR382+CT382)/2,IF(CT382=0,(CS382+CR382)/2,FLOOR(((CR382+CS382+CT382)/3),0.1))))))))</f>
        <v/>
      </c>
      <c r="CV382" s="21" t="n"/>
      <c r="CW382" s="21" t="n"/>
      <c r="CX382" s="27">
        <f>SUM(CV382:CW382)</f>
        <v/>
      </c>
      <c r="CY382" s="28" t="n"/>
      <c r="CZ382" s="31" t="n"/>
      <c r="DA382" s="29">
        <f>IF(AND(CX382=0,CY382=0,CZ382=0),0,IF(AND(CX382=0,CY382=0),CZ382/1,IF(AND(CX382=0,CZ382=0),CY382/1,IF(AND(CY382=0,CZ382=0),CX382/1,IF(CX382=0,FLOOR((CY382+CZ382)/2,0.1),IF(CY382=0,(CX382+CZ382)/2,IF(CZ382=0,(CY382+CX382)/2,FLOOR(((CX382+CY382+CZ382)/3),0.1))))))))</f>
        <v/>
      </c>
      <c r="DB382" s="21" t="n"/>
      <c r="DC382" s="21" t="n"/>
      <c r="DD382" s="27">
        <f>SUM(DB382:DC382)</f>
        <v/>
      </c>
      <c r="DE382" s="28" t="n"/>
      <c r="DF382" s="31" t="n"/>
      <c r="DG382" s="29">
        <f>IF(AND(DD382=0,DE382=0,DF382=0),0,IF(AND(DD382=0,DE382=0),DF382/1,IF(AND(DD382=0,DF382=0),DE382/1,IF(AND(DE382=0,DF382=0),DD382/1,IF(DD382=0,FLOOR((DE382+DF382)/2,0.1),IF(DE382=0,(DD382+DF382)/2,IF(DF382=0,(DE382+DD382)/2,FLOOR(((DD382+DE382+DF382)/3),0.1))))))))</f>
        <v/>
      </c>
      <c r="DH382" s="34">
        <f>SUM(O382,U382,AA382,AG382,AM382,AS382,AY382,BE382,BK382,BQ382,BW382,CC382,CI382,CO382,CU382,DA382,DG382)</f>
        <v/>
      </c>
      <c r="DI382" s="39">
        <f>RANK(DH382,DH$4:DH$503)</f>
        <v/>
      </c>
      <c r="DJ382" s="40" t="inlineStr">
        <is>
          <t>CHOOSE RATING</t>
        </is>
      </c>
      <c r="DK382" s="40" t="inlineStr">
        <is>
          <t>CHOOSE RATING</t>
        </is>
      </c>
      <c r="DL382" s="40" t="inlineStr">
        <is>
          <t>CHOOSE RATING</t>
        </is>
      </c>
      <c r="DM382" s="40" t="inlineStr">
        <is>
          <t>CHOOSE RATING</t>
        </is>
      </c>
      <c r="DN382" s="40" t="inlineStr">
        <is>
          <t>CHOOSE RATING</t>
        </is>
      </c>
      <c r="DO382" s="40" t="inlineStr">
        <is>
          <t>CHOOSE RATING</t>
        </is>
      </c>
      <c r="DP382" s="40" t="inlineStr">
        <is>
          <t>CHOOSE RATING</t>
        </is>
      </c>
      <c r="DQ382" s="40" t="inlineStr">
        <is>
          <t>CHOOSE RATING</t>
        </is>
      </c>
      <c r="DR382" s="43" t="inlineStr">
        <is>
          <t>2024/2025</t>
        </is>
      </c>
      <c r="DS382" s="45" t="inlineStr">
        <is>
          <t>THIRD</t>
        </is>
      </c>
      <c r="DT382" s="40" t="inlineStr">
        <is>
          <t>CHOOSE RATING</t>
        </is>
      </c>
      <c r="DU382" s="40" t="inlineStr">
        <is>
          <t>CHOOSE RATING</t>
        </is>
      </c>
      <c r="DV382" s="40" t="inlineStr">
        <is>
          <t>CHOOSE RATING</t>
        </is>
      </c>
      <c r="DW382" s="40" t="inlineStr">
        <is>
          <t>CHOOSE RATING</t>
        </is>
      </c>
      <c r="DX382" s="40" t="inlineStr">
        <is>
          <t>CHOOSE RATING</t>
        </is>
      </c>
      <c r="DY382" s="40" t="inlineStr">
        <is>
          <t>CHOOSE RATING</t>
        </is>
      </c>
      <c r="DZ382" s="53" t="inlineStr">
        <is>
          <t>CHOOSE RATING</t>
        </is>
      </c>
      <c r="EA382" s="54" t="inlineStr">
        <is>
          <t>Add the Tutor's Comment . . .</t>
        </is>
      </c>
      <c r="EB382" s="55" t="inlineStr">
        <is>
          <t>Choose Principals comment</t>
        </is>
      </c>
      <c r="EC382" s="56" t="n"/>
      <c r="ED382" s="57" t="inlineStr">
        <is>
          <t>Next Term Begins on Monday, 22nd September, 2025</t>
        </is>
      </c>
    </row>
    <row r="383" ht="30.6" customHeight="1" s="6">
      <c r="A383" s="18" t="n">
        <v>380</v>
      </c>
      <c r="B383" s="19" t="n"/>
      <c r="C383" s="20" t="n"/>
      <c r="D383" s="128" t="n"/>
      <c r="E383" s="21" t="n"/>
      <c r="F383" s="22" t="n"/>
      <c r="G383" s="22" t="n"/>
      <c r="H383" s="22" t="n"/>
      <c r="I383" s="26">
        <f>G383-H383</f>
        <v/>
      </c>
      <c r="J383" s="21" t="n"/>
      <c r="K383" s="21" t="n"/>
      <c r="L383" s="27">
        <f>SUM(J383:K383)</f>
        <v/>
      </c>
      <c r="M383" s="28" t="n"/>
      <c r="N383" s="28" t="n"/>
      <c r="O383" s="29">
        <f>IF(AND(L383=0,M383=0,N383=0),0,IF(AND(L383=0,M383=0),N383/1,IF(AND(L383=0,N383=0),M383/1,IF(AND(M383=0,N383=0),L383/1,IF(L383=0,FLOOR((M383+N383)/2,0.1),IF(M383=0,(L383+N383)/2,IF(N383=0,(M383+L383)/2,FLOOR(((L383+M383+N383)/3),0.1))))))))</f>
        <v/>
      </c>
      <c r="P383" s="21" t="n"/>
      <c r="Q383" s="21" t="n"/>
      <c r="R383" s="27">
        <f>SUM(P383:Q383)</f>
        <v/>
      </c>
      <c r="S383" s="28" t="n"/>
      <c r="T383" s="28" t="n"/>
      <c r="U383" s="29">
        <f>IF(AND(R383=0,S383=0,T383=0),0,IF(AND(R383=0,S383=0),T383/1,IF(AND(R383=0,T383=0),S383/1,IF(AND(S383=0,T383=0),R383/1,IF(R383=0,FLOOR((S383+T383)/2,0.1),IF(S383=0,(R383+T383)/2,IF(T383=0,(S383+R383)/2,FLOOR(((R383+S383+T383)/3),0.1))))))))</f>
        <v/>
      </c>
      <c r="V383" s="21" t="n"/>
      <c r="W383" s="21" t="n"/>
      <c r="X383" s="27">
        <f>SUM(V383:W383)</f>
        <v/>
      </c>
      <c r="Y383" s="28" t="n"/>
      <c r="Z383" s="28" t="n"/>
      <c r="AA383" s="29">
        <f>IF(AND(X383=0,Y383=0,Z383=0),0,IF(AND(X383=0,Y383=0),Z383/1,IF(AND(X383=0,Z383=0),Y383/1,IF(AND(Y383=0,Z383=0),X383/1,IF(X383=0,FLOOR((Y383+Z383)/2,0.1),IF(Y383=0,(X383+Z383)/2,IF(Z383=0,(Y383+X383)/2,FLOOR(((X383+Y383+Z383)/3),0.1))))))))</f>
        <v/>
      </c>
      <c r="AB383" s="21" t="n"/>
      <c r="AC383" s="21" t="n"/>
      <c r="AD383" s="27">
        <f>SUM(AB383:AC383)</f>
        <v/>
      </c>
      <c r="AE383" s="28" t="n"/>
      <c r="AF383" s="28" t="n"/>
      <c r="AG383" s="29">
        <f>IF(AND(AD383=0,AE383=0,AF383=0),0,IF(AND(AD383=0,AE383=0),AF383/1,IF(AND(AD383=0,AF383=0),AE383/1,IF(AND(AE383=0,AF383=0),AD383/1,IF(AD383=0,FLOOR((AE383+AF383)/2,0.1),IF(AE383=0,(AD383+AF383)/2,IF(AF383=0,(AE383+AD383)/2,FLOOR(((AD383+AE383+AF383)/3),0.1))))))))</f>
        <v/>
      </c>
      <c r="AH383" s="21" t="n"/>
      <c r="AI383" s="21" t="n"/>
      <c r="AJ383" s="27">
        <f>SUM(AH383:AI383)</f>
        <v/>
      </c>
      <c r="AK383" s="28" t="n"/>
      <c r="AL383" s="28" t="n"/>
      <c r="AM383" s="29">
        <f>IF(AND(AJ383=0,AK383=0,AL383=0),0,IF(AND(AJ383=0,AK383=0),AL383/1,IF(AND(AJ383=0,AL383=0),AK383/1,IF(AND(AK383=0,AL383=0),AJ383/1,IF(AJ383=0,FLOOR((AK383+AL383)/2,0.1),IF(AK383=0,(AJ383+AL383)/2,IF(AL383=0,(AK383+AJ383)/2,FLOOR(((AJ383+AK383+AL383)/3),0.1))))))))</f>
        <v/>
      </c>
      <c r="AN383" s="21" t="n"/>
      <c r="AO383" s="21" t="n"/>
      <c r="AP383" s="27">
        <f>SUM(AN383:AO383)</f>
        <v/>
      </c>
      <c r="AQ383" s="28" t="n"/>
      <c r="AR383" s="30" t="n"/>
      <c r="AS383" s="29">
        <f>IF(AND(AP383=0,AQ383=0,AR383=0),0,IF(AND(AP383=0,AQ383=0),AR383/1,IF(AND(AP383=0,AR383=0),AQ383/1,IF(AND(AQ383=0,AR383=0),AP383/1,IF(AP383=0,FLOOR((AQ383+AR383)/2,0.1),IF(AQ383=0,(AP383+AR383)/2,IF(AR383=0,(AQ383+AP383)/2,FLOOR(((AP383+AQ383+AR383)/3),0.1))))))))</f>
        <v/>
      </c>
      <c r="AT383" s="21" t="n"/>
      <c r="AU383" s="21" t="n"/>
      <c r="AV383" s="27">
        <f>SUM(AT383:AU383)</f>
        <v/>
      </c>
      <c r="AW383" s="28" t="n"/>
      <c r="AX383" s="30" t="n"/>
      <c r="AY383" s="29">
        <f>IF(AND(AV383=0,AW383=0,AX383=0),0,IF(AND(AV383=0,AW383=0),AX383/1,IF(AND(AV383=0,AX383=0),AW383/1,IF(AND(AW383=0,AX383=0),AV383/1,IF(AV383=0,FLOOR((AW383+AX383)/2,0.1),IF(AW383=0,(AV383+AX383)/2,IF(AX383=0,(AW383+AV383)/2,FLOOR(((AV383+AW383+AX383)/3),0.1))))))))</f>
        <v/>
      </c>
      <c r="AZ383" s="21" t="n"/>
      <c r="BA383" s="21" t="n"/>
      <c r="BB383" s="27">
        <f>SUM(AZ383:BA383)</f>
        <v/>
      </c>
      <c r="BC383" s="28" t="n"/>
      <c r="BD383" s="28" t="n"/>
      <c r="BE383" s="29">
        <f>IF(AND(BB383=0,BC383=0,BD383=0),0,IF(AND(BB383=0,BC383=0),BD383/1,IF(AND(BB383=0,BD383=0),BC383/1,IF(AND(BC383=0,BD383=0),BB383/1,IF(BB383=0,FLOOR((BC383+BD383)/2,0.1),IF(BC383=0,(BB383+BD383)/2,IF(BD383=0,(BC383+BB383)/2,FLOOR(((BB383+BC383+BD383)/3),0.1))))))))</f>
        <v/>
      </c>
      <c r="BF383" s="21" t="n"/>
      <c r="BG383" s="21" t="n"/>
      <c r="BH383" s="27">
        <f>SUM(BF383:BG383)</f>
        <v/>
      </c>
      <c r="BI383" s="28" t="n"/>
      <c r="BJ383" s="28" t="n"/>
      <c r="BK383" s="29">
        <f>IF(AND(BH383=0,BI383=0,BJ383=0),0,IF(AND(BH383=0,BI383=0),BJ383/1,IF(AND(BH383=0,BJ383=0),BI383/1,IF(AND(BI383=0,BJ383=0),BH383/1,IF(BH383=0,FLOOR((BI383+BJ383)/2,0.1),IF(BI383=0,(BH383+BJ383)/2,IF(BJ383=0,(BI383+BH383)/2,FLOOR(((BH383+BI383+BJ383)/3),0.1))))))))</f>
        <v/>
      </c>
      <c r="BL383" s="21" t="n"/>
      <c r="BM383" s="21" t="n"/>
      <c r="BN383" s="27">
        <f>SUM(BL383:BM383)</f>
        <v/>
      </c>
      <c r="BO383" s="28" t="n"/>
      <c r="BP383" s="31" t="n"/>
      <c r="BQ383" s="29">
        <f>IF(AND(BN383=0,BO383=0,BP383=0),0,IF(AND(BN383=0,BO383=0),BP383/1,IF(AND(BN383=0,BP383=0),BO383/1,IF(AND(BO383=0,BP383=0),BN383/1,IF(BN383=0,FLOOR((BO383+BP383)/2,0.1),IF(BO383=0,(BN383+BP383)/2,IF(BP383=0,(BO383+BN383)/2,FLOOR(((BN383+BO383+BP383)/3),0.1))))))))</f>
        <v/>
      </c>
      <c r="BR383" s="21" t="n"/>
      <c r="BS383" s="21" t="n"/>
      <c r="BT383" s="27">
        <f>SUM(BR383:BS383)</f>
        <v/>
      </c>
      <c r="BU383" s="28" t="n"/>
      <c r="BV383" s="31" t="n"/>
      <c r="BW383" s="29">
        <f>IF(AND(BT383=0,BU383=0,BV383=0),0,IF(AND(BT383=0,BU383=0),BV383/1,IF(AND(BT383=0,BV383=0),BU383/1,IF(AND(BU383=0,BV383=0),BT383/1,IF(BT383=0,FLOOR((BU383+BV383)/2,0.1),IF(BU383=0,(BT383+BV383)/2,IF(BV383=0,(BU383+BT383)/2,FLOOR(((BT383+BU383+BV383)/3),0.1))))))))</f>
        <v/>
      </c>
      <c r="BX383" s="21" t="n"/>
      <c r="BY383" s="21" t="n"/>
      <c r="BZ383" s="27">
        <f>SUM(BX383:BY383)</f>
        <v/>
      </c>
      <c r="CA383" s="28" t="n"/>
      <c r="CB383" s="31" t="n"/>
      <c r="CC383" s="29">
        <f>IF(AND(BZ383=0,CA383=0,CB383=0),0,IF(AND(BZ383=0,CA383=0),CB383/1,IF(AND(BZ383=0,CB383=0),CA383/1,IF(AND(CA383=0,CB383=0),BZ383/1,IF(BZ383=0,FLOOR((CA383+CB383)/2,0.1),IF(CA383=0,(BZ383+CB383)/2,IF(CB383=0,(CA383+BZ383)/2,FLOOR(((BZ383+CA383+CB383)/3),0.1))))))))</f>
        <v/>
      </c>
      <c r="CD383" s="21" t="n"/>
      <c r="CE383" s="21" t="n"/>
      <c r="CF383" s="27">
        <f>SUM(CD383:CE383)</f>
        <v/>
      </c>
      <c r="CG383" s="28" t="n"/>
      <c r="CH383" s="31" t="n"/>
      <c r="CI383" s="29">
        <f>IF(AND(CF383=0,CG383=0,CH383=0),0,IF(AND(CF383=0,CG383=0),CH383/1,IF(AND(CF383=0,CH383=0),CG383/1,IF(AND(CG383=0,CH383=0),CF383/1,IF(CF383=0,FLOOR((CG383+CH383)/2,0.1),IF(CG383=0,(CF383+CH383)/2,IF(CH383=0,(CG383+CF383)/2,FLOOR(((CF383+CG383+CH383)/3),0.1))))))))</f>
        <v/>
      </c>
      <c r="CJ383" s="21" t="n"/>
      <c r="CK383" s="21" t="n"/>
      <c r="CL383" s="27">
        <f>SUM(CJ383:CK383)</f>
        <v/>
      </c>
      <c r="CM383" s="28" t="n"/>
      <c r="CN383" s="31" t="n"/>
      <c r="CO383" s="29">
        <f>IF(AND(CL383=0,CM383=0,CN383=0),0,IF(AND(CL383=0,CM383=0),CN383/1,IF(AND(CL383=0,CN383=0),CM383/1,IF(AND(CM383=0,CN383=0),CL383/1,IF(CL383=0,FLOOR((CM383+CN383)/2,0.1),IF(CM383=0,(CL383+CN383)/2,IF(CN383=0,(CM383+CL383)/2,FLOOR(((CL383+CM383+CN383)/3),0.1))))))))</f>
        <v/>
      </c>
      <c r="CP383" s="21" t="n"/>
      <c r="CQ383" s="21" t="n"/>
      <c r="CR383" s="27">
        <f>SUM(CP383:CQ383)</f>
        <v/>
      </c>
      <c r="CS383" s="28" t="n"/>
      <c r="CT383" s="31" t="n"/>
      <c r="CU383" s="29">
        <f>IF(AND(CR383=0,CS383=0,CT383=0),0,IF(AND(CR383=0,CS383=0),CT383/1,IF(AND(CR383=0,CT383=0),CS383/1,IF(AND(CS383=0,CT383=0),CR383/1,IF(CR383=0,FLOOR((CS383+CT383)/2,0.1),IF(CS383=0,(CR383+CT383)/2,IF(CT383=0,(CS383+CR383)/2,FLOOR(((CR383+CS383+CT383)/3),0.1))))))))</f>
        <v/>
      </c>
      <c r="CV383" s="21" t="n"/>
      <c r="CW383" s="21" t="n"/>
      <c r="CX383" s="27">
        <f>SUM(CV383:CW383)</f>
        <v/>
      </c>
      <c r="CY383" s="28" t="n"/>
      <c r="CZ383" s="31" t="n"/>
      <c r="DA383" s="29">
        <f>IF(AND(CX383=0,CY383=0,CZ383=0),0,IF(AND(CX383=0,CY383=0),CZ383/1,IF(AND(CX383=0,CZ383=0),CY383/1,IF(AND(CY383=0,CZ383=0),CX383/1,IF(CX383=0,FLOOR((CY383+CZ383)/2,0.1),IF(CY383=0,(CX383+CZ383)/2,IF(CZ383=0,(CY383+CX383)/2,FLOOR(((CX383+CY383+CZ383)/3),0.1))))))))</f>
        <v/>
      </c>
      <c r="DB383" s="21" t="n"/>
      <c r="DC383" s="21" t="n"/>
      <c r="DD383" s="27">
        <f>SUM(DB383:DC383)</f>
        <v/>
      </c>
      <c r="DE383" s="28" t="n"/>
      <c r="DF383" s="31" t="n"/>
      <c r="DG383" s="29">
        <f>IF(AND(DD383=0,DE383=0,DF383=0),0,IF(AND(DD383=0,DE383=0),DF383/1,IF(AND(DD383=0,DF383=0),DE383/1,IF(AND(DE383=0,DF383=0),DD383/1,IF(DD383=0,FLOOR((DE383+DF383)/2,0.1),IF(DE383=0,(DD383+DF383)/2,IF(DF383=0,(DE383+DD383)/2,FLOOR(((DD383+DE383+DF383)/3),0.1))))))))</f>
        <v/>
      </c>
      <c r="DH383" s="34">
        <f>SUM(O383,U383,AA383,AG383,AM383,AS383,AY383,BE383,BK383,BQ383,BW383,CC383,CI383,CO383,CU383,DA383,DG383)</f>
        <v/>
      </c>
      <c r="DI383" s="39">
        <f>RANK(DH383,DH$4:DH$503)</f>
        <v/>
      </c>
      <c r="DJ383" s="40" t="inlineStr">
        <is>
          <t>CHOOSE RATING</t>
        </is>
      </c>
      <c r="DK383" s="40" t="inlineStr">
        <is>
          <t>CHOOSE RATING</t>
        </is>
      </c>
      <c r="DL383" s="40" t="inlineStr">
        <is>
          <t>CHOOSE RATING</t>
        </is>
      </c>
      <c r="DM383" s="40" t="inlineStr">
        <is>
          <t>CHOOSE RATING</t>
        </is>
      </c>
      <c r="DN383" s="40" t="inlineStr">
        <is>
          <t>CHOOSE RATING</t>
        </is>
      </c>
      <c r="DO383" s="40" t="inlineStr">
        <is>
          <t>CHOOSE RATING</t>
        </is>
      </c>
      <c r="DP383" s="40" t="inlineStr">
        <is>
          <t>CHOOSE RATING</t>
        </is>
      </c>
      <c r="DQ383" s="40" t="inlineStr">
        <is>
          <t>CHOOSE RATING</t>
        </is>
      </c>
      <c r="DR383" s="43" t="inlineStr">
        <is>
          <t>2024/2025</t>
        </is>
      </c>
      <c r="DS383" s="45" t="inlineStr">
        <is>
          <t>THIRD</t>
        </is>
      </c>
      <c r="DT383" s="40" t="inlineStr">
        <is>
          <t>CHOOSE RATING</t>
        </is>
      </c>
      <c r="DU383" s="40" t="inlineStr">
        <is>
          <t>CHOOSE RATING</t>
        </is>
      </c>
      <c r="DV383" s="40" t="inlineStr">
        <is>
          <t>CHOOSE RATING</t>
        </is>
      </c>
      <c r="DW383" s="40" t="inlineStr">
        <is>
          <t>CHOOSE RATING</t>
        </is>
      </c>
      <c r="DX383" s="40" t="inlineStr">
        <is>
          <t>CHOOSE RATING</t>
        </is>
      </c>
      <c r="DY383" s="40" t="inlineStr">
        <is>
          <t>CHOOSE RATING</t>
        </is>
      </c>
      <c r="DZ383" s="53" t="inlineStr">
        <is>
          <t>CHOOSE RATING</t>
        </is>
      </c>
      <c r="EA383" s="54" t="inlineStr">
        <is>
          <t>Add the Tutor's Comment . . .</t>
        </is>
      </c>
      <c r="EB383" s="55" t="inlineStr">
        <is>
          <t>Choose Principals comment</t>
        </is>
      </c>
      <c r="EC383" s="56" t="n"/>
      <c r="ED383" s="57" t="inlineStr">
        <is>
          <t>Next Term Begins on Monday, 22nd September, 2025</t>
        </is>
      </c>
    </row>
    <row r="384" ht="30.6" customHeight="1" s="6">
      <c r="A384" s="18" t="n">
        <v>381</v>
      </c>
      <c r="B384" s="19" t="n"/>
      <c r="C384" s="20" t="n"/>
      <c r="D384" s="128" t="n"/>
      <c r="E384" s="21" t="n"/>
      <c r="F384" s="22" t="n"/>
      <c r="G384" s="22" t="n"/>
      <c r="H384" s="22" t="n"/>
      <c r="I384" s="26">
        <f>G384-H384</f>
        <v/>
      </c>
      <c r="J384" s="21" t="n"/>
      <c r="K384" s="21" t="n"/>
      <c r="L384" s="27">
        <f>SUM(J384:K384)</f>
        <v/>
      </c>
      <c r="M384" s="28" t="n"/>
      <c r="N384" s="28" t="n"/>
      <c r="O384" s="29">
        <f>IF(AND(L384=0,M384=0,N384=0),0,IF(AND(L384=0,M384=0),N384/1,IF(AND(L384=0,N384=0),M384/1,IF(AND(M384=0,N384=0),L384/1,IF(L384=0,FLOOR((M384+N384)/2,0.1),IF(M384=0,(L384+N384)/2,IF(N384=0,(M384+L384)/2,FLOOR(((L384+M384+N384)/3),0.1))))))))</f>
        <v/>
      </c>
      <c r="P384" s="21" t="n"/>
      <c r="Q384" s="21" t="n"/>
      <c r="R384" s="27">
        <f>SUM(P384:Q384)</f>
        <v/>
      </c>
      <c r="S384" s="28" t="n"/>
      <c r="T384" s="28" t="n"/>
      <c r="U384" s="29">
        <f>IF(AND(R384=0,S384=0,T384=0),0,IF(AND(R384=0,S384=0),T384/1,IF(AND(R384=0,T384=0),S384/1,IF(AND(S384=0,T384=0),R384/1,IF(R384=0,FLOOR((S384+T384)/2,0.1),IF(S384=0,(R384+T384)/2,IF(T384=0,(S384+R384)/2,FLOOR(((R384+S384+T384)/3),0.1))))))))</f>
        <v/>
      </c>
      <c r="V384" s="21" t="n"/>
      <c r="W384" s="21" t="n"/>
      <c r="X384" s="27">
        <f>SUM(V384:W384)</f>
        <v/>
      </c>
      <c r="Y384" s="28" t="n"/>
      <c r="Z384" s="28" t="n"/>
      <c r="AA384" s="29">
        <f>IF(AND(X384=0,Y384=0,Z384=0),0,IF(AND(X384=0,Y384=0),Z384/1,IF(AND(X384=0,Z384=0),Y384/1,IF(AND(Y384=0,Z384=0),X384/1,IF(X384=0,FLOOR((Y384+Z384)/2,0.1),IF(Y384=0,(X384+Z384)/2,IF(Z384=0,(Y384+X384)/2,FLOOR(((X384+Y384+Z384)/3),0.1))))))))</f>
        <v/>
      </c>
      <c r="AB384" s="21" t="n"/>
      <c r="AC384" s="21" t="n"/>
      <c r="AD384" s="27">
        <f>SUM(AB384:AC384)</f>
        <v/>
      </c>
      <c r="AE384" s="28" t="n"/>
      <c r="AF384" s="28" t="n"/>
      <c r="AG384" s="29">
        <f>IF(AND(AD384=0,AE384=0,AF384=0),0,IF(AND(AD384=0,AE384=0),AF384/1,IF(AND(AD384=0,AF384=0),AE384/1,IF(AND(AE384=0,AF384=0),AD384/1,IF(AD384=0,FLOOR((AE384+AF384)/2,0.1),IF(AE384=0,(AD384+AF384)/2,IF(AF384=0,(AE384+AD384)/2,FLOOR(((AD384+AE384+AF384)/3),0.1))))))))</f>
        <v/>
      </c>
      <c r="AH384" s="21" t="n"/>
      <c r="AI384" s="21" t="n"/>
      <c r="AJ384" s="27">
        <f>SUM(AH384:AI384)</f>
        <v/>
      </c>
      <c r="AK384" s="28" t="n"/>
      <c r="AL384" s="28" t="n"/>
      <c r="AM384" s="29">
        <f>IF(AND(AJ384=0,AK384=0,AL384=0),0,IF(AND(AJ384=0,AK384=0),AL384/1,IF(AND(AJ384=0,AL384=0),AK384/1,IF(AND(AK384=0,AL384=0),AJ384/1,IF(AJ384=0,FLOOR((AK384+AL384)/2,0.1),IF(AK384=0,(AJ384+AL384)/2,IF(AL384=0,(AK384+AJ384)/2,FLOOR(((AJ384+AK384+AL384)/3),0.1))))))))</f>
        <v/>
      </c>
      <c r="AN384" s="21" t="n"/>
      <c r="AO384" s="21" t="n"/>
      <c r="AP384" s="27">
        <f>SUM(AN384:AO384)</f>
        <v/>
      </c>
      <c r="AQ384" s="28" t="n"/>
      <c r="AR384" s="30" t="n"/>
      <c r="AS384" s="29">
        <f>IF(AND(AP384=0,AQ384=0,AR384=0),0,IF(AND(AP384=0,AQ384=0),AR384/1,IF(AND(AP384=0,AR384=0),AQ384/1,IF(AND(AQ384=0,AR384=0),AP384/1,IF(AP384=0,FLOOR((AQ384+AR384)/2,0.1),IF(AQ384=0,(AP384+AR384)/2,IF(AR384=0,(AQ384+AP384)/2,FLOOR(((AP384+AQ384+AR384)/3),0.1))))))))</f>
        <v/>
      </c>
      <c r="AT384" s="21" t="n"/>
      <c r="AU384" s="21" t="n"/>
      <c r="AV384" s="27">
        <f>SUM(AT384:AU384)</f>
        <v/>
      </c>
      <c r="AW384" s="28" t="n"/>
      <c r="AX384" s="30" t="n"/>
      <c r="AY384" s="29">
        <f>IF(AND(AV384=0,AW384=0,AX384=0),0,IF(AND(AV384=0,AW384=0),AX384/1,IF(AND(AV384=0,AX384=0),AW384/1,IF(AND(AW384=0,AX384=0),AV384/1,IF(AV384=0,FLOOR((AW384+AX384)/2,0.1),IF(AW384=0,(AV384+AX384)/2,IF(AX384=0,(AW384+AV384)/2,FLOOR(((AV384+AW384+AX384)/3),0.1))))))))</f>
        <v/>
      </c>
      <c r="AZ384" s="21" t="n"/>
      <c r="BA384" s="21" t="n"/>
      <c r="BB384" s="27">
        <f>SUM(AZ384:BA384)</f>
        <v/>
      </c>
      <c r="BC384" s="28" t="n"/>
      <c r="BD384" s="28" t="n"/>
      <c r="BE384" s="29">
        <f>IF(AND(BB384=0,BC384=0,BD384=0),0,IF(AND(BB384=0,BC384=0),BD384/1,IF(AND(BB384=0,BD384=0),BC384/1,IF(AND(BC384=0,BD384=0),BB384/1,IF(BB384=0,FLOOR((BC384+BD384)/2,0.1),IF(BC384=0,(BB384+BD384)/2,IF(BD384=0,(BC384+BB384)/2,FLOOR(((BB384+BC384+BD384)/3),0.1))))))))</f>
        <v/>
      </c>
      <c r="BF384" s="21" t="n"/>
      <c r="BG384" s="21" t="n"/>
      <c r="BH384" s="27">
        <f>SUM(BF384:BG384)</f>
        <v/>
      </c>
      <c r="BI384" s="28" t="n"/>
      <c r="BJ384" s="28" t="n"/>
      <c r="BK384" s="29">
        <f>IF(AND(BH384=0,BI384=0,BJ384=0),0,IF(AND(BH384=0,BI384=0),BJ384/1,IF(AND(BH384=0,BJ384=0),BI384/1,IF(AND(BI384=0,BJ384=0),BH384/1,IF(BH384=0,FLOOR((BI384+BJ384)/2,0.1),IF(BI384=0,(BH384+BJ384)/2,IF(BJ384=0,(BI384+BH384)/2,FLOOR(((BH384+BI384+BJ384)/3),0.1))))))))</f>
        <v/>
      </c>
      <c r="BL384" s="21" t="n"/>
      <c r="BM384" s="21" t="n"/>
      <c r="BN384" s="27">
        <f>SUM(BL384:BM384)</f>
        <v/>
      </c>
      <c r="BO384" s="28" t="n"/>
      <c r="BP384" s="31" t="n"/>
      <c r="BQ384" s="29">
        <f>IF(AND(BN384=0,BO384=0,BP384=0),0,IF(AND(BN384=0,BO384=0),BP384/1,IF(AND(BN384=0,BP384=0),BO384/1,IF(AND(BO384=0,BP384=0),BN384/1,IF(BN384=0,FLOOR((BO384+BP384)/2,0.1),IF(BO384=0,(BN384+BP384)/2,IF(BP384=0,(BO384+BN384)/2,FLOOR(((BN384+BO384+BP384)/3),0.1))))))))</f>
        <v/>
      </c>
      <c r="BR384" s="21" t="n"/>
      <c r="BS384" s="21" t="n"/>
      <c r="BT384" s="27">
        <f>SUM(BR384:BS384)</f>
        <v/>
      </c>
      <c r="BU384" s="28" t="n"/>
      <c r="BV384" s="31" t="n"/>
      <c r="BW384" s="29">
        <f>IF(AND(BT384=0,BU384=0,BV384=0),0,IF(AND(BT384=0,BU384=0),BV384/1,IF(AND(BT384=0,BV384=0),BU384/1,IF(AND(BU384=0,BV384=0),BT384/1,IF(BT384=0,FLOOR((BU384+BV384)/2,0.1),IF(BU384=0,(BT384+BV384)/2,IF(BV384=0,(BU384+BT384)/2,FLOOR(((BT384+BU384+BV384)/3),0.1))))))))</f>
        <v/>
      </c>
      <c r="BX384" s="21" t="n"/>
      <c r="BY384" s="21" t="n"/>
      <c r="BZ384" s="27">
        <f>SUM(BX384:BY384)</f>
        <v/>
      </c>
      <c r="CA384" s="28" t="n"/>
      <c r="CB384" s="31" t="n"/>
      <c r="CC384" s="29">
        <f>IF(AND(BZ384=0,CA384=0,CB384=0),0,IF(AND(BZ384=0,CA384=0),CB384/1,IF(AND(BZ384=0,CB384=0),CA384/1,IF(AND(CA384=0,CB384=0),BZ384/1,IF(BZ384=0,FLOOR((CA384+CB384)/2,0.1),IF(CA384=0,(BZ384+CB384)/2,IF(CB384=0,(CA384+BZ384)/2,FLOOR(((BZ384+CA384+CB384)/3),0.1))))))))</f>
        <v/>
      </c>
      <c r="CD384" s="21" t="n"/>
      <c r="CE384" s="21" t="n"/>
      <c r="CF384" s="27">
        <f>SUM(CD384:CE384)</f>
        <v/>
      </c>
      <c r="CG384" s="28" t="n"/>
      <c r="CH384" s="31" t="n"/>
      <c r="CI384" s="29">
        <f>IF(AND(CF384=0,CG384=0,CH384=0),0,IF(AND(CF384=0,CG384=0),CH384/1,IF(AND(CF384=0,CH384=0),CG384/1,IF(AND(CG384=0,CH384=0),CF384/1,IF(CF384=0,FLOOR((CG384+CH384)/2,0.1),IF(CG384=0,(CF384+CH384)/2,IF(CH384=0,(CG384+CF384)/2,FLOOR(((CF384+CG384+CH384)/3),0.1))))))))</f>
        <v/>
      </c>
      <c r="CJ384" s="21" t="n"/>
      <c r="CK384" s="21" t="n"/>
      <c r="CL384" s="27">
        <f>SUM(CJ384:CK384)</f>
        <v/>
      </c>
      <c r="CM384" s="28" t="n"/>
      <c r="CN384" s="31" t="n"/>
      <c r="CO384" s="29">
        <f>IF(AND(CL384=0,CM384=0,CN384=0),0,IF(AND(CL384=0,CM384=0),CN384/1,IF(AND(CL384=0,CN384=0),CM384/1,IF(AND(CM384=0,CN384=0),CL384/1,IF(CL384=0,FLOOR((CM384+CN384)/2,0.1),IF(CM384=0,(CL384+CN384)/2,IF(CN384=0,(CM384+CL384)/2,FLOOR(((CL384+CM384+CN384)/3),0.1))))))))</f>
        <v/>
      </c>
      <c r="CP384" s="21" t="n"/>
      <c r="CQ384" s="21" t="n"/>
      <c r="CR384" s="27">
        <f>SUM(CP384:CQ384)</f>
        <v/>
      </c>
      <c r="CS384" s="28" t="n"/>
      <c r="CT384" s="31" t="n"/>
      <c r="CU384" s="29">
        <f>IF(AND(CR384=0,CS384=0,CT384=0),0,IF(AND(CR384=0,CS384=0),CT384/1,IF(AND(CR384=0,CT384=0),CS384/1,IF(AND(CS384=0,CT384=0),CR384/1,IF(CR384=0,FLOOR((CS384+CT384)/2,0.1),IF(CS384=0,(CR384+CT384)/2,IF(CT384=0,(CS384+CR384)/2,FLOOR(((CR384+CS384+CT384)/3),0.1))))))))</f>
        <v/>
      </c>
      <c r="CV384" s="21" t="n"/>
      <c r="CW384" s="21" t="n"/>
      <c r="CX384" s="27">
        <f>SUM(CV384:CW384)</f>
        <v/>
      </c>
      <c r="CY384" s="28" t="n"/>
      <c r="CZ384" s="31" t="n"/>
      <c r="DA384" s="29">
        <f>IF(AND(CX384=0,CY384=0,CZ384=0),0,IF(AND(CX384=0,CY384=0),CZ384/1,IF(AND(CX384=0,CZ384=0),CY384/1,IF(AND(CY384=0,CZ384=0),CX384/1,IF(CX384=0,FLOOR((CY384+CZ384)/2,0.1),IF(CY384=0,(CX384+CZ384)/2,IF(CZ384=0,(CY384+CX384)/2,FLOOR(((CX384+CY384+CZ384)/3),0.1))))))))</f>
        <v/>
      </c>
      <c r="DB384" s="21" t="n"/>
      <c r="DC384" s="21" t="n"/>
      <c r="DD384" s="27">
        <f>SUM(DB384:DC384)</f>
        <v/>
      </c>
      <c r="DE384" s="28" t="n"/>
      <c r="DF384" s="31" t="n"/>
      <c r="DG384" s="29">
        <f>IF(AND(DD384=0,DE384=0,DF384=0),0,IF(AND(DD384=0,DE384=0),DF384/1,IF(AND(DD384=0,DF384=0),DE384/1,IF(AND(DE384=0,DF384=0),DD384/1,IF(DD384=0,FLOOR((DE384+DF384)/2,0.1),IF(DE384=0,(DD384+DF384)/2,IF(DF384=0,(DE384+DD384)/2,FLOOR(((DD384+DE384+DF384)/3),0.1))))))))</f>
        <v/>
      </c>
      <c r="DH384" s="34">
        <f>SUM(O384,U384,AA384,AG384,AM384,AS384,AY384,BE384,BK384,BQ384,BW384,CC384,CI384,CO384,CU384,DA384,DG384)</f>
        <v/>
      </c>
      <c r="DI384" s="39">
        <f>RANK(DH384,DH$4:DH$503)</f>
        <v/>
      </c>
      <c r="DJ384" s="40" t="inlineStr">
        <is>
          <t>CHOOSE RATING</t>
        </is>
      </c>
      <c r="DK384" s="40" t="inlineStr">
        <is>
          <t>CHOOSE RATING</t>
        </is>
      </c>
      <c r="DL384" s="40" t="inlineStr">
        <is>
          <t>CHOOSE RATING</t>
        </is>
      </c>
      <c r="DM384" s="40" t="inlineStr">
        <is>
          <t>CHOOSE RATING</t>
        </is>
      </c>
      <c r="DN384" s="40" t="inlineStr">
        <is>
          <t>CHOOSE RATING</t>
        </is>
      </c>
      <c r="DO384" s="40" t="inlineStr">
        <is>
          <t>CHOOSE RATING</t>
        </is>
      </c>
      <c r="DP384" s="40" t="inlineStr">
        <is>
          <t>CHOOSE RATING</t>
        </is>
      </c>
      <c r="DQ384" s="40" t="inlineStr">
        <is>
          <t>CHOOSE RATING</t>
        </is>
      </c>
      <c r="DR384" s="43" t="inlineStr">
        <is>
          <t>2024/2025</t>
        </is>
      </c>
      <c r="DS384" s="45" t="inlineStr">
        <is>
          <t>THIRD</t>
        </is>
      </c>
      <c r="DT384" s="40" t="inlineStr">
        <is>
          <t>CHOOSE RATING</t>
        </is>
      </c>
      <c r="DU384" s="40" t="inlineStr">
        <is>
          <t>CHOOSE RATING</t>
        </is>
      </c>
      <c r="DV384" s="40" t="inlineStr">
        <is>
          <t>CHOOSE RATING</t>
        </is>
      </c>
      <c r="DW384" s="40" t="inlineStr">
        <is>
          <t>CHOOSE RATING</t>
        </is>
      </c>
      <c r="DX384" s="40" t="inlineStr">
        <is>
          <t>CHOOSE RATING</t>
        </is>
      </c>
      <c r="DY384" s="40" t="inlineStr">
        <is>
          <t>CHOOSE RATING</t>
        </is>
      </c>
      <c r="DZ384" s="53" t="inlineStr">
        <is>
          <t>CHOOSE RATING</t>
        </is>
      </c>
      <c r="EA384" s="54" t="inlineStr">
        <is>
          <t>Add the Tutor's Comment . . .</t>
        </is>
      </c>
      <c r="EB384" s="55" t="inlineStr">
        <is>
          <t>Choose Principals comment</t>
        </is>
      </c>
      <c r="EC384" s="56" t="n"/>
      <c r="ED384" s="57" t="inlineStr">
        <is>
          <t>Next Term Begins on Monday, 22nd September, 2025</t>
        </is>
      </c>
    </row>
    <row r="385" ht="30.6" customHeight="1" s="6">
      <c r="A385" s="18" t="n">
        <v>382</v>
      </c>
      <c r="B385" s="19" t="n"/>
      <c r="C385" s="20" t="n"/>
      <c r="D385" s="128" t="n"/>
      <c r="E385" s="21" t="n"/>
      <c r="F385" s="22" t="n"/>
      <c r="G385" s="22" t="n"/>
      <c r="H385" s="22" t="n"/>
      <c r="I385" s="26">
        <f>G385-H385</f>
        <v/>
      </c>
      <c r="J385" s="21" t="n"/>
      <c r="K385" s="21" t="n"/>
      <c r="L385" s="27">
        <f>SUM(J385:K385)</f>
        <v/>
      </c>
      <c r="M385" s="28" t="n"/>
      <c r="N385" s="28" t="n"/>
      <c r="O385" s="29">
        <f>IF(AND(L385=0,M385=0,N385=0),0,IF(AND(L385=0,M385=0),N385/1,IF(AND(L385=0,N385=0),M385/1,IF(AND(M385=0,N385=0),L385/1,IF(L385=0,FLOOR((M385+N385)/2,0.1),IF(M385=0,(L385+N385)/2,IF(N385=0,(M385+L385)/2,FLOOR(((L385+M385+N385)/3),0.1))))))))</f>
        <v/>
      </c>
      <c r="P385" s="21" t="n"/>
      <c r="Q385" s="21" t="n"/>
      <c r="R385" s="27">
        <f>SUM(P385:Q385)</f>
        <v/>
      </c>
      <c r="S385" s="28" t="n"/>
      <c r="T385" s="28" t="n"/>
      <c r="U385" s="29">
        <f>IF(AND(R385=0,S385=0,T385=0),0,IF(AND(R385=0,S385=0),T385/1,IF(AND(R385=0,T385=0),S385/1,IF(AND(S385=0,T385=0),R385/1,IF(R385=0,FLOOR((S385+T385)/2,0.1),IF(S385=0,(R385+T385)/2,IF(T385=0,(S385+R385)/2,FLOOR(((R385+S385+T385)/3),0.1))))))))</f>
        <v/>
      </c>
      <c r="V385" s="21" t="n"/>
      <c r="W385" s="21" t="n"/>
      <c r="X385" s="27">
        <f>SUM(V385:W385)</f>
        <v/>
      </c>
      <c r="Y385" s="28" t="n"/>
      <c r="Z385" s="28" t="n"/>
      <c r="AA385" s="29">
        <f>IF(AND(X385=0,Y385=0,Z385=0),0,IF(AND(X385=0,Y385=0),Z385/1,IF(AND(X385=0,Z385=0),Y385/1,IF(AND(Y385=0,Z385=0),X385/1,IF(X385=0,FLOOR((Y385+Z385)/2,0.1),IF(Y385=0,(X385+Z385)/2,IF(Z385=0,(Y385+X385)/2,FLOOR(((X385+Y385+Z385)/3),0.1))))))))</f>
        <v/>
      </c>
      <c r="AB385" s="21" t="n"/>
      <c r="AC385" s="21" t="n"/>
      <c r="AD385" s="27">
        <f>SUM(AB385:AC385)</f>
        <v/>
      </c>
      <c r="AE385" s="28" t="n"/>
      <c r="AF385" s="28" t="n"/>
      <c r="AG385" s="29">
        <f>IF(AND(AD385=0,AE385=0,AF385=0),0,IF(AND(AD385=0,AE385=0),AF385/1,IF(AND(AD385=0,AF385=0),AE385/1,IF(AND(AE385=0,AF385=0),AD385/1,IF(AD385=0,FLOOR((AE385+AF385)/2,0.1),IF(AE385=0,(AD385+AF385)/2,IF(AF385=0,(AE385+AD385)/2,FLOOR(((AD385+AE385+AF385)/3),0.1))))))))</f>
        <v/>
      </c>
      <c r="AH385" s="21" t="n"/>
      <c r="AI385" s="21" t="n"/>
      <c r="AJ385" s="27">
        <f>SUM(AH385:AI385)</f>
        <v/>
      </c>
      <c r="AK385" s="28" t="n"/>
      <c r="AL385" s="28" t="n"/>
      <c r="AM385" s="29">
        <f>IF(AND(AJ385=0,AK385=0,AL385=0),0,IF(AND(AJ385=0,AK385=0),AL385/1,IF(AND(AJ385=0,AL385=0),AK385/1,IF(AND(AK385=0,AL385=0),AJ385/1,IF(AJ385=0,FLOOR((AK385+AL385)/2,0.1),IF(AK385=0,(AJ385+AL385)/2,IF(AL385=0,(AK385+AJ385)/2,FLOOR(((AJ385+AK385+AL385)/3),0.1))))))))</f>
        <v/>
      </c>
      <c r="AN385" s="21" t="n"/>
      <c r="AO385" s="21" t="n"/>
      <c r="AP385" s="27">
        <f>SUM(AN385:AO385)</f>
        <v/>
      </c>
      <c r="AQ385" s="28" t="n"/>
      <c r="AR385" s="30" t="n"/>
      <c r="AS385" s="29">
        <f>IF(AND(AP385=0,AQ385=0,AR385=0),0,IF(AND(AP385=0,AQ385=0),AR385/1,IF(AND(AP385=0,AR385=0),AQ385/1,IF(AND(AQ385=0,AR385=0),AP385/1,IF(AP385=0,FLOOR((AQ385+AR385)/2,0.1),IF(AQ385=0,(AP385+AR385)/2,IF(AR385=0,(AQ385+AP385)/2,FLOOR(((AP385+AQ385+AR385)/3),0.1))))))))</f>
        <v/>
      </c>
      <c r="AT385" s="21" t="n"/>
      <c r="AU385" s="21" t="n"/>
      <c r="AV385" s="27">
        <f>SUM(AT385:AU385)</f>
        <v/>
      </c>
      <c r="AW385" s="28" t="n"/>
      <c r="AX385" s="30" t="n"/>
      <c r="AY385" s="29">
        <f>IF(AND(AV385=0,AW385=0,AX385=0),0,IF(AND(AV385=0,AW385=0),AX385/1,IF(AND(AV385=0,AX385=0),AW385/1,IF(AND(AW385=0,AX385=0),AV385/1,IF(AV385=0,FLOOR((AW385+AX385)/2,0.1),IF(AW385=0,(AV385+AX385)/2,IF(AX385=0,(AW385+AV385)/2,FLOOR(((AV385+AW385+AX385)/3),0.1))))))))</f>
        <v/>
      </c>
      <c r="AZ385" s="21" t="n"/>
      <c r="BA385" s="21" t="n"/>
      <c r="BB385" s="27">
        <f>SUM(AZ385:BA385)</f>
        <v/>
      </c>
      <c r="BC385" s="28" t="n"/>
      <c r="BD385" s="28" t="n"/>
      <c r="BE385" s="29">
        <f>IF(AND(BB385=0,BC385=0,BD385=0),0,IF(AND(BB385=0,BC385=0),BD385/1,IF(AND(BB385=0,BD385=0),BC385/1,IF(AND(BC385=0,BD385=0),BB385/1,IF(BB385=0,FLOOR((BC385+BD385)/2,0.1),IF(BC385=0,(BB385+BD385)/2,IF(BD385=0,(BC385+BB385)/2,FLOOR(((BB385+BC385+BD385)/3),0.1))))))))</f>
        <v/>
      </c>
      <c r="BF385" s="21" t="n"/>
      <c r="BG385" s="21" t="n"/>
      <c r="BH385" s="27">
        <f>SUM(BF385:BG385)</f>
        <v/>
      </c>
      <c r="BI385" s="28" t="n"/>
      <c r="BJ385" s="28" t="n"/>
      <c r="BK385" s="29">
        <f>IF(AND(BH385=0,BI385=0,BJ385=0),0,IF(AND(BH385=0,BI385=0),BJ385/1,IF(AND(BH385=0,BJ385=0),BI385/1,IF(AND(BI385=0,BJ385=0),BH385/1,IF(BH385=0,FLOOR((BI385+BJ385)/2,0.1),IF(BI385=0,(BH385+BJ385)/2,IF(BJ385=0,(BI385+BH385)/2,FLOOR(((BH385+BI385+BJ385)/3),0.1))))))))</f>
        <v/>
      </c>
      <c r="BL385" s="21" t="n"/>
      <c r="BM385" s="21" t="n"/>
      <c r="BN385" s="27">
        <f>SUM(BL385:BM385)</f>
        <v/>
      </c>
      <c r="BO385" s="28" t="n"/>
      <c r="BP385" s="31" t="n"/>
      <c r="BQ385" s="29">
        <f>IF(AND(BN385=0,BO385=0,BP385=0),0,IF(AND(BN385=0,BO385=0),BP385/1,IF(AND(BN385=0,BP385=0),BO385/1,IF(AND(BO385=0,BP385=0),BN385/1,IF(BN385=0,FLOOR((BO385+BP385)/2,0.1),IF(BO385=0,(BN385+BP385)/2,IF(BP385=0,(BO385+BN385)/2,FLOOR(((BN385+BO385+BP385)/3),0.1))))))))</f>
        <v/>
      </c>
      <c r="BR385" s="21" t="n"/>
      <c r="BS385" s="21" t="n"/>
      <c r="BT385" s="27">
        <f>SUM(BR385:BS385)</f>
        <v/>
      </c>
      <c r="BU385" s="28" t="n"/>
      <c r="BV385" s="31" t="n"/>
      <c r="BW385" s="29">
        <f>IF(AND(BT385=0,BU385=0,BV385=0),0,IF(AND(BT385=0,BU385=0),BV385/1,IF(AND(BT385=0,BV385=0),BU385/1,IF(AND(BU385=0,BV385=0),BT385/1,IF(BT385=0,FLOOR((BU385+BV385)/2,0.1),IF(BU385=0,(BT385+BV385)/2,IF(BV385=0,(BU385+BT385)/2,FLOOR(((BT385+BU385+BV385)/3),0.1))))))))</f>
        <v/>
      </c>
      <c r="BX385" s="21" t="n"/>
      <c r="BY385" s="21" t="n"/>
      <c r="BZ385" s="27">
        <f>SUM(BX385:BY385)</f>
        <v/>
      </c>
      <c r="CA385" s="28" t="n"/>
      <c r="CB385" s="31" t="n"/>
      <c r="CC385" s="29">
        <f>IF(AND(BZ385=0,CA385=0,CB385=0),0,IF(AND(BZ385=0,CA385=0),CB385/1,IF(AND(BZ385=0,CB385=0),CA385/1,IF(AND(CA385=0,CB385=0),BZ385/1,IF(BZ385=0,FLOOR((CA385+CB385)/2,0.1),IF(CA385=0,(BZ385+CB385)/2,IF(CB385=0,(CA385+BZ385)/2,FLOOR(((BZ385+CA385+CB385)/3),0.1))))))))</f>
        <v/>
      </c>
      <c r="CD385" s="21" t="n"/>
      <c r="CE385" s="21" t="n"/>
      <c r="CF385" s="27">
        <f>SUM(CD385:CE385)</f>
        <v/>
      </c>
      <c r="CG385" s="28" t="n"/>
      <c r="CH385" s="31" t="n"/>
      <c r="CI385" s="29">
        <f>IF(AND(CF385=0,CG385=0,CH385=0),0,IF(AND(CF385=0,CG385=0),CH385/1,IF(AND(CF385=0,CH385=0),CG385/1,IF(AND(CG385=0,CH385=0),CF385/1,IF(CF385=0,FLOOR((CG385+CH385)/2,0.1),IF(CG385=0,(CF385+CH385)/2,IF(CH385=0,(CG385+CF385)/2,FLOOR(((CF385+CG385+CH385)/3),0.1))))))))</f>
        <v/>
      </c>
      <c r="CJ385" s="21" t="n"/>
      <c r="CK385" s="21" t="n"/>
      <c r="CL385" s="27">
        <f>SUM(CJ385:CK385)</f>
        <v/>
      </c>
      <c r="CM385" s="28" t="n"/>
      <c r="CN385" s="31" t="n"/>
      <c r="CO385" s="29">
        <f>IF(AND(CL385=0,CM385=0,CN385=0),0,IF(AND(CL385=0,CM385=0),CN385/1,IF(AND(CL385=0,CN385=0),CM385/1,IF(AND(CM385=0,CN385=0),CL385/1,IF(CL385=0,FLOOR((CM385+CN385)/2,0.1),IF(CM385=0,(CL385+CN385)/2,IF(CN385=0,(CM385+CL385)/2,FLOOR(((CL385+CM385+CN385)/3),0.1))))))))</f>
        <v/>
      </c>
      <c r="CP385" s="21" t="n"/>
      <c r="CQ385" s="21" t="n"/>
      <c r="CR385" s="27">
        <f>SUM(CP385:CQ385)</f>
        <v/>
      </c>
      <c r="CS385" s="28" t="n"/>
      <c r="CT385" s="31" t="n"/>
      <c r="CU385" s="29">
        <f>IF(AND(CR385=0,CS385=0,CT385=0),0,IF(AND(CR385=0,CS385=0),CT385/1,IF(AND(CR385=0,CT385=0),CS385/1,IF(AND(CS385=0,CT385=0),CR385/1,IF(CR385=0,FLOOR((CS385+CT385)/2,0.1),IF(CS385=0,(CR385+CT385)/2,IF(CT385=0,(CS385+CR385)/2,FLOOR(((CR385+CS385+CT385)/3),0.1))))))))</f>
        <v/>
      </c>
      <c r="CV385" s="21" t="n"/>
      <c r="CW385" s="21" t="n"/>
      <c r="CX385" s="27">
        <f>SUM(CV385:CW385)</f>
        <v/>
      </c>
      <c r="CY385" s="28" t="n"/>
      <c r="CZ385" s="31" t="n"/>
      <c r="DA385" s="29">
        <f>IF(AND(CX385=0,CY385=0,CZ385=0),0,IF(AND(CX385=0,CY385=0),CZ385/1,IF(AND(CX385=0,CZ385=0),CY385/1,IF(AND(CY385=0,CZ385=0),CX385/1,IF(CX385=0,FLOOR((CY385+CZ385)/2,0.1),IF(CY385=0,(CX385+CZ385)/2,IF(CZ385=0,(CY385+CX385)/2,FLOOR(((CX385+CY385+CZ385)/3),0.1))))))))</f>
        <v/>
      </c>
      <c r="DB385" s="21" t="n"/>
      <c r="DC385" s="21" t="n"/>
      <c r="DD385" s="27">
        <f>SUM(DB385:DC385)</f>
        <v/>
      </c>
      <c r="DE385" s="28" t="n"/>
      <c r="DF385" s="31" t="n"/>
      <c r="DG385" s="29">
        <f>IF(AND(DD385=0,DE385=0,DF385=0),0,IF(AND(DD385=0,DE385=0),DF385/1,IF(AND(DD385=0,DF385=0),DE385/1,IF(AND(DE385=0,DF385=0),DD385/1,IF(DD385=0,FLOOR((DE385+DF385)/2,0.1),IF(DE385=0,(DD385+DF385)/2,IF(DF385=0,(DE385+DD385)/2,FLOOR(((DD385+DE385+DF385)/3),0.1))))))))</f>
        <v/>
      </c>
      <c r="DH385" s="34">
        <f>SUM(O385,U385,AA385,AG385,AM385,AS385,AY385,BE385,BK385,BQ385,BW385,CC385,CI385,CO385,CU385,DA385,DG385)</f>
        <v/>
      </c>
      <c r="DI385" s="39">
        <f>RANK(DH385,DH$4:DH$503)</f>
        <v/>
      </c>
      <c r="DJ385" s="40" t="inlineStr">
        <is>
          <t>CHOOSE RATING</t>
        </is>
      </c>
      <c r="DK385" s="40" t="inlineStr">
        <is>
          <t>CHOOSE RATING</t>
        </is>
      </c>
      <c r="DL385" s="40" t="inlineStr">
        <is>
          <t>CHOOSE RATING</t>
        </is>
      </c>
      <c r="DM385" s="40" t="inlineStr">
        <is>
          <t>CHOOSE RATING</t>
        </is>
      </c>
      <c r="DN385" s="40" t="inlineStr">
        <is>
          <t>CHOOSE RATING</t>
        </is>
      </c>
      <c r="DO385" s="40" t="inlineStr">
        <is>
          <t>CHOOSE RATING</t>
        </is>
      </c>
      <c r="DP385" s="40" t="inlineStr">
        <is>
          <t>CHOOSE RATING</t>
        </is>
      </c>
      <c r="DQ385" s="40" t="inlineStr">
        <is>
          <t>CHOOSE RATING</t>
        </is>
      </c>
      <c r="DR385" s="43" t="inlineStr">
        <is>
          <t>2024/2025</t>
        </is>
      </c>
      <c r="DS385" s="45" t="inlineStr">
        <is>
          <t>THIRD</t>
        </is>
      </c>
      <c r="DT385" s="40" t="inlineStr">
        <is>
          <t>CHOOSE RATING</t>
        </is>
      </c>
      <c r="DU385" s="40" t="inlineStr">
        <is>
          <t>CHOOSE RATING</t>
        </is>
      </c>
      <c r="DV385" s="40" t="inlineStr">
        <is>
          <t>CHOOSE RATING</t>
        </is>
      </c>
      <c r="DW385" s="40" t="inlineStr">
        <is>
          <t>CHOOSE RATING</t>
        </is>
      </c>
      <c r="DX385" s="40" t="inlineStr">
        <is>
          <t>CHOOSE RATING</t>
        </is>
      </c>
      <c r="DY385" s="40" t="inlineStr">
        <is>
          <t>CHOOSE RATING</t>
        </is>
      </c>
      <c r="DZ385" s="53" t="inlineStr">
        <is>
          <t>CHOOSE RATING</t>
        </is>
      </c>
      <c r="EA385" s="54" t="inlineStr">
        <is>
          <t>Add the Tutor's Comment . . .</t>
        </is>
      </c>
      <c r="EB385" s="55" t="inlineStr">
        <is>
          <t>Choose Principals comment</t>
        </is>
      </c>
      <c r="EC385" s="56" t="n"/>
      <c r="ED385" s="57" t="inlineStr">
        <is>
          <t>Next Term Begins on Monday, 22nd September, 2025</t>
        </is>
      </c>
    </row>
    <row r="386" ht="30.6" customHeight="1" s="6">
      <c r="A386" s="18" t="n">
        <v>383</v>
      </c>
      <c r="B386" s="19" t="n"/>
      <c r="C386" s="20" t="n"/>
      <c r="D386" s="128" t="n"/>
      <c r="E386" s="21" t="n"/>
      <c r="F386" s="22" t="n"/>
      <c r="G386" s="22" t="n"/>
      <c r="H386" s="22" t="n"/>
      <c r="I386" s="26">
        <f>G386-H386</f>
        <v/>
      </c>
      <c r="J386" s="21" t="n"/>
      <c r="K386" s="21" t="n"/>
      <c r="L386" s="27">
        <f>SUM(J386:K386)</f>
        <v/>
      </c>
      <c r="M386" s="28" t="n"/>
      <c r="N386" s="28" t="n"/>
      <c r="O386" s="29">
        <f>IF(AND(L386=0,M386=0,N386=0),0,IF(AND(L386=0,M386=0),N386/1,IF(AND(L386=0,N386=0),M386/1,IF(AND(M386=0,N386=0),L386/1,IF(L386=0,FLOOR((M386+N386)/2,0.1),IF(M386=0,(L386+N386)/2,IF(N386=0,(M386+L386)/2,FLOOR(((L386+M386+N386)/3),0.1))))))))</f>
        <v/>
      </c>
      <c r="P386" s="21" t="n"/>
      <c r="Q386" s="21" t="n"/>
      <c r="R386" s="27">
        <f>SUM(P386:Q386)</f>
        <v/>
      </c>
      <c r="S386" s="28" t="n"/>
      <c r="T386" s="28" t="n"/>
      <c r="U386" s="29">
        <f>IF(AND(R386=0,S386=0,T386=0),0,IF(AND(R386=0,S386=0),T386/1,IF(AND(R386=0,T386=0),S386/1,IF(AND(S386=0,T386=0),R386/1,IF(R386=0,FLOOR((S386+T386)/2,0.1),IF(S386=0,(R386+T386)/2,IF(T386=0,(S386+R386)/2,FLOOR(((R386+S386+T386)/3),0.1))))))))</f>
        <v/>
      </c>
      <c r="V386" s="21" t="n"/>
      <c r="W386" s="21" t="n"/>
      <c r="X386" s="27">
        <f>SUM(V386:W386)</f>
        <v/>
      </c>
      <c r="Y386" s="28" t="n"/>
      <c r="Z386" s="28" t="n"/>
      <c r="AA386" s="29">
        <f>IF(AND(X386=0,Y386=0,Z386=0),0,IF(AND(X386=0,Y386=0),Z386/1,IF(AND(X386=0,Z386=0),Y386/1,IF(AND(Y386=0,Z386=0),X386/1,IF(X386=0,FLOOR((Y386+Z386)/2,0.1),IF(Y386=0,(X386+Z386)/2,IF(Z386=0,(Y386+X386)/2,FLOOR(((X386+Y386+Z386)/3),0.1))))))))</f>
        <v/>
      </c>
      <c r="AB386" s="21" t="n"/>
      <c r="AC386" s="21" t="n"/>
      <c r="AD386" s="27">
        <f>SUM(AB386:AC386)</f>
        <v/>
      </c>
      <c r="AE386" s="28" t="n"/>
      <c r="AF386" s="28" t="n"/>
      <c r="AG386" s="29">
        <f>IF(AND(AD386=0,AE386=0,AF386=0),0,IF(AND(AD386=0,AE386=0),AF386/1,IF(AND(AD386=0,AF386=0),AE386/1,IF(AND(AE386=0,AF386=0),AD386/1,IF(AD386=0,FLOOR((AE386+AF386)/2,0.1),IF(AE386=0,(AD386+AF386)/2,IF(AF386=0,(AE386+AD386)/2,FLOOR(((AD386+AE386+AF386)/3),0.1))))))))</f>
        <v/>
      </c>
      <c r="AH386" s="21" t="n"/>
      <c r="AI386" s="21" t="n"/>
      <c r="AJ386" s="27">
        <f>SUM(AH386:AI386)</f>
        <v/>
      </c>
      <c r="AK386" s="28" t="n"/>
      <c r="AL386" s="28" t="n"/>
      <c r="AM386" s="29">
        <f>IF(AND(AJ386=0,AK386=0,AL386=0),0,IF(AND(AJ386=0,AK386=0),AL386/1,IF(AND(AJ386=0,AL386=0),AK386/1,IF(AND(AK386=0,AL386=0),AJ386/1,IF(AJ386=0,FLOOR((AK386+AL386)/2,0.1),IF(AK386=0,(AJ386+AL386)/2,IF(AL386=0,(AK386+AJ386)/2,FLOOR(((AJ386+AK386+AL386)/3),0.1))))))))</f>
        <v/>
      </c>
      <c r="AN386" s="21" t="n"/>
      <c r="AO386" s="21" t="n"/>
      <c r="AP386" s="27">
        <f>SUM(AN386:AO386)</f>
        <v/>
      </c>
      <c r="AQ386" s="28" t="n"/>
      <c r="AR386" s="30" t="n"/>
      <c r="AS386" s="29">
        <f>IF(AND(AP386=0,AQ386=0,AR386=0),0,IF(AND(AP386=0,AQ386=0),AR386/1,IF(AND(AP386=0,AR386=0),AQ386/1,IF(AND(AQ386=0,AR386=0),AP386/1,IF(AP386=0,FLOOR((AQ386+AR386)/2,0.1),IF(AQ386=0,(AP386+AR386)/2,IF(AR386=0,(AQ386+AP386)/2,FLOOR(((AP386+AQ386+AR386)/3),0.1))))))))</f>
        <v/>
      </c>
      <c r="AT386" s="21" t="n"/>
      <c r="AU386" s="21" t="n"/>
      <c r="AV386" s="27">
        <f>SUM(AT386:AU386)</f>
        <v/>
      </c>
      <c r="AW386" s="28" t="n"/>
      <c r="AX386" s="30" t="n"/>
      <c r="AY386" s="29">
        <f>IF(AND(AV386=0,AW386=0,AX386=0),0,IF(AND(AV386=0,AW386=0),AX386/1,IF(AND(AV386=0,AX386=0),AW386/1,IF(AND(AW386=0,AX386=0),AV386/1,IF(AV386=0,FLOOR((AW386+AX386)/2,0.1),IF(AW386=0,(AV386+AX386)/2,IF(AX386=0,(AW386+AV386)/2,FLOOR(((AV386+AW386+AX386)/3),0.1))))))))</f>
        <v/>
      </c>
      <c r="AZ386" s="21" t="n"/>
      <c r="BA386" s="21" t="n"/>
      <c r="BB386" s="27">
        <f>SUM(AZ386:BA386)</f>
        <v/>
      </c>
      <c r="BC386" s="28" t="n"/>
      <c r="BD386" s="28" t="n"/>
      <c r="BE386" s="29">
        <f>IF(AND(BB386=0,BC386=0,BD386=0),0,IF(AND(BB386=0,BC386=0),BD386/1,IF(AND(BB386=0,BD386=0),BC386/1,IF(AND(BC386=0,BD386=0),BB386/1,IF(BB386=0,FLOOR((BC386+BD386)/2,0.1),IF(BC386=0,(BB386+BD386)/2,IF(BD386=0,(BC386+BB386)/2,FLOOR(((BB386+BC386+BD386)/3),0.1))))))))</f>
        <v/>
      </c>
      <c r="BF386" s="21" t="n"/>
      <c r="BG386" s="21" t="n"/>
      <c r="BH386" s="27">
        <f>SUM(BF386:BG386)</f>
        <v/>
      </c>
      <c r="BI386" s="28" t="n"/>
      <c r="BJ386" s="28" t="n"/>
      <c r="BK386" s="29">
        <f>IF(AND(BH386=0,BI386=0,BJ386=0),0,IF(AND(BH386=0,BI386=0),BJ386/1,IF(AND(BH386=0,BJ386=0),BI386/1,IF(AND(BI386=0,BJ386=0),BH386/1,IF(BH386=0,FLOOR((BI386+BJ386)/2,0.1),IF(BI386=0,(BH386+BJ386)/2,IF(BJ386=0,(BI386+BH386)/2,FLOOR(((BH386+BI386+BJ386)/3),0.1))))))))</f>
        <v/>
      </c>
      <c r="BL386" s="21" t="n"/>
      <c r="BM386" s="21" t="n"/>
      <c r="BN386" s="27">
        <f>SUM(BL386:BM386)</f>
        <v/>
      </c>
      <c r="BO386" s="28" t="n"/>
      <c r="BP386" s="31" t="n"/>
      <c r="BQ386" s="29">
        <f>IF(AND(BN386=0,BO386=0,BP386=0),0,IF(AND(BN386=0,BO386=0),BP386/1,IF(AND(BN386=0,BP386=0),BO386/1,IF(AND(BO386=0,BP386=0),BN386/1,IF(BN386=0,FLOOR((BO386+BP386)/2,0.1),IF(BO386=0,(BN386+BP386)/2,IF(BP386=0,(BO386+BN386)/2,FLOOR(((BN386+BO386+BP386)/3),0.1))))))))</f>
        <v/>
      </c>
      <c r="BR386" s="21" t="n"/>
      <c r="BS386" s="21" t="n"/>
      <c r="BT386" s="27">
        <f>SUM(BR386:BS386)</f>
        <v/>
      </c>
      <c r="BU386" s="28" t="n"/>
      <c r="BV386" s="31" t="n"/>
      <c r="BW386" s="29">
        <f>IF(AND(BT386=0,BU386=0,BV386=0),0,IF(AND(BT386=0,BU386=0),BV386/1,IF(AND(BT386=0,BV386=0),BU386/1,IF(AND(BU386=0,BV386=0),BT386/1,IF(BT386=0,FLOOR((BU386+BV386)/2,0.1),IF(BU386=0,(BT386+BV386)/2,IF(BV386=0,(BU386+BT386)/2,FLOOR(((BT386+BU386+BV386)/3),0.1))))))))</f>
        <v/>
      </c>
      <c r="BX386" s="21" t="n"/>
      <c r="BY386" s="21" t="n"/>
      <c r="BZ386" s="27">
        <f>SUM(BX386:BY386)</f>
        <v/>
      </c>
      <c r="CA386" s="28" t="n"/>
      <c r="CB386" s="31" t="n"/>
      <c r="CC386" s="29">
        <f>IF(AND(BZ386=0,CA386=0,CB386=0),0,IF(AND(BZ386=0,CA386=0),CB386/1,IF(AND(BZ386=0,CB386=0),CA386/1,IF(AND(CA386=0,CB386=0),BZ386/1,IF(BZ386=0,FLOOR((CA386+CB386)/2,0.1),IF(CA386=0,(BZ386+CB386)/2,IF(CB386=0,(CA386+BZ386)/2,FLOOR(((BZ386+CA386+CB386)/3),0.1))))))))</f>
        <v/>
      </c>
      <c r="CD386" s="21" t="n"/>
      <c r="CE386" s="21" t="n"/>
      <c r="CF386" s="27">
        <f>SUM(CD386:CE386)</f>
        <v/>
      </c>
      <c r="CG386" s="28" t="n"/>
      <c r="CH386" s="31" t="n"/>
      <c r="CI386" s="29">
        <f>IF(AND(CF386=0,CG386=0,CH386=0),0,IF(AND(CF386=0,CG386=0),CH386/1,IF(AND(CF386=0,CH386=0),CG386/1,IF(AND(CG386=0,CH386=0),CF386/1,IF(CF386=0,FLOOR((CG386+CH386)/2,0.1),IF(CG386=0,(CF386+CH386)/2,IF(CH386=0,(CG386+CF386)/2,FLOOR(((CF386+CG386+CH386)/3),0.1))))))))</f>
        <v/>
      </c>
      <c r="CJ386" s="21" t="n"/>
      <c r="CK386" s="21" t="n"/>
      <c r="CL386" s="27">
        <f>SUM(CJ386:CK386)</f>
        <v/>
      </c>
      <c r="CM386" s="28" t="n"/>
      <c r="CN386" s="31" t="n"/>
      <c r="CO386" s="29">
        <f>IF(AND(CL386=0,CM386=0,CN386=0),0,IF(AND(CL386=0,CM386=0),CN386/1,IF(AND(CL386=0,CN386=0),CM386/1,IF(AND(CM386=0,CN386=0),CL386/1,IF(CL386=0,FLOOR((CM386+CN386)/2,0.1),IF(CM386=0,(CL386+CN386)/2,IF(CN386=0,(CM386+CL386)/2,FLOOR(((CL386+CM386+CN386)/3),0.1))))))))</f>
        <v/>
      </c>
      <c r="CP386" s="21" t="n"/>
      <c r="CQ386" s="21" t="n"/>
      <c r="CR386" s="27">
        <f>SUM(CP386:CQ386)</f>
        <v/>
      </c>
      <c r="CS386" s="28" t="n"/>
      <c r="CT386" s="31" t="n"/>
      <c r="CU386" s="29">
        <f>IF(AND(CR386=0,CS386=0,CT386=0),0,IF(AND(CR386=0,CS386=0),CT386/1,IF(AND(CR386=0,CT386=0),CS386/1,IF(AND(CS386=0,CT386=0),CR386/1,IF(CR386=0,FLOOR((CS386+CT386)/2,0.1),IF(CS386=0,(CR386+CT386)/2,IF(CT386=0,(CS386+CR386)/2,FLOOR(((CR386+CS386+CT386)/3),0.1))))))))</f>
        <v/>
      </c>
      <c r="CV386" s="21" t="n"/>
      <c r="CW386" s="21" t="n"/>
      <c r="CX386" s="27">
        <f>SUM(CV386:CW386)</f>
        <v/>
      </c>
      <c r="CY386" s="28" t="n"/>
      <c r="CZ386" s="31" t="n"/>
      <c r="DA386" s="29">
        <f>IF(AND(CX386=0,CY386=0,CZ386=0),0,IF(AND(CX386=0,CY386=0),CZ386/1,IF(AND(CX386=0,CZ386=0),CY386/1,IF(AND(CY386=0,CZ386=0),CX386/1,IF(CX386=0,FLOOR((CY386+CZ386)/2,0.1),IF(CY386=0,(CX386+CZ386)/2,IF(CZ386=0,(CY386+CX386)/2,FLOOR(((CX386+CY386+CZ386)/3),0.1))))))))</f>
        <v/>
      </c>
      <c r="DB386" s="21" t="n"/>
      <c r="DC386" s="21" t="n"/>
      <c r="DD386" s="27">
        <f>SUM(DB386:DC386)</f>
        <v/>
      </c>
      <c r="DE386" s="28" t="n"/>
      <c r="DF386" s="31" t="n"/>
      <c r="DG386" s="29">
        <f>IF(AND(DD386=0,DE386=0,DF386=0),0,IF(AND(DD386=0,DE386=0),DF386/1,IF(AND(DD386=0,DF386=0),DE386/1,IF(AND(DE386=0,DF386=0),DD386/1,IF(DD386=0,FLOOR((DE386+DF386)/2,0.1),IF(DE386=0,(DD386+DF386)/2,IF(DF386=0,(DE386+DD386)/2,FLOOR(((DD386+DE386+DF386)/3),0.1))))))))</f>
        <v/>
      </c>
      <c r="DH386" s="34">
        <f>SUM(O386,U386,AA386,AG386,AM386,AS386,AY386,BE386,BK386,BQ386,BW386,CC386,CI386,CO386,CU386,DA386,DG386)</f>
        <v/>
      </c>
      <c r="DI386" s="39">
        <f>RANK(DH386,DH$4:DH$503)</f>
        <v/>
      </c>
      <c r="DJ386" s="40" t="inlineStr">
        <is>
          <t>CHOOSE RATING</t>
        </is>
      </c>
      <c r="DK386" s="40" t="inlineStr">
        <is>
          <t>CHOOSE RATING</t>
        </is>
      </c>
      <c r="DL386" s="40" t="inlineStr">
        <is>
          <t>CHOOSE RATING</t>
        </is>
      </c>
      <c r="DM386" s="40" t="inlineStr">
        <is>
          <t>CHOOSE RATING</t>
        </is>
      </c>
      <c r="DN386" s="40" t="inlineStr">
        <is>
          <t>CHOOSE RATING</t>
        </is>
      </c>
      <c r="DO386" s="40" t="inlineStr">
        <is>
          <t>CHOOSE RATING</t>
        </is>
      </c>
      <c r="DP386" s="40" t="inlineStr">
        <is>
          <t>CHOOSE RATING</t>
        </is>
      </c>
      <c r="DQ386" s="40" t="inlineStr">
        <is>
          <t>CHOOSE RATING</t>
        </is>
      </c>
      <c r="DR386" s="43" t="inlineStr">
        <is>
          <t>2024/2025</t>
        </is>
      </c>
      <c r="DS386" s="45" t="inlineStr">
        <is>
          <t>THIRD</t>
        </is>
      </c>
      <c r="DT386" s="40" t="inlineStr">
        <is>
          <t>CHOOSE RATING</t>
        </is>
      </c>
      <c r="DU386" s="40" t="inlineStr">
        <is>
          <t>CHOOSE RATING</t>
        </is>
      </c>
      <c r="DV386" s="40" t="inlineStr">
        <is>
          <t>CHOOSE RATING</t>
        </is>
      </c>
      <c r="DW386" s="40" t="inlineStr">
        <is>
          <t>CHOOSE RATING</t>
        </is>
      </c>
      <c r="DX386" s="40" t="inlineStr">
        <is>
          <t>CHOOSE RATING</t>
        </is>
      </c>
      <c r="DY386" s="40" t="inlineStr">
        <is>
          <t>CHOOSE RATING</t>
        </is>
      </c>
      <c r="DZ386" s="53" t="inlineStr">
        <is>
          <t>CHOOSE RATING</t>
        </is>
      </c>
      <c r="EA386" s="54" t="inlineStr">
        <is>
          <t>Add the Tutor's Comment . . .</t>
        </is>
      </c>
      <c r="EB386" s="55" t="inlineStr">
        <is>
          <t>Choose Principals comment</t>
        </is>
      </c>
      <c r="EC386" s="56" t="n"/>
      <c r="ED386" s="57" t="inlineStr">
        <is>
          <t>Next Term Begins on Monday, 22nd September, 2025</t>
        </is>
      </c>
    </row>
    <row r="387" ht="30.6" customHeight="1" s="6">
      <c r="A387" s="18" t="n">
        <v>384</v>
      </c>
      <c r="B387" s="19" t="n"/>
      <c r="C387" s="20" t="n"/>
      <c r="D387" s="128" t="n"/>
      <c r="E387" s="21" t="n"/>
      <c r="F387" s="22" t="n"/>
      <c r="G387" s="22" t="n"/>
      <c r="H387" s="22" t="n"/>
      <c r="I387" s="26">
        <f>G387-H387</f>
        <v/>
      </c>
      <c r="J387" s="21" t="n"/>
      <c r="K387" s="21" t="n"/>
      <c r="L387" s="27">
        <f>SUM(J387:K387)</f>
        <v/>
      </c>
      <c r="M387" s="28" t="n"/>
      <c r="N387" s="28" t="n"/>
      <c r="O387" s="29">
        <f>IF(AND(L387=0,M387=0,N387=0),0,IF(AND(L387=0,M387=0),N387/1,IF(AND(L387=0,N387=0),M387/1,IF(AND(M387=0,N387=0),L387/1,IF(L387=0,FLOOR((M387+N387)/2,0.1),IF(M387=0,(L387+N387)/2,IF(N387=0,(M387+L387)/2,FLOOR(((L387+M387+N387)/3),0.1))))))))</f>
        <v/>
      </c>
      <c r="P387" s="21" t="n"/>
      <c r="Q387" s="21" t="n"/>
      <c r="R387" s="27">
        <f>SUM(P387:Q387)</f>
        <v/>
      </c>
      <c r="S387" s="28" t="n"/>
      <c r="T387" s="28" t="n"/>
      <c r="U387" s="29">
        <f>IF(AND(R387=0,S387=0,T387=0),0,IF(AND(R387=0,S387=0),T387/1,IF(AND(R387=0,T387=0),S387/1,IF(AND(S387=0,T387=0),R387/1,IF(R387=0,FLOOR((S387+T387)/2,0.1),IF(S387=0,(R387+T387)/2,IF(T387=0,(S387+R387)/2,FLOOR(((R387+S387+T387)/3),0.1))))))))</f>
        <v/>
      </c>
      <c r="V387" s="21" t="n"/>
      <c r="W387" s="21" t="n"/>
      <c r="X387" s="27">
        <f>SUM(V387:W387)</f>
        <v/>
      </c>
      <c r="Y387" s="28" t="n"/>
      <c r="Z387" s="28" t="n"/>
      <c r="AA387" s="29">
        <f>IF(AND(X387=0,Y387=0,Z387=0),0,IF(AND(X387=0,Y387=0),Z387/1,IF(AND(X387=0,Z387=0),Y387/1,IF(AND(Y387=0,Z387=0),X387/1,IF(X387=0,FLOOR((Y387+Z387)/2,0.1),IF(Y387=0,(X387+Z387)/2,IF(Z387=0,(Y387+X387)/2,FLOOR(((X387+Y387+Z387)/3),0.1))))))))</f>
        <v/>
      </c>
      <c r="AB387" s="21" t="n"/>
      <c r="AC387" s="21" t="n"/>
      <c r="AD387" s="27">
        <f>SUM(AB387:AC387)</f>
        <v/>
      </c>
      <c r="AE387" s="28" t="n"/>
      <c r="AF387" s="28" t="n"/>
      <c r="AG387" s="29">
        <f>IF(AND(AD387=0,AE387=0,AF387=0),0,IF(AND(AD387=0,AE387=0),AF387/1,IF(AND(AD387=0,AF387=0),AE387/1,IF(AND(AE387=0,AF387=0),AD387/1,IF(AD387=0,FLOOR((AE387+AF387)/2,0.1),IF(AE387=0,(AD387+AF387)/2,IF(AF387=0,(AE387+AD387)/2,FLOOR(((AD387+AE387+AF387)/3),0.1))))))))</f>
        <v/>
      </c>
      <c r="AH387" s="21" t="n"/>
      <c r="AI387" s="21" t="n"/>
      <c r="AJ387" s="27">
        <f>SUM(AH387:AI387)</f>
        <v/>
      </c>
      <c r="AK387" s="28" t="n"/>
      <c r="AL387" s="28" t="n"/>
      <c r="AM387" s="29">
        <f>IF(AND(AJ387=0,AK387=0,AL387=0),0,IF(AND(AJ387=0,AK387=0),AL387/1,IF(AND(AJ387=0,AL387=0),AK387/1,IF(AND(AK387=0,AL387=0),AJ387/1,IF(AJ387=0,FLOOR((AK387+AL387)/2,0.1),IF(AK387=0,(AJ387+AL387)/2,IF(AL387=0,(AK387+AJ387)/2,FLOOR(((AJ387+AK387+AL387)/3),0.1))))))))</f>
        <v/>
      </c>
      <c r="AN387" s="21" t="n"/>
      <c r="AO387" s="21" t="n"/>
      <c r="AP387" s="27">
        <f>SUM(AN387:AO387)</f>
        <v/>
      </c>
      <c r="AQ387" s="28" t="n"/>
      <c r="AR387" s="30" t="n"/>
      <c r="AS387" s="29">
        <f>IF(AND(AP387=0,AQ387=0,AR387=0),0,IF(AND(AP387=0,AQ387=0),AR387/1,IF(AND(AP387=0,AR387=0),AQ387/1,IF(AND(AQ387=0,AR387=0),AP387/1,IF(AP387=0,FLOOR((AQ387+AR387)/2,0.1),IF(AQ387=0,(AP387+AR387)/2,IF(AR387=0,(AQ387+AP387)/2,FLOOR(((AP387+AQ387+AR387)/3),0.1))))))))</f>
        <v/>
      </c>
      <c r="AT387" s="21" t="n"/>
      <c r="AU387" s="21" t="n"/>
      <c r="AV387" s="27">
        <f>SUM(AT387:AU387)</f>
        <v/>
      </c>
      <c r="AW387" s="28" t="n"/>
      <c r="AX387" s="30" t="n"/>
      <c r="AY387" s="29">
        <f>IF(AND(AV387=0,AW387=0,AX387=0),0,IF(AND(AV387=0,AW387=0),AX387/1,IF(AND(AV387=0,AX387=0),AW387/1,IF(AND(AW387=0,AX387=0),AV387/1,IF(AV387=0,FLOOR((AW387+AX387)/2,0.1),IF(AW387=0,(AV387+AX387)/2,IF(AX387=0,(AW387+AV387)/2,FLOOR(((AV387+AW387+AX387)/3),0.1))))))))</f>
        <v/>
      </c>
      <c r="AZ387" s="21" t="n"/>
      <c r="BA387" s="21" t="n"/>
      <c r="BB387" s="27">
        <f>SUM(AZ387:BA387)</f>
        <v/>
      </c>
      <c r="BC387" s="28" t="n"/>
      <c r="BD387" s="28" t="n"/>
      <c r="BE387" s="29">
        <f>IF(AND(BB387=0,BC387=0,BD387=0),0,IF(AND(BB387=0,BC387=0),BD387/1,IF(AND(BB387=0,BD387=0),BC387/1,IF(AND(BC387=0,BD387=0),BB387/1,IF(BB387=0,FLOOR((BC387+BD387)/2,0.1),IF(BC387=0,(BB387+BD387)/2,IF(BD387=0,(BC387+BB387)/2,FLOOR(((BB387+BC387+BD387)/3),0.1))))))))</f>
        <v/>
      </c>
      <c r="BF387" s="21" t="n"/>
      <c r="BG387" s="21" t="n"/>
      <c r="BH387" s="27">
        <f>SUM(BF387:BG387)</f>
        <v/>
      </c>
      <c r="BI387" s="28" t="n"/>
      <c r="BJ387" s="28" t="n"/>
      <c r="BK387" s="29">
        <f>IF(AND(BH387=0,BI387=0,BJ387=0),0,IF(AND(BH387=0,BI387=0),BJ387/1,IF(AND(BH387=0,BJ387=0),BI387/1,IF(AND(BI387=0,BJ387=0),BH387/1,IF(BH387=0,FLOOR((BI387+BJ387)/2,0.1),IF(BI387=0,(BH387+BJ387)/2,IF(BJ387=0,(BI387+BH387)/2,FLOOR(((BH387+BI387+BJ387)/3),0.1))))))))</f>
        <v/>
      </c>
      <c r="BL387" s="21" t="n"/>
      <c r="BM387" s="21" t="n"/>
      <c r="BN387" s="27">
        <f>SUM(BL387:BM387)</f>
        <v/>
      </c>
      <c r="BO387" s="28" t="n"/>
      <c r="BP387" s="31" t="n"/>
      <c r="BQ387" s="29">
        <f>IF(AND(BN387=0,BO387=0,BP387=0),0,IF(AND(BN387=0,BO387=0),BP387/1,IF(AND(BN387=0,BP387=0),BO387/1,IF(AND(BO387=0,BP387=0),BN387/1,IF(BN387=0,FLOOR((BO387+BP387)/2,0.1),IF(BO387=0,(BN387+BP387)/2,IF(BP387=0,(BO387+BN387)/2,FLOOR(((BN387+BO387+BP387)/3),0.1))))))))</f>
        <v/>
      </c>
      <c r="BR387" s="21" t="n"/>
      <c r="BS387" s="21" t="n"/>
      <c r="BT387" s="27">
        <f>SUM(BR387:BS387)</f>
        <v/>
      </c>
      <c r="BU387" s="28" t="n"/>
      <c r="BV387" s="31" t="n"/>
      <c r="BW387" s="29">
        <f>IF(AND(BT387=0,BU387=0,BV387=0),0,IF(AND(BT387=0,BU387=0),BV387/1,IF(AND(BT387=0,BV387=0),BU387/1,IF(AND(BU387=0,BV387=0),BT387/1,IF(BT387=0,FLOOR((BU387+BV387)/2,0.1),IF(BU387=0,(BT387+BV387)/2,IF(BV387=0,(BU387+BT387)/2,FLOOR(((BT387+BU387+BV387)/3),0.1))))))))</f>
        <v/>
      </c>
      <c r="BX387" s="21" t="n"/>
      <c r="BY387" s="21" t="n"/>
      <c r="BZ387" s="27">
        <f>SUM(BX387:BY387)</f>
        <v/>
      </c>
      <c r="CA387" s="28" t="n"/>
      <c r="CB387" s="31" t="n"/>
      <c r="CC387" s="29">
        <f>IF(AND(BZ387=0,CA387=0,CB387=0),0,IF(AND(BZ387=0,CA387=0),CB387/1,IF(AND(BZ387=0,CB387=0),CA387/1,IF(AND(CA387=0,CB387=0),BZ387/1,IF(BZ387=0,FLOOR((CA387+CB387)/2,0.1),IF(CA387=0,(BZ387+CB387)/2,IF(CB387=0,(CA387+BZ387)/2,FLOOR(((BZ387+CA387+CB387)/3),0.1))))))))</f>
        <v/>
      </c>
      <c r="CD387" s="21" t="n"/>
      <c r="CE387" s="21" t="n"/>
      <c r="CF387" s="27">
        <f>SUM(CD387:CE387)</f>
        <v/>
      </c>
      <c r="CG387" s="28" t="n"/>
      <c r="CH387" s="31" t="n"/>
      <c r="CI387" s="29">
        <f>IF(AND(CF387=0,CG387=0,CH387=0),0,IF(AND(CF387=0,CG387=0),CH387/1,IF(AND(CF387=0,CH387=0),CG387/1,IF(AND(CG387=0,CH387=0),CF387/1,IF(CF387=0,FLOOR((CG387+CH387)/2,0.1),IF(CG387=0,(CF387+CH387)/2,IF(CH387=0,(CG387+CF387)/2,FLOOR(((CF387+CG387+CH387)/3),0.1))))))))</f>
        <v/>
      </c>
      <c r="CJ387" s="21" t="n"/>
      <c r="CK387" s="21" t="n"/>
      <c r="CL387" s="27">
        <f>SUM(CJ387:CK387)</f>
        <v/>
      </c>
      <c r="CM387" s="28" t="n"/>
      <c r="CN387" s="31" t="n"/>
      <c r="CO387" s="29">
        <f>IF(AND(CL387=0,CM387=0,CN387=0),0,IF(AND(CL387=0,CM387=0),CN387/1,IF(AND(CL387=0,CN387=0),CM387/1,IF(AND(CM387=0,CN387=0),CL387/1,IF(CL387=0,FLOOR((CM387+CN387)/2,0.1),IF(CM387=0,(CL387+CN387)/2,IF(CN387=0,(CM387+CL387)/2,FLOOR(((CL387+CM387+CN387)/3),0.1))))))))</f>
        <v/>
      </c>
      <c r="CP387" s="21" t="n"/>
      <c r="CQ387" s="21" t="n"/>
      <c r="CR387" s="27">
        <f>SUM(CP387:CQ387)</f>
        <v/>
      </c>
      <c r="CS387" s="28" t="n"/>
      <c r="CT387" s="31" t="n"/>
      <c r="CU387" s="29">
        <f>IF(AND(CR387=0,CS387=0,CT387=0),0,IF(AND(CR387=0,CS387=0),CT387/1,IF(AND(CR387=0,CT387=0),CS387/1,IF(AND(CS387=0,CT387=0),CR387/1,IF(CR387=0,FLOOR((CS387+CT387)/2,0.1),IF(CS387=0,(CR387+CT387)/2,IF(CT387=0,(CS387+CR387)/2,FLOOR(((CR387+CS387+CT387)/3),0.1))))))))</f>
        <v/>
      </c>
      <c r="CV387" s="21" t="n"/>
      <c r="CW387" s="21" t="n"/>
      <c r="CX387" s="27">
        <f>SUM(CV387:CW387)</f>
        <v/>
      </c>
      <c r="CY387" s="28" t="n"/>
      <c r="CZ387" s="31" t="n"/>
      <c r="DA387" s="29">
        <f>IF(AND(CX387=0,CY387=0,CZ387=0),0,IF(AND(CX387=0,CY387=0),CZ387/1,IF(AND(CX387=0,CZ387=0),CY387/1,IF(AND(CY387=0,CZ387=0),CX387/1,IF(CX387=0,FLOOR((CY387+CZ387)/2,0.1),IF(CY387=0,(CX387+CZ387)/2,IF(CZ387=0,(CY387+CX387)/2,FLOOR(((CX387+CY387+CZ387)/3),0.1))))))))</f>
        <v/>
      </c>
      <c r="DB387" s="21" t="n"/>
      <c r="DC387" s="21" t="n"/>
      <c r="DD387" s="27">
        <f>SUM(DB387:DC387)</f>
        <v/>
      </c>
      <c r="DE387" s="28" t="n"/>
      <c r="DF387" s="31" t="n"/>
      <c r="DG387" s="29">
        <f>IF(AND(DD387=0,DE387=0,DF387=0),0,IF(AND(DD387=0,DE387=0),DF387/1,IF(AND(DD387=0,DF387=0),DE387/1,IF(AND(DE387=0,DF387=0),DD387/1,IF(DD387=0,FLOOR((DE387+DF387)/2,0.1),IF(DE387=0,(DD387+DF387)/2,IF(DF387=0,(DE387+DD387)/2,FLOOR(((DD387+DE387+DF387)/3),0.1))))))))</f>
        <v/>
      </c>
      <c r="DH387" s="34">
        <f>SUM(O387,U387,AA387,AG387,AM387,AS387,AY387,BE387,BK387,BQ387,BW387,CC387,CI387,CO387,CU387,DA387,DG387)</f>
        <v/>
      </c>
      <c r="DI387" s="39">
        <f>RANK(DH387,DH$4:DH$503)</f>
        <v/>
      </c>
      <c r="DJ387" s="40" t="inlineStr">
        <is>
          <t>CHOOSE RATING</t>
        </is>
      </c>
      <c r="DK387" s="40" t="inlineStr">
        <is>
          <t>CHOOSE RATING</t>
        </is>
      </c>
      <c r="DL387" s="40" t="inlineStr">
        <is>
          <t>CHOOSE RATING</t>
        </is>
      </c>
      <c r="DM387" s="40" t="inlineStr">
        <is>
          <t>CHOOSE RATING</t>
        </is>
      </c>
      <c r="DN387" s="40" t="inlineStr">
        <is>
          <t>CHOOSE RATING</t>
        </is>
      </c>
      <c r="DO387" s="40" t="inlineStr">
        <is>
          <t>CHOOSE RATING</t>
        </is>
      </c>
      <c r="DP387" s="40" t="inlineStr">
        <is>
          <t>CHOOSE RATING</t>
        </is>
      </c>
      <c r="DQ387" s="40" t="inlineStr">
        <is>
          <t>CHOOSE RATING</t>
        </is>
      </c>
      <c r="DR387" s="43" t="inlineStr">
        <is>
          <t>2024/2025</t>
        </is>
      </c>
      <c r="DS387" s="45" t="inlineStr">
        <is>
          <t>THIRD</t>
        </is>
      </c>
      <c r="DT387" s="40" t="inlineStr">
        <is>
          <t>CHOOSE RATING</t>
        </is>
      </c>
      <c r="DU387" s="40" t="inlineStr">
        <is>
          <t>CHOOSE RATING</t>
        </is>
      </c>
      <c r="DV387" s="40" t="inlineStr">
        <is>
          <t>CHOOSE RATING</t>
        </is>
      </c>
      <c r="DW387" s="40" t="inlineStr">
        <is>
          <t>CHOOSE RATING</t>
        </is>
      </c>
      <c r="DX387" s="40" t="inlineStr">
        <is>
          <t>CHOOSE RATING</t>
        </is>
      </c>
      <c r="DY387" s="40" t="inlineStr">
        <is>
          <t>CHOOSE RATING</t>
        </is>
      </c>
      <c r="DZ387" s="53" t="inlineStr">
        <is>
          <t>CHOOSE RATING</t>
        </is>
      </c>
      <c r="EA387" s="54" t="inlineStr">
        <is>
          <t>Add the Tutor's Comment . . .</t>
        </is>
      </c>
      <c r="EB387" s="55" t="inlineStr">
        <is>
          <t>Choose Principals comment</t>
        </is>
      </c>
      <c r="EC387" s="56" t="n"/>
      <c r="ED387" s="57" t="inlineStr">
        <is>
          <t>Next Term Begins on Monday, 22nd September, 2025</t>
        </is>
      </c>
    </row>
    <row r="388" ht="30.6" customHeight="1" s="6">
      <c r="A388" s="18" t="n">
        <v>385</v>
      </c>
      <c r="B388" s="19" t="n"/>
      <c r="C388" s="20" t="n"/>
      <c r="D388" s="128" t="n"/>
      <c r="E388" s="21" t="n"/>
      <c r="F388" s="22" t="n"/>
      <c r="G388" s="22" t="n"/>
      <c r="H388" s="22" t="n"/>
      <c r="I388" s="26">
        <f>G388-H388</f>
        <v/>
      </c>
      <c r="J388" s="21" t="n"/>
      <c r="K388" s="21" t="n"/>
      <c r="L388" s="27">
        <f>SUM(J388:K388)</f>
        <v/>
      </c>
      <c r="M388" s="28" t="n"/>
      <c r="N388" s="28" t="n"/>
      <c r="O388" s="29">
        <f>IF(AND(L388=0,M388=0,N388=0),0,IF(AND(L388=0,M388=0),N388/1,IF(AND(L388=0,N388=0),M388/1,IF(AND(M388=0,N388=0),L388/1,IF(L388=0,FLOOR((M388+N388)/2,0.1),IF(M388=0,(L388+N388)/2,IF(N388=0,(M388+L388)/2,FLOOR(((L388+M388+N388)/3),0.1))))))))</f>
        <v/>
      </c>
      <c r="P388" s="21" t="n"/>
      <c r="Q388" s="21" t="n"/>
      <c r="R388" s="27">
        <f>SUM(P388:Q388)</f>
        <v/>
      </c>
      <c r="S388" s="28" t="n"/>
      <c r="T388" s="28" t="n"/>
      <c r="U388" s="29">
        <f>IF(AND(R388=0,S388=0,T388=0),0,IF(AND(R388=0,S388=0),T388/1,IF(AND(R388=0,T388=0),S388/1,IF(AND(S388=0,T388=0),R388/1,IF(R388=0,FLOOR((S388+T388)/2,0.1),IF(S388=0,(R388+T388)/2,IF(T388=0,(S388+R388)/2,FLOOR(((R388+S388+T388)/3),0.1))))))))</f>
        <v/>
      </c>
      <c r="V388" s="21" t="n"/>
      <c r="W388" s="21" t="n"/>
      <c r="X388" s="27">
        <f>SUM(V388:W388)</f>
        <v/>
      </c>
      <c r="Y388" s="28" t="n"/>
      <c r="Z388" s="28" t="n"/>
      <c r="AA388" s="29">
        <f>IF(AND(X388=0,Y388=0,Z388=0),0,IF(AND(X388=0,Y388=0),Z388/1,IF(AND(X388=0,Z388=0),Y388/1,IF(AND(Y388=0,Z388=0),X388/1,IF(X388=0,FLOOR((Y388+Z388)/2,0.1),IF(Y388=0,(X388+Z388)/2,IF(Z388=0,(Y388+X388)/2,FLOOR(((X388+Y388+Z388)/3),0.1))))))))</f>
        <v/>
      </c>
      <c r="AB388" s="21" t="n"/>
      <c r="AC388" s="21" t="n"/>
      <c r="AD388" s="27">
        <f>SUM(AB388:AC388)</f>
        <v/>
      </c>
      <c r="AE388" s="28" t="n"/>
      <c r="AF388" s="28" t="n"/>
      <c r="AG388" s="29">
        <f>IF(AND(AD388=0,AE388=0,AF388=0),0,IF(AND(AD388=0,AE388=0),AF388/1,IF(AND(AD388=0,AF388=0),AE388/1,IF(AND(AE388=0,AF388=0),AD388/1,IF(AD388=0,FLOOR((AE388+AF388)/2,0.1),IF(AE388=0,(AD388+AF388)/2,IF(AF388=0,(AE388+AD388)/2,FLOOR(((AD388+AE388+AF388)/3),0.1))))))))</f>
        <v/>
      </c>
      <c r="AH388" s="21" t="n"/>
      <c r="AI388" s="21" t="n"/>
      <c r="AJ388" s="27">
        <f>SUM(AH388:AI388)</f>
        <v/>
      </c>
      <c r="AK388" s="28" t="n"/>
      <c r="AL388" s="28" t="n"/>
      <c r="AM388" s="29">
        <f>IF(AND(AJ388=0,AK388=0,AL388=0),0,IF(AND(AJ388=0,AK388=0),AL388/1,IF(AND(AJ388=0,AL388=0),AK388/1,IF(AND(AK388=0,AL388=0),AJ388/1,IF(AJ388=0,FLOOR((AK388+AL388)/2,0.1),IF(AK388=0,(AJ388+AL388)/2,IF(AL388=0,(AK388+AJ388)/2,FLOOR(((AJ388+AK388+AL388)/3),0.1))))))))</f>
        <v/>
      </c>
      <c r="AN388" s="21" t="n"/>
      <c r="AO388" s="21" t="n"/>
      <c r="AP388" s="27">
        <f>SUM(AN388:AO388)</f>
        <v/>
      </c>
      <c r="AQ388" s="28" t="n"/>
      <c r="AR388" s="30" t="n"/>
      <c r="AS388" s="29">
        <f>IF(AND(AP388=0,AQ388=0,AR388=0),0,IF(AND(AP388=0,AQ388=0),AR388/1,IF(AND(AP388=0,AR388=0),AQ388/1,IF(AND(AQ388=0,AR388=0),AP388/1,IF(AP388=0,FLOOR((AQ388+AR388)/2,0.1),IF(AQ388=0,(AP388+AR388)/2,IF(AR388=0,(AQ388+AP388)/2,FLOOR(((AP388+AQ388+AR388)/3),0.1))))))))</f>
        <v/>
      </c>
      <c r="AT388" s="21" t="n"/>
      <c r="AU388" s="21" t="n"/>
      <c r="AV388" s="27">
        <f>SUM(AT388:AU388)</f>
        <v/>
      </c>
      <c r="AW388" s="28" t="n"/>
      <c r="AX388" s="30" t="n"/>
      <c r="AY388" s="29">
        <f>IF(AND(AV388=0,AW388=0,AX388=0),0,IF(AND(AV388=0,AW388=0),AX388/1,IF(AND(AV388=0,AX388=0),AW388/1,IF(AND(AW388=0,AX388=0),AV388/1,IF(AV388=0,FLOOR((AW388+AX388)/2,0.1),IF(AW388=0,(AV388+AX388)/2,IF(AX388=0,(AW388+AV388)/2,FLOOR(((AV388+AW388+AX388)/3),0.1))))))))</f>
        <v/>
      </c>
      <c r="AZ388" s="21" t="n"/>
      <c r="BA388" s="21" t="n"/>
      <c r="BB388" s="27">
        <f>SUM(AZ388:BA388)</f>
        <v/>
      </c>
      <c r="BC388" s="28" t="n"/>
      <c r="BD388" s="28" t="n"/>
      <c r="BE388" s="29">
        <f>IF(AND(BB388=0,BC388=0,BD388=0),0,IF(AND(BB388=0,BC388=0),BD388/1,IF(AND(BB388=0,BD388=0),BC388/1,IF(AND(BC388=0,BD388=0),BB388/1,IF(BB388=0,FLOOR((BC388+BD388)/2,0.1),IF(BC388=0,(BB388+BD388)/2,IF(BD388=0,(BC388+BB388)/2,FLOOR(((BB388+BC388+BD388)/3),0.1))))))))</f>
        <v/>
      </c>
      <c r="BF388" s="21" t="n"/>
      <c r="BG388" s="21" t="n"/>
      <c r="BH388" s="27">
        <f>SUM(BF388:BG388)</f>
        <v/>
      </c>
      <c r="BI388" s="28" t="n"/>
      <c r="BJ388" s="28" t="n"/>
      <c r="BK388" s="29">
        <f>IF(AND(BH388=0,BI388=0,BJ388=0),0,IF(AND(BH388=0,BI388=0),BJ388/1,IF(AND(BH388=0,BJ388=0),BI388/1,IF(AND(BI388=0,BJ388=0),BH388/1,IF(BH388=0,FLOOR((BI388+BJ388)/2,0.1),IF(BI388=0,(BH388+BJ388)/2,IF(BJ388=0,(BI388+BH388)/2,FLOOR(((BH388+BI388+BJ388)/3),0.1))))))))</f>
        <v/>
      </c>
      <c r="BL388" s="21" t="n"/>
      <c r="BM388" s="21" t="n"/>
      <c r="BN388" s="27">
        <f>SUM(BL388:BM388)</f>
        <v/>
      </c>
      <c r="BO388" s="28" t="n"/>
      <c r="BP388" s="31" t="n"/>
      <c r="BQ388" s="29">
        <f>IF(AND(BN388=0,BO388=0,BP388=0),0,IF(AND(BN388=0,BO388=0),BP388/1,IF(AND(BN388=0,BP388=0),BO388/1,IF(AND(BO388=0,BP388=0),BN388/1,IF(BN388=0,FLOOR((BO388+BP388)/2,0.1),IF(BO388=0,(BN388+BP388)/2,IF(BP388=0,(BO388+BN388)/2,FLOOR(((BN388+BO388+BP388)/3),0.1))))))))</f>
        <v/>
      </c>
      <c r="BR388" s="21" t="n"/>
      <c r="BS388" s="21" t="n"/>
      <c r="BT388" s="27">
        <f>SUM(BR388:BS388)</f>
        <v/>
      </c>
      <c r="BU388" s="28" t="n"/>
      <c r="BV388" s="31" t="n"/>
      <c r="BW388" s="29">
        <f>IF(AND(BT388=0,BU388=0,BV388=0),0,IF(AND(BT388=0,BU388=0),BV388/1,IF(AND(BT388=0,BV388=0),BU388/1,IF(AND(BU388=0,BV388=0),BT388/1,IF(BT388=0,FLOOR((BU388+BV388)/2,0.1),IF(BU388=0,(BT388+BV388)/2,IF(BV388=0,(BU388+BT388)/2,FLOOR(((BT388+BU388+BV388)/3),0.1))))))))</f>
        <v/>
      </c>
      <c r="BX388" s="21" t="n"/>
      <c r="BY388" s="21" t="n"/>
      <c r="BZ388" s="27">
        <f>SUM(BX388:BY388)</f>
        <v/>
      </c>
      <c r="CA388" s="28" t="n"/>
      <c r="CB388" s="31" t="n"/>
      <c r="CC388" s="29">
        <f>IF(AND(BZ388=0,CA388=0,CB388=0),0,IF(AND(BZ388=0,CA388=0),CB388/1,IF(AND(BZ388=0,CB388=0),CA388/1,IF(AND(CA388=0,CB388=0),BZ388/1,IF(BZ388=0,FLOOR((CA388+CB388)/2,0.1),IF(CA388=0,(BZ388+CB388)/2,IF(CB388=0,(CA388+BZ388)/2,FLOOR(((BZ388+CA388+CB388)/3),0.1))))))))</f>
        <v/>
      </c>
      <c r="CD388" s="21" t="n"/>
      <c r="CE388" s="21" t="n"/>
      <c r="CF388" s="27">
        <f>SUM(CD388:CE388)</f>
        <v/>
      </c>
      <c r="CG388" s="28" t="n"/>
      <c r="CH388" s="31" t="n"/>
      <c r="CI388" s="29">
        <f>IF(AND(CF388=0,CG388=0,CH388=0),0,IF(AND(CF388=0,CG388=0),CH388/1,IF(AND(CF388=0,CH388=0),CG388/1,IF(AND(CG388=0,CH388=0),CF388/1,IF(CF388=0,FLOOR((CG388+CH388)/2,0.1),IF(CG388=0,(CF388+CH388)/2,IF(CH388=0,(CG388+CF388)/2,FLOOR(((CF388+CG388+CH388)/3),0.1))))))))</f>
        <v/>
      </c>
      <c r="CJ388" s="21" t="n"/>
      <c r="CK388" s="21" t="n"/>
      <c r="CL388" s="27">
        <f>SUM(CJ388:CK388)</f>
        <v/>
      </c>
      <c r="CM388" s="28" t="n"/>
      <c r="CN388" s="31" t="n"/>
      <c r="CO388" s="29">
        <f>IF(AND(CL388=0,CM388=0,CN388=0),0,IF(AND(CL388=0,CM388=0),CN388/1,IF(AND(CL388=0,CN388=0),CM388/1,IF(AND(CM388=0,CN388=0),CL388/1,IF(CL388=0,FLOOR((CM388+CN388)/2,0.1),IF(CM388=0,(CL388+CN388)/2,IF(CN388=0,(CM388+CL388)/2,FLOOR(((CL388+CM388+CN388)/3),0.1))))))))</f>
        <v/>
      </c>
      <c r="CP388" s="21" t="n"/>
      <c r="CQ388" s="21" t="n"/>
      <c r="CR388" s="27">
        <f>SUM(CP388:CQ388)</f>
        <v/>
      </c>
      <c r="CS388" s="28" t="n"/>
      <c r="CT388" s="31" t="n"/>
      <c r="CU388" s="29">
        <f>IF(AND(CR388=0,CS388=0,CT388=0),0,IF(AND(CR388=0,CS388=0),CT388/1,IF(AND(CR388=0,CT388=0),CS388/1,IF(AND(CS388=0,CT388=0),CR388/1,IF(CR388=0,FLOOR((CS388+CT388)/2,0.1),IF(CS388=0,(CR388+CT388)/2,IF(CT388=0,(CS388+CR388)/2,FLOOR(((CR388+CS388+CT388)/3),0.1))))))))</f>
        <v/>
      </c>
      <c r="CV388" s="21" t="n"/>
      <c r="CW388" s="21" t="n"/>
      <c r="CX388" s="27">
        <f>SUM(CV388:CW388)</f>
        <v/>
      </c>
      <c r="CY388" s="28" t="n"/>
      <c r="CZ388" s="31" t="n"/>
      <c r="DA388" s="29">
        <f>IF(AND(CX388=0,CY388=0,CZ388=0),0,IF(AND(CX388=0,CY388=0),CZ388/1,IF(AND(CX388=0,CZ388=0),CY388/1,IF(AND(CY388=0,CZ388=0),CX388/1,IF(CX388=0,FLOOR((CY388+CZ388)/2,0.1),IF(CY388=0,(CX388+CZ388)/2,IF(CZ388=0,(CY388+CX388)/2,FLOOR(((CX388+CY388+CZ388)/3),0.1))))))))</f>
        <v/>
      </c>
      <c r="DB388" s="21" t="n"/>
      <c r="DC388" s="21" t="n"/>
      <c r="DD388" s="27">
        <f>SUM(DB388:DC388)</f>
        <v/>
      </c>
      <c r="DE388" s="28" t="n"/>
      <c r="DF388" s="31" t="n"/>
      <c r="DG388" s="29">
        <f>IF(AND(DD388=0,DE388=0,DF388=0),0,IF(AND(DD388=0,DE388=0),DF388/1,IF(AND(DD388=0,DF388=0),DE388/1,IF(AND(DE388=0,DF388=0),DD388/1,IF(DD388=0,FLOOR((DE388+DF388)/2,0.1),IF(DE388=0,(DD388+DF388)/2,IF(DF388=0,(DE388+DD388)/2,FLOOR(((DD388+DE388+DF388)/3),0.1))))))))</f>
        <v/>
      </c>
      <c r="DH388" s="34">
        <f>SUM(O388,U388,AA388,AG388,AM388,AS388,AY388,BE388,BK388,BQ388,BW388,CC388,CI388,CO388,CU388,DA388,DG388)</f>
        <v/>
      </c>
      <c r="DI388" s="39">
        <f>RANK(DH388,DH$4:DH$503)</f>
        <v/>
      </c>
      <c r="DJ388" s="40" t="inlineStr">
        <is>
          <t>CHOOSE RATING</t>
        </is>
      </c>
      <c r="DK388" s="40" t="inlineStr">
        <is>
          <t>CHOOSE RATING</t>
        </is>
      </c>
      <c r="DL388" s="40" t="inlineStr">
        <is>
          <t>CHOOSE RATING</t>
        </is>
      </c>
      <c r="DM388" s="40" t="inlineStr">
        <is>
          <t>CHOOSE RATING</t>
        </is>
      </c>
      <c r="DN388" s="40" t="inlineStr">
        <is>
          <t>CHOOSE RATING</t>
        </is>
      </c>
      <c r="DO388" s="40" t="inlineStr">
        <is>
          <t>CHOOSE RATING</t>
        </is>
      </c>
      <c r="DP388" s="40" t="inlineStr">
        <is>
          <t>CHOOSE RATING</t>
        </is>
      </c>
      <c r="DQ388" s="40" t="inlineStr">
        <is>
          <t>CHOOSE RATING</t>
        </is>
      </c>
      <c r="DR388" s="43" t="inlineStr">
        <is>
          <t>2024/2025</t>
        </is>
      </c>
      <c r="DS388" s="45" t="inlineStr">
        <is>
          <t>THIRD</t>
        </is>
      </c>
      <c r="DT388" s="40" t="inlineStr">
        <is>
          <t>CHOOSE RATING</t>
        </is>
      </c>
      <c r="DU388" s="40" t="inlineStr">
        <is>
          <t>CHOOSE RATING</t>
        </is>
      </c>
      <c r="DV388" s="40" t="inlineStr">
        <is>
          <t>CHOOSE RATING</t>
        </is>
      </c>
      <c r="DW388" s="40" t="inlineStr">
        <is>
          <t>CHOOSE RATING</t>
        </is>
      </c>
      <c r="DX388" s="40" t="inlineStr">
        <is>
          <t>CHOOSE RATING</t>
        </is>
      </c>
      <c r="DY388" s="40" t="inlineStr">
        <is>
          <t>CHOOSE RATING</t>
        </is>
      </c>
      <c r="DZ388" s="53" t="inlineStr">
        <is>
          <t>CHOOSE RATING</t>
        </is>
      </c>
      <c r="EA388" s="54" t="inlineStr">
        <is>
          <t>Add the Tutor's Comment . . .</t>
        </is>
      </c>
      <c r="EB388" s="55" t="inlineStr">
        <is>
          <t>Choose Principals comment</t>
        </is>
      </c>
      <c r="EC388" s="56" t="n"/>
      <c r="ED388" s="57" t="inlineStr">
        <is>
          <t>Next Term Begins on Monday, 22nd September, 2025</t>
        </is>
      </c>
    </row>
    <row r="389" ht="30.6" customHeight="1" s="6">
      <c r="A389" s="18" t="n">
        <v>386</v>
      </c>
      <c r="B389" s="19" t="n"/>
      <c r="C389" s="20" t="n"/>
      <c r="D389" s="128" t="n"/>
      <c r="E389" s="21" t="n"/>
      <c r="F389" s="22" t="n"/>
      <c r="G389" s="22" t="n"/>
      <c r="H389" s="22" t="n"/>
      <c r="I389" s="26">
        <f>G389-H389</f>
        <v/>
      </c>
      <c r="J389" s="21" t="n"/>
      <c r="K389" s="21" t="n"/>
      <c r="L389" s="27">
        <f>SUM(J389:K389)</f>
        <v/>
      </c>
      <c r="M389" s="28" t="n"/>
      <c r="N389" s="28" t="n"/>
      <c r="O389" s="29">
        <f>IF(AND(L389=0,M389=0,N389=0),0,IF(AND(L389=0,M389=0),N389/1,IF(AND(L389=0,N389=0),M389/1,IF(AND(M389=0,N389=0),L389/1,IF(L389=0,FLOOR((M389+N389)/2,0.1),IF(M389=0,(L389+N389)/2,IF(N389=0,(M389+L389)/2,FLOOR(((L389+M389+N389)/3),0.1))))))))</f>
        <v/>
      </c>
      <c r="P389" s="21" t="n"/>
      <c r="Q389" s="21" t="n"/>
      <c r="R389" s="27">
        <f>SUM(P389:Q389)</f>
        <v/>
      </c>
      <c r="S389" s="28" t="n"/>
      <c r="T389" s="28" t="n"/>
      <c r="U389" s="29">
        <f>IF(AND(R389=0,S389=0,T389=0),0,IF(AND(R389=0,S389=0),T389/1,IF(AND(R389=0,T389=0),S389/1,IF(AND(S389=0,T389=0),R389/1,IF(R389=0,FLOOR((S389+T389)/2,0.1),IF(S389=0,(R389+T389)/2,IF(T389=0,(S389+R389)/2,FLOOR(((R389+S389+T389)/3),0.1))))))))</f>
        <v/>
      </c>
      <c r="V389" s="21" t="n"/>
      <c r="W389" s="21" t="n"/>
      <c r="X389" s="27">
        <f>SUM(V389:W389)</f>
        <v/>
      </c>
      <c r="Y389" s="28" t="n"/>
      <c r="Z389" s="28" t="n"/>
      <c r="AA389" s="29">
        <f>IF(AND(X389=0,Y389=0,Z389=0),0,IF(AND(X389=0,Y389=0),Z389/1,IF(AND(X389=0,Z389=0),Y389/1,IF(AND(Y389=0,Z389=0),X389/1,IF(X389=0,FLOOR((Y389+Z389)/2,0.1),IF(Y389=0,(X389+Z389)/2,IF(Z389=0,(Y389+X389)/2,FLOOR(((X389+Y389+Z389)/3),0.1))))))))</f>
        <v/>
      </c>
      <c r="AB389" s="21" t="n"/>
      <c r="AC389" s="21" t="n"/>
      <c r="AD389" s="27">
        <f>SUM(AB389:AC389)</f>
        <v/>
      </c>
      <c r="AE389" s="28" t="n"/>
      <c r="AF389" s="28" t="n"/>
      <c r="AG389" s="29">
        <f>IF(AND(AD389=0,AE389=0,AF389=0),0,IF(AND(AD389=0,AE389=0),AF389/1,IF(AND(AD389=0,AF389=0),AE389/1,IF(AND(AE389=0,AF389=0),AD389/1,IF(AD389=0,FLOOR((AE389+AF389)/2,0.1),IF(AE389=0,(AD389+AF389)/2,IF(AF389=0,(AE389+AD389)/2,FLOOR(((AD389+AE389+AF389)/3),0.1))))))))</f>
        <v/>
      </c>
      <c r="AH389" s="21" t="n"/>
      <c r="AI389" s="21" t="n"/>
      <c r="AJ389" s="27">
        <f>SUM(AH389:AI389)</f>
        <v/>
      </c>
      <c r="AK389" s="28" t="n"/>
      <c r="AL389" s="28" t="n"/>
      <c r="AM389" s="29">
        <f>IF(AND(AJ389=0,AK389=0,AL389=0),0,IF(AND(AJ389=0,AK389=0),AL389/1,IF(AND(AJ389=0,AL389=0),AK389/1,IF(AND(AK389=0,AL389=0),AJ389/1,IF(AJ389=0,FLOOR((AK389+AL389)/2,0.1),IF(AK389=0,(AJ389+AL389)/2,IF(AL389=0,(AK389+AJ389)/2,FLOOR(((AJ389+AK389+AL389)/3),0.1))))))))</f>
        <v/>
      </c>
      <c r="AN389" s="21" t="n"/>
      <c r="AO389" s="21" t="n"/>
      <c r="AP389" s="27">
        <f>SUM(AN389:AO389)</f>
        <v/>
      </c>
      <c r="AQ389" s="28" t="n"/>
      <c r="AR389" s="30" t="n"/>
      <c r="AS389" s="29">
        <f>IF(AND(AP389=0,AQ389=0,AR389=0),0,IF(AND(AP389=0,AQ389=0),AR389/1,IF(AND(AP389=0,AR389=0),AQ389/1,IF(AND(AQ389=0,AR389=0),AP389/1,IF(AP389=0,FLOOR((AQ389+AR389)/2,0.1),IF(AQ389=0,(AP389+AR389)/2,IF(AR389=0,(AQ389+AP389)/2,FLOOR(((AP389+AQ389+AR389)/3),0.1))))))))</f>
        <v/>
      </c>
      <c r="AT389" s="21" t="n"/>
      <c r="AU389" s="21" t="n"/>
      <c r="AV389" s="27">
        <f>SUM(AT389:AU389)</f>
        <v/>
      </c>
      <c r="AW389" s="28" t="n"/>
      <c r="AX389" s="30" t="n"/>
      <c r="AY389" s="29">
        <f>IF(AND(AV389=0,AW389=0,AX389=0),0,IF(AND(AV389=0,AW389=0),AX389/1,IF(AND(AV389=0,AX389=0),AW389/1,IF(AND(AW389=0,AX389=0),AV389/1,IF(AV389=0,FLOOR((AW389+AX389)/2,0.1),IF(AW389=0,(AV389+AX389)/2,IF(AX389=0,(AW389+AV389)/2,FLOOR(((AV389+AW389+AX389)/3),0.1))))))))</f>
        <v/>
      </c>
      <c r="AZ389" s="21" t="n"/>
      <c r="BA389" s="21" t="n"/>
      <c r="BB389" s="27">
        <f>SUM(AZ389:BA389)</f>
        <v/>
      </c>
      <c r="BC389" s="28" t="n"/>
      <c r="BD389" s="28" t="n"/>
      <c r="BE389" s="29">
        <f>IF(AND(BB389=0,BC389=0,BD389=0),0,IF(AND(BB389=0,BC389=0),BD389/1,IF(AND(BB389=0,BD389=0),BC389/1,IF(AND(BC389=0,BD389=0),BB389/1,IF(BB389=0,FLOOR((BC389+BD389)/2,0.1),IF(BC389=0,(BB389+BD389)/2,IF(BD389=0,(BC389+BB389)/2,FLOOR(((BB389+BC389+BD389)/3),0.1))))))))</f>
        <v/>
      </c>
      <c r="BF389" s="21" t="n"/>
      <c r="BG389" s="21" t="n"/>
      <c r="BH389" s="27">
        <f>SUM(BF389:BG389)</f>
        <v/>
      </c>
      <c r="BI389" s="28" t="n"/>
      <c r="BJ389" s="28" t="n"/>
      <c r="BK389" s="29">
        <f>IF(AND(BH389=0,BI389=0,BJ389=0),0,IF(AND(BH389=0,BI389=0),BJ389/1,IF(AND(BH389=0,BJ389=0),BI389/1,IF(AND(BI389=0,BJ389=0),BH389/1,IF(BH389=0,FLOOR((BI389+BJ389)/2,0.1),IF(BI389=0,(BH389+BJ389)/2,IF(BJ389=0,(BI389+BH389)/2,FLOOR(((BH389+BI389+BJ389)/3),0.1))))))))</f>
        <v/>
      </c>
      <c r="BL389" s="21" t="n"/>
      <c r="BM389" s="21" t="n"/>
      <c r="BN389" s="27">
        <f>SUM(BL389:BM389)</f>
        <v/>
      </c>
      <c r="BO389" s="28" t="n"/>
      <c r="BP389" s="31" t="n"/>
      <c r="BQ389" s="29">
        <f>IF(AND(BN389=0,BO389=0,BP389=0),0,IF(AND(BN389=0,BO389=0),BP389/1,IF(AND(BN389=0,BP389=0),BO389/1,IF(AND(BO389=0,BP389=0),BN389/1,IF(BN389=0,FLOOR((BO389+BP389)/2,0.1),IF(BO389=0,(BN389+BP389)/2,IF(BP389=0,(BO389+BN389)/2,FLOOR(((BN389+BO389+BP389)/3),0.1))))))))</f>
        <v/>
      </c>
      <c r="BR389" s="21" t="n"/>
      <c r="BS389" s="21" t="n"/>
      <c r="BT389" s="27">
        <f>SUM(BR389:BS389)</f>
        <v/>
      </c>
      <c r="BU389" s="28" t="n"/>
      <c r="BV389" s="31" t="n"/>
      <c r="BW389" s="29">
        <f>IF(AND(BT389=0,BU389=0,BV389=0),0,IF(AND(BT389=0,BU389=0),BV389/1,IF(AND(BT389=0,BV389=0),BU389/1,IF(AND(BU389=0,BV389=0),BT389/1,IF(BT389=0,FLOOR((BU389+BV389)/2,0.1),IF(BU389=0,(BT389+BV389)/2,IF(BV389=0,(BU389+BT389)/2,FLOOR(((BT389+BU389+BV389)/3),0.1))))))))</f>
        <v/>
      </c>
      <c r="BX389" s="21" t="n"/>
      <c r="BY389" s="21" t="n"/>
      <c r="BZ389" s="27">
        <f>SUM(BX389:BY389)</f>
        <v/>
      </c>
      <c r="CA389" s="28" t="n"/>
      <c r="CB389" s="31" t="n"/>
      <c r="CC389" s="29">
        <f>IF(AND(BZ389=0,CA389=0,CB389=0),0,IF(AND(BZ389=0,CA389=0),CB389/1,IF(AND(BZ389=0,CB389=0),CA389/1,IF(AND(CA389=0,CB389=0),BZ389/1,IF(BZ389=0,FLOOR((CA389+CB389)/2,0.1),IF(CA389=0,(BZ389+CB389)/2,IF(CB389=0,(CA389+BZ389)/2,FLOOR(((BZ389+CA389+CB389)/3),0.1))))))))</f>
        <v/>
      </c>
      <c r="CD389" s="21" t="n"/>
      <c r="CE389" s="21" t="n"/>
      <c r="CF389" s="27">
        <f>SUM(CD389:CE389)</f>
        <v/>
      </c>
      <c r="CG389" s="28" t="n"/>
      <c r="CH389" s="31" t="n"/>
      <c r="CI389" s="29">
        <f>IF(AND(CF389=0,CG389=0,CH389=0),0,IF(AND(CF389=0,CG389=0),CH389/1,IF(AND(CF389=0,CH389=0),CG389/1,IF(AND(CG389=0,CH389=0),CF389/1,IF(CF389=0,FLOOR((CG389+CH389)/2,0.1),IF(CG389=0,(CF389+CH389)/2,IF(CH389=0,(CG389+CF389)/2,FLOOR(((CF389+CG389+CH389)/3),0.1))))))))</f>
        <v/>
      </c>
      <c r="CJ389" s="21" t="n"/>
      <c r="CK389" s="21" t="n"/>
      <c r="CL389" s="27">
        <f>SUM(CJ389:CK389)</f>
        <v/>
      </c>
      <c r="CM389" s="28" t="n"/>
      <c r="CN389" s="31" t="n"/>
      <c r="CO389" s="29">
        <f>IF(AND(CL389=0,CM389=0,CN389=0),0,IF(AND(CL389=0,CM389=0),CN389/1,IF(AND(CL389=0,CN389=0),CM389/1,IF(AND(CM389=0,CN389=0),CL389/1,IF(CL389=0,FLOOR((CM389+CN389)/2,0.1),IF(CM389=0,(CL389+CN389)/2,IF(CN389=0,(CM389+CL389)/2,FLOOR(((CL389+CM389+CN389)/3),0.1))))))))</f>
        <v/>
      </c>
      <c r="CP389" s="21" t="n"/>
      <c r="CQ389" s="21" t="n"/>
      <c r="CR389" s="27">
        <f>SUM(CP389:CQ389)</f>
        <v/>
      </c>
      <c r="CS389" s="28" t="n"/>
      <c r="CT389" s="31" t="n"/>
      <c r="CU389" s="29">
        <f>IF(AND(CR389=0,CS389=0,CT389=0),0,IF(AND(CR389=0,CS389=0),CT389/1,IF(AND(CR389=0,CT389=0),CS389/1,IF(AND(CS389=0,CT389=0),CR389/1,IF(CR389=0,FLOOR((CS389+CT389)/2,0.1),IF(CS389=0,(CR389+CT389)/2,IF(CT389=0,(CS389+CR389)/2,FLOOR(((CR389+CS389+CT389)/3),0.1))))))))</f>
        <v/>
      </c>
      <c r="CV389" s="21" t="n"/>
      <c r="CW389" s="21" t="n"/>
      <c r="CX389" s="27">
        <f>SUM(CV389:CW389)</f>
        <v/>
      </c>
      <c r="CY389" s="28" t="n"/>
      <c r="CZ389" s="31" t="n"/>
      <c r="DA389" s="29">
        <f>IF(AND(CX389=0,CY389=0,CZ389=0),0,IF(AND(CX389=0,CY389=0),CZ389/1,IF(AND(CX389=0,CZ389=0),CY389/1,IF(AND(CY389=0,CZ389=0),CX389/1,IF(CX389=0,FLOOR((CY389+CZ389)/2,0.1),IF(CY389=0,(CX389+CZ389)/2,IF(CZ389=0,(CY389+CX389)/2,FLOOR(((CX389+CY389+CZ389)/3),0.1))))))))</f>
        <v/>
      </c>
      <c r="DB389" s="21" t="n"/>
      <c r="DC389" s="21" t="n"/>
      <c r="DD389" s="27">
        <f>SUM(DB389:DC389)</f>
        <v/>
      </c>
      <c r="DE389" s="28" t="n"/>
      <c r="DF389" s="31" t="n"/>
      <c r="DG389" s="29">
        <f>IF(AND(DD389=0,DE389=0,DF389=0),0,IF(AND(DD389=0,DE389=0),DF389/1,IF(AND(DD389=0,DF389=0),DE389/1,IF(AND(DE389=0,DF389=0),DD389/1,IF(DD389=0,FLOOR((DE389+DF389)/2,0.1),IF(DE389=0,(DD389+DF389)/2,IF(DF389=0,(DE389+DD389)/2,FLOOR(((DD389+DE389+DF389)/3),0.1))))))))</f>
        <v/>
      </c>
      <c r="DH389" s="34">
        <f>SUM(O389,U389,AA389,AG389,AM389,AS389,AY389,BE389,BK389,BQ389,BW389,CC389,CI389,CO389,CU389,DA389,DG389)</f>
        <v/>
      </c>
      <c r="DI389" s="39">
        <f>RANK(DH389,DH$4:DH$503)</f>
        <v/>
      </c>
      <c r="DJ389" s="40" t="inlineStr">
        <is>
          <t>CHOOSE RATING</t>
        </is>
      </c>
      <c r="DK389" s="40" t="inlineStr">
        <is>
          <t>CHOOSE RATING</t>
        </is>
      </c>
      <c r="DL389" s="40" t="inlineStr">
        <is>
          <t>CHOOSE RATING</t>
        </is>
      </c>
      <c r="DM389" s="40" t="inlineStr">
        <is>
          <t>CHOOSE RATING</t>
        </is>
      </c>
      <c r="DN389" s="40" t="inlineStr">
        <is>
          <t>CHOOSE RATING</t>
        </is>
      </c>
      <c r="DO389" s="40" t="inlineStr">
        <is>
          <t>CHOOSE RATING</t>
        </is>
      </c>
      <c r="DP389" s="40" t="inlineStr">
        <is>
          <t>CHOOSE RATING</t>
        </is>
      </c>
      <c r="DQ389" s="40" t="inlineStr">
        <is>
          <t>CHOOSE RATING</t>
        </is>
      </c>
      <c r="DR389" s="43" t="inlineStr">
        <is>
          <t>2024/2025</t>
        </is>
      </c>
      <c r="DS389" s="45" t="inlineStr">
        <is>
          <t>THIRD</t>
        </is>
      </c>
      <c r="DT389" s="40" t="inlineStr">
        <is>
          <t>CHOOSE RATING</t>
        </is>
      </c>
      <c r="DU389" s="40" t="inlineStr">
        <is>
          <t>CHOOSE RATING</t>
        </is>
      </c>
      <c r="DV389" s="40" t="inlineStr">
        <is>
          <t>CHOOSE RATING</t>
        </is>
      </c>
      <c r="DW389" s="40" t="inlineStr">
        <is>
          <t>CHOOSE RATING</t>
        </is>
      </c>
      <c r="DX389" s="40" t="inlineStr">
        <is>
          <t>CHOOSE RATING</t>
        </is>
      </c>
      <c r="DY389" s="40" t="inlineStr">
        <is>
          <t>CHOOSE RATING</t>
        </is>
      </c>
      <c r="DZ389" s="53" t="inlineStr">
        <is>
          <t>CHOOSE RATING</t>
        </is>
      </c>
      <c r="EA389" s="54" t="inlineStr">
        <is>
          <t>Add the Tutor's Comment . . .</t>
        </is>
      </c>
      <c r="EB389" s="55" t="inlineStr">
        <is>
          <t>Choose Principals comment</t>
        </is>
      </c>
      <c r="EC389" s="56" t="n"/>
      <c r="ED389" s="57" t="inlineStr">
        <is>
          <t>Next Term Begins on Monday, 22nd September, 2025</t>
        </is>
      </c>
    </row>
    <row r="390" ht="30.6" customHeight="1" s="6">
      <c r="A390" s="18" t="n">
        <v>387</v>
      </c>
      <c r="B390" s="19" t="n"/>
      <c r="C390" s="20" t="n"/>
      <c r="D390" s="128" t="n"/>
      <c r="E390" s="21" t="n"/>
      <c r="F390" s="22" t="n"/>
      <c r="G390" s="22" t="n"/>
      <c r="H390" s="22" t="n"/>
      <c r="I390" s="26">
        <f>G390-H390</f>
        <v/>
      </c>
      <c r="J390" s="21" t="n"/>
      <c r="K390" s="21" t="n"/>
      <c r="L390" s="27">
        <f>SUM(J390:K390)</f>
        <v/>
      </c>
      <c r="M390" s="28" t="n"/>
      <c r="N390" s="28" t="n"/>
      <c r="O390" s="29">
        <f>IF(AND(L390=0,M390=0,N390=0),0,IF(AND(L390=0,M390=0),N390/1,IF(AND(L390=0,N390=0),M390/1,IF(AND(M390=0,N390=0),L390/1,IF(L390=0,FLOOR((M390+N390)/2,0.1),IF(M390=0,(L390+N390)/2,IF(N390=0,(M390+L390)/2,FLOOR(((L390+M390+N390)/3),0.1))))))))</f>
        <v/>
      </c>
      <c r="P390" s="21" t="n"/>
      <c r="Q390" s="21" t="n"/>
      <c r="R390" s="27">
        <f>SUM(P390:Q390)</f>
        <v/>
      </c>
      <c r="S390" s="28" t="n"/>
      <c r="T390" s="28" t="n"/>
      <c r="U390" s="29">
        <f>IF(AND(R390=0,S390=0,T390=0),0,IF(AND(R390=0,S390=0),T390/1,IF(AND(R390=0,T390=0),S390/1,IF(AND(S390=0,T390=0),R390/1,IF(R390=0,FLOOR((S390+T390)/2,0.1),IF(S390=0,(R390+T390)/2,IF(T390=0,(S390+R390)/2,FLOOR(((R390+S390+T390)/3),0.1))))))))</f>
        <v/>
      </c>
      <c r="V390" s="21" t="n"/>
      <c r="W390" s="21" t="n"/>
      <c r="X390" s="27">
        <f>SUM(V390:W390)</f>
        <v/>
      </c>
      <c r="Y390" s="28" t="n"/>
      <c r="Z390" s="28" t="n"/>
      <c r="AA390" s="29">
        <f>IF(AND(X390=0,Y390=0,Z390=0),0,IF(AND(X390=0,Y390=0),Z390/1,IF(AND(X390=0,Z390=0),Y390/1,IF(AND(Y390=0,Z390=0),X390/1,IF(X390=0,FLOOR((Y390+Z390)/2,0.1),IF(Y390=0,(X390+Z390)/2,IF(Z390=0,(Y390+X390)/2,FLOOR(((X390+Y390+Z390)/3),0.1))))))))</f>
        <v/>
      </c>
      <c r="AB390" s="21" t="n"/>
      <c r="AC390" s="21" t="n"/>
      <c r="AD390" s="27">
        <f>SUM(AB390:AC390)</f>
        <v/>
      </c>
      <c r="AE390" s="28" t="n"/>
      <c r="AF390" s="28" t="n"/>
      <c r="AG390" s="29">
        <f>IF(AND(AD390=0,AE390=0,AF390=0),0,IF(AND(AD390=0,AE390=0),AF390/1,IF(AND(AD390=0,AF390=0),AE390/1,IF(AND(AE390=0,AF390=0),AD390/1,IF(AD390=0,FLOOR((AE390+AF390)/2,0.1),IF(AE390=0,(AD390+AF390)/2,IF(AF390=0,(AE390+AD390)/2,FLOOR(((AD390+AE390+AF390)/3),0.1))))))))</f>
        <v/>
      </c>
      <c r="AH390" s="21" t="n"/>
      <c r="AI390" s="21" t="n"/>
      <c r="AJ390" s="27">
        <f>SUM(AH390:AI390)</f>
        <v/>
      </c>
      <c r="AK390" s="28" t="n"/>
      <c r="AL390" s="28" t="n"/>
      <c r="AM390" s="29">
        <f>IF(AND(AJ390=0,AK390=0,AL390=0),0,IF(AND(AJ390=0,AK390=0),AL390/1,IF(AND(AJ390=0,AL390=0),AK390/1,IF(AND(AK390=0,AL390=0),AJ390/1,IF(AJ390=0,FLOOR((AK390+AL390)/2,0.1),IF(AK390=0,(AJ390+AL390)/2,IF(AL390=0,(AK390+AJ390)/2,FLOOR(((AJ390+AK390+AL390)/3),0.1))))))))</f>
        <v/>
      </c>
      <c r="AN390" s="21" t="n"/>
      <c r="AO390" s="21" t="n"/>
      <c r="AP390" s="27">
        <f>SUM(AN390:AO390)</f>
        <v/>
      </c>
      <c r="AQ390" s="28" t="n"/>
      <c r="AR390" s="30" t="n"/>
      <c r="AS390" s="29">
        <f>IF(AND(AP390=0,AQ390=0,AR390=0),0,IF(AND(AP390=0,AQ390=0),AR390/1,IF(AND(AP390=0,AR390=0),AQ390/1,IF(AND(AQ390=0,AR390=0),AP390/1,IF(AP390=0,FLOOR((AQ390+AR390)/2,0.1),IF(AQ390=0,(AP390+AR390)/2,IF(AR390=0,(AQ390+AP390)/2,FLOOR(((AP390+AQ390+AR390)/3),0.1))))))))</f>
        <v/>
      </c>
      <c r="AT390" s="21" t="n"/>
      <c r="AU390" s="21" t="n"/>
      <c r="AV390" s="27">
        <f>SUM(AT390:AU390)</f>
        <v/>
      </c>
      <c r="AW390" s="28" t="n"/>
      <c r="AX390" s="30" t="n"/>
      <c r="AY390" s="29">
        <f>IF(AND(AV390=0,AW390=0,AX390=0),0,IF(AND(AV390=0,AW390=0),AX390/1,IF(AND(AV390=0,AX390=0),AW390/1,IF(AND(AW390=0,AX390=0),AV390/1,IF(AV390=0,FLOOR((AW390+AX390)/2,0.1),IF(AW390=0,(AV390+AX390)/2,IF(AX390=0,(AW390+AV390)/2,FLOOR(((AV390+AW390+AX390)/3),0.1))))))))</f>
        <v/>
      </c>
      <c r="AZ390" s="21" t="n"/>
      <c r="BA390" s="21" t="n"/>
      <c r="BB390" s="27">
        <f>SUM(AZ390:BA390)</f>
        <v/>
      </c>
      <c r="BC390" s="28" t="n"/>
      <c r="BD390" s="28" t="n"/>
      <c r="BE390" s="29">
        <f>IF(AND(BB390=0,BC390=0,BD390=0),0,IF(AND(BB390=0,BC390=0),BD390/1,IF(AND(BB390=0,BD390=0),BC390/1,IF(AND(BC390=0,BD390=0),BB390/1,IF(BB390=0,FLOOR((BC390+BD390)/2,0.1),IF(BC390=0,(BB390+BD390)/2,IF(BD390=0,(BC390+BB390)/2,FLOOR(((BB390+BC390+BD390)/3),0.1))))))))</f>
        <v/>
      </c>
      <c r="BF390" s="21" t="n"/>
      <c r="BG390" s="21" t="n"/>
      <c r="BH390" s="27">
        <f>SUM(BF390:BG390)</f>
        <v/>
      </c>
      <c r="BI390" s="28" t="n"/>
      <c r="BJ390" s="28" t="n"/>
      <c r="BK390" s="29">
        <f>IF(AND(BH390=0,BI390=0,BJ390=0),0,IF(AND(BH390=0,BI390=0),BJ390/1,IF(AND(BH390=0,BJ390=0),BI390/1,IF(AND(BI390=0,BJ390=0),BH390/1,IF(BH390=0,FLOOR((BI390+BJ390)/2,0.1),IF(BI390=0,(BH390+BJ390)/2,IF(BJ390=0,(BI390+BH390)/2,FLOOR(((BH390+BI390+BJ390)/3),0.1))))))))</f>
        <v/>
      </c>
      <c r="BL390" s="21" t="n"/>
      <c r="BM390" s="21" t="n"/>
      <c r="BN390" s="27">
        <f>SUM(BL390:BM390)</f>
        <v/>
      </c>
      <c r="BO390" s="28" t="n"/>
      <c r="BP390" s="31" t="n"/>
      <c r="BQ390" s="29">
        <f>IF(AND(BN390=0,BO390=0,BP390=0),0,IF(AND(BN390=0,BO390=0),BP390/1,IF(AND(BN390=0,BP390=0),BO390/1,IF(AND(BO390=0,BP390=0),BN390/1,IF(BN390=0,FLOOR((BO390+BP390)/2,0.1),IF(BO390=0,(BN390+BP390)/2,IF(BP390=0,(BO390+BN390)/2,FLOOR(((BN390+BO390+BP390)/3),0.1))))))))</f>
        <v/>
      </c>
      <c r="BR390" s="21" t="n"/>
      <c r="BS390" s="21" t="n"/>
      <c r="BT390" s="27">
        <f>SUM(BR390:BS390)</f>
        <v/>
      </c>
      <c r="BU390" s="28" t="n"/>
      <c r="BV390" s="31" t="n"/>
      <c r="BW390" s="29">
        <f>IF(AND(BT390=0,BU390=0,BV390=0),0,IF(AND(BT390=0,BU390=0),BV390/1,IF(AND(BT390=0,BV390=0),BU390/1,IF(AND(BU390=0,BV390=0),BT390/1,IF(BT390=0,FLOOR((BU390+BV390)/2,0.1),IF(BU390=0,(BT390+BV390)/2,IF(BV390=0,(BU390+BT390)/2,FLOOR(((BT390+BU390+BV390)/3),0.1))))))))</f>
        <v/>
      </c>
      <c r="BX390" s="21" t="n"/>
      <c r="BY390" s="21" t="n"/>
      <c r="BZ390" s="27">
        <f>SUM(BX390:BY390)</f>
        <v/>
      </c>
      <c r="CA390" s="28" t="n"/>
      <c r="CB390" s="31" t="n"/>
      <c r="CC390" s="29">
        <f>IF(AND(BZ390=0,CA390=0,CB390=0),0,IF(AND(BZ390=0,CA390=0),CB390/1,IF(AND(BZ390=0,CB390=0),CA390/1,IF(AND(CA390=0,CB390=0),BZ390/1,IF(BZ390=0,FLOOR((CA390+CB390)/2,0.1),IF(CA390=0,(BZ390+CB390)/2,IF(CB390=0,(CA390+BZ390)/2,FLOOR(((BZ390+CA390+CB390)/3),0.1))))))))</f>
        <v/>
      </c>
      <c r="CD390" s="21" t="n"/>
      <c r="CE390" s="21" t="n"/>
      <c r="CF390" s="27">
        <f>SUM(CD390:CE390)</f>
        <v/>
      </c>
      <c r="CG390" s="28" t="n"/>
      <c r="CH390" s="31" t="n"/>
      <c r="CI390" s="29">
        <f>IF(AND(CF390=0,CG390=0,CH390=0),0,IF(AND(CF390=0,CG390=0),CH390/1,IF(AND(CF390=0,CH390=0),CG390/1,IF(AND(CG390=0,CH390=0),CF390/1,IF(CF390=0,FLOOR((CG390+CH390)/2,0.1),IF(CG390=0,(CF390+CH390)/2,IF(CH390=0,(CG390+CF390)/2,FLOOR(((CF390+CG390+CH390)/3),0.1))))))))</f>
        <v/>
      </c>
      <c r="CJ390" s="21" t="n"/>
      <c r="CK390" s="21" t="n"/>
      <c r="CL390" s="27">
        <f>SUM(CJ390:CK390)</f>
        <v/>
      </c>
      <c r="CM390" s="28" t="n"/>
      <c r="CN390" s="31" t="n"/>
      <c r="CO390" s="29">
        <f>IF(AND(CL390=0,CM390=0,CN390=0),0,IF(AND(CL390=0,CM390=0),CN390/1,IF(AND(CL390=0,CN390=0),CM390/1,IF(AND(CM390=0,CN390=0),CL390/1,IF(CL390=0,FLOOR((CM390+CN390)/2,0.1),IF(CM390=0,(CL390+CN390)/2,IF(CN390=0,(CM390+CL390)/2,FLOOR(((CL390+CM390+CN390)/3),0.1))))))))</f>
        <v/>
      </c>
      <c r="CP390" s="21" t="n"/>
      <c r="CQ390" s="21" t="n"/>
      <c r="CR390" s="27">
        <f>SUM(CP390:CQ390)</f>
        <v/>
      </c>
      <c r="CS390" s="28" t="n"/>
      <c r="CT390" s="31" t="n"/>
      <c r="CU390" s="29">
        <f>IF(AND(CR390=0,CS390=0,CT390=0),0,IF(AND(CR390=0,CS390=0),CT390/1,IF(AND(CR390=0,CT390=0),CS390/1,IF(AND(CS390=0,CT390=0),CR390/1,IF(CR390=0,FLOOR((CS390+CT390)/2,0.1),IF(CS390=0,(CR390+CT390)/2,IF(CT390=0,(CS390+CR390)/2,FLOOR(((CR390+CS390+CT390)/3),0.1))))))))</f>
        <v/>
      </c>
      <c r="CV390" s="21" t="n"/>
      <c r="CW390" s="21" t="n"/>
      <c r="CX390" s="27">
        <f>SUM(CV390:CW390)</f>
        <v/>
      </c>
      <c r="CY390" s="28" t="n"/>
      <c r="CZ390" s="31" t="n"/>
      <c r="DA390" s="29">
        <f>IF(AND(CX390=0,CY390=0,CZ390=0),0,IF(AND(CX390=0,CY390=0),CZ390/1,IF(AND(CX390=0,CZ390=0),CY390/1,IF(AND(CY390=0,CZ390=0),CX390/1,IF(CX390=0,FLOOR((CY390+CZ390)/2,0.1),IF(CY390=0,(CX390+CZ390)/2,IF(CZ390=0,(CY390+CX390)/2,FLOOR(((CX390+CY390+CZ390)/3),0.1))))))))</f>
        <v/>
      </c>
      <c r="DB390" s="21" t="n"/>
      <c r="DC390" s="21" t="n"/>
      <c r="DD390" s="27">
        <f>SUM(DB390:DC390)</f>
        <v/>
      </c>
      <c r="DE390" s="28" t="n"/>
      <c r="DF390" s="31" t="n"/>
      <c r="DG390" s="29">
        <f>IF(AND(DD390=0,DE390=0,DF390=0),0,IF(AND(DD390=0,DE390=0),DF390/1,IF(AND(DD390=0,DF390=0),DE390/1,IF(AND(DE390=0,DF390=0),DD390/1,IF(DD390=0,FLOOR((DE390+DF390)/2,0.1),IF(DE390=0,(DD390+DF390)/2,IF(DF390=0,(DE390+DD390)/2,FLOOR(((DD390+DE390+DF390)/3),0.1))))))))</f>
        <v/>
      </c>
      <c r="DH390" s="34">
        <f>SUM(O390,U390,AA390,AG390,AM390,AS390,AY390,BE390,BK390,BQ390,BW390,CC390,CI390,CO390,CU390,DA390,DG390)</f>
        <v/>
      </c>
      <c r="DI390" s="39">
        <f>RANK(DH390,DH$4:DH$503)</f>
        <v/>
      </c>
      <c r="DJ390" s="40" t="inlineStr">
        <is>
          <t>CHOOSE RATING</t>
        </is>
      </c>
      <c r="DK390" s="40" t="inlineStr">
        <is>
          <t>CHOOSE RATING</t>
        </is>
      </c>
      <c r="DL390" s="40" t="inlineStr">
        <is>
          <t>CHOOSE RATING</t>
        </is>
      </c>
      <c r="DM390" s="40" t="inlineStr">
        <is>
          <t>CHOOSE RATING</t>
        </is>
      </c>
      <c r="DN390" s="40" t="inlineStr">
        <is>
          <t>CHOOSE RATING</t>
        </is>
      </c>
      <c r="DO390" s="40" t="inlineStr">
        <is>
          <t>CHOOSE RATING</t>
        </is>
      </c>
      <c r="DP390" s="40" t="inlineStr">
        <is>
          <t>CHOOSE RATING</t>
        </is>
      </c>
      <c r="DQ390" s="40" t="inlineStr">
        <is>
          <t>CHOOSE RATING</t>
        </is>
      </c>
      <c r="DR390" s="43" t="inlineStr">
        <is>
          <t>2024/2025</t>
        </is>
      </c>
      <c r="DS390" s="45" t="inlineStr">
        <is>
          <t>THIRD</t>
        </is>
      </c>
      <c r="DT390" s="40" t="inlineStr">
        <is>
          <t>CHOOSE RATING</t>
        </is>
      </c>
      <c r="DU390" s="40" t="inlineStr">
        <is>
          <t>CHOOSE RATING</t>
        </is>
      </c>
      <c r="DV390" s="40" t="inlineStr">
        <is>
          <t>CHOOSE RATING</t>
        </is>
      </c>
      <c r="DW390" s="40" t="inlineStr">
        <is>
          <t>CHOOSE RATING</t>
        </is>
      </c>
      <c r="DX390" s="40" t="inlineStr">
        <is>
          <t>CHOOSE RATING</t>
        </is>
      </c>
      <c r="DY390" s="40" t="inlineStr">
        <is>
          <t>CHOOSE RATING</t>
        </is>
      </c>
      <c r="DZ390" s="53" t="inlineStr">
        <is>
          <t>CHOOSE RATING</t>
        </is>
      </c>
      <c r="EA390" s="54" t="inlineStr">
        <is>
          <t>Add the Tutor's Comment . . .</t>
        </is>
      </c>
      <c r="EB390" s="55" t="inlineStr">
        <is>
          <t>Choose Principals comment</t>
        </is>
      </c>
      <c r="EC390" s="56" t="n"/>
      <c r="ED390" s="57" t="inlineStr">
        <is>
          <t>Next Term Begins on Monday, 22nd September, 2025</t>
        </is>
      </c>
    </row>
    <row r="391" ht="30.6" customHeight="1" s="6">
      <c r="A391" s="18" t="n">
        <v>388</v>
      </c>
      <c r="B391" s="19" t="n"/>
      <c r="C391" s="20" t="n"/>
      <c r="D391" s="128" t="n"/>
      <c r="E391" s="21" t="n"/>
      <c r="F391" s="22" t="n"/>
      <c r="G391" s="22" t="n"/>
      <c r="H391" s="22" t="n"/>
      <c r="I391" s="26">
        <f>G391-H391</f>
        <v/>
      </c>
      <c r="J391" s="21" t="n"/>
      <c r="K391" s="21" t="n"/>
      <c r="L391" s="27">
        <f>SUM(J391:K391)</f>
        <v/>
      </c>
      <c r="M391" s="28" t="n"/>
      <c r="N391" s="28" t="n"/>
      <c r="O391" s="29">
        <f>IF(AND(L391=0,M391=0,N391=0),0,IF(AND(L391=0,M391=0),N391/1,IF(AND(L391=0,N391=0),M391/1,IF(AND(M391=0,N391=0),L391/1,IF(L391=0,FLOOR((M391+N391)/2,0.1),IF(M391=0,(L391+N391)/2,IF(N391=0,(M391+L391)/2,FLOOR(((L391+M391+N391)/3),0.1))))))))</f>
        <v/>
      </c>
      <c r="P391" s="21" t="n"/>
      <c r="Q391" s="21" t="n"/>
      <c r="R391" s="27">
        <f>SUM(P391:Q391)</f>
        <v/>
      </c>
      <c r="S391" s="28" t="n"/>
      <c r="T391" s="28" t="n"/>
      <c r="U391" s="29">
        <f>IF(AND(R391=0,S391=0,T391=0),0,IF(AND(R391=0,S391=0),T391/1,IF(AND(R391=0,T391=0),S391/1,IF(AND(S391=0,T391=0),R391/1,IF(R391=0,FLOOR((S391+T391)/2,0.1),IF(S391=0,(R391+T391)/2,IF(T391=0,(S391+R391)/2,FLOOR(((R391+S391+T391)/3),0.1))))))))</f>
        <v/>
      </c>
      <c r="V391" s="21" t="n"/>
      <c r="W391" s="21" t="n"/>
      <c r="X391" s="27">
        <f>SUM(V391:W391)</f>
        <v/>
      </c>
      <c r="Y391" s="28" t="n"/>
      <c r="Z391" s="28" t="n"/>
      <c r="AA391" s="29">
        <f>IF(AND(X391=0,Y391=0,Z391=0),0,IF(AND(X391=0,Y391=0),Z391/1,IF(AND(X391=0,Z391=0),Y391/1,IF(AND(Y391=0,Z391=0),X391/1,IF(X391=0,FLOOR((Y391+Z391)/2,0.1),IF(Y391=0,(X391+Z391)/2,IF(Z391=0,(Y391+X391)/2,FLOOR(((X391+Y391+Z391)/3),0.1))))))))</f>
        <v/>
      </c>
      <c r="AB391" s="21" t="n"/>
      <c r="AC391" s="21" t="n"/>
      <c r="AD391" s="27">
        <f>SUM(AB391:AC391)</f>
        <v/>
      </c>
      <c r="AE391" s="28" t="n"/>
      <c r="AF391" s="28" t="n"/>
      <c r="AG391" s="29">
        <f>IF(AND(AD391=0,AE391=0,AF391=0),0,IF(AND(AD391=0,AE391=0),AF391/1,IF(AND(AD391=0,AF391=0),AE391/1,IF(AND(AE391=0,AF391=0),AD391/1,IF(AD391=0,FLOOR((AE391+AF391)/2,0.1),IF(AE391=0,(AD391+AF391)/2,IF(AF391=0,(AE391+AD391)/2,FLOOR(((AD391+AE391+AF391)/3),0.1))))))))</f>
        <v/>
      </c>
      <c r="AH391" s="21" t="n"/>
      <c r="AI391" s="21" t="n"/>
      <c r="AJ391" s="27">
        <f>SUM(AH391:AI391)</f>
        <v/>
      </c>
      <c r="AK391" s="28" t="n"/>
      <c r="AL391" s="28" t="n"/>
      <c r="AM391" s="29">
        <f>IF(AND(AJ391=0,AK391=0,AL391=0),0,IF(AND(AJ391=0,AK391=0),AL391/1,IF(AND(AJ391=0,AL391=0),AK391/1,IF(AND(AK391=0,AL391=0),AJ391/1,IF(AJ391=0,FLOOR((AK391+AL391)/2,0.1),IF(AK391=0,(AJ391+AL391)/2,IF(AL391=0,(AK391+AJ391)/2,FLOOR(((AJ391+AK391+AL391)/3),0.1))))))))</f>
        <v/>
      </c>
      <c r="AN391" s="21" t="n"/>
      <c r="AO391" s="21" t="n"/>
      <c r="AP391" s="27">
        <f>SUM(AN391:AO391)</f>
        <v/>
      </c>
      <c r="AQ391" s="28" t="n"/>
      <c r="AR391" s="30" t="n"/>
      <c r="AS391" s="29">
        <f>IF(AND(AP391=0,AQ391=0,AR391=0),0,IF(AND(AP391=0,AQ391=0),AR391/1,IF(AND(AP391=0,AR391=0),AQ391/1,IF(AND(AQ391=0,AR391=0),AP391/1,IF(AP391=0,FLOOR((AQ391+AR391)/2,0.1),IF(AQ391=0,(AP391+AR391)/2,IF(AR391=0,(AQ391+AP391)/2,FLOOR(((AP391+AQ391+AR391)/3),0.1))))))))</f>
        <v/>
      </c>
      <c r="AT391" s="21" t="n"/>
      <c r="AU391" s="21" t="n"/>
      <c r="AV391" s="27">
        <f>SUM(AT391:AU391)</f>
        <v/>
      </c>
      <c r="AW391" s="28" t="n"/>
      <c r="AX391" s="30" t="n"/>
      <c r="AY391" s="29">
        <f>IF(AND(AV391=0,AW391=0,AX391=0),0,IF(AND(AV391=0,AW391=0),AX391/1,IF(AND(AV391=0,AX391=0),AW391/1,IF(AND(AW391=0,AX391=0),AV391/1,IF(AV391=0,FLOOR((AW391+AX391)/2,0.1),IF(AW391=0,(AV391+AX391)/2,IF(AX391=0,(AW391+AV391)/2,FLOOR(((AV391+AW391+AX391)/3),0.1))))))))</f>
        <v/>
      </c>
      <c r="AZ391" s="21" t="n"/>
      <c r="BA391" s="21" t="n"/>
      <c r="BB391" s="27">
        <f>SUM(AZ391:BA391)</f>
        <v/>
      </c>
      <c r="BC391" s="28" t="n"/>
      <c r="BD391" s="28" t="n"/>
      <c r="BE391" s="29">
        <f>IF(AND(BB391=0,BC391=0,BD391=0),0,IF(AND(BB391=0,BC391=0),BD391/1,IF(AND(BB391=0,BD391=0),BC391/1,IF(AND(BC391=0,BD391=0),BB391/1,IF(BB391=0,FLOOR((BC391+BD391)/2,0.1),IF(BC391=0,(BB391+BD391)/2,IF(BD391=0,(BC391+BB391)/2,FLOOR(((BB391+BC391+BD391)/3),0.1))))))))</f>
        <v/>
      </c>
      <c r="BF391" s="21" t="n"/>
      <c r="BG391" s="21" t="n"/>
      <c r="BH391" s="27">
        <f>SUM(BF391:BG391)</f>
        <v/>
      </c>
      <c r="BI391" s="28" t="n"/>
      <c r="BJ391" s="28" t="n"/>
      <c r="BK391" s="29">
        <f>IF(AND(BH391=0,BI391=0,BJ391=0),0,IF(AND(BH391=0,BI391=0),BJ391/1,IF(AND(BH391=0,BJ391=0),BI391/1,IF(AND(BI391=0,BJ391=0),BH391/1,IF(BH391=0,FLOOR((BI391+BJ391)/2,0.1),IF(BI391=0,(BH391+BJ391)/2,IF(BJ391=0,(BI391+BH391)/2,FLOOR(((BH391+BI391+BJ391)/3),0.1))))))))</f>
        <v/>
      </c>
      <c r="BL391" s="21" t="n"/>
      <c r="BM391" s="21" t="n"/>
      <c r="BN391" s="27">
        <f>SUM(BL391:BM391)</f>
        <v/>
      </c>
      <c r="BO391" s="28" t="n"/>
      <c r="BP391" s="31" t="n"/>
      <c r="BQ391" s="29">
        <f>IF(AND(BN391=0,BO391=0,BP391=0),0,IF(AND(BN391=0,BO391=0),BP391/1,IF(AND(BN391=0,BP391=0),BO391/1,IF(AND(BO391=0,BP391=0),BN391/1,IF(BN391=0,FLOOR((BO391+BP391)/2,0.1),IF(BO391=0,(BN391+BP391)/2,IF(BP391=0,(BO391+BN391)/2,FLOOR(((BN391+BO391+BP391)/3),0.1))))))))</f>
        <v/>
      </c>
      <c r="BR391" s="21" t="n"/>
      <c r="BS391" s="21" t="n"/>
      <c r="BT391" s="27">
        <f>SUM(BR391:BS391)</f>
        <v/>
      </c>
      <c r="BU391" s="28" t="n"/>
      <c r="BV391" s="31" t="n"/>
      <c r="BW391" s="29">
        <f>IF(AND(BT391=0,BU391=0,BV391=0),0,IF(AND(BT391=0,BU391=0),BV391/1,IF(AND(BT391=0,BV391=0),BU391/1,IF(AND(BU391=0,BV391=0),BT391/1,IF(BT391=0,FLOOR((BU391+BV391)/2,0.1),IF(BU391=0,(BT391+BV391)/2,IF(BV391=0,(BU391+BT391)/2,FLOOR(((BT391+BU391+BV391)/3),0.1))))))))</f>
        <v/>
      </c>
      <c r="BX391" s="21" t="n"/>
      <c r="BY391" s="21" t="n"/>
      <c r="BZ391" s="27">
        <f>SUM(BX391:BY391)</f>
        <v/>
      </c>
      <c r="CA391" s="28" t="n"/>
      <c r="CB391" s="31" t="n"/>
      <c r="CC391" s="29">
        <f>IF(AND(BZ391=0,CA391=0,CB391=0),0,IF(AND(BZ391=0,CA391=0),CB391/1,IF(AND(BZ391=0,CB391=0),CA391/1,IF(AND(CA391=0,CB391=0),BZ391/1,IF(BZ391=0,FLOOR((CA391+CB391)/2,0.1),IF(CA391=0,(BZ391+CB391)/2,IF(CB391=0,(CA391+BZ391)/2,FLOOR(((BZ391+CA391+CB391)/3),0.1))))))))</f>
        <v/>
      </c>
      <c r="CD391" s="21" t="n"/>
      <c r="CE391" s="21" t="n"/>
      <c r="CF391" s="27">
        <f>SUM(CD391:CE391)</f>
        <v/>
      </c>
      <c r="CG391" s="28" t="n"/>
      <c r="CH391" s="31" t="n"/>
      <c r="CI391" s="29">
        <f>IF(AND(CF391=0,CG391=0,CH391=0),0,IF(AND(CF391=0,CG391=0),CH391/1,IF(AND(CF391=0,CH391=0),CG391/1,IF(AND(CG391=0,CH391=0),CF391/1,IF(CF391=0,FLOOR((CG391+CH391)/2,0.1),IF(CG391=0,(CF391+CH391)/2,IF(CH391=0,(CG391+CF391)/2,FLOOR(((CF391+CG391+CH391)/3),0.1))))))))</f>
        <v/>
      </c>
      <c r="CJ391" s="21" t="n"/>
      <c r="CK391" s="21" t="n"/>
      <c r="CL391" s="27">
        <f>SUM(CJ391:CK391)</f>
        <v/>
      </c>
      <c r="CM391" s="28" t="n"/>
      <c r="CN391" s="31" t="n"/>
      <c r="CO391" s="29">
        <f>IF(AND(CL391=0,CM391=0,CN391=0),0,IF(AND(CL391=0,CM391=0),CN391/1,IF(AND(CL391=0,CN391=0),CM391/1,IF(AND(CM391=0,CN391=0),CL391/1,IF(CL391=0,FLOOR((CM391+CN391)/2,0.1),IF(CM391=0,(CL391+CN391)/2,IF(CN391=0,(CM391+CL391)/2,FLOOR(((CL391+CM391+CN391)/3),0.1))))))))</f>
        <v/>
      </c>
      <c r="CP391" s="21" t="n"/>
      <c r="CQ391" s="21" t="n"/>
      <c r="CR391" s="27">
        <f>SUM(CP391:CQ391)</f>
        <v/>
      </c>
      <c r="CS391" s="28" t="n"/>
      <c r="CT391" s="31" t="n"/>
      <c r="CU391" s="29">
        <f>IF(AND(CR391=0,CS391=0,CT391=0),0,IF(AND(CR391=0,CS391=0),CT391/1,IF(AND(CR391=0,CT391=0),CS391/1,IF(AND(CS391=0,CT391=0),CR391/1,IF(CR391=0,FLOOR((CS391+CT391)/2,0.1),IF(CS391=0,(CR391+CT391)/2,IF(CT391=0,(CS391+CR391)/2,FLOOR(((CR391+CS391+CT391)/3),0.1))))))))</f>
        <v/>
      </c>
      <c r="CV391" s="21" t="n"/>
      <c r="CW391" s="21" t="n"/>
      <c r="CX391" s="27">
        <f>SUM(CV391:CW391)</f>
        <v/>
      </c>
      <c r="CY391" s="28" t="n"/>
      <c r="CZ391" s="31" t="n"/>
      <c r="DA391" s="29">
        <f>IF(AND(CX391=0,CY391=0,CZ391=0),0,IF(AND(CX391=0,CY391=0),CZ391/1,IF(AND(CX391=0,CZ391=0),CY391/1,IF(AND(CY391=0,CZ391=0),CX391/1,IF(CX391=0,FLOOR((CY391+CZ391)/2,0.1),IF(CY391=0,(CX391+CZ391)/2,IF(CZ391=0,(CY391+CX391)/2,FLOOR(((CX391+CY391+CZ391)/3),0.1))))))))</f>
        <v/>
      </c>
      <c r="DB391" s="21" t="n"/>
      <c r="DC391" s="21" t="n"/>
      <c r="DD391" s="27">
        <f>SUM(DB391:DC391)</f>
        <v/>
      </c>
      <c r="DE391" s="28" t="n"/>
      <c r="DF391" s="31" t="n"/>
      <c r="DG391" s="29">
        <f>IF(AND(DD391=0,DE391=0,DF391=0),0,IF(AND(DD391=0,DE391=0),DF391/1,IF(AND(DD391=0,DF391=0),DE391/1,IF(AND(DE391=0,DF391=0),DD391/1,IF(DD391=0,FLOOR((DE391+DF391)/2,0.1),IF(DE391=0,(DD391+DF391)/2,IF(DF391=0,(DE391+DD391)/2,FLOOR(((DD391+DE391+DF391)/3),0.1))))))))</f>
        <v/>
      </c>
      <c r="DH391" s="34">
        <f>SUM(O391,U391,AA391,AG391,AM391,AS391,AY391,BE391,BK391,BQ391,BW391,CC391,CI391,CO391,CU391,DA391,DG391)</f>
        <v/>
      </c>
      <c r="DI391" s="39">
        <f>RANK(DH391,DH$4:DH$503)</f>
        <v/>
      </c>
      <c r="DJ391" s="40" t="inlineStr">
        <is>
          <t>CHOOSE RATING</t>
        </is>
      </c>
      <c r="DK391" s="40" t="inlineStr">
        <is>
          <t>CHOOSE RATING</t>
        </is>
      </c>
      <c r="DL391" s="40" t="inlineStr">
        <is>
          <t>CHOOSE RATING</t>
        </is>
      </c>
      <c r="DM391" s="40" t="inlineStr">
        <is>
          <t>CHOOSE RATING</t>
        </is>
      </c>
      <c r="DN391" s="40" t="inlineStr">
        <is>
          <t>CHOOSE RATING</t>
        </is>
      </c>
      <c r="DO391" s="40" t="inlineStr">
        <is>
          <t>CHOOSE RATING</t>
        </is>
      </c>
      <c r="DP391" s="40" t="inlineStr">
        <is>
          <t>CHOOSE RATING</t>
        </is>
      </c>
      <c r="DQ391" s="40" t="inlineStr">
        <is>
          <t>CHOOSE RATING</t>
        </is>
      </c>
      <c r="DR391" s="43" t="inlineStr">
        <is>
          <t>2024/2025</t>
        </is>
      </c>
      <c r="DS391" s="45" t="inlineStr">
        <is>
          <t>THIRD</t>
        </is>
      </c>
      <c r="DT391" s="40" t="inlineStr">
        <is>
          <t>CHOOSE RATING</t>
        </is>
      </c>
      <c r="DU391" s="40" t="inlineStr">
        <is>
          <t>CHOOSE RATING</t>
        </is>
      </c>
      <c r="DV391" s="40" t="inlineStr">
        <is>
          <t>CHOOSE RATING</t>
        </is>
      </c>
      <c r="DW391" s="40" t="inlineStr">
        <is>
          <t>CHOOSE RATING</t>
        </is>
      </c>
      <c r="DX391" s="40" t="inlineStr">
        <is>
          <t>CHOOSE RATING</t>
        </is>
      </c>
      <c r="DY391" s="40" t="inlineStr">
        <is>
          <t>CHOOSE RATING</t>
        </is>
      </c>
      <c r="DZ391" s="53" t="inlineStr">
        <is>
          <t>CHOOSE RATING</t>
        </is>
      </c>
      <c r="EA391" s="54" t="inlineStr">
        <is>
          <t>Add the Tutor's Comment . . .</t>
        </is>
      </c>
      <c r="EB391" s="55" t="inlineStr">
        <is>
          <t>Choose Principals comment</t>
        </is>
      </c>
      <c r="EC391" s="56" t="n"/>
      <c r="ED391" s="57" t="inlineStr">
        <is>
          <t>Next Term Begins on Monday, 22nd September, 2025</t>
        </is>
      </c>
    </row>
    <row r="392" ht="30.6" customHeight="1" s="6">
      <c r="A392" s="18" t="n">
        <v>389</v>
      </c>
      <c r="B392" s="19" t="n"/>
      <c r="C392" s="20" t="n"/>
      <c r="D392" s="128" t="n"/>
      <c r="E392" s="21" t="n"/>
      <c r="F392" s="22" t="n"/>
      <c r="G392" s="22" t="n"/>
      <c r="H392" s="22" t="n"/>
      <c r="I392" s="26">
        <f>G392-H392</f>
        <v/>
      </c>
      <c r="J392" s="21" t="n"/>
      <c r="K392" s="21" t="n"/>
      <c r="L392" s="27">
        <f>SUM(J392:K392)</f>
        <v/>
      </c>
      <c r="M392" s="28" t="n"/>
      <c r="N392" s="28" t="n"/>
      <c r="O392" s="29">
        <f>IF(AND(L392=0,M392=0,N392=0),0,IF(AND(L392=0,M392=0),N392/1,IF(AND(L392=0,N392=0),M392/1,IF(AND(M392=0,N392=0),L392/1,IF(L392=0,FLOOR((M392+N392)/2,0.1),IF(M392=0,(L392+N392)/2,IF(N392=0,(M392+L392)/2,FLOOR(((L392+M392+N392)/3),0.1))))))))</f>
        <v/>
      </c>
      <c r="P392" s="21" t="n"/>
      <c r="Q392" s="21" t="n"/>
      <c r="R392" s="27">
        <f>SUM(P392:Q392)</f>
        <v/>
      </c>
      <c r="S392" s="28" t="n"/>
      <c r="T392" s="28" t="n"/>
      <c r="U392" s="29">
        <f>IF(AND(R392=0,S392=0,T392=0),0,IF(AND(R392=0,S392=0),T392/1,IF(AND(R392=0,T392=0),S392/1,IF(AND(S392=0,T392=0),R392/1,IF(R392=0,FLOOR((S392+T392)/2,0.1),IF(S392=0,(R392+T392)/2,IF(T392=0,(S392+R392)/2,FLOOR(((R392+S392+T392)/3),0.1))))))))</f>
        <v/>
      </c>
      <c r="V392" s="21" t="n"/>
      <c r="W392" s="21" t="n"/>
      <c r="X392" s="27">
        <f>SUM(V392:W392)</f>
        <v/>
      </c>
      <c r="Y392" s="28" t="n"/>
      <c r="Z392" s="28" t="n"/>
      <c r="AA392" s="29">
        <f>IF(AND(X392=0,Y392=0,Z392=0),0,IF(AND(X392=0,Y392=0),Z392/1,IF(AND(X392=0,Z392=0),Y392/1,IF(AND(Y392=0,Z392=0),X392/1,IF(X392=0,FLOOR((Y392+Z392)/2,0.1),IF(Y392=0,(X392+Z392)/2,IF(Z392=0,(Y392+X392)/2,FLOOR(((X392+Y392+Z392)/3),0.1))))))))</f>
        <v/>
      </c>
      <c r="AB392" s="21" t="n"/>
      <c r="AC392" s="21" t="n"/>
      <c r="AD392" s="27">
        <f>SUM(AB392:AC392)</f>
        <v/>
      </c>
      <c r="AE392" s="28" t="n"/>
      <c r="AF392" s="28" t="n"/>
      <c r="AG392" s="29">
        <f>IF(AND(AD392=0,AE392=0,AF392=0),0,IF(AND(AD392=0,AE392=0),AF392/1,IF(AND(AD392=0,AF392=0),AE392/1,IF(AND(AE392=0,AF392=0),AD392/1,IF(AD392=0,FLOOR((AE392+AF392)/2,0.1),IF(AE392=0,(AD392+AF392)/2,IF(AF392=0,(AE392+AD392)/2,FLOOR(((AD392+AE392+AF392)/3),0.1))))))))</f>
        <v/>
      </c>
      <c r="AH392" s="21" t="n"/>
      <c r="AI392" s="21" t="n"/>
      <c r="AJ392" s="27">
        <f>SUM(AH392:AI392)</f>
        <v/>
      </c>
      <c r="AK392" s="28" t="n"/>
      <c r="AL392" s="28" t="n"/>
      <c r="AM392" s="29">
        <f>IF(AND(AJ392=0,AK392=0,AL392=0),0,IF(AND(AJ392=0,AK392=0),AL392/1,IF(AND(AJ392=0,AL392=0),AK392/1,IF(AND(AK392=0,AL392=0),AJ392/1,IF(AJ392=0,FLOOR((AK392+AL392)/2,0.1),IF(AK392=0,(AJ392+AL392)/2,IF(AL392=0,(AK392+AJ392)/2,FLOOR(((AJ392+AK392+AL392)/3),0.1))))))))</f>
        <v/>
      </c>
      <c r="AN392" s="21" t="n"/>
      <c r="AO392" s="21" t="n"/>
      <c r="AP392" s="27">
        <f>SUM(AN392:AO392)</f>
        <v/>
      </c>
      <c r="AQ392" s="28" t="n"/>
      <c r="AR392" s="30" t="n"/>
      <c r="AS392" s="29">
        <f>IF(AND(AP392=0,AQ392=0,AR392=0),0,IF(AND(AP392=0,AQ392=0),AR392/1,IF(AND(AP392=0,AR392=0),AQ392/1,IF(AND(AQ392=0,AR392=0),AP392/1,IF(AP392=0,FLOOR((AQ392+AR392)/2,0.1),IF(AQ392=0,(AP392+AR392)/2,IF(AR392=0,(AQ392+AP392)/2,FLOOR(((AP392+AQ392+AR392)/3),0.1))))))))</f>
        <v/>
      </c>
      <c r="AT392" s="21" t="n"/>
      <c r="AU392" s="21" t="n"/>
      <c r="AV392" s="27">
        <f>SUM(AT392:AU392)</f>
        <v/>
      </c>
      <c r="AW392" s="28" t="n"/>
      <c r="AX392" s="30" t="n"/>
      <c r="AY392" s="29">
        <f>IF(AND(AV392=0,AW392=0,AX392=0),0,IF(AND(AV392=0,AW392=0),AX392/1,IF(AND(AV392=0,AX392=0),AW392/1,IF(AND(AW392=0,AX392=0),AV392/1,IF(AV392=0,FLOOR((AW392+AX392)/2,0.1),IF(AW392=0,(AV392+AX392)/2,IF(AX392=0,(AW392+AV392)/2,FLOOR(((AV392+AW392+AX392)/3),0.1))))))))</f>
        <v/>
      </c>
      <c r="AZ392" s="21" t="n"/>
      <c r="BA392" s="21" t="n"/>
      <c r="BB392" s="27">
        <f>SUM(AZ392:BA392)</f>
        <v/>
      </c>
      <c r="BC392" s="28" t="n"/>
      <c r="BD392" s="28" t="n"/>
      <c r="BE392" s="29">
        <f>IF(AND(BB392=0,BC392=0,BD392=0),0,IF(AND(BB392=0,BC392=0),BD392/1,IF(AND(BB392=0,BD392=0),BC392/1,IF(AND(BC392=0,BD392=0),BB392/1,IF(BB392=0,FLOOR((BC392+BD392)/2,0.1),IF(BC392=0,(BB392+BD392)/2,IF(BD392=0,(BC392+BB392)/2,FLOOR(((BB392+BC392+BD392)/3),0.1))))))))</f>
        <v/>
      </c>
      <c r="BF392" s="21" t="n"/>
      <c r="BG392" s="21" t="n"/>
      <c r="BH392" s="27">
        <f>SUM(BF392:BG392)</f>
        <v/>
      </c>
      <c r="BI392" s="28" t="n"/>
      <c r="BJ392" s="28" t="n"/>
      <c r="BK392" s="29">
        <f>IF(AND(BH392=0,BI392=0,BJ392=0),0,IF(AND(BH392=0,BI392=0),BJ392/1,IF(AND(BH392=0,BJ392=0),BI392/1,IF(AND(BI392=0,BJ392=0),BH392/1,IF(BH392=0,FLOOR((BI392+BJ392)/2,0.1),IF(BI392=0,(BH392+BJ392)/2,IF(BJ392=0,(BI392+BH392)/2,FLOOR(((BH392+BI392+BJ392)/3),0.1))))))))</f>
        <v/>
      </c>
      <c r="BL392" s="21" t="n"/>
      <c r="BM392" s="21" t="n"/>
      <c r="BN392" s="27">
        <f>SUM(BL392:BM392)</f>
        <v/>
      </c>
      <c r="BO392" s="28" t="n"/>
      <c r="BP392" s="31" t="n"/>
      <c r="BQ392" s="29">
        <f>IF(AND(BN392=0,BO392=0,BP392=0),0,IF(AND(BN392=0,BO392=0),BP392/1,IF(AND(BN392=0,BP392=0),BO392/1,IF(AND(BO392=0,BP392=0),BN392/1,IF(BN392=0,FLOOR((BO392+BP392)/2,0.1),IF(BO392=0,(BN392+BP392)/2,IF(BP392=0,(BO392+BN392)/2,FLOOR(((BN392+BO392+BP392)/3),0.1))))))))</f>
        <v/>
      </c>
      <c r="BR392" s="21" t="n"/>
      <c r="BS392" s="21" t="n"/>
      <c r="BT392" s="27">
        <f>SUM(BR392:BS392)</f>
        <v/>
      </c>
      <c r="BU392" s="28" t="n"/>
      <c r="BV392" s="31" t="n"/>
      <c r="BW392" s="29">
        <f>IF(AND(BT392=0,BU392=0,BV392=0),0,IF(AND(BT392=0,BU392=0),BV392/1,IF(AND(BT392=0,BV392=0),BU392/1,IF(AND(BU392=0,BV392=0),BT392/1,IF(BT392=0,FLOOR((BU392+BV392)/2,0.1),IF(BU392=0,(BT392+BV392)/2,IF(BV392=0,(BU392+BT392)/2,FLOOR(((BT392+BU392+BV392)/3),0.1))))))))</f>
        <v/>
      </c>
      <c r="BX392" s="21" t="n"/>
      <c r="BY392" s="21" t="n"/>
      <c r="BZ392" s="27">
        <f>SUM(BX392:BY392)</f>
        <v/>
      </c>
      <c r="CA392" s="28" t="n"/>
      <c r="CB392" s="31" t="n"/>
      <c r="CC392" s="29">
        <f>IF(AND(BZ392=0,CA392=0,CB392=0),0,IF(AND(BZ392=0,CA392=0),CB392/1,IF(AND(BZ392=0,CB392=0),CA392/1,IF(AND(CA392=0,CB392=0),BZ392/1,IF(BZ392=0,FLOOR((CA392+CB392)/2,0.1),IF(CA392=0,(BZ392+CB392)/2,IF(CB392=0,(CA392+BZ392)/2,FLOOR(((BZ392+CA392+CB392)/3),0.1))))))))</f>
        <v/>
      </c>
      <c r="CD392" s="21" t="n"/>
      <c r="CE392" s="21" t="n"/>
      <c r="CF392" s="27">
        <f>SUM(CD392:CE392)</f>
        <v/>
      </c>
      <c r="CG392" s="28" t="n"/>
      <c r="CH392" s="31" t="n"/>
      <c r="CI392" s="29">
        <f>IF(AND(CF392=0,CG392=0,CH392=0),0,IF(AND(CF392=0,CG392=0),CH392/1,IF(AND(CF392=0,CH392=0),CG392/1,IF(AND(CG392=0,CH392=0),CF392/1,IF(CF392=0,FLOOR((CG392+CH392)/2,0.1),IF(CG392=0,(CF392+CH392)/2,IF(CH392=0,(CG392+CF392)/2,FLOOR(((CF392+CG392+CH392)/3),0.1))))))))</f>
        <v/>
      </c>
      <c r="CJ392" s="21" t="n"/>
      <c r="CK392" s="21" t="n"/>
      <c r="CL392" s="27">
        <f>SUM(CJ392:CK392)</f>
        <v/>
      </c>
      <c r="CM392" s="28" t="n"/>
      <c r="CN392" s="31" t="n"/>
      <c r="CO392" s="29">
        <f>IF(AND(CL392=0,CM392=0,CN392=0),0,IF(AND(CL392=0,CM392=0),CN392/1,IF(AND(CL392=0,CN392=0),CM392/1,IF(AND(CM392=0,CN392=0),CL392/1,IF(CL392=0,FLOOR((CM392+CN392)/2,0.1),IF(CM392=0,(CL392+CN392)/2,IF(CN392=0,(CM392+CL392)/2,FLOOR(((CL392+CM392+CN392)/3),0.1))))))))</f>
        <v/>
      </c>
      <c r="CP392" s="21" t="n"/>
      <c r="CQ392" s="21" t="n"/>
      <c r="CR392" s="27">
        <f>SUM(CP392:CQ392)</f>
        <v/>
      </c>
      <c r="CS392" s="28" t="n"/>
      <c r="CT392" s="31" t="n"/>
      <c r="CU392" s="29">
        <f>IF(AND(CR392=0,CS392=0,CT392=0),0,IF(AND(CR392=0,CS392=0),CT392/1,IF(AND(CR392=0,CT392=0),CS392/1,IF(AND(CS392=0,CT392=0),CR392/1,IF(CR392=0,FLOOR((CS392+CT392)/2,0.1),IF(CS392=0,(CR392+CT392)/2,IF(CT392=0,(CS392+CR392)/2,FLOOR(((CR392+CS392+CT392)/3),0.1))))))))</f>
        <v/>
      </c>
      <c r="CV392" s="21" t="n"/>
      <c r="CW392" s="21" t="n"/>
      <c r="CX392" s="27">
        <f>SUM(CV392:CW392)</f>
        <v/>
      </c>
      <c r="CY392" s="28" t="n"/>
      <c r="CZ392" s="31" t="n"/>
      <c r="DA392" s="29">
        <f>IF(AND(CX392=0,CY392=0,CZ392=0),0,IF(AND(CX392=0,CY392=0),CZ392/1,IF(AND(CX392=0,CZ392=0),CY392/1,IF(AND(CY392=0,CZ392=0),CX392/1,IF(CX392=0,FLOOR((CY392+CZ392)/2,0.1),IF(CY392=0,(CX392+CZ392)/2,IF(CZ392=0,(CY392+CX392)/2,FLOOR(((CX392+CY392+CZ392)/3),0.1))))))))</f>
        <v/>
      </c>
      <c r="DB392" s="21" t="n"/>
      <c r="DC392" s="21" t="n"/>
      <c r="DD392" s="27">
        <f>SUM(DB392:DC392)</f>
        <v/>
      </c>
      <c r="DE392" s="28" t="n"/>
      <c r="DF392" s="31" t="n"/>
      <c r="DG392" s="29">
        <f>IF(AND(DD392=0,DE392=0,DF392=0),0,IF(AND(DD392=0,DE392=0),DF392/1,IF(AND(DD392=0,DF392=0),DE392/1,IF(AND(DE392=0,DF392=0),DD392/1,IF(DD392=0,FLOOR((DE392+DF392)/2,0.1),IF(DE392=0,(DD392+DF392)/2,IF(DF392=0,(DE392+DD392)/2,FLOOR(((DD392+DE392+DF392)/3),0.1))))))))</f>
        <v/>
      </c>
      <c r="DH392" s="34">
        <f>SUM(O392,U392,AA392,AG392,AM392,AS392,AY392,BE392,BK392,BQ392,BW392,CC392,CI392,CO392,CU392,DA392,DG392)</f>
        <v/>
      </c>
      <c r="DI392" s="39">
        <f>RANK(DH392,DH$4:DH$503)</f>
        <v/>
      </c>
      <c r="DJ392" s="40" t="inlineStr">
        <is>
          <t>CHOOSE RATING</t>
        </is>
      </c>
      <c r="DK392" s="40" t="inlineStr">
        <is>
          <t>CHOOSE RATING</t>
        </is>
      </c>
      <c r="DL392" s="40" t="inlineStr">
        <is>
          <t>CHOOSE RATING</t>
        </is>
      </c>
      <c r="DM392" s="40" t="inlineStr">
        <is>
          <t>CHOOSE RATING</t>
        </is>
      </c>
      <c r="DN392" s="40" t="inlineStr">
        <is>
          <t>CHOOSE RATING</t>
        </is>
      </c>
      <c r="DO392" s="40" t="inlineStr">
        <is>
          <t>CHOOSE RATING</t>
        </is>
      </c>
      <c r="DP392" s="40" t="inlineStr">
        <is>
          <t>CHOOSE RATING</t>
        </is>
      </c>
      <c r="DQ392" s="40" t="inlineStr">
        <is>
          <t>CHOOSE RATING</t>
        </is>
      </c>
      <c r="DR392" s="43" t="inlineStr">
        <is>
          <t>2024/2025</t>
        </is>
      </c>
      <c r="DS392" s="45" t="inlineStr">
        <is>
          <t>THIRD</t>
        </is>
      </c>
      <c r="DT392" s="40" t="inlineStr">
        <is>
          <t>CHOOSE RATING</t>
        </is>
      </c>
      <c r="DU392" s="40" t="inlineStr">
        <is>
          <t>CHOOSE RATING</t>
        </is>
      </c>
      <c r="DV392" s="40" t="inlineStr">
        <is>
          <t>CHOOSE RATING</t>
        </is>
      </c>
      <c r="DW392" s="40" t="inlineStr">
        <is>
          <t>CHOOSE RATING</t>
        </is>
      </c>
      <c r="DX392" s="40" t="inlineStr">
        <is>
          <t>CHOOSE RATING</t>
        </is>
      </c>
      <c r="DY392" s="40" t="inlineStr">
        <is>
          <t>CHOOSE RATING</t>
        </is>
      </c>
      <c r="DZ392" s="53" t="inlineStr">
        <is>
          <t>CHOOSE RATING</t>
        </is>
      </c>
      <c r="EA392" s="54" t="inlineStr">
        <is>
          <t>Add the Tutor's Comment . . .</t>
        </is>
      </c>
      <c r="EB392" s="55" t="inlineStr">
        <is>
          <t>Choose Principals comment</t>
        </is>
      </c>
      <c r="EC392" s="56" t="n"/>
      <c r="ED392" s="57" t="inlineStr">
        <is>
          <t>Next Term Begins on Monday, 22nd September, 2025</t>
        </is>
      </c>
    </row>
    <row r="393" ht="30.6" customHeight="1" s="6">
      <c r="A393" s="18" t="n">
        <v>390</v>
      </c>
      <c r="B393" s="19" t="n"/>
      <c r="C393" s="20" t="n"/>
      <c r="D393" s="128" t="n"/>
      <c r="E393" s="21" t="n"/>
      <c r="F393" s="22" t="n"/>
      <c r="G393" s="22" t="n"/>
      <c r="H393" s="22" t="n"/>
      <c r="I393" s="26">
        <f>G393-H393</f>
        <v/>
      </c>
      <c r="J393" s="21" t="n"/>
      <c r="K393" s="21" t="n"/>
      <c r="L393" s="27">
        <f>SUM(J393:K393)</f>
        <v/>
      </c>
      <c r="M393" s="28" t="n"/>
      <c r="N393" s="28" t="n"/>
      <c r="O393" s="29">
        <f>IF(AND(L393=0,M393=0,N393=0),0,IF(AND(L393=0,M393=0),N393/1,IF(AND(L393=0,N393=0),M393/1,IF(AND(M393=0,N393=0),L393/1,IF(L393=0,FLOOR((M393+N393)/2,0.1),IF(M393=0,(L393+N393)/2,IF(N393=0,(M393+L393)/2,FLOOR(((L393+M393+N393)/3),0.1))))))))</f>
        <v/>
      </c>
      <c r="P393" s="21" t="n"/>
      <c r="Q393" s="21" t="n"/>
      <c r="R393" s="27">
        <f>SUM(P393:Q393)</f>
        <v/>
      </c>
      <c r="S393" s="28" t="n"/>
      <c r="T393" s="28" t="n"/>
      <c r="U393" s="29">
        <f>IF(AND(R393=0,S393=0,T393=0),0,IF(AND(R393=0,S393=0),T393/1,IF(AND(R393=0,T393=0),S393/1,IF(AND(S393=0,T393=0),R393/1,IF(R393=0,FLOOR((S393+T393)/2,0.1),IF(S393=0,(R393+T393)/2,IF(T393=0,(S393+R393)/2,FLOOR(((R393+S393+T393)/3),0.1))))))))</f>
        <v/>
      </c>
      <c r="V393" s="21" t="n"/>
      <c r="W393" s="21" t="n"/>
      <c r="X393" s="27">
        <f>SUM(V393:W393)</f>
        <v/>
      </c>
      <c r="Y393" s="28" t="n"/>
      <c r="Z393" s="28" t="n"/>
      <c r="AA393" s="29">
        <f>IF(AND(X393=0,Y393=0,Z393=0),0,IF(AND(X393=0,Y393=0),Z393/1,IF(AND(X393=0,Z393=0),Y393/1,IF(AND(Y393=0,Z393=0),X393/1,IF(X393=0,FLOOR((Y393+Z393)/2,0.1),IF(Y393=0,(X393+Z393)/2,IF(Z393=0,(Y393+X393)/2,FLOOR(((X393+Y393+Z393)/3),0.1))))))))</f>
        <v/>
      </c>
      <c r="AB393" s="21" t="n"/>
      <c r="AC393" s="21" t="n"/>
      <c r="AD393" s="27">
        <f>SUM(AB393:AC393)</f>
        <v/>
      </c>
      <c r="AE393" s="28" t="n"/>
      <c r="AF393" s="28" t="n"/>
      <c r="AG393" s="29">
        <f>IF(AND(AD393=0,AE393=0,AF393=0),0,IF(AND(AD393=0,AE393=0),AF393/1,IF(AND(AD393=0,AF393=0),AE393/1,IF(AND(AE393=0,AF393=0),AD393/1,IF(AD393=0,FLOOR((AE393+AF393)/2,0.1),IF(AE393=0,(AD393+AF393)/2,IF(AF393=0,(AE393+AD393)/2,FLOOR(((AD393+AE393+AF393)/3),0.1))))))))</f>
        <v/>
      </c>
      <c r="AH393" s="21" t="n"/>
      <c r="AI393" s="21" t="n"/>
      <c r="AJ393" s="27">
        <f>SUM(AH393:AI393)</f>
        <v/>
      </c>
      <c r="AK393" s="28" t="n"/>
      <c r="AL393" s="28" t="n"/>
      <c r="AM393" s="29">
        <f>IF(AND(AJ393=0,AK393=0,AL393=0),0,IF(AND(AJ393=0,AK393=0),AL393/1,IF(AND(AJ393=0,AL393=0),AK393/1,IF(AND(AK393=0,AL393=0),AJ393/1,IF(AJ393=0,FLOOR((AK393+AL393)/2,0.1),IF(AK393=0,(AJ393+AL393)/2,IF(AL393=0,(AK393+AJ393)/2,FLOOR(((AJ393+AK393+AL393)/3),0.1))))))))</f>
        <v/>
      </c>
      <c r="AN393" s="21" t="n"/>
      <c r="AO393" s="21" t="n"/>
      <c r="AP393" s="27">
        <f>SUM(AN393:AO393)</f>
        <v/>
      </c>
      <c r="AQ393" s="28" t="n"/>
      <c r="AR393" s="30" t="n"/>
      <c r="AS393" s="29">
        <f>IF(AND(AP393=0,AQ393=0,AR393=0),0,IF(AND(AP393=0,AQ393=0),AR393/1,IF(AND(AP393=0,AR393=0),AQ393/1,IF(AND(AQ393=0,AR393=0),AP393/1,IF(AP393=0,FLOOR((AQ393+AR393)/2,0.1),IF(AQ393=0,(AP393+AR393)/2,IF(AR393=0,(AQ393+AP393)/2,FLOOR(((AP393+AQ393+AR393)/3),0.1))))))))</f>
        <v/>
      </c>
      <c r="AT393" s="21" t="n"/>
      <c r="AU393" s="21" t="n"/>
      <c r="AV393" s="27">
        <f>SUM(AT393:AU393)</f>
        <v/>
      </c>
      <c r="AW393" s="28" t="n"/>
      <c r="AX393" s="30" t="n"/>
      <c r="AY393" s="29">
        <f>IF(AND(AV393=0,AW393=0,AX393=0),0,IF(AND(AV393=0,AW393=0),AX393/1,IF(AND(AV393=0,AX393=0),AW393/1,IF(AND(AW393=0,AX393=0),AV393/1,IF(AV393=0,FLOOR((AW393+AX393)/2,0.1),IF(AW393=0,(AV393+AX393)/2,IF(AX393=0,(AW393+AV393)/2,FLOOR(((AV393+AW393+AX393)/3),0.1))))))))</f>
        <v/>
      </c>
      <c r="AZ393" s="21" t="n"/>
      <c r="BA393" s="21" t="n"/>
      <c r="BB393" s="27">
        <f>SUM(AZ393:BA393)</f>
        <v/>
      </c>
      <c r="BC393" s="28" t="n"/>
      <c r="BD393" s="28" t="n"/>
      <c r="BE393" s="29">
        <f>IF(AND(BB393=0,BC393=0,BD393=0),0,IF(AND(BB393=0,BC393=0),BD393/1,IF(AND(BB393=0,BD393=0),BC393/1,IF(AND(BC393=0,BD393=0),BB393/1,IF(BB393=0,FLOOR((BC393+BD393)/2,0.1),IF(BC393=0,(BB393+BD393)/2,IF(BD393=0,(BC393+BB393)/2,FLOOR(((BB393+BC393+BD393)/3),0.1))))))))</f>
        <v/>
      </c>
      <c r="BF393" s="21" t="n"/>
      <c r="BG393" s="21" t="n"/>
      <c r="BH393" s="27">
        <f>SUM(BF393:BG393)</f>
        <v/>
      </c>
      <c r="BI393" s="28" t="n"/>
      <c r="BJ393" s="28" t="n"/>
      <c r="BK393" s="29">
        <f>IF(AND(BH393=0,BI393=0,BJ393=0),0,IF(AND(BH393=0,BI393=0),BJ393/1,IF(AND(BH393=0,BJ393=0),BI393/1,IF(AND(BI393=0,BJ393=0),BH393/1,IF(BH393=0,FLOOR((BI393+BJ393)/2,0.1),IF(BI393=0,(BH393+BJ393)/2,IF(BJ393=0,(BI393+BH393)/2,FLOOR(((BH393+BI393+BJ393)/3),0.1))))))))</f>
        <v/>
      </c>
      <c r="BL393" s="21" t="n"/>
      <c r="BM393" s="21" t="n"/>
      <c r="BN393" s="27">
        <f>SUM(BL393:BM393)</f>
        <v/>
      </c>
      <c r="BO393" s="28" t="n"/>
      <c r="BP393" s="31" t="n"/>
      <c r="BQ393" s="29">
        <f>IF(AND(BN393=0,BO393=0,BP393=0),0,IF(AND(BN393=0,BO393=0),BP393/1,IF(AND(BN393=0,BP393=0),BO393/1,IF(AND(BO393=0,BP393=0),BN393/1,IF(BN393=0,FLOOR((BO393+BP393)/2,0.1),IF(BO393=0,(BN393+BP393)/2,IF(BP393=0,(BO393+BN393)/2,FLOOR(((BN393+BO393+BP393)/3),0.1))))))))</f>
        <v/>
      </c>
      <c r="BR393" s="21" t="n"/>
      <c r="BS393" s="21" t="n"/>
      <c r="BT393" s="27">
        <f>SUM(BR393:BS393)</f>
        <v/>
      </c>
      <c r="BU393" s="28" t="n"/>
      <c r="BV393" s="31" t="n"/>
      <c r="BW393" s="29">
        <f>IF(AND(BT393=0,BU393=0,BV393=0),0,IF(AND(BT393=0,BU393=0),BV393/1,IF(AND(BT393=0,BV393=0),BU393/1,IF(AND(BU393=0,BV393=0),BT393/1,IF(BT393=0,FLOOR((BU393+BV393)/2,0.1),IF(BU393=0,(BT393+BV393)/2,IF(BV393=0,(BU393+BT393)/2,FLOOR(((BT393+BU393+BV393)/3),0.1))))))))</f>
        <v/>
      </c>
      <c r="BX393" s="21" t="n"/>
      <c r="BY393" s="21" t="n"/>
      <c r="BZ393" s="27">
        <f>SUM(BX393:BY393)</f>
        <v/>
      </c>
      <c r="CA393" s="28" t="n"/>
      <c r="CB393" s="31" t="n"/>
      <c r="CC393" s="29">
        <f>IF(AND(BZ393=0,CA393=0,CB393=0),0,IF(AND(BZ393=0,CA393=0),CB393/1,IF(AND(BZ393=0,CB393=0),CA393/1,IF(AND(CA393=0,CB393=0),BZ393/1,IF(BZ393=0,FLOOR((CA393+CB393)/2,0.1),IF(CA393=0,(BZ393+CB393)/2,IF(CB393=0,(CA393+BZ393)/2,FLOOR(((BZ393+CA393+CB393)/3),0.1))))))))</f>
        <v/>
      </c>
      <c r="CD393" s="21" t="n"/>
      <c r="CE393" s="21" t="n"/>
      <c r="CF393" s="27">
        <f>SUM(CD393:CE393)</f>
        <v/>
      </c>
      <c r="CG393" s="28" t="n"/>
      <c r="CH393" s="31" t="n"/>
      <c r="CI393" s="29">
        <f>IF(AND(CF393=0,CG393=0,CH393=0),0,IF(AND(CF393=0,CG393=0),CH393/1,IF(AND(CF393=0,CH393=0),CG393/1,IF(AND(CG393=0,CH393=0),CF393/1,IF(CF393=0,FLOOR((CG393+CH393)/2,0.1),IF(CG393=0,(CF393+CH393)/2,IF(CH393=0,(CG393+CF393)/2,FLOOR(((CF393+CG393+CH393)/3),0.1))))))))</f>
        <v/>
      </c>
      <c r="CJ393" s="21" t="n"/>
      <c r="CK393" s="21" t="n"/>
      <c r="CL393" s="27">
        <f>SUM(CJ393:CK393)</f>
        <v/>
      </c>
      <c r="CM393" s="28" t="n"/>
      <c r="CN393" s="31" t="n"/>
      <c r="CO393" s="29">
        <f>IF(AND(CL393=0,CM393=0,CN393=0),0,IF(AND(CL393=0,CM393=0),CN393/1,IF(AND(CL393=0,CN393=0),CM393/1,IF(AND(CM393=0,CN393=0),CL393/1,IF(CL393=0,FLOOR((CM393+CN393)/2,0.1),IF(CM393=0,(CL393+CN393)/2,IF(CN393=0,(CM393+CL393)/2,FLOOR(((CL393+CM393+CN393)/3),0.1))))))))</f>
        <v/>
      </c>
      <c r="CP393" s="21" t="n"/>
      <c r="CQ393" s="21" t="n"/>
      <c r="CR393" s="27">
        <f>SUM(CP393:CQ393)</f>
        <v/>
      </c>
      <c r="CS393" s="28" t="n"/>
      <c r="CT393" s="31" t="n"/>
      <c r="CU393" s="29">
        <f>IF(AND(CR393=0,CS393=0,CT393=0),0,IF(AND(CR393=0,CS393=0),CT393/1,IF(AND(CR393=0,CT393=0),CS393/1,IF(AND(CS393=0,CT393=0),CR393/1,IF(CR393=0,FLOOR((CS393+CT393)/2,0.1),IF(CS393=0,(CR393+CT393)/2,IF(CT393=0,(CS393+CR393)/2,FLOOR(((CR393+CS393+CT393)/3),0.1))))))))</f>
        <v/>
      </c>
      <c r="CV393" s="21" t="n"/>
      <c r="CW393" s="21" t="n"/>
      <c r="CX393" s="27">
        <f>SUM(CV393:CW393)</f>
        <v/>
      </c>
      <c r="CY393" s="28" t="n"/>
      <c r="CZ393" s="31" t="n"/>
      <c r="DA393" s="29">
        <f>IF(AND(CX393=0,CY393=0,CZ393=0),0,IF(AND(CX393=0,CY393=0),CZ393/1,IF(AND(CX393=0,CZ393=0),CY393/1,IF(AND(CY393=0,CZ393=0),CX393/1,IF(CX393=0,FLOOR((CY393+CZ393)/2,0.1),IF(CY393=0,(CX393+CZ393)/2,IF(CZ393=0,(CY393+CX393)/2,FLOOR(((CX393+CY393+CZ393)/3),0.1))))))))</f>
        <v/>
      </c>
      <c r="DB393" s="21" t="n"/>
      <c r="DC393" s="21" t="n"/>
      <c r="DD393" s="27">
        <f>SUM(DB393:DC393)</f>
        <v/>
      </c>
      <c r="DE393" s="28" t="n"/>
      <c r="DF393" s="31" t="n"/>
      <c r="DG393" s="29">
        <f>IF(AND(DD393=0,DE393=0,DF393=0),0,IF(AND(DD393=0,DE393=0),DF393/1,IF(AND(DD393=0,DF393=0),DE393/1,IF(AND(DE393=0,DF393=0),DD393/1,IF(DD393=0,FLOOR((DE393+DF393)/2,0.1),IF(DE393=0,(DD393+DF393)/2,IF(DF393=0,(DE393+DD393)/2,FLOOR(((DD393+DE393+DF393)/3),0.1))))))))</f>
        <v/>
      </c>
      <c r="DH393" s="34">
        <f>SUM(O393,U393,AA393,AG393,AM393,AS393,AY393,BE393,BK393,BQ393,BW393,CC393,CI393,CO393,CU393,DA393,DG393)</f>
        <v/>
      </c>
      <c r="DI393" s="39">
        <f>RANK(DH393,DH$4:DH$503)</f>
        <v/>
      </c>
      <c r="DJ393" s="40" t="inlineStr">
        <is>
          <t>CHOOSE RATING</t>
        </is>
      </c>
      <c r="DK393" s="40" t="inlineStr">
        <is>
          <t>CHOOSE RATING</t>
        </is>
      </c>
      <c r="DL393" s="40" t="inlineStr">
        <is>
          <t>CHOOSE RATING</t>
        </is>
      </c>
      <c r="DM393" s="40" t="inlineStr">
        <is>
          <t>CHOOSE RATING</t>
        </is>
      </c>
      <c r="DN393" s="40" t="inlineStr">
        <is>
          <t>CHOOSE RATING</t>
        </is>
      </c>
      <c r="DO393" s="40" t="inlineStr">
        <is>
          <t>CHOOSE RATING</t>
        </is>
      </c>
      <c r="DP393" s="40" t="inlineStr">
        <is>
          <t>CHOOSE RATING</t>
        </is>
      </c>
      <c r="DQ393" s="40" t="inlineStr">
        <is>
          <t>CHOOSE RATING</t>
        </is>
      </c>
      <c r="DR393" s="43" t="inlineStr">
        <is>
          <t>2024/2025</t>
        </is>
      </c>
      <c r="DS393" s="45" t="inlineStr">
        <is>
          <t>THIRD</t>
        </is>
      </c>
      <c r="DT393" s="40" t="inlineStr">
        <is>
          <t>CHOOSE RATING</t>
        </is>
      </c>
      <c r="DU393" s="40" t="inlineStr">
        <is>
          <t>CHOOSE RATING</t>
        </is>
      </c>
      <c r="DV393" s="40" t="inlineStr">
        <is>
          <t>CHOOSE RATING</t>
        </is>
      </c>
      <c r="DW393" s="40" t="inlineStr">
        <is>
          <t>CHOOSE RATING</t>
        </is>
      </c>
      <c r="DX393" s="40" t="inlineStr">
        <is>
          <t>CHOOSE RATING</t>
        </is>
      </c>
      <c r="DY393" s="40" t="inlineStr">
        <is>
          <t>CHOOSE RATING</t>
        </is>
      </c>
      <c r="DZ393" s="53" t="inlineStr">
        <is>
          <t>CHOOSE RATING</t>
        </is>
      </c>
      <c r="EA393" s="54" t="inlineStr">
        <is>
          <t>Add the Tutor's Comment . . .</t>
        </is>
      </c>
      <c r="EB393" s="55" t="inlineStr">
        <is>
          <t>Choose Principals comment</t>
        </is>
      </c>
      <c r="EC393" s="56" t="n"/>
      <c r="ED393" s="57" t="inlineStr">
        <is>
          <t>Next Term Begins on Monday, 22nd September, 2025</t>
        </is>
      </c>
    </row>
    <row r="394" ht="30.6" customHeight="1" s="6">
      <c r="A394" s="18" t="n">
        <v>391</v>
      </c>
      <c r="B394" s="19" t="n"/>
      <c r="C394" s="20" t="n"/>
      <c r="D394" s="128" t="n"/>
      <c r="E394" s="21" t="n"/>
      <c r="F394" s="22" t="n"/>
      <c r="G394" s="22" t="n"/>
      <c r="H394" s="22" t="n"/>
      <c r="I394" s="26">
        <f>G394-H394</f>
        <v/>
      </c>
      <c r="J394" s="21" t="n"/>
      <c r="K394" s="21" t="n"/>
      <c r="L394" s="27">
        <f>SUM(J394:K394)</f>
        <v/>
      </c>
      <c r="M394" s="28" t="n"/>
      <c r="N394" s="28" t="n"/>
      <c r="O394" s="29">
        <f>IF(AND(L394=0,M394=0,N394=0),0,IF(AND(L394=0,M394=0),N394/1,IF(AND(L394=0,N394=0),M394/1,IF(AND(M394=0,N394=0),L394/1,IF(L394=0,FLOOR((M394+N394)/2,0.1),IF(M394=0,(L394+N394)/2,IF(N394=0,(M394+L394)/2,FLOOR(((L394+M394+N394)/3),0.1))))))))</f>
        <v/>
      </c>
      <c r="P394" s="21" t="n"/>
      <c r="Q394" s="21" t="n"/>
      <c r="R394" s="27">
        <f>SUM(P394:Q394)</f>
        <v/>
      </c>
      <c r="S394" s="28" t="n"/>
      <c r="T394" s="28" t="n"/>
      <c r="U394" s="29">
        <f>IF(AND(R394=0,S394=0,T394=0),0,IF(AND(R394=0,S394=0),T394/1,IF(AND(R394=0,T394=0),S394/1,IF(AND(S394=0,T394=0),R394/1,IF(R394=0,FLOOR((S394+T394)/2,0.1),IF(S394=0,(R394+T394)/2,IF(T394=0,(S394+R394)/2,FLOOR(((R394+S394+T394)/3),0.1))))))))</f>
        <v/>
      </c>
      <c r="V394" s="21" t="n"/>
      <c r="W394" s="21" t="n"/>
      <c r="X394" s="27">
        <f>SUM(V394:W394)</f>
        <v/>
      </c>
      <c r="Y394" s="28" t="n"/>
      <c r="Z394" s="28" t="n"/>
      <c r="AA394" s="29">
        <f>IF(AND(X394=0,Y394=0,Z394=0),0,IF(AND(X394=0,Y394=0),Z394/1,IF(AND(X394=0,Z394=0),Y394/1,IF(AND(Y394=0,Z394=0),X394/1,IF(X394=0,FLOOR((Y394+Z394)/2,0.1),IF(Y394=0,(X394+Z394)/2,IF(Z394=0,(Y394+X394)/2,FLOOR(((X394+Y394+Z394)/3),0.1))))))))</f>
        <v/>
      </c>
      <c r="AB394" s="21" t="n"/>
      <c r="AC394" s="21" t="n"/>
      <c r="AD394" s="27">
        <f>SUM(AB394:AC394)</f>
        <v/>
      </c>
      <c r="AE394" s="28" t="n"/>
      <c r="AF394" s="28" t="n"/>
      <c r="AG394" s="29">
        <f>IF(AND(AD394=0,AE394=0,AF394=0),0,IF(AND(AD394=0,AE394=0),AF394/1,IF(AND(AD394=0,AF394=0),AE394/1,IF(AND(AE394=0,AF394=0),AD394/1,IF(AD394=0,FLOOR((AE394+AF394)/2,0.1),IF(AE394=0,(AD394+AF394)/2,IF(AF394=0,(AE394+AD394)/2,FLOOR(((AD394+AE394+AF394)/3),0.1))))))))</f>
        <v/>
      </c>
      <c r="AH394" s="21" t="n"/>
      <c r="AI394" s="21" t="n"/>
      <c r="AJ394" s="27">
        <f>SUM(AH394:AI394)</f>
        <v/>
      </c>
      <c r="AK394" s="28" t="n"/>
      <c r="AL394" s="28" t="n"/>
      <c r="AM394" s="29">
        <f>IF(AND(AJ394=0,AK394=0,AL394=0),0,IF(AND(AJ394=0,AK394=0),AL394/1,IF(AND(AJ394=0,AL394=0),AK394/1,IF(AND(AK394=0,AL394=0),AJ394/1,IF(AJ394=0,FLOOR((AK394+AL394)/2,0.1),IF(AK394=0,(AJ394+AL394)/2,IF(AL394=0,(AK394+AJ394)/2,FLOOR(((AJ394+AK394+AL394)/3),0.1))))))))</f>
        <v/>
      </c>
      <c r="AN394" s="21" t="n"/>
      <c r="AO394" s="21" t="n"/>
      <c r="AP394" s="27">
        <f>SUM(AN394:AO394)</f>
        <v/>
      </c>
      <c r="AQ394" s="28" t="n"/>
      <c r="AR394" s="30" t="n"/>
      <c r="AS394" s="29">
        <f>IF(AND(AP394=0,AQ394=0,AR394=0),0,IF(AND(AP394=0,AQ394=0),AR394/1,IF(AND(AP394=0,AR394=0),AQ394/1,IF(AND(AQ394=0,AR394=0),AP394/1,IF(AP394=0,FLOOR((AQ394+AR394)/2,0.1),IF(AQ394=0,(AP394+AR394)/2,IF(AR394=0,(AQ394+AP394)/2,FLOOR(((AP394+AQ394+AR394)/3),0.1))))))))</f>
        <v/>
      </c>
      <c r="AT394" s="21" t="n"/>
      <c r="AU394" s="21" t="n"/>
      <c r="AV394" s="27">
        <f>SUM(AT394:AU394)</f>
        <v/>
      </c>
      <c r="AW394" s="28" t="n"/>
      <c r="AX394" s="30" t="n"/>
      <c r="AY394" s="29">
        <f>IF(AND(AV394=0,AW394=0,AX394=0),0,IF(AND(AV394=0,AW394=0),AX394/1,IF(AND(AV394=0,AX394=0),AW394/1,IF(AND(AW394=0,AX394=0),AV394/1,IF(AV394=0,FLOOR((AW394+AX394)/2,0.1),IF(AW394=0,(AV394+AX394)/2,IF(AX394=0,(AW394+AV394)/2,FLOOR(((AV394+AW394+AX394)/3),0.1))))))))</f>
        <v/>
      </c>
      <c r="AZ394" s="21" t="n"/>
      <c r="BA394" s="21" t="n"/>
      <c r="BB394" s="27">
        <f>SUM(AZ394:BA394)</f>
        <v/>
      </c>
      <c r="BC394" s="28" t="n"/>
      <c r="BD394" s="28" t="n"/>
      <c r="BE394" s="29">
        <f>IF(AND(BB394=0,BC394=0,BD394=0),0,IF(AND(BB394=0,BC394=0),BD394/1,IF(AND(BB394=0,BD394=0),BC394/1,IF(AND(BC394=0,BD394=0),BB394/1,IF(BB394=0,FLOOR((BC394+BD394)/2,0.1),IF(BC394=0,(BB394+BD394)/2,IF(BD394=0,(BC394+BB394)/2,FLOOR(((BB394+BC394+BD394)/3),0.1))))))))</f>
        <v/>
      </c>
      <c r="BF394" s="21" t="n"/>
      <c r="BG394" s="21" t="n"/>
      <c r="BH394" s="27">
        <f>SUM(BF394:BG394)</f>
        <v/>
      </c>
      <c r="BI394" s="28" t="n"/>
      <c r="BJ394" s="28" t="n"/>
      <c r="BK394" s="29">
        <f>IF(AND(BH394=0,BI394=0,BJ394=0),0,IF(AND(BH394=0,BI394=0),BJ394/1,IF(AND(BH394=0,BJ394=0),BI394/1,IF(AND(BI394=0,BJ394=0),BH394/1,IF(BH394=0,FLOOR((BI394+BJ394)/2,0.1),IF(BI394=0,(BH394+BJ394)/2,IF(BJ394=0,(BI394+BH394)/2,FLOOR(((BH394+BI394+BJ394)/3),0.1))))))))</f>
        <v/>
      </c>
      <c r="BL394" s="21" t="n"/>
      <c r="BM394" s="21" t="n"/>
      <c r="BN394" s="27">
        <f>SUM(BL394:BM394)</f>
        <v/>
      </c>
      <c r="BO394" s="28" t="n"/>
      <c r="BP394" s="31" t="n"/>
      <c r="BQ394" s="29">
        <f>IF(AND(BN394=0,BO394=0,BP394=0),0,IF(AND(BN394=0,BO394=0),BP394/1,IF(AND(BN394=0,BP394=0),BO394/1,IF(AND(BO394=0,BP394=0),BN394/1,IF(BN394=0,FLOOR((BO394+BP394)/2,0.1),IF(BO394=0,(BN394+BP394)/2,IF(BP394=0,(BO394+BN394)/2,FLOOR(((BN394+BO394+BP394)/3),0.1))))))))</f>
        <v/>
      </c>
      <c r="BR394" s="21" t="n"/>
      <c r="BS394" s="21" t="n"/>
      <c r="BT394" s="27">
        <f>SUM(BR394:BS394)</f>
        <v/>
      </c>
      <c r="BU394" s="28" t="n"/>
      <c r="BV394" s="31" t="n"/>
      <c r="BW394" s="29">
        <f>IF(AND(BT394=0,BU394=0,BV394=0),0,IF(AND(BT394=0,BU394=0),BV394/1,IF(AND(BT394=0,BV394=0),BU394/1,IF(AND(BU394=0,BV394=0),BT394/1,IF(BT394=0,FLOOR((BU394+BV394)/2,0.1),IF(BU394=0,(BT394+BV394)/2,IF(BV394=0,(BU394+BT394)/2,FLOOR(((BT394+BU394+BV394)/3),0.1))))))))</f>
        <v/>
      </c>
      <c r="BX394" s="21" t="n"/>
      <c r="BY394" s="21" t="n"/>
      <c r="BZ394" s="27">
        <f>SUM(BX394:BY394)</f>
        <v/>
      </c>
      <c r="CA394" s="28" t="n"/>
      <c r="CB394" s="31" t="n"/>
      <c r="CC394" s="29">
        <f>IF(AND(BZ394=0,CA394=0,CB394=0),0,IF(AND(BZ394=0,CA394=0),CB394/1,IF(AND(BZ394=0,CB394=0),CA394/1,IF(AND(CA394=0,CB394=0),BZ394/1,IF(BZ394=0,FLOOR((CA394+CB394)/2,0.1),IF(CA394=0,(BZ394+CB394)/2,IF(CB394=0,(CA394+BZ394)/2,FLOOR(((BZ394+CA394+CB394)/3),0.1))))))))</f>
        <v/>
      </c>
      <c r="CD394" s="21" t="n"/>
      <c r="CE394" s="21" t="n"/>
      <c r="CF394" s="27">
        <f>SUM(CD394:CE394)</f>
        <v/>
      </c>
      <c r="CG394" s="28" t="n"/>
      <c r="CH394" s="31" t="n"/>
      <c r="CI394" s="29">
        <f>IF(AND(CF394=0,CG394=0,CH394=0),0,IF(AND(CF394=0,CG394=0),CH394/1,IF(AND(CF394=0,CH394=0),CG394/1,IF(AND(CG394=0,CH394=0),CF394/1,IF(CF394=0,FLOOR((CG394+CH394)/2,0.1),IF(CG394=0,(CF394+CH394)/2,IF(CH394=0,(CG394+CF394)/2,FLOOR(((CF394+CG394+CH394)/3),0.1))))))))</f>
        <v/>
      </c>
      <c r="CJ394" s="21" t="n"/>
      <c r="CK394" s="21" t="n"/>
      <c r="CL394" s="27">
        <f>SUM(CJ394:CK394)</f>
        <v/>
      </c>
      <c r="CM394" s="28" t="n"/>
      <c r="CN394" s="31" t="n"/>
      <c r="CO394" s="29">
        <f>IF(AND(CL394=0,CM394=0,CN394=0),0,IF(AND(CL394=0,CM394=0),CN394/1,IF(AND(CL394=0,CN394=0),CM394/1,IF(AND(CM394=0,CN394=0),CL394/1,IF(CL394=0,FLOOR((CM394+CN394)/2,0.1),IF(CM394=0,(CL394+CN394)/2,IF(CN394=0,(CM394+CL394)/2,FLOOR(((CL394+CM394+CN394)/3),0.1))))))))</f>
        <v/>
      </c>
      <c r="CP394" s="21" t="n"/>
      <c r="CQ394" s="21" t="n"/>
      <c r="CR394" s="27">
        <f>SUM(CP394:CQ394)</f>
        <v/>
      </c>
      <c r="CS394" s="28" t="n"/>
      <c r="CT394" s="31" t="n"/>
      <c r="CU394" s="29">
        <f>IF(AND(CR394=0,CS394=0,CT394=0),0,IF(AND(CR394=0,CS394=0),CT394/1,IF(AND(CR394=0,CT394=0),CS394/1,IF(AND(CS394=0,CT394=0),CR394/1,IF(CR394=0,FLOOR((CS394+CT394)/2,0.1),IF(CS394=0,(CR394+CT394)/2,IF(CT394=0,(CS394+CR394)/2,FLOOR(((CR394+CS394+CT394)/3),0.1))))))))</f>
        <v/>
      </c>
      <c r="CV394" s="21" t="n"/>
      <c r="CW394" s="21" t="n"/>
      <c r="CX394" s="27">
        <f>SUM(CV394:CW394)</f>
        <v/>
      </c>
      <c r="CY394" s="28" t="n"/>
      <c r="CZ394" s="31" t="n"/>
      <c r="DA394" s="29">
        <f>IF(AND(CX394=0,CY394=0,CZ394=0),0,IF(AND(CX394=0,CY394=0),CZ394/1,IF(AND(CX394=0,CZ394=0),CY394/1,IF(AND(CY394=0,CZ394=0),CX394/1,IF(CX394=0,FLOOR((CY394+CZ394)/2,0.1),IF(CY394=0,(CX394+CZ394)/2,IF(CZ394=0,(CY394+CX394)/2,FLOOR(((CX394+CY394+CZ394)/3),0.1))))))))</f>
        <v/>
      </c>
      <c r="DB394" s="21" t="n"/>
      <c r="DC394" s="21" t="n"/>
      <c r="DD394" s="27">
        <f>SUM(DB394:DC394)</f>
        <v/>
      </c>
      <c r="DE394" s="28" t="n"/>
      <c r="DF394" s="31" t="n"/>
      <c r="DG394" s="29">
        <f>IF(AND(DD394=0,DE394=0,DF394=0),0,IF(AND(DD394=0,DE394=0),DF394/1,IF(AND(DD394=0,DF394=0),DE394/1,IF(AND(DE394=0,DF394=0),DD394/1,IF(DD394=0,FLOOR((DE394+DF394)/2,0.1),IF(DE394=0,(DD394+DF394)/2,IF(DF394=0,(DE394+DD394)/2,FLOOR(((DD394+DE394+DF394)/3),0.1))))))))</f>
        <v/>
      </c>
      <c r="DH394" s="34">
        <f>SUM(O394,U394,AA394,AG394,AM394,AS394,AY394,BE394,BK394,BQ394,BW394,CC394,CI394,CO394,CU394,DA394,DG394)</f>
        <v/>
      </c>
      <c r="DI394" s="39">
        <f>RANK(DH394,DH$4:DH$503)</f>
        <v/>
      </c>
      <c r="DJ394" s="40" t="inlineStr">
        <is>
          <t>CHOOSE RATING</t>
        </is>
      </c>
      <c r="DK394" s="40" t="inlineStr">
        <is>
          <t>CHOOSE RATING</t>
        </is>
      </c>
      <c r="DL394" s="40" t="inlineStr">
        <is>
          <t>CHOOSE RATING</t>
        </is>
      </c>
      <c r="DM394" s="40" t="inlineStr">
        <is>
          <t>CHOOSE RATING</t>
        </is>
      </c>
      <c r="DN394" s="40" t="inlineStr">
        <is>
          <t>CHOOSE RATING</t>
        </is>
      </c>
      <c r="DO394" s="40" t="inlineStr">
        <is>
          <t>CHOOSE RATING</t>
        </is>
      </c>
      <c r="DP394" s="40" t="inlineStr">
        <is>
          <t>CHOOSE RATING</t>
        </is>
      </c>
      <c r="DQ394" s="40" t="inlineStr">
        <is>
          <t>CHOOSE RATING</t>
        </is>
      </c>
      <c r="DR394" s="43" t="inlineStr">
        <is>
          <t>2024/2025</t>
        </is>
      </c>
      <c r="DS394" s="45" t="inlineStr">
        <is>
          <t>THIRD</t>
        </is>
      </c>
      <c r="DT394" s="40" t="inlineStr">
        <is>
          <t>CHOOSE RATING</t>
        </is>
      </c>
      <c r="DU394" s="40" t="inlineStr">
        <is>
          <t>CHOOSE RATING</t>
        </is>
      </c>
      <c r="DV394" s="40" t="inlineStr">
        <is>
          <t>CHOOSE RATING</t>
        </is>
      </c>
      <c r="DW394" s="40" t="inlineStr">
        <is>
          <t>CHOOSE RATING</t>
        </is>
      </c>
      <c r="DX394" s="40" t="inlineStr">
        <is>
          <t>CHOOSE RATING</t>
        </is>
      </c>
      <c r="DY394" s="40" t="inlineStr">
        <is>
          <t>CHOOSE RATING</t>
        </is>
      </c>
      <c r="DZ394" s="53" t="inlineStr">
        <is>
          <t>CHOOSE RATING</t>
        </is>
      </c>
      <c r="EA394" s="54" t="inlineStr">
        <is>
          <t>Add the Tutor's Comment . . .</t>
        </is>
      </c>
      <c r="EB394" s="55" t="inlineStr">
        <is>
          <t>Choose Principals comment</t>
        </is>
      </c>
      <c r="EC394" s="56" t="n"/>
      <c r="ED394" s="57" t="inlineStr">
        <is>
          <t>Next Term Begins on Monday, 22nd September, 2025</t>
        </is>
      </c>
    </row>
    <row r="395" ht="30.6" customHeight="1" s="6">
      <c r="A395" s="18" t="n">
        <v>392</v>
      </c>
      <c r="B395" s="19" t="n"/>
      <c r="C395" s="20" t="n"/>
      <c r="D395" s="128" t="n"/>
      <c r="E395" s="21" t="n"/>
      <c r="F395" s="22" t="n"/>
      <c r="G395" s="22" t="n"/>
      <c r="H395" s="22" t="n"/>
      <c r="I395" s="26">
        <f>G395-H395</f>
        <v/>
      </c>
      <c r="J395" s="21" t="n"/>
      <c r="K395" s="21" t="n"/>
      <c r="L395" s="27">
        <f>SUM(J395:K395)</f>
        <v/>
      </c>
      <c r="M395" s="28" t="n"/>
      <c r="N395" s="28" t="n"/>
      <c r="O395" s="29">
        <f>IF(AND(L395=0,M395=0,N395=0),0,IF(AND(L395=0,M395=0),N395/1,IF(AND(L395=0,N395=0),M395/1,IF(AND(M395=0,N395=0),L395/1,IF(L395=0,FLOOR((M395+N395)/2,0.1),IF(M395=0,(L395+N395)/2,IF(N395=0,(M395+L395)/2,FLOOR(((L395+M395+N395)/3),0.1))))))))</f>
        <v/>
      </c>
      <c r="P395" s="21" t="n"/>
      <c r="Q395" s="21" t="n"/>
      <c r="R395" s="27">
        <f>SUM(P395:Q395)</f>
        <v/>
      </c>
      <c r="S395" s="28" t="n"/>
      <c r="T395" s="28" t="n"/>
      <c r="U395" s="29">
        <f>IF(AND(R395=0,S395=0,T395=0),0,IF(AND(R395=0,S395=0),T395/1,IF(AND(R395=0,T395=0),S395/1,IF(AND(S395=0,T395=0),R395/1,IF(R395=0,FLOOR((S395+T395)/2,0.1),IF(S395=0,(R395+T395)/2,IF(T395=0,(S395+R395)/2,FLOOR(((R395+S395+T395)/3),0.1))))))))</f>
        <v/>
      </c>
      <c r="V395" s="21" t="n"/>
      <c r="W395" s="21" t="n"/>
      <c r="X395" s="27">
        <f>SUM(V395:W395)</f>
        <v/>
      </c>
      <c r="Y395" s="28" t="n"/>
      <c r="Z395" s="28" t="n"/>
      <c r="AA395" s="29">
        <f>IF(AND(X395=0,Y395=0,Z395=0),0,IF(AND(X395=0,Y395=0),Z395/1,IF(AND(X395=0,Z395=0),Y395/1,IF(AND(Y395=0,Z395=0),X395/1,IF(X395=0,FLOOR((Y395+Z395)/2,0.1),IF(Y395=0,(X395+Z395)/2,IF(Z395=0,(Y395+X395)/2,FLOOR(((X395+Y395+Z395)/3),0.1))))))))</f>
        <v/>
      </c>
      <c r="AB395" s="21" t="n"/>
      <c r="AC395" s="21" t="n"/>
      <c r="AD395" s="27">
        <f>SUM(AB395:AC395)</f>
        <v/>
      </c>
      <c r="AE395" s="28" t="n"/>
      <c r="AF395" s="28" t="n"/>
      <c r="AG395" s="29">
        <f>IF(AND(AD395=0,AE395=0,AF395=0),0,IF(AND(AD395=0,AE395=0),AF395/1,IF(AND(AD395=0,AF395=0),AE395/1,IF(AND(AE395=0,AF395=0),AD395/1,IF(AD395=0,FLOOR((AE395+AF395)/2,0.1),IF(AE395=0,(AD395+AF395)/2,IF(AF395=0,(AE395+AD395)/2,FLOOR(((AD395+AE395+AF395)/3),0.1))))))))</f>
        <v/>
      </c>
      <c r="AH395" s="21" t="n"/>
      <c r="AI395" s="21" t="n"/>
      <c r="AJ395" s="27">
        <f>SUM(AH395:AI395)</f>
        <v/>
      </c>
      <c r="AK395" s="28" t="n"/>
      <c r="AL395" s="28" t="n"/>
      <c r="AM395" s="29">
        <f>IF(AND(AJ395=0,AK395=0,AL395=0),0,IF(AND(AJ395=0,AK395=0),AL395/1,IF(AND(AJ395=0,AL395=0),AK395/1,IF(AND(AK395=0,AL395=0),AJ395/1,IF(AJ395=0,FLOOR((AK395+AL395)/2,0.1),IF(AK395=0,(AJ395+AL395)/2,IF(AL395=0,(AK395+AJ395)/2,FLOOR(((AJ395+AK395+AL395)/3),0.1))))))))</f>
        <v/>
      </c>
      <c r="AN395" s="21" t="n"/>
      <c r="AO395" s="21" t="n"/>
      <c r="AP395" s="27">
        <f>SUM(AN395:AO395)</f>
        <v/>
      </c>
      <c r="AQ395" s="28" t="n"/>
      <c r="AR395" s="30" t="n"/>
      <c r="AS395" s="29">
        <f>IF(AND(AP395=0,AQ395=0,AR395=0),0,IF(AND(AP395=0,AQ395=0),AR395/1,IF(AND(AP395=0,AR395=0),AQ395/1,IF(AND(AQ395=0,AR395=0),AP395/1,IF(AP395=0,FLOOR((AQ395+AR395)/2,0.1),IF(AQ395=0,(AP395+AR395)/2,IF(AR395=0,(AQ395+AP395)/2,FLOOR(((AP395+AQ395+AR395)/3),0.1))))))))</f>
        <v/>
      </c>
      <c r="AT395" s="21" t="n"/>
      <c r="AU395" s="21" t="n"/>
      <c r="AV395" s="27">
        <f>SUM(AT395:AU395)</f>
        <v/>
      </c>
      <c r="AW395" s="28" t="n"/>
      <c r="AX395" s="30" t="n"/>
      <c r="AY395" s="29">
        <f>IF(AND(AV395=0,AW395=0,AX395=0),0,IF(AND(AV395=0,AW395=0),AX395/1,IF(AND(AV395=0,AX395=0),AW395/1,IF(AND(AW395=0,AX395=0),AV395/1,IF(AV395=0,FLOOR((AW395+AX395)/2,0.1),IF(AW395=0,(AV395+AX395)/2,IF(AX395=0,(AW395+AV395)/2,FLOOR(((AV395+AW395+AX395)/3),0.1))))))))</f>
        <v/>
      </c>
      <c r="AZ395" s="21" t="n"/>
      <c r="BA395" s="21" t="n"/>
      <c r="BB395" s="27">
        <f>SUM(AZ395:BA395)</f>
        <v/>
      </c>
      <c r="BC395" s="28" t="n"/>
      <c r="BD395" s="28" t="n"/>
      <c r="BE395" s="29">
        <f>IF(AND(BB395=0,BC395=0,BD395=0),0,IF(AND(BB395=0,BC395=0),BD395/1,IF(AND(BB395=0,BD395=0),BC395/1,IF(AND(BC395=0,BD395=0),BB395/1,IF(BB395=0,FLOOR((BC395+BD395)/2,0.1),IF(BC395=0,(BB395+BD395)/2,IF(BD395=0,(BC395+BB395)/2,FLOOR(((BB395+BC395+BD395)/3),0.1))))))))</f>
        <v/>
      </c>
      <c r="BF395" s="21" t="n"/>
      <c r="BG395" s="21" t="n"/>
      <c r="BH395" s="27">
        <f>SUM(BF395:BG395)</f>
        <v/>
      </c>
      <c r="BI395" s="28" t="n"/>
      <c r="BJ395" s="28" t="n"/>
      <c r="BK395" s="29">
        <f>IF(AND(BH395=0,BI395=0,BJ395=0),0,IF(AND(BH395=0,BI395=0),BJ395/1,IF(AND(BH395=0,BJ395=0),BI395/1,IF(AND(BI395=0,BJ395=0),BH395/1,IF(BH395=0,FLOOR((BI395+BJ395)/2,0.1),IF(BI395=0,(BH395+BJ395)/2,IF(BJ395=0,(BI395+BH395)/2,FLOOR(((BH395+BI395+BJ395)/3),0.1))))))))</f>
        <v/>
      </c>
      <c r="BL395" s="21" t="n"/>
      <c r="BM395" s="21" t="n"/>
      <c r="BN395" s="27">
        <f>SUM(BL395:BM395)</f>
        <v/>
      </c>
      <c r="BO395" s="28" t="n"/>
      <c r="BP395" s="31" t="n"/>
      <c r="BQ395" s="29">
        <f>IF(AND(BN395=0,BO395=0,BP395=0),0,IF(AND(BN395=0,BO395=0),BP395/1,IF(AND(BN395=0,BP395=0),BO395/1,IF(AND(BO395=0,BP395=0),BN395/1,IF(BN395=0,FLOOR((BO395+BP395)/2,0.1),IF(BO395=0,(BN395+BP395)/2,IF(BP395=0,(BO395+BN395)/2,FLOOR(((BN395+BO395+BP395)/3),0.1))))))))</f>
        <v/>
      </c>
      <c r="BR395" s="21" t="n"/>
      <c r="BS395" s="21" t="n"/>
      <c r="BT395" s="27">
        <f>SUM(BR395:BS395)</f>
        <v/>
      </c>
      <c r="BU395" s="28" t="n"/>
      <c r="BV395" s="31" t="n"/>
      <c r="BW395" s="29">
        <f>IF(AND(BT395=0,BU395=0,BV395=0),0,IF(AND(BT395=0,BU395=0),BV395/1,IF(AND(BT395=0,BV395=0),BU395/1,IF(AND(BU395=0,BV395=0),BT395/1,IF(BT395=0,FLOOR((BU395+BV395)/2,0.1),IF(BU395=0,(BT395+BV395)/2,IF(BV395=0,(BU395+BT395)/2,FLOOR(((BT395+BU395+BV395)/3),0.1))))))))</f>
        <v/>
      </c>
      <c r="BX395" s="21" t="n"/>
      <c r="BY395" s="21" t="n"/>
      <c r="BZ395" s="27">
        <f>SUM(BX395:BY395)</f>
        <v/>
      </c>
      <c r="CA395" s="28" t="n"/>
      <c r="CB395" s="31" t="n"/>
      <c r="CC395" s="29">
        <f>IF(AND(BZ395=0,CA395=0,CB395=0),0,IF(AND(BZ395=0,CA395=0),CB395/1,IF(AND(BZ395=0,CB395=0),CA395/1,IF(AND(CA395=0,CB395=0),BZ395/1,IF(BZ395=0,FLOOR((CA395+CB395)/2,0.1),IF(CA395=0,(BZ395+CB395)/2,IF(CB395=0,(CA395+BZ395)/2,FLOOR(((BZ395+CA395+CB395)/3),0.1))))))))</f>
        <v/>
      </c>
      <c r="CD395" s="21" t="n"/>
      <c r="CE395" s="21" t="n"/>
      <c r="CF395" s="27">
        <f>SUM(CD395:CE395)</f>
        <v/>
      </c>
      <c r="CG395" s="28" t="n"/>
      <c r="CH395" s="31" t="n"/>
      <c r="CI395" s="29">
        <f>IF(AND(CF395=0,CG395=0,CH395=0),0,IF(AND(CF395=0,CG395=0),CH395/1,IF(AND(CF395=0,CH395=0),CG395/1,IF(AND(CG395=0,CH395=0),CF395/1,IF(CF395=0,FLOOR((CG395+CH395)/2,0.1),IF(CG395=0,(CF395+CH395)/2,IF(CH395=0,(CG395+CF395)/2,FLOOR(((CF395+CG395+CH395)/3),0.1))))))))</f>
        <v/>
      </c>
      <c r="CJ395" s="21" t="n"/>
      <c r="CK395" s="21" t="n"/>
      <c r="CL395" s="27">
        <f>SUM(CJ395:CK395)</f>
        <v/>
      </c>
      <c r="CM395" s="28" t="n"/>
      <c r="CN395" s="31" t="n"/>
      <c r="CO395" s="29">
        <f>IF(AND(CL395=0,CM395=0,CN395=0),0,IF(AND(CL395=0,CM395=0),CN395/1,IF(AND(CL395=0,CN395=0),CM395/1,IF(AND(CM395=0,CN395=0),CL395/1,IF(CL395=0,FLOOR((CM395+CN395)/2,0.1),IF(CM395=0,(CL395+CN395)/2,IF(CN395=0,(CM395+CL395)/2,FLOOR(((CL395+CM395+CN395)/3),0.1))))))))</f>
        <v/>
      </c>
      <c r="CP395" s="21" t="n"/>
      <c r="CQ395" s="21" t="n"/>
      <c r="CR395" s="27">
        <f>SUM(CP395:CQ395)</f>
        <v/>
      </c>
      <c r="CS395" s="28" t="n"/>
      <c r="CT395" s="31" t="n"/>
      <c r="CU395" s="29">
        <f>IF(AND(CR395=0,CS395=0,CT395=0),0,IF(AND(CR395=0,CS395=0),CT395/1,IF(AND(CR395=0,CT395=0),CS395/1,IF(AND(CS395=0,CT395=0),CR395/1,IF(CR395=0,FLOOR((CS395+CT395)/2,0.1),IF(CS395=0,(CR395+CT395)/2,IF(CT395=0,(CS395+CR395)/2,FLOOR(((CR395+CS395+CT395)/3),0.1))))))))</f>
        <v/>
      </c>
      <c r="CV395" s="21" t="n"/>
      <c r="CW395" s="21" t="n"/>
      <c r="CX395" s="27">
        <f>SUM(CV395:CW395)</f>
        <v/>
      </c>
      <c r="CY395" s="28" t="n"/>
      <c r="CZ395" s="31" t="n"/>
      <c r="DA395" s="29">
        <f>IF(AND(CX395=0,CY395=0,CZ395=0),0,IF(AND(CX395=0,CY395=0),CZ395/1,IF(AND(CX395=0,CZ395=0),CY395/1,IF(AND(CY395=0,CZ395=0),CX395/1,IF(CX395=0,FLOOR((CY395+CZ395)/2,0.1),IF(CY395=0,(CX395+CZ395)/2,IF(CZ395=0,(CY395+CX395)/2,FLOOR(((CX395+CY395+CZ395)/3),0.1))))))))</f>
        <v/>
      </c>
      <c r="DB395" s="21" t="n"/>
      <c r="DC395" s="21" t="n"/>
      <c r="DD395" s="27">
        <f>SUM(DB395:DC395)</f>
        <v/>
      </c>
      <c r="DE395" s="28" t="n"/>
      <c r="DF395" s="31" t="n"/>
      <c r="DG395" s="29">
        <f>IF(AND(DD395=0,DE395=0,DF395=0),0,IF(AND(DD395=0,DE395=0),DF395/1,IF(AND(DD395=0,DF395=0),DE395/1,IF(AND(DE395=0,DF395=0),DD395/1,IF(DD395=0,FLOOR((DE395+DF395)/2,0.1),IF(DE395=0,(DD395+DF395)/2,IF(DF395=0,(DE395+DD395)/2,FLOOR(((DD395+DE395+DF395)/3),0.1))))))))</f>
        <v/>
      </c>
      <c r="DH395" s="34">
        <f>SUM(O395,U395,AA395,AG395,AM395,AS395,AY395,BE395,BK395,BQ395,BW395,CC395,CI395,CO395,CU395,DA395,DG395)</f>
        <v/>
      </c>
      <c r="DI395" s="39">
        <f>RANK(DH395,DH$4:DH$503)</f>
        <v/>
      </c>
      <c r="DJ395" s="40" t="inlineStr">
        <is>
          <t>CHOOSE RATING</t>
        </is>
      </c>
      <c r="DK395" s="40" t="inlineStr">
        <is>
          <t>CHOOSE RATING</t>
        </is>
      </c>
      <c r="DL395" s="40" t="inlineStr">
        <is>
          <t>CHOOSE RATING</t>
        </is>
      </c>
      <c r="DM395" s="40" t="inlineStr">
        <is>
          <t>CHOOSE RATING</t>
        </is>
      </c>
      <c r="DN395" s="40" t="inlineStr">
        <is>
          <t>CHOOSE RATING</t>
        </is>
      </c>
      <c r="DO395" s="40" t="inlineStr">
        <is>
          <t>CHOOSE RATING</t>
        </is>
      </c>
      <c r="DP395" s="40" t="inlineStr">
        <is>
          <t>CHOOSE RATING</t>
        </is>
      </c>
      <c r="DQ395" s="40" t="inlineStr">
        <is>
          <t>CHOOSE RATING</t>
        </is>
      </c>
      <c r="DR395" s="43" t="inlineStr">
        <is>
          <t>2024/2025</t>
        </is>
      </c>
      <c r="DS395" s="45" t="inlineStr">
        <is>
          <t>THIRD</t>
        </is>
      </c>
      <c r="DT395" s="40" t="inlineStr">
        <is>
          <t>CHOOSE RATING</t>
        </is>
      </c>
      <c r="DU395" s="40" t="inlineStr">
        <is>
          <t>CHOOSE RATING</t>
        </is>
      </c>
      <c r="DV395" s="40" t="inlineStr">
        <is>
          <t>CHOOSE RATING</t>
        </is>
      </c>
      <c r="DW395" s="40" t="inlineStr">
        <is>
          <t>CHOOSE RATING</t>
        </is>
      </c>
      <c r="DX395" s="40" t="inlineStr">
        <is>
          <t>CHOOSE RATING</t>
        </is>
      </c>
      <c r="DY395" s="40" t="inlineStr">
        <is>
          <t>CHOOSE RATING</t>
        </is>
      </c>
      <c r="DZ395" s="53" t="inlineStr">
        <is>
          <t>CHOOSE RATING</t>
        </is>
      </c>
      <c r="EA395" s="54" t="inlineStr">
        <is>
          <t>Add the Tutor's Comment . . .</t>
        </is>
      </c>
      <c r="EB395" s="55" t="inlineStr">
        <is>
          <t>Choose Principals comment</t>
        </is>
      </c>
      <c r="EC395" s="56" t="n"/>
      <c r="ED395" s="57" t="inlineStr">
        <is>
          <t>Next Term Begins on Monday, 22nd September, 2025</t>
        </is>
      </c>
    </row>
    <row r="396" ht="30.6" customHeight="1" s="6">
      <c r="A396" s="18" t="n">
        <v>393</v>
      </c>
      <c r="B396" s="19" t="n"/>
      <c r="C396" s="20" t="n"/>
      <c r="D396" s="128" t="n"/>
      <c r="E396" s="21" t="n"/>
      <c r="F396" s="22" t="n"/>
      <c r="G396" s="22" t="n"/>
      <c r="H396" s="22" t="n"/>
      <c r="I396" s="26">
        <f>G396-H396</f>
        <v/>
      </c>
      <c r="J396" s="21" t="n"/>
      <c r="K396" s="21" t="n"/>
      <c r="L396" s="27">
        <f>SUM(J396:K396)</f>
        <v/>
      </c>
      <c r="M396" s="28" t="n"/>
      <c r="N396" s="28" t="n"/>
      <c r="O396" s="29">
        <f>IF(AND(L396=0,M396=0,N396=0),0,IF(AND(L396=0,M396=0),N396/1,IF(AND(L396=0,N396=0),M396/1,IF(AND(M396=0,N396=0),L396/1,IF(L396=0,FLOOR((M396+N396)/2,0.1),IF(M396=0,(L396+N396)/2,IF(N396=0,(M396+L396)/2,FLOOR(((L396+M396+N396)/3),0.1))))))))</f>
        <v/>
      </c>
      <c r="P396" s="21" t="n"/>
      <c r="Q396" s="21" t="n"/>
      <c r="R396" s="27">
        <f>SUM(P396:Q396)</f>
        <v/>
      </c>
      <c r="S396" s="28" t="n"/>
      <c r="T396" s="28" t="n"/>
      <c r="U396" s="29">
        <f>IF(AND(R396=0,S396=0,T396=0),0,IF(AND(R396=0,S396=0),T396/1,IF(AND(R396=0,T396=0),S396/1,IF(AND(S396=0,T396=0),R396/1,IF(R396=0,FLOOR((S396+T396)/2,0.1),IF(S396=0,(R396+T396)/2,IF(T396=0,(S396+R396)/2,FLOOR(((R396+S396+T396)/3),0.1))))))))</f>
        <v/>
      </c>
      <c r="V396" s="21" t="n"/>
      <c r="W396" s="21" t="n"/>
      <c r="X396" s="27">
        <f>SUM(V396:W396)</f>
        <v/>
      </c>
      <c r="Y396" s="28" t="n"/>
      <c r="Z396" s="28" t="n"/>
      <c r="AA396" s="29">
        <f>IF(AND(X396=0,Y396=0,Z396=0),0,IF(AND(X396=0,Y396=0),Z396/1,IF(AND(X396=0,Z396=0),Y396/1,IF(AND(Y396=0,Z396=0),X396/1,IF(X396=0,FLOOR((Y396+Z396)/2,0.1),IF(Y396=0,(X396+Z396)/2,IF(Z396=0,(Y396+X396)/2,FLOOR(((X396+Y396+Z396)/3),0.1))))))))</f>
        <v/>
      </c>
      <c r="AB396" s="21" t="n"/>
      <c r="AC396" s="21" t="n"/>
      <c r="AD396" s="27">
        <f>SUM(AB396:AC396)</f>
        <v/>
      </c>
      <c r="AE396" s="28" t="n"/>
      <c r="AF396" s="28" t="n"/>
      <c r="AG396" s="29">
        <f>IF(AND(AD396=0,AE396=0,AF396=0),0,IF(AND(AD396=0,AE396=0),AF396/1,IF(AND(AD396=0,AF396=0),AE396/1,IF(AND(AE396=0,AF396=0),AD396/1,IF(AD396=0,FLOOR((AE396+AF396)/2,0.1),IF(AE396=0,(AD396+AF396)/2,IF(AF396=0,(AE396+AD396)/2,FLOOR(((AD396+AE396+AF396)/3),0.1))))))))</f>
        <v/>
      </c>
      <c r="AH396" s="21" t="n"/>
      <c r="AI396" s="21" t="n"/>
      <c r="AJ396" s="27">
        <f>SUM(AH396:AI396)</f>
        <v/>
      </c>
      <c r="AK396" s="28" t="n"/>
      <c r="AL396" s="28" t="n"/>
      <c r="AM396" s="29">
        <f>IF(AND(AJ396=0,AK396=0,AL396=0),0,IF(AND(AJ396=0,AK396=0),AL396/1,IF(AND(AJ396=0,AL396=0),AK396/1,IF(AND(AK396=0,AL396=0),AJ396/1,IF(AJ396=0,FLOOR((AK396+AL396)/2,0.1),IF(AK396=0,(AJ396+AL396)/2,IF(AL396=0,(AK396+AJ396)/2,FLOOR(((AJ396+AK396+AL396)/3),0.1))))))))</f>
        <v/>
      </c>
      <c r="AN396" s="21" t="n"/>
      <c r="AO396" s="21" t="n"/>
      <c r="AP396" s="27">
        <f>SUM(AN396:AO396)</f>
        <v/>
      </c>
      <c r="AQ396" s="28" t="n"/>
      <c r="AR396" s="30" t="n"/>
      <c r="AS396" s="29">
        <f>IF(AND(AP396=0,AQ396=0,AR396=0),0,IF(AND(AP396=0,AQ396=0),AR396/1,IF(AND(AP396=0,AR396=0),AQ396/1,IF(AND(AQ396=0,AR396=0),AP396/1,IF(AP396=0,FLOOR((AQ396+AR396)/2,0.1),IF(AQ396=0,(AP396+AR396)/2,IF(AR396=0,(AQ396+AP396)/2,FLOOR(((AP396+AQ396+AR396)/3),0.1))))))))</f>
        <v/>
      </c>
      <c r="AT396" s="21" t="n"/>
      <c r="AU396" s="21" t="n"/>
      <c r="AV396" s="27">
        <f>SUM(AT396:AU396)</f>
        <v/>
      </c>
      <c r="AW396" s="28" t="n"/>
      <c r="AX396" s="30" t="n"/>
      <c r="AY396" s="29">
        <f>IF(AND(AV396=0,AW396=0,AX396=0),0,IF(AND(AV396=0,AW396=0),AX396/1,IF(AND(AV396=0,AX396=0),AW396/1,IF(AND(AW396=0,AX396=0),AV396/1,IF(AV396=0,FLOOR((AW396+AX396)/2,0.1),IF(AW396=0,(AV396+AX396)/2,IF(AX396=0,(AW396+AV396)/2,FLOOR(((AV396+AW396+AX396)/3),0.1))))))))</f>
        <v/>
      </c>
      <c r="AZ396" s="21" t="n"/>
      <c r="BA396" s="21" t="n"/>
      <c r="BB396" s="27">
        <f>SUM(AZ396:BA396)</f>
        <v/>
      </c>
      <c r="BC396" s="28" t="n"/>
      <c r="BD396" s="28" t="n"/>
      <c r="BE396" s="29">
        <f>IF(AND(BB396=0,BC396=0,BD396=0),0,IF(AND(BB396=0,BC396=0),BD396/1,IF(AND(BB396=0,BD396=0),BC396/1,IF(AND(BC396=0,BD396=0),BB396/1,IF(BB396=0,FLOOR((BC396+BD396)/2,0.1),IF(BC396=0,(BB396+BD396)/2,IF(BD396=0,(BC396+BB396)/2,FLOOR(((BB396+BC396+BD396)/3),0.1))))))))</f>
        <v/>
      </c>
      <c r="BF396" s="21" t="n"/>
      <c r="BG396" s="21" t="n"/>
      <c r="BH396" s="27">
        <f>SUM(BF396:BG396)</f>
        <v/>
      </c>
      <c r="BI396" s="28" t="n"/>
      <c r="BJ396" s="28" t="n"/>
      <c r="BK396" s="29">
        <f>IF(AND(BH396=0,BI396=0,BJ396=0),0,IF(AND(BH396=0,BI396=0),BJ396/1,IF(AND(BH396=0,BJ396=0),BI396/1,IF(AND(BI396=0,BJ396=0),BH396/1,IF(BH396=0,FLOOR((BI396+BJ396)/2,0.1),IF(BI396=0,(BH396+BJ396)/2,IF(BJ396=0,(BI396+BH396)/2,FLOOR(((BH396+BI396+BJ396)/3),0.1))))))))</f>
        <v/>
      </c>
      <c r="BL396" s="21" t="n"/>
      <c r="BM396" s="21" t="n"/>
      <c r="BN396" s="27">
        <f>SUM(BL396:BM396)</f>
        <v/>
      </c>
      <c r="BO396" s="28" t="n"/>
      <c r="BP396" s="31" t="n"/>
      <c r="BQ396" s="29">
        <f>IF(AND(BN396=0,BO396=0,BP396=0),0,IF(AND(BN396=0,BO396=0),BP396/1,IF(AND(BN396=0,BP396=0),BO396/1,IF(AND(BO396=0,BP396=0),BN396/1,IF(BN396=0,FLOOR((BO396+BP396)/2,0.1),IF(BO396=0,(BN396+BP396)/2,IF(BP396=0,(BO396+BN396)/2,FLOOR(((BN396+BO396+BP396)/3),0.1))))))))</f>
        <v/>
      </c>
      <c r="BR396" s="21" t="n"/>
      <c r="BS396" s="21" t="n"/>
      <c r="BT396" s="27">
        <f>SUM(BR396:BS396)</f>
        <v/>
      </c>
      <c r="BU396" s="28" t="n"/>
      <c r="BV396" s="31" t="n"/>
      <c r="BW396" s="29">
        <f>IF(AND(BT396=0,BU396=0,BV396=0),0,IF(AND(BT396=0,BU396=0),BV396/1,IF(AND(BT396=0,BV396=0),BU396/1,IF(AND(BU396=0,BV396=0),BT396/1,IF(BT396=0,FLOOR((BU396+BV396)/2,0.1),IF(BU396=0,(BT396+BV396)/2,IF(BV396=0,(BU396+BT396)/2,FLOOR(((BT396+BU396+BV396)/3),0.1))))))))</f>
        <v/>
      </c>
      <c r="BX396" s="21" t="n"/>
      <c r="BY396" s="21" t="n"/>
      <c r="BZ396" s="27">
        <f>SUM(BX396:BY396)</f>
        <v/>
      </c>
      <c r="CA396" s="28" t="n"/>
      <c r="CB396" s="31" t="n"/>
      <c r="CC396" s="29">
        <f>IF(AND(BZ396=0,CA396=0,CB396=0),0,IF(AND(BZ396=0,CA396=0),CB396/1,IF(AND(BZ396=0,CB396=0),CA396/1,IF(AND(CA396=0,CB396=0),BZ396/1,IF(BZ396=0,FLOOR((CA396+CB396)/2,0.1),IF(CA396=0,(BZ396+CB396)/2,IF(CB396=0,(CA396+BZ396)/2,FLOOR(((BZ396+CA396+CB396)/3),0.1))))))))</f>
        <v/>
      </c>
      <c r="CD396" s="21" t="n"/>
      <c r="CE396" s="21" t="n"/>
      <c r="CF396" s="27">
        <f>SUM(CD396:CE396)</f>
        <v/>
      </c>
      <c r="CG396" s="28" t="n"/>
      <c r="CH396" s="31" t="n"/>
      <c r="CI396" s="29">
        <f>IF(AND(CF396=0,CG396=0,CH396=0),0,IF(AND(CF396=0,CG396=0),CH396/1,IF(AND(CF396=0,CH396=0),CG396/1,IF(AND(CG396=0,CH396=0),CF396/1,IF(CF396=0,FLOOR((CG396+CH396)/2,0.1),IF(CG396=0,(CF396+CH396)/2,IF(CH396=0,(CG396+CF396)/2,FLOOR(((CF396+CG396+CH396)/3),0.1))))))))</f>
        <v/>
      </c>
      <c r="CJ396" s="21" t="n"/>
      <c r="CK396" s="21" t="n"/>
      <c r="CL396" s="27">
        <f>SUM(CJ396:CK396)</f>
        <v/>
      </c>
      <c r="CM396" s="28" t="n"/>
      <c r="CN396" s="31" t="n"/>
      <c r="CO396" s="29">
        <f>IF(AND(CL396=0,CM396=0,CN396=0),0,IF(AND(CL396=0,CM396=0),CN396/1,IF(AND(CL396=0,CN396=0),CM396/1,IF(AND(CM396=0,CN396=0),CL396/1,IF(CL396=0,FLOOR((CM396+CN396)/2,0.1),IF(CM396=0,(CL396+CN396)/2,IF(CN396=0,(CM396+CL396)/2,FLOOR(((CL396+CM396+CN396)/3),0.1))))))))</f>
        <v/>
      </c>
      <c r="CP396" s="21" t="n"/>
      <c r="CQ396" s="21" t="n"/>
      <c r="CR396" s="27">
        <f>SUM(CP396:CQ396)</f>
        <v/>
      </c>
      <c r="CS396" s="28" t="n"/>
      <c r="CT396" s="31" t="n"/>
      <c r="CU396" s="29">
        <f>IF(AND(CR396=0,CS396=0,CT396=0),0,IF(AND(CR396=0,CS396=0),CT396/1,IF(AND(CR396=0,CT396=0),CS396/1,IF(AND(CS396=0,CT396=0),CR396/1,IF(CR396=0,FLOOR((CS396+CT396)/2,0.1),IF(CS396=0,(CR396+CT396)/2,IF(CT396=0,(CS396+CR396)/2,FLOOR(((CR396+CS396+CT396)/3),0.1))))))))</f>
        <v/>
      </c>
      <c r="CV396" s="21" t="n"/>
      <c r="CW396" s="21" t="n"/>
      <c r="CX396" s="27">
        <f>SUM(CV396:CW396)</f>
        <v/>
      </c>
      <c r="CY396" s="28" t="n"/>
      <c r="CZ396" s="31" t="n"/>
      <c r="DA396" s="29">
        <f>IF(AND(CX396=0,CY396=0,CZ396=0),0,IF(AND(CX396=0,CY396=0),CZ396/1,IF(AND(CX396=0,CZ396=0),CY396/1,IF(AND(CY396=0,CZ396=0),CX396/1,IF(CX396=0,FLOOR((CY396+CZ396)/2,0.1),IF(CY396=0,(CX396+CZ396)/2,IF(CZ396=0,(CY396+CX396)/2,FLOOR(((CX396+CY396+CZ396)/3),0.1))))))))</f>
        <v/>
      </c>
      <c r="DB396" s="21" t="n"/>
      <c r="DC396" s="21" t="n"/>
      <c r="DD396" s="27">
        <f>SUM(DB396:DC396)</f>
        <v/>
      </c>
      <c r="DE396" s="28" t="n"/>
      <c r="DF396" s="31" t="n"/>
      <c r="DG396" s="29">
        <f>IF(AND(DD396=0,DE396=0,DF396=0),0,IF(AND(DD396=0,DE396=0),DF396/1,IF(AND(DD396=0,DF396=0),DE396/1,IF(AND(DE396=0,DF396=0),DD396/1,IF(DD396=0,FLOOR((DE396+DF396)/2,0.1),IF(DE396=0,(DD396+DF396)/2,IF(DF396=0,(DE396+DD396)/2,FLOOR(((DD396+DE396+DF396)/3),0.1))))))))</f>
        <v/>
      </c>
      <c r="DH396" s="34">
        <f>SUM(O396,U396,AA396,AG396,AM396,AS396,AY396,BE396,BK396,BQ396,BW396,CC396,CI396,CO396,CU396,DA396,DG396)</f>
        <v/>
      </c>
      <c r="DI396" s="39">
        <f>RANK(DH396,DH$4:DH$503)</f>
        <v/>
      </c>
      <c r="DJ396" s="40" t="inlineStr">
        <is>
          <t>CHOOSE RATING</t>
        </is>
      </c>
      <c r="DK396" s="40" t="inlineStr">
        <is>
          <t>CHOOSE RATING</t>
        </is>
      </c>
      <c r="DL396" s="40" t="inlineStr">
        <is>
          <t>CHOOSE RATING</t>
        </is>
      </c>
      <c r="DM396" s="40" t="inlineStr">
        <is>
          <t>CHOOSE RATING</t>
        </is>
      </c>
      <c r="DN396" s="40" t="inlineStr">
        <is>
          <t>CHOOSE RATING</t>
        </is>
      </c>
      <c r="DO396" s="40" t="inlineStr">
        <is>
          <t>CHOOSE RATING</t>
        </is>
      </c>
      <c r="DP396" s="40" t="inlineStr">
        <is>
          <t>CHOOSE RATING</t>
        </is>
      </c>
      <c r="DQ396" s="40" t="inlineStr">
        <is>
          <t>CHOOSE RATING</t>
        </is>
      </c>
      <c r="DR396" s="43" t="inlineStr">
        <is>
          <t>2024/2025</t>
        </is>
      </c>
      <c r="DS396" s="45" t="inlineStr">
        <is>
          <t>THIRD</t>
        </is>
      </c>
      <c r="DT396" s="40" t="inlineStr">
        <is>
          <t>CHOOSE RATING</t>
        </is>
      </c>
      <c r="DU396" s="40" t="inlineStr">
        <is>
          <t>CHOOSE RATING</t>
        </is>
      </c>
      <c r="DV396" s="40" t="inlineStr">
        <is>
          <t>CHOOSE RATING</t>
        </is>
      </c>
      <c r="DW396" s="40" t="inlineStr">
        <is>
          <t>CHOOSE RATING</t>
        </is>
      </c>
      <c r="DX396" s="40" t="inlineStr">
        <is>
          <t>CHOOSE RATING</t>
        </is>
      </c>
      <c r="DY396" s="40" t="inlineStr">
        <is>
          <t>CHOOSE RATING</t>
        </is>
      </c>
      <c r="DZ396" s="53" t="inlineStr">
        <is>
          <t>CHOOSE RATING</t>
        </is>
      </c>
      <c r="EA396" s="54" t="inlineStr">
        <is>
          <t>Add the Tutor's Comment . . .</t>
        </is>
      </c>
      <c r="EB396" s="55" t="inlineStr">
        <is>
          <t>Choose Principals comment</t>
        </is>
      </c>
      <c r="EC396" s="56" t="n"/>
      <c r="ED396" s="57" t="inlineStr">
        <is>
          <t>Next Term Begins on Monday, 22nd September, 2025</t>
        </is>
      </c>
    </row>
    <row r="397" ht="30.6" customHeight="1" s="6">
      <c r="A397" s="18" t="n">
        <v>394</v>
      </c>
      <c r="B397" s="19" t="n"/>
      <c r="C397" s="20" t="n"/>
      <c r="D397" s="128" t="n"/>
      <c r="E397" s="21" t="n"/>
      <c r="F397" s="22" t="n"/>
      <c r="G397" s="22" t="n"/>
      <c r="H397" s="22" t="n"/>
      <c r="I397" s="26">
        <f>G397-H397</f>
        <v/>
      </c>
      <c r="J397" s="21" t="n"/>
      <c r="K397" s="21" t="n"/>
      <c r="L397" s="27">
        <f>SUM(J397:K397)</f>
        <v/>
      </c>
      <c r="M397" s="28" t="n"/>
      <c r="N397" s="28" t="n"/>
      <c r="O397" s="29">
        <f>IF(AND(L397=0,M397=0,N397=0),0,IF(AND(L397=0,M397=0),N397/1,IF(AND(L397=0,N397=0),M397/1,IF(AND(M397=0,N397=0),L397/1,IF(L397=0,FLOOR((M397+N397)/2,0.1),IF(M397=0,(L397+N397)/2,IF(N397=0,(M397+L397)/2,FLOOR(((L397+M397+N397)/3),0.1))))))))</f>
        <v/>
      </c>
      <c r="P397" s="21" t="n"/>
      <c r="Q397" s="21" t="n"/>
      <c r="R397" s="27">
        <f>SUM(P397:Q397)</f>
        <v/>
      </c>
      <c r="S397" s="28" t="n"/>
      <c r="T397" s="28" t="n"/>
      <c r="U397" s="29">
        <f>IF(AND(R397=0,S397=0,T397=0),0,IF(AND(R397=0,S397=0),T397/1,IF(AND(R397=0,T397=0),S397/1,IF(AND(S397=0,T397=0),R397/1,IF(R397=0,FLOOR((S397+T397)/2,0.1),IF(S397=0,(R397+T397)/2,IF(T397=0,(S397+R397)/2,FLOOR(((R397+S397+T397)/3),0.1))))))))</f>
        <v/>
      </c>
      <c r="V397" s="21" t="n"/>
      <c r="W397" s="21" t="n"/>
      <c r="X397" s="27">
        <f>SUM(V397:W397)</f>
        <v/>
      </c>
      <c r="Y397" s="28" t="n"/>
      <c r="Z397" s="28" t="n"/>
      <c r="AA397" s="29">
        <f>IF(AND(X397=0,Y397=0,Z397=0),0,IF(AND(X397=0,Y397=0),Z397/1,IF(AND(X397=0,Z397=0),Y397/1,IF(AND(Y397=0,Z397=0),X397/1,IF(X397=0,FLOOR((Y397+Z397)/2,0.1),IF(Y397=0,(X397+Z397)/2,IF(Z397=0,(Y397+X397)/2,FLOOR(((X397+Y397+Z397)/3),0.1))))))))</f>
        <v/>
      </c>
      <c r="AB397" s="21" t="n"/>
      <c r="AC397" s="21" t="n"/>
      <c r="AD397" s="27">
        <f>SUM(AB397:AC397)</f>
        <v/>
      </c>
      <c r="AE397" s="28" t="n"/>
      <c r="AF397" s="28" t="n"/>
      <c r="AG397" s="29">
        <f>IF(AND(AD397=0,AE397=0,AF397=0),0,IF(AND(AD397=0,AE397=0),AF397/1,IF(AND(AD397=0,AF397=0),AE397/1,IF(AND(AE397=0,AF397=0),AD397/1,IF(AD397=0,FLOOR((AE397+AF397)/2,0.1),IF(AE397=0,(AD397+AF397)/2,IF(AF397=0,(AE397+AD397)/2,FLOOR(((AD397+AE397+AF397)/3),0.1))))))))</f>
        <v/>
      </c>
      <c r="AH397" s="21" t="n"/>
      <c r="AI397" s="21" t="n"/>
      <c r="AJ397" s="27">
        <f>SUM(AH397:AI397)</f>
        <v/>
      </c>
      <c r="AK397" s="28" t="n"/>
      <c r="AL397" s="28" t="n"/>
      <c r="AM397" s="29">
        <f>IF(AND(AJ397=0,AK397=0,AL397=0),0,IF(AND(AJ397=0,AK397=0),AL397/1,IF(AND(AJ397=0,AL397=0),AK397/1,IF(AND(AK397=0,AL397=0),AJ397/1,IF(AJ397=0,FLOOR((AK397+AL397)/2,0.1),IF(AK397=0,(AJ397+AL397)/2,IF(AL397=0,(AK397+AJ397)/2,FLOOR(((AJ397+AK397+AL397)/3),0.1))))))))</f>
        <v/>
      </c>
      <c r="AN397" s="21" t="n"/>
      <c r="AO397" s="21" t="n"/>
      <c r="AP397" s="27">
        <f>SUM(AN397:AO397)</f>
        <v/>
      </c>
      <c r="AQ397" s="28" t="n"/>
      <c r="AR397" s="30" t="n"/>
      <c r="AS397" s="29">
        <f>IF(AND(AP397=0,AQ397=0,AR397=0),0,IF(AND(AP397=0,AQ397=0),AR397/1,IF(AND(AP397=0,AR397=0),AQ397/1,IF(AND(AQ397=0,AR397=0),AP397/1,IF(AP397=0,FLOOR((AQ397+AR397)/2,0.1),IF(AQ397=0,(AP397+AR397)/2,IF(AR397=0,(AQ397+AP397)/2,FLOOR(((AP397+AQ397+AR397)/3),0.1))))))))</f>
        <v/>
      </c>
      <c r="AT397" s="21" t="n"/>
      <c r="AU397" s="21" t="n"/>
      <c r="AV397" s="27">
        <f>SUM(AT397:AU397)</f>
        <v/>
      </c>
      <c r="AW397" s="28" t="n"/>
      <c r="AX397" s="30" t="n"/>
      <c r="AY397" s="29">
        <f>IF(AND(AV397=0,AW397=0,AX397=0),0,IF(AND(AV397=0,AW397=0),AX397/1,IF(AND(AV397=0,AX397=0),AW397/1,IF(AND(AW397=0,AX397=0),AV397/1,IF(AV397=0,FLOOR((AW397+AX397)/2,0.1),IF(AW397=0,(AV397+AX397)/2,IF(AX397=0,(AW397+AV397)/2,FLOOR(((AV397+AW397+AX397)/3),0.1))))))))</f>
        <v/>
      </c>
      <c r="AZ397" s="21" t="n"/>
      <c r="BA397" s="21" t="n"/>
      <c r="BB397" s="27">
        <f>SUM(AZ397:BA397)</f>
        <v/>
      </c>
      <c r="BC397" s="28" t="n"/>
      <c r="BD397" s="28" t="n"/>
      <c r="BE397" s="29">
        <f>IF(AND(BB397=0,BC397=0,BD397=0),0,IF(AND(BB397=0,BC397=0),BD397/1,IF(AND(BB397=0,BD397=0),BC397/1,IF(AND(BC397=0,BD397=0),BB397/1,IF(BB397=0,FLOOR((BC397+BD397)/2,0.1),IF(BC397=0,(BB397+BD397)/2,IF(BD397=0,(BC397+BB397)/2,FLOOR(((BB397+BC397+BD397)/3),0.1))))))))</f>
        <v/>
      </c>
      <c r="BF397" s="21" t="n"/>
      <c r="BG397" s="21" t="n"/>
      <c r="BH397" s="27">
        <f>SUM(BF397:BG397)</f>
        <v/>
      </c>
      <c r="BI397" s="28" t="n"/>
      <c r="BJ397" s="28" t="n"/>
      <c r="BK397" s="29">
        <f>IF(AND(BH397=0,BI397=0,BJ397=0),0,IF(AND(BH397=0,BI397=0),BJ397/1,IF(AND(BH397=0,BJ397=0),BI397/1,IF(AND(BI397=0,BJ397=0),BH397/1,IF(BH397=0,FLOOR((BI397+BJ397)/2,0.1),IF(BI397=0,(BH397+BJ397)/2,IF(BJ397=0,(BI397+BH397)/2,FLOOR(((BH397+BI397+BJ397)/3),0.1))))))))</f>
        <v/>
      </c>
      <c r="BL397" s="21" t="n"/>
      <c r="BM397" s="21" t="n"/>
      <c r="BN397" s="27">
        <f>SUM(BL397:BM397)</f>
        <v/>
      </c>
      <c r="BO397" s="28" t="n"/>
      <c r="BP397" s="31" t="n"/>
      <c r="BQ397" s="29">
        <f>IF(AND(BN397=0,BO397=0,BP397=0),0,IF(AND(BN397=0,BO397=0),BP397/1,IF(AND(BN397=0,BP397=0),BO397/1,IF(AND(BO397=0,BP397=0),BN397/1,IF(BN397=0,FLOOR((BO397+BP397)/2,0.1),IF(BO397=0,(BN397+BP397)/2,IF(BP397=0,(BO397+BN397)/2,FLOOR(((BN397+BO397+BP397)/3),0.1))))))))</f>
        <v/>
      </c>
      <c r="BR397" s="21" t="n"/>
      <c r="BS397" s="21" t="n"/>
      <c r="BT397" s="27">
        <f>SUM(BR397:BS397)</f>
        <v/>
      </c>
      <c r="BU397" s="28" t="n"/>
      <c r="BV397" s="31" t="n"/>
      <c r="BW397" s="29">
        <f>IF(AND(BT397=0,BU397=0,BV397=0),0,IF(AND(BT397=0,BU397=0),BV397/1,IF(AND(BT397=0,BV397=0),BU397/1,IF(AND(BU397=0,BV397=0),BT397/1,IF(BT397=0,FLOOR((BU397+BV397)/2,0.1),IF(BU397=0,(BT397+BV397)/2,IF(BV397=0,(BU397+BT397)/2,FLOOR(((BT397+BU397+BV397)/3),0.1))))))))</f>
        <v/>
      </c>
      <c r="BX397" s="21" t="n"/>
      <c r="BY397" s="21" t="n"/>
      <c r="BZ397" s="27">
        <f>SUM(BX397:BY397)</f>
        <v/>
      </c>
      <c r="CA397" s="28" t="n"/>
      <c r="CB397" s="31" t="n"/>
      <c r="CC397" s="29">
        <f>IF(AND(BZ397=0,CA397=0,CB397=0),0,IF(AND(BZ397=0,CA397=0),CB397/1,IF(AND(BZ397=0,CB397=0),CA397/1,IF(AND(CA397=0,CB397=0),BZ397/1,IF(BZ397=0,FLOOR((CA397+CB397)/2,0.1),IF(CA397=0,(BZ397+CB397)/2,IF(CB397=0,(CA397+BZ397)/2,FLOOR(((BZ397+CA397+CB397)/3),0.1))))))))</f>
        <v/>
      </c>
      <c r="CD397" s="21" t="n"/>
      <c r="CE397" s="21" t="n"/>
      <c r="CF397" s="27">
        <f>SUM(CD397:CE397)</f>
        <v/>
      </c>
      <c r="CG397" s="28" t="n"/>
      <c r="CH397" s="31" t="n"/>
      <c r="CI397" s="29">
        <f>IF(AND(CF397=0,CG397=0,CH397=0),0,IF(AND(CF397=0,CG397=0),CH397/1,IF(AND(CF397=0,CH397=0),CG397/1,IF(AND(CG397=0,CH397=0),CF397/1,IF(CF397=0,FLOOR((CG397+CH397)/2,0.1),IF(CG397=0,(CF397+CH397)/2,IF(CH397=0,(CG397+CF397)/2,FLOOR(((CF397+CG397+CH397)/3),0.1))))))))</f>
        <v/>
      </c>
      <c r="CJ397" s="21" t="n"/>
      <c r="CK397" s="21" t="n"/>
      <c r="CL397" s="27">
        <f>SUM(CJ397:CK397)</f>
        <v/>
      </c>
      <c r="CM397" s="28" t="n"/>
      <c r="CN397" s="31" t="n"/>
      <c r="CO397" s="29">
        <f>IF(AND(CL397=0,CM397=0,CN397=0),0,IF(AND(CL397=0,CM397=0),CN397/1,IF(AND(CL397=0,CN397=0),CM397/1,IF(AND(CM397=0,CN397=0),CL397/1,IF(CL397=0,FLOOR((CM397+CN397)/2,0.1),IF(CM397=0,(CL397+CN397)/2,IF(CN397=0,(CM397+CL397)/2,FLOOR(((CL397+CM397+CN397)/3),0.1))))))))</f>
        <v/>
      </c>
      <c r="CP397" s="21" t="n"/>
      <c r="CQ397" s="21" t="n"/>
      <c r="CR397" s="27">
        <f>SUM(CP397:CQ397)</f>
        <v/>
      </c>
      <c r="CS397" s="28" t="n"/>
      <c r="CT397" s="31" t="n"/>
      <c r="CU397" s="29">
        <f>IF(AND(CR397=0,CS397=0,CT397=0),0,IF(AND(CR397=0,CS397=0),CT397/1,IF(AND(CR397=0,CT397=0),CS397/1,IF(AND(CS397=0,CT397=0),CR397/1,IF(CR397=0,FLOOR((CS397+CT397)/2,0.1),IF(CS397=0,(CR397+CT397)/2,IF(CT397=0,(CS397+CR397)/2,FLOOR(((CR397+CS397+CT397)/3),0.1))))))))</f>
        <v/>
      </c>
      <c r="CV397" s="21" t="n"/>
      <c r="CW397" s="21" t="n"/>
      <c r="CX397" s="27">
        <f>SUM(CV397:CW397)</f>
        <v/>
      </c>
      <c r="CY397" s="28" t="n"/>
      <c r="CZ397" s="31" t="n"/>
      <c r="DA397" s="29">
        <f>IF(AND(CX397=0,CY397=0,CZ397=0),0,IF(AND(CX397=0,CY397=0),CZ397/1,IF(AND(CX397=0,CZ397=0),CY397/1,IF(AND(CY397=0,CZ397=0),CX397/1,IF(CX397=0,FLOOR((CY397+CZ397)/2,0.1),IF(CY397=0,(CX397+CZ397)/2,IF(CZ397=0,(CY397+CX397)/2,FLOOR(((CX397+CY397+CZ397)/3),0.1))))))))</f>
        <v/>
      </c>
      <c r="DB397" s="21" t="n"/>
      <c r="DC397" s="21" t="n"/>
      <c r="DD397" s="27">
        <f>SUM(DB397:DC397)</f>
        <v/>
      </c>
      <c r="DE397" s="28" t="n"/>
      <c r="DF397" s="31" t="n"/>
      <c r="DG397" s="29">
        <f>IF(AND(DD397=0,DE397=0,DF397=0),0,IF(AND(DD397=0,DE397=0),DF397/1,IF(AND(DD397=0,DF397=0),DE397/1,IF(AND(DE397=0,DF397=0),DD397/1,IF(DD397=0,FLOOR((DE397+DF397)/2,0.1),IF(DE397=0,(DD397+DF397)/2,IF(DF397=0,(DE397+DD397)/2,FLOOR(((DD397+DE397+DF397)/3),0.1))))))))</f>
        <v/>
      </c>
      <c r="DH397" s="34">
        <f>SUM(O397,U397,AA397,AG397,AM397,AS397,AY397,BE397,BK397,BQ397,BW397,CC397,CI397,CO397,CU397,DA397,DG397)</f>
        <v/>
      </c>
      <c r="DI397" s="39">
        <f>RANK(DH397,DH$4:DH$503)</f>
        <v/>
      </c>
      <c r="DJ397" s="40" t="inlineStr">
        <is>
          <t>CHOOSE RATING</t>
        </is>
      </c>
      <c r="DK397" s="40" t="inlineStr">
        <is>
          <t>CHOOSE RATING</t>
        </is>
      </c>
      <c r="DL397" s="40" t="inlineStr">
        <is>
          <t>CHOOSE RATING</t>
        </is>
      </c>
      <c r="DM397" s="40" t="inlineStr">
        <is>
          <t>CHOOSE RATING</t>
        </is>
      </c>
      <c r="DN397" s="40" t="inlineStr">
        <is>
          <t>CHOOSE RATING</t>
        </is>
      </c>
      <c r="DO397" s="40" t="inlineStr">
        <is>
          <t>CHOOSE RATING</t>
        </is>
      </c>
      <c r="DP397" s="40" t="inlineStr">
        <is>
          <t>CHOOSE RATING</t>
        </is>
      </c>
      <c r="DQ397" s="40" t="inlineStr">
        <is>
          <t>CHOOSE RATING</t>
        </is>
      </c>
      <c r="DR397" s="43" t="inlineStr">
        <is>
          <t>2024/2025</t>
        </is>
      </c>
      <c r="DS397" s="45" t="inlineStr">
        <is>
          <t>THIRD</t>
        </is>
      </c>
      <c r="DT397" s="40" t="inlineStr">
        <is>
          <t>CHOOSE RATING</t>
        </is>
      </c>
      <c r="DU397" s="40" t="inlineStr">
        <is>
          <t>CHOOSE RATING</t>
        </is>
      </c>
      <c r="DV397" s="40" t="inlineStr">
        <is>
          <t>CHOOSE RATING</t>
        </is>
      </c>
      <c r="DW397" s="40" t="inlineStr">
        <is>
          <t>CHOOSE RATING</t>
        </is>
      </c>
      <c r="DX397" s="40" t="inlineStr">
        <is>
          <t>CHOOSE RATING</t>
        </is>
      </c>
      <c r="DY397" s="40" t="inlineStr">
        <is>
          <t>CHOOSE RATING</t>
        </is>
      </c>
      <c r="DZ397" s="53" t="inlineStr">
        <is>
          <t>CHOOSE RATING</t>
        </is>
      </c>
      <c r="EA397" s="54" t="inlineStr">
        <is>
          <t>Add the Tutor's Comment . . .</t>
        </is>
      </c>
      <c r="EB397" s="55" t="inlineStr">
        <is>
          <t>Choose Principals comment</t>
        </is>
      </c>
      <c r="EC397" s="56" t="n"/>
      <c r="ED397" s="57" t="inlineStr">
        <is>
          <t>Next Term Begins on Monday, 22nd September, 2025</t>
        </is>
      </c>
    </row>
    <row r="398" ht="30.6" customHeight="1" s="6">
      <c r="A398" s="18" t="n">
        <v>395</v>
      </c>
      <c r="B398" s="19" t="n"/>
      <c r="C398" s="20" t="n"/>
      <c r="D398" s="128" t="n"/>
      <c r="E398" s="21" t="n"/>
      <c r="F398" s="22" t="n"/>
      <c r="G398" s="22" t="n"/>
      <c r="H398" s="22" t="n"/>
      <c r="I398" s="26">
        <f>G398-H398</f>
        <v/>
      </c>
      <c r="J398" s="21" t="n"/>
      <c r="K398" s="21" t="n"/>
      <c r="L398" s="27">
        <f>SUM(J398:K398)</f>
        <v/>
      </c>
      <c r="M398" s="28" t="n"/>
      <c r="N398" s="28" t="n"/>
      <c r="O398" s="29">
        <f>IF(AND(L398=0,M398=0,N398=0),0,IF(AND(L398=0,M398=0),N398/1,IF(AND(L398=0,N398=0),M398/1,IF(AND(M398=0,N398=0),L398/1,IF(L398=0,FLOOR((M398+N398)/2,0.1),IF(M398=0,(L398+N398)/2,IF(N398=0,(M398+L398)/2,FLOOR(((L398+M398+N398)/3),0.1))))))))</f>
        <v/>
      </c>
      <c r="P398" s="21" t="n"/>
      <c r="Q398" s="21" t="n"/>
      <c r="R398" s="27">
        <f>SUM(P398:Q398)</f>
        <v/>
      </c>
      <c r="S398" s="28" t="n"/>
      <c r="T398" s="28" t="n"/>
      <c r="U398" s="29">
        <f>IF(AND(R398=0,S398=0,T398=0),0,IF(AND(R398=0,S398=0),T398/1,IF(AND(R398=0,T398=0),S398/1,IF(AND(S398=0,T398=0),R398/1,IF(R398=0,FLOOR((S398+T398)/2,0.1),IF(S398=0,(R398+T398)/2,IF(T398=0,(S398+R398)/2,FLOOR(((R398+S398+T398)/3),0.1))))))))</f>
        <v/>
      </c>
      <c r="V398" s="21" t="n"/>
      <c r="W398" s="21" t="n"/>
      <c r="X398" s="27">
        <f>SUM(V398:W398)</f>
        <v/>
      </c>
      <c r="Y398" s="28" t="n"/>
      <c r="Z398" s="28" t="n"/>
      <c r="AA398" s="29">
        <f>IF(AND(X398=0,Y398=0,Z398=0),0,IF(AND(X398=0,Y398=0),Z398/1,IF(AND(X398=0,Z398=0),Y398/1,IF(AND(Y398=0,Z398=0),X398/1,IF(X398=0,FLOOR((Y398+Z398)/2,0.1),IF(Y398=0,(X398+Z398)/2,IF(Z398=0,(Y398+X398)/2,FLOOR(((X398+Y398+Z398)/3),0.1))))))))</f>
        <v/>
      </c>
      <c r="AB398" s="21" t="n"/>
      <c r="AC398" s="21" t="n"/>
      <c r="AD398" s="27">
        <f>SUM(AB398:AC398)</f>
        <v/>
      </c>
      <c r="AE398" s="28" t="n"/>
      <c r="AF398" s="28" t="n"/>
      <c r="AG398" s="29">
        <f>IF(AND(AD398=0,AE398=0,AF398=0),0,IF(AND(AD398=0,AE398=0),AF398/1,IF(AND(AD398=0,AF398=0),AE398/1,IF(AND(AE398=0,AF398=0),AD398/1,IF(AD398=0,FLOOR((AE398+AF398)/2,0.1),IF(AE398=0,(AD398+AF398)/2,IF(AF398=0,(AE398+AD398)/2,FLOOR(((AD398+AE398+AF398)/3),0.1))))))))</f>
        <v/>
      </c>
      <c r="AH398" s="21" t="n"/>
      <c r="AI398" s="21" t="n"/>
      <c r="AJ398" s="27">
        <f>SUM(AH398:AI398)</f>
        <v/>
      </c>
      <c r="AK398" s="28" t="n"/>
      <c r="AL398" s="28" t="n"/>
      <c r="AM398" s="29">
        <f>IF(AND(AJ398=0,AK398=0,AL398=0),0,IF(AND(AJ398=0,AK398=0),AL398/1,IF(AND(AJ398=0,AL398=0),AK398/1,IF(AND(AK398=0,AL398=0),AJ398/1,IF(AJ398=0,FLOOR((AK398+AL398)/2,0.1),IF(AK398=0,(AJ398+AL398)/2,IF(AL398=0,(AK398+AJ398)/2,FLOOR(((AJ398+AK398+AL398)/3),0.1))))))))</f>
        <v/>
      </c>
      <c r="AN398" s="21" t="n"/>
      <c r="AO398" s="21" t="n"/>
      <c r="AP398" s="27">
        <f>SUM(AN398:AO398)</f>
        <v/>
      </c>
      <c r="AQ398" s="28" t="n"/>
      <c r="AR398" s="30" t="n"/>
      <c r="AS398" s="29">
        <f>IF(AND(AP398=0,AQ398=0,AR398=0),0,IF(AND(AP398=0,AQ398=0),AR398/1,IF(AND(AP398=0,AR398=0),AQ398/1,IF(AND(AQ398=0,AR398=0),AP398/1,IF(AP398=0,FLOOR((AQ398+AR398)/2,0.1),IF(AQ398=0,(AP398+AR398)/2,IF(AR398=0,(AQ398+AP398)/2,FLOOR(((AP398+AQ398+AR398)/3),0.1))))))))</f>
        <v/>
      </c>
      <c r="AT398" s="21" t="n"/>
      <c r="AU398" s="21" t="n"/>
      <c r="AV398" s="27">
        <f>SUM(AT398:AU398)</f>
        <v/>
      </c>
      <c r="AW398" s="28" t="n"/>
      <c r="AX398" s="30" t="n"/>
      <c r="AY398" s="29">
        <f>IF(AND(AV398=0,AW398=0,AX398=0),0,IF(AND(AV398=0,AW398=0),AX398/1,IF(AND(AV398=0,AX398=0),AW398/1,IF(AND(AW398=0,AX398=0),AV398/1,IF(AV398=0,FLOOR((AW398+AX398)/2,0.1),IF(AW398=0,(AV398+AX398)/2,IF(AX398=0,(AW398+AV398)/2,FLOOR(((AV398+AW398+AX398)/3),0.1))))))))</f>
        <v/>
      </c>
      <c r="AZ398" s="21" t="n"/>
      <c r="BA398" s="21" t="n"/>
      <c r="BB398" s="27">
        <f>SUM(AZ398:BA398)</f>
        <v/>
      </c>
      <c r="BC398" s="28" t="n"/>
      <c r="BD398" s="28" t="n"/>
      <c r="BE398" s="29">
        <f>IF(AND(BB398=0,BC398=0,BD398=0),0,IF(AND(BB398=0,BC398=0),BD398/1,IF(AND(BB398=0,BD398=0),BC398/1,IF(AND(BC398=0,BD398=0),BB398/1,IF(BB398=0,FLOOR((BC398+BD398)/2,0.1),IF(BC398=0,(BB398+BD398)/2,IF(BD398=0,(BC398+BB398)/2,FLOOR(((BB398+BC398+BD398)/3),0.1))))))))</f>
        <v/>
      </c>
      <c r="BF398" s="21" t="n"/>
      <c r="BG398" s="21" t="n"/>
      <c r="BH398" s="27">
        <f>SUM(BF398:BG398)</f>
        <v/>
      </c>
      <c r="BI398" s="28" t="n"/>
      <c r="BJ398" s="28" t="n"/>
      <c r="BK398" s="29">
        <f>IF(AND(BH398=0,BI398=0,BJ398=0),0,IF(AND(BH398=0,BI398=0),BJ398/1,IF(AND(BH398=0,BJ398=0),BI398/1,IF(AND(BI398=0,BJ398=0),BH398/1,IF(BH398=0,FLOOR((BI398+BJ398)/2,0.1),IF(BI398=0,(BH398+BJ398)/2,IF(BJ398=0,(BI398+BH398)/2,FLOOR(((BH398+BI398+BJ398)/3),0.1))))))))</f>
        <v/>
      </c>
      <c r="BL398" s="21" t="n"/>
      <c r="BM398" s="21" t="n"/>
      <c r="BN398" s="27">
        <f>SUM(BL398:BM398)</f>
        <v/>
      </c>
      <c r="BO398" s="28" t="n"/>
      <c r="BP398" s="31" t="n"/>
      <c r="BQ398" s="29">
        <f>IF(AND(BN398=0,BO398=0,BP398=0),0,IF(AND(BN398=0,BO398=0),BP398/1,IF(AND(BN398=0,BP398=0),BO398/1,IF(AND(BO398=0,BP398=0),BN398/1,IF(BN398=0,FLOOR((BO398+BP398)/2,0.1),IF(BO398=0,(BN398+BP398)/2,IF(BP398=0,(BO398+BN398)/2,FLOOR(((BN398+BO398+BP398)/3),0.1))))))))</f>
        <v/>
      </c>
      <c r="BR398" s="21" t="n"/>
      <c r="BS398" s="21" t="n"/>
      <c r="BT398" s="27">
        <f>SUM(BR398:BS398)</f>
        <v/>
      </c>
      <c r="BU398" s="28" t="n"/>
      <c r="BV398" s="31" t="n"/>
      <c r="BW398" s="29">
        <f>IF(AND(BT398=0,BU398=0,BV398=0),0,IF(AND(BT398=0,BU398=0),BV398/1,IF(AND(BT398=0,BV398=0),BU398/1,IF(AND(BU398=0,BV398=0),BT398/1,IF(BT398=0,FLOOR((BU398+BV398)/2,0.1),IF(BU398=0,(BT398+BV398)/2,IF(BV398=0,(BU398+BT398)/2,FLOOR(((BT398+BU398+BV398)/3),0.1))))))))</f>
        <v/>
      </c>
      <c r="BX398" s="21" t="n"/>
      <c r="BY398" s="21" t="n"/>
      <c r="BZ398" s="27">
        <f>SUM(BX398:BY398)</f>
        <v/>
      </c>
      <c r="CA398" s="28" t="n"/>
      <c r="CB398" s="31" t="n"/>
      <c r="CC398" s="29">
        <f>IF(AND(BZ398=0,CA398=0,CB398=0),0,IF(AND(BZ398=0,CA398=0),CB398/1,IF(AND(BZ398=0,CB398=0),CA398/1,IF(AND(CA398=0,CB398=0),BZ398/1,IF(BZ398=0,FLOOR((CA398+CB398)/2,0.1),IF(CA398=0,(BZ398+CB398)/2,IF(CB398=0,(CA398+BZ398)/2,FLOOR(((BZ398+CA398+CB398)/3),0.1))))))))</f>
        <v/>
      </c>
      <c r="CD398" s="21" t="n"/>
      <c r="CE398" s="21" t="n"/>
      <c r="CF398" s="27">
        <f>SUM(CD398:CE398)</f>
        <v/>
      </c>
      <c r="CG398" s="28" t="n"/>
      <c r="CH398" s="31" t="n"/>
      <c r="CI398" s="29">
        <f>IF(AND(CF398=0,CG398=0,CH398=0),0,IF(AND(CF398=0,CG398=0),CH398/1,IF(AND(CF398=0,CH398=0),CG398/1,IF(AND(CG398=0,CH398=0),CF398/1,IF(CF398=0,FLOOR((CG398+CH398)/2,0.1),IF(CG398=0,(CF398+CH398)/2,IF(CH398=0,(CG398+CF398)/2,FLOOR(((CF398+CG398+CH398)/3),0.1))))))))</f>
        <v/>
      </c>
      <c r="CJ398" s="21" t="n"/>
      <c r="CK398" s="21" t="n"/>
      <c r="CL398" s="27">
        <f>SUM(CJ398:CK398)</f>
        <v/>
      </c>
      <c r="CM398" s="28" t="n"/>
      <c r="CN398" s="31" t="n"/>
      <c r="CO398" s="29">
        <f>IF(AND(CL398=0,CM398=0,CN398=0),0,IF(AND(CL398=0,CM398=0),CN398/1,IF(AND(CL398=0,CN398=0),CM398/1,IF(AND(CM398=0,CN398=0),CL398/1,IF(CL398=0,FLOOR((CM398+CN398)/2,0.1),IF(CM398=0,(CL398+CN398)/2,IF(CN398=0,(CM398+CL398)/2,FLOOR(((CL398+CM398+CN398)/3),0.1))))))))</f>
        <v/>
      </c>
      <c r="CP398" s="21" t="n"/>
      <c r="CQ398" s="21" t="n"/>
      <c r="CR398" s="27">
        <f>SUM(CP398:CQ398)</f>
        <v/>
      </c>
      <c r="CS398" s="28" t="n"/>
      <c r="CT398" s="31" t="n"/>
      <c r="CU398" s="29">
        <f>IF(AND(CR398=0,CS398=0,CT398=0),0,IF(AND(CR398=0,CS398=0),CT398/1,IF(AND(CR398=0,CT398=0),CS398/1,IF(AND(CS398=0,CT398=0),CR398/1,IF(CR398=0,FLOOR((CS398+CT398)/2,0.1),IF(CS398=0,(CR398+CT398)/2,IF(CT398=0,(CS398+CR398)/2,FLOOR(((CR398+CS398+CT398)/3),0.1))))))))</f>
        <v/>
      </c>
      <c r="CV398" s="21" t="n"/>
      <c r="CW398" s="21" t="n"/>
      <c r="CX398" s="27">
        <f>SUM(CV398:CW398)</f>
        <v/>
      </c>
      <c r="CY398" s="28" t="n"/>
      <c r="CZ398" s="31" t="n"/>
      <c r="DA398" s="29">
        <f>IF(AND(CX398=0,CY398=0,CZ398=0),0,IF(AND(CX398=0,CY398=0),CZ398/1,IF(AND(CX398=0,CZ398=0),CY398/1,IF(AND(CY398=0,CZ398=0),CX398/1,IF(CX398=0,FLOOR((CY398+CZ398)/2,0.1),IF(CY398=0,(CX398+CZ398)/2,IF(CZ398=0,(CY398+CX398)/2,FLOOR(((CX398+CY398+CZ398)/3),0.1))))))))</f>
        <v/>
      </c>
      <c r="DB398" s="21" t="n"/>
      <c r="DC398" s="21" t="n"/>
      <c r="DD398" s="27">
        <f>SUM(DB398:DC398)</f>
        <v/>
      </c>
      <c r="DE398" s="28" t="n"/>
      <c r="DF398" s="31" t="n"/>
      <c r="DG398" s="29">
        <f>IF(AND(DD398=0,DE398=0,DF398=0),0,IF(AND(DD398=0,DE398=0),DF398/1,IF(AND(DD398=0,DF398=0),DE398/1,IF(AND(DE398=0,DF398=0),DD398/1,IF(DD398=0,FLOOR((DE398+DF398)/2,0.1),IF(DE398=0,(DD398+DF398)/2,IF(DF398=0,(DE398+DD398)/2,FLOOR(((DD398+DE398+DF398)/3),0.1))))))))</f>
        <v/>
      </c>
      <c r="DH398" s="34">
        <f>SUM(O398,U398,AA398,AG398,AM398,AS398,AY398,BE398,BK398,BQ398,BW398,CC398,CI398,CO398,CU398,DA398,DG398)</f>
        <v/>
      </c>
      <c r="DI398" s="39">
        <f>RANK(DH398,DH$4:DH$503)</f>
        <v/>
      </c>
      <c r="DJ398" s="40" t="inlineStr">
        <is>
          <t>CHOOSE RATING</t>
        </is>
      </c>
      <c r="DK398" s="40" t="inlineStr">
        <is>
          <t>CHOOSE RATING</t>
        </is>
      </c>
      <c r="DL398" s="40" t="inlineStr">
        <is>
          <t>CHOOSE RATING</t>
        </is>
      </c>
      <c r="DM398" s="40" t="inlineStr">
        <is>
          <t>CHOOSE RATING</t>
        </is>
      </c>
      <c r="DN398" s="40" t="inlineStr">
        <is>
          <t>CHOOSE RATING</t>
        </is>
      </c>
      <c r="DO398" s="40" t="inlineStr">
        <is>
          <t>CHOOSE RATING</t>
        </is>
      </c>
      <c r="DP398" s="40" t="inlineStr">
        <is>
          <t>CHOOSE RATING</t>
        </is>
      </c>
      <c r="DQ398" s="40" t="inlineStr">
        <is>
          <t>CHOOSE RATING</t>
        </is>
      </c>
      <c r="DR398" s="43" t="inlineStr">
        <is>
          <t>2024/2025</t>
        </is>
      </c>
      <c r="DS398" s="45" t="inlineStr">
        <is>
          <t>THIRD</t>
        </is>
      </c>
      <c r="DT398" s="40" t="inlineStr">
        <is>
          <t>CHOOSE RATING</t>
        </is>
      </c>
      <c r="DU398" s="40" t="inlineStr">
        <is>
          <t>CHOOSE RATING</t>
        </is>
      </c>
      <c r="DV398" s="40" t="inlineStr">
        <is>
          <t>CHOOSE RATING</t>
        </is>
      </c>
      <c r="DW398" s="40" t="inlineStr">
        <is>
          <t>CHOOSE RATING</t>
        </is>
      </c>
      <c r="DX398" s="40" t="inlineStr">
        <is>
          <t>CHOOSE RATING</t>
        </is>
      </c>
      <c r="DY398" s="40" t="inlineStr">
        <is>
          <t>CHOOSE RATING</t>
        </is>
      </c>
      <c r="DZ398" s="53" t="inlineStr">
        <is>
          <t>CHOOSE RATING</t>
        </is>
      </c>
      <c r="EA398" s="54" t="inlineStr">
        <is>
          <t>Add the Tutor's Comment . . .</t>
        </is>
      </c>
      <c r="EB398" s="55" t="inlineStr">
        <is>
          <t>Choose Principals comment</t>
        </is>
      </c>
      <c r="EC398" s="56" t="n"/>
      <c r="ED398" s="57" t="inlineStr">
        <is>
          <t>Next Term Begins on Monday, 22nd September, 2025</t>
        </is>
      </c>
    </row>
    <row r="399" ht="30.6" customHeight="1" s="6">
      <c r="A399" s="18" t="n">
        <v>396</v>
      </c>
      <c r="B399" s="19" t="n"/>
      <c r="C399" s="20" t="n"/>
      <c r="D399" s="128" t="n"/>
      <c r="E399" s="21" t="n"/>
      <c r="F399" s="22" t="n"/>
      <c r="G399" s="22" t="n"/>
      <c r="H399" s="22" t="n"/>
      <c r="I399" s="26">
        <f>G399-H399</f>
        <v/>
      </c>
      <c r="J399" s="21" t="n"/>
      <c r="K399" s="21" t="n"/>
      <c r="L399" s="27">
        <f>SUM(J399:K399)</f>
        <v/>
      </c>
      <c r="M399" s="28" t="n"/>
      <c r="N399" s="28" t="n"/>
      <c r="O399" s="29">
        <f>IF(AND(L399=0,M399=0,N399=0),0,IF(AND(L399=0,M399=0),N399/1,IF(AND(L399=0,N399=0),M399/1,IF(AND(M399=0,N399=0),L399/1,IF(L399=0,FLOOR((M399+N399)/2,0.1),IF(M399=0,(L399+N399)/2,IF(N399=0,(M399+L399)/2,FLOOR(((L399+M399+N399)/3),0.1))))))))</f>
        <v/>
      </c>
      <c r="P399" s="21" t="n"/>
      <c r="Q399" s="21" t="n"/>
      <c r="R399" s="27">
        <f>SUM(P399:Q399)</f>
        <v/>
      </c>
      <c r="S399" s="28" t="n"/>
      <c r="T399" s="28" t="n"/>
      <c r="U399" s="29">
        <f>IF(AND(R399=0,S399=0,T399=0),0,IF(AND(R399=0,S399=0),T399/1,IF(AND(R399=0,T399=0),S399/1,IF(AND(S399=0,T399=0),R399/1,IF(R399=0,FLOOR((S399+T399)/2,0.1),IF(S399=0,(R399+T399)/2,IF(T399=0,(S399+R399)/2,FLOOR(((R399+S399+T399)/3),0.1))))))))</f>
        <v/>
      </c>
      <c r="V399" s="21" t="n"/>
      <c r="W399" s="21" t="n"/>
      <c r="X399" s="27">
        <f>SUM(V399:W399)</f>
        <v/>
      </c>
      <c r="Y399" s="28" t="n"/>
      <c r="Z399" s="28" t="n"/>
      <c r="AA399" s="29">
        <f>IF(AND(X399=0,Y399=0,Z399=0),0,IF(AND(X399=0,Y399=0),Z399/1,IF(AND(X399=0,Z399=0),Y399/1,IF(AND(Y399=0,Z399=0),X399/1,IF(X399=0,FLOOR((Y399+Z399)/2,0.1),IF(Y399=0,(X399+Z399)/2,IF(Z399=0,(Y399+X399)/2,FLOOR(((X399+Y399+Z399)/3),0.1))))))))</f>
        <v/>
      </c>
      <c r="AB399" s="21" t="n"/>
      <c r="AC399" s="21" t="n"/>
      <c r="AD399" s="27">
        <f>SUM(AB399:AC399)</f>
        <v/>
      </c>
      <c r="AE399" s="28" t="n"/>
      <c r="AF399" s="28" t="n"/>
      <c r="AG399" s="29">
        <f>IF(AND(AD399=0,AE399=0,AF399=0),0,IF(AND(AD399=0,AE399=0),AF399/1,IF(AND(AD399=0,AF399=0),AE399/1,IF(AND(AE399=0,AF399=0),AD399/1,IF(AD399=0,FLOOR((AE399+AF399)/2,0.1),IF(AE399=0,(AD399+AF399)/2,IF(AF399=0,(AE399+AD399)/2,FLOOR(((AD399+AE399+AF399)/3),0.1))))))))</f>
        <v/>
      </c>
      <c r="AH399" s="21" t="n"/>
      <c r="AI399" s="21" t="n"/>
      <c r="AJ399" s="27">
        <f>SUM(AH399:AI399)</f>
        <v/>
      </c>
      <c r="AK399" s="28" t="n"/>
      <c r="AL399" s="28" t="n"/>
      <c r="AM399" s="29">
        <f>IF(AND(AJ399=0,AK399=0,AL399=0),0,IF(AND(AJ399=0,AK399=0),AL399/1,IF(AND(AJ399=0,AL399=0),AK399/1,IF(AND(AK399=0,AL399=0),AJ399/1,IF(AJ399=0,FLOOR((AK399+AL399)/2,0.1),IF(AK399=0,(AJ399+AL399)/2,IF(AL399=0,(AK399+AJ399)/2,FLOOR(((AJ399+AK399+AL399)/3),0.1))))))))</f>
        <v/>
      </c>
      <c r="AN399" s="21" t="n"/>
      <c r="AO399" s="21" t="n"/>
      <c r="AP399" s="27">
        <f>SUM(AN399:AO399)</f>
        <v/>
      </c>
      <c r="AQ399" s="28" t="n"/>
      <c r="AR399" s="30" t="n"/>
      <c r="AS399" s="29">
        <f>IF(AND(AP399=0,AQ399=0,AR399=0),0,IF(AND(AP399=0,AQ399=0),AR399/1,IF(AND(AP399=0,AR399=0),AQ399/1,IF(AND(AQ399=0,AR399=0),AP399/1,IF(AP399=0,FLOOR((AQ399+AR399)/2,0.1),IF(AQ399=0,(AP399+AR399)/2,IF(AR399=0,(AQ399+AP399)/2,FLOOR(((AP399+AQ399+AR399)/3),0.1))))))))</f>
        <v/>
      </c>
      <c r="AT399" s="21" t="n"/>
      <c r="AU399" s="21" t="n"/>
      <c r="AV399" s="27">
        <f>SUM(AT399:AU399)</f>
        <v/>
      </c>
      <c r="AW399" s="28" t="n"/>
      <c r="AX399" s="30" t="n"/>
      <c r="AY399" s="29">
        <f>IF(AND(AV399=0,AW399=0,AX399=0),0,IF(AND(AV399=0,AW399=0),AX399/1,IF(AND(AV399=0,AX399=0),AW399/1,IF(AND(AW399=0,AX399=0),AV399/1,IF(AV399=0,FLOOR((AW399+AX399)/2,0.1),IF(AW399=0,(AV399+AX399)/2,IF(AX399=0,(AW399+AV399)/2,FLOOR(((AV399+AW399+AX399)/3),0.1))))))))</f>
        <v/>
      </c>
      <c r="AZ399" s="21" t="n"/>
      <c r="BA399" s="21" t="n"/>
      <c r="BB399" s="27">
        <f>SUM(AZ399:BA399)</f>
        <v/>
      </c>
      <c r="BC399" s="28" t="n"/>
      <c r="BD399" s="28" t="n"/>
      <c r="BE399" s="29">
        <f>IF(AND(BB399=0,BC399=0,BD399=0),0,IF(AND(BB399=0,BC399=0),BD399/1,IF(AND(BB399=0,BD399=0),BC399/1,IF(AND(BC399=0,BD399=0),BB399/1,IF(BB399=0,FLOOR((BC399+BD399)/2,0.1),IF(BC399=0,(BB399+BD399)/2,IF(BD399=0,(BC399+BB399)/2,FLOOR(((BB399+BC399+BD399)/3),0.1))))))))</f>
        <v/>
      </c>
      <c r="BF399" s="21" t="n"/>
      <c r="BG399" s="21" t="n"/>
      <c r="BH399" s="27">
        <f>SUM(BF399:BG399)</f>
        <v/>
      </c>
      <c r="BI399" s="28" t="n"/>
      <c r="BJ399" s="28" t="n"/>
      <c r="BK399" s="29">
        <f>IF(AND(BH399=0,BI399=0,BJ399=0),0,IF(AND(BH399=0,BI399=0),BJ399/1,IF(AND(BH399=0,BJ399=0),BI399/1,IF(AND(BI399=0,BJ399=0),BH399/1,IF(BH399=0,FLOOR((BI399+BJ399)/2,0.1),IF(BI399=0,(BH399+BJ399)/2,IF(BJ399=0,(BI399+BH399)/2,FLOOR(((BH399+BI399+BJ399)/3),0.1))))))))</f>
        <v/>
      </c>
      <c r="BL399" s="21" t="n"/>
      <c r="BM399" s="21" t="n"/>
      <c r="BN399" s="27">
        <f>SUM(BL399:BM399)</f>
        <v/>
      </c>
      <c r="BO399" s="28" t="n"/>
      <c r="BP399" s="31" t="n"/>
      <c r="BQ399" s="29">
        <f>IF(AND(BN399=0,BO399=0,BP399=0),0,IF(AND(BN399=0,BO399=0),BP399/1,IF(AND(BN399=0,BP399=0),BO399/1,IF(AND(BO399=0,BP399=0),BN399/1,IF(BN399=0,FLOOR((BO399+BP399)/2,0.1),IF(BO399=0,(BN399+BP399)/2,IF(BP399=0,(BO399+BN399)/2,FLOOR(((BN399+BO399+BP399)/3),0.1))))))))</f>
        <v/>
      </c>
      <c r="BR399" s="21" t="n"/>
      <c r="BS399" s="21" t="n"/>
      <c r="BT399" s="27">
        <f>SUM(BR399:BS399)</f>
        <v/>
      </c>
      <c r="BU399" s="28" t="n"/>
      <c r="BV399" s="31" t="n"/>
      <c r="BW399" s="29">
        <f>IF(AND(BT399=0,BU399=0,BV399=0),0,IF(AND(BT399=0,BU399=0),BV399/1,IF(AND(BT399=0,BV399=0),BU399/1,IF(AND(BU399=0,BV399=0),BT399/1,IF(BT399=0,FLOOR((BU399+BV399)/2,0.1),IF(BU399=0,(BT399+BV399)/2,IF(BV399=0,(BU399+BT399)/2,FLOOR(((BT399+BU399+BV399)/3),0.1))))))))</f>
        <v/>
      </c>
      <c r="BX399" s="21" t="n"/>
      <c r="BY399" s="21" t="n"/>
      <c r="BZ399" s="27">
        <f>SUM(BX399:BY399)</f>
        <v/>
      </c>
      <c r="CA399" s="28" t="n"/>
      <c r="CB399" s="31" t="n"/>
      <c r="CC399" s="29">
        <f>IF(AND(BZ399=0,CA399=0,CB399=0),0,IF(AND(BZ399=0,CA399=0),CB399/1,IF(AND(BZ399=0,CB399=0),CA399/1,IF(AND(CA399=0,CB399=0),BZ399/1,IF(BZ399=0,FLOOR((CA399+CB399)/2,0.1),IF(CA399=0,(BZ399+CB399)/2,IF(CB399=0,(CA399+BZ399)/2,FLOOR(((BZ399+CA399+CB399)/3),0.1))))))))</f>
        <v/>
      </c>
      <c r="CD399" s="21" t="n"/>
      <c r="CE399" s="21" t="n"/>
      <c r="CF399" s="27">
        <f>SUM(CD399:CE399)</f>
        <v/>
      </c>
      <c r="CG399" s="28" t="n"/>
      <c r="CH399" s="31" t="n"/>
      <c r="CI399" s="29">
        <f>IF(AND(CF399=0,CG399=0,CH399=0),0,IF(AND(CF399=0,CG399=0),CH399/1,IF(AND(CF399=0,CH399=0),CG399/1,IF(AND(CG399=0,CH399=0),CF399/1,IF(CF399=0,FLOOR((CG399+CH399)/2,0.1),IF(CG399=0,(CF399+CH399)/2,IF(CH399=0,(CG399+CF399)/2,FLOOR(((CF399+CG399+CH399)/3),0.1))))))))</f>
        <v/>
      </c>
      <c r="CJ399" s="21" t="n"/>
      <c r="CK399" s="21" t="n"/>
      <c r="CL399" s="27">
        <f>SUM(CJ399:CK399)</f>
        <v/>
      </c>
      <c r="CM399" s="28" t="n"/>
      <c r="CN399" s="31" t="n"/>
      <c r="CO399" s="29">
        <f>IF(AND(CL399=0,CM399=0,CN399=0),0,IF(AND(CL399=0,CM399=0),CN399/1,IF(AND(CL399=0,CN399=0),CM399/1,IF(AND(CM399=0,CN399=0),CL399/1,IF(CL399=0,FLOOR((CM399+CN399)/2,0.1),IF(CM399=0,(CL399+CN399)/2,IF(CN399=0,(CM399+CL399)/2,FLOOR(((CL399+CM399+CN399)/3),0.1))))))))</f>
        <v/>
      </c>
      <c r="CP399" s="21" t="n"/>
      <c r="CQ399" s="21" t="n"/>
      <c r="CR399" s="27">
        <f>SUM(CP399:CQ399)</f>
        <v/>
      </c>
      <c r="CS399" s="28" t="n"/>
      <c r="CT399" s="31" t="n"/>
      <c r="CU399" s="29">
        <f>IF(AND(CR399=0,CS399=0,CT399=0),0,IF(AND(CR399=0,CS399=0),CT399/1,IF(AND(CR399=0,CT399=0),CS399/1,IF(AND(CS399=0,CT399=0),CR399/1,IF(CR399=0,FLOOR((CS399+CT399)/2,0.1),IF(CS399=0,(CR399+CT399)/2,IF(CT399=0,(CS399+CR399)/2,FLOOR(((CR399+CS399+CT399)/3),0.1))))))))</f>
        <v/>
      </c>
      <c r="CV399" s="21" t="n"/>
      <c r="CW399" s="21" t="n"/>
      <c r="CX399" s="27">
        <f>SUM(CV399:CW399)</f>
        <v/>
      </c>
      <c r="CY399" s="28" t="n"/>
      <c r="CZ399" s="31" t="n"/>
      <c r="DA399" s="29">
        <f>IF(AND(CX399=0,CY399=0,CZ399=0),0,IF(AND(CX399=0,CY399=0),CZ399/1,IF(AND(CX399=0,CZ399=0),CY399/1,IF(AND(CY399=0,CZ399=0),CX399/1,IF(CX399=0,FLOOR((CY399+CZ399)/2,0.1),IF(CY399=0,(CX399+CZ399)/2,IF(CZ399=0,(CY399+CX399)/2,FLOOR(((CX399+CY399+CZ399)/3),0.1))))))))</f>
        <v/>
      </c>
      <c r="DB399" s="21" t="n"/>
      <c r="DC399" s="21" t="n"/>
      <c r="DD399" s="27">
        <f>SUM(DB399:DC399)</f>
        <v/>
      </c>
      <c r="DE399" s="28" t="n"/>
      <c r="DF399" s="31" t="n"/>
      <c r="DG399" s="29">
        <f>IF(AND(DD399=0,DE399=0,DF399=0),0,IF(AND(DD399=0,DE399=0),DF399/1,IF(AND(DD399=0,DF399=0),DE399/1,IF(AND(DE399=0,DF399=0),DD399/1,IF(DD399=0,FLOOR((DE399+DF399)/2,0.1),IF(DE399=0,(DD399+DF399)/2,IF(DF399=0,(DE399+DD399)/2,FLOOR(((DD399+DE399+DF399)/3),0.1))))))))</f>
        <v/>
      </c>
      <c r="DH399" s="34">
        <f>SUM(O399,U399,AA399,AG399,AM399,AS399,AY399,BE399,BK399,BQ399,BW399,CC399,CI399,CO399,CU399,DA399,DG399)</f>
        <v/>
      </c>
      <c r="DI399" s="39">
        <f>RANK(DH399,DH$4:DH$503)</f>
        <v/>
      </c>
      <c r="DJ399" s="40" t="inlineStr">
        <is>
          <t>CHOOSE RATING</t>
        </is>
      </c>
      <c r="DK399" s="40" t="inlineStr">
        <is>
          <t>CHOOSE RATING</t>
        </is>
      </c>
      <c r="DL399" s="40" t="inlineStr">
        <is>
          <t>CHOOSE RATING</t>
        </is>
      </c>
      <c r="DM399" s="40" t="inlineStr">
        <is>
          <t>CHOOSE RATING</t>
        </is>
      </c>
      <c r="DN399" s="40" t="inlineStr">
        <is>
          <t>CHOOSE RATING</t>
        </is>
      </c>
      <c r="DO399" s="40" t="inlineStr">
        <is>
          <t>CHOOSE RATING</t>
        </is>
      </c>
      <c r="DP399" s="40" t="inlineStr">
        <is>
          <t>CHOOSE RATING</t>
        </is>
      </c>
      <c r="DQ399" s="40" t="inlineStr">
        <is>
          <t>CHOOSE RATING</t>
        </is>
      </c>
      <c r="DR399" s="43" t="inlineStr">
        <is>
          <t>2024/2025</t>
        </is>
      </c>
      <c r="DS399" s="45" t="inlineStr">
        <is>
          <t>THIRD</t>
        </is>
      </c>
      <c r="DT399" s="40" t="inlineStr">
        <is>
          <t>CHOOSE RATING</t>
        </is>
      </c>
      <c r="DU399" s="40" t="inlineStr">
        <is>
          <t>CHOOSE RATING</t>
        </is>
      </c>
      <c r="DV399" s="40" t="inlineStr">
        <is>
          <t>CHOOSE RATING</t>
        </is>
      </c>
      <c r="DW399" s="40" t="inlineStr">
        <is>
          <t>CHOOSE RATING</t>
        </is>
      </c>
      <c r="DX399" s="40" t="inlineStr">
        <is>
          <t>CHOOSE RATING</t>
        </is>
      </c>
      <c r="DY399" s="40" t="inlineStr">
        <is>
          <t>CHOOSE RATING</t>
        </is>
      </c>
      <c r="DZ399" s="53" t="inlineStr">
        <is>
          <t>CHOOSE RATING</t>
        </is>
      </c>
      <c r="EA399" s="54" t="inlineStr">
        <is>
          <t>Add the Tutor's Comment . . .</t>
        </is>
      </c>
      <c r="EB399" s="55" t="inlineStr">
        <is>
          <t>Choose Principals comment</t>
        </is>
      </c>
      <c r="EC399" s="56" t="n"/>
      <c r="ED399" s="57" t="inlineStr">
        <is>
          <t>Next Term Begins on Monday, 22nd September, 2025</t>
        </is>
      </c>
    </row>
    <row r="400" ht="30.6" customHeight="1" s="6">
      <c r="A400" s="18" t="n">
        <v>397</v>
      </c>
      <c r="B400" s="19" t="n"/>
      <c r="C400" s="20" t="n"/>
      <c r="D400" s="128" t="n"/>
      <c r="E400" s="21" t="n"/>
      <c r="F400" s="22" t="n"/>
      <c r="G400" s="22" t="n"/>
      <c r="H400" s="22" t="n"/>
      <c r="I400" s="26">
        <f>G400-H400</f>
        <v/>
      </c>
      <c r="J400" s="21" t="n"/>
      <c r="K400" s="21" t="n"/>
      <c r="L400" s="27">
        <f>SUM(J400:K400)</f>
        <v/>
      </c>
      <c r="M400" s="28" t="n"/>
      <c r="N400" s="28" t="n"/>
      <c r="O400" s="29">
        <f>IF(AND(L400=0,M400=0,N400=0),0,IF(AND(L400=0,M400=0),N400/1,IF(AND(L400=0,N400=0),M400/1,IF(AND(M400=0,N400=0),L400/1,IF(L400=0,FLOOR((M400+N400)/2,0.1),IF(M400=0,(L400+N400)/2,IF(N400=0,(M400+L400)/2,FLOOR(((L400+M400+N400)/3),0.1))))))))</f>
        <v/>
      </c>
      <c r="P400" s="21" t="n"/>
      <c r="Q400" s="21" t="n"/>
      <c r="R400" s="27">
        <f>SUM(P400:Q400)</f>
        <v/>
      </c>
      <c r="S400" s="28" t="n"/>
      <c r="T400" s="28" t="n"/>
      <c r="U400" s="29">
        <f>IF(AND(R400=0,S400=0,T400=0),0,IF(AND(R400=0,S400=0),T400/1,IF(AND(R400=0,T400=0),S400/1,IF(AND(S400=0,T400=0),R400/1,IF(R400=0,FLOOR((S400+T400)/2,0.1),IF(S400=0,(R400+T400)/2,IF(T400=0,(S400+R400)/2,FLOOR(((R400+S400+T400)/3),0.1))))))))</f>
        <v/>
      </c>
      <c r="V400" s="21" t="n"/>
      <c r="W400" s="21" t="n"/>
      <c r="X400" s="27">
        <f>SUM(V400:W400)</f>
        <v/>
      </c>
      <c r="Y400" s="28" t="n"/>
      <c r="Z400" s="28" t="n"/>
      <c r="AA400" s="29">
        <f>IF(AND(X400=0,Y400=0,Z400=0),0,IF(AND(X400=0,Y400=0),Z400/1,IF(AND(X400=0,Z400=0),Y400/1,IF(AND(Y400=0,Z400=0),X400/1,IF(X400=0,FLOOR((Y400+Z400)/2,0.1),IF(Y400=0,(X400+Z400)/2,IF(Z400=0,(Y400+X400)/2,FLOOR(((X400+Y400+Z400)/3),0.1))))))))</f>
        <v/>
      </c>
      <c r="AB400" s="21" t="n"/>
      <c r="AC400" s="21" t="n"/>
      <c r="AD400" s="27">
        <f>SUM(AB400:AC400)</f>
        <v/>
      </c>
      <c r="AE400" s="28" t="n"/>
      <c r="AF400" s="28" t="n"/>
      <c r="AG400" s="29">
        <f>IF(AND(AD400=0,AE400=0,AF400=0),0,IF(AND(AD400=0,AE400=0),AF400/1,IF(AND(AD400=0,AF400=0),AE400/1,IF(AND(AE400=0,AF400=0),AD400/1,IF(AD400=0,FLOOR((AE400+AF400)/2,0.1),IF(AE400=0,(AD400+AF400)/2,IF(AF400=0,(AE400+AD400)/2,FLOOR(((AD400+AE400+AF400)/3),0.1))))))))</f>
        <v/>
      </c>
      <c r="AH400" s="21" t="n"/>
      <c r="AI400" s="21" t="n"/>
      <c r="AJ400" s="27">
        <f>SUM(AH400:AI400)</f>
        <v/>
      </c>
      <c r="AK400" s="28" t="n"/>
      <c r="AL400" s="28" t="n"/>
      <c r="AM400" s="29">
        <f>IF(AND(AJ400=0,AK400=0,AL400=0),0,IF(AND(AJ400=0,AK400=0),AL400/1,IF(AND(AJ400=0,AL400=0),AK400/1,IF(AND(AK400=0,AL400=0),AJ400/1,IF(AJ400=0,FLOOR((AK400+AL400)/2,0.1),IF(AK400=0,(AJ400+AL400)/2,IF(AL400=0,(AK400+AJ400)/2,FLOOR(((AJ400+AK400+AL400)/3),0.1))))))))</f>
        <v/>
      </c>
      <c r="AN400" s="21" t="n"/>
      <c r="AO400" s="21" t="n"/>
      <c r="AP400" s="27">
        <f>SUM(AN400:AO400)</f>
        <v/>
      </c>
      <c r="AQ400" s="28" t="n"/>
      <c r="AR400" s="30" t="n"/>
      <c r="AS400" s="29">
        <f>IF(AND(AP400=0,AQ400=0,AR400=0),0,IF(AND(AP400=0,AQ400=0),AR400/1,IF(AND(AP400=0,AR400=0),AQ400/1,IF(AND(AQ400=0,AR400=0),AP400/1,IF(AP400=0,FLOOR((AQ400+AR400)/2,0.1),IF(AQ400=0,(AP400+AR400)/2,IF(AR400=0,(AQ400+AP400)/2,FLOOR(((AP400+AQ400+AR400)/3),0.1))))))))</f>
        <v/>
      </c>
      <c r="AT400" s="21" t="n"/>
      <c r="AU400" s="21" t="n"/>
      <c r="AV400" s="27">
        <f>SUM(AT400:AU400)</f>
        <v/>
      </c>
      <c r="AW400" s="28" t="n"/>
      <c r="AX400" s="30" t="n"/>
      <c r="AY400" s="29">
        <f>IF(AND(AV400=0,AW400=0,AX400=0),0,IF(AND(AV400=0,AW400=0),AX400/1,IF(AND(AV400=0,AX400=0),AW400/1,IF(AND(AW400=0,AX400=0),AV400/1,IF(AV400=0,FLOOR((AW400+AX400)/2,0.1),IF(AW400=0,(AV400+AX400)/2,IF(AX400=0,(AW400+AV400)/2,FLOOR(((AV400+AW400+AX400)/3),0.1))))))))</f>
        <v/>
      </c>
      <c r="AZ400" s="21" t="n"/>
      <c r="BA400" s="21" t="n"/>
      <c r="BB400" s="27">
        <f>SUM(AZ400:BA400)</f>
        <v/>
      </c>
      <c r="BC400" s="28" t="n"/>
      <c r="BD400" s="28" t="n"/>
      <c r="BE400" s="29">
        <f>IF(AND(BB400=0,BC400=0,BD400=0),0,IF(AND(BB400=0,BC400=0),BD400/1,IF(AND(BB400=0,BD400=0),BC400/1,IF(AND(BC400=0,BD400=0),BB400/1,IF(BB400=0,FLOOR((BC400+BD400)/2,0.1),IF(BC400=0,(BB400+BD400)/2,IF(BD400=0,(BC400+BB400)/2,FLOOR(((BB400+BC400+BD400)/3),0.1))))))))</f>
        <v/>
      </c>
      <c r="BF400" s="21" t="n"/>
      <c r="BG400" s="21" t="n"/>
      <c r="BH400" s="27">
        <f>SUM(BF400:BG400)</f>
        <v/>
      </c>
      <c r="BI400" s="28" t="n"/>
      <c r="BJ400" s="28" t="n"/>
      <c r="BK400" s="29">
        <f>IF(AND(BH400=0,BI400=0,BJ400=0),0,IF(AND(BH400=0,BI400=0),BJ400/1,IF(AND(BH400=0,BJ400=0),BI400/1,IF(AND(BI400=0,BJ400=0),BH400/1,IF(BH400=0,FLOOR((BI400+BJ400)/2,0.1),IF(BI400=0,(BH400+BJ400)/2,IF(BJ400=0,(BI400+BH400)/2,FLOOR(((BH400+BI400+BJ400)/3),0.1))))))))</f>
        <v/>
      </c>
      <c r="BL400" s="21" t="n"/>
      <c r="BM400" s="21" t="n"/>
      <c r="BN400" s="27">
        <f>SUM(BL400:BM400)</f>
        <v/>
      </c>
      <c r="BO400" s="28" t="n"/>
      <c r="BP400" s="31" t="n"/>
      <c r="BQ400" s="29">
        <f>IF(AND(BN400=0,BO400=0,BP400=0),0,IF(AND(BN400=0,BO400=0),BP400/1,IF(AND(BN400=0,BP400=0),BO400/1,IF(AND(BO400=0,BP400=0),BN400/1,IF(BN400=0,FLOOR((BO400+BP400)/2,0.1),IF(BO400=0,(BN400+BP400)/2,IF(BP400=0,(BO400+BN400)/2,FLOOR(((BN400+BO400+BP400)/3),0.1))))))))</f>
        <v/>
      </c>
      <c r="BR400" s="21" t="n"/>
      <c r="BS400" s="21" t="n"/>
      <c r="BT400" s="27">
        <f>SUM(BR400:BS400)</f>
        <v/>
      </c>
      <c r="BU400" s="28" t="n"/>
      <c r="BV400" s="31" t="n"/>
      <c r="BW400" s="29">
        <f>IF(AND(BT400=0,BU400=0,BV400=0),0,IF(AND(BT400=0,BU400=0),BV400/1,IF(AND(BT400=0,BV400=0),BU400/1,IF(AND(BU400=0,BV400=0),BT400/1,IF(BT400=0,FLOOR((BU400+BV400)/2,0.1),IF(BU400=0,(BT400+BV400)/2,IF(BV400=0,(BU400+BT400)/2,FLOOR(((BT400+BU400+BV400)/3),0.1))))))))</f>
        <v/>
      </c>
      <c r="BX400" s="21" t="n"/>
      <c r="BY400" s="21" t="n"/>
      <c r="BZ400" s="27">
        <f>SUM(BX400:BY400)</f>
        <v/>
      </c>
      <c r="CA400" s="28" t="n"/>
      <c r="CB400" s="31" t="n"/>
      <c r="CC400" s="29">
        <f>IF(AND(BZ400=0,CA400=0,CB400=0),0,IF(AND(BZ400=0,CA400=0),CB400/1,IF(AND(BZ400=0,CB400=0),CA400/1,IF(AND(CA400=0,CB400=0),BZ400/1,IF(BZ400=0,FLOOR((CA400+CB400)/2,0.1),IF(CA400=0,(BZ400+CB400)/2,IF(CB400=0,(CA400+BZ400)/2,FLOOR(((BZ400+CA400+CB400)/3),0.1))))))))</f>
        <v/>
      </c>
      <c r="CD400" s="21" t="n"/>
      <c r="CE400" s="21" t="n"/>
      <c r="CF400" s="27">
        <f>SUM(CD400:CE400)</f>
        <v/>
      </c>
      <c r="CG400" s="28" t="n"/>
      <c r="CH400" s="31" t="n"/>
      <c r="CI400" s="29">
        <f>IF(AND(CF400=0,CG400=0,CH400=0),0,IF(AND(CF400=0,CG400=0),CH400/1,IF(AND(CF400=0,CH400=0),CG400/1,IF(AND(CG400=0,CH400=0),CF400/1,IF(CF400=0,FLOOR((CG400+CH400)/2,0.1),IF(CG400=0,(CF400+CH400)/2,IF(CH400=0,(CG400+CF400)/2,FLOOR(((CF400+CG400+CH400)/3),0.1))))))))</f>
        <v/>
      </c>
      <c r="CJ400" s="21" t="n"/>
      <c r="CK400" s="21" t="n"/>
      <c r="CL400" s="27">
        <f>SUM(CJ400:CK400)</f>
        <v/>
      </c>
      <c r="CM400" s="28" t="n"/>
      <c r="CN400" s="31" t="n"/>
      <c r="CO400" s="29">
        <f>IF(AND(CL400=0,CM400=0,CN400=0),0,IF(AND(CL400=0,CM400=0),CN400/1,IF(AND(CL400=0,CN400=0),CM400/1,IF(AND(CM400=0,CN400=0),CL400/1,IF(CL400=0,FLOOR((CM400+CN400)/2,0.1),IF(CM400=0,(CL400+CN400)/2,IF(CN400=0,(CM400+CL400)/2,FLOOR(((CL400+CM400+CN400)/3),0.1))))))))</f>
        <v/>
      </c>
      <c r="CP400" s="21" t="n"/>
      <c r="CQ400" s="21" t="n"/>
      <c r="CR400" s="27">
        <f>SUM(CP400:CQ400)</f>
        <v/>
      </c>
      <c r="CS400" s="28" t="n"/>
      <c r="CT400" s="31" t="n"/>
      <c r="CU400" s="29">
        <f>IF(AND(CR400=0,CS400=0,CT400=0),0,IF(AND(CR400=0,CS400=0),CT400/1,IF(AND(CR400=0,CT400=0),CS400/1,IF(AND(CS400=0,CT400=0),CR400/1,IF(CR400=0,FLOOR((CS400+CT400)/2,0.1),IF(CS400=0,(CR400+CT400)/2,IF(CT400=0,(CS400+CR400)/2,FLOOR(((CR400+CS400+CT400)/3),0.1))))))))</f>
        <v/>
      </c>
      <c r="CV400" s="21" t="n"/>
      <c r="CW400" s="21" t="n"/>
      <c r="CX400" s="27">
        <f>SUM(CV400:CW400)</f>
        <v/>
      </c>
      <c r="CY400" s="28" t="n"/>
      <c r="CZ400" s="31" t="n"/>
      <c r="DA400" s="29">
        <f>IF(AND(CX400=0,CY400=0,CZ400=0),0,IF(AND(CX400=0,CY400=0),CZ400/1,IF(AND(CX400=0,CZ400=0),CY400/1,IF(AND(CY400=0,CZ400=0),CX400/1,IF(CX400=0,FLOOR((CY400+CZ400)/2,0.1),IF(CY400=0,(CX400+CZ400)/2,IF(CZ400=0,(CY400+CX400)/2,FLOOR(((CX400+CY400+CZ400)/3),0.1))))))))</f>
        <v/>
      </c>
      <c r="DB400" s="21" t="n"/>
      <c r="DC400" s="21" t="n"/>
      <c r="DD400" s="27">
        <f>SUM(DB400:DC400)</f>
        <v/>
      </c>
      <c r="DE400" s="28" t="n"/>
      <c r="DF400" s="31" t="n"/>
      <c r="DG400" s="29">
        <f>IF(AND(DD400=0,DE400=0,DF400=0),0,IF(AND(DD400=0,DE400=0),DF400/1,IF(AND(DD400=0,DF400=0),DE400/1,IF(AND(DE400=0,DF400=0),DD400/1,IF(DD400=0,FLOOR((DE400+DF400)/2,0.1),IF(DE400=0,(DD400+DF400)/2,IF(DF400=0,(DE400+DD400)/2,FLOOR(((DD400+DE400+DF400)/3),0.1))))))))</f>
        <v/>
      </c>
      <c r="DH400" s="34">
        <f>SUM(O400,U400,AA400,AG400,AM400,AS400,AY400,BE400,BK400,BQ400,BW400,CC400,CI400,CO400,CU400,DA400,DG400)</f>
        <v/>
      </c>
      <c r="DI400" s="39">
        <f>RANK(DH400,DH$4:DH$503)</f>
        <v/>
      </c>
      <c r="DJ400" s="40" t="inlineStr">
        <is>
          <t>CHOOSE RATING</t>
        </is>
      </c>
      <c r="DK400" s="40" t="inlineStr">
        <is>
          <t>CHOOSE RATING</t>
        </is>
      </c>
      <c r="DL400" s="40" t="inlineStr">
        <is>
          <t>CHOOSE RATING</t>
        </is>
      </c>
      <c r="DM400" s="40" t="inlineStr">
        <is>
          <t>CHOOSE RATING</t>
        </is>
      </c>
      <c r="DN400" s="40" t="inlineStr">
        <is>
          <t>CHOOSE RATING</t>
        </is>
      </c>
      <c r="DO400" s="40" t="inlineStr">
        <is>
          <t>CHOOSE RATING</t>
        </is>
      </c>
      <c r="DP400" s="40" t="inlineStr">
        <is>
          <t>CHOOSE RATING</t>
        </is>
      </c>
      <c r="DQ400" s="40" t="inlineStr">
        <is>
          <t>CHOOSE RATING</t>
        </is>
      </c>
      <c r="DR400" s="43" t="inlineStr">
        <is>
          <t>2024/2025</t>
        </is>
      </c>
      <c r="DS400" s="45" t="inlineStr">
        <is>
          <t>THIRD</t>
        </is>
      </c>
      <c r="DT400" s="40" t="inlineStr">
        <is>
          <t>CHOOSE RATING</t>
        </is>
      </c>
      <c r="DU400" s="40" t="inlineStr">
        <is>
          <t>CHOOSE RATING</t>
        </is>
      </c>
      <c r="DV400" s="40" t="inlineStr">
        <is>
          <t>CHOOSE RATING</t>
        </is>
      </c>
      <c r="DW400" s="40" t="inlineStr">
        <is>
          <t>CHOOSE RATING</t>
        </is>
      </c>
      <c r="DX400" s="40" t="inlineStr">
        <is>
          <t>CHOOSE RATING</t>
        </is>
      </c>
      <c r="DY400" s="40" t="inlineStr">
        <is>
          <t>CHOOSE RATING</t>
        </is>
      </c>
      <c r="DZ400" s="53" t="inlineStr">
        <is>
          <t>CHOOSE RATING</t>
        </is>
      </c>
      <c r="EA400" s="54" t="inlineStr">
        <is>
          <t>Add the Tutor's Comment . . .</t>
        </is>
      </c>
      <c r="EB400" s="55" t="inlineStr">
        <is>
          <t>Choose Principals comment</t>
        </is>
      </c>
      <c r="EC400" s="56" t="n"/>
      <c r="ED400" s="57" t="inlineStr">
        <is>
          <t>Next Term Begins on Monday, 22nd September, 2025</t>
        </is>
      </c>
    </row>
    <row r="401" ht="30.6" customHeight="1" s="6">
      <c r="A401" s="18" t="n">
        <v>398</v>
      </c>
      <c r="B401" s="19" t="n"/>
      <c r="C401" s="20" t="n"/>
      <c r="D401" s="128" t="n"/>
      <c r="E401" s="21" t="n"/>
      <c r="F401" s="22" t="n"/>
      <c r="G401" s="22" t="n"/>
      <c r="H401" s="22" t="n"/>
      <c r="I401" s="26">
        <f>G401-H401</f>
        <v/>
      </c>
      <c r="J401" s="21" t="n"/>
      <c r="K401" s="21" t="n"/>
      <c r="L401" s="27">
        <f>SUM(J401:K401)</f>
        <v/>
      </c>
      <c r="M401" s="28" t="n"/>
      <c r="N401" s="28" t="n"/>
      <c r="O401" s="29">
        <f>IF(AND(L401=0,M401=0,N401=0),0,IF(AND(L401=0,M401=0),N401/1,IF(AND(L401=0,N401=0),M401/1,IF(AND(M401=0,N401=0),L401/1,IF(L401=0,FLOOR((M401+N401)/2,0.1),IF(M401=0,(L401+N401)/2,IF(N401=0,(M401+L401)/2,FLOOR(((L401+M401+N401)/3),0.1))))))))</f>
        <v/>
      </c>
      <c r="P401" s="21" t="n"/>
      <c r="Q401" s="21" t="n"/>
      <c r="R401" s="27">
        <f>SUM(P401:Q401)</f>
        <v/>
      </c>
      <c r="S401" s="28" t="n"/>
      <c r="T401" s="28" t="n"/>
      <c r="U401" s="29">
        <f>IF(AND(R401=0,S401=0,T401=0),0,IF(AND(R401=0,S401=0),T401/1,IF(AND(R401=0,T401=0),S401/1,IF(AND(S401=0,T401=0),R401/1,IF(R401=0,FLOOR((S401+T401)/2,0.1),IF(S401=0,(R401+T401)/2,IF(T401=0,(S401+R401)/2,FLOOR(((R401+S401+T401)/3),0.1))))))))</f>
        <v/>
      </c>
      <c r="V401" s="21" t="n"/>
      <c r="W401" s="21" t="n"/>
      <c r="X401" s="27">
        <f>SUM(V401:W401)</f>
        <v/>
      </c>
      <c r="Y401" s="28" t="n"/>
      <c r="Z401" s="28" t="n"/>
      <c r="AA401" s="29">
        <f>IF(AND(X401=0,Y401=0,Z401=0),0,IF(AND(X401=0,Y401=0),Z401/1,IF(AND(X401=0,Z401=0),Y401/1,IF(AND(Y401=0,Z401=0),X401/1,IF(X401=0,FLOOR((Y401+Z401)/2,0.1),IF(Y401=0,(X401+Z401)/2,IF(Z401=0,(Y401+X401)/2,FLOOR(((X401+Y401+Z401)/3),0.1))))))))</f>
        <v/>
      </c>
      <c r="AB401" s="21" t="n"/>
      <c r="AC401" s="21" t="n"/>
      <c r="AD401" s="27">
        <f>SUM(AB401:AC401)</f>
        <v/>
      </c>
      <c r="AE401" s="28" t="n"/>
      <c r="AF401" s="28" t="n"/>
      <c r="AG401" s="29">
        <f>IF(AND(AD401=0,AE401=0,AF401=0),0,IF(AND(AD401=0,AE401=0),AF401/1,IF(AND(AD401=0,AF401=0),AE401/1,IF(AND(AE401=0,AF401=0),AD401/1,IF(AD401=0,FLOOR((AE401+AF401)/2,0.1),IF(AE401=0,(AD401+AF401)/2,IF(AF401=0,(AE401+AD401)/2,FLOOR(((AD401+AE401+AF401)/3),0.1))))))))</f>
        <v/>
      </c>
      <c r="AH401" s="21" t="n"/>
      <c r="AI401" s="21" t="n"/>
      <c r="AJ401" s="27">
        <f>SUM(AH401:AI401)</f>
        <v/>
      </c>
      <c r="AK401" s="28" t="n"/>
      <c r="AL401" s="28" t="n"/>
      <c r="AM401" s="29">
        <f>IF(AND(AJ401=0,AK401=0,AL401=0),0,IF(AND(AJ401=0,AK401=0),AL401/1,IF(AND(AJ401=0,AL401=0),AK401/1,IF(AND(AK401=0,AL401=0),AJ401/1,IF(AJ401=0,FLOOR((AK401+AL401)/2,0.1),IF(AK401=0,(AJ401+AL401)/2,IF(AL401=0,(AK401+AJ401)/2,FLOOR(((AJ401+AK401+AL401)/3),0.1))))))))</f>
        <v/>
      </c>
      <c r="AN401" s="21" t="n"/>
      <c r="AO401" s="21" t="n"/>
      <c r="AP401" s="27">
        <f>SUM(AN401:AO401)</f>
        <v/>
      </c>
      <c r="AQ401" s="28" t="n"/>
      <c r="AR401" s="30" t="n"/>
      <c r="AS401" s="29">
        <f>IF(AND(AP401=0,AQ401=0,AR401=0),0,IF(AND(AP401=0,AQ401=0),AR401/1,IF(AND(AP401=0,AR401=0),AQ401/1,IF(AND(AQ401=0,AR401=0),AP401/1,IF(AP401=0,FLOOR((AQ401+AR401)/2,0.1),IF(AQ401=0,(AP401+AR401)/2,IF(AR401=0,(AQ401+AP401)/2,FLOOR(((AP401+AQ401+AR401)/3),0.1))))))))</f>
        <v/>
      </c>
      <c r="AT401" s="21" t="n"/>
      <c r="AU401" s="21" t="n"/>
      <c r="AV401" s="27">
        <f>SUM(AT401:AU401)</f>
        <v/>
      </c>
      <c r="AW401" s="28" t="n"/>
      <c r="AX401" s="30" t="n"/>
      <c r="AY401" s="29">
        <f>IF(AND(AV401=0,AW401=0,AX401=0),0,IF(AND(AV401=0,AW401=0),AX401/1,IF(AND(AV401=0,AX401=0),AW401/1,IF(AND(AW401=0,AX401=0),AV401/1,IF(AV401=0,FLOOR((AW401+AX401)/2,0.1),IF(AW401=0,(AV401+AX401)/2,IF(AX401=0,(AW401+AV401)/2,FLOOR(((AV401+AW401+AX401)/3),0.1))))))))</f>
        <v/>
      </c>
      <c r="AZ401" s="21" t="n"/>
      <c r="BA401" s="21" t="n"/>
      <c r="BB401" s="27">
        <f>SUM(AZ401:BA401)</f>
        <v/>
      </c>
      <c r="BC401" s="28" t="n"/>
      <c r="BD401" s="28" t="n"/>
      <c r="BE401" s="29">
        <f>IF(AND(BB401=0,BC401=0,BD401=0),0,IF(AND(BB401=0,BC401=0),BD401/1,IF(AND(BB401=0,BD401=0),BC401/1,IF(AND(BC401=0,BD401=0),BB401/1,IF(BB401=0,FLOOR((BC401+BD401)/2,0.1),IF(BC401=0,(BB401+BD401)/2,IF(BD401=0,(BC401+BB401)/2,FLOOR(((BB401+BC401+BD401)/3),0.1))))))))</f>
        <v/>
      </c>
      <c r="BF401" s="21" t="n"/>
      <c r="BG401" s="21" t="n"/>
      <c r="BH401" s="27">
        <f>SUM(BF401:BG401)</f>
        <v/>
      </c>
      <c r="BI401" s="28" t="n"/>
      <c r="BJ401" s="28" t="n"/>
      <c r="BK401" s="29">
        <f>IF(AND(BH401=0,BI401=0,BJ401=0),0,IF(AND(BH401=0,BI401=0),BJ401/1,IF(AND(BH401=0,BJ401=0),BI401/1,IF(AND(BI401=0,BJ401=0),BH401/1,IF(BH401=0,FLOOR((BI401+BJ401)/2,0.1),IF(BI401=0,(BH401+BJ401)/2,IF(BJ401=0,(BI401+BH401)/2,FLOOR(((BH401+BI401+BJ401)/3),0.1))))))))</f>
        <v/>
      </c>
      <c r="BL401" s="21" t="n"/>
      <c r="BM401" s="21" t="n"/>
      <c r="BN401" s="27">
        <f>SUM(BL401:BM401)</f>
        <v/>
      </c>
      <c r="BO401" s="28" t="n"/>
      <c r="BP401" s="31" t="n"/>
      <c r="BQ401" s="29">
        <f>IF(AND(BN401=0,BO401=0,BP401=0),0,IF(AND(BN401=0,BO401=0),BP401/1,IF(AND(BN401=0,BP401=0),BO401/1,IF(AND(BO401=0,BP401=0),BN401/1,IF(BN401=0,FLOOR((BO401+BP401)/2,0.1),IF(BO401=0,(BN401+BP401)/2,IF(BP401=0,(BO401+BN401)/2,FLOOR(((BN401+BO401+BP401)/3),0.1))))))))</f>
        <v/>
      </c>
      <c r="BR401" s="21" t="n"/>
      <c r="BS401" s="21" t="n"/>
      <c r="BT401" s="27">
        <f>SUM(BR401:BS401)</f>
        <v/>
      </c>
      <c r="BU401" s="28" t="n"/>
      <c r="BV401" s="31" t="n"/>
      <c r="BW401" s="29">
        <f>IF(AND(BT401=0,BU401=0,BV401=0),0,IF(AND(BT401=0,BU401=0),BV401/1,IF(AND(BT401=0,BV401=0),BU401/1,IF(AND(BU401=0,BV401=0),BT401/1,IF(BT401=0,FLOOR((BU401+BV401)/2,0.1),IF(BU401=0,(BT401+BV401)/2,IF(BV401=0,(BU401+BT401)/2,FLOOR(((BT401+BU401+BV401)/3),0.1))))))))</f>
        <v/>
      </c>
      <c r="BX401" s="21" t="n"/>
      <c r="BY401" s="21" t="n"/>
      <c r="BZ401" s="27">
        <f>SUM(BX401:BY401)</f>
        <v/>
      </c>
      <c r="CA401" s="28" t="n"/>
      <c r="CB401" s="31" t="n"/>
      <c r="CC401" s="29">
        <f>IF(AND(BZ401=0,CA401=0,CB401=0),0,IF(AND(BZ401=0,CA401=0),CB401/1,IF(AND(BZ401=0,CB401=0),CA401/1,IF(AND(CA401=0,CB401=0),BZ401/1,IF(BZ401=0,FLOOR((CA401+CB401)/2,0.1),IF(CA401=0,(BZ401+CB401)/2,IF(CB401=0,(CA401+BZ401)/2,FLOOR(((BZ401+CA401+CB401)/3),0.1))))))))</f>
        <v/>
      </c>
      <c r="CD401" s="21" t="n"/>
      <c r="CE401" s="21" t="n"/>
      <c r="CF401" s="27">
        <f>SUM(CD401:CE401)</f>
        <v/>
      </c>
      <c r="CG401" s="28" t="n"/>
      <c r="CH401" s="31" t="n"/>
      <c r="CI401" s="29">
        <f>IF(AND(CF401=0,CG401=0,CH401=0),0,IF(AND(CF401=0,CG401=0),CH401/1,IF(AND(CF401=0,CH401=0),CG401/1,IF(AND(CG401=0,CH401=0),CF401/1,IF(CF401=0,FLOOR((CG401+CH401)/2,0.1),IF(CG401=0,(CF401+CH401)/2,IF(CH401=0,(CG401+CF401)/2,FLOOR(((CF401+CG401+CH401)/3),0.1))))))))</f>
        <v/>
      </c>
      <c r="CJ401" s="21" t="n"/>
      <c r="CK401" s="21" t="n"/>
      <c r="CL401" s="27">
        <f>SUM(CJ401:CK401)</f>
        <v/>
      </c>
      <c r="CM401" s="28" t="n"/>
      <c r="CN401" s="31" t="n"/>
      <c r="CO401" s="29">
        <f>IF(AND(CL401=0,CM401=0,CN401=0),0,IF(AND(CL401=0,CM401=0),CN401/1,IF(AND(CL401=0,CN401=0),CM401/1,IF(AND(CM401=0,CN401=0),CL401/1,IF(CL401=0,FLOOR((CM401+CN401)/2,0.1),IF(CM401=0,(CL401+CN401)/2,IF(CN401=0,(CM401+CL401)/2,FLOOR(((CL401+CM401+CN401)/3),0.1))))))))</f>
        <v/>
      </c>
      <c r="CP401" s="21" t="n"/>
      <c r="CQ401" s="21" t="n"/>
      <c r="CR401" s="27">
        <f>SUM(CP401:CQ401)</f>
        <v/>
      </c>
      <c r="CS401" s="28" t="n"/>
      <c r="CT401" s="31" t="n"/>
      <c r="CU401" s="29">
        <f>IF(AND(CR401=0,CS401=0,CT401=0),0,IF(AND(CR401=0,CS401=0),CT401/1,IF(AND(CR401=0,CT401=0),CS401/1,IF(AND(CS401=0,CT401=0),CR401/1,IF(CR401=0,FLOOR((CS401+CT401)/2,0.1),IF(CS401=0,(CR401+CT401)/2,IF(CT401=0,(CS401+CR401)/2,FLOOR(((CR401+CS401+CT401)/3),0.1))))))))</f>
        <v/>
      </c>
      <c r="CV401" s="21" t="n"/>
      <c r="CW401" s="21" t="n"/>
      <c r="CX401" s="27">
        <f>SUM(CV401:CW401)</f>
        <v/>
      </c>
      <c r="CY401" s="28" t="n"/>
      <c r="CZ401" s="31" t="n"/>
      <c r="DA401" s="29">
        <f>IF(AND(CX401=0,CY401=0,CZ401=0),0,IF(AND(CX401=0,CY401=0),CZ401/1,IF(AND(CX401=0,CZ401=0),CY401/1,IF(AND(CY401=0,CZ401=0),CX401/1,IF(CX401=0,FLOOR((CY401+CZ401)/2,0.1),IF(CY401=0,(CX401+CZ401)/2,IF(CZ401=0,(CY401+CX401)/2,FLOOR(((CX401+CY401+CZ401)/3),0.1))))))))</f>
        <v/>
      </c>
      <c r="DB401" s="21" t="n"/>
      <c r="DC401" s="21" t="n"/>
      <c r="DD401" s="27">
        <f>SUM(DB401:DC401)</f>
        <v/>
      </c>
      <c r="DE401" s="28" t="n"/>
      <c r="DF401" s="31" t="n"/>
      <c r="DG401" s="29">
        <f>IF(AND(DD401=0,DE401=0,DF401=0),0,IF(AND(DD401=0,DE401=0),DF401/1,IF(AND(DD401=0,DF401=0),DE401/1,IF(AND(DE401=0,DF401=0),DD401/1,IF(DD401=0,FLOOR((DE401+DF401)/2,0.1),IF(DE401=0,(DD401+DF401)/2,IF(DF401=0,(DE401+DD401)/2,FLOOR(((DD401+DE401+DF401)/3),0.1))))))))</f>
        <v/>
      </c>
      <c r="DH401" s="34">
        <f>SUM(O401,U401,AA401,AG401,AM401,AS401,AY401,BE401,BK401,BQ401,BW401,CC401,CI401,CO401,CU401,DA401,DG401)</f>
        <v/>
      </c>
      <c r="DI401" s="39">
        <f>RANK(DH401,DH$4:DH$503)</f>
        <v/>
      </c>
      <c r="DJ401" s="40" t="inlineStr">
        <is>
          <t>CHOOSE RATING</t>
        </is>
      </c>
      <c r="DK401" s="40" t="inlineStr">
        <is>
          <t>CHOOSE RATING</t>
        </is>
      </c>
      <c r="DL401" s="40" t="inlineStr">
        <is>
          <t>CHOOSE RATING</t>
        </is>
      </c>
      <c r="DM401" s="40" t="inlineStr">
        <is>
          <t>CHOOSE RATING</t>
        </is>
      </c>
      <c r="DN401" s="40" t="inlineStr">
        <is>
          <t>CHOOSE RATING</t>
        </is>
      </c>
      <c r="DO401" s="40" t="inlineStr">
        <is>
          <t>CHOOSE RATING</t>
        </is>
      </c>
      <c r="DP401" s="40" t="inlineStr">
        <is>
          <t>CHOOSE RATING</t>
        </is>
      </c>
      <c r="DQ401" s="40" t="inlineStr">
        <is>
          <t>CHOOSE RATING</t>
        </is>
      </c>
      <c r="DR401" s="43" t="inlineStr">
        <is>
          <t>2024/2025</t>
        </is>
      </c>
      <c r="DS401" s="45" t="inlineStr">
        <is>
          <t>THIRD</t>
        </is>
      </c>
      <c r="DT401" s="40" t="inlineStr">
        <is>
          <t>CHOOSE RATING</t>
        </is>
      </c>
      <c r="DU401" s="40" t="inlineStr">
        <is>
          <t>CHOOSE RATING</t>
        </is>
      </c>
      <c r="DV401" s="40" t="inlineStr">
        <is>
          <t>CHOOSE RATING</t>
        </is>
      </c>
      <c r="DW401" s="40" t="inlineStr">
        <is>
          <t>CHOOSE RATING</t>
        </is>
      </c>
      <c r="DX401" s="40" t="inlineStr">
        <is>
          <t>CHOOSE RATING</t>
        </is>
      </c>
      <c r="DY401" s="40" t="inlineStr">
        <is>
          <t>CHOOSE RATING</t>
        </is>
      </c>
      <c r="DZ401" s="53" t="inlineStr">
        <is>
          <t>CHOOSE RATING</t>
        </is>
      </c>
      <c r="EA401" s="54" t="inlineStr">
        <is>
          <t>Add the Tutor's Comment . . .</t>
        </is>
      </c>
      <c r="EB401" s="55" t="inlineStr">
        <is>
          <t>Choose Principals comment</t>
        </is>
      </c>
      <c r="EC401" s="56" t="n"/>
      <c r="ED401" s="57" t="inlineStr">
        <is>
          <t>Next Term Begins on Monday, 22nd September, 2025</t>
        </is>
      </c>
    </row>
    <row r="402" ht="30.6" customHeight="1" s="6">
      <c r="A402" s="18" t="n">
        <v>399</v>
      </c>
      <c r="B402" s="19" t="n"/>
      <c r="C402" s="20" t="n"/>
      <c r="D402" s="128" t="n"/>
      <c r="E402" s="21" t="n"/>
      <c r="F402" s="22" t="n"/>
      <c r="G402" s="22" t="n"/>
      <c r="H402" s="22" t="n"/>
      <c r="I402" s="26">
        <f>G402-H402</f>
        <v/>
      </c>
      <c r="J402" s="21" t="n"/>
      <c r="K402" s="21" t="n"/>
      <c r="L402" s="27">
        <f>SUM(J402:K402)</f>
        <v/>
      </c>
      <c r="M402" s="28" t="n"/>
      <c r="N402" s="28" t="n"/>
      <c r="O402" s="29">
        <f>IF(AND(L402=0,M402=0,N402=0),0,IF(AND(L402=0,M402=0),N402/1,IF(AND(L402=0,N402=0),M402/1,IF(AND(M402=0,N402=0),L402/1,IF(L402=0,FLOOR((M402+N402)/2,0.1),IF(M402=0,(L402+N402)/2,IF(N402=0,(M402+L402)/2,FLOOR(((L402+M402+N402)/3),0.1))))))))</f>
        <v/>
      </c>
      <c r="P402" s="21" t="n"/>
      <c r="Q402" s="21" t="n"/>
      <c r="R402" s="27">
        <f>SUM(P402:Q402)</f>
        <v/>
      </c>
      <c r="S402" s="28" t="n"/>
      <c r="T402" s="28" t="n"/>
      <c r="U402" s="29">
        <f>IF(AND(R402=0,S402=0,T402=0),0,IF(AND(R402=0,S402=0),T402/1,IF(AND(R402=0,T402=0),S402/1,IF(AND(S402=0,T402=0),R402/1,IF(R402=0,FLOOR((S402+T402)/2,0.1),IF(S402=0,(R402+T402)/2,IF(T402=0,(S402+R402)/2,FLOOR(((R402+S402+T402)/3),0.1))))))))</f>
        <v/>
      </c>
      <c r="V402" s="21" t="n"/>
      <c r="W402" s="21" t="n"/>
      <c r="X402" s="27">
        <f>SUM(V402:W402)</f>
        <v/>
      </c>
      <c r="Y402" s="28" t="n"/>
      <c r="Z402" s="28" t="n"/>
      <c r="AA402" s="29">
        <f>IF(AND(X402=0,Y402=0,Z402=0),0,IF(AND(X402=0,Y402=0),Z402/1,IF(AND(X402=0,Z402=0),Y402/1,IF(AND(Y402=0,Z402=0),X402/1,IF(X402=0,FLOOR((Y402+Z402)/2,0.1),IF(Y402=0,(X402+Z402)/2,IF(Z402=0,(Y402+X402)/2,FLOOR(((X402+Y402+Z402)/3),0.1))))))))</f>
        <v/>
      </c>
      <c r="AB402" s="21" t="n"/>
      <c r="AC402" s="21" t="n"/>
      <c r="AD402" s="27">
        <f>SUM(AB402:AC402)</f>
        <v/>
      </c>
      <c r="AE402" s="28" t="n"/>
      <c r="AF402" s="28" t="n"/>
      <c r="AG402" s="29">
        <f>IF(AND(AD402=0,AE402=0,AF402=0),0,IF(AND(AD402=0,AE402=0),AF402/1,IF(AND(AD402=0,AF402=0),AE402/1,IF(AND(AE402=0,AF402=0),AD402/1,IF(AD402=0,FLOOR((AE402+AF402)/2,0.1),IF(AE402=0,(AD402+AF402)/2,IF(AF402=0,(AE402+AD402)/2,FLOOR(((AD402+AE402+AF402)/3),0.1))))))))</f>
        <v/>
      </c>
      <c r="AH402" s="21" t="n"/>
      <c r="AI402" s="21" t="n"/>
      <c r="AJ402" s="27">
        <f>SUM(AH402:AI402)</f>
        <v/>
      </c>
      <c r="AK402" s="28" t="n"/>
      <c r="AL402" s="28" t="n"/>
      <c r="AM402" s="29">
        <f>IF(AND(AJ402=0,AK402=0,AL402=0),0,IF(AND(AJ402=0,AK402=0),AL402/1,IF(AND(AJ402=0,AL402=0),AK402/1,IF(AND(AK402=0,AL402=0),AJ402/1,IF(AJ402=0,FLOOR((AK402+AL402)/2,0.1),IF(AK402=0,(AJ402+AL402)/2,IF(AL402=0,(AK402+AJ402)/2,FLOOR(((AJ402+AK402+AL402)/3),0.1))))))))</f>
        <v/>
      </c>
      <c r="AN402" s="21" t="n"/>
      <c r="AO402" s="21" t="n"/>
      <c r="AP402" s="27">
        <f>SUM(AN402:AO402)</f>
        <v/>
      </c>
      <c r="AQ402" s="28" t="n"/>
      <c r="AR402" s="30" t="n"/>
      <c r="AS402" s="29">
        <f>IF(AND(AP402=0,AQ402=0,AR402=0),0,IF(AND(AP402=0,AQ402=0),AR402/1,IF(AND(AP402=0,AR402=0),AQ402/1,IF(AND(AQ402=0,AR402=0),AP402/1,IF(AP402=0,FLOOR((AQ402+AR402)/2,0.1),IF(AQ402=0,(AP402+AR402)/2,IF(AR402=0,(AQ402+AP402)/2,FLOOR(((AP402+AQ402+AR402)/3),0.1))))))))</f>
        <v/>
      </c>
      <c r="AT402" s="21" t="n"/>
      <c r="AU402" s="21" t="n"/>
      <c r="AV402" s="27">
        <f>SUM(AT402:AU402)</f>
        <v/>
      </c>
      <c r="AW402" s="28" t="n"/>
      <c r="AX402" s="30" t="n"/>
      <c r="AY402" s="29">
        <f>IF(AND(AV402=0,AW402=0,AX402=0),0,IF(AND(AV402=0,AW402=0),AX402/1,IF(AND(AV402=0,AX402=0),AW402/1,IF(AND(AW402=0,AX402=0),AV402/1,IF(AV402=0,FLOOR((AW402+AX402)/2,0.1),IF(AW402=0,(AV402+AX402)/2,IF(AX402=0,(AW402+AV402)/2,FLOOR(((AV402+AW402+AX402)/3),0.1))))))))</f>
        <v/>
      </c>
      <c r="AZ402" s="21" t="n"/>
      <c r="BA402" s="21" t="n"/>
      <c r="BB402" s="27">
        <f>SUM(AZ402:BA402)</f>
        <v/>
      </c>
      <c r="BC402" s="28" t="n"/>
      <c r="BD402" s="28" t="n"/>
      <c r="BE402" s="29">
        <f>IF(AND(BB402=0,BC402=0,BD402=0),0,IF(AND(BB402=0,BC402=0),BD402/1,IF(AND(BB402=0,BD402=0),BC402/1,IF(AND(BC402=0,BD402=0),BB402/1,IF(BB402=0,FLOOR((BC402+BD402)/2,0.1),IF(BC402=0,(BB402+BD402)/2,IF(BD402=0,(BC402+BB402)/2,FLOOR(((BB402+BC402+BD402)/3),0.1))))))))</f>
        <v/>
      </c>
      <c r="BF402" s="21" t="n"/>
      <c r="BG402" s="21" t="n"/>
      <c r="BH402" s="27">
        <f>SUM(BF402:BG402)</f>
        <v/>
      </c>
      <c r="BI402" s="28" t="n"/>
      <c r="BJ402" s="28" t="n"/>
      <c r="BK402" s="29">
        <f>IF(AND(BH402=0,BI402=0,BJ402=0),0,IF(AND(BH402=0,BI402=0),BJ402/1,IF(AND(BH402=0,BJ402=0),BI402/1,IF(AND(BI402=0,BJ402=0),BH402/1,IF(BH402=0,FLOOR((BI402+BJ402)/2,0.1),IF(BI402=0,(BH402+BJ402)/2,IF(BJ402=0,(BI402+BH402)/2,FLOOR(((BH402+BI402+BJ402)/3),0.1))))))))</f>
        <v/>
      </c>
      <c r="BL402" s="21" t="n"/>
      <c r="BM402" s="21" t="n"/>
      <c r="BN402" s="27">
        <f>SUM(BL402:BM402)</f>
        <v/>
      </c>
      <c r="BO402" s="28" t="n"/>
      <c r="BP402" s="31" t="n"/>
      <c r="BQ402" s="29">
        <f>IF(AND(BN402=0,BO402=0,BP402=0),0,IF(AND(BN402=0,BO402=0),BP402/1,IF(AND(BN402=0,BP402=0),BO402/1,IF(AND(BO402=0,BP402=0),BN402/1,IF(BN402=0,FLOOR((BO402+BP402)/2,0.1),IF(BO402=0,(BN402+BP402)/2,IF(BP402=0,(BO402+BN402)/2,FLOOR(((BN402+BO402+BP402)/3),0.1))))))))</f>
        <v/>
      </c>
      <c r="BR402" s="21" t="n"/>
      <c r="BS402" s="21" t="n"/>
      <c r="BT402" s="27">
        <f>SUM(BR402:BS402)</f>
        <v/>
      </c>
      <c r="BU402" s="28" t="n"/>
      <c r="BV402" s="31" t="n"/>
      <c r="BW402" s="29">
        <f>IF(AND(BT402=0,BU402=0,BV402=0),0,IF(AND(BT402=0,BU402=0),BV402/1,IF(AND(BT402=0,BV402=0),BU402/1,IF(AND(BU402=0,BV402=0),BT402/1,IF(BT402=0,FLOOR((BU402+BV402)/2,0.1),IF(BU402=0,(BT402+BV402)/2,IF(BV402=0,(BU402+BT402)/2,FLOOR(((BT402+BU402+BV402)/3),0.1))))))))</f>
        <v/>
      </c>
      <c r="BX402" s="21" t="n"/>
      <c r="BY402" s="21" t="n"/>
      <c r="BZ402" s="27">
        <f>SUM(BX402:BY402)</f>
        <v/>
      </c>
      <c r="CA402" s="28" t="n"/>
      <c r="CB402" s="31" t="n"/>
      <c r="CC402" s="29">
        <f>IF(AND(BZ402=0,CA402=0,CB402=0),0,IF(AND(BZ402=0,CA402=0),CB402/1,IF(AND(BZ402=0,CB402=0),CA402/1,IF(AND(CA402=0,CB402=0),BZ402/1,IF(BZ402=0,FLOOR((CA402+CB402)/2,0.1),IF(CA402=0,(BZ402+CB402)/2,IF(CB402=0,(CA402+BZ402)/2,FLOOR(((BZ402+CA402+CB402)/3),0.1))))))))</f>
        <v/>
      </c>
      <c r="CD402" s="21" t="n"/>
      <c r="CE402" s="21" t="n"/>
      <c r="CF402" s="27">
        <f>SUM(CD402:CE402)</f>
        <v/>
      </c>
      <c r="CG402" s="28" t="n"/>
      <c r="CH402" s="31" t="n"/>
      <c r="CI402" s="29">
        <f>IF(AND(CF402=0,CG402=0,CH402=0),0,IF(AND(CF402=0,CG402=0),CH402/1,IF(AND(CF402=0,CH402=0),CG402/1,IF(AND(CG402=0,CH402=0),CF402/1,IF(CF402=0,FLOOR((CG402+CH402)/2,0.1),IF(CG402=0,(CF402+CH402)/2,IF(CH402=0,(CG402+CF402)/2,FLOOR(((CF402+CG402+CH402)/3),0.1))))))))</f>
        <v/>
      </c>
      <c r="CJ402" s="21" t="n"/>
      <c r="CK402" s="21" t="n"/>
      <c r="CL402" s="27">
        <f>SUM(CJ402:CK402)</f>
        <v/>
      </c>
      <c r="CM402" s="28" t="n"/>
      <c r="CN402" s="31" t="n"/>
      <c r="CO402" s="29">
        <f>IF(AND(CL402=0,CM402=0,CN402=0),0,IF(AND(CL402=0,CM402=0),CN402/1,IF(AND(CL402=0,CN402=0),CM402/1,IF(AND(CM402=0,CN402=0),CL402/1,IF(CL402=0,FLOOR((CM402+CN402)/2,0.1),IF(CM402=0,(CL402+CN402)/2,IF(CN402=0,(CM402+CL402)/2,FLOOR(((CL402+CM402+CN402)/3),0.1))))))))</f>
        <v/>
      </c>
      <c r="CP402" s="21" t="n"/>
      <c r="CQ402" s="21" t="n"/>
      <c r="CR402" s="27">
        <f>SUM(CP402:CQ402)</f>
        <v/>
      </c>
      <c r="CS402" s="28" t="n"/>
      <c r="CT402" s="31" t="n"/>
      <c r="CU402" s="29">
        <f>IF(AND(CR402=0,CS402=0,CT402=0),0,IF(AND(CR402=0,CS402=0),CT402/1,IF(AND(CR402=0,CT402=0),CS402/1,IF(AND(CS402=0,CT402=0),CR402/1,IF(CR402=0,FLOOR((CS402+CT402)/2,0.1),IF(CS402=0,(CR402+CT402)/2,IF(CT402=0,(CS402+CR402)/2,FLOOR(((CR402+CS402+CT402)/3),0.1))))))))</f>
        <v/>
      </c>
      <c r="CV402" s="21" t="n"/>
      <c r="CW402" s="21" t="n"/>
      <c r="CX402" s="27">
        <f>SUM(CV402:CW402)</f>
        <v/>
      </c>
      <c r="CY402" s="28" t="n"/>
      <c r="CZ402" s="31" t="n"/>
      <c r="DA402" s="29">
        <f>IF(AND(CX402=0,CY402=0,CZ402=0),0,IF(AND(CX402=0,CY402=0),CZ402/1,IF(AND(CX402=0,CZ402=0),CY402/1,IF(AND(CY402=0,CZ402=0),CX402/1,IF(CX402=0,FLOOR((CY402+CZ402)/2,0.1),IF(CY402=0,(CX402+CZ402)/2,IF(CZ402=0,(CY402+CX402)/2,FLOOR(((CX402+CY402+CZ402)/3),0.1))))))))</f>
        <v/>
      </c>
      <c r="DB402" s="21" t="n"/>
      <c r="DC402" s="21" t="n"/>
      <c r="DD402" s="27">
        <f>SUM(DB402:DC402)</f>
        <v/>
      </c>
      <c r="DE402" s="28" t="n"/>
      <c r="DF402" s="31" t="n"/>
      <c r="DG402" s="29">
        <f>IF(AND(DD402=0,DE402=0,DF402=0),0,IF(AND(DD402=0,DE402=0),DF402/1,IF(AND(DD402=0,DF402=0),DE402/1,IF(AND(DE402=0,DF402=0),DD402/1,IF(DD402=0,FLOOR((DE402+DF402)/2,0.1),IF(DE402=0,(DD402+DF402)/2,IF(DF402=0,(DE402+DD402)/2,FLOOR(((DD402+DE402+DF402)/3),0.1))))))))</f>
        <v/>
      </c>
      <c r="DH402" s="34">
        <f>SUM(O402,U402,AA402,AG402,AM402,AS402,AY402,BE402,BK402,BQ402,BW402,CC402,CI402,CO402,CU402,DA402,DG402)</f>
        <v/>
      </c>
      <c r="DI402" s="39">
        <f>RANK(DH402,DH$4:DH$503)</f>
        <v/>
      </c>
      <c r="DJ402" s="40" t="inlineStr">
        <is>
          <t>CHOOSE RATING</t>
        </is>
      </c>
      <c r="DK402" s="40" t="inlineStr">
        <is>
          <t>CHOOSE RATING</t>
        </is>
      </c>
      <c r="DL402" s="40" t="inlineStr">
        <is>
          <t>CHOOSE RATING</t>
        </is>
      </c>
      <c r="DM402" s="40" t="inlineStr">
        <is>
          <t>CHOOSE RATING</t>
        </is>
      </c>
      <c r="DN402" s="40" t="inlineStr">
        <is>
          <t>CHOOSE RATING</t>
        </is>
      </c>
      <c r="DO402" s="40" t="inlineStr">
        <is>
          <t>CHOOSE RATING</t>
        </is>
      </c>
      <c r="DP402" s="40" t="inlineStr">
        <is>
          <t>CHOOSE RATING</t>
        </is>
      </c>
      <c r="DQ402" s="40" t="inlineStr">
        <is>
          <t>CHOOSE RATING</t>
        </is>
      </c>
      <c r="DR402" s="43" t="inlineStr">
        <is>
          <t>2024/2025</t>
        </is>
      </c>
      <c r="DS402" s="45" t="inlineStr">
        <is>
          <t>THIRD</t>
        </is>
      </c>
      <c r="DT402" s="40" t="inlineStr">
        <is>
          <t>CHOOSE RATING</t>
        </is>
      </c>
      <c r="DU402" s="40" t="inlineStr">
        <is>
          <t>CHOOSE RATING</t>
        </is>
      </c>
      <c r="DV402" s="40" t="inlineStr">
        <is>
          <t>CHOOSE RATING</t>
        </is>
      </c>
      <c r="DW402" s="40" t="inlineStr">
        <is>
          <t>CHOOSE RATING</t>
        </is>
      </c>
      <c r="DX402" s="40" t="inlineStr">
        <is>
          <t>CHOOSE RATING</t>
        </is>
      </c>
      <c r="DY402" s="40" t="inlineStr">
        <is>
          <t>CHOOSE RATING</t>
        </is>
      </c>
      <c r="DZ402" s="53" t="inlineStr">
        <is>
          <t>CHOOSE RATING</t>
        </is>
      </c>
      <c r="EA402" s="54" t="inlineStr">
        <is>
          <t>Add the Tutor's Comment . . .</t>
        </is>
      </c>
      <c r="EB402" s="55" t="inlineStr">
        <is>
          <t>Choose Principals comment</t>
        </is>
      </c>
      <c r="EC402" s="56" t="n"/>
      <c r="ED402" s="57" t="inlineStr">
        <is>
          <t>Next Term Begins on Monday, 22nd September, 2025</t>
        </is>
      </c>
    </row>
    <row r="403" ht="30.6" customHeight="1" s="6">
      <c r="A403" s="18" t="n">
        <v>400</v>
      </c>
      <c r="B403" s="19" t="n"/>
      <c r="C403" s="20" t="n"/>
      <c r="D403" s="128" t="n"/>
      <c r="E403" s="21" t="n"/>
      <c r="F403" s="22" t="n"/>
      <c r="G403" s="22" t="n"/>
      <c r="H403" s="22" t="n"/>
      <c r="I403" s="26">
        <f>G403-H403</f>
        <v/>
      </c>
      <c r="J403" s="21" t="n"/>
      <c r="K403" s="21" t="n"/>
      <c r="L403" s="27">
        <f>SUM(J403:K403)</f>
        <v/>
      </c>
      <c r="M403" s="28" t="n"/>
      <c r="N403" s="28" t="n"/>
      <c r="O403" s="29">
        <f>IF(AND(L403=0,M403=0,N403=0),0,IF(AND(L403=0,M403=0),N403/1,IF(AND(L403=0,N403=0),M403/1,IF(AND(M403=0,N403=0),L403/1,IF(L403=0,FLOOR((M403+N403)/2,0.1),IF(M403=0,(L403+N403)/2,IF(N403=0,(M403+L403)/2,FLOOR(((L403+M403+N403)/3),0.1))))))))</f>
        <v/>
      </c>
      <c r="P403" s="21" t="n"/>
      <c r="Q403" s="21" t="n"/>
      <c r="R403" s="27">
        <f>SUM(P403:Q403)</f>
        <v/>
      </c>
      <c r="S403" s="28" t="n"/>
      <c r="T403" s="28" t="n"/>
      <c r="U403" s="29">
        <f>IF(AND(R403=0,S403=0,T403=0),0,IF(AND(R403=0,S403=0),T403/1,IF(AND(R403=0,T403=0),S403/1,IF(AND(S403=0,T403=0),R403/1,IF(R403=0,FLOOR((S403+T403)/2,0.1),IF(S403=0,(R403+T403)/2,IF(T403=0,(S403+R403)/2,FLOOR(((R403+S403+T403)/3),0.1))))))))</f>
        <v/>
      </c>
      <c r="V403" s="21" t="n"/>
      <c r="W403" s="21" t="n"/>
      <c r="X403" s="27">
        <f>SUM(V403:W403)</f>
        <v/>
      </c>
      <c r="Y403" s="28" t="n"/>
      <c r="Z403" s="28" t="n"/>
      <c r="AA403" s="29">
        <f>IF(AND(X403=0,Y403=0,Z403=0),0,IF(AND(X403=0,Y403=0),Z403/1,IF(AND(X403=0,Z403=0),Y403/1,IF(AND(Y403=0,Z403=0),X403/1,IF(X403=0,FLOOR((Y403+Z403)/2,0.1),IF(Y403=0,(X403+Z403)/2,IF(Z403=0,(Y403+X403)/2,FLOOR(((X403+Y403+Z403)/3),0.1))))))))</f>
        <v/>
      </c>
      <c r="AB403" s="21" t="n"/>
      <c r="AC403" s="21" t="n"/>
      <c r="AD403" s="27">
        <f>SUM(AB403:AC403)</f>
        <v/>
      </c>
      <c r="AE403" s="28" t="n"/>
      <c r="AF403" s="28" t="n"/>
      <c r="AG403" s="29">
        <f>IF(AND(AD403=0,AE403=0,AF403=0),0,IF(AND(AD403=0,AE403=0),AF403/1,IF(AND(AD403=0,AF403=0),AE403/1,IF(AND(AE403=0,AF403=0),AD403/1,IF(AD403=0,FLOOR((AE403+AF403)/2,0.1),IF(AE403=0,(AD403+AF403)/2,IF(AF403=0,(AE403+AD403)/2,FLOOR(((AD403+AE403+AF403)/3),0.1))))))))</f>
        <v/>
      </c>
      <c r="AH403" s="21" t="n"/>
      <c r="AI403" s="21" t="n"/>
      <c r="AJ403" s="27">
        <f>SUM(AH403:AI403)</f>
        <v/>
      </c>
      <c r="AK403" s="28" t="n"/>
      <c r="AL403" s="28" t="n"/>
      <c r="AM403" s="29">
        <f>IF(AND(AJ403=0,AK403=0,AL403=0),0,IF(AND(AJ403=0,AK403=0),AL403/1,IF(AND(AJ403=0,AL403=0),AK403/1,IF(AND(AK403=0,AL403=0),AJ403/1,IF(AJ403=0,FLOOR((AK403+AL403)/2,0.1),IF(AK403=0,(AJ403+AL403)/2,IF(AL403=0,(AK403+AJ403)/2,FLOOR(((AJ403+AK403+AL403)/3),0.1))))))))</f>
        <v/>
      </c>
      <c r="AN403" s="21" t="n"/>
      <c r="AO403" s="21" t="n"/>
      <c r="AP403" s="27">
        <f>SUM(AN403:AO403)</f>
        <v/>
      </c>
      <c r="AQ403" s="28" t="n"/>
      <c r="AR403" s="30" t="n"/>
      <c r="AS403" s="29">
        <f>IF(AND(AP403=0,AQ403=0,AR403=0),0,IF(AND(AP403=0,AQ403=0),AR403/1,IF(AND(AP403=0,AR403=0),AQ403/1,IF(AND(AQ403=0,AR403=0),AP403/1,IF(AP403=0,FLOOR((AQ403+AR403)/2,0.1),IF(AQ403=0,(AP403+AR403)/2,IF(AR403=0,(AQ403+AP403)/2,FLOOR(((AP403+AQ403+AR403)/3),0.1))))))))</f>
        <v/>
      </c>
      <c r="AT403" s="21" t="n"/>
      <c r="AU403" s="21" t="n"/>
      <c r="AV403" s="27">
        <f>SUM(AT403:AU403)</f>
        <v/>
      </c>
      <c r="AW403" s="28" t="n"/>
      <c r="AX403" s="30" t="n"/>
      <c r="AY403" s="29">
        <f>IF(AND(AV403=0,AW403=0,AX403=0),0,IF(AND(AV403=0,AW403=0),AX403/1,IF(AND(AV403=0,AX403=0),AW403/1,IF(AND(AW403=0,AX403=0),AV403/1,IF(AV403=0,FLOOR((AW403+AX403)/2,0.1),IF(AW403=0,(AV403+AX403)/2,IF(AX403=0,(AW403+AV403)/2,FLOOR(((AV403+AW403+AX403)/3),0.1))))))))</f>
        <v/>
      </c>
      <c r="AZ403" s="21" t="n"/>
      <c r="BA403" s="21" t="n"/>
      <c r="BB403" s="27">
        <f>SUM(AZ403:BA403)</f>
        <v/>
      </c>
      <c r="BC403" s="28" t="n"/>
      <c r="BD403" s="28" t="n"/>
      <c r="BE403" s="29">
        <f>IF(AND(BB403=0,BC403=0,BD403=0),0,IF(AND(BB403=0,BC403=0),BD403/1,IF(AND(BB403=0,BD403=0),BC403/1,IF(AND(BC403=0,BD403=0),BB403/1,IF(BB403=0,FLOOR((BC403+BD403)/2,0.1),IF(BC403=0,(BB403+BD403)/2,IF(BD403=0,(BC403+BB403)/2,FLOOR(((BB403+BC403+BD403)/3),0.1))))))))</f>
        <v/>
      </c>
      <c r="BF403" s="21" t="n"/>
      <c r="BG403" s="21" t="n"/>
      <c r="BH403" s="27">
        <f>SUM(BF403:BG403)</f>
        <v/>
      </c>
      <c r="BI403" s="28" t="n"/>
      <c r="BJ403" s="28" t="n"/>
      <c r="BK403" s="29">
        <f>IF(AND(BH403=0,BI403=0,BJ403=0),0,IF(AND(BH403=0,BI403=0),BJ403/1,IF(AND(BH403=0,BJ403=0),BI403/1,IF(AND(BI403=0,BJ403=0),BH403/1,IF(BH403=0,FLOOR((BI403+BJ403)/2,0.1),IF(BI403=0,(BH403+BJ403)/2,IF(BJ403=0,(BI403+BH403)/2,FLOOR(((BH403+BI403+BJ403)/3),0.1))))))))</f>
        <v/>
      </c>
      <c r="BL403" s="21" t="n"/>
      <c r="BM403" s="21" t="n"/>
      <c r="BN403" s="27">
        <f>SUM(BL403:BM403)</f>
        <v/>
      </c>
      <c r="BO403" s="28" t="n"/>
      <c r="BP403" s="31" t="n"/>
      <c r="BQ403" s="29">
        <f>IF(AND(BN403=0,BO403=0,BP403=0),0,IF(AND(BN403=0,BO403=0),BP403/1,IF(AND(BN403=0,BP403=0),BO403/1,IF(AND(BO403=0,BP403=0),BN403/1,IF(BN403=0,FLOOR((BO403+BP403)/2,0.1),IF(BO403=0,(BN403+BP403)/2,IF(BP403=0,(BO403+BN403)/2,FLOOR(((BN403+BO403+BP403)/3),0.1))))))))</f>
        <v/>
      </c>
      <c r="BR403" s="21" t="n"/>
      <c r="BS403" s="21" t="n"/>
      <c r="BT403" s="27">
        <f>SUM(BR403:BS403)</f>
        <v/>
      </c>
      <c r="BU403" s="28" t="n"/>
      <c r="BV403" s="31" t="n"/>
      <c r="BW403" s="29">
        <f>IF(AND(BT403=0,BU403=0,BV403=0),0,IF(AND(BT403=0,BU403=0),BV403/1,IF(AND(BT403=0,BV403=0),BU403/1,IF(AND(BU403=0,BV403=0),BT403/1,IF(BT403=0,FLOOR((BU403+BV403)/2,0.1),IF(BU403=0,(BT403+BV403)/2,IF(BV403=0,(BU403+BT403)/2,FLOOR(((BT403+BU403+BV403)/3),0.1))))))))</f>
        <v/>
      </c>
      <c r="BX403" s="21" t="n"/>
      <c r="BY403" s="21" t="n"/>
      <c r="BZ403" s="27">
        <f>SUM(BX403:BY403)</f>
        <v/>
      </c>
      <c r="CA403" s="28" t="n"/>
      <c r="CB403" s="31" t="n"/>
      <c r="CC403" s="29">
        <f>IF(AND(BZ403=0,CA403=0,CB403=0),0,IF(AND(BZ403=0,CA403=0),CB403/1,IF(AND(BZ403=0,CB403=0),CA403/1,IF(AND(CA403=0,CB403=0),BZ403/1,IF(BZ403=0,FLOOR((CA403+CB403)/2,0.1),IF(CA403=0,(BZ403+CB403)/2,IF(CB403=0,(CA403+BZ403)/2,FLOOR(((BZ403+CA403+CB403)/3),0.1))))))))</f>
        <v/>
      </c>
      <c r="CD403" s="21" t="n"/>
      <c r="CE403" s="21" t="n"/>
      <c r="CF403" s="27">
        <f>SUM(CD403:CE403)</f>
        <v/>
      </c>
      <c r="CG403" s="28" t="n"/>
      <c r="CH403" s="31" t="n"/>
      <c r="CI403" s="29">
        <f>IF(AND(CF403=0,CG403=0,CH403=0),0,IF(AND(CF403=0,CG403=0),CH403/1,IF(AND(CF403=0,CH403=0),CG403/1,IF(AND(CG403=0,CH403=0),CF403/1,IF(CF403=0,FLOOR((CG403+CH403)/2,0.1),IF(CG403=0,(CF403+CH403)/2,IF(CH403=0,(CG403+CF403)/2,FLOOR(((CF403+CG403+CH403)/3),0.1))))))))</f>
        <v/>
      </c>
      <c r="CJ403" s="21" t="n"/>
      <c r="CK403" s="21" t="n"/>
      <c r="CL403" s="27">
        <f>SUM(CJ403:CK403)</f>
        <v/>
      </c>
      <c r="CM403" s="28" t="n"/>
      <c r="CN403" s="31" t="n"/>
      <c r="CO403" s="29">
        <f>IF(AND(CL403=0,CM403=0,CN403=0),0,IF(AND(CL403=0,CM403=0),CN403/1,IF(AND(CL403=0,CN403=0),CM403/1,IF(AND(CM403=0,CN403=0),CL403/1,IF(CL403=0,FLOOR((CM403+CN403)/2,0.1),IF(CM403=0,(CL403+CN403)/2,IF(CN403=0,(CM403+CL403)/2,FLOOR(((CL403+CM403+CN403)/3),0.1))))))))</f>
        <v/>
      </c>
      <c r="CP403" s="21" t="n"/>
      <c r="CQ403" s="21" t="n"/>
      <c r="CR403" s="27">
        <f>SUM(CP403:CQ403)</f>
        <v/>
      </c>
      <c r="CS403" s="28" t="n"/>
      <c r="CT403" s="31" t="n"/>
      <c r="CU403" s="29">
        <f>IF(AND(CR403=0,CS403=0,CT403=0),0,IF(AND(CR403=0,CS403=0),CT403/1,IF(AND(CR403=0,CT403=0),CS403/1,IF(AND(CS403=0,CT403=0),CR403/1,IF(CR403=0,FLOOR((CS403+CT403)/2,0.1),IF(CS403=0,(CR403+CT403)/2,IF(CT403=0,(CS403+CR403)/2,FLOOR(((CR403+CS403+CT403)/3),0.1))))))))</f>
        <v/>
      </c>
      <c r="CV403" s="21" t="n"/>
      <c r="CW403" s="21" t="n"/>
      <c r="CX403" s="27">
        <f>SUM(CV403:CW403)</f>
        <v/>
      </c>
      <c r="CY403" s="28" t="n"/>
      <c r="CZ403" s="31" t="n"/>
      <c r="DA403" s="29">
        <f>IF(AND(CX403=0,CY403=0,CZ403=0),0,IF(AND(CX403=0,CY403=0),CZ403/1,IF(AND(CX403=0,CZ403=0),CY403/1,IF(AND(CY403=0,CZ403=0),CX403/1,IF(CX403=0,FLOOR((CY403+CZ403)/2,0.1),IF(CY403=0,(CX403+CZ403)/2,IF(CZ403=0,(CY403+CX403)/2,FLOOR(((CX403+CY403+CZ403)/3),0.1))))))))</f>
        <v/>
      </c>
      <c r="DB403" s="21" t="n"/>
      <c r="DC403" s="21" t="n"/>
      <c r="DD403" s="27">
        <f>SUM(DB403:DC403)</f>
        <v/>
      </c>
      <c r="DE403" s="28" t="n"/>
      <c r="DF403" s="31" t="n"/>
      <c r="DG403" s="29">
        <f>IF(AND(DD403=0,DE403=0,DF403=0),0,IF(AND(DD403=0,DE403=0),DF403/1,IF(AND(DD403=0,DF403=0),DE403/1,IF(AND(DE403=0,DF403=0),DD403/1,IF(DD403=0,FLOOR((DE403+DF403)/2,0.1),IF(DE403=0,(DD403+DF403)/2,IF(DF403=0,(DE403+DD403)/2,FLOOR(((DD403+DE403+DF403)/3),0.1))))))))</f>
        <v/>
      </c>
      <c r="DH403" s="34">
        <f>SUM(O403,U403,AA403,AG403,AM403,AS403,AY403,BE403,BK403,BQ403,BW403,CC403,CI403,CO403,CU403,DA403,DG403)</f>
        <v/>
      </c>
      <c r="DI403" s="39">
        <f>RANK(DH403,DH$4:DH$503)</f>
        <v/>
      </c>
      <c r="DJ403" s="40" t="inlineStr">
        <is>
          <t>CHOOSE RATING</t>
        </is>
      </c>
      <c r="DK403" s="40" t="inlineStr">
        <is>
          <t>CHOOSE RATING</t>
        </is>
      </c>
      <c r="DL403" s="40" t="inlineStr">
        <is>
          <t>CHOOSE RATING</t>
        </is>
      </c>
      <c r="DM403" s="40" t="inlineStr">
        <is>
          <t>CHOOSE RATING</t>
        </is>
      </c>
      <c r="DN403" s="40" t="inlineStr">
        <is>
          <t>CHOOSE RATING</t>
        </is>
      </c>
      <c r="DO403" s="40" t="inlineStr">
        <is>
          <t>CHOOSE RATING</t>
        </is>
      </c>
      <c r="DP403" s="40" t="inlineStr">
        <is>
          <t>CHOOSE RATING</t>
        </is>
      </c>
      <c r="DQ403" s="40" t="inlineStr">
        <is>
          <t>CHOOSE RATING</t>
        </is>
      </c>
      <c r="DR403" s="43" t="inlineStr">
        <is>
          <t>2024/2025</t>
        </is>
      </c>
      <c r="DS403" s="45" t="inlineStr">
        <is>
          <t>THIRD</t>
        </is>
      </c>
      <c r="DT403" s="40" t="inlineStr">
        <is>
          <t>CHOOSE RATING</t>
        </is>
      </c>
      <c r="DU403" s="40" t="inlineStr">
        <is>
          <t>CHOOSE RATING</t>
        </is>
      </c>
      <c r="DV403" s="40" t="inlineStr">
        <is>
          <t>CHOOSE RATING</t>
        </is>
      </c>
      <c r="DW403" s="40" t="inlineStr">
        <is>
          <t>CHOOSE RATING</t>
        </is>
      </c>
      <c r="DX403" s="40" t="inlineStr">
        <is>
          <t>CHOOSE RATING</t>
        </is>
      </c>
      <c r="DY403" s="40" t="inlineStr">
        <is>
          <t>CHOOSE RATING</t>
        </is>
      </c>
      <c r="DZ403" s="53" t="inlineStr">
        <is>
          <t>CHOOSE RATING</t>
        </is>
      </c>
      <c r="EA403" s="54" t="inlineStr">
        <is>
          <t>Add the Tutor's Comment . . .</t>
        </is>
      </c>
      <c r="EB403" s="55" t="inlineStr">
        <is>
          <t>Choose Principals comment</t>
        </is>
      </c>
      <c r="EC403" s="56" t="n"/>
      <c r="ED403" s="57" t="inlineStr">
        <is>
          <t>Next Term Begins on Monday, 22nd September, 2025</t>
        </is>
      </c>
    </row>
    <row r="404" ht="30.6" customHeight="1" s="6">
      <c r="A404" s="18" t="n">
        <v>401</v>
      </c>
      <c r="B404" s="19" t="n"/>
      <c r="C404" s="20" t="n"/>
      <c r="D404" s="128" t="n"/>
      <c r="E404" s="21" t="n"/>
      <c r="F404" s="22" t="n"/>
      <c r="G404" s="22" t="n"/>
      <c r="H404" s="22" t="n"/>
      <c r="I404" s="26">
        <f>G404-H404</f>
        <v/>
      </c>
      <c r="J404" s="21" t="n"/>
      <c r="K404" s="21" t="n"/>
      <c r="L404" s="27">
        <f>SUM(J404:K404)</f>
        <v/>
      </c>
      <c r="M404" s="28" t="n"/>
      <c r="N404" s="28" t="n"/>
      <c r="O404" s="29">
        <f>IF(AND(L404=0,M404=0,N404=0),0,IF(AND(L404=0,M404=0),N404/1,IF(AND(L404=0,N404=0),M404/1,IF(AND(M404=0,N404=0),L404/1,IF(L404=0,FLOOR((M404+N404)/2,0.1),IF(M404=0,(L404+N404)/2,IF(N404=0,(M404+L404)/2,FLOOR(((L404+M404+N404)/3),0.1))))))))</f>
        <v/>
      </c>
      <c r="P404" s="21" t="n"/>
      <c r="Q404" s="21" t="n"/>
      <c r="R404" s="27">
        <f>SUM(P404:Q404)</f>
        <v/>
      </c>
      <c r="S404" s="28" t="n"/>
      <c r="T404" s="28" t="n"/>
      <c r="U404" s="29">
        <f>IF(AND(R404=0,S404=0,T404=0),0,IF(AND(R404=0,S404=0),T404/1,IF(AND(R404=0,T404=0),S404/1,IF(AND(S404=0,T404=0),R404/1,IF(R404=0,FLOOR((S404+T404)/2,0.1),IF(S404=0,(R404+T404)/2,IF(T404=0,(S404+R404)/2,FLOOR(((R404+S404+T404)/3),0.1))))))))</f>
        <v/>
      </c>
      <c r="V404" s="21" t="n"/>
      <c r="W404" s="21" t="n"/>
      <c r="X404" s="27">
        <f>SUM(V404:W404)</f>
        <v/>
      </c>
      <c r="Y404" s="28" t="n"/>
      <c r="Z404" s="28" t="n"/>
      <c r="AA404" s="29">
        <f>IF(AND(X404=0,Y404=0,Z404=0),0,IF(AND(X404=0,Y404=0),Z404/1,IF(AND(X404=0,Z404=0),Y404/1,IF(AND(Y404=0,Z404=0),X404/1,IF(X404=0,FLOOR((Y404+Z404)/2,0.1),IF(Y404=0,(X404+Z404)/2,IF(Z404=0,(Y404+X404)/2,FLOOR(((X404+Y404+Z404)/3),0.1))))))))</f>
        <v/>
      </c>
      <c r="AB404" s="21" t="n"/>
      <c r="AC404" s="21" t="n"/>
      <c r="AD404" s="27">
        <f>SUM(AB404:AC404)</f>
        <v/>
      </c>
      <c r="AE404" s="28" t="n"/>
      <c r="AF404" s="28" t="n"/>
      <c r="AG404" s="29">
        <f>IF(AND(AD404=0,AE404=0,AF404=0),0,IF(AND(AD404=0,AE404=0),AF404/1,IF(AND(AD404=0,AF404=0),AE404/1,IF(AND(AE404=0,AF404=0),AD404/1,IF(AD404=0,FLOOR((AE404+AF404)/2,0.1),IF(AE404=0,(AD404+AF404)/2,IF(AF404=0,(AE404+AD404)/2,FLOOR(((AD404+AE404+AF404)/3),0.1))))))))</f>
        <v/>
      </c>
      <c r="AH404" s="21" t="n"/>
      <c r="AI404" s="21" t="n"/>
      <c r="AJ404" s="27">
        <f>SUM(AH404:AI404)</f>
        <v/>
      </c>
      <c r="AK404" s="28" t="n"/>
      <c r="AL404" s="28" t="n"/>
      <c r="AM404" s="29">
        <f>IF(AND(AJ404=0,AK404=0,AL404=0),0,IF(AND(AJ404=0,AK404=0),AL404/1,IF(AND(AJ404=0,AL404=0),AK404/1,IF(AND(AK404=0,AL404=0),AJ404/1,IF(AJ404=0,FLOOR((AK404+AL404)/2,0.1),IF(AK404=0,(AJ404+AL404)/2,IF(AL404=0,(AK404+AJ404)/2,FLOOR(((AJ404+AK404+AL404)/3),0.1))))))))</f>
        <v/>
      </c>
      <c r="AN404" s="21" t="n"/>
      <c r="AO404" s="21" t="n"/>
      <c r="AP404" s="27">
        <f>SUM(AN404:AO404)</f>
        <v/>
      </c>
      <c r="AQ404" s="28" t="n"/>
      <c r="AR404" s="30" t="n"/>
      <c r="AS404" s="29">
        <f>IF(AND(AP404=0,AQ404=0,AR404=0),0,IF(AND(AP404=0,AQ404=0),AR404/1,IF(AND(AP404=0,AR404=0),AQ404/1,IF(AND(AQ404=0,AR404=0),AP404/1,IF(AP404=0,FLOOR((AQ404+AR404)/2,0.1),IF(AQ404=0,(AP404+AR404)/2,IF(AR404=0,(AQ404+AP404)/2,FLOOR(((AP404+AQ404+AR404)/3),0.1))))))))</f>
        <v/>
      </c>
      <c r="AT404" s="21" t="n"/>
      <c r="AU404" s="21" t="n"/>
      <c r="AV404" s="27">
        <f>SUM(AT404:AU404)</f>
        <v/>
      </c>
      <c r="AW404" s="28" t="n"/>
      <c r="AX404" s="30" t="n"/>
      <c r="AY404" s="29">
        <f>IF(AND(AV404=0,AW404=0,AX404=0),0,IF(AND(AV404=0,AW404=0),AX404/1,IF(AND(AV404=0,AX404=0),AW404/1,IF(AND(AW404=0,AX404=0),AV404/1,IF(AV404=0,FLOOR((AW404+AX404)/2,0.1),IF(AW404=0,(AV404+AX404)/2,IF(AX404=0,(AW404+AV404)/2,FLOOR(((AV404+AW404+AX404)/3),0.1))))))))</f>
        <v/>
      </c>
      <c r="AZ404" s="21" t="n"/>
      <c r="BA404" s="21" t="n"/>
      <c r="BB404" s="27">
        <f>SUM(AZ404:BA404)</f>
        <v/>
      </c>
      <c r="BC404" s="28" t="n"/>
      <c r="BD404" s="28" t="n"/>
      <c r="BE404" s="29">
        <f>IF(AND(BB404=0,BC404=0,BD404=0),0,IF(AND(BB404=0,BC404=0),BD404/1,IF(AND(BB404=0,BD404=0),BC404/1,IF(AND(BC404=0,BD404=0),BB404/1,IF(BB404=0,FLOOR((BC404+BD404)/2,0.1),IF(BC404=0,(BB404+BD404)/2,IF(BD404=0,(BC404+BB404)/2,FLOOR(((BB404+BC404+BD404)/3),0.1))))))))</f>
        <v/>
      </c>
      <c r="BF404" s="21" t="n"/>
      <c r="BG404" s="21" t="n"/>
      <c r="BH404" s="27">
        <f>SUM(BF404:BG404)</f>
        <v/>
      </c>
      <c r="BI404" s="28" t="n"/>
      <c r="BJ404" s="28" t="n"/>
      <c r="BK404" s="29">
        <f>IF(AND(BH404=0,BI404=0,BJ404=0),0,IF(AND(BH404=0,BI404=0),BJ404/1,IF(AND(BH404=0,BJ404=0),BI404/1,IF(AND(BI404=0,BJ404=0),BH404/1,IF(BH404=0,FLOOR((BI404+BJ404)/2,0.1),IF(BI404=0,(BH404+BJ404)/2,IF(BJ404=0,(BI404+BH404)/2,FLOOR(((BH404+BI404+BJ404)/3),0.1))))))))</f>
        <v/>
      </c>
      <c r="BL404" s="21" t="n"/>
      <c r="BM404" s="21" t="n"/>
      <c r="BN404" s="27">
        <f>SUM(BL404:BM404)</f>
        <v/>
      </c>
      <c r="BO404" s="28" t="n"/>
      <c r="BP404" s="31" t="n"/>
      <c r="BQ404" s="29">
        <f>IF(AND(BN404=0,BO404=0,BP404=0),0,IF(AND(BN404=0,BO404=0),BP404/1,IF(AND(BN404=0,BP404=0),BO404/1,IF(AND(BO404=0,BP404=0),BN404/1,IF(BN404=0,FLOOR((BO404+BP404)/2,0.1),IF(BO404=0,(BN404+BP404)/2,IF(BP404=0,(BO404+BN404)/2,FLOOR(((BN404+BO404+BP404)/3),0.1))))))))</f>
        <v/>
      </c>
      <c r="BR404" s="21" t="n"/>
      <c r="BS404" s="21" t="n"/>
      <c r="BT404" s="27">
        <f>SUM(BR404:BS404)</f>
        <v/>
      </c>
      <c r="BU404" s="28" t="n"/>
      <c r="BV404" s="31" t="n"/>
      <c r="BW404" s="29">
        <f>IF(AND(BT404=0,BU404=0,BV404=0),0,IF(AND(BT404=0,BU404=0),BV404/1,IF(AND(BT404=0,BV404=0),BU404/1,IF(AND(BU404=0,BV404=0),BT404/1,IF(BT404=0,FLOOR((BU404+BV404)/2,0.1),IF(BU404=0,(BT404+BV404)/2,IF(BV404=0,(BU404+BT404)/2,FLOOR(((BT404+BU404+BV404)/3),0.1))))))))</f>
        <v/>
      </c>
      <c r="BX404" s="21" t="n"/>
      <c r="BY404" s="21" t="n"/>
      <c r="BZ404" s="27">
        <f>SUM(BX404:BY404)</f>
        <v/>
      </c>
      <c r="CA404" s="28" t="n"/>
      <c r="CB404" s="31" t="n"/>
      <c r="CC404" s="29">
        <f>IF(AND(BZ404=0,CA404=0,CB404=0),0,IF(AND(BZ404=0,CA404=0),CB404/1,IF(AND(BZ404=0,CB404=0),CA404/1,IF(AND(CA404=0,CB404=0),BZ404/1,IF(BZ404=0,FLOOR((CA404+CB404)/2,0.1),IF(CA404=0,(BZ404+CB404)/2,IF(CB404=0,(CA404+BZ404)/2,FLOOR(((BZ404+CA404+CB404)/3),0.1))))))))</f>
        <v/>
      </c>
      <c r="CD404" s="21" t="n"/>
      <c r="CE404" s="21" t="n"/>
      <c r="CF404" s="27">
        <f>SUM(CD404:CE404)</f>
        <v/>
      </c>
      <c r="CG404" s="28" t="n"/>
      <c r="CH404" s="31" t="n"/>
      <c r="CI404" s="29">
        <f>IF(AND(CF404=0,CG404=0,CH404=0),0,IF(AND(CF404=0,CG404=0),CH404/1,IF(AND(CF404=0,CH404=0),CG404/1,IF(AND(CG404=0,CH404=0),CF404/1,IF(CF404=0,FLOOR((CG404+CH404)/2,0.1),IF(CG404=0,(CF404+CH404)/2,IF(CH404=0,(CG404+CF404)/2,FLOOR(((CF404+CG404+CH404)/3),0.1))))))))</f>
        <v/>
      </c>
      <c r="CJ404" s="21" t="n"/>
      <c r="CK404" s="21" t="n"/>
      <c r="CL404" s="27">
        <f>SUM(CJ404:CK404)</f>
        <v/>
      </c>
      <c r="CM404" s="28" t="n"/>
      <c r="CN404" s="31" t="n"/>
      <c r="CO404" s="29">
        <f>IF(AND(CL404=0,CM404=0,CN404=0),0,IF(AND(CL404=0,CM404=0),CN404/1,IF(AND(CL404=0,CN404=0),CM404/1,IF(AND(CM404=0,CN404=0),CL404/1,IF(CL404=0,FLOOR((CM404+CN404)/2,0.1),IF(CM404=0,(CL404+CN404)/2,IF(CN404=0,(CM404+CL404)/2,FLOOR(((CL404+CM404+CN404)/3),0.1))))))))</f>
        <v/>
      </c>
      <c r="CP404" s="21" t="n"/>
      <c r="CQ404" s="21" t="n"/>
      <c r="CR404" s="27">
        <f>SUM(CP404:CQ404)</f>
        <v/>
      </c>
      <c r="CS404" s="28" t="n"/>
      <c r="CT404" s="31" t="n"/>
      <c r="CU404" s="29">
        <f>IF(AND(CR404=0,CS404=0,CT404=0),0,IF(AND(CR404=0,CS404=0),CT404/1,IF(AND(CR404=0,CT404=0),CS404/1,IF(AND(CS404=0,CT404=0),CR404/1,IF(CR404=0,FLOOR((CS404+CT404)/2,0.1),IF(CS404=0,(CR404+CT404)/2,IF(CT404=0,(CS404+CR404)/2,FLOOR(((CR404+CS404+CT404)/3),0.1))))))))</f>
        <v/>
      </c>
      <c r="CV404" s="21" t="n"/>
      <c r="CW404" s="21" t="n"/>
      <c r="CX404" s="27">
        <f>SUM(CV404:CW404)</f>
        <v/>
      </c>
      <c r="CY404" s="28" t="n"/>
      <c r="CZ404" s="31" t="n"/>
      <c r="DA404" s="29">
        <f>IF(AND(CX404=0,CY404=0,CZ404=0),0,IF(AND(CX404=0,CY404=0),CZ404/1,IF(AND(CX404=0,CZ404=0),CY404/1,IF(AND(CY404=0,CZ404=0),CX404/1,IF(CX404=0,FLOOR((CY404+CZ404)/2,0.1),IF(CY404=0,(CX404+CZ404)/2,IF(CZ404=0,(CY404+CX404)/2,FLOOR(((CX404+CY404+CZ404)/3),0.1))))))))</f>
        <v/>
      </c>
      <c r="DB404" s="21" t="n"/>
      <c r="DC404" s="21" t="n"/>
      <c r="DD404" s="27">
        <f>SUM(DB404:DC404)</f>
        <v/>
      </c>
      <c r="DE404" s="28" t="n"/>
      <c r="DF404" s="31" t="n"/>
      <c r="DG404" s="29">
        <f>IF(AND(DD404=0,DE404=0,DF404=0),0,IF(AND(DD404=0,DE404=0),DF404/1,IF(AND(DD404=0,DF404=0),DE404/1,IF(AND(DE404=0,DF404=0),DD404/1,IF(DD404=0,FLOOR((DE404+DF404)/2,0.1),IF(DE404=0,(DD404+DF404)/2,IF(DF404=0,(DE404+DD404)/2,FLOOR(((DD404+DE404+DF404)/3),0.1))))))))</f>
        <v/>
      </c>
      <c r="DH404" s="34">
        <f>SUM(O404,U404,AA404,AG404,AM404,AS404,AY404,BE404,BK404,BQ404,BW404,CC404,CI404,CO404,CU404,DA404,DG404)</f>
        <v/>
      </c>
      <c r="DI404" s="39">
        <f>RANK(DH404,DH$4:DH$503)</f>
        <v/>
      </c>
      <c r="DJ404" s="40" t="inlineStr">
        <is>
          <t>CHOOSE RATING</t>
        </is>
      </c>
      <c r="DK404" s="40" t="inlineStr">
        <is>
          <t>CHOOSE RATING</t>
        </is>
      </c>
      <c r="DL404" s="40" t="inlineStr">
        <is>
          <t>CHOOSE RATING</t>
        </is>
      </c>
      <c r="DM404" s="40" t="inlineStr">
        <is>
          <t>CHOOSE RATING</t>
        </is>
      </c>
      <c r="DN404" s="40" t="inlineStr">
        <is>
          <t>CHOOSE RATING</t>
        </is>
      </c>
      <c r="DO404" s="40" t="inlineStr">
        <is>
          <t>CHOOSE RATING</t>
        </is>
      </c>
      <c r="DP404" s="40" t="inlineStr">
        <is>
          <t>CHOOSE RATING</t>
        </is>
      </c>
      <c r="DQ404" s="40" t="inlineStr">
        <is>
          <t>CHOOSE RATING</t>
        </is>
      </c>
      <c r="DR404" s="43" t="inlineStr">
        <is>
          <t>2024/2025</t>
        </is>
      </c>
      <c r="DS404" s="45" t="inlineStr">
        <is>
          <t>THIRD</t>
        </is>
      </c>
      <c r="DT404" s="40" t="inlineStr">
        <is>
          <t>CHOOSE RATING</t>
        </is>
      </c>
      <c r="DU404" s="40" t="inlineStr">
        <is>
          <t>CHOOSE RATING</t>
        </is>
      </c>
      <c r="DV404" s="40" t="inlineStr">
        <is>
          <t>CHOOSE RATING</t>
        </is>
      </c>
      <c r="DW404" s="40" t="inlineStr">
        <is>
          <t>CHOOSE RATING</t>
        </is>
      </c>
      <c r="DX404" s="40" t="inlineStr">
        <is>
          <t>CHOOSE RATING</t>
        </is>
      </c>
      <c r="DY404" s="40" t="inlineStr">
        <is>
          <t>CHOOSE RATING</t>
        </is>
      </c>
      <c r="DZ404" s="53" t="inlineStr">
        <is>
          <t>CHOOSE RATING</t>
        </is>
      </c>
      <c r="EA404" s="54" t="inlineStr">
        <is>
          <t>Add the Tutor's Comment . . .</t>
        </is>
      </c>
      <c r="EB404" s="55" t="inlineStr">
        <is>
          <t>Choose Principals comment</t>
        </is>
      </c>
      <c r="EC404" s="56" t="n"/>
      <c r="ED404" s="57" t="inlineStr">
        <is>
          <t>Next Term Begins on Monday, 22nd September, 2025</t>
        </is>
      </c>
    </row>
    <row r="405" ht="30.6" customHeight="1" s="6">
      <c r="A405" s="18" t="n">
        <v>402</v>
      </c>
      <c r="B405" s="19" t="n"/>
      <c r="C405" s="20" t="n"/>
      <c r="D405" s="128" t="n"/>
      <c r="E405" s="21" t="n"/>
      <c r="F405" s="22" t="n"/>
      <c r="G405" s="22" t="n"/>
      <c r="H405" s="22" t="n"/>
      <c r="I405" s="26">
        <f>G405-H405</f>
        <v/>
      </c>
      <c r="J405" s="21" t="n"/>
      <c r="K405" s="21" t="n"/>
      <c r="L405" s="27">
        <f>SUM(J405:K405)</f>
        <v/>
      </c>
      <c r="M405" s="28" t="n"/>
      <c r="N405" s="28" t="n"/>
      <c r="O405" s="29">
        <f>IF(AND(L405=0,M405=0,N405=0),0,IF(AND(L405=0,M405=0),N405/1,IF(AND(L405=0,N405=0),M405/1,IF(AND(M405=0,N405=0),L405/1,IF(L405=0,FLOOR((M405+N405)/2,0.1),IF(M405=0,(L405+N405)/2,IF(N405=0,(M405+L405)/2,FLOOR(((L405+M405+N405)/3),0.1))))))))</f>
        <v/>
      </c>
      <c r="P405" s="21" t="n"/>
      <c r="Q405" s="21" t="n"/>
      <c r="R405" s="27">
        <f>SUM(P405:Q405)</f>
        <v/>
      </c>
      <c r="S405" s="28" t="n"/>
      <c r="T405" s="28" t="n"/>
      <c r="U405" s="29">
        <f>IF(AND(R405=0,S405=0,T405=0),0,IF(AND(R405=0,S405=0),T405/1,IF(AND(R405=0,T405=0),S405/1,IF(AND(S405=0,T405=0),R405/1,IF(R405=0,FLOOR((S405+T405)/2,0.1),IF(S405=0,(R405+T405)/2,IF(T405=0,(S405+R405)/2,FLOOR(((R405+S405+T405)/3),0.1))))))))</f>
        <v/>
      </c>
      <c r="V405" s="21" t="n"/>
      <c r="W405" s="21" t="n"/>
      <c r="X405" s="27">
        <f>SUM(V405:W405)</f>
        <v/>
      </c>
      <c r="Y405" s="28" t="n"/>
      <c r="Z405" s="28" t="n"/>
      <c r="AA405" s="29">
        <f>IF(AND(X405=0,Y405=0,Z405=0),0,IF(AND(X405=0,Y405=0),Z405/1,IF(AND(X405=0,Z405=0),Y405/1,IF(AND(Y405=0,Z405=0),X405/1,IF(X405=0,FLOOR((Y405+Z405)/2,0.1),IF(Y405=0,(X405+Z405)/2,IF(Z405=0,(Y405+X405)/2,FLOOR(((X405+Y405+Z405)/3),0.1))))))))</f>
        <v/>
      </c>
      <c r="AB405" s="21" t="n"/>
      <c r="AC405" s="21" t="n"/>
      <c r="AD405" s="27">
        <f>SUM(AB405:AC405)</f>
        <v/>
      </c>
      <c r="AE405" s="28" t="n"/>
      <c r="AF405" s="28" t="n"/>
      <c r="AG405" s="29">
        <f>IF(AND(AD405=0,AE405=0,AF405=0),0,IF(AND(AD405=0,AE405=0),AF405/1,IF(AND(AD405=0,AF405=0),AE405/1,IF(AND(AE405=0,AF405=0),AD405/1,IF(AD405=0,FLOOR((AE405+AF405)/2,0.1),IF(AE405=0,(AD405+AF405)/2,IF(AF405=0,(AE405+AD405)/2,FLOOR(((AD405+AE405+AF405)/3),0.1))))))))</f>
        <v/>
      </c>
      <c r="AH405" s="21" t="n"/>
      <c r="AI405" s="21" t="n"/>
      <c r="AJ405" s="27">
        <f>SUM(AH405:AI405)</f>
        <v/>
      </c>
      <c r="AK405" s="28" t="n"/>
      <c r="AL405" s="28" t="n"/>
      <c r="AM405" s="29">
        <f>IF(AND(AJ405=0,AK405=0,AL405=0),0,IF(AND(AJ405=0,AK405=0),AL405/1,IF(AND(AJ405=0,AL405=0),AK405/1,IF(AND(AK405=0,AL405=0),AJ405/1,IF(AJ405=0,FLOOR((AK405+AL405)/2,0.1),IF(AK405=0,(AJ405+AL405)/2,IF(AL405=0,(AK405+AJ405)/2,FLOOR(((AJ405+AK405+AL405)/3),0.1))))))))</f>
        <v/>
      </c>
      <c r="AN405" s="21" t="n"/>
      <c r="AO405" s="21" t="n"/>
      <c r="AP405" s="27">
        <f>SUM(AN405:AO405)</f>
        <v/>
      </c>
      <c r="AQ405" s="28" t="n"/>
      <c r="AR405" s="30" t="n"/>
      <c r="AS405" s="29">
        <f>IF(AND(AP405=0,AQ405=0,AR405=0),0,IF(AND(AP405=0,AQ405=0),AR405/1,IF(AND(AP405=0,AR405=0),AQ405/1,IF(AND(AQ405=0,AR405=0),AP405/1,IF(AP405=0,FLOOR((AQ405+AR405)/2,0.1),IF(AQ405=0,(AP405+AR405)/2,IF(AR405=0,(AQ405+AP405)/2,FLOOR(((AP405+AQ405+AR405)/3),0.1))))))))</f>
        <v/>
      </c>
      <c r="AT405" s="21" t="n"/>
      <c r="AU405" s="21" t="n"/>
      <c r="AV405" s="27">
        <f>SUM(AT405:AU405)</f>
        <v/>
      </c>
      <c r="AW405" s="28" t="n"/>
      <c r="AX405" s="30" t="n"/>
      <c r="AY405" s="29">
        <f>IF(AND(AV405=0,AW405=0,AX405=0),0,IF(AND(AV405=0,AW405=0),AX405/1,IF(AND(AV405=0,AX405=0),AW405/1,IF(AND(AW405=0,AX405=0),AV405/1,IF(AV405=0,FLOOR((AW405+AX405)/2,0.1),IF(AW405=0,(AV405+AX405)/2,IF(AX405=0,(AW405+AV405)/2,FLOOR(((AV405+AW405+AX405)/3),0.1))))))))</f>
        <v/>
      </c>
      <c r="AZ405" s="21" t="n"/>
      <c r="BA405" s="21" t="n"/>
      <c r="BB405" s="27">
        <f>SUM(AZ405:BA405)</f>
        <v/>
      </c>
      <c r="BC405" s="28" t="n"/>
      <c r="BD405" s="28" t="n"/>
      <c r="BE405" s="29">
        <f>IF(AND(BB405=0,BC405=0,BD405=0),0,IF(AND(BB405=0,BC405=0),BD405/1,IF(AND(BB405=0,BD405=0),BC405/1,IF(AND(BC405=0,BD405=0),BB405/1,IF(BB405=0,FLOOR((BC405+BD405)/2,0.1),IF(BC405=0,(BB405+BD405)/2,IF(BD405=0,(BC405+BB405)/2,FLOOR(((BB405+BC405+BD405)/3),0.1))))))))</f>
        <v/>
      </c>
      <c r="BF405" s="21" t="n"/>
      <c r="BG405" s="21" t="n"/>
      <c r="BH405" s="27">
        <f>SUM(BF405:BG405)</f>
        <v/>
      </c>
      <c r="BI405" s="28" t="n"/>
      <c r="BJ405" s="28" t="n"/>
      <c r="BK405" s="29">
        <f>IF(AND(BH405=0,BI405=0,BJ405=0),0,IF(AND(BH405=0,BI405=0),BJ405/1,IF(AND(BH405=0,BJ405=0),BI405/1,IF(AND(BI405=0,BJ405=0),BH405/1,IF(BH405=0,FLOOR((BI405+BJ405)/2,0.1),IF(BI405=0,(BH405+BJ405)/2,IF(BJ405=0,(BI405+BH405)/2,FLOOR(((BH405+BI405+BJ405)/3),0.1))))))))</f>
        <v/>
      </c>
      <c r="BL405" s="21" t="n"/>
      <c r="BM405" s="21" t="n"/>
      <c r="BN405" s="27">
        <f>SUM(BL405:BM405)</f>
        <v/>
      </c>
      <c r="BO405" s="28" t="n"/>
      <c r="BP405" s="31" t="n"/>
      <c r="BQ405" s="29">
        <f>IF(AND(BN405=0,BO405=0,BP405=0),0,IF(AND(BN405=0,BO405=0),BP405/1,IF(AND(BN405=0,BP405=0),BO405/1,IF(AND(BO405=0,BP405=0),BN405/1,IF(BN405=0,FLOOR((BO405+BP405)/2,0.1),IF(BO405=0,(BN405+BP405)/2,IF(BP405=0,(BO405+BN405)/2,FLOOR(((BN405+BO405+BP405)/3),0.1))))))))</f>
        <v/>
      </c>
      <c r="BR405" s="21" t="n"/>
      <c r="BS405" s="21" t="n"/>
      <c r="BT405" s="27">
        <f>SUM(BR405:BS405)</f>
        <v/>
      </c>
      <c r="BU405" s="28" t="n"/>
      <c r="BV405" s="31" t="n"/>
      <c r="BW405" s="29">
        <f>IF(AND(BT405=0,BU405=0,BV405=0),0,IF(AND(BT405=0,BU405=0),BV405/1,IF(AND(BT405=0,BV405=0),BU405/1,IF(AND(BU405=0,BV405=0),BT405/1,IF(BT405=0,FLOOR((BU405+BV405)/2,0.1),IF(BU405=0,(BT405+BV405)/2,IF(BV405=0,(BU405+BT405)/2,FLOOR(((BT405+BU405+BV405)/3),0.1))))))))</f>
        <v/>
      </c>
      <c r="BX405" s="21" t="n"/>
      <c r="BY405" s="21" t="n"/>
      <c r="BZ405" s="27">
        <f>SUM(BX405:BY405)</f>
        <v/>
      </c>
      <c r="CA405" s="28" t="n"/>
      <c r="CB405" s="31" t="n"/>
      <c r="CC405" s="29">
        <f>IF(AND(BZ405=0,CA405=0,CB405=0),0,IF(AND(BZ405=0,CA405=0),CB405/1,IF(AND(BZ405=0,CB405=0),CA405/1,IF(AND(CA405=0,CB405=0),BZ405/1,IF(BZ405=0,FLOOR((CA405+CB405)/2,0.1),IF(CA405=0,(BZ405+CB405)/2,IF(CB405=0,(CA405+BZ405)/2,FLOOR(((BZ405+CA405+CB405)/3),0.1))))))))</f>
        <v/>
      </c>
      <c r="CD405" s="21" t="n"/>
      <c r="CE405" s="21" t="n"/>
      <c r="CF405" s="27">
        <f>SUM(CD405:CE405)</f>
        <v/>
      </c>
      <c r="CG405" s="28" t="n"/>
      <c r="CH405" s="31" t="n"/>
      <c r="CI405" s="29">
        <f>IF(AND(CF405=0,CG405=0,CH405=0),0,IF(AND(CF405=0,CG405=0),CH405/1,IF(AND(CF405=0,CH405=0),CG405/1,IF(AND(CG405=0,CH405=0),CF405/1,IF(CF405=0,FLOOR((CG405+CH405)/2,0.1),IF(CG405=0,(CF405+CH405)/2,IF(CH405=0,(CG405+CF405)/2,FLOOR(((CF405+CG405+CH405)/3),0.1))))))))</f>
        <v/>
      </c>
      <c r="CJ405" s="21" t="n"/>
      <c r="CK405" s="21" t="n"/>
      <c r="CL405" s="27">
        <f>SUM(CJ405:CK405)</f>
        <v/>
      </c>
      <c r="CM405" s="28" t="n"/>
      <c r="CN405" s="31" t="n"/>
      <c r="CO405" s="29">
        <f>IF(AND(CL405=0,CM405=0,CN405=0),0,IF(AND(CL405=0,CM405=0),CN405/1,IF(AND(CL405=0,CN405=0),CM405/1,IF(AND(CM405=0,CN405=0),CL405/1,IF(CL405=0,FLOOR((CM405+CN405)/2,0.1),IF(CM405=0,(CL405+CN405)/2,IF(CN405=0,(CM405+CL405)/2,FLOOR(((CL405+CM405+CN405)/3),0.1))))))))</f>
        <v/>
      </c>
      <c r="CP405" s="21" t="n"/>
      <c r="CQ405" s="21" t="n"/>
      <c r="CR405" s="27">
        <f>SUM(CP405:CQ405)</f>
        <v/>
      </c>
      <c r="CS405" s="28" t="n"/>
      <c r="CT405" s="31" t="n"/>
      <c r="CU405" s="29">
        <f>IF(AND(CR405=0,CS405=0,CT405=0),0,IF(AND(CR405=0,CS405=0),CT405/1,IF(AND(CR405=0,CT405=0),CS405/1,IF(AND(CS405=0,CT405=0),CR405/1,IF(CR405=0,FLOOR((CS405+CT405)/2,0.1),IF(CS405=0,(CR405+CT405)/2,IF(CT405=0,(CS405+CR405)/2,FLOOR(((CR405+CS405+CT405)/3),0.1))))))))</f>
        <v/>
      </c>
      <c r="CV405" s="21" t="n"/>
      <c r="CW405" s="21" t="n"/>
      <c r="CX405" s="27">
        <f>SUM(CV405:CW405)</f>
        <v/>
      </c>
      <c r="CY405" s="28" t="n"/>
      <c r="CZ405" s="31" t="n"/>
      <c r="DA405" s="29">
        <f>IF(AND(CX405=0,CY405=0,CZ405=0),0,IF(AND(CX405=0,CY405=0),CZ405/1,IF(AND(CX405=0,CZ405=0),CY405/1,IF(AND(CY405=0,CZ405=0),CX405/1,IF(CX405=0,FLOOR((CY405+CZ405)/2,0.1),IF(CY405=0,(CX405+CZ405)/2,IF(CZ405=0,(CY405+CX405)/2,FLOOR(((CX405+CY405+CZ405)/3),0.1))))))))</f>
        <v/>
      </c>
      <c r="DB405" s="21" t="n"/>
      <c r="DC405" s="21" t="n"/>
      <c r="DD405" s="27">
        <f>SUM(DB405:DC405)</f>
        <v/>
      </c>
      <c r="DE405" s="28" t="n"/>
      <c r="DF405" s="31" t="n"/>
      <c r="DG405" s="29">
        <f>IF(AND(DD405=0,DE405=0,DF405=0),0,IF(AND(DD405=0,DE405=0),DF405/1,IF(AND(DD405=0,DF405=0),DE405/1,IF(AND(DE405=0,DF405=0),DD405/1,IF(DD405=0,FLOOR((DE405+DF405)/2,0.1),IF(DE405=0,(DD405+DF405)/2,IF(DF405=0,(DE405+DD405)/2,FLOOR(((DD405+DE405+DF405)/3),0.1))))))))</f>
        <v/>
      </c>
      <c r="DH405" s="34">
        <f>SUM(O405,U405,AA405,AG405,AM405,AS405,AY405,BE405,BK405,BQ405,BW405,CC405,CI405,CO405,CU405,DA405,DG405)</f>
        <v/>
      </c>
      <c r="DI405" s="39">
        <f>RANK(DH405,DH$4:DH$503)</f>
        <v/>
      </c>
      <c r="DJ405" s="40" t="inlineStr">
        <is>
          <t>CHOOSE RATING</t>
        </is>
      </c>
      <c r="DK405" s="40" t="inlineStr">
        <is>
          <t>CHOOSE RATING</t>
        </is>
      </c>
      <c r="DL405" s="40" t="inlineStr">
        <is>
          <t>CHOOSE RATING</t>
        </is>
      </c>
      <c r="DM405" s="40" t="inlineStr">
        <is>
          <t>CHOOSE RATING</t>
        </is>
      </c>
      <c r="DN405" s="40" t="inlineStr">
        <is>
          <t>CHOOSE RATING</t>
        </is>
      </c>
      <c r="DO405" s="40" t="inlineStr">
        <is>
          <t>CHOOSE RATING</t>
        </is>
      </c>
      <c r="DP405" s="40" t="inlineStr">
        <is>
          <t>CHOOSE RATING</t>
        </is>
      </c>
      <c r="DQ405" s="40" t="inlineStr">
        <is>
          <t>CHOOSE RATING</t>
        </is>
      </c>
      <c r="DR405" s="43" t="inlineStr">
        <is>
          <t>2024/2025</t>
        </is>
      </c>
      <c r="DS405" s="45" t="inlineStr">
        <is>
          <t>THIRD</t>
        </is>
      </c>
      <c r="DT405" s="40" t="inlineStr">
        <is>
          <t>CHOOSE RATING</t>
        </is>
      </c>
      <c r="DU405" s="40" t="inlineStr">
        <is>
          <t>CHOOSE RATING</t>
        </is>
      </c>
      <c r="DV405" s="40" t="inlineStr">
        <is>
          <t>CHOOSE RATING</t>
        </is>
      </c>
      <c r="DW405" s="40" t="inlineStr">
        <is>
          <t>CHOOSE RATING</t>
        </is>
      </c>
      <c r="DX405" s="40" t="inlineStr">
        <is>
          <t>CHOOSE RATING</t>
        </is>
      </c>
      <c r="DY405" s="40" t="inlineStr">
        <is>
          <t>CHOOSE RATING</t>
        </is>
      </c>
      <c r="DZ405" s="53" t="inlineStr">
        <is>
          <t>CHOOSE RATING</t>
        </is>
      </c>
      <c r="EA405" s="54" t="inlineStr">
        <is>
          <t>Add the Tutor's Comment . . .</t>
        </is>
      </c>
      <c r="EB405" s="55" t="inlineStr">
        <is>
          <t>Choose Principals comment</t>
        </is>
      </c>
      <c r="EC405" s="56" t="n"/>
      <c r="ED405" s="57" t="inlineStr">
        <is>
          <t>Next Term Begins on Monday, 22nd September, 2025</t>
        </is>
      </c>
    </row>
    <row r="406" ht="30.6" customHeight="1" s="6">
      <c r="A406" s="18" t="n">
        <v>403</v>
      </c>
      <c r="B406" s="19" t="n"/>
      <c r="C406" s="20" t="n"/>
      <c r="D406" s="128" t="n"/>
      <c r="E406" s="21" t="n"/>
      <c r="F406" s="22" t="n"/>
      <c r="G406" s="22" t="n"/>
      <c r="H406" s="22" t="n"/>
      <c r="I406" s="26">
        <f>G406-H406</f>
        <v/>
      </c>
      <c r="J406" s="21" t="n"/>
      <c r="K406" s="21" t="n"/>
      <c r="L406" s="27">
        <f>SUM(J406:K406)</f>
        <v/>
      </c>
      <c r="M406" s="28" t="n"/>
      <c r="N406" s="28" t="n"/>
      <c r="O406" s="29">
        <f>IF(AND(L406=0,M406=0,N406=0),0,IF(AND(L406=0,M406=0),N406/1,IF(AND(L406=0,N406=0),M406/1,IF(AND(M406=0,N406=0),L406/1,IF(L406=0,FLOOR((M406+N406)/2,0.1),IF(M406=0,(L406+N406)/2,IF(N406=0,(M406+L406)/2,FLOOR(((L406+M406+N406)/3),0.1))))))))</f>
        <v/>
      </c>
      <c r="P406" s="21" t="n"/>
      <c r="Q406" s="21" t="n"/>
      <c r="R406" s="27">
        <f>SUM(P406:Q406)</f>
        <v/>
      </c>
      <c r="S406" s="28" t="n"/>
      <c r="T406" s="28" t="n"/>
      <c r="U406" s="29">
        <f>IF(AND(R406=0,S406=0,T406=0),0,IF(AND(R406=0,S406=0),T406/1,IF(AND(R406=0,T406=0),S406/1,IF(AND(S406=0,T406=0),R406/1,IF(R406=0,FLOOR((S406+T406)/2,0.1),IF(S406=0,(R406+T406)/2,IF(T406=0,(S406+R406)/2,FLOOR(((R406+S406+T406)/3),0.1))))))))</f>
        <v/>
      </c>
      <c r="V406" s="21" t="n"/>
      <c r="W406" s="21" t="n"/>
      <c r="X406" s="27">
        <f>SUM(V406:W406)</f>
        <v/>
      </c>
      <c r="Y406" s="28" t="n"/>
      <c r="Z406" s="28" t="n"/>
      <c r="AA406" s="29">
        <f>IF(AND(X406=0,Y406=0,Z406=0),0,IF(AND(X406=0,Y406=0),Z406/1,IF(AND(X406=0,Z406=0),Y406/1,IF(AND(Y406=0,Z406=0),X406/1,IF(X406=0,FLOOR((Y406+Z406)/2,0.1),IF(Y406=0,(X406+Z406)/2,IF(Z406=0,(Y406+X406)/2,FLOOR(((X406+Y406+Z406)/3),0.1))))))))</f>
        <v/>
      </c>
      <c r="AB406" s="21" t="n"/>
      <c r="AC406" s="21" t="n"/>
      <c r="AD406" s="27">
        <f>SUM(AB406:AC406)</f>
        <v/>
      </c>
      <c r="AE406" s="28" t="n"/>
      <c r="AF406" s="28" t="n"/>
      <c r="AG406" s="29">
        <f>IF(AND(AD406=0,AE406=0,AF406=0),0,IF(AND(AD406=0,AE406=0),AF406/1,IF(AND(AD406=0,AF406=0),AE406/1,IF(AND(AE406=0,AF406=0),AD406/1,IF(AD406=0,FLOOR((AE406+AF406)/2,0.1),IF(AE406=0,(AD406+AF406)/2,IF(AF406=0,(AE406+AD406)/2,FLOOR(((AD406+AE406+AF406)/3),0.1))))))))</f>
        <v/>
      </c>
      <c r="AH406" s="21" t="n"/>
      <c r="AI406" s="21" t="n"/>
      <c r="AJ406" s="27">
        <f>SUM(AH406:AI406)</f>
        <v/>
      </c>
      <c r="AK406" s="28" t="n"/>
      <c r="AL406" s="28" t="n"/>
      <c r="AM406" s="29">
        <f>IF(AND(AJ406=0,AK406=0,AL406=0),0,IF(AND(AJ406=0,AK406=0),AL406/1,IF(AND(AJ406=0,AL406=0),AK406/1,IF(AND(AK406=0,AL406=0),AJ406/1,IF(AJ406=0,FLOOR((AK406+AL406)/2,0.1),IF(AK406=0,(AJ406+AL406)/2,IF(AL406=0,(AK406+AJ406)/2,FLOOR(((AJ406+AK406+AL406)/3),0.1))))))))</f>
        <v/>
      </c>
      <c r="AN406" s="21" t="n"/>
      <c r="AO406" s="21" t="n"/>
      <c r="AP406" s="27">
        <f>SUM(AN406:AO406)</f>
        <v/>
      </c>
      <c r="AQ406" s="28" t="n"/>
      <c r="AR406" s="30" t="n"/>
      <c r="AS406" s="29">
        <f>IF(AND(AP406=0,AQ406=0,AR406=0),0,IF(AND(AP406=0,AQ406=0),AR406/1,IF(AND(AP406=0,AR406=0),AQ406/1,IF(AND(AQ406=0,AR406=0),AP406/1,IF(AP406=0,FLOOR((AQ406+AR406)/2,0.1),IF(AQ406=0,(AP406+AR406)/2,IF(AR406=0,(AQ406+AP406)/2,FLOOR(((AP406+AQ406+AR406)/3),0.1))))))))</f>
        <v/>
      </c>
      <c r="AT406" s="21" t="n"/>
      <c r="AU406" s="21" t="n"/>
      <c r="AV406" s="27">
        <f>SUM(AT406:AU406)</f>
        <v/>
      </c>
      <c r="AW406" s="28" t="n"/>
      <c r="AX406" s="30" t="n"/>
      <c r="AY406" s="29">
        <f>IF(AND(AV406=0,AW406=0,AX406=0),0,IF(AND(AV406=0,AW406=0),AX406/1,IF(AND(AV406=0,AX406=0),AW406/1,IF(AND(AW406=0,AX406=0),AV406/1,IF(AV406=0,FLOOR((AW406+AX406)/2,0.1),IF(AW406=0,(AV406+AX406)/2,IF(AX406=0,(AW406+AV406)/2,FLOOR(((AV406+AW406+AX406)/3),0.1))))))))</f>
        <v/>
      </c>
      <c r="AZ406" s="21" t="n"/>
      <c r="BA406" s="21" t="n"/>
      <c r="BB406" s="27">
        <f>SUM(AZ406:BA406)</f>
        <v/>
      </c>
      <c r="BC406" s="28" t="n"/>
      <c r="BD406" s="28" t="n"/>
      <c r="BE406" s="29">
        <f>IF(AND(BB406=0,BC406=0,BD406=0),0,IF(AND(BB406=0,BC406=0),BD406/1,IF(AND(BB406=0,BD406=0),BC406/1,IF(AND(BC406=0,BD406=0),BB406/1,IF(BB406=0,FLOOR((BC406+BD406)/2,0.1),IF(BC406=0,(BB406+BD406)/2,IF(BD406=0,(BC406+BB406)/2,FLOOR(((BB406+BC406+BD406)/3),0.1))))))))</f>
        <v/>
      </c>
      <c r="BF406" s="21" t="n"/>
      <c r="BG406" s="21" t="n"/>
      <c r="BH406" s="27">
        <f>SUM(BF406:BG406)</f>
        <v/>
      </c>
      <c r="BI406" s="28" t="n"/>
      <c r="BJ406" s="28" t="n"/>
      <c r="BK406" s="29">
        <f>IF(AND(BH406=0,BI406=0,BJ406=0),0,IF(AND(BH406=0,BI406=0),BJ406/1,IF(AND(BH406=0,BJ406=0),BI406/1,IF(AND(BI406=0,BJ406=0),BH406/1,IF(BH406=0,FLOOR((BI406+BJ406)/2,0.1),IF(BI406=0,(BH406+BJ406)/2,IF(BJ406=0,(BI406+BH406)/2,FLOOR(((BH406+BI406+BJ406)/3),0.1))))))))</f>
        <v/>
      </c>
      <c r="BL406" s="21" t="n"/>
      <c r="BM406" s="21" t="n"/>
      <c r="BN406" s="27">
        <f>SUM(BL406:BM406)</f>
        <v/>
      </c>
      <c r="BO406" s="28" t="n"/>
      <c r="BP406" s="31" t="n"/>
      <c r="BQ406" s="29">
        <f>IF(AND(BN406=0,BO406=0,BP406=0),0,IF(AND(BN406=0,BO406=0),BP406/1,IF(AND(BN406=0,BP406=0),BO406/1,IF(AND(BO406=0,BP406=0),BN406/1,IF(BN406=0,FLOOR((BO406+BP406)/2,0.1),IF(BO406=0,(BN406+BP406)/2,IF(BP406=0,(BO406+BN406)/2,FLOOR(((BN406+BO406+BP406)/3),0.1))))))))</f>
        <v/>
      </c>
      <c r="BR406" s="21" t="n"/>
      <c r="BS406" s="21" t="n"/>
      <c r="BT406" s="27">
        <f>SUM(BR406:BS406)</f>
        <v/>
      </c>
      <c r="BU406" s="28" t="n"/>
      <c r="BV406" s="31" t="n"/>
      <c r="BW406" s="29">
        <f>IF(AND(BT406=0,BU406=0,BV406=0),0,IF(AND(BT406=0,BU406=0),BV406/1,IF(AND(BT406=0,BV406=0),BU406/1,IF(AND(BU406=0,BV406=0),BT406/1,IF(BT406=0,FLOOR((BU406+BV406)/2,0.1),IF(BU406=0,(BT406+BV406)/2,IF(BV406=0,(BU406+BT406)/2,FLOOR(((BT406+BU406+BV406)/3),0.1))))))))</f>
        <v/>
      </c>
      <c r="BX406" s="21" t="n"/>
      <c r="BY406" s="21" t="n"/>
      <c r="BZ406" s="27">
        <f>SUM(BX406:BY406)</f>
        <v/>
      </c>
      <c r="CA406" s="28" t="n"/>
      <c r="CB406" s="31" t="n"/>
      <c r="CC406" s="29">
        <f>IF(AND(BZ406=0,CA406=0,CB406=0),0,IF(AND(BZ406=0,CA406=0),CB406/1,IF(AND(BZ406=0,CB406=0),CA406/1,IF(AND(CA406=0,CB406=0),BZ406/1,IF(BZ406=0,FLOOR((CA406+CB406)/2,0.1),IF(CA406=0,(BZ406+CB406)/2,IF(CB406=0,(CA406+BZ406)/2,FLOOR(((BZ406+CA406+CB406)/3),0.1))))))))</f>
        <v/>
      </c>
      <c r="CD406" s="21" t="n"/>
      <c r="CE406" s="21" t="n"/>
      <c r="CF406" s="27">
        <f>SUM(CD406:CE406)</f>
        <v/>
      </c>
      <c r="CG406" s="28" t="n"/>
      <c r="CH406" s="31" t="n"/>
      <c r="CI406" s="29">
        <f>IF(AND(CF406=0,CG406=0,CH406=0),0,IF(AND(CF406=0,CG406=0),CH406/1,IF(AND(CF406=0,CH406=0),CG406/1,IF(AND(CG406=0,CH406=0),CF406/1,IF(CF406=0,FLOOR((CG406+CH406)/2,0.1),IF(CG406=0,(CF406+CH406)/2,IF(CH406=0,(CG406+CF406)/2,FLOOR(((CF406+CG406+CH406)/3),0.1))))))))</f>
        <v/>
      </c>
      <c r="CJ406" s="21" t="n"/>
      <c r="CK406" s="21" t="n"/>
      <c r="CL406" s="27">
        <f>SUM(CJ406:CK406)</f>
        <v/>
      </c>
      <c r="CM406" s="28" t="n"/>
      <c r="CN406" s="31" t="n"/>
      <c r="CO406" s="29">
        <f>IF(AND(CL406=0,CM406=0,CN406=0),0,IF(AND(CL406=0,CM406=0),CN406/1,IF(AND(CL406=0,CN406=0),CM406/1,IF(AND(CM406=0,CN406=0),CL406/1,IF(CL406=0,FLOOR((CM406+CN406)/2,0.1),IF(CM406=0,(CL406+CN406)/2,IF(CN406=0,(CM406+CL406)/2,FLOOR(((CL406+CM406+CN406)/3),0.1))))))))</f>
        <v/>
      </c>
      <c r="CP406" s="21" t="n"/>
      <c r="CQ406" s="21" t="n"/>
      <c r="CR406" s="27">
        <f>SUM(CP406:CQ406)</f>
        <v/>
      </c>
      <c r="CS406" s="28" t="n"/>
      <c r="CT406" s="31" t="n"/>
      <c r="CU406" s="29">
        <f>IF(AND(CR406=0,CS406=0,CT406=0),0,IF(AND(CR406=0,CS406=0),CT406/1,IF(AND(CR406=0,CT406=0),CS406/1,IF(AND(CS406=0,CT406=0),CR406/1,IF(CR406=0,FLOOR((CS406+CT406)/2,0.1),IF(CS406=0,(CR406+CT406)/2,IF(CT406=0,(CS406+CR406)/2,FLOOR(((CR406+CS406+CT406)/3),0.1))))))))</f>
        <v/>
      </c>
      <c r="CV406" s="21" t="n"/>
      <c r="CW406" s="21" t="n"/>
      <c r="CX406" s="27">
        <f>SUM(CV406:CW406)</f>
        <v/>
      </c>
      <c r="CY406" s="28" t="n"/>
      <c r="CZ406" s="31" t="n"/>
      <c r="DA406" s="29">
        <f>IF(AND(CX406=0,CY406=0,CZ406=0),0,IF(AND(CX406=0,CY406=0),CZ406/1,IF(AND(CX406=0,CZ406=0),CY406/1,IF(AND(CY406=0,CZ406=0),CX406/1,IF(CX406=0,FLOOR((CY406+CZ406)/2,0.1),IF(CY406=0,(CX406+CZ406)/2,IF(CZ406=0,(CY406+CX406)/2,FLOOR(((CX406+CY406+CZ406)/3),0.1))))))))</f>
        <v/>
      </c>
      <c r="DB406" s="21" t="n"/>
      <c r="DC406" s="21" t="n"/>
      <c r="DD406" s="27">
        <f>SUM(DB406:DC406)</f>
        <v/>
      </c>
      <c r="DE406" s="28" t="n"/>
      <c r="DF406" s="31" t="n"/>
      <c r="DG406" s="29">
        <f>IF(AND(DD406=0,DE406=0,DF406=0),0,IF(AND(DD406=0,DE406=0),DF406/1,IF(AND(DD406=0,DF406=0),DE406/1,IF(AND(DE406=0,DF406=0),DD406/1,IF(DD406=0,FLOOR((DE406+DF406)/2,0.1),IF(DE406=0,(DD406+DF406)/2,IF(DF406=0,(DE406+DD406)/2,FLOOR(((DD406+DE406+DF406)/3),0.1))))))))</f>
        <v/>
      </c>
      <c r="DH406" s="34">
        <f>SUM(O406,U406,AA406,AG406,AM406,AS406,AY406,BE406,BK406,BQ406,BW406,CC406,CI406,CO406,CU406,DA406,DG406)</f>
        <v/>
      </c>
      <c r="DI406" s="39">
        <f>RANK(DH406,DH$4:DH$503)</f>
        <v/>
      </c>
      <c r="DJ406" s="40" t="inlineStr">
        <is>
          <t>CHOOSE RATING</t>
        </is>
      </c>
      <c r="DK406" s="40" t="inlineStr">
        <is>
          <t>CHOOSE RATING</t>
        </is>
      </c>
      <c r="DL406" s="40" t="inlineStr">
        <is>
          <t>CHOOSE RATING</t>
        </is>
      </c>
      <c r="DM406" s="40" t="inlineStr">
        <is>
          <t>CHOOSE RATING</t>
        </is>
      </c>
      <c r="DN406" s="40" t="inlineStr">
        <is>
          <t>CHOOSE RATING</t>
        </is>
      </c>
      <c r="DO406" s="40" t="inlineStr">
        <is>
          <t>CHOOSE RATING</t>
        </is>
      </c>
      <c r="DP406" s="40" t="inlineStr">
        <is>
          <t>CHOOSE RATING</t>
        </is>
      </c>
      <c r="DQ406" s="40" t="inlineStr">
        <is>
          <t>CHOOSE RATING</t>
        </is>
      </c>
      <c r="DR406" s="43" t="inlineStr">
        <is>
          <t>2024/2025</t>
        </is>
      </c>
      <c r="DS406" s="45" t="inlineStr">
        <is>
          <t>THIRD</t>
        </is>
      </c>
      <c r="DT406" s="40" t="inlineStr">
        <is>
          <t>CHOOSE RATING</t>
        </is>
      </c>
      <c r="DU406" s="40" t="inlineStr">
        <is>
          <t>CHOOSE RATING</t>
        </is>
      </c>
      <c r="DV406" s="40" t="inlineStr">
        <is>
          <t>CHOOSE RATING</t>
        </is>
      </c>
      <c r="DW406" s="40" t="inlineStr">
        <is>
          <t>CHOOSE RATING</t>
        </is>
      </c>
      <c r="DX406" s="40" t="inlineStr">
        <is>
          <t>CHOOSE RATING</t>
        </is>
      </c>
      <c r="DY406" s="40" t="inlineStr">
        <is>
          <t>CHOOSE RATING</t>
        </is>
      </c>
      <c r="DZ406" s="53" t="inlineStr">
        <is>
          <t>CHOOSE RATING</t>
        </is>
      </c>
      <c r="EA406" s="54" t="inlineStr">
        <is>
          <t>Add the Tutor's Comment . . .</t>
        </is>
      </c>
      <c r="EB406" s="55" t="inlineStr">
        <is>
          <t>Choose Principals comment</t>
        </is>
      </c>
      <c r="EC406" s="56" t="n"/>
      <c r="ED406" s="57" t="inlineStr">
        <is>
          <t>Next Term Begins on Monday, 22nd September, 2025</t>
        </is>
      </c>
    </row>
    <row r="407" ht="30.6" customHeight="1" s="6">
      <c r="A407" s="18" t="n">
        <v>404</v>
      </c>
      <c r="B407" s="19" t="n"/>
      <c r="C407" s="20" t="n"/>
      <c r="D407" s="128" t="n"/>
      <c r="E407" s="21" t="n"/>
      <c r="F407" s="22" t="n"/>
      <c r="G407" s="22" t="n"/>
      <c r="H407" s="22" t="n"/>
      <c r="I407" s="26">
        <f>G407-H407</f>
        <v/>
      </c>
      <c r="J407" s="21" t="n"/>
      <c r="K407" s="21" t="n"/>
      <c r="L407" s="27">
        <f>SUM(J407:K407)</f>
        <v/>
      </c>
      <c r="M407" s="28" t="n"/>
      <c r="N407" s="28" t="n"/>
      <c r="O407" s="29">
        <f>IF(AND(L407=0,M407=0,N407=0),0,IF(AND(L407=0,M407=0),N407/1,IF(AND(L407=0,N407=0),M407/1,IF(AND(M407=0,N407=0),L407/1,IF(L407=0,FLOOR((M407+N407)/2,0.1),IF(M407=0,(L407+N407)/2,IF(N407=0,(M407+L407)/2,FLOOR(((L407+M407+N407)/3),0.1))))))))</f>
        <v/>
      </c>
      <c r="P407" s="21" t="n"/>
      <c r="Q407" s="21" t="n"/>
      <c r="R407" s="27">
        <f>SUM(P407:Q407)</f>
        <v/>
      </c>
      <c r="S407" s="28" t="n"/>
      <c r="T407" s="28" t="n"/>
      <c r="U407" s="29">
        <f>IF(AND(R407=0,S407=0,T407=0),0,IF(AND(R407=0,S407=0),T407/1,IF(AND(R407=0,T407=0),S407/1,IF(AND(S407=0,T407=0),R407/1,IF(R407=0,FLOOR((S407+T407)/2,0.1),IF(S407=0,(R407+T407)/2,IF(T407=0,(S407+R407)/2,FLOOR(((R407+S407+T407)/3),0.1))))))))</f>
        <v/>
      </c>
      <c r="V407" s="21" t="n"/>
      <c r="W407" s="21" t="n"/>
      <c r="X407" s="27">
        <f>SUM(V407:W407)</f>
        <v/>
      </c>
      <c r="Y407" s="28" t="n"/>
      <c r="Z407" s="28" t="n"/>
      <c r="AA407" s="29">
        <f>IF(AND(X407=0,Y407=0,Z407=0),0,IF(AND(X407=0,Y407=0),Z407/1,IF(AND(X407=0,Z407=0),Y407/1,IF(AND(Y407=0,Z407=0),X407/1,IF(X407=0,FLOOR((Y407+Z407)/2,0.1),IF(Y407=0,(X407+Z407)/2,IF(Z407=0,(Y407+X407)/2,FLOOR(((X407+Y407+Z407)/3),0.1))))))))</f>
        <v/>
      </c>
      <c r="AB407" s="21" t="n"/>
      <c r="AC407" s="21" t="n"/>
      <c r="AD407" s="27">
        <f>SUM(AB407:AC407)</f>
        <v/>
      </c>
      <c r="AE407" s="28" t="n"/>
      <c r="AF407" s="28" t="n"/>
      <c r="AG407" s="29">
        <f>IF(AND(AD407=0,AE407=0,AF407=0),0,IF(AND(AD407=0,AE407=0),AF407/1,IF(AND(AD407=0,AF407=0),AE407/1,IF(AND(AE407=0,AF407=0),AD407/1,IF(AD407=0,FLOOR((AE407+AF407)/2,0.1),IF(AE407=0,(AD407+AF407)/2,IF(AF407=0,(AE407+AD407)/2,FLOOR(((AD407+AE407+AF407)/3),0.1))))))))</f>
        <v/>
      </c>
      <c r="AH407" s="21" t="n"/>
      <c r="AI407" s="21" t="n"/>
      <c r="AJ407" s="27">
        <f>SUM(AH407:AI407)</f>
        <v/>
      </c>
      <c r="AK407" s="28" t="n"/>
      <c r="AL407" s="28" t="n"/>
      <c r="AM407" s="29">
        <f>IF(AND(AJ407=0,AK407=0,AL407=0),0,IF(AND(AJ407=0,AK407=0),AL407/1,IF(AND(AJ407=0,AL407=0),AK407/1,IF(AND(AK407=0,AL407=0),AJ407/1,IF(AJ407=0,FLOOR((AK407+AL407)/2,0.1),IF(AK407=0,(AJ407+AL407)/2,IF(AL407=0,(AK407+AJ407)/2,FLOOR(((AJ407+AK407+AL407)/3),0.1))))))))</f>
        <v/>
      </c>
      <c r="AN407" s="21" t="n"/>
      <c r="AO407" s="21" t="n"/>
      <c r="AP407" s="27">
        <f>SUM(AN407:AO407)</f>
        <v/>
      </c>
      <c r="AQ407" s="28" t="n"/>
      <c r="AR407" s="30" t="n"/>
      <c r="AS407" s="29">
        <f>IF(AND(AP407=0,AQ407=0,AR407=0),0,IF(AND(AP407=0,AQ407=0),AR407/1,IF(AND(AP407=0,AR407=0),AQ407/1,IF(AND(AQ407=0,AR407=0),AP407/1,IF(AP407=0,FLOOR((AQ407+AR407)/2,0.1),IF(AQ407=0,(AP407+AR407)/2,IF(AR407=0,(AQ407+AP407)/2,FLOOR(((AP407+AQ407+AR407)/3),0.1))))))))</f>
        <v/>
      </c>
      <c r="AT407" s="21" t="n"/>
      <c r="AU407" s="21" t="n"/>
      <c r="AV407" s="27">
        <f>SUM(AT407:AU407)</f>
        <v/>
      </c>
      <c r="AW407" s="28" t="n"/>
      <c r="AX407" s="30" t="n"/>
      <c r="AY407" s="29">
        <f>IF(AND(AV407=0,AW407=0,AX407=0),0,IF(AND(AV407=0,AW407=0),AX407/1,IF(AND(AV407=0,AX407=0),AW407/1,IF(AND(AW407=0,AX407=0),AV407/1,IF(AV407=0,FLOOR((AW407+AX407)/2,0.1),IF(AW407=0,(AV407+AX407)/2,IF(AX407=0,(AW407+AV407)/2,FLOOR(((AV407+AW407+AX407)/3),0.1))))))))</f>
        <v/>
      </c>
      <c r="AZ407" s="21" t="n"/>
      <c r="BA407" s="21" t="n"/>
      <c r="BB407" s="27">
        <f>SUM(AZ407:BA407)</f>
        <v/>
      </c>
      <c r="BC407" s="28" t="n"/>
      <c r="BD407" s="28" t="n"/>
      <c r="BE407" s="29">
        <f>IF(AND(BB407=0,BC407=0,BD407=0),0,IF(AND(BB407=0,BC407=0),BD407/1,IF(AND(BB407=0,BD407=0),BC407/1,IF(AND(BC407=0,BD407=0),BB407/1,IF(BB407=0,FLOOR((BC407+BD407)/2,0.1),IF(BC407=0,(BB407+BD407)/2,IF(BD407=0,(BC407+BB407)/2,FLOOR(((BB407+BC407+BD407)/3),0.1))))))))</f>
        <v/>
      </c>
      <c r="BF407" s="21" t="n"/>
      <c r="BG407" s="21" t="n"/>
      <c r="BH407" s="27">
        <f>SUM(BF407:BG407)</f>
        <v/>
      </c>
      <c r="BI407" s="28" t="n"/>
      <c r="BJ407" s="28" t="n"/>
      <c r="BK407" s="29">
        <f>IF(AND(BH407=0,BI407=0,BJ407=0),0,IF(AND(BH407=0,BI407=0),BJ407/1,IF(AND(BH407=0,BJ407=0),BI407/1,IF(AND(BI407=0,BJ407=0),BH407/1,IF(BH407=0,FLOOR((BI407+BJ407)/2,0.1),IF(BI407=0,(BH407+BJ407)/2,IF(BJ407=0,(BI407+BH407)/2,FLOOR(((BH407+BI407+BJ407)/3),0.1))))))))</f>
        <v/>
      </c>
      <c r="BL407" s="21" t="n"/>
      <c r="BM407" s="21" t="n"/>
      <c r="BN407" s="27">
        <f>SUM(BL407:BM407)</f>
        <v/>
      </c>
      <c r="BO407" s="28" t="n"/>
      <c r="BP407" s="31" t="n"/>
      <c r="BQ407" s="29">
        <f>IF(AND(BN407=0,BO407=0,BP407=0),0,IF(AND(BN407=0,BO407=0),BP407/1,IF(AND(BN407=0,BP407=0),BO407/1,IF(AND(BO407=0,BP407=0),BN407/1,IF(BN407=0,FLOOR((BO407+BP407)/2,0.1),IF(BO407=0,(BN407+BP407)/2,IF(BP407=0,(BO407+BN407)/2,FLOOR(((BN407+BO407+BP407)/3),0.1))))))))</f>
        <v/>
      </c>
      <c r="BR407" s="21" t="n"/>
      <c r="BS407" s="21" t="n"/>
      <c r="BT407" s="27">
        <f>SUM(BR407:BS407)</f>
        <v/>
      </c>
      <c r="BU407" s="28" t="n"/>
      <c r="BV407" s="31" t="n"/>
      <c r="BW407" s="29">
        <f>IF(AND(BT407=0,BU407=0,BV407=0),0,IF(AND(BT407=0,BU407=0),BV407/1,IF(AND(BT407=0,BV407=0),BU407/1,IF(AND(BU407=0,BV407=0),BT407/1,IF(BT407=0,FLOOR((BU407+BV407)/2,0.1),IF(BU407=0,(BT407+BV407)/2,IF(BV407=0,(BU407+BT407)/2,FLOOR(((BT407+BU407+BV407)/3),0.1))))))))</f>
        <v/>
      </c>
      <c r="BX407" s="21" t="n"/>
      <c r="BY407" s="21" t="n"/>
      <c r="BZ407" s="27">
        <f>SUM(BX407:BY407)</f>
        <v/>
      </c>
      <c r="CA407" s="28" t="n"/>
      <c r="CB407" s="31" t="n"/>
      <c r="CC407" s="29">
        <f>IF(AND(BZ407=0,CA407=0,CB407=0),0,IF(AND(BZ407=0,CA407=0),CB407/1,IF(AND(BZ407=0,CB407=0),CA407/1,IF(AND(CA407=0,CB407=0),BZ407/1,IF(BZ407=0,FLOOR((CA407+CB407)/2,0.1),IF(CA407=0,(BZ407+CB407)/2,IF(CB407=0,(CA407+BZ407)/2,FLOOR(((BZ407+CA407+CB407)/3),0.1))))))))</f>
        <v/>
      </c>
      <c r="CD407" s="21" t="n"/>
      <c r="CE407" s="21" t="n"/>
      <c r="CF407" s="27">
        <f>SUM(CD407:CE407)</f>
        <v/>
      </c>
      <c r="CG407" s="28" t="n"/>
      <c r="CH407" s="31" t="n"/>
      <c r="CI407" s="29">
        <f>IF(AND(CF407=0,CG407=0,CH407=0),0,IF(AND(CF407=0,CG407=0),CH407/1,IF(AND(CF407=0,CH407=0),CG407/1,IF(AND(CG407=0,CH407=0),CF407/1,IF(CF407=0,FLOOR((CG407+CH407)/2,0.1),IF(CG407=0,(CF407+CH407)/2,IF(CH407=0,(CG407+CF407)/2,FLOOR(((CF407+CG407+CH407)/3),0.1))))))))</f>
        <v/>
      </c>
      <c r="CJ407" s="21" t="n"/>
      <c r="CK407" s="21" t="n"/>
      <c r="CL407" s="27">
        <f>SUM(CJ407:CK407)</f>
        <v/>
      </c>
      <c r="CM407" s="28" t="n"/>
      <c r="CN407" s="31" t="n"/>
      <c r="CO407" s="29">
        <f>IF(AND(CL407=0,CM407=0,CN407=0),0,IF(AND(CL407=0,CM407=0),CN407/1,IF(AND(CL407=0,CN407=0),CM407/1,IF(AND(CM407=0,CN407=0),CL407/1,IF(CL407=0,FLOOR((CM407+CN407)/2,0.1),IF(CM407=0,(CL407+CN407)/2,IF(CN407=0,(CM407+CL407)/2,FLOOR(((CL407+CM407+CN407)/3),0.1))))))))</f>
        <v/>
      </c>
      <c r="CP407" s="21" t="n"/>
      <c r="CQ407" s="21" t="n"/>
      <c r="CR407" s="27">
        <f>SUM(CP407:CQ407)</f>
        <v/>
      </c>
      <c r="CS407" s="28" t="n"/>
      <c r="CT407" s="31" t="n"/>
      <c r="CU407" s="29">
        <f>IF(AND(CR407=0,CS407=0,CT407=0),0,IF(AND(CR407=0,CS407=0),CT407/1,IF(AND(CR407=0,CT407=0),CS407/1,IF(AND(CS407=0,CT407=0),CR407/1,IF(CR407=0,FLOOR((CS407+CT407)/2,0.1),IF(CS407=0,(CR407+CT407)/2,IF(CT407=0,(CS407+CR407)/2,FLOOR(((CR407+CS407+CT407)/3),0.1))))))))</f>
        <v/>
      </c>
      <c r="CV407" s="21" t="n"/>
      <c r="CW407" s="21" t="n"/>
      <c r="CX407" s="27">
        <f>SUM(CV407:CW407)</f>
        <v/>
      </c>
      <c r="CY407" s="28" t="n"/>
      <c r="CZ407" s="31" t="n"/>
      <c r="DA407" s="29">
        <f>IF(AND(CX407=0,CY407=0,CZ407=0),0,IF(AND(CX407=0,CY407=0),CZ407/1,IF(AND(CX407=0,CZ407=0),CY407/1,IF(AND(CY407=0,CZ407=0),CX407/1,IF(CX407=0,FLOOR((CY407+CZ407)/2,0.1),IF(CY407=0,(CX407+CZ407)/2,IF(CZ407=0,(CY407+CX407)/2,FLOOR(((CX407+CY407+CZ407)/3),0.1))))))))</f>
        <v/>
      </c>
      <c r="DB407" s="21" t="n"/>
      <c r="DC407" s="21" t="n"/>
      <c r="DD407" s="27">
        <f>SUM(DB407:DC407)</f>
        <v/>
      </c>
      <c r="DE407" s="28" t="n"/>
      <c r="DF407" s="31" t="n"/>
      <c r="DG407" s="29">
        <f>IF(AND(DD407=0,DE407=0,DF407=0),0,IF(AND(DD407=0,DE407=0),DF407/1,IF(AND(DD407=0,DF407=0),DE407/1,IF(AND(DE407=0,DF407=0),DD407/1,IF(DD407=0,FLOOR((DE407+DF407)/2,0.1),IF(DE407=0,(DD407+DF407)/2,IF(DF407=0,(DE407+DD407)/2,FLOOR(((DD407+DE407+DF407)/3),0.1))))))))</f>
        <v/>
      </c>
      <c r="DH407" s="34">
        <f>SUM(O407,U407,AA407,AG407,AM407,AS407,AY407,BE407,BK407,BQ407,BW407,CC407,CI407,CO407,CU407,DA407,DG407)</f>
        <v/>
      </c>
      <c r="DI407" s="39">
        <f>RANK(DH407,DH$4:DH$503)</f>
        <v/>
      </c>
      <c r="DJ407" s="40" t="inlineStr">
        <is>
          <t>CHOOSE RATING</t>
        </is>
      </c>
      <c r="DK407" s="40" t="inlineStr">
        <is>
          <t>CHOOSE RATING</t>
        </is>
      </c>
      <c r="DL407" s="40" t="inlineStr">
        <is>
          <t>CHOOSE RATING</t>
        </is>
      </c>
      <c r="DM407" s="40" t="inlineStr">
        <is>
          <t>CHOOSE RATING</t>
        </is>
      </c>
      <c r="DN407" s="40" t="inlineStr">
        <is>
          <t>CHOOSE RATING</t>
        </is>
      </c>
      <c r="DO407" s="40" t="inlineStr">
        <is>
          <t>CHOOSE RATING</t>
        </is>
      </c>
      <c r="DP407" s="40" t="inlineStr">
        <is>
          <t>CHOOSE RATING</t>
        </is>
      </c>
      <c r="DQ407" s="40" t="inlineStr">
        <is>
          <t>CHOOSE RATING</t>
        </is>
      </c>
      <c r="DR407" s="43" t="inlineStr">
        <is>
          <t>2024/2025</t>
        </is>
      </c>
      <c r="DS407" s="45" t="inlineStr">
        <is>
          <t>THIRD</t>
        </is>
      </c>
      <c r="DT407" s="40" t="inlineStr">
        <is>
          <t>CHOOSE RATING</t>
        </is>
      </c>
      <c r="DU407" s="40" t="inlineStr">
        <is>
          <t>CHOOSE RATING</t>
        </is>
      </c>
      <c r="DV407" s="40" t="inlineStr">
        <is>
          <t>CHOOSE RATING</t>
        </is>
      </c>
      <c r="DW407" s="40" t="inlineStr">
        <is>
          <t>CHOOSE RATING</t>
        </is>
      </c>
      <c r="DX407" s="40" t="inlineStr">
        <is>
          <t>CHOOSE RATING</t>
        </is>
      </c>
      <c r="DY407" s="40" t="inlineStr">
        <is>
          <t>CHOOSE RATING</t>
        </is>
      </c>
      <c r="DZ407" s="53" t="inlineStr">
        <is>
          <t>CHOOSE RATING</t>
        </is>
      </c>
      <c r="EA407" s="54" t="inlineStr">
        <is>
          <t>Add the Tutor's Comment . . .</t>
        </is>
      </c>
      <c r="EB407" s="55" t="inlineStr">
        <is>
          <t>Choose Principals comment</t>
        </is>
      </c>
      <c r="EC407" s="56" t="n"/>
      <c r="ED407" s="57" t="inlineStr">
        <is>
          <t>Next Term Begins on Monday, 22nd September, 2025</t>
        </is>
      </c>
    </row>
    <row r="408" ht="30.6" customHeight="1" s="6">
      <c r="A408" s="18" t="n">
        <v>405</v>
      </c>
      <c r="B408" s="19" t="n"/>
      <c r="C408" s="20" t="n"/>
      <c r="D408" s="128" t="n"/>
      <c r="E408" s="21" t="n"/>
      <c r="F408" s="22" t="n"/>
      <c r="G408" s="22" t="n"/>
      <c r="H408" s="22" t="n"/>
      <c r="I408" s="26">
        <f>G408-H408</f>
        <v/>
      </c>
      <c r="J408" s="21" t="n"/>
      <c r="K408" s="21" t="n"/>
      <c r="L408" s="27">
        <f>SUM(J408:K408)</f>
        <v/>
      </c>
      <c r="M408" s="28" t="n"/>
      <c r="N408" s="28" t="n"/>
      <c r="O408" s="29">
        <f>IF(AND(L408=0,M408=0,N408=0),0,IF(AND(L408=0,M408=0),N408/1,IF(AND(L408=0,N408=0),M408/1,IF(AND(M408=0,N408=0),L408/1,IF(L408=0,FLOOR((M408+N408)/2,0.1),IF(M408=0,(L408+N408)/2,IF(N408=0,(M408+L408)/2,FLOOR(((L408+M408+N408)/3),0.1))))))))</f>
        <v/>
      </c>
      <c r="P408" s="21" t="n"/>
      <c r="Q408" s="21" t="n"/>
      <c r="R408" s="27">
        <f>SUM(P408:Q408)</f>
        <v/>
      </c>
      <c r="S408" s="28" t="n"/>
      <c r="T408" s="28" t="n"/>
      <c r="U408" s="29">
        <f>IF(AND(R408=0,S408=0,T408=0),0,IF(AND(R408=0,S408=0),T408/1,IF(AND(R408=0,T408=0),S408/1,IF(AND(S408=0,T408=0),R408/1,IF(R408=0,FLOOR((S408+T408)/2,0.1),IF(S408=0,(R408+T408)/2,IF(T408=0,(S408+R408)/2,FLOOR(((R408+S408+T408)/3),0.1))))))))</f>
        <v/>
      </c>
      <c r="V408" s="21" t="n"/>
      <c r="W408" s="21" t="n"/>
      <c r="X408" s="27">
        <f>SUM(V408:W408)</f>
        <v/>
      </c>
      <c r="Y408" s="28" t="n"/>
      <c r="Z408" s="28" t="n"/>
      <c r="AA408" s="29">
        <f>IF(AND(X408=0,Y408=0,Z408=0),0,IF(AND(X408=0,Y408=0),Z408/1,IF(AND(X408=0,Z408=0),Y408/1,IF(AND(Y408=0,Z408=0),X408/1,IF(X408=0,FLOOR((Y408+Z408)/2,0.1),IF(Y408=0,(X408+Z408)/2,IF(Z408=0,(Y408+X408)/2,FLOOR(((X408+Y408+Z408)/3),0.1))))))))</f>
        <v/>
      </c>
      <c r="AB408" s="21" t="n"/>
      <c r="AC408" s="21" t="n"/>
      <c r="AD408" s="27">
        <f>SUM(AB408:AC408)</f>
        <v/>
      </c>
      <c r="AE408" s="28" t="n"/>
      <c r="AF408" s="28" t="n"/>
      <c r="AG408" s="29">
        <f>IF(AND(AD408=0,AE408=0,AF408=0),0,IF(AND(AD408=0,AE408=0),AF408/1,IF(AND(AD408=0,AF408=0),AE408/1,IF(AND(AE408=0,AF408=0),AD408/1,IF(AD408=0,FLOOR((AE408+AF408)/2,0.1),IF(AE408=0,(AD408+AF408)/2,IF(AF408=0,(AE408+AD408)/2,FLOOR(((AD408+AE408+AF408)/3),0.1))))))))</f>
        <v/>
      </c>
      <c r="AH408" s="21" t="n"/>
      <c r="AI408" s="21" t="n"/>
      <c r="AJ408" s="27">
        <f>SUM(AH408:AI408)</f>
        <v/>
      </c>
      <c r="AK408" s="28" t="n"/>
      <c r="AL408" s="28" t="n"/>
      <c r="AM408" s="29">
        <f>IF(AND(AJ408=0,AK408=0,AL408=0),0,IF(AND(AJ408=0,AK408=0),AL408/1,IF(AND(AJ408=0,AL408=0),AK408/1,IF(AND(AK408=0,AL408=0),AJ408/1,IF(AJ408=0,FLOOR((AK408+AL408)/2,0.1),IF(AK408=0,(AJ408+AL408)/2,IF(AL408=0,(AK408+AJ408)/2,FLOOR(((AJ408+AK408+AL408)/3),0.1))))))))</f>
        <v/>
      </c>
      <c r="AN408" s="21" t="n"/>
      <c r="AO408" s="21" t="n"/>
      <c r="AP408" s="27">
        <f>SUM(AN408:AO408)</f>
        <v/>
      </c>
      <c r="AQ408" s="28" t="n"/>
      <c r="AR408" s="30" t="n"/>
      <c r="AS408" s="29">
        <f>IF(AND(AP408=0,AQ408=0,AR408=0),0,IF(AND(AP408=0,AQ408=0),AR408/1,IF(AND(AP408=0,AR408=0),AQ408/1,IF(AND(AQ408=0,AR408=0),AP408/1,IF(AP408=0,FLOOR((AQ408+AR408)/2,0.1),IF(AQ408=0,(AP408+AR408)/2,IF(AR408=0,(AQ408+AP408)/2,FLOOR(((AP408+AQ408+AR408)/3),0.1))))))))</f>
        <v/>
      </c>
      <c r="AT408" s="21" t="n"/>
      <c r="AU408" s="21" t="n"/>
      <c r="AV408" s="27">
        <f>SUM(AT408:AU408)</f>
        <v/>
      </c>
      <c r="AW408" s="28" t="n"/>
      <c r="AX408" s="30" t="n"/>
      <c r="AY408" s="29">
        <f>IF(AND(AV408=0,AW408=0,AX408=0),0,IF(AND(AV408=0,AW408=0),AX408/1,IF(AND(AV408=0,AX408=0),AW408/1,IF(AND(AW408=0,AX408=0),AV408/1,IF(AV408=0,FLOOR((AW408+AX408)/2,0.1),IF(AW408=0,(AV408+AX408)/2,IF(AX408=0,(AW408+AV408)/2,FLOOR(((AV408+AW408+AX408)/3),0.1))))))))</f>
        <v/>
      </c>
      <c r="AZ408" s="21" t="n"/>
      <c r="BA408" s="21" t="n"/>
      <c r="BB408" s="27">
        <f>SUM(AZ408:BA408)</f>
        <v/>
      </c>
      <c r="BC408" s="28" t="n"/>
      <c r="BD408" s="28" t="n"/>
      <c r="BE408" s="29">
        <f>IF(AND(BB408=0,BC408=0,BD408=0),0,IF(AND(BB408=0,BC408=0),BD408/1,IF(AND(BB408=0,BD408=0),BC408/1,IF(AND(BC408=0,BD408=0),BB408/1,IF(BB408=0,FLOOR((BC408+BD408)/2,0.1),IF(BC408=0,(BB408+BD408)/2,IF(BD408=0,(BC408+BB408)/2,FLOOR(((BB408+BC408+BD408)/3),0.1))))))))</f>
        <v/>
      </c>
      <c r="BF408" s="21" t="n"/>
      <c r="BG408" s="21" t="n"/>
      <c r="BH408" s="27">
        <f>SUM(BF408:BG408)</f>
        <v/>
      </c>
      <c r="BI408" s="28" t="n"/>
      <c r="BJ408" s="28" t="n"/>
      <c r="BK408" s="29">
        <f>IF(AND(BH408=0,BI408=0,BJ408=0),0,IF(AND(BH408=0,BI408=0),BJ408/1,IF(AND(BH408=0,BJ408=0),BI408/1,IF(AND(BI408=0,BJ408=0),BH408/1,IF(BH408=0,FLOOR((BI408+BJ408)/2,0.1),IF(BI408=0,(BH408+BJ408)/2,IF(BJ408=0,(BI408+BH408)/2,FLOOR(((BH408+BI408+BJ408)/3),0.1))))))))</f>
        <v/>
      </c>
      <c r="BL408" s="21" t="n"/>
      <c r="BM408" s="21" t="n"/>
      <c r="BN408" s="27">
        <f>SUM(BL408:BM408)</f>
        <v/>
      </c>
      <c r="BO408" s="28" t="n"/>
      <c r="BP408" s="31" t="n"/>
      <c r="BQ408" s="29">
        <f>IF(AND(BN408=0,BO408=0,BP408=0),0,IF(AND(BN408=0,BO408=0),BP408/1,IF(AND(BN408=0,BP408=0),BO408/1,IF(AND(BO408=0,BP408=0),BN408/1,IF(BN408=0,FLOOR((BO408+BP408)/2,0.1),IF(BO408=0,(BN408+BP408)/2,IF(BP408=0,(BO408+BN408)/2,FLOOR(((BN408+BO408+BP408)/3),0.1))))))))</f>
        <v/>
      </c>
      <c r="BR408" s="21" t="n"/>
      <c r="BS408" s="21" t="n"/>
      <c r="BT408" s="27">
        <f>SUM(BR408:BS408)</f>
        <v/>
      </c>
      <c r="BU408" s="28" t="n"/>
      <c r="BV408" s="31" t="n"/>
      <c r="BW408" s="29">
        <f>IF(AND(BT408=0,BU408=0,BV408=0),0,IF(AND(BT408=0,BU408=0),BV408/1,IF(AND(BT408=0,BV408=0),BU408/1,IF(AND(BU408=0,BV408=0),BT408/1,IF(BT408=0,FLOOR((BU408+BV408)/2,0.1),IF(BU408=0,(BT408+BV408)/2,IF(BV408=0,(BU408+BT408)/2,FLOOR(((BT408+BU408+BV408)/3),0.1))))))))</f>
        <v/>
      </c>
      <c r="BX408" s="21" t="n"/>
      <c r="BY408" s="21" t="n"/>
      <c r="BZ408" s="27">
        <f>SUM(BX408:BY408)</f>
        <v/>
      </c>
      <c r="CA408" s="28" t="n"/>
      <c r="CB408" s="31" t="n"/>
      <c r="CC408" s="29">
        <f>IF(AND(BZ408=0,CA408=0,CB408=0),0,IF(AND(BZ408=0,CA408=0),CB408/1,IF(AND(BZ408=0,CB408=0),CA408/1,IF(AND(CA408=0,CB408=0),BZ408/1,IF(BZ408=0,FLOOR((CA408+CB408)/2,0.1),IF(CA408=0,(BZ408+CB408)/2,IF(CB408=0,(CA408+BZ408)/2,FLOOR(((BZ408+CA408+CB408)/3),0.1))))))))</f>
        <v/>
      </c>
      <c r="CD408" s="21" t="n"/>
      <c r="CE408" s="21" t="n"/>
      <c r="CF408" s="27">
        <f>SUM(CD408:CE408)</f>
        <v/>
      </c>
      <c r="CG408" s="28" t="n"/>
      <c r="CH408" s="31" t="n"/>
      <c r="CI408" s="29">
        <f>IF(AND(CF408=0,CG408=0,CH408=0),0,IF(AND(CF408=0,CG408=0),CH408/1,IF(AND(CF408=0,CH408=0),CG408/1,IF(AND(CG408=0,CH408=0),CF408/1,IF(CF408=0,FLOOR((CG408+CH408)/2,0.1),IF(CG408=0,(CF408+CH408)/2,IF(CH408=0,(CG408+CF408)/2,FLOOR(((CF408+CG408+CH408)/3),0.1))))))))</f>
        <v/>
      </c>
      <c r="CJ408" s="21" t="n"/>
      <c r="CK408" s="21" t="n"/>
      <c r="CL408" s="27">
        <f>SUM(CJ408:CK408)</f>
        <v/>
      </c>
      <c r="CM408" s="28" t="n"/>
      <c r="CN408" s="31" t="n"/>
      <c r="CO408" s="29">
        <f>IF(AND(CL408=0,CM408=0,CN408=0),0,IF(AND(CL408=0,CM408=0),CN408/1,IF(AND(CL408=0,CN408=0),CM408/1,IF(AND(CM408=0,CN408=0),CL408/1,IF(CL408=0,FLOOR((CM408+CN408)/2,0.1),IF(CM408=0,(CL408+CN408)/2,IF(CN408=0,(CM408+CL408)/2,FLOOR(((CL408+CM408+CN408)/3),0.1))))))))</f>
        <v/>
      </c>
      <c r="CP408" s="21" t="n"/>
      <c r="CQ408" s="21" t="n"/>
      <c r="CR408" s="27">
        <f>SUM(CP408:CQ408)</f>
        <v/>
      </c>
      <c r="CS408" s="28" t="n"/>
      <c r="CT408" s="31" t="n"/>
      <c r="CU408" s="29">
        <f>IF(AND(CR408=0,CS408=0,CT408=0),0,IF(AND(CR408=0,CS408=0),CT408/1,IF(AND(CR408=0,CT408=0),CS408/1,IF(AND(CS408=0,CT408=0),CR408/1,IF(CR408=0,FLOOR((CS408+CT408)/2,0.1),IF(CS408=0,(CR408+CT408)/2,IF(CT408=0,(CS408+CR408)/2,FLOOR(((CR408+CS408+CT408)/3),0.1))))))))</f>
        <v/>
      </c>
      <c r="CV408" s="21" t="n"/>
      <c r="CW408" s="21" t="n"/>
      <c r="CX408" s="27">
        <f>SUM(CV408:CW408)</f>
        <v/>
      </c>
      <c r="CY408" s="28" t="n"/>
      <c r="CZ408" s="31" t="n"/>
      <c r="DA408" s="29">
        <f>IF(AND(CX408=0,CY408=0,CZ408=0),0,IF(AND(CX408=0,CY408=0),CZ408/1,IF(AND(CX408=0,CZ408=0),CY408/1,IF(AND(CY408=0,CZ408=0),CX408/1,IF(CX408=0,FLOOR((CY408+CZ408)/2,0.1),IF(CY408=0,(CX408+CZ408)/2,IF(CZ408=0,(CY408+CX408)/2,FLOOR(((CX408+CY408+CZ408)/3),0.1))))))))</f>
        <v/>
      </c>
      <c r="DB408" s="21" t="n"/>
      <c r="DC408" s="21" t="n"/>
      <c r="DD408" s="27">
        <f>SUM(DB408:DC408)</f>
        <v/>
      </c>
      <c r="DE408" s="28" t="n"/>
      <c r="DF408" s="31" t="n"/>
      <c r="DG408" s="29">
        <f>IF(AND(DD408=0,DE408=0,DF408=0),0,IF(AND(DD408=0,DE408=0),DF408/1,IF(AND(DD408=0,DF408=0),DE408/1,IF(AND(DE408=0,DF408=0),DD408/1,IF(DD408=0,FLOOR((DE408+DF408)/2,0.1),IF(DE408=0,(DD408+DF408)/2,IF(DF408=0,(DE408+DD408)/2,FLOOR(((DD408+DE408+DF408)/3),0.1))))))))</f>
        <v/>
      </c>
      <c r="DH408" s="34">
        <f>SUM(O408,U408,AA408,AG408,AM408,AS408,AY408,BE408,BK408,BQ408,BW408,CC408,CI408,CO408,CU408,DA408,DG408)</f>
        <v/>
      </c>
      <c r="DI408" s="39">
        <f>RANK(DH408,DH$4:DH$503)</f>
        <v/>
      </c>
      <c r="DJ408" s="40" t="inlineStr">
        <is>
          <t>CHOOSE RATING</t>
        </is>
      </c>
      <c r="DK408" s="40" t="inlineStr">
        <is>
          <t>CHOOSE RATING</t>
        </is>
      </c>
      <c r="DL408" s="40" t="inlineStr">
        <is>
          <t>CHOOSE RATING</t>
        </is>
      </c>
      <c r="DM408" s="40" t="inlineStr">
        <is>
          <t>CHOOSE RATING</t>
        </is>
      </c>
      <c r="DN408" s="40" t="inlineStr">
        <is>
          <t>CHOOSE RATING</t>
        </is>
      </c>
      <c r="DO408" s="40" t="inlineStr">
        <is>
          <t>CHOOSE RATING</t>
        </is>
      </c>
      <c r="DP408" s="40" t="inlineStr">
        <is>
          <t>CHOOSE RATING</t>
        </is>
      </c>
      <c r="DQ408" s="40" t="inlineStr">
        <is>
          <t>CHOOSE RATING</t>
        </is>
      </c>
      <c r="DR408" s="43" t="inlineStr">
        <is>
          <t>2024/2025</t>
        </is>
      </c>
      <c r="DS408" s="45" t="inlineStr">
        <is>
          <t>THIRD</t>
        </is>
      </c>
      <c r="DT408" s="40" t="inlineStr">
        <is>
          <t>CHOOSE RATING</t>
        </is>
      </c>
      <c r="DU408" s="40" t="inlineStr">
        <is>
          <t>CHOOSE RATING</t>
        </is>
      </c>
      <c r="DV408" s="40" t="inlineStr">
        <is>
          <t>CHOOSE RATING</t>
        </is>
      </c>
      <c r="DW408" s="40" t="inlineStr">
        <is>
          <t>CHOOSE RATING</t>
        </is>
      </c>
      <c r="DX408" s="40" t="inlineStr">
        <is>
          <t>CHOOSE RATING</t>
        </is>
      </c>
      <c r="DY408" s="40" t="inlineStr">
        <is>
          <t>CHOOSE RATING</t>
        </is>
      </c>
      <c r="DZ408" s="53" t="inlineStr">
        <is>
          <t>CHOOSE RATING</t>
        </is>
      </c>
      <c r="EA408" s="54" t="inlineStr">
        <is>
          <t>Add the Tutor's Comment . . .</t>
        </is>
      </c>
      <c r="EB408" s="55" t="inlineStr">
        <is>
          <t>Choose Principals comment</t>
        </is>
      </c>
      <c r="EC408" s="56" t="n"/>
      <c r="ED408" s="57" t="inlineStr">
        <is>
          <t>Next Term Begins on Monday, 22nd September, 2025</t>
        </is>
      </c>
    </row>
    <row r="409" ht="30.6" customHeight="1" s="6">
      <c r="A409" s="18" t="n">
        <v>406</v>
      </c>
      <c r="B409" s="19" t="n"/>
      <c r="C409" s="20" t="n"/>
      <c r="D409" s="128" t="n"/>
      <c r="E409" s="21" t="n"/>
      <c r="F409" s="22" t="n"/>
      <c r="G409" s="22" t="n"/>
      <c r="H409" s="22" t="n"/>
      <c r="I409" s="26">
        <f>G409-H409</f>
        <v/>
      </c>
      <c r="J409" s="21" t="n"/>
      <c r="K409" s="21" t="n"/>
      <c r="L409" s="27">
        <f>SUM(J409:K409)</f>
        <v/>
      </c>
      <c r="M409" s="28" t="n"/>
      <c r="N409" s="28" t="n"/>
      <c r="O409" s="29">
        <f>IF(AND(L409=0,M409=0,N409=0),0,IF(AND(L409=0,M409=0),N409/1,IF(AND(L409=0,N409=0),M409/1,IF(AND(M409=0,N409=0),L409/1,IF(L409=0,FLOOR((M409+N409)/2,0.1),IF(M409=0,(L409+N409)/2,IF(N409=0,(M409+L409)/2,FLOOR(((L409+M409+N409)/3),0.1))))))))</f>
        <v/>
      </c>
      <c r="P409" s="21" t="n"/>
      <c r="Q409" s="21" t="n"/>
      <c r="R409" s="27">
        <f>SUM(P409:Q409)</f>
        <v/>
      </c>
      <c r="S409" s="28" t="n"/>
      <c r="T409" s="28" t="n"/>
      <c r="U409" s="29">
        <f>IF(AND(R409=0,S409=0,T409=0),0,IF(AND(R409=0,S409=0),T409/1,IF(AND(R409=0,T409=0),S409/1,IF(AND(S409=0,T409=0),R409/1,IF(R409=0,FLOOR((S409+T409)/2,0.1),IF(S409=0,(R409+T409)/2,IF(T409=0,(S409+R409)/2,FLOOR(((R409+S409+T409)/3),0.1))))))))</f>
        <v/>
      </c>
      <c r="V409" s="21" t="n"/>
      <c r="W409" s="21" t="n"/>
      <c r="X409" s="27">
        <f>SUM(V409:W409)</f>
        <v/>
      </c>
      <c r="Y409" s="28" t="n"/>
      <c r="Z409" s="28" t="n"/>
      <c r="AA409" s="29">
        <f>IF(AND(X409=0,Y409=0,Z409=0),0,IF(AND(X409=0,Y409=0),Z409/1,IF(AND(X409=0,Z409=0),Y409/1,IF(AND(Y409=0,Z409=0),X409/1,IF(X409=0,FLOOR((Y409+Z409)/2,0.1),IF(Y409=0,(X409+Z409)/2,IF(Z409=0,(Y409+X409)/2,FLOOR(((X409+Y409+Z409)/3),0.1))))))))</f>
        <v/>
      </c>
      <c r="AB409" s="21" t="n"/>
      <c r="AC409" s="21" t="n"/>
      <c r="AD409" s="27">
        <f>SUM(AB409:AC409)</f>
        <v/>
      </c>
      <c r="AE409" s="28" t="n"/>
      <c r="AF409" s="28" t="n"/>
      <c r="AG409" s="29">
        <f>IF(AND(AD409=0,AE409=0,AF409=0),0,IF(AND(AD409=0,AE409=0),AF409/1,IF(AND(AD409=0,AF409=0),AE409/1,IF(AND(AE409=0,AF409=0),AD409/1,IF(AD409=0,FLOOR((AE409+AF409)/2,0.1),IF(AE409=0,(AD409+AF409)/2,IF(AF409=0,(AE409+AD409)/2,FLOOR(((AD409+AE409+AF409)/3),0.1))))))))</f>
        <v/>
      </c>
      <c r="AH409" s="21" t="n"/>
      <c r="AI409" s="21" t="n"/>
      <c r="AJ409" s="27">
        <f>SUM(AH409:AI409)</f>
        <v/>
      </c>
      <c r="AK409" s="28" t="n"/>
      <c r="AL409" s="28" t="n"/>
      <c r="AM409" s="29">
        <f>IF(AND(AJ409=0,AK409=0,AL409=0),0,IF(AND(AJ409=0,AK409=0),AL409/1,IF(AND(AJ409=0,AL409=0),AK409/1,IF(AND(AK409=0,AL409=0),AJ409/1,IF(AJ409=0,FLOOR((AK409+AL409)/2,0.1),IF(AK409=0,(AJ409+AL409)/2,IF(AL409=0,(AK409+AJ409)/2,FLOOR(((AJ409+AK409+AL409)/3),0.1))))))))</f>
        <v/>
      </c>
      <c r="AN409" s="21" t="n"/>
      <c r="AO409" s="21" t="n"/>
      <c r="AP409" s="27">
        <f>SUM(AN409:AO409)</f>
        <v/>
      </c>
      <c r="AQ409" s="28" t="n"/>
      <c r="AR409" s="30" t="n"/>
      <c r="AS409" s="29">
        <f>IF(AND(AP409=0,AQ409=0,AR409=0),0,IF(AND(AP409=0,AQ409=0),AR409/1,IF(AND(AP409=0,AR409=0),AQ409/1,IF(AND(AQ409=0,AR409=0),AP409/1,IF(AP409=0,FLOOR((AQ409+AR409)/2,0.1),IF(AQ409=0,(AP409+AR409)/2,IF(AR409=0,(AQ409+AP409)/2,FLOOR(((AP409+AQ409+AR409)/3),0.1))))))))</f>
        <v/>
      </c>
      <c r="AT409" s="21" t="n"/>
      <c r="AU409" s="21" t="n"/>
      <c r="AV409" s="27">
        <f>SUM(AT409:AU409)</f>
        <v/>
      </c>
      <c r="AW409" s="28" t="n"/>
      <c r="AX409" s="30" t="n"/>
      <c r="AY409" s="29">
        <f>IF(AND(AV409=0,AW409=0,AX409=0),0,IF(AND(AV409=0,AW409=0),AX409/1,IF(AND(AV409=0,AX409=0),AW409/1,IF(AND(AW409=0,AX409=0),AV409/1,IF(AV409=0,FLOOR((AW409+AX409)/2,0.1),IF(AW409=0,(AV409+AX409)/2,IF(AX409=0,(AW409+AV409)/2,FLOOR(((AV409+AW409+AX409)/3),0.1))))))))</f>
        <v/>
      </c>
      <c r="AZ409" s="21" t="n"/>
      <c r="BA409" s="21" t="n"/>
      <c r="BB409" s="27">
        <f>SUM(AZ409:BA409)</f>
        <v/>
      </c>
      <c r="BC409" s="28" t="n"/>
      <c r="BD409" s="28" t="n"/>
      <c r="BE409" s="29">
        <f>IF(AND(BB409=0,BC409=0,BD409=0),0,IF(AND(BB409=0,BC409=0),BD409/1,IF(AND(BB409=0,BD409=0),BC409/1,IF(AND(BC409=0,BD409=0),BB409/1,IF(BB409=0,FLOOR((BC409+BD409)/2,0.1),IF(BC409=0,(BB409+BD409)/2,IF(BD409=0,(BC409+BB409)/2,FLOOR(((BB409+BC409+BD409)/3),0.1))))))))</f>
        <v/>
      </c>
      <c r="BF409" s="21" t="n"/>
      <c r="BG409" s="21" t="n"/>
      <c r="BH409" s="27">
        <f>SUM(BF409:BG409)</f>
        <v/>
      </c>
      <c r="BI409" s="28" t="n"/>
      <c r="BJ409" s="28" t="n"/>
      <c r="BK409" s="29">
        <f>IF(AND(BH409=0,BI409=0,BJ409=0),0,IF(AND(BH409=0,BI409=0),BJ409/1,IF(AND(BH409=0,BJ409=0),BI409/1,IF(AND(BI409=0,BJ409=0),BH409/1,IF(BH409=0,FLOOR((BI409+BJ409)/2,0.1),IF(BI409=0,(BH409+BJ409)/2,IF(BJ409=0,(BI409+BH409)/2,FLOOR(((BH409+BI409+BJ409)/3),0.1))))))))</f>
        <v/>
      </c>
      <c r="BL409" s="21" t="n"/>
      <c r="BM409" s="21" t="n"/>
      <c r="BN409" s="27">
        <f>SUM(BL409:BM409)</f>
        <v/>
      </c>
      <c r="BO409" s="28" t="n"/>
      <c r="BP409" s="31" t="n"/>
      <c r="BQ409" s="29">
        <f>IF(AND(BN409=0,BO409=0,BP409=0),0,IF(AND(BN409=0,BO409=0),BP409/1,IF(AND(BN409=0,BP409=0),BO409/1,IF(AND(BO409=0,BP409=0),BN409/1,IF(BN409=0,FLOOR((BO409+BP409)/2,0.1),IF(BO409=0,(BN409+BP409)/2,IF(BP409=0,(BO409+BN409)/2,FLOOR(((BN409+BO409+BP409)/3),0.1))))))))</f>
        <v/>
      </c>
      <c r="BR409" s="21" t="n"/>
      <c r="BS409" s="21" t="n"/>
      <c r="BT409" s="27">
        <f>SUM(BR409:BS409)</f>
        <v/>
      </c>
      <c r="BU409" s="28" t="n"/>
      <c r="BV409" s="31" t="n"/>
      <c r="BW409" s="29">
        <f>IF(AND(BT409=0,BU409=0,BV409=0),0,IF(AND(BT409=0,BU409=0),BV409/1,IF(AND(BT409=0,BV409=0),BU409/1,IF(AND(BU409=0,BV409=0),BT409/1,IF(BT409=0,FLOOR((BU409+BV409)/2,0.1),IF(BU409=0,(BT409+BV409)/2,IF(BV409=0,(BU409+BT409)/2,FLOOR(((BT409+BU409+BV409)/3),0.1))))))))</f>
        <v/>
      </c>
      <c r="BX409" s="21" t="n"/>
      <c r="BY409" s="21" t="n"/>
      <c r="BZ409" s="27">
        <f>SUM(BX409:BY409)</f>
        <v/>
      </c>
      <c r="CA409" s="28" t="n"/>
      <c r="CB409" s="31" t="n"/>
      <c r="CC409" s="29">
        <f>IF(AND(BZ409=0,CA409=0,CB409=0),0,IF(AND(BZ409=0,CA409=0),CB409/1,IF(AND(BZ409=0,CB409=0),CA409/1,IF(AND(CA409=0,CB409=0),BZ409/1,IF(BZ409=0,FLOOR((CA409+CB409)/2,0.1),IF(CA409=0,(BZ409+CB409)/2,IF(CB409=0,(CA409+BZ409)/2,FLOOR(((BZ409+CA409+CB409)/3),0.1))))))))</f>
        <v/>
      </c>
      <c r="CD409" s="21" t="n"/>
      <c r="CE409" s="21" t="n"/>
      <c r="CF409" s="27">
        <f>SUM(CD409:CE409)</f>
        <v/>
      </c>
      <c r="CG409" s="28" t="n"/>
      <c r="CH409" s="31" t="n"/>
      <c r="CI409" s="29">
        <f>IF(AND(CF409=0,CG409=0,CH409=0),0,IF(AND(CF409=0,CG409=0),CH409/1,IF(AND(CF409=0,CH409=0),CG409/1,IF(AND(CG409=0,CH409=0),CF409/1,IF(CF409=0,FLOOR((CG409+CH409)/2,0.1),IF(CG409=0,(CF409+CH409)/2,IF(CH409=0,(CG409+CF409)/2,FLOOR(((CF409+CG409+CH409)/3),0.1))))))))</f>
        <v/>
      </c>
      <c r="CJ409" s="21" t="n"/>
      <c r="CK409" s="21" t="n"/>
      <c r="CL409" s="27">
        <f>SUM(CJ409:CK409)</f>
        <v/>
      </c>
      <c r="CM409" s="28" t="n"/>
      <c r="CN409" s="31" t="n"/>
      <c r="CO409" s="29">
        <f>IF(AND(CL409=0,CM409=0,CN409=0),0,IF(AND(CL409=0,CM409=0),CN409/1,IF(AND(CL409=0,CN409=0),CM409/1,IF(AND(CM409=0,CN409=0),CL409/1,IF(CL409=0,FLOOR((CM409+CN409)/2,0.1),IF(CM409=0,(CL409+CN409)/2,IF(CN409=0,(CM409+CL409)/2,FLOOR(((CL409+CM409+CN409)/3),0.1))))))))</f>
        <v/>
      </c>
      <c r="CP409" s="21" t="n"/>
      <c r="CQ409" s="21" t="n"/>
      <c r="CR409" s="27">
        <f>SUM(CP409:CQ409)</f>
        <v/>
      </c>
      <c r="CS409" s="28" t="n"/>
      <c r="CT409" s="31" t="n"/>
      <c r="CU409" s="29">
        <f>IF(AND(CR409=0,CS409=0,CT409=0),0,IF(AND(CR409=0,CS409=0),CT409/1,IF(AND(CR409=0,CT409=0),CS409/1,IF(AND(CS409=0,CT409=0),CR409/1,IF(CR409=0,FLOOR((CS409+CT409)/2,0.1),IF(CS409=0,(CR409+CT409)/2,IF(CT409=0,(CS409+CR409)/2,FLOOR(((CR409+CS409+CT409)/3),0.1))))))))</f>
        <v/>
      </c>
      <c r="CV409" s="21" t="n"/>
      <c r="CW409" s="21" t="n"/>
      <c r="CX409" s="27">
        <f>SUM(CV409:CW409)</f>
        <v/>
      </c>
      <c r="CY409" s="28" t="n"/>
      <c r="CZ409" s="31" t="n"/>
      <c r="DA409" s="29">
        <f>IF(AND(CX409=0,CY409=0,CZ409=0),0,IF(AND(CX409=0,CY409=0),CZ409/1,IF(AND(CX409=0,CZ409=0),CY409/1,IF(AND(CY409=0,CZ409=0),CX409/1,IF(CX409=0,FLOOR((CY409+CZ409)/2,0.1),IF(CY409=0,(CX409+CZ409)/2,IF(CZ409=0,(CY409+CX409)/2,FLOOR(((CX409+CY409+CZ409)/3),0.1))))))))</f>
        <v/>
      </c>
      <c r="DB409" s="21" t="n"/>
      <c r="DC409" s="21" t="n"/>
      <c r="DD409" s="27">
        <f>SUM(DB409:DC409)</f>
        <v/>
      </c>
      <c r="DE409" s="28" t="n"/>
      <c r="DF409" s="31" t="n"/>
      <c r="DG409" s="29">
        <f>IF(AND(DD409=0,DE409=0,DF409=0),0,IF(AND(DD409=0,DE409=0),DF409/1,IF(AND(DD409=0,DF409=0),DE409/1,IF(AND(DE409=0,DF409=0),DD409/1,IF(DD409=0,FLOOR((DE409+DF409)/2,0.1),IF(DE409=0,(DD409+DF409)/2,IF(DF409=0,(DE409+DD409)/2,FLOOR(((DD409+DE409+DF409)/3),0.1))))))))</f>
        <v/>
      </c>
      <c r="DH409" s="34">
        <f>SUM(O409,U409,AA409,AG409,AM409,AS409,AY409,BE409,BK409,BQ409,BW409,CC409,CI409,CO409,CU409,DA409,DG409)</f>
        <v/>
      </c>
      <c r="DI409" s="39">
        <f>RANK(DH409,DH$4:DH$503)</f>
        <v/>
      </c>
      <c r="DJ409" s="40" t="inlineStr">
        <is>
          <t>CHOOSE RATING</t>
        </is>
      </c>
      <c r="DK409" s="40" t="inlineStr">
        <is>
          <t>CHOOSE RATING</t>
        </is>
      </c>
      <c r="DL409" s="40" t="inlineStr">
        <is>
          <t>CHOOSE RATING</t>
        </is>
      </c>
      <c r="DM409" s="40" t="inlineStr">
        <is>
          <t>CHOOSE RATING</t>
        </is>
      </c>
      <c r="DN409" s="40" t="inlineStr">
        <is>
          <t>CHOOSE RATING</t>
        </is>
      </c>
      <c r="DO409" s="40" t="inlineStr">
        <is>
          <t>CHOOSE RATING</t>
        </is>
      </c>
      <c r="DP409" s="40" t="inlineStr">
        <is>
          <t>CHOOSE RATING</t>
        </is>
      </c>
      <c r="DQ409" s="40" t="inlineStr">
        <is>
          <t>CHOOSE RATING</t>
        </is>
      </c>
      <c r="DR409" s="43" t="inlineStr">
        <is>
          <t>2024/2025</t>
        </is>
      </c>
      <c r="DS409" s="45" t="inlineStr">
        <is>
          <t>THIRD</t>
        </is>
      </c>
      <c r="DT409" s="40" t="inlineStr">
        <is>
          <t>CHOOSE RATING</t>
        </is>
      </c>
      <c r="DU409" s="40" t="inlineStr">
        <is>
          <t>CHOOSE RATING</t>
        </is>
      </c>
      <c r="DV409" s="40" t="inlineStr">
        <is>
          <t>CHOOSE RATING</t>
        </is>
      </c>
      <c r="DW409" s="40" t="inlineStr">
        <is>
          <t>CHOOSE RATING</t>
        </is>
      </c>
      <c r="DX409" s="40" t="inlineStr">
        <is>
          <t>CHOOSE RATING</t>
        </is>
      </c>
      <c r="DY409" s="40" t="inlineStr">
        <is>
          <t>CHOOSE RATING</t>
        </is>
      </c>
      <c r="DZ409" s="53" t="inlineStr">
        <is>
          <t>CHOOSE RATING</t>
        </is>
      </c>
      <c r="EA409" s="54" t="inlineStr">
        <is>
          <t>Add the Tutor's Comment . . .</t>
        </is>
      </c>
      <c r="EB409" s="55" t="inlineStr">
        <is>
          <t>Choose Principals comment</t>
        </is>
      </c>
      <c r="EC409" s="56" t="n"/>
      <c r="ED409" s="57" t="inlineStr">
        <is>
          <t>Next Term Begins on Monday, 22nd September, 2025</t>
        </is>
      </c>
    </row>
    <row r="410" ht="30.6" customHeight="1" s="6">
      <c r="A410" s="18" t="n">
        <v>407</v>
      </c>
      <c r="B410" s="19" t="n"/>
      <c r="C410" s="20" t="n"/>
      <c r="D410" s="128" t="n"/>
      <c r="E410" s="21" t="n"/>
      <c r="F410" s="22" t="n"/>
      <c r="G410" s="22" t="n"/>
      <c r="H410" s="22" t="n"/>
      <c r="I410" s="26">
        <f>G410-H410</f>
        <v/>
      </c>
      <c r="J410" s="21" t="n"/>
      <c r="K410" s="21" t="n"/>
      <c r="L410" s="27">
        <f>SUM(J410:K410)</f>
        <v/>
      </c>
      <c r="M410" s="28" t="n"/>
      <c r="N410" s="28" t="n"/>
      <c r="O410" s="29">
        <f>IF(AND(L410=0,M410=0,N410=0),0,IF(AND(L410=0,M410=0),N410/1,IF(AND(L410=0,N410=0),M410/1,IF(AND(M410=0,N410=0),L410/1,IF(L410=0,FLOOR((M410+N410)/2,0.1),IF(M410=0,(L410+N410)/2,IF(N410=0,(M410+L410)/2,FLOOR(((L410+M410+N410)/3),0.1))))))))</f>
        <v/>
      </c>
      <c r="P410" s="21" t="n"/>
      <c r="Q410" s="21" t="n"/>
      <c r="R410" s="27">
        <f>SUM(P410:Q410)</f>
        <v/>
      </c>
      <c r="S410" s="28" t="n"/>
      <c r="T410" s="28" t="n"/>
      <c r="U410" s="29">
        <f>IF(AND(R410=0,S410=0,T410=0),0,IF(AND(R410=0,S410=0),T410/1,IF(AND(R410=0,T410=0),S410/1,IF(AND(S410=0,T410=0),R410/1,IF(R410=0,FLOOR((S410+T410)/2,0.1),IF(S410=0,(R410+T410)/2,IF(T410=0,(S410+R410)/2,FLOOR(((R410+S410+T410)/3),0.1))))))))</f>
        <v/>
      </c>
      <c r="V410" s="21" t="n"/>
      <c r="W410" s="21" t="n"/>
      <c r="X410" s="27">
        <f>SUM(V410:W410)</f>
        <v/>
      </c>
      <c r="Y410" s="28" t="n"/>
      <c r="Z410" s="28" t="n"/>
      <c r="AA410" s="29">
        <f>IF(AND(X410=0,Y410=0,Z410=0),0,IF(AND(X410=0,Y410=0),Z410/1,IF(AND(X410=0,Z410=0),Y410/1,IF(AND(Y410=0,Z410=0),X410/1,IF(X410=0,FLOOR((Y410+Z410)/2,0.1),IF(Y410=0,(X410+Z410)/2,IF(Z410=0,(Y410+X410)/2,FLOOR(((X410+Y410+Z410)/3),0.1))))))))</f>
        <v/>
      </c>
      <c r="AB410" s="21" t="n"/>
      <c r="AC410" s="21" t="n"/>
      <c r="AD410" s="27">
        <f>SUM(AB410:AC410)</f>
        <v/>
      </c>
      <c r="AE410" s="28" t="n"/>
      <c r="AF410" s="28" t="n"/>
      <c r="AG410" s="29">
        <f>IF(AND(AD410=0,AE410=0,AF410=0),0,IF(AND(AD410=0,AE410=0),AF410/1,IF(AND(AD410=0,AF410=0),AE410/1,IF(AND(AE410=0,AF410=0),AD410/1,IF(AD410=0,FLOOR((AE410+AF410)/2,0.1),IF(AE410=0,(AD410+AF410)/2,IF(AF410=0,(AE410+AD410)/2,FLOOR(((AD410+AE410+AF410)/3),0.1))))))))</f>
        <v/>
      </c>
      <c r="AH410" s="21" t="n"/>
      <c r="AI410" s="21" t="n"/>
      <c r="AJ410" s="27">
        <f>SUM(AH410:AI410)</f>
        <v/>
      </c>
      <c r="AK410" s="28" t="n"/>
      <c r="AL410" s="28" t="n"/>
      <c r="AM410" s="29">
        <f>IF(AND(AJ410=0,AK410=0,AL410=0),0,IF(AND(AJ410=0,AK410=0),AL410/1,IF(AND(AJ410=0,AL410=0),AK410/1,IF(AND(AK410=0,AL410=0),AJ410/1,IF(AJ410=0,FLOOR((AK410+AL410)/2,0.1),IF(AK410=0,(AJ410+AL410)/2,IF(AL410=0,(AK410+AJ410)/2,FLOOR(((AJ410+AK410+AL410)/3),0.1))))))))</f>
        <v/>
      </c>
      <c r="AN410" s="21" t="n"/>
      <c r="AO410" s="21" t="n"/>
      <c r="AP410" s="27">
        <f>SUM(AN410:AO410)</f>
        <v/>
      </c>
      <c r="AQ410" s="28" t="n"/>
      <c r="AR410" s="30" t="n"/>
      <c r="AS410" s="29">
        <f>IF(AND(AP410=0,AQ410=0,AR410=0),0,IF(AND(AP410=0,AQ410=0),AR410/1,IF(AND(AP410=0,AR410=0),AQ410/1,IF(AND(AQ410=0,AR410=0),AP410/1,IF(AP410=0,FLOOR((AQ410+AR410)/2,0.1),IF(AQ410=0,(AP410+AR410)/2,IF(AR410=0,(AQ410+AP410)/2,FLOOR(((AP410+AQ410+AR410)/3),0.1))))))))</f>
        <v/>
      </c>
      <c r="AT410" s="21" t="n"/>
      <c r="AU410" s="21" t="n"/>
      <c r="AV410" s="27">
        <f>SUM(AT410:AU410)</f>
        <v/>
      </c>
      <c r="AW410" s="28" t="n"/>
      <c r="AX410" s="30" t="n"/>
      <c r="AY410" s="29">
        <f>IF(AND(AV410=0,AW410=0,AX410=0),0,IF(AND(AV410=0,AW410=0),AX410/1,IF(AND(AV410=0,AX410=0),AW410/1,IF(AND(AW410=0,AX410=0),AV410/1,IF(AV410=0,FLOOR((AW410+AX410)/2,0.1),IF(AW410=0,(AV410+AX410)/2,IF(AX410=0,(AW410+AV410)/2,FLOOR(((AV410+AW410+AX410)/3),0.1))))))))</f>
        <v/>
      </c>
      <c r="AZ410" s="21" t="n"/>
      <c r="BA410" s="21" t="n"/>
      <c r="BB410" s="27">
        <f>SUM(AZ410:BA410)</f>
        <v/>
      </c>
      <c r="BC410" s="28" t="n"/>
      <c r="BD410" s="28" t="n"/>
      <c r="BE410" s="29">
        <f>IF(AND(BB410=0,BC410=0,BD410=0),0,IF(AND(BB410=0,BC410=0),BD410/1,IF(AND(BB410=0,BD410=0),BC410/1,IF(AND(BC410=0,BD410=0),BB410/1,IF(BB410=0,FLOOR((BC410+BD410)/2,0.1),IF(BC410=0,(BB410+BD410)/2,IF(BD410=0,(BC410+BB410)/2,FLOOR(((BB410+BC410+BD410)/3),0.1))))))))</f>
        <v/>
      </c>
      <c r="BF410" s="21" t="n"/>
      <c r="BG410" s="21" t="n"/>
      <c r="BH410" s="27">
        <f>SUM(BF410:BG410)</f>
        <v/>
      </c>
      <c r="BI410" s="28" t="n"/>
      <c r="BJ410" s="28" t="n"/>
      <c r="BK410" s="29">
        <f>IF(AND(BH410=0,BI410=0,BJ410=0),0,IF(AND(BH410=0,BI410=0),BJ410/1,IF(AND(BH410=0,BJ410=0),BI410/1,IF(AND(BI410=0,BJ410=0),BH410/1,IF(BH410=0,FLOOR((BI410+BJ410)/2,0.1),IF(BI410=0,(BH410+BJ410)/2,IF(BJ410=0,(BI410+BH410)/2,FLOOR(((BH410+BI410+BJ410)/3),0.1))))))))</f>
        <v/>
      </c>
      <c r="BL410" s="21" t="n"/>
      <c r="BM410" s="21" t="n"/>
      <c r="BN410" s="27">
        <f>SUM(BL410:BM410)</f>
        <v/>
      </c>
      <c r="BO410" s="28" t="n"/>
      <c r="BP410" s="31" t="n"/>
      <c r="BQ410" s="29">
        <f>IF(AND(BN410=0,BO410=0,BP410=0),0,IF(AND(BN410=0,BO410=0),BP410/1,IF(AND(BN410=0,BP410=0),BO410/1,IF(AND(BO410=0,BP410=0),BN410/1,IF(BN410=0,FLOOR((BO410+BP410)/2,0.1),IF(BO410=0,(BN410+BP410)/2,IF(BP410=0,(BO410+BN410)/2,FLOOR(((BN410+BO410+BP410)/3),0.1))))))))</f>
        <v/>
      </c>
      <c r="BR410" s="21" t="n"/>
      <c r="BS410" s="21" t="n"/>
      <c r="BT410" s="27">
        <f>SUM(BR410:BS410)</f>
        <v/>
      </c>
      <c r="BU410" s="28" t="n"/>
      <c r="BV410" s="31" t="n"/>
      <c r="BW410" s="29">
        <f>IF(AND(BT410=0,BU410=0,BV410=0),0,IF(AND(BT410=0,BU410=0),BV410/1,IF(AND(BT410=0,BV410=0),BU410/1,IF(AND(BU410=0,BV410=0),BT410/1,IF(BT410=0,FLOOR((BU410+BV410)/2,0.1),IF(BU410=0,(BT410+BV410)/2,IF(BV410=0,(BU410+BT410)/2,FLOOR(((BT410+BU410+BV410)/3),0.1))))))))</f>
        <v/>
      </c>
      <c r="BX410" s="21" t="n"/>
      <c r="BY410" s="21" t="n"/>
      <c r="BZ410" s="27">
        <f>SUM(BX410:BY410)</f>
        <v/>
      </c>
      <c r="CA410" s="28" t="n"/>
      <c r="CB410" s="31" t="n"/>
      <c r="CC410" s="29">
        <f>IF(AND(BZ410=0,CA410=0,CB410=0),0,IF(AND(BZ410=0,CA410=0),CB410/1,IF(AND(BZ410=0,CB410=0),CA410/1,IF(AND(CA410=0,CB410=0),BZ410/1,IF(BZ410=0,FLOOR((CA410+CB410)/2,0.1),IF(CA410=0,(BZ410+CB410)/2,IF(CB410=0,(CA410+BZ410)/2,FLOOR(((BZ410+CA410+CB410)/3),0.1))))))))</f>
        <v/>
      </c>
      <c r="CD410" s="21" t="n"/>
      <c r="CE410" s="21" t="n"/>
      <c r="CF410" s="27">
        <f>SUM(CD410:CE410)</f>
        <v/>
      </c>
      <c r="CG410" s="28" t="n"/>
      <c r="CH410" s="31" t="n"/>
      <c r="CI410" s="29">
        <f>IF(AND(CF410=0,CG410=0,CH410=0),0,IF(AND(CF410=0,CG410=0),CH410/1,IF(AND(CF410=0,CH410=0),CG410/1,IF(AND(CG410=0,CH410=0),CF410/1,IF(CF410=0,FLOOR((CG410+CH410)/2,0.1),IF(CG410=0,(CF410+CH410)/2,IF(CH410=0,(CG410+CF410)/2,FLOOR(((CF410+CG410+CH410)/3),0.1))))))))</f>
        <v/>
      </c>
      <c r="CJ410" s="21" t="n"/>
      <c r="CK410" s="21" t="n"/>
      <c r="CL410" s="27">
        <f>SUM(CJ410:CK410)</f>
        <v/>
      </c>
      <c r="CM410" s="28" t="n"/>
      <c r="CN410" s="31" t="n"/>
      <c r="CO410" s="29">
        <f>IF(AND(CL410=0,CM410=0,CN410=0),0,IF(AND(CL410=0,CM410=0),CN410/1,IF(AND(CL410=0,CN410=0),CM410/1,IF(AND(CM410=0,CN410=0),CL410/1,IF(CL410=0,FLOOR((CM410+CN410)/2,0.1),IF(CM410=0,(CL410+CN410)/2,IF(CN410=0,(CM410+CL410)/2,FLOOR(((CL410+CM410+CN410)/3),0.1))))))))</f>
        <v/>
      </c>
      <c r="CP410" s="21" t="n"/>
      <c r="CQ410" s="21" t="n"/>
      <c r="CR410" s="27">
        <f>SUM(CP410:CQ410)</f>
        <v/>
      </c>
      <c r="CS410" s="28" t="n"/>
      <c r="CT410" s="31" t="n"/>
      <c r="CU410" s="29">
        <f>IF(AND(CR410=0,CS410=0,CT410=0),0,IF(AND(CR410=0,CS410=0),CT410/1,IF(AND(CR410=0,CT410=0),CS410/1,IF(AND(CS410=0,CT410=0),CR410/1,IF(CR410=0,FLOOR((CS410+CT410)/2,0.1),IF(CS410=0,(CR410+CT410)/2,IF(CT410=0,(CS410+CR410)/2,FLOOR(((CR410+CS410+CT410)/3),0.1))))))))</f>
        <v/>
      </c>
      <c r="CV410" s="21" t="n"/>
      <c r="CW410" s="21" t="n"/>
      <c r="CX410" s="27">
        <f>SUM(CV410:CW410)</f>
        <v/>
      </c>
      <c r="CY410" s="28" t="n"/>
      <c r="CZ410" s="31" t="n"/>
      <c r="DA410" s="29">
        <f>IF(AND(CX410=0,CY410=0,CZ410=0),0,IF(AND(CX410=0,CY410=0),CZ410/1,IF(AND(CX410=0,CZ410=0),CY410/1,IF(AND(CY410=0,CZ410=0),CX410/1,IF(CX410=0,FLOOR((CY410+CZ410)/2,0.1),IF(CY410=0,(CX410+CZ410)/2,IF(CZ410=0,(CY410+CX410)/2,FLOOR(((CX410+CY410+CZ410)/3),0.1))))))))</f>
        <v/>
      </c>
      <c r="DB410" s="21" t="n"/>
      <c r="DC410" s="21" t="n"/>
      <c r="DD410" s="27">
        <f>SUM(DB410:DC410)</f>
        <v/>
      </c>
      <c r="DE410" s="28" t="n"/>
      <c r="DF410" s="31" t="n"/>
      <c r="DG410" s="29">
        <f>IF(AND(DD410=0,DE410=0,DF410=0),0,IF(AND(DD410=0,DE410=0),DF410/1,IF(AND(DD410=0,DF410=0),DE410/1,IF(AND(DE410=0,DF410=0),DD410/1,IF(DD410=0,FLOOR((DE410+DF410)/2,0.1),IF(DE410=0,(DD410+DF410)/2,IF(DF410=0,(DE410+DD410)/2,FLOOR(((DD410+DE410+DF410)/3),0.1))))))))</f>
        <v/>
      </c>
      <c r="DH410" s="34">
        <f>SUM(O410,U410,AA410,AG410,AM410,AS410,AY410,BE410,BK410,BQ410,BW410,CC410,CI410,CO410,CU410,DA410,DG410)</f>
        <v/>
      </c>
      <c r="DI410" s="39">
        <f>RANK(DH410,DH$4:DH$503)</f>
        <v/>
      </c>
      <c r="DJ410" s="40" t="inlineStr">
        <is>
          <t>CHOOSE RATING</t>
        </is>
      </c>
      <c r="DK410" s="40" t="inlineStr">
        <is>
          <t>CHOOSE RATING</t>
        </is>
      </c>
      <c r="DL410" s="40" t="inlineStr">
        <is>
          <t>CHOOSE RATING</t>
        </is>
      </c>
      <c r="DM410" s="40" t="inlineStr">
        <is>
          <t>CHOOSE RATING</t>
        </is>
      </c>
      <c r="DN410" s="40" t="inlineStr">
        <is>
          <t>CHOOSE RATING</t>
        </is>
      </c>
      <c r="DO410" s="40" t="inlineStr">
        <is>
          <t>CHOOSE RATING</t>
        </is>
      </c>
      <c r="DP410" s="40" t="inlineStr">
        <is>
          <t>CHOOSE RATING</t>
        </is>
      </c>
      <c r="DQ410" s="40" t="inlineStr">
        <is>
          <t>CHOOSE RATING</t>
        </is>
      </c>
      <c r="DR410" s="43" t="inlineStr">
        <is>
          <t>2024/2025</t>
        </is>
      </c>
      <c r="DS410" s="45" t="inlineStr">
        <is>
          <t>THIRD</t>
        </is>
      </c>
      <c r="DT410" s="40" t="inlineStr">
        <is>
          <t>CHOOSE RATING</t>
        </is>
      </c>
      <c r="DU410" s="40" t="inlineStr">
        <is>
          <t>CHOOSE RATING</t>
        </is>
      </c>
      <c r="DV410" s="40" t="inlineStr">
        <is>
          <t>CHOOSE RATING</t>
        </is>
      </c>
      <c r="DW410" s="40" t="inlineStr">
        <is>
          <t>CHOOSE RATING</t>
        </is>
      </c>
      <c r="DX410" s="40" t="inlineStr">
        <is>
          <t>CHOOSE RATING</t>
        </is>
      </c>
      <c r="DY410" s="40" t="inlineStr">
        <is>
          <t>CHOOSE RATING</t>
        </is>
      </c>
      <c r="DZ410" s="53" t="inlineStr">
        <is>
          <t>CHOOSE RATING</t>
        </is>
      </c>
      <c r="EA410" s="54" t="inlineStr">
        <is>
          <t>Add the Tutor's Comment . . .</t>
        </is>
      </c>
      <c r="EB410" s="55" t="inlineStr">
        <is>
          <t>Choose Principals comment</t>
        </is>
      </c>
      <c r="EC410" s="56" t="n"/>
      <c r="ED410" s="57" t="inlineStr">
        <is>
          <t>Next Term Begins on Monday, 22nd September, 2025</t>
        </is>
      </c>
    </row>
    <row r="411" ht="30.6" customHeight="1" s="6">
      <c r="A411" s="18" t="n">
        <v>408</v>
      </c>
      <c r="B411" s="19" t="n"/>
      <c r="C411" s="20" t="n"/>
      <c r="D411" s="128" t="n"/>
      <c r="E411" s="21" t="n"/>
      <c r="F411" s="22" t="n"/>
      <c r="G411" s="22" t="n"/>
      <c r="H411" s="22" t="n"/>
      <c r="I411" s="26">
        <f>G411-H411</f>
        <v/>
      </c>
      <c r="J411" s="21" t="n"/>
      <c r="K411" s="21" t="n"/>
      <c r="L411" s="27">
        <f>SUM(J411:K411)</f>
        <v/>
      </c>
      <c r="M411" s="28" t="n"/>
      <c r="N411" s="28" t="n"/>
      <c r="O411" s="29">
        <f>IF(AND(L411=0,M411=0,N411=0),0,IF(AND(L411=0,M411=0),N411/1,IF(AND(L411=0,N411=0),M411/1,IF(AND(M411=0,N411=0),L411/1,IF(L411=0,FLOOR((M411+N411)/2,0.1),IF(M411=0,(L411+N411)/2,IF(N411=0,(M411+L411)/2,FLOOR(((L411+M411+N411)/3),0.1))))))))</f>
        <v/>
      </c>
      <c r="P411" s="21" t="n"/>
      <c r="Q411" s="21" t="n"/>
      <c r="R411" s="27">
        <f>SUM(P411:Q411)</f>
        <v/>
      </c>
      <c r="S411" s="28" t="n"/>
      <c r="T411" s="28" t="n"/>
      <c r="U411" s="29">
        <f>IF(AND(R411=0,S411=0,T411=0),0,IF(AND(R411=0,S411=0),T411/1,IF(AND(R411=0,T411=0),S411/1,IF(AND(S411=0,T411=0),R411/1,IF(R411=0,FLOOR((S411+T411)/2,0.1),IF(S411=0,(R411+T411)/2,IF(T411=0,(S411+R411)/2,FLOOR(((R411+S411+T411)/3),0.1))))))))</f>
        <v/>
      </c>
      <c r="V411" s="21" t="n"/>
      <c r="W411" s="21" t="n"/>
      <c r="X411" s="27">
        <f>SUM(V411:W411)</f>
        <v/>
      </c>
      <c r="Y411" s="28" t="n"/>
      <c r="Z411" s="28" t="n"/>
      <c r="AA411" s="29">
        <f>IF(AND(X411=0,Y411=0,Z411=0),0,IF(AND(X411=0,Y411=0),Z411/1,IF(AND(X411=0,Z411=0),Y411/1,IF(AND(Y411=0,Z411=0),X411/1,IF(X411=0,FLOOR((Y411+Z411)/2,0.1),IF(Y411=0,(X411+Z411)/2,IF(Z411=0,(Y411+X411)/2,FLOOR(((X411+Y411+Z411)/3),0.1))))))))</f>
        <v/>
      </c>
      <c r="AB411" s="21" t="n"/>
      <c r="AC411" s="21" t="n"/>
      <c r="AD411" s="27">
        <f>SUM(AB411:AC411)</f>
        <v/>
      </c>
      <c r="AE411" s="28" t="n"/>
      <c r="AF411" s="28" t="n"/>
      <c r="AG411" s="29">
        <f>IF(AND(AD411=0,AE411=0,AF411=0),0,IF(AND(AD411=0,AE411=0),AF411/1,IF(AND(AD411=0,AF411=0),AE411/1,IF(AND(AE411=0,AF411=0),AD411/1,IF(AD411=0,FLOOR((AE411+AF411)/2,0.1),IF(AE411=0,(AD411+AF411)/2,IF(AF411=0,(AE411+AD411)/2,FLOOR(((AD411+AE411+AF411)/3),0.1))))))))</f>
        <v/>
      </c>
      <c r="AH411" s="21" t="n"/>
      <c r="AI411" s="21" t="n"/>
      <c r="AJ411" s="27">
        <f>SUM(AH411:AI411)</f>
        <v/>
      </c>
      <c r="AK411" s="28" t="n"/>
      <c r="AL411" s="28" t="n"/>
      <c r="AM411" s="29">
        <f>IF(AND(AJ411=0,AK411=0,AL411=0),0,IF(AND(AJ411=0,AK411=0),AL411/1,IF(AND(AJ411=0,AL411=0),AK411/1,IF(AND(AK411=0,AL411=0),AJ411/1,IF(AJ411=0,FLOOR((AK411+AL411)/2,0.1),IF(AK411=0,(AJ411+AL411)/2,IF(AL411=0,(AK411+AJ411)/2,FLOOR(((AJ411+AK411+AL411)/3),0.1))))))))</f>
        <v/>
      </c>
      <c r="AN411" s="21" t="n"/>
      <c r="AO411" s="21" t="n"/>
      <c r="AP411" s="27">
        <f>SUM(AN411:AO411)</f>
        <v/>
      </c>
      <c r="AQ411" s="28" t="n"/>
      <c r="AR411" s="30" t="n"/>
      <c r="AS411" s="29">
        <f>IF(AND(AP411=0,AQ411=0,AR411=0),0,IF(AND(AP411=0,AQ411=0),AR411/1,IF(AND(AP411=0,AR411=0),AQ411/1,IF(AND(AQ411=0,AR411=0),AP411/1,IF(AP411=0,FLOOR((AQ411+AR411)/2,0.1),IF(AQ411=0,(AP411+AR411)/2,IF(AR411=0,(AQ411+AP411)/2,FLOOR(((AP411+AQ411+AR411)/3),0.1))))))))</f>
        <v/>
      </c>
      <c r="AT411" s="21" t="n"/>
      <c r="AU411" s="21" t="n"/>
      <c r="AV411" s="27">
        <f>SUM(AT411:AU411)</f>
        <v/>
      </c>
      <c r="AW411" s="28" t="n"/>
      <c r="AX411" s="30" t="n"/>
      <c r="AY411" s="29">
        <f>IF(AND(AV411=0,AW411=0,AX411=0),0,IF(AND(AV411=0,AW411=0),AX411/1,IF(AND(AV411=0,AX411=0),AW411/1,IF(AND(AW411=0,AX411=0),AV411/1,IF(AV411=0,FLOOR((AW411+AX411)/2,0.1),IF(AW411=0,(AV411+AX411)/2,IF(AX411=0,(AW411+AV411)/2,FLOOR(((AV411+AW411+AX411)/3),0.1))))))))</f>
        <v/>
      </c>
      <c r="AZ411" s="21" t="n"/>
      <c r="BA411" s="21" t="n"/>
      <c r="BB411" s="27">
        <f>SUM(AZ411:BA411)</f>
        <v/>
      </c>
      <c r="BC411" s="28" t="n"/>
      <c r="BD411" s="28" t="n"/>
      <c r="BE411" s="29">
        <f>IF(AND(BB411=0,BC411=0,BD411=0),0,IF(AND(BB411=0,BC411=0),BD411/1,IF(AND(BB411=0,BD411=0),BC411/1,IF(AND(BC411=0,BD411=0),BB411/1,IF(BB411=0,FLOOR((BC411+BD411)/2,0.1),IF(BC411=0,(BB411+BD411)/2,IF(BD411=0,(BC411+BB411)/2,FLOOR(((BB411+BC411+BD411)/3),0.1))))))))</f>
        <v/>
      </c>
      <c r="BF411" s="21" t="n"/>
      <c r="BG411" s="21" t="n"/>
      <c r="BH411" s="27">
        <f>SUM(BF411:BG411)</f>
        <v/>
      </c>
      <c r="BI411" s="28" t="n"/>
      <c r="BJ411" s="28" t="n"/>
      <c r="BK411" s="29">
        <f>IF(AND(BH411=0,BI411=0,BJ411=0),0,IF(AND(BH411=0,BI411=0),BJ411/1,IF(AND(BH411=0,BJ411=0),BI411/1,IF(AND(BI411=0,BJ411=0),BH411/1,IF(BH411=0,FLOOR((BI411+BJ411)/2,0.1),IF(BI411=0,(BH411+BJ411)/2,IF(BJ411=0,(BI411+BH411)/2,FLOOR(((BH411+BI411+BJ411)/3),0.1))))))))</f>
        <v/>
      </c>
      <c r="BL411" s="21" t="n"/>
      <c r="BM411" s="21" t="n"/>
      <c r="BN411" s="27">
        <f>SUM(BL411:BM411)</f>
        <v/>
      </c>
      <c r="BO411" s="28" t="n"/>
      <c r="BP411" s="31" t="n"/>
      <c r="BQ411" s="29">
        <f>IF(AND(BN411=0,BO411=0,BP411=0),0,IF(AND(BN411=0,BO411=0),BP411/1,IF(AND(BN411=0,BP411=0),BO411/1,IF(AND(BO411=0,BP411=0),BN411/1,IF(BN411=0,FLOOR((BO411+BP411)/2,0.1),IF(BO411=0,(BN411+BP411)/2,IF(BP411=0,(BO411+BN411)/2,FLOOR(((BN411+BO411+BP411)/3),0.1))))))))</f>
        <v/>
      </c>
      <c r="BR411" s="21" t="n"/>
      <c r="BS411" s="21" t="n"/>
      <c r="BT411" s="27">
        <f>SUM(BR411:BS411)</f>
        <v/>
      </c>
      <c r="BU411" s="28" t="n"/>
      <c r="BV411" s="31" t="n"/>
      <c r="BW411" s="29">
        <f>IF(AND(BT411=0,BU411=0,BV411=0),0,IF(AND(BT411=0,BU411=0),BV411/1,IF(AND(BT411=0,BV411=0),BU411/1,IF(AND(BU411=0,BV411=0),BT411/1,IF(BT411=0,FLOOR((BU411+BV411)/2,0.1),IF(BU411=0,(BT411+BV411)/2,IF(BV411=0,(BU411+BT411)/2,FLOOR(((BT411+BU411+BV411)/3),0.1))))))))</f>
        <v/>
      </c>
      <c r="BX411" s="21" t="n"/>
      <c r="BY411" s="21" t="n"/>
      <c r="BZ411" s="27">
        <f>SUM(BX411:BY411)</f>
        <v/>
      </c>
      <c r="CA411" s="28" t="n"/>
      <c r="CB411" s="31" t="n"/>
      <c r="CC411" s="29">
        <f>IF(AND(BZ411=0,CA411=0,CB411=0),0,IF(AND(BZ411=0,CA411=0),CB411/1,IF(AND(BZ411=0,CB411=0),CA411/1,IF(AND(CA411=0,CB411=0),BZ411/1,IF(BZ411=0,FLOOR((CA411+CB411)/2,0.1),IF(CA411=0,(BZ411+CB411)/2,IF(CB411=0,(CA411+BZ411)/2,FLOOR(((BZ411+CA411+CB411)/3),0.1))))))))</f>
        <v/>
      </c>
      <c r="CD411" s="21" t="n"/>
      <c r="CE411" s="21" t="n"/>
      <c r="CF411" s="27">
        <f>SUM(CD411:CE411)</f>
        <v/>
      </c>
      <c r="CG411" s="28" t="n"/>
      <c r="CH411" s="31" t="n"/>
      <c r="CI411" s="29">
        <f>IF(AND(CF411=0,CG411=0,CH411=0),0,IF(AND(CF411=0,CG411=0),CH411/1,IF(AND(CF411=0,CH411=0),CG411/1,IF(AND(CG411=0,CH411=0),CF411/1,IF(CF411=0,FLOOR((CG411+CH411)/2,0.1),IF(CG411=0,(CF411+CH411)/2,IF(CH411=0,(CG411+CF411)/2,FLOOR(((CF411+CG411+CH411)/3),0.1))))))))</f>
        <v/>
      </c>
      <c r="CJ411" s="21" t="n"/>
      <c r="CK411" s="21" t="n"/>
      <c r="CL411" s="27">
        <f>SUM(CJ411:CK411)</f>
        <v/>
      </c>
      <c r="CM411" s="28" t="n"/>
      <c r="CN411" s="31" t="n"/>
      <c r="CO411" s="29">
        <f>IF(AND(CL411=0,CM411=0,CN411=0),0,IF(AND(CL411=0,CM411=0),CN411/1,IF(AND(CL411=0,CN411=0),CM411/1,IF(AND(CM411=0,CN411=0),CL411/1,IF(CL411=0,FLOOR((CM411+CN411)/2,0.1),IF(CM411=0,(CL411+CN411)/2,IF(CN411=0,(CM411+CL411)/2,FLOOR(((CL411+CM411+CN411)/3),0.1))))))))</f>
        <v/>
      </c>
      <c r="CP411" s="21" t="n"/>
      <c r="CQ411" s="21" t="n"/>
      <c r="CR411" s="27">
        <f>SUM(CP411:CQ411)</f>
        <v/>
      </c>
      <c r="CS411" s="28" t="n"/>
      <c r="CT411" s="31" t="n"/>
      <c r="CU411" s="29">
        <f>IF(AND(CR411=0,CS411=0,CT411=0),0,IF(AND(CR411=0,CS411=0),CT411/1,IF(AND(CR411=0,CT411=0),CS411/1,IF(AND(CS411=0,CT411=0),CR411/1,IF(CR411=0,FLOOR((CS411+CT411)/2,0.1),IF(CS411=0,(CR411+CT411)/2,IF(CT411=0,(CS411+CR411)/2,FLOOR(((CR411+CS411+CT411)/3),0.1))))))))</f>
        <v/>
      </c>
      <c r="CV411" s="21" t="n"/>
      <c r="CW411" s="21" t="n"/>
      <c r="CX411" s="27">
        <f>SUM(CV411:CW411)</f>
        <v/>
      </c>
      <c r="CY411" s="28" t="n"/>
      <c r="CZ411" s="31" t="n"/>
      <c r="DA411" s="29">
        <f>IF(AND(CX411=0,CY411=0,CZ411=0),0,IF(AND(CX411=0,CY411=0),CZ411/1,IF(AND(CX411=0,CZ411=0),CY411/1,IF(AND(CY411=0,CZ411=0),CX411/1,IF(CX411=0,FLOOR((CY411+CZ411)/2,0.1),IF(CY411=0,(CX411+CZ411)/2,IF(CZ411=0,(CY411+CX411)/2,FLOOR(((CX411+CY411+CZ411)/3),0.1))))))))</f>
        <v/>
      </c>
      <c r="DB411" s="21" t="n"/>
      <c r="DC411" s="21" t="n"/>
      <c r="DD411" s="27">
        <f>SUM(DB411:DC411)</f>
        <v/>
      </c>
      <c r="DE411" s="28" t="n"/>
      <c r="DF411" s="31" t="n"/>
      <c r="DG411" s="29">
        <f>IF(AND(DD411=0,DE411=0,DF411=0),0,IF(AND(DD411=0,DE411=0),DF411/1,IF(AND(DD411=0,DF411=0),DE411/1,IF(AND(DE411=0,DF411=0),DD411/1,IF(DD411=0,FLOOR((DE411+DF411)/2,0.1),IF(DE411=0,(DD411+DF411)/2,IF(DF411=0,(DE411+DD411)/2,FLOOR(((DD411+DE411+DF411)/3),0.1))))))))</f>
        <v/>
      </c>
      <c r="DH411" s="34">
        <f>SUM(O411,U411,AA411,AG411,AM411,AS411,AY411,BE411,BK411,BQ411,BW411,CC411,CI411,CO411,CU411,DA411,DG411)</f>
        <v/>
      </c>
      <c r="DI411" s="39">
        <f>RANK(DH411,DH$4:DH$503)</f>
        <v/>
      </c>
      <c r="DJ411" s="40" t="inlineStr">
        <is>
          <t>CHOOSE RATING</t>
        </is>
      </c>
      <c r="DK411" s="40" t="inlineStr">
        <is>
          <t>CHOOSE RATING</t>
        </is>
      </c>
      <c r="DL411" s="40" t="inlineStr">
        <is>
          <t>CHOOSE RATING</t>
        </is>
      </c>
      <c r="DM411" s="40" t="inlineStr">
        <is>
          <t>CHOOSE RATING</t>
        </is>
      </c>
      <c r="DN411" s="40" t="inlineStr">
        <is>
          <t>CHOOSE RATING</t>
        </is>
      </c>
      <c r="DO411" s="40" t="inlineStr">
        <is>
          <t>CHOOSE RATING</t>
        </is>
      </c>
      <c r="DP411" s="40" t="inlineStr">
        <is>
          <t>CHOOSE RATING</t>
        </is>
      </c>
      <c r="DQ411" s="40" t="inlineStr">
        <is>
          <t>CHOOSE RATING</t>
        </is>
      </c>
      <c r="DR411" s="43" t="inlineStr">
        <is>
          <t>2024/2025</t>
        </is>
      </c>
      <c r="DS411" s="45" t="inlineStr">
        <is>
          <t>THIRD</t>
        </is>
      </c>
      <c r="DT411" s="40" t="inlineStr">
        <is>
          <t>CHOOSE RATING</t>
        </is>
      </c>
      <c r="DU411" s="40" t="inlineStr">
        <is>
          <t>CHOOSE RATING</t>
        </is>
      </c>
      <c r="DV411" s="40" t="inlineStr">
        <is>
          <t>CHOOSE RATING</t>
        </is>
      </c>
      <c r="DW411" s="40" t="inlineStr">
        <is>
          <t>CHOOSE RATING</t>
        </is>
      </c>
      <c r="DX411" s="40" t="inlineStr">
        <is>
          <t>CHOOSE RATING</t>
        </is>
      </c>
      <c r="DY411" s="40" t="inlineStr">
        <is>
          <t>CHOOSE RATING</t>
        </is>
      </c>
      <c r="DZ411" s="53" t="inlineStr">
        <is>
          <t>CHOOSE RATING</t>
        </is>
      </c>
      <c r="EA411" s="54" t="inlineStr">
        <is>
          <t>Add the Tutor's Comment . . .</t>
        </is>
      </c>
      <c r="EB411" s="55" t="inlineStr">
        <is>
          <t>Choose Principals comment</t>
        </is>
      </c>
      <c r="EC411" s="56" t="n"/>
      <c r="ED411" s="57" t="inlineStr">
        <is>
          <t>Next Term Begins on Monday, 22nd September, 2025</t>
        </is>
      </c>
    </row>
    <row r="412" ht="30.6" customHeight="1" s="6">
      <c r="A412" s="18" t="n">
        <v>409</v>
      </c>
      <c r="B412" s="19" t="n"/>
      <c r="C412" s="20" t="n"/>
      <c r="D412" s="128" t="n"/>
      <c r="E412" s="21" t="n"/>
      <c r="F412" s="22" t="n"/>
      <c r="G412" s="22" t="n"/>
      <c r="H412" s="22" t="n"/>
      <c r="I412" s="26">
        <f>G412-H412</f>
        <v/>
      </c>
      <c r="J412" s="21" t="n"/>
      <c r="K412" s="21" t="n"/>
      <c r="L412" s="27">
        <f>SUM(J412:K412)</f>
        <v/>
      </c>
      <c r="M412" s="28" t="n"/>
      <c r="N412" s="28" t="n"/>
      <c r="O412" s="29">
        <f>IF(AND(L412=0,M412=0,N412=0),0,IF(AND(L412=0,M412=0),N412/1,IF(AND(L412=0,N412=0),M412/1,IF(AND(M412=0,N412=0),L412/1,IF(L412=0,FLOOR((M412+N412)/2,0.1),IF(M412=0,(L412+N412)/2,IF(N412=0,(M412+L412)/2,FLOOR(((L412+M412+N412)/3),0.1))))))))</f>
        <v/>
      </c>
      <c r="P412" s="21" t="n"/>
      <c r="Q412" s="21" t="n"/>
      <c r="R412" s="27">
        <f>SUM(P412:Q412)</f>
        <v/>
      </c>
      <c r="S412" s="28" t="n"/>
      <c r="T412" s="28" t="n"/>
      <c r="U412" s="29">
        <f>IF(AND(R412=0,S412=0,T412=0),0,IF(AND(R412=0,S412=0),T412/1,IF(AND(R412=0,T412=0),S412/1,IF(AND(S412=0,T412=0),R412/1,IF(R412=0,FLOOR((S412+T412)/2,0.1),IF(S412=0,(R412+T412)/2,IF(T412=0,(S412+R412)/2,FLOOR(((R412+S412+T412)/3),0.1))))))))</f>
        <v/>
      </c>
      <c r="V412" s="21" t="n"/>
      <c r="W412" s="21" t="n"/>
      <c r="X412" s="27">
        <f>SUM(V412:W412)</f>
        <v/>
      </c>
      <c r="Y412" s="28" t="n"/>
      <c r="Z412" s="28" t="n"/>
      <c r="AA412" s="29">
        <f>IF(AND(X412=0,Y412=0,Z412=0),0,IF(AND(X412=0,Y412=0),Z412/1,IF(AND(X412=0,Z412=0),Y412/1,IF(AND(Y412=0,Z412=0),X412/1,IF(X412=0,FLOOR((Y412+Z412)/2,0.1),IF(Y412=0,(X412+Z412)/2,IF(Z412=0,(Y412+X412)/2,FLOOR(((X412+Y412+Z412)/3),0.1))))))))</f>
        <v/>
      </c>
      <c r="AB412" s="21" t="n"/>
      <c r="AC412" s="21" t="n"/>
      <c r="AD412" s="27">
        <f>SUM(AB412:AC412)</f>
        <v/>
      </c>
      <c r="AE412" s="28" t="n"/>
      <c r="AF412" s="28" t="n"/>
      <c r="AG412" s="29">
        <f>IF(AND(AD412=0,AE412=0,AF412=0),0,IF(AND(AD412=0,AE412=0),AF412/1,IF(AND(AD412=0,AF412=0),AE412/1,IF(AND(AE412=0,AF412=0),AD412/1,IF(AD412=0,FLOOR((AE412+AF412)/2,0.1),IF(AE412=0,(AD412+AF412)/2,IF(AF412=0,(AE412+AD412)/2,FLOOR(((AD412+AE412+AF412)/3),0.1))))))))</f>
        <v/>
      </c>
      <c r="AH412" s="21" t="n"/>
      <c r="AI412" s="21" t="n"/>
      <c r="AJ412" s="27">
        <f>SUM(AH412:AI412)</f>
        <v/>
      </c>
      <c r="AK412" s="28" t="n"/>
      <c r="AL412" s="28" t="n"/>
      <c r="AM412" s="29">
        <f>IF(AND(AJ412=0,AK412=0,AL412=0),0,IF(AND(AJ412=0,AK412=0),AL412/1,IF(AND(AJ412=0,AL412=0),AK412/1,IF(AND(AK412=0,AL412=0),AJ412/1,IF(AJ412=0,FLOOR((AK412+AL412)/2,0.1),IF(AK412=0,(AJ412+AL412)/2,IF(AL412=0,(AK412+AJ412)/2,FLOOR(((AJ412+AK412+AL412)/3),0.1))))))))</f>
        <v/>
      </c>
      <c r="AN412" s="21" t="n"/>
      <c r="AO412" s="21" t="n"/>
      <c r="AP412" s="27">
        <f>SUM(AN412:AO412)</f>
        <v/>
      </c>
      <c r="AQ412" s="28" t="n"/>
      <c r="AR412" s="30" t="n"/>
      <c r="AS412" s="29">
        <f>IF(AND(AP412=0,AQ412=0,AR412=0),0,IF(AND(AP412=0,AQ412=0),AR412/1,IF(AND(AP412=0,AR412=0),AQ412/1,IF(AND(AQ412=0,AR412=0),AP412/1,IF(AP412=0,FLOOR((AQ412+AR412)/2,0.1),IF(AQ412=0,(AP412+AR412)/2,IF(AR412=0,(AQ412+AP412)/2,FLOOR(((AP412+AQ412+AR412)/3),0.1))))))))</f>
        <v/>
      </c>
      <c r="AT412" s="21" t="n"/>
      <c r="AU412" s="21" t="n"/>
      <c r="AV412" s="27">
        <f>SUM(AT412:AU412)</f>
        <v/>
      </c>
      <c r="AW412" s="28" t="n"/>
      <c r="AX412" s="30" t="n"/>
      <c r="AY412" s="29">
        <f>IF(AND(AV412=0,AW412=0,AX412=0),0,IF(AND(AV412=0,AW412=0),AX412/1,IF(AND(AV412=0,AX412=0),AW412/1,IF(AND(AW412=0,AX412=0),AV412/1,IF(AV412=0,FLOOR((AW412+AX412)/2,0.1),IF(AW412=0,(AV412+AX412)/2,IF(AX412=0,(AW412+AV412)/2,FLOOR(((AV412+AW412+AX412)/3),0.1))))))))</f>
        <v/>
      </c>
      <c r="AZ412" s="21" t="n"/>
      <c r="BA412" s="21" t="n"/>
      <c r="BB412" s="27">
        <f>SUM(AZ412:BA412)</f>
        <v/>
      </c>
      <c r="BC412" s="28" t="n"/>
      <c r="BD412" s="28" t="n"/>
      <c r="BE412" s="29">
        <f>IF(AND(BB412=0,BC412=0,BD412=0),0,IF(AND(BB412=0,BC412=0),BD412/1,IF(AND(BB412=0,BD412=0),BC412/1,IF(AND(BC412=0,BD412=0),BB412/1,IF(BB412=0,FLOOR((BC412+BD412)/2,0.1),IF(BC412=0,(BB412+BD412)/2,IF(BD412=0,(BC412+BB412)/2,FLOOR(((BB412+BC412+BD412)/3),0.1))))))))</f>
        <v/>
      </c>
      <c r="BF412" s="21" t="n"/>
      <c r="BG412" s="21" t="n"/>
      <c r="BH412" s="27">
        <f>SUM(BF412:BG412)</f>
        <v/>
      </c>
      <c r="BI412" s="28" t="n"/>
      <c r="BJ412" s="28" t="n"/>
      <c r="BK412" s="29">
        <f>IF(AND(BH412=0,BI412=0,BJ412=0),0,IF(AND(BH412=0,BI412=0),BJ412/1,IF(AND(BH412=0,BJ412=0),BI412/1,IF(AND(BI412=0,BJ412=0),BH412/1,IF(BH412=0,FLOOR((BI412+BJ412)/2,0.1),IF(BI412=0,(BH412+BJ412)/2,IF(BJ412=0,(BI412+BH412)/2,FLOOR(((BH412+BI412+BJ412)/3),0.1))))))))</f>
        <v/>
      </c>
      <c r="BL412" s="21" t="n"/>
      <c r="BM412" s="21" t="n"/>
      <c r="BN412" s="27">
        <f>SUM(BL412:BM412)</f>
        <v/>
      </c>
      <c r="BO412" s="28" t="n"/>
      <c r="BP412" s="31" t="n"/>
      <c r="BQ412" s="29">
        <f>IF(AND(BN412=0,BO412=0,BP412=0),0,IF(AND(BN412=0,BO412=0),BP412/1,IF(AND(BN412=0,BP412=0),BO412/1,IF(AND(BO412=0,BP412=0),BN412/1,IF(BN412=0,FLOOR((BO412+BP412)/2,0.1),IF(BO412=0,(BN412+BP412)/2,IF(BP412=0,(BO412+BN412)/2,FLOOR(((BN412+BO412+BP412)/3),0.1))))))))</f>
        <v/>
      </c>
      <c r="BR412" s="21" t="n"/>
      <c r="BS412" s="21" t="n"/>
      <c r="BT412" s="27">
        <f>SUM(BR412:BS412)</f>
        <v/>
      </c>
      <c r="BU412" s="28" t="n"/>
      <c r="BV412" s="31" t="n"/>
      <c r="BW412" s="29">
        <f>IF(AND(BT412=0,BU412=0,BV412=0),0,IF(AND(BT412=0,BU412=0),BV412/1,IF(AND(BT412=0,BV412=0),BU412/1,IF(AND(BU412=0,BV412=0),BT412/1,IF(BT412=0,FLOOR((BU412+BV412)/2,0.1),IF(BU412=0,(BT412+BV412)/2,IF(BV412=0,(BU412+BT412)/2,FLOOR(((BT412+BU412+BV412)/3),0.1))))))))</f>
        <v/>
      </c>
      <c r="BX412" s="21" t="n"/>
      <c r="BY412" s="21" t="n"/>
      <c r="BZ412" s="27">
        <f>SUM(BX412:BY412)</f>
        <v/>
      </c>
      <c r="CA412" s="28" t="n"/>
      <c r="CB412" s="31" t="n"/>
      <c r="CC412" s="29">
        <f>IF(AND(BZ412=0,CA412=0,CB412=0),0,IF(AND(BZ412=0,CA412=0),CB412/1,IF(AND(BZ412=0,CB412=0),CA412/1,IF(AND(CA412=0,CB412=0),BZ412/1,IF(BZ412=0,FLOOR((CA412+CB412)/2,0.1),IF(CA412=0,(BZ412+CB412)/2,IF(CB412=0,(CA412+BZ412)/2,FLOOR(((BZ412+CA412+CB412)/3),0.1))))))))</f>
        <v/>
      </c>
      <c r="CD412" s="21" t="n"/>
      <c r="CE412" s="21" t="n"/>
      <c r="CF412" s="27">
        <f>SUM(CD412:CE412)</f>
        <v/>
      </c>
      <c r="CG412" s="28" t="n"/>
      <c r="CH412" s="31" t="n"/>
      <c r="CI412" s="29">
        <f>IF(AND(CF412=0,CG412=0,CH412=0),0,IF(AND(CF412=0,CG412=0),CH412/1,IF(AND(CF412=0,CH412=0),CG412/1,IF(AND(CG412=0,CH412=0),CF412/1,IF(CF412=0,FLOOR((CG412+CH412)/2,0.1),IF(CG412=0,(CF412+CH412)/2,IF(CH412=0,(CG412+CF412)/2,FLOOR(((CF412+CG412+CH412)/3),0.1))))))))</f>
        <v/>
      </c>
      <c r="CJ412" s="21" t="n"/>
      <c r="CK412" s="21" t="n"/>
      <c r="CL412" s="27">
        <f>SUM(CJ412:CK412)</f>
        <v/>
      </c>
      <c r="CM412" s="28" t="n"/>
      <c r="CN412" s="31" t="n"/>
      <c r="CO412" s="29">
        <f>IF(AND(CL412=0,CM412=0,CN412=0),0,IF(AND(CL412=0,CM412=0),CN412/1,IF(AND(CL412=0,CN412=0),CM412/1,IF(AND(CM412=0,CN412=0),CL412/1,IF(CL412=0,FLOOR((CM412+CN412)/2,0.1),IF(CM412=0,(CL412+CN412)/2,IF(CN412=0,(CM412+CL412)/2,FLOOR(((CL412+CM412+CN412)/3),0.1))))))))</f>
        <v/>
      </c>
      <c r="CP412" s="21" t="n"/>
      <c r="CQ412" s="21" t="n"/>
      <c r="CR412" s="27">
        <f>SUM(CP412:CQ412)</f>
        <v/>
      </c>
      <c r="CS412" s="28" t="n"/>
      <c r="CT412" s="31" t="n"/>
      <c r="CU412" s="29">
        <f>IF(AND(CR412=0,CS412=0,CT412=0),0,IF(AND(CR412=0,CS412=0),CT412/1,IF(AND(CR412=0,CT412=0),CS412/1,IF(AND(CS412=0,CT412=0),CR412/1,IF(CR412=0,FLOOR((CS412+CT412)/2,0.1),IF(CS412=0,(CR412+CT412)/2,IF(CT412=0,(CS412+CR412)/2,FLOOR(((CR412+CS412+CT412)/3),0.1))))))))</f>
        <v/>
      </c>
      <c r="CV412" s="21" t="n"/>
      <c r="CW412" s="21" t="n"/>
      <c r="CX412" s="27">
        <f>SUM(CV412:CW412)</f>
        <v/>
      </c>
      <c r="CY412" s="28" t="n"/>
      <c r="CZ412" s="31" t="n"/>
      <c r="DA412" s="29">
        <f>IF(AND(CX412=0,CY412=0,CZ412=0),0,IF(AND(CX412=0,CY412=0),CZ412/1,IF(AND(CX412=0,CZ412=0),CY412/1,IF(AND(CY412=0,CZ412=0),CX412/1,IF(CX412=0,FLOOR((CY412+CZ412)/2,0.1),IF(CY412=0,(CX412+CZ412)/2,IF(CZ412=0,(CY412+CX412)/2,FLOOR(((CX412+CY412+CZ412)/3),0.1))))))))</f>
        <v/>
      </c>
      <c r="DB412" s="21" t="n"/>
      <c r="DC412" s="21" t="n"/>
      <c r="DD412" s="27">
        <f>SUM(DB412:DC412)</f>
        <v/>
      </c>
      <c r="DE412" s="28" t="n"/>
      <c r="DF412" s="31" t="n"/>
      <c r="DG412" s="29">
        <f>IF(AND(DD412=0,DE412=0,DF412=0),0,IF(AND(DD412=0,DE412=0),DF412/1,IF(AND(DD412=0,DF412=0),DE412/1,IF(AND(DE412=0,DF412=0),DD412/1,IF(DD412=0,FLOOR((DE412+DF412)/2,0.1),IF(DE412=0,(DD412+DF412)/2,IF(DF412=0,(DE412+DD412)/2,FLOOR(((DD412+DE412+DF412)/3),0.1))))))))</f>
        <v/>
      </c>
      <c r="DH412" s="34">
        <f>SUM(O412,U412,AA412,AG412,AM412,AS412,AY412,BE412,BK412,BQ412,BW412,CC412,CI412,CO412,CU412,DA412,DG412)</f>
        <v/>
      </c>
      <c r="DI412" s="39">
        <f>RANK(DH412,DH$4:DH$503)</f>
        <v/>
      </c>
      <c r="DJ412" s="40" t="inlineStr">
        <is>
          <t>CHOOSE RATING</t>
        </is>
      </c>
      <c r="DK412" s="40" t="inlineStr">
        <is>
          <t>CHOOSE RATING</t>
        </is>
      </c>
      <c r="DL412" s="40" t="inlineStr">
        <is>
          <t>CHOOSE RATING</t>
        </is>
      </c>
      <c r="DM412" s="40" t="inlineStr">
        <is>
          <t>CHOOSE RATING</t>
        </is>
      </c>
      <c r="DN412" s="40" t="inlineStr">
        <is>
          <t>CHOOSE RATING</t>
        </is>
      </c>
      <c r="DO412" s="40" t="inlineStr">
        <is>
          <t>CHOOSE RATING</t>
        </is>
      </c>
      <c r="DP412" s="40" t="inlineStr">
        <is>
          <t>CHOOSE RATING</t>
        </is>
      </c>
      <c r="DQ412" s="40" t="inlineStr">
        <is>
          <t>CHOOSE RATING</t>
        </is>
      </c>
      <c r="DR412" s="43" t="inlineStr">
        <is>
          <t>2024/2025</t>
        </is>
      </c>
      <c r="DS412" s="45" t="inlineStr">
        <is>
          <t>THIRD</t>
        </is>
      </c>
      <c r="DT412" s="40" t="inlineStr">
        <is>
          <t>CHOOSE RATING</t>
        </is>
      </c>
      <c r="DU412" s="40" t="inlineStr">
        <is>
          <t>CHOOSE RATING</t>
        </is>
      </c>
      <c r="DV412" s="40" t="inlineStr">
        <is>
          <t>CHOOSE RATING</t>
        </is>
      </c>
      <c r="DW412" s="40" t="inlineStr">
        <is>
          <t>CHOOSE RATING</t>
        </is>
      </c>
      <c r="DX412" s="40" t="inlineStr">
        <is>
          <t>CHOOSE RATING</t>
        </is>
      </c>
      <c r="DY412" s="40" t="inlineStr">
        <is>
          <t>CHOOSE RATING</t>
        </is>
      </c>
      <c r="DZ412" s="53" t="inlineStr">
        <is>
          <t>CHOOSE RATING</t>
        </is>
      </c>
      <c r="EA412" s="54" t="inlineStr">
        <is>
          <t>Add the Tutor's Comment . . .</t>
        </is>
      </c>
      <c r="EB412" s="55" t="inlineStr">
        <is>
          <t>Choose Principals comment</t>
        </is>
      </c>
      <c r="EC412" s="56" t="n"/>
      <c r="ED412" s="57" t="inlineStr">
        <is>
          <t>Next Term Begins on Monday, 22nd September, 2025</t>
        </is>
      </c>
    </row>
    <row r="413" ht="30.6" customHeight="1" s="6">
      <c r="A413" s="18" t="n">
        <v>410</v>
      </c>
      <c r="B413" s="19" t="n"/>
      <c r="C413" s="20" t="n"/>
      <c r="D413" s="128" t="n"/>
      <c r="E413" s="21" t="n"/>
      <c r="F413" s="22" t="n"/>
      <c r="G413" s="22" t="n"/>
      <c r="H413" s="22" t="n"/>
      <c r="I413" s="26">
        <f>G413-H413</f>
        <v/>
      </c>
      <c r="J413" s="21" t="n"/>
      <c r="K413" s="21" t="n"/>
      <c r="L413" s="27">
        <f>SUM(J413:K413)</f>
        <v/>
      </c>
      <c r="M413" s="28" t="n"/>
      <c r="N413" s="28" t="n"/>
      <c r="O413" s="29">
        <f>IF(AND(L413=0,M413=0,N413=0),0,IF(AND(L413=0,M413=0),N413/1,IF(AND(L413=0,N413=0),M413/1,IF(AND(M413=0,N413=0),L413/1,IF(L413=0,FLOOR((M413+N413)/2,0.1),IF(M413=0,(L413+N413)/2,IF(N413=0,(M413+L413)/2,FLOOR(((L413+M413+N413)/3),0.1))))))))</f>
        <v/>
      </c>
      <c r="P413" s="21" t="n"/>
      <c r="Q413" s="21" t="n"/>
      <c r="R413" s="27">
        <f>SUM(P413:Q413)</f>
        <v/>
      </c>
      <c r="S413" s="28" t="n"/>
      <c r="T413" s="28" t="n"/>
      <c r="U413" s="29">
        <f>IF(AND(R413=0,S413=0,T413=0),0,IF(AND(R413=0,S413=0),T413/1,IF(AND(R413=0,T413=0),S413/1,IF(AND(S413=0,T413=0),R413/1,IF(R413=0,FLOOR((S413+T413)/2,0.1),IF(S413=0,(R413+T413)/2,IF(T413=0,(S413+R413)/2,FLOOR(((R413+S413+T413)/3),0.1))))))))</f>
        <v/>
      </c>
      <c r="V413" s="21" t="n"/>
      <c r="W413" s="21" t="n"/>
      <c r="X413" s="27">
        <f>SUM(V413:W413)</f>
        <v/>
      </c>
      <c r="Y413" s="28" t="n"/>
      <c r="Z413" s="28" t="n"/>
      <c r="AA413" s="29">
        <f>IF(AND(X413=0,Y413=0,Z413=0),0,IF(AND(X413=0,Y413=0),Z413/1,IF(AND(X413=0,Z413=0),Y413/1,IF(AND(Y413=0,Z413=0),X413/1,IF(X413=0,FLOOR((Y413+Z413)/2,0.1),IF(Y413=0,(X413+Z413)/2,IF(Z413=0,(Y413+X413)/2,FLOOR(((X413+Y413+Z413)/3),0.1))))))))</f>
        <v/>
      </c>
      <c r="AB413" s="21" t="n"/>
      <c r="AC413" s="21" t="n"/>
      <c r="AD413" s="27">
        <f>SUM(AB413:AC413)</f>
        <v/>
      </c>
      <c r="AE413" s="28" t="n"/>
      <c r="AF413" s="28" t="n"/>
      <c r="AG413" s="29">
        <f>IF(AND(AD413=0,AE413=0,AF413=0),0,IF(AND(AD413=0,AE413=0),AF413/1,IF(AND(AD413=0,AF413=0),AE413/1,IF(AND(AE413=0,AF413=0),AD413/1,IF(AD413=0,FLOOR((AE413+AF413)/2,0.1),IF(AE413=0,(AD413+AF413)/2,IF(AF413=0,(AE413+AD413)/2,FLOOR(((AD413+AE413+AF413)/3),0.1))))))))</f>
        <v/>
      </c>
      <c r="AH413" s="21" t="n"/>
      <c r="AI413" s="21" t="n"/>
      <c r="AJ413" s="27">
        <f>SUM(AH413:AI413)</f>
        <v/>
      </c>
      <c r="AK413" s="28" t="n"/>
      <c r="AL413" s="28" t="n"/>
      <c r="AM413" s="29">
        <f>IF(AND(AJ413=0,AK413=0,AL413=0),0,IF(AND(AJ413=0,AK413=0),AL413/1,IF(AND(AJ413=0,AL413=0),AK413/1,IF(AND(AK413=0,AL413=0),AJ413/1,IF(AJ413=0,FLOOR((AK413+AL413)/2,0.1),IF(AK413=0,(AJ413+AL413)/2,IF(AL413=0,(AK413+AJ413)/2,FLOOR(((AJ413+AK413+AL413)/3),0.1))))))))</f>
        <v/>
      </c>
      <c r="AN413" s="21" t="n"/>
      <c r="AO413" s="21" t="n"/>
      <c r="AP413" s="27">
        <f>SUM(AN413:AO413)</f>
        <v/>
      </c>
      <c r="AQ413" s="28" t="n"/>
      <c r="AR413" s="30" t="n"/>
      <c r="AS413" s="29">
        <f>IF(AND(AP413=0,AQ413=0,AR413=0),0,IF(AND(AP413=0,AQ413=0),AR413/1,IF(AND(AP413=0,AR413=0),AQ413/1,IF(AND(AQ413=0,AR413=0),AP413/1,IF(AP413=0,FLOOR((AQ413+AR413)/2,0.1),IF(AQ413=0,(AP413+AR413)/2,IF(AR413=0,(AQ413+AP413)/2,FLOOR(((AP413+AQ413+AR413)/3),0.1))))))))</f>
        <v/>
      </c>
      <c r="AT413" s="21" t="n"/>
      <c r="AU413" s="21" t="n"/>
      <c r="AV413" s="27">
        <f>SUM(AT413:AU413)</f>
        <v/>
      </c>
      <c r="AW413" s="28" t="n"/>
      <c r="AX413" s="30" t="n"/>
      <c r="AY413" s="29">
        <f>IF(AND(AV413=0,AW413=0,AX413=0),0,IF(AND(AV413=0,AW413=0),AX413/1,IF(AND(AV413=0,AX413=0),AW413/1,IF(AND(AW413=0,AX413=0),AV413/1,IF(AV413=0,FLOOR((AW413+AX413)/2,0.1),IF(AW413=0,(AV413+AX413)/2,IF(AX413=0,(AW413+AV413)/2,FLOOR(((AV413+AW413+AX413)/3),0.1))))))))</f>
        <v/>
      </c>
      <c r="AZ413" s="21" t="n"/>
      <c r="BA413" s="21" t="n"/>
      <c r="BB413" s="27">
        <f>SUM(AZ413:BA413)</f>
        <v/>
      </c>
      <c r="BC413" s="28" t="n"/>
      <c r="BD413" s="28" t="n"/>
      <c r="BE413" s="29">
        <f>IF(AND(BB413=0,BC413=0,BD413=0),0,IF(AND(BB413=0,BC413=0),BD413/1,IF(AND(BB413=0,BD413=0),BC413/1,IF(AND(BC413=0,BD413=0),BB413/1,IF(BB413=0,FLOOR((BC413+BD413)/2,0.1),IF(BC413=0,(BB413+BD413)/2,IF(BD413=0,(BC413+BB413)/2,FLOOR(((BB413+BC413+BD413)/3),0.1))))))))</f>
        <v/>
      </c>
      <c r="BF413" s="21" t="n"/>
      <c r="BG413" s="21" t="n"/>
      <c r="BH413" s="27">
        <f>SUM(BF413:BG413)</f>
        <v/>
      </c>
      <c r="BI413" s="28" t="n"/>
      <c r="BJ413" s="28" t="n"/>
      <c r="BK413" s="29">
        <f>IF(AND(BH413=0,BI413=0,BJ413=0),0,IF(AND(BH413=0,BI413=0),BJ413/1,IF(AND(BH413=0,BJ413=0),BI413/1,IF(AND(BI413=0,BJ413=0),BH413/1,IF(BH413=0,FLOOR((BI413+BJ413)/2,0.1),IF(BI413=0,(BH413+BJ413)/2,IF(BJ413=0,(BI413+BH413)/2,FLOOR(((BH413+BI413+BJ413)/3),0.1))))))))</f>
        <v/>
      </c>
      <c r="BL413" s="21" t="n"/>
      <c r="BM413" s="21" t="n"/>
      <c r="BN413" s="27">
        <f>SUM(BL413:BM413)</f>
        <v/>
      </c>
      <c r="BO413" s="28" t="n"/>
      <c r="BP413" s="31" t="n"/>
      <c r="BQ413" s="29">
        <f>IF(AND(BN413=0,BO413=0,BP413=0),0,IF(AND(BN413=0,BO413=0),BP413/1,IF(AND(BN413=0,BP413=0),BO413/1,IF(AND(BO413=0,BP413=0),BN413/1,IF(BN413=0,FLOOR((BO413+BP413)/2,0.1),IF(BO413=0,(BN413+BP413)/2,IF(BP413=0,(BO413+BN413)/2,FLOOR(((BN413+BO413+BP413)/3),0.1))))))))</f>
        <v/>
      </c>
      <c r="BR413" s="21" t="n"/>
      <c r="BS413" s="21" t="n"/>
      <c r="BT413" s="27">
        <f>SUM(BR413:BS413)</f>
        <v/>
      </c>
      <c r="BU413" s="28" t="n"/>
      <c r="BV413" s="31" t="n"/>
      <c r="BW413" s="29">
        <f>IF(AND(BT413=0,BU413=0,BV413=0),0,IF(AND(BT413=0,BU413=0),BV413/1,IF(AND(BT413=0,BV413=0),BU413/1,IF(AND(BU413=0,BV413=0),BT413/1,IF(BT413=0,FLOOR((BU413+BV413)/2,0.1),IF(BU413=0,(BT413+BV413)/2,IF(BV413=0,(BU413+BT413)/2,FLOOR(((BT413+BU413+BV413)/3),0.1))))))))</f>
        <v/>
      </c>
      <c r="BX413" s="21" t="n"/>
      <c r="BY413" s="21" t="n"/>
      <c r="BZ413" s="27">
        <f>SUM(BX413:BY413)</f>
        <v/>
      </c>
      <c r="CA413" s="28" t="n"/>
      <c r="CB413" s="31" t="n"/>
      <c r="CC413" s="29">
        <f>IF(AND(BZ413=0,CA413=0,CB413=0),0,IF(AND(BZ413=0,CA413=0),CB413/1,IF(AND(BZ413=0,CB413=0),CA413/1,IF(AND(CA413=0,CB413=0),BZ413/1,IF(BZ413=0,FLOOR((CA413+CB413)/2,0.1),IF(CA413=0,(BZ413+CB413)/2,IF(CB413=0,(CA413+BZ413)/2,FLOOR(((BZ413+CA413+CB413)/3),0.1))))))))</f>
        <v/>
      </c>
      <c r="CD413" s="21" t="n"/>
      <c r="CE413" s="21" t="n"/>
      <c r="CF413" s="27">
        <f>SUM(CD413:CE413)</f>
        <v/>
      </c>
      <c r="CG413" s="28" t="n"/>
      <c r="CH413" s="31" t="n"/>
      <c r="CI413" s="29">
        <f>IF(AND(CF413=0,CG413=0,CH413=0),0,IF(AND(CF413=0,CG413=0),CH413/1,IF(AND(CF413=0,CH413=0),CG413/1,IF(AND(CG413=0,CH413=0),CF413/1,IF(CF413=0,FLOOR((CG413+CH413)/2,0.1),IF(CG413=0,(CF413+CH413)/2,IF(CH413=0,(CG413+CF413)/2,FLOOR(((CF413+CG413+CH413)/3),0.1))))))))</f>
        <v/>
      </c>
      <c r="CJ413" s="21" t="n"/>
      <c r="CK413" s="21" t="n"/>
      <c r="CL413" s="27">
        <f>SUM(CJ413:CK413)</f>
        <v/>
      </c>
      <c r="CM413" s="28" t="n"/>
      <c r="CN413" s="31" t="n"/>
      <c r="CO413" s="29">
        <f>IF(AND(CL413=0,CM413=0,CN413=0),0,IF(AND(CL413=0,CM413=0),CN413/1,IF(AND(CL413=0,CN413=0),CM413/1,IF(AND(CM413=0,CN413=0),CL413/1,IF(CL413=0,FLOOR((CM413+CN413)/2,0.1),IF(CM413=0,(CL413+CN413)/2,IF(CN413=0,(CM413+CL413)/2,FLOOR(((CL413+CM413+CN413)/3),0.1))))))))</f>
        <v/>
      </c>
      <c r="CP413" s="21" t="n"/>
      <c r="CQ413" s="21" t="n"/>
      <c r="CR413" s="27">
        <f>SUM(CP413:CQ413)</f>
        <v/>
      </c>
      <c r="CS413" s="28" t="n"/>
      <c r="CT413" s="31" t="n"/>
      <c r="CU413" s="29">
        <f>IF(AND(CR413=0,CS413=0,CT413=0),0,IF(AND(CR413=0,CS413=0),CT413/1,IF(AND(CR413=0,CT413=0),CS413/1,IF(AND(CS413=0,CT413=0),CR413/1,IF(CR413=0,FLOOR((CS413+CT413)/2,0.1),IF(CS413=0,(CR413+CT413)/2,IF(CT413=0,(CS413+CR413)/2,FLOOR(((CR413+CS413+CT413)/3),0.1))))))))</f>
        <v/>
      </c>
      <c r="CV413" s="21" t="n"/>
      <c r="CW413" s="21" t="n"/>
      <c r="CX413" s="27">
        <f>SUM(CV413:CW413)</f>
        <v/>
      </c>
      <c r="CY413" s="28" t="n"/>
      <c r="CZ413" s="31" t="n"/>
      <c r="DA413" s="29">
        <f>IF(AND(CX413=0,CY413=0,CZ413=0),0,IF(AND(CX413=0,CY413=0),CZ413/1,IF(AND(CX413=0,CZ413=0),CY413/1,IF(AND(CY413=0,CZ413=0),CX413/1,IF(CX413=0,FLOOR((CY413+CZ413)/2,0.1),IF(CY413=0,(CX413+CZ413)/2,IF(CZ413=0,(CY413+CX413)/2,FLOOR(((CX413+CY413+CZ413)/3),0.1))))))))</f>
        <v/>
      </c>
      <c r="DB413" s="21" t="n"/>
      <c r="DC413" s="21" t="n"/>
      <c r="DD413" s="27">
        <f>SUM(DB413:DC413)</f>
        <v/>
      </c>
      <c r="DE413" s="28" t="n"/>
      <c r="DF413" s="31" t="n"/>
      <c r="DG413" s="29">
        <f>IF(AND(DD413=0,DE413=0,DF413=0),0,IF(AND(DD413=0,DE413=0),DF413/1,IF(AND(DD413=0,DF413=0),DE413/1,IF(AND(DE413=0,DF413=0),DD413/1,IF(DD413=0,FLOOR((DE413+DF413)/2,0.1),IF(DE413=0,(DD413+DF413)/2,IF(DF413=0,(DE413+DD413)/2,FLOOR(((DD413+DE413+DF413)/3),0.1))))))))</f>
        <v/>
      </c>
      <c r="DH413" s="34">
        <f>SUM(O413,U413,AA413,AG413,AM413,AS413,AY413,BE413,BK413,BQ413,BW413,CC413,CI413,CO413,CU413,DA413,DG413)</f>
        <v/>
      </c>
      <c r="DI413" s="39">
        <f>RANK(DH413,DH$4:DH$503)</f>
        <v/>
      </c>
      <c r="DJ413" s="40" t="inlineStr">
        <is>
          <t>CHOOSE RATING</t>
        </is>
      </c>
      <c r="DK413" s="40" t="inlineStr">
        <is>
          <t>CHOOSE RATING</t>
        </is>
      </c>
      <c r="DL413" s="40" t="inlineStr">
        <is>
          <t>CHOOSE RATING</t>
        </is>
      </c>
      <c r="DM413" s="40" t="inlineStr">
        <is>
          <t>CHOOSE RATING</t>
        </is>
      </c>
      <c r="DN413" s="40" t="inlineStr">
        <is>
          <t>CHOOSE RATING</t>
        </is>
      </c>
      <c r="DO413" s="40" t="inlineStr">
        <is>
          <t>CHOOSE RATING</t>
        </is>
      </c>
      <c r="DP413" s="40" t="inlineStr">
        <is>
          <t>CHOOSE RATING</t>
        </is>
      </c>
      <c r="DQ413" s="40" t="inlineStr">
        <is>
          <t>CHOOSE RATING</t>
        </is>
      </c>
      <c r="DR413" s="43" t="inlineStr">
        <is>
          <t>2024/2025</t>
        </is>
      </c>
      <c r="DS413" s="45" t="inlineStr">
        <is>
          <t>THIRD</t>
        </is>
      </c>
      <c r="DT413" s="40" t="inlineStr">
        <is>
          <t>CHOOSE RATING</t>
        </is>
      </c>
      <c r="DU413" s="40" t="inlineStr">
        <is>
          <t>CHOOSE RATING</t>
        </is>
      </c>
      <c r="DV413" s="40" t="inlineStr">
        <is>
          <t>CHOOSE RATING</t>
        </is>
      </c>
      <c r="DW413" s="40" t="inlineStr">
        <is>
          <t>CHOOSE RATING</t>
        </is>
      </c>
      <c r="DX413" s="40" t="inlineStr">
        <is>
          <t>CHOOSE RATING</t>
        </is>
      </c>
      <c r="DY413" s="40" t="inlineStr">
        <is>
          <t>CHOOSE RATING</t>
        </is>
      </c>
      <c r="DZ413" s="53" t="inlineStr">
        <is>
          <t>CHOOSE RATING</t>
        </is>
      </c>
      <c r="EA413" s="54" t="inlineStr">
        <is>
          <t>Add the Tutor's Comment . . .</t>
        </is>
      </c>
      <c r="EB413" s="55" t="inlineStr">
        <is>
          <t>Choose Principals comment</t>
        </is>
      </c>
      <c r="EC413" s="56" t="n"/>
      <c r="ED413" s="57" t="inlineStr">
        <is>
          <t>Next Term Begins on Monday, 22nd September, 2025</t>
        </is>
      </c>
    </row>
    <row r="414" ht="30.6" customHeight="1" s="6">
      <c r="A414" s="18" t="n">
        <v>411</v>
      </c>
      <c r="B414" s="19" t="n"/>
      <c r="C414" s="20" t="n"/>
      <c r="D414" s="128" t="n"/>
      <c r="E414" s="21" t="n"/>
      <c r="F414" s="22" t="n"/>
      <c r="G414" s="22" t="n"/>
      <c r="H414" s="22" t="n"/>
      <c r="I414" s="26">
        <f>G414-H414</f>
        <v/>
      </c>
      <c r="J414" s="21" t="n"/>
      <c r="K414" s="21" t="n"/>
      <c r="L414" s="27">
        <f>SUM(J414:K414)</f>
        <v/>
      </c>
      <c r="M414" s="28" t="n"/>
      <c r="N414" s="28" t="n"/>
      <c r="O414" s="29">
        <f>IF(AND(L414=0,M414=0,N414=0),0,IF(AND(L414=0,M414=0),N414/1,IF(AND(L414=0,N414=0),M414/1,IF(AND(M414=0,N414=0),L414/1,IF(L414=0,FLOOR((M414+N414)/2,0.1),IF(M414=0,(L414+N414)/2,IF(N414=0,(M414+L414)/2,FLOOR(((L414+M414+N414)/3),0.1))))))))</f>
        <v/>
      </c>
      <c r="P414" s="21" t="n"/>
      <c r="Q414" s="21" t="n"/>
      <c r="R414" s="27">
        <f>SUM(P414:Q414)</f>
        <v/>
      </c>
      <c r="S414" s="28" t="n"/>
      <c r="T414" s="28" t="n"/>
      <c r="U414" s="29">
        <f>IF(AND(R414=0,S414=0,T414=0),0,IF(AND(R414=0,S414=0),T414/1,IF(AND(R414=0,T414=0),S414/1,IF(AND(S414=0,T414=0),R414/1,IF(R414=0,FLOOR((S414+T414)/2,0.1),IF(S414=0,(R414+T414)/2,IF(T414=0,(S414+R414)/2,FLOOR(((R414+S414+T414)/3),0.1))))))))</f>
        <v/>
      </c>
      <c r="V414" s="21" t="n"/>
      <c r="W414" s="21" t="n"/>
      <c r="X414" s="27">
        <f>SUM(V414:W414)</f>
        <v/>
      </c>
      <c r="Y414" s="28" t="n"/>
      <c r="Z414" s="28" t="n"/>
      <c r="AA414" s="29">
        <f>IF(AND(X414=0,Y414=0,Z414=0),0,IF(AND(X414=0,Y414=0),Z414/1,IF(AND(X414=0,Z414=0),Y414/1,IF(AND(Y414=0,Z414=0),X414/1,IF(X414=0,FLOOR((Y414+Z414)/2,0.1),IF(Y414=0,(X414+Z414)/2,IF(Z414=0,(Y414+X414)/2,FLOOR(((X414+Y414+Z414)/3),0.1))))))))</f>
        <v/>
      </c>
      <c r="AB414" s="21" t="n"/>
      <c r="AC414" s="21" t="n"/>
      <c r="AD414" s="27">
        <f>SUM(AB414:AC414)</f>
        <v/>
      </c>
      <c r="AE414" s="28" t="n"/>
      <c r="AF414" s="28" t="n"/>
      <c r="AG414" s="29">
        <f>IF(AND(AD414=0,AE414=0,AF414=0),0,IF(AND(AD414=0,AE414=0),AF414/1,IF(AND(AD414=0,AF414=0),AE414/1,IF(AND(AE414=0,AF414=0),AD414/1,IF(AD414=0,FLOOR((AE414+AF414)/2,0.1),IF(AE414=0,(AD414+AF414)/2,IF(AF414=0,(AE414+AD414)/2,FLOOR(((AD414+AE414+AF414)/3),0.1))))))))</f>
        <v/>
      </c>
      <c r="AH414" s="21" t="n"/>
      <c r="AI414" s="21" t="n"/>
      <c r="AJ414" s="27">
        <f>SUM(AH414:AI414)</f>
        <v/>
      </c>
      <c r="AK414" s="28" t="n"/>
      <c r="AL414" s="28" t="n"/>
      <c r="AM414" s="29">
        <f>IF(AND(AJ414=0,AK414=0,AL414=0),0,IF(AND(AJ414=0,AK414=0),AL414/1,IF(AND(AJ414=0,AL414=0),AK414/1,IF(AND(AK414=0,AL414=0),AJ414/1,IF(AJ414=0,FLOOR((AK414+AL414)/2,0.1),IF(AK414=0,(AJ414+AL414)/2,IF(AL414=0,(AK414+AJ414)/2,FLOOR(((AJ414+AK414+AL414)/3),0.1))))))))</f>
        <v/>
      </c>
      <c r="AN414" s="21" t="n"/>
      <c r="AO414" s="21" t="n"/>
      <c r="AP414" s="27">
        <f>SUM(AN414:AO414)</f>
        <v/>
      </c>
      <c r="AQ414" s="28" t="n"/>
      <c r="AR414" s="30" t="n"/>
      <c r="AS414" s="29">
        <f>IF(AND(AP414=0,AQ414=0,AR414=0),0,IF(AND(AP414=0,AQ414=0),AR414/1,IF(AND(AP414=0,AR414=0),AQ414/1,IF(AND(AQ414=0,AR414=0),AP414/1,IF(AP414=0,FLOOR((AQ414+AR414)/2,0.1),IF(AQ414=0,(AP414+AR414)/2,IF(AR414=0,(AQ414+AP414)/2,FLOOR(((AP414+AQ414+AR414)/3),0.1))))))))</f>
        <v/>
      </c>
      <c r="AT414" s="21" t="n"/>
      <c r="AU414" s="21" t="n"/>
      <c r="AV414" s="27">
        <f>SUM(AT414:AU414)</f>
        <v/>
      </c>
      <c r="AW414" s="28" t="n"/>
      <c r="AX414" s="30" t="n"/>
      <c r="AY414" s="29">
        <f>IF(AND(AV414=0,AW414=0,AX414=0),0,IF(AND(AV414=0,AW414=0),AX414/1,IF(AND(AV414=0,AX414=0),AW414/1,IF(AND(AW414=0,AX414=0),AV414/1,IF(AV414=0,FLOOR((AW414+AX414)/2,0.1),IF(AW414=0,(AV414+AX414)/2,IF(AX414=0,(AW414+AV414)/2,FLOOR(((AV414+AW414+AX414)/3),0.1))))))))</f>
        <v/>
      </c>
      <c r="AZ414" s="21" t="n"/>
      <c r="BA414" s="21" t="n"/>
      <c r="BB414" s="27">
        <f>SUM(AZ414:BA414)</f>
        <v/>
      </c>
      <c r="BC414" s="28" t="n"/>
      <c r="BD414" s="28" t="n"/>
      <c r="BE414" s="29">
        <f>IF(AND(BB414=0,BC414=0,BD414=0),0,IF(AND(BB414=0,BC414=0),BD414/1,IF(AND(BB414=0,BD414=0),BC414/1,IF(AND(BC414=0,BD414=0),BB414/1,IF(BB414=0,FLOOR((BC414+BD414)/2,0.1),IF(BC414=0,(BB414+BD414)/2,IF(BD414=0,(BC414+BB414)/2,FLOOR(((BB414+BC414+BD414)/3),0.1))))))))</f>
        <v/>
      </c>
      <c r="BF414" s="21" t="n"/>
      <c r="BG414" s="21" t="n"/>
      <c r="BH414" s="27">
        <f>SUM(BF414:BG414)</f>
        <v/>
      </c>
      <c r="BI414" s="28" t="n"/>
      <c r="BJ414" s="28" t="n"/>
      <c r="BK414" s="29">
        <f>IF(AND(BH414=0,BI414=0,BJ414=0),0,IF(AND(BH414=0,BI414=0),BJ414/1,IF(AND(BH414=0,BJ414=0),BI414/1,IF(AND(BI414=0,BJ414=0),BH414/1,IF(BH414=0,FLOOR((BI414+BJ414)/2,0.1),IF(BI414=0,(BH414+BJ414)/2,IF(BJ414=0,(BI414+BH414)/2,FLOOR(((BH414+BI414+BJ414)/3),0.1))))))))</f>
        <v/>
      </c>
      <c r="BL414" s="21" t="n"/>
      <c r="BM414" s="21" t="n"/>
      <c r="BN414" s="27">
        <f>SUM(BL414:BM414)</f>
        <v/>
      </c>
      <c r="BO414" s="28" t="n"/>
      <c r="BP414" s="31" t="n"/>
      <c r="BQ414" s="29">
        <f>IF(AND(BN414=0,BO414=0,BP414=0),0,IF(AND(BN414=0,BO414=0),BP414/1,IF(AND(BN414=0,BP414=0),BO414/1,IF(AND(BO414=0,BP414=0),BN414/1,IF(BN414=0,FLOOR((BO414+BP414)/2,0.1),IF(BO414=0,(BN414+BP414)/2,IF(BP414=0,(BO414+BN414)/2,FLOOR(((BN414+BO414+BP414)/3),0.1))))))))</f>
        <v/>
      </c>
      <c r="BR414" s="21" t="n"/>
      <c r="BS414" s="21" t="n"/>
      <c r="BT414" s="27">
        <f>SUM(BR414:BS414)</f>
        <v/>
      </c>
      <c r="BU414" s="28" t="n"/>
      <c r="BV414" s="31" t="n"/>
      <c r="BW414" s="29">
        <f>IF(AND(BT414=0,BU414=0,BV414=0),0,IF(AND(BT414=0,BU414=0),BV414/1,IF(AND(BT414=0,BV414=0),BU414/1,IF(AND(BU414=0,BV414=0),BT414/1,IF(BT414=0,FLOOR((BU414+BV414)/2,0.1),IF(BU414=0,(BT414+BV414)/2,IF(BV414=0,(BU414+BT414)/2,FLOOR(((BT414+BU414+BV414)/3),0.1))))))))</f>
        <v/>
      </c>
      <c r="BX414" s="21" t="n"/>
      <c r="BY414" s="21" t="n"/>
      <c r="BZ414" s="27">
        <f>SUM(BX414:BY414)</f>
        <v/>
      </c>
      <c r="CA414" s="28" t="n"/>
      <c r="CB414" s="31" t="n"/>
      <c r="CC414" s="29">
        <f>IF(AND(BZ414=0,CA414=0,CB414=0),0,IF(AND(BZ414=0,CA414=0),CB414/1,IF(AND(BZ414=0,CB414=0),CA414/1,IF(AND(CA414=0,CB414=0),BZ414/1,IF(BZ414=0,FLOOR((CA414+CB414)/2,0.1),IF(CA414=0,(BZ414+CB414)/2,IF(CB414=0,(CA414+BZ414)/2,FLOOR(((BZ414+CA414+CB414)/3),0.1))))))))</f>
        <v/>
      </c>
      <c r="CD414" s="21" t="n"/>
      <c r="CE414" s="21" t="n"/>
      <c r="CF414" s="27">
        <f>SUM(CD414:CE414)</f>
        <v/>
      </c>
      <c r="CG414" s="28" t="n"/>
      <c r="CH414" s="31" t="n"/>
      <c r="CI414" s="29">
        <f>IF(AND(CF414=0,CG414=0,CH414=0),0,IF(AND(CF414=0,CG414=0),CH414/1,IF(AND(CF414=0,CH414=0),CG414/1,IF(AND(CG414=0,CH414=0),CF414/1,IF(CF414=0,FLOOR((CG414+CH414)/2,0.1),IF(CG414=0,(CF414+CH414)/2,IF(CH414=0,(CG414+CF414)/2,FLOOR(((CF414+CG414+CH414)/3),0.1))))))))</f>
        <v/>
      </c>
      <c r="CJ414" s="21" t="n"/>
      <c r="CK414" s="21" t="n"/>
      <c r="CL414" s="27">
        <f>SUM(CJ414:CK414)</f>
        <v/>
      </c>
      <c r="CM414" s="28" t="n"/>
      <c r="CN414" s="31" t="n"/>
      <c r="CO414" s="29">
        <f>IF(AND(CL414=0,CM414=0,CN414=0),0,IF(AND(CL414=0,CM414=0),CN414/1,IF(AND(CL414=0,CN414=0),CM414/1,IF(AND(CM414=0,CN414=0),CL414/1,IF(CL414=0,FLOOR((CM414+CN414)/2,0.1),IF(CM414=0,(CL414+CN414)/2,IF(CN414=0,(CM414+CL414)/2,FLOOR(((CL414+CM414+CN414)/3),0.1))))))))</f>
        <v/>
      </c>
      <c r="CP414" s="21" t="n"/>
      <c r="CQ414" s="21" t="n"/>
      <c r="CR414" s="27">
        <f>SUM(CP414:CQ414)</f>
        <v/>
      </c>
      <c r="CS414" s="28" t="n"/>
      <c r="CT414" s="31" t="n"/>
      <c r="CU414" s="29">
        <f>IF(AND(CR414=0,CS414=0,CT414=0),0,IF(AND(CR414=0,CS414=0),CT414/1,IF(AND(CR414=0,CT414=0),CS414/1,IF(AND(CS414=0,CT414=0),CR414/1,IF(CR414=0,FLOOR((CS414+CT414)/2,0.1),IF(CS414=0,(CR414+CT414)/2,IF(CT414=0,(CS414+CR414)/2,FLOOR(((CR414+CS414+CT414)/3),0.1))))))))</f>
        <v/>
      </c>
      <c r="CV414" s="21" t="n"/>
      <c r="CW414" s="21" t="n"/>
      <c r="CX414" s="27">
        <f>SUM(CV414:CW414)</f>
        <v/>
      </c>
      <c r="CY414" s="28" t="n"/>
      <c r="CZ414" s="31" t="n"/>
      <c r="DA414" s="29">
        <f>IF(AND(CX414=0,CY414=0,CZ414=0),0,IF(AND(CX414=0,CY414=0),CZ414/1,IF(AND(CX414=0,CZ414=0),CY414/1,IF(AND(CY414=0,CZ414=0),CX414/1,IF(CX414=0,FLOOR((CY414+CZ414)/2,0.1),IF(CY414=0,(CX414+CZ414)/2,IF(CZ414=0,(CY414+CX414)/2,FLOOR(((CX414+CY414+CZ414)/3),0.1))))))))</f>
        <v/>
      </c>
      <c r="DB414" s="21" t="n"/>
      <c r="DC414" s="21" t="n"/>
      <c r="DD414" s="27">
        <f>SUM(DB414:DC414)</f>
        <v/>
      </c>
      <c r="DE414" s="28" t="n"/>
      <c r="DF414" s="31" t="n"/>
      <c r="DG414" s="29">
        <f>IF(AND(DD414=0,DE414=0,DF414=0),0,IF(AND(DD414=0,DE414=0),DF414/1,IF(AND(DD414=0,DF414=0),DE414/1,IF(AND(DE414=0,DF414=0),DD414/1,IF(DD414=0,FLOOR((DE414+DF414)/2,0.1),IF(DE414=0,(DD414+DF414)/2,IF(DF414=0,(DE414+DD414)/2,FLOOR(((DD414+DE414+DF414)/3),0.1))))))))</f>
        <v/>
      </c>
      <c r="DH414" s="34">
        <f>SUM(O414,U414,AA414,AG414,AM414,AS414,AY414,BE414,BK414,BQ414,BW414,CC414,CI414,CO414,CU414,DA414,DG414)</f>
        <v/>
      </c>
      <c r="DI414" s="39">
        <f>RANK(DH414,DH$4:DH$503)</f>
        <v/>
      </c>
      <c r="DJ414" s="40" t="inlineStr">
        <is>
          <t>CHOOSE RATING</t>
        </is>
      </c>
      <c r="DK414" s="40" t="inlineStr">
        <is>
          <t>CHOOSE RATING</t>
        </is>
      </c>
      <c r="DL414" s="40" t="inlineStr">
        <is>
          <t>CHOOSE RATING</t>
        </is>
      </c>
      <c r="DM414" s="40" t="inlineStr">
        <is>
          <t>CHOOSE RATING</t>
        </is>
      </c>
      <c r="DN414" s="40" t="inlineStr">
        <is>
          <t>CHOOSE RATING</t>
        </is>
      </c>
      <c r="DO414" s="40" t="inlineStr">
        <is>
          <t>CHOOSE RATING</t>
        </is>
      </c>
      <c r="DP414" s="40" t="inlineStr">
        <is>
          <t>CHOOSE RATING</t>
        </is>
      </c>
      <c r="DQ414" s="40" t="inlineStr">
        <is>
          <t>CHOOSE RATING</t>
        </is>
      </c>
      <c r="DR414" s="43" t="inlineStr">
        <is>
          <t>2024/2025</t>
        </is>
      </c>
      <c r="DS414" s="45" t="inlineStr">
        <is>
          <t>THIRD</t>
        </is>
      </c>
      <c r="DT414" s="40" t="inlineStr">
        <is>
          <t>CHOOSE RATING</t>
        </is>
      </c>
      <c r="DU414" s="40" t="inlineStr">
        <is>
          <t>CHOOSE RATING</t>
        </is>
      </c>
      <c r="DV414" s="40" t="inlineStr">
        <is>
          <t>CHOOSE RATING</t>
        </is>
      </c>
      <c r="DW414" s="40" t="inlineStr">
        <is>
          <t>CHOOSE RATING</t>
        </is>
      </c>
      <c r="DX414" s="40" t="inlineStr">
        <is>
          <t>CHOOSE RATING</t>
        </is>
      </c>
      <c r="DY414" s="40" t="inlineStr">
        <is>
          <t>CHOOSE RATING</t>
        </is>
      </c>
      <c r="DZ414" s="53" t="inlineStr">
        <is>
          <t>CHOOSE RATING</t>
        </is>
      </c>
      <c r="EA414" s="54" t="inlineStr">
        <is>
          <t>Add the Tutor's Comment . . .</t>
        </is>
      </c>
      <c r="EB414" s="55" t="inlineStr">
        <is>
          <t>Choose Principals comment</t>
        </is>
      </c>
      <c r="EC414" s="56" t="n"/>
      <c r="ED414" s="57" t="inlineStr">
        <is>
          <t>Next Term Begins on Monday, 22nd September, 2025</t>
        </is>
      </c>
    </row>
    <row r="415" ht="30.6" customHeight="1" s="6">
      <c r="A415" s="18" t="n">
        <v>412</v>
      </c>
      <c r="B415" s="19" t="n"/>
      <c r="C415" s="20" t="n"/>
      <c r="D415" s="128" t="n"/>
      <c r="E415" s="21" t="n"/>
      <c r="F415" s="22" t="n"/>
      <c r="G415" s="22" t="n"/>
      <c r="H415" s="22" t="n"/>
      <c r="I415" s="26">
        <f>G415-H415</f>
        <v/>
      </c>
      <c r="J415" s="21" t="n"/>
      <c r="K415" s="21" t="n"/>
      <c r="L415" s="27">
        <f>SUM(J415:K415)</f>
        <v/>
      </c>
      <c r="M415" s="28" t="n"/>
      <c r="N415" s="28" t="n"/>
      <c r="O415" s="29">
        <f>IF(AND(L415=0,M415=0,N415=0),0,IF(AND(L415=0,M415=0),N415/1,IF(AND(L415=0,N415=0),M415/1,IF(AND(M415=0,N415=0),L415/1,IF(L415=0,FLOOR((M415+N415)/2,0.1),IF(M415=0,(L415+N415)/2,IF(N415=0,(M415+L415)/2,FLOOR(((L415+M415+N415)/3),0.1))))))))</f>
        <v/>
      </c>
      <c r="P415" s="21" t="n"/>
      <c r="Q415" s="21" t="n"/>
      <c r="R415" s="27">
        <f>SUM(P415:Q415)</f>
        <v/>
      </c>
      <c r="S415" s="28" t="n"/>
      <c r="T415" s="28" t="n"/>
      <c r="U415" s="29">
        <f>IF(AND(R415=0,S415=0,T415=0),0,IF(AND(R415=0,S415=0),T415/1,IF(AND(R415=0,T415=0),S415/1,IF(AND(S415=0,T415=0),R415/1,IF(R415=0,FLOOR((S415+T415)/2,0.1),IF(S415=0,(R415+T415)/2,IF(T415=0,(S415+R415)/2,FLOOR(((R415+S415+T415)/3),0.1))))))))</f>
        <v/>
      </c>
      <c r="V415" s="21" t="n"/>
      <c r="W415" s="21" t="n"/>
      <c r="X415" s="27">
        <f>SUM(V415:W415)</f>
        <v/>
      </c>
      <c r="Y415" s="28" t="n"/>
      <c r="Z415" s="28" t="n"/>
      <c r="AA415" s="29">
        <f>IF(AND(X415=0,Y415=0,Z415=0),0,IF(AND(X415=0,Y415=0),Z415/1,IF(AND(X415=0,Z415=0),Y415/1,IF(AND(Y415=0,Z415=0),X415/1,IF(X415=0,FLOOR((Y415+Z415)/2,0.1),IF(Y415=0,(X415+Z415)/2,IF(Z415=0,(Y415+X415)/2,FLOOR(((X415+Y415+Z415)/3),0.1))))))))</f>
        <v/>
      </c>
      <c r="AB415" s="21" t="n"/>
      <c r="AC415" s="21" t="n"/>
      <c r="AD415" s="27">
        <f>SUM(AB415:AC415)</f>
        <v/>
      </c>
      <c r="AE415" s="28" t="n"/>
      <c r="AF415" s="28" t="n"/>
      <c r="AG415" s="29">
        <f>IF(AND(AD415=0,AE415=0,AF415=0),0,IF(AND(AD415=0,AE415=0),AF415/1,IF(AND(AD415=0,AF415=0),AE415/1,IF(AND(AE415=0,AF415=0),AD415/1,IF(AD415=0,FLOOR((AE415+AF415)/2,0.1),IF(AE415=0,(AD415+AF415)/2,IF(AF415=0,(AE415+AD415)/2,FLOOR(((AD415+AE415+AF415)/3),0.1))))))))</f>
        <v/>
      </c>
      <c r="AH415" s="21" t="n"/>
      <c r="AI415" s="21" t="n"/>
      <c r="AJ415" s="27">
        <f>SUM(AH415:AI415)</f>
        <v/>
      </c>
      <c r="AK415" s="28" t="n"/>
      <c r="AL415" s="28" t="n"/>
      <c r="AM415" s="29">
        <f>IF(AND(AJ415=0,AK415=0,AL415=0),0,IF(AND(AJ415=0,AK415=0),AL415/1,IF(AND(AJ415=0,AL415=0),AK415/1,IF(AND(AK415=0,AL415=0),AJ415/1,IF(AJ415=0,FLOOR((AK415+AL415)/2,0.1),IF(AK415=0,(AJ415+AL415)/2,IF(AL415=0,(AK415+AJ415)/2,FLOOR(((AJ415+AK415+AL415)/3),0.1))))))))</f>
        <v/>
      </c>
      <c r="AN415" s="21" t="n"/>
      <c r="AO415" s="21" t="n"/>
      <c r="AP415" s="27">
        <f>SUM(AN415:AO415)</f>
        <v/>
      </c>
      <c r="AQ415" s="28" t="n"/>
      <c r="AR415" s="30" t="n"/>
      <c r="AS415" s="29">
        <f>IF(AND(AP415=0,AQ415=0,AR415=0),0,IF(AND(AP415=0,AQ415=0),AR415/1,IF(AND(AP415=0,AR415=0),AQ415/1,IF(AND(AQ415=0,AR415=0),AP415/1,IF(AP415=0,FLOOR((AQ415+AR415)/2,0.1),IF(AQ415=0,(AP415+AR415)/2,IF(AR415=0,(AQ415+AP415)/2,FLOOR(((AP415+AQ415+AR415)/3),0.1))))))))</f>
        <v/>
      </c>
      <c r="AT415" s="21" t="n"/>
      <c r="AU415" s="21" t="n"/>
      <c r="AV415" s="27">
        <f>SUM(AT415:AU415)</f>
        <v/>
      </c>
      <c r="AW415" s="28" t="n"/>
      <c r="AX415" s="30" t="n"/>
      <c r="AY415" s="29">
        <f>IF(AND(AV415=0,AW415=0,AX415=0),0,IF(AND(AV415=0,AW415=0),AX415/1,IF(AND(AV415=0,AX415=0),AW415/1,IF(AND(AW415=0,AX415=0),AV415/1,IF(AV415=0,FLOOR((AW415+AX415)/2,0.1),IF(AW415=0,(AV415+AX415)/2,IF(AX415=0,(AW415+AV415)/2,FLOOR(((AV415+AW415+AX415)/3),0.1))))))))</f>
        <v/>
      </c>
      <c r="AZ415" s="21" t="n"/>
      <c r="BA415" s="21" t="n"/>
      <c r="BB415" s="27">
        <f>SUM(AZ415:BA415)</f>
        <v/>
      </c>
      <c r="BC415" s="28" t="n"/>
      <c r="BD415" s="28" t="n"/>
      <c r="BE415" s="29">
        <f>IF(AND(BB415=0,BC415=0,BD415=0),0,IF(AND(BB415=0,BC415=0),BD415/1,IF(AND(BB415=0,BD415=0),BC415/1,IF(AND(BC415=0,BD415=0),BB415/1,IF(BB415=0,FLOOR((BC415+BD415)/2,0.1),IF(BC415=0,(BB415+BD415)/2,IF(BD415=0,(BC415+BB415)/2,FLOOR(((BB415+BC415+BD415)/3),0.1))))))))</f>
        <v/>
      </c>
      <c r="BF415" s="21" t="n"/>
      <c r="BG415" s="21" t="n"/>
      <c r="BH415" s="27">
        <f>SUM(BF415:BG415)</f>
        <v/>
      </c>
      <c r="BI415" s="28" t="n"/>
      <c r="BJ415" s="28" t="n"/>
      <c r="BK415" s="29">
        <f>IF(AND(BH415=0,BI415=0,BJ415=0),0,IF(AND(BH415=0,BI415=0),BJ415/1,IF(AND(BH415=0,BJ415=0),BI415/1,IF(AND(BI415=0,BJ415=0),BH415/1,IF(BH415=0,FLOOR((BI415+BJ415)/2,0.1),IF(BI415=0,(BH415+BJ415)/2,IF(BJ415=0,(BI415+BH415)/2,FLOOR(((BH415+BI415+BJ415)/3),0.1))))))))</f>
        <v/>
      </c>
      <c r="BL415" s="21" t="n"/>
      <c r="BM415" s="21" t="n"/>
      <c r="BN415" s="27">
        <f>SUM(BL415:BM415)</f>
        <v/>
      </c>
      <c r="BO415" s="28" t="n"/>
      <c r="BP415" s="31" t="n"/>
      <c r="BQ415" s="29">
        <f>IF(AND(BN415=0,BO415=0,BP415=0),0,IF(AND(BN415=0,BO415=0),BP415/1,IF(AND(BN415=0,BP415=0),BO415/1,IF(AND(BO415=0,BP415=0),BN415/1,IF(BN415=0,FLOOR((BO415+BP415)/2,0.1),IF(BO415=0,(BN415+BP415)/2,IF(BP415=0,(BO415+BN415)/2,FLOOR(((BN415+BO415+BP415)/3),0.1))))))))</f>
        <v/>
      </c>
      <c r="BR415" s="21" t="n"/>
      <c r="BS415" s="21" t="n"/>
      <c r="BT415" s="27">
        <f>SUM(BR415:BS415)</f>
        <v/>
      </c>
      <c r="BU415" s="28" t="n"/>
      <c r="BV415" s="31" t="n"/>
      <c r="BW415" s="29">
        <f>IF(AND(BT415=0,BU415=0,BV415=0),0,IF(AND(BT415=0,BU415=0),BV415/1,IF(AND(BT415=0,BV415=0),BU415/1,IF(AND(BU415=0,BV415=0),BT415/1,IF(BT415=0,FLOOR((BU415+BV415)/2,0.1),IF(BU415=0,(BT415+BV415)/2,IF(BV415=0,(BU415+BT415)/2,FLOOR(((BT415+BU415+BV415)/3),0.1))))))))</f>
        <v/>
      </c>
      <c r="BX415" s="21" t="n"/>
      <c r="BY415" s="21" t="n"/>
      <c r="BZ415" s="27">
        <f>SUM(BX415:BY415)</f>
        <v/>
      </c>
      <c r="CA415" s="28" t="n"/>
      <c r="CB415" s="31" t="n"/>
      <c r="CC415" s="29">
        <f>IF(AND(BZ415=0,CA415=0,CB415=0),0,IF(AND(BZ415=0,CA415=0),CB415/1,IF(AND(BZ415=0,CB415=0),CA415/1,IF(AND(CA415=0,CB415=0),BZ415/1,IF(BZ415=0,FLOOR((CA415+CB415)/2,0.1),IF(CA415=0,(BZ415+CB415)/2,IF(CB415=0,(CA415+BZ415)/2,FLOOR(((BZ415+CA415+CB415)/3),0.1))))))))</f>
        <v/>
      </c>
      <c r="CD415" s="21" t="n"/>
      <c r="CE415" s="21" t="n"/>
      <c r="CF415" s="27">
        <f>SUM(CD415:CE415)</f>
        <v/>
      </c>
      <c r="CG415" s="28" t="n"/>
      <c r="CH415" s="31" t="n"/>
      <c r="CI415" s="29">
        <f>IF(AND(CF415=0,CG415=0,CH415=0),0,IF(AND(CF415=0,CG415=0),CH415/1,IF(AND(CF415=0,CH415=0),CG415/1,IF(AND(CG415=0,CH415=0),CF415/1,IF(CF415=0,FLOOR((CG415+CH415)/2,0.1),IF(CG415=0,(CF415+CH415)/2,IF(CH415=0,(CG415+CF415)/2,FLOOR(((CF415+CG415+CH415)/3),0.1))))))))</f>
        <v/>
      </c>
      <c r="CJ415" s="21" t="n"/>
      <c r="CK415" s="21" t="n"/>
      <c r="CL415" s="27">
        <f>SUM(CJ415:CK415)</f>
        <v/>
      </c>
      <c r="CM415" s="28" t="n"/>
      <c r="CN415" s="31" t="n"/>
      <c r="CO415" s="29">
        <f>IF(AND(CL415=0,CM415=0,CN415=0),0,IF(AND(CL415=0,CM415=0),CN415/1,IF(AND(CL415=0,CN415=0),CM415/1,IF(AND(CM415=0,CN415=0),CL415/1,IF(CL415=0,FLOOR((CM415+CN415)/2,0.1),IF(CM415=0,(CL415+CN415)/2,IF(CN415=0,(CM415+CL415)/2,FLOOR(((CL415+CM415+CN415)/3),0.1))))))))</f>
        <v/>
      </c>
      <c r="CP415" s="21" t="n"/>
      <c r="CQ415" s="21" t="n"/>
      <c r="CR415" s="27">
        <f>SUM(CP415:CQ415)</f>
        <v/>
      </c>
      <c r="CS415" s="28" t="n"/>
      <c r="CT415" s="31" t="n"/>
      <c r="CU415" s="29">
        <f>IF(AND(CR415=0,CS415=0,CT415=0),0,IF(AND(CR415=0,CS415=0),CT415/1,IF(AND(CR415=0,CT415=0),CS415/1,IF(AND(CS415=0,CT415=0),CR415/1,IF(CR415=0,FLOOR((CS415+CT415)/2,0.1),IF(CS415=0,(CR415+CT415)/2,IF(CT415=0,(CS415+CR415)/2,FLOOR(((CR415+CS415+CT415)/3),0.1))))))))</f>
        <v/>
      </c>
      <c r="CV415" s="21" t="n"/>
      <c r="CW415" s="21" t="n"/>
      <c r="CX415" s="27">
        <f>SUM(CV415:CW415)</f>
        <v/>
      </c>
      <c r="CY415" s="28" t="n"/>
      <c r="CZ415" s="31" t="n"/>
      <c r="DA415" s="29">
        <f>IF(AND(CX415=0,CY415=0,CZ415=0),0,IF(AND(CX415=0,CY415=0),CZ415/1,IF(AND(CX415=0,CZ415=0),CY415/1,IF(AND(CY415=0,CZ415=0),CX415/1,IF(CX415=0,FLOOR((CY415+CZ415)/2,0.1),IF(CY415=0,(CX415+CZ415)/2,IF(CZ415=0,(CY415+CX415)/2,FLOOR(((CX415+CY415+CZ415)/3),0.1))))))))</f>
        <v/>
      </c>
      <c r="DB415" s="21" t="n"/>
      <c r="DC415" s="21" t="n"/>
      <c r="DD415" s="27">
        <f>SUM(DB415:DC415)</f>
        <v/>
      </c>
      <c r="DE415" s="28" t="n"/>
      <c r="DF415" s="31" t="n"/>
      <c r="DG415" s="29">
        <f>IF(AND(DD415=0,DE415=0,DF415=0),0,IF(AND(DD415=0,DE415=0),DF415/1,IF(AND(DD415=0,DF415=0),DE415/1,IF(AND(DE415=0,DF415=0),DD415/1,IF(DD415=0,FLOOR((DE415+DF415)/2,0.1),IF(DE415=0,(DD415+DF415)/2,IF(DF415=0,(DE415+DD415)/2,FLOOR(((DD415+DE415+DF415)/3),0.1))))))))</f>
        <v/>
      </c>
      <c r="DH415" s="34">
        <f>SUM(O415,U415,AA415,AG415,AM415,AS415,AY415,BE415,BK415,BQ415,BW415,CC415,CI415,CO415,CU415,DA415,DG415)</f>
        <v/>
      </c>
      <c r="DI415" s="39">
        <f>RANK(DH415,DH$4:DH$503)</f>
        <v/>
      </c>
      <c r="DJ415" s="40" t="inlineStr">
        <is>
          <t>CHOOSE RATING</t>
        </is>
      </c>
      <c r="DK415" s="40" t="inlineStr">
        <is>
          <t>CHOOSE RATING</t>
        </is>
      </c>
      <c r="DL415" s="40" t="inlineStr">
        <is>
          <t>CHOOSE RATING</t>
        </is>
      </c>
      <c r="DM415" s="40" t="inlineStr">
        <is>
          <t>CHOOSE RATING</t>
        </is>
      </c>
      <c r="DN415" s="40" t="inlineStr">
        <is>
          <t>CHOOSE RATING</t>
        </is>
      </c>
      <c r="DO415" s="40" t="inlineStr">
        <is>
          <t>CHOOSE RATING</t>
        </is>
      </c>
      <c r="DP415" s="40" t="inlineStr">
        <is>
          <t>CHOOSE RATING</t>
        </is>
      </c>
      <c r="DQ415" s="40" t="inlineStr">
        <is>
          <t>CHOOSE RATING</t>
        </is>
      </c>
      <c r="DR415" s="43" t="inlineStr">
        <is>
          <t>2024/2025</t>
        </is>
      </c>
      <c r="DS415" s="45" t="inlineStr">
        <is>
          <t>THIRD</t>
        </is>
      </c>
      <c r="DT415" s="40" t="inlineStr">
        <is>
          <t>CHOOSE RATING</t>
        </is>
      </c>
      <c r="DU415" s="40" t="inlineStr">
        <is>
          <t>CHOOSE RATING</t>
        </is>
      </c>
      <c r="DV415" s="40" t="inlineStr">
        <is>
          <t>CHOOSE RATING</t>
        </is>
      </c>
      <c r="DW415" s="40" t="inlineStr">
        <is>
          <t>CHOOSE RATING</t>
        </is>
      </c>
      <c r="DX415" s="40" t="inlineStr">
        <is>
          <t>CHOOSE RATING</t>
        </is>
      </c>
      <c r="DY415" s="40" t="inlineStr">
        <is>
          <t>CHOOSE RATING</t>
        </is>
      </c>
      <c r="DZ415" s="53" t="inlineStr">
        <is>
          <t>CHOOSE RATING</t>
        </is>
      </c>
      <c r="EA415" s="54" t="inlineStr">
        <is>
          <t>Add the Tutor's Comment . . .</t>
        </is>
      </c>
      <c r="EB415" s="55" t="inlineStr">
        <is>
          <t>Choose Principals comment</t>
        </is>
      </c>
      <c r="EC415" s="56" t="n"/>
      <c r="ED415" s="57" t="inlineStr">
        <is>
          <t>Next Term Begins on Monday, 22nd September, 2025</t>
        </is>
      </c>
    </row>
    <row r="416" ht="30.6" customHeight="1" s="6">
      <c r="A416" s="18" t="n">
        <v>413</v>
      </c>
      <c r="B416" s="19" t="n"/>
      <c r="C416" s="20" t="n"/>
      <c r="D416" s="128" t="n"/>
      <c r="E416" s="21" t="n"/>
      <c r="F416" s="22" t="n"/>
      <c r="G416" s="22" t="n"/>
      <c r="H416" s="22" t="n"/>
      <c r="I416" s="26">
        <f>G416-H416</f>
        <v/>
      </c>
      <c r="J416" s="21" t="n"/>
      <c r="K416" s="21" t="n"/>
      <c r="L416" s="27">
        <f>SUM(J416:K416)</f>
        <v/>
      </c>
      <c r="M416" s="28" t="n"/>
      <c r="N416" s="28" t="n"/>
      <c r="O416" s="29">
        <f>IF(AND(L416=0,M416=0,N416=0),0,IF(AND(L416=0,M416=0),N416/1,IF(AND(L416=0,N416=0),M416/1,IF(AND(M416=0,N416=0),L416/1,IF(L416=0,FLOOR((M416+N416)/2,0.1),IF(M416=0,(L416+N416)/2,IF(N416=0,(M416+L416)/2,FLOOR(((L416+M416+N416)/3),0.1))))))))</f>
        <v/>
      </c>
      <c r="P416" s="21" t="n"/>
      <c r="Q416" s="21" t="n"/>
      <c r="R416" s="27">
        <f>SUM(P416:Q416)</f>
        <v/>
      </c>
      <c r="S416" s="28" t="n"/>
      <c r="T416" s="28" t="n"/>
      <c r="U416" s="29">
        <f>IF(AND(R416=0,S416=0,T416=0),0,IF(AND(R416=0,S416=0),T416/1,IF(AND(R416=0,T416=0),S416/1,IF(AND(S416=0,T416=0),R416/1,IF(R416=0,FLOOR((S416+T416)/2,0.1),IF(S416=0,(R416+T416)/2,IF(T416=0,(S416+R416)/2,FLOOR(((R416+S416+T416)/3),0.1))))))))</f>
        <v/>
      </c>
      <c r="V416" s="21" t="n"/>
      <c r="W416" s="21" t="n"/>
      <c r="X416" s="27">
        <f>SUM(V416:W416)</f>
        <v/>
      </c>
      <c r="Y416" s="28" t="n"/>
      <c r="Z416" s="28" t="n"/>
      <c r="AA416" s="29">
        <f>IF(AND(X416=0,Y416=0,Z416=0),0,IF(AND(X416=0,Y416=0),Z416/1,IF(AND(X416=0,Z416=0),Y416/1,IF(AND(Y416=0,Z416=0),X416/1,IF(X416=0,FLOOR((Y416+Z416)/2,0.1),IF(Y416=0,(X416+Z416)/2,IF(Z416=0,(Y416+X416)/2,FLOOR(((X416+Y416+Z416)/3),0.1))))))))</f>
        <v/>
      </c>
      <c r="AB416" s="21" t="n"/>
      <c r="AC416" s="21" t="n"/>
      <c r="AD416" s="27">
        <f>SUM(AB416:AC416)</f>
        <v/>
      </c>
      <c r="AE416" s="28" t="n"/>
      <c r="AF416" s="28" t="n"/>
      <c r="AG416" s="29">
        <f>IF(AND(AD416=0,AE416=0,AF416=0),0,IF(AND(AD416=0,AE416=0),AF416/1,IF(AND(AD416=0,AF416=0),AE416/1,IF(AND(AE416=0,AF416=0),AD416/1,IF(AD416=0,FLOOR((AE416+AF416)/2,0.1),IF(AE416=0,(AD416+AF416)/2,IF(AF416=0,(AE416+AD416)/2,FLOOR(((AD416+AE416+AF416)/3),0.1))))))))</f>
        <v/>
      </c>
      <c r="AH416" s="21" t="n"/>
      <c r="AI416" s="21" t="n"/>
      <c r="AJ416" s="27">
        <f>SUM(AH416:AI416)</f>
        <v/>
      </c>
      <c r="AK416" s="28" t="n"/>
      <c r="AL416" s="28" t="n"/>
      <c r="AM416" s="29">
        <f>IF(AND(AJ416=0,AK416=0,AL416=0),0,IF(AND(AJ416=0,AK416=0),AL416/1,IF(AND(AJ416=0,AL416=0),AK416/1,IF(AND(AK416=0,AL416=0),AJ416/1,IF(AJ416=0,FLOOR((AK416+AL416)/2,0.1),IF(AK416=0,(AJ416+AL416)/2,IF(AL416=0,(AK416+AJ416)/2,FLOOR(((AJ416+AK416+AL416)/3),0.1))))))))</f>
        <v/>
      </c>
      <c r="AN416" s="21" t="n"/>
      <c r="AO416" s="21" t="n"/>
      <c r="AP416" s="27">
        <f>SUM(AN416:AO416)</f>
        <v/>
      </c>
      <c r="AQ416" s="28" t="n"/>
      <c r="AR416" s="30" t="n"/>
      <c r="AS416" s="29">
        <f>IF(AND(AP416=0,AQ416=0,AR416=0),0,IF(AND(AP416=0,AQ416=0),AR416/1,IF(AND(AP416=0,AR416=0),AQ416/1,IF(AND(AQ416=0,AR416=0),AP416/1,IF(AP416=0,FLOOR((AQ416+AR416)/2,0.1),IF(AQ416=0,(AP416+AR416)/2,IF(AR416=0,(AQ416+AP416)/2,FLOOR(((AP416+AQ416+AR416)/3),0.1))))))))</f>
        <v/>
      </c>
      <c r="AT416" s="21" t="n"/>
      <c r="AU416" s="21" t="n"/>
      <c r="AV416" s="27">
        <f>SUM(AT416:AU416)</f>
        <v/>
      </c>
      <c r="AW416" s="28" t="n"/>
      <c r="AX416" s="30" t="n"/>
      <c r="AY416" s="29">
        <f>IF(AND(AV416=0,AW416=0,AX416=0),0,IF(AND(AV416=0,AW416=0),AX416/1,IF(AND(AV416=0,AX416=0),AW416/1,IF(AND(AW416=0,AX416=0),AV416/1,IF(AV416=0,FLOOR((AW416+AX416)/2,0.1),IF(AW416=0,(AV416+AX416)/2,IF(AX416=0,(AW416+AV416)/2,FLOOR(((AV416+AW416+AX416)/3),0.1))))))))</f>
        <v/>
      </c>
      <c r="AZ416" s="21" t="n"/>
      <c r="BA416" s="21" t="n"/>
      <c r="BB416" s="27">
        <f>SUM(AZ416:BA416)</f>
        <v/>
      </c>
      <c r="BC416" s="28" t="n"/>
      <c r="BD416" s="28" t="n"/>
      <c r="BE416" s="29">
        <f>IF(AND(BB416=0,BC416=0,BD416=0),0,IF(AND(BB416=0,BC416=0),BD416/1,IF(AND(BB416=0,BD416=0),BC416/1,IF(AND(BC416=0,BD416=0),BB416/1,IF(BB416=0,FLOOR((BC416+BD416)/2,0.1),IF(BC416=0,(BB416+BD416)/2,IF(BD416=0,(BC416+BB416)/2,FLOOR(((BB416+BC416+BD416)/3),0.1))))))))</f>
        <v/>
      </c>
      <c r="BF416" s="21" t="n"/>
      <c r="BG416" s="21" t="n"/>
      <c r="BH416" s="27">
        <f>SUM(BF416:BG416)</f>
        <v/>
      </c>
      <c r="BI416" s="28" t="n"/>
      <c r="BJ416" s="28" t="n"/>
      <c r="BK416" s="29">
        <f>IF(AND(BH416=0,BI416=0,BJ416=0),0,IF(AND(BH416=0,BI416=0),BJ416/1,IF(AND(BH416=0,BJ416=0),BI416/1,IF(AND(BI416=0,BJ416=0),BH416/1,IF(BH416=0,FLOOR((BI416+BJ416)/2,0.1),IF(BI416=0,(BH416+BJ416)/2,IF(BJ416=0,(BI416+BH416)/2,FLOOR(((BH416+BI416+BJ416)/3),0.1))))))))</f>
        <v/>
      </c>
      <c r="BL416" s="21" t="n"/>
      <c r="BM416" s="21" t="n"/>
      <c r="BN416" s="27">
        <f>SUM(BL416:BM416)</f>
        <v/>
      </c>
      <c r="BO416" s="28" t="n"/>
      <c r="BP416" s="31" t="n"/>
      <c r="BQ416" s="29">
        <f>IF(AND(BN416=0,BO416=0,BP416=0),0,IF(AND(BN416=0,BO416=0),BP416/1,IF(AND(BN416=0,BP416=0),BO416/1,IF(AND(BO416=0,BP416=0),BN416/1,IF(BN416=0,FLOOR((BO416+BP416)/2,0.1),IF(BO416=0,(BN416+BP416)/2,IF(BP416=0,(BO416+BN416)/2,FLOOR(((BN416+BO416+BP416)/3),0.1))))))))</f>
        <v/>
      </c>
      <c r="BR416" s="21" t="n"/>
      <c r="BS416" s="21" t="n"/>
      <c r="BT416" s="27">
        <f>SUM(BR416:BS416)</f>
        <v/>
      </c>
      <c r="BU416" s="28" t="n"/>
      <c r="BV416" s="31" t="n"/>
      <c r="BW416" s="29">
        <f>IF(AND(BT416=0,BU416=0,BV416=0),0,IF(AND(BT416=0,BU416=0),BV416/1,IF(AND(BT416=0,BV416=0),BU416/1,IF(AND(BU416=0,BV416=0),BT416/1,IF(BT416=0,FLOOR((BU416+BV416)/2,0.1),IF(BU416=0,(BT416+BV416)/2,IF(BV416=0,(BU416+BT416)/2,FLOOR(((BT416+BU416+BV416)/3),0.1))))))))</f>
        <v/>
      </c>
      <c r="BX416" s="21" t="n"/>
      <c r="BY416" s="21" t="n"/>
      <c r="BZ416" s="27">
        <f>SUM(BX416:BY416)</f>
        <v/>
      </c>
      <c r="CA416" s="28" t="n"/>
      <c r="CB416" s="31" t="n"/>
      <c r="CC416" s="29">
        <f>IF(AND(BZ416=0,CA416=0,CB416=0),0,IF(AND(BZ416=0,CA416=0),CB416/1,IF(AND(BZ416=0,CB416=0),CA416/1,IF(AND(CA416=0,CB416=0),BZ416/1,IF(BZ416=0,FLOOR((CA416+CB416)/2,0.1),IF(CA416=0,(BZ416+CB416)/2,IF(CB416=0,(CA416+BZ416)/2,FLOOR(((BZ416+CA416+CB416)/3),0.1))))))))</f>
        <v/>
      </c>
      <c r="CD416" s="21" t="n"/>
      <c r="CE416" s="21" t="n"/>
      <c r="CF416" s="27">
        <f>SUM(CD416:CE416)</f>
        <v/>
      </c>
      <c r="CG416" s="28" t="n"/>
      <c r="CH416" s="31" t="n"/>
      <c r="CI416" s="29">
        <f>IF(AND(CF416=0,CG416=0,CH416=0),0,IF(AND(CF416=0,CG416=0),CH416/1,IF(AND(CF416=0,CH416=0),CG416/1,IF(AND(CG416=0,CH416=0),CF416/1,IF(CF416=0,FLOOR((CG416+CH416)/2,0.1),IF(CG416=0,(CF416+CH416)/2,IF(CH416=0,(CG416+CF416)/2,FLOOR(((CF416+CG416+CH416)/3),0.1))))))))</f>
        <v/>
      </c>
      <c r="CJ416" s="21" t="n"/>
      <c r="CK416" s="21" t="n"/>
      <c r="CL416" s="27">
        <f>SUM(CJ416:CK416)</f>
        <v/>
      </c>
      <c r="CM416" s="28" t="n"/>
      <c r="CN416" s="31" t="n"/>
      <c r="CO416" s="29">
        <f>IF(AND(CL416=0,CM416=0,CN416=0),0,IF(AND(CL416=0,CM416=0),CN416/1,IF(AND(CL416=0,CN416=0),CM416/1,IF(AND(CM416=0,CN416=0),CL416/1,IF(CL416=0,FLOOR((CM416+CN416)/2,0.1),IF(CM416=0,(CL416+CN416)/2,IF(CN416=0,(CM416+CL416)/2,FLOOR(((CL416+CM416+CN416)/3),0.1))))))))</f>
        <v/>
      </c>
      <c r="CP416" s="21" t="n"/>
      <c r="CQ416" s="21" t="n"/>
      <c r="CR416" s="27">
        <f>SUM(CP416:CQ416)</f>
        <v/>
      </c>
      <c r="CS416" s="28" t="n"/>
      <c r="CT416" s="31" t="n"/>
      <c r="CU416" s="29">
        <f>IF(AND(CR416=0,CS416=0,CT416=0),0,IF(AND(CR416=0,CS416=0),CT416/1,IF(AND(CR416=0,CT416=0),CS416/1,IF(AND(CS416=0,CT416=0),CR416/1,IF(CR416=0,FLOOR((CS416+CT416)/2,0.1),IF(CS416=0,(CR416+CT416)/2,IF(CT416=0,(CS416+CR416)/2,FLOOR(((CR416+CS416+CT416)/3),0.1))))))))</f>
        <v/>
      </c>
      <c r="CV416" s="21" t="n"/>
      <c r="CW416" s="21" t="n"/>
      <c r="CX416" s="27">
        <f>SUM(CV416:CW416)</f>
        <v/>
      </c>
      <c r="CY416" s="28" t="n"/>
      <c r="CZ416" s="31" t="n"/>
      <c r="DA416" s="29">
        <f>IF(AND(CX416=0,CY416=0,CZ416=0),0,IF(AND(CX416=0,CY416=0),CZ416/1,IF(AND(CX416=0,CZ416=0),CY416/1,IF(AND(CY416=0,CZ416=0),CX416/1,IF(CX416=0,FLOOR((CY416+CZ416)/2,0.1),IF(CY416=0,(CX416+CZ416)/2,IF(CZ416=0,(CY416+CX416)/2,FLOOR(((CX416+CY416+CZ416)/3),0.1))))))))</f>
        <v/>
      </c>
      <c r="DB416" s="21" t="n"/>
      <c r="DC416" s="21" t="n"/>
      <c r="DD416" s="27">
        <f>SUM(DB416:DC416)</f>
        <v/>
      </c>
      <c r="DE416" s="28" t="n"/>
      <c r="DF416" s="31" t="n"/>
      <c r="DG416" s="29">
        <f>IF(AND(DD416=0,DE416=0,DF416=0),0,IF(AND(DD416=0,DE416=0),DF416/1,IF(AND(DD416=0,DF416=0),DE416/1,IF(AND(DE416=0,DF416=0),DD416/1,IF(DD416=0,FLOOR((DE416+DF416)/2,0.1),IF(DE416=0,(DD416+DF416)/2,IF(DF416=0,(DE416+DD416)/2,FLOOR(((DD416+DE416+DF416)/3),0.1))))))))</f>
        <v/>
      </c>
      <c r="DH416" s="34">
        <f>SUM(O416,U416,AA416,AG416,AM416,AS416,AY416,BE416,BK416,BQ416,BW416,CC416,CI416,CO416,CU416,DA416,DG416)</f>
        <v/>
      </c>
      <c r="DI416" s="39">
        <f>RANK(DH416,DH$4:DH$503)</f>
        <v/>
      </c>
      <c r="DJ416" s="40" t="inlineStr">
        <is>
          <t>CHOOSE RATING</t>
        </is>
      </c>
      <c r="DK416" s="40" t="inlineStr">
        <is>
          <t>CHOOSE RATING</t>
        </is>
      </c>
      <c r="DL416" s="40" t="inlineStr">
        <is>
          <t>CHOOSE RATING</t>
        </is>
      </c>
      <c r="DM416" s="40" t="inlineStr">
        <is>
          <t>CHOOSE RATING</t>
        </is>
      </c>
      <c r="DN416" s="40" t="inlineStr">
        <is>
          <t>CHOOSE RATING</t>
        </is>
      </c>
      <c r="DO416" s="40" t="inlineStr">
        <is>
          <t>CHOOSE RATING</t>
        </is>
      </c>
      <c r="DP416" s="40" t="inlineStr">
        <is>
          <t>CHOOSE RATING</t>
        </is>
      </c>
      <c r="DQ416" s="40" t="inlineStr">
        <is>
          <t>CHOOSE RATING</t>
        </is>
      </c>
      <c r="DR416" s="43" t="inlineStr">
        <is>
          <t>2024/2025</t>
        </is>
      </c>
      <c r="DS416" s="45" t="inlineStr">
        <is>
          <t>THIRD</t>
        </is>
      </c>
      <c r="DT416" s="40" t="inlineStr">
        <is>
          <t>CHOOSE RATING</t>
        </is>
      </c>
      <c r="DU416" s="40" t="inlineStr">
        <is>
          <t>CHOOSE RATING</t>
        </is>
      </c>
      <c r="DV416" s="40" t="inlineStr">
        <is>
          <t>CHOOSE RATING</t>
        </is>
      </c>
      <c r="DW416" s="40" t="inlineStr">
        <is>
          <t>CHOOSE RATING</t>
        </is>
      </c>
      <c r="DX416" s="40" t="inlineStr">
        <is>
          <t>CHOOSE RATING</t>
        </is>
      </c>
      <c r="DY416" s="40" t="inlineStr">
        <is>
          <t>CHOOSE RATING</t>
        </is>
      </c>
      <c r="DZ416" s="53" t="inlineStr">
        <is>
          <t>CHOOSE RATING</t>
        </is>
      </c>
      <c r="EA416" s="54" t="inlineStr">
        <is>
          <t>Add the Tutor's Comment . . .</t>
        </is>
      </c>
      <c r="EB416" s="55" t="inlineStr">
        <is>
          <t>Choose Principals comment</t>
        </is>
      </c>
      <c r="EC416" s="56" t="n"/>
      <c r="ED416" s="57" t="inlineStr">
        <is>
          <t>Next Term Begins on Monday, 22nd September, 2025</t>
        </is>
      </c>
    </row>
    <row r="417" ht="30.6" customHeight="1" s="6">
      <c r="A417" s="18" t="n">
        <v>414</v>
      </c>
      <c r="B417" s="19" t="n"/>
      <c r="C417" s="20" t="n"/>
      <c r="D417" s="128" t="n"/>
      <c r="E417" s="21" t="n"/>
      <c r="F417" s="22" t="n"/>
      <c r="G417" s="22" t="n"/>
      <c r="H417" s="22" t="n"/>
      <c r="I417" s="26">
        <f>G417-H417</f>
        <v/>
      </c>
      <c r="J417" s="21" t="n"/>
      <c r="K417" s="21" t="n"/>
      <c r="L417" s="27">
        <f>SUM(J417:K417)</f>
        <v/>
      </c>
      <c r="M417" s="28" t="n"/>
      <c r="N417" s="28" t="n"/>
      <c r="O417" s="29">
        <f>IF(AND(L417=0,M417=0,N417=0),0,IF(AND(L417=0,M417=0),N417/1,IF(AND(L417=0,N417=0),M417/1,IF(AND(M417=0,N417=0),L417/1,IF(L417=0,FLOOR((M417+N417)/2,0.1),IF(M417=0,(L417+N417)/2,IF(N417=0,(M417+L417)/2,FLOOR(((L417+M417+N417)/3),0.1))))))))</f>
        <v/>
      </c>
      <c r="P417" s="21" t="n"/>
      <c r="Q417" s="21" t="n"/>
      <c r="R417" s="27">
        <f>SUM(P417:Q417)</f>
        <v/>
      </c>
      <c r="S417" s="28" t="n"/>
      <c r="T417" s="28" t="n"/>
      <c r="U417" s="29">
        <f>IF(AND(R417=0,S417=0,T417=0),0,IF(AND(R417=0,S417=0),T417/1,IF(AND(R417=0,T417=0),S417/1,IF(AND(S417=0,T417=0),R417/1,IF(R417=0,FLOOR((S417+T417)/2,0.1),IF(S417=0,(R417+T417)/2,IF(T417=0,(S417+R417)/2,FLOOR(((R417+S417+T417)/3),0.1))))))))</f>
        <v/>
      </c>
      <c r="V417" s="21" t="n"/>
      <c r="W417" s="21" t="n"/>
      <c r="X417" s="27">
        <f>SUM(V417:W417)</f>
        <v/>
      </c>
      <c r="Y417" s="28" t="n"/>
      <c r="Z417" s="28" t="n"/>
      <c r="AA417" s="29">
        <f>IF(AND(X417=0,Y417=0,Z417=0),0,IF(AND(X417=0,Y417=0),Z417/1,IF(AND(X417=0,Z417=0),Y417/1,IF(AND(Y417=0,Z417=0),X417/1,IF(X417=0,FLOOR((Y417+Z417)/2,0.1),IF(Y417=0,(X417+Z417)/2,IF(Z417=0,(Y417+X417)/2,FLOOR(((X417+Y417+Z417)/3),0.1))))))))</f>
        <v/>
      </c>
      <c r="AB417" s="21" t="n"/>
      <c r="AC417" s="21" t="n"/>
      <c r="AD417" s="27">
        <f>SUM(AB417:AC417)</f>
        <v/>
      </c>
      <c r="AE417" s="28" t="n"/>
      <c r="AF417" s="28" t="n"/>
      <c r="AG417" s="29">
        <f>IF(AND(AD417=0,AE417=0,AF417=0),0,IF(AND(AD417=0,AE417=0),AF417/1,IF(AND(AD417=0,AF417=0),AE417/1,IF(AND(AE417=0,AF417=0),AD417/1,IF(AD417=0,FLOOR((AE417+AF417)/2,0.1),IF(AE417=0,(AD417+AF417)/2,IF(AF417=0,(AE417+AD417)/2,FLOOR(((AD417+AE417+AF417)/3),0.1))))))))</f>
        <v/>
      </c>
      <c r="AH417" s="21" t="n"/>
      <c r="AI417" s="21" t="n"/>
      <c r="AJ417" s="27">
        <f>SUM(AH417:AI417)</f>
        <v/>
      </c>
      <c r="AK417" s="28" t="n"/>
      <c r="AL417" s="28" t="n"/>
      <c r="AM417" s="29">
        <f>IF(AND(AJ417=0,AK417=0,AL417=0),0,IF(AND(AJ417=0,AK417=0),AL417/1,IF(AND(AJ417=0,AL417=0),AK417/1,IF(AND(AK417=0,AL417=0),AJ417/1,IF(AJ417=0,FLOOR((AK417+AL417)/2,0.1),IF(AK417=0,(AJ417+AL417)/2,IF(AL417=0,(AK417+AJ417)/2,FLOOR(((AJ417+AK417+AL417)/3),0.1))))))))</f>
        <v/>
      </c>
      <c r="AN417" s="21" t="n"/>
      <c r="AO417" s="21" t="n"/>
      <c r="AP417" s="27">
        <f>SUM(AN417:AO417)</f>
        <v/>
      </c>
      <c r="AQ417" s="28" t="n"/>
      <c r="AR417" s="30" t="n"/>
      <c r="AS417" s="29">
        <f>IF(AND(AP417=0,AQ417=0,AR417=0),0,IF(AND(AP417=0,AQ417=0),AR417/1,IF(AND(AP417=0,AR417=0),AQ417/1,IF(AND(AQ417=0,AR417=0),AP417/1,IF(AP417=0,FLOOR((AQ417+AR417)/2,0.1),IF(AQ417=0,(AP417+AR417)/2,IF(AR417=0,(AQ417+AP417)/2,FLOOR(((AP417+AQ417+AR417)/3),0.1))))))))</f>
        <v/>
      </c>
      <c r="AT417" s="21" t="n"/>
      <c r="AU417" s="21" t="n"/>
      <c r="AV417" s="27">
        <f>SUM(AT417:AU417)</f>
        <v/>
      </c>
      <c r="AW417" s="28" t="n"/>
      <c r="AX417" s="30" t="n"/>
      <c r="AY417" s="29">
        <f>IF(AND(AV417=0,AW417=0,AX417=0),0,IF(AND(AV417=0,AW417=0),AX417/1,IF(AND(AV417=0,AX417=0),AW417/1,IF(AND(AW417=0,AX417=0),AV417/1,IF(AV417=0,FLOOR((AW417+AX417)/2,0.1),IF(AW417=0,(AV417+AX417)/2,IF(AX417=0,(AW417+AV417)/2,FLOOR(((AV417+AW417+AX417)/3),0.1))))))))</f>
        <v/>
      </c>
      <c r="AZ417" s="21" t="n"/>
      <c r="BA417" s="21" t="n"/>
      <c r="BB417" s="27">
        <f>SUM(AZ417:BA417)</f>
        <v/>
      </c>
      <c r="BC417" s="28" t="n"/>
      <c r="BD417" s="28" t="n"/>
      <c r="BE417" s="29">
        <f>IF(AND(BB417=0,BC417=0,BD417=0),0,IF(AND(BB417=0,BC417=0),BD417/1,IF(AND(BB417=0,BD417=0),BC417/1,IF(AND(BC417=0,BD417=0),BB417/1,IF(BB417=0,FLOOR((BC417+BD417)/2,0.1),IF(BC417=0,(BB417+BD417)/2,IF(BD417=0,(BC417+BB417)/2,FLOOR(((BB417+BC417+BD417)/3),0.1))))))))</f>
        <v/>
      </c>
      <c r="BF417" s="21" t="n"/>
      <c r="BG417" s="21" t="n"/>
      <c r="BH417" s="27">
        <f>SUM(BF417:BG417)</f>
        <v/>
      </c>
      <c r="BI417" s="28" t="n"/>
      <c r="BJ417" s="28" t="n"/>
      <c r="BK417" s="29">
        <f>IF(AND(BH417=0,BI417=0,BJ417=0),0,IF(AND(BH417=0,BI417=0),BJ417/1,IF(AND(BH417=0,BJ417=0),BI417/1,IF(AND(BI417=0,BJ417=0),BH417/1,IF(BH417=0,FLOOR((BI417+BJ417)/2,0.1),IF(BI417=0,(BH417+BJ417)/2,IF(BJ417=0,(BI417+BH417)/2,FLOOR(((BH417+BI417+BJ417)/3),0.1))))))))</f>
        <v/>
      </c>
      <c r="BL417" s="21" t="n"/>
      <c r="BM417" s="21" t="n"/>
      <c r="BN417" s="27">
        <f>SUM(BL417:BM417)</f>
        <v/>
      </c>
      <c r="BO417" s="28" t="n"/>
      <c r="BP417" s="31" t="n"/>
      <c r="BQ417" s="29">
        <f>IF(AND(BN417=0,BO417=0,BP417=0),0,IF(AND(BN417=0,BO417=0),BP417/1,IF(AND(BN417=0,BP417=0),BO417/1,IF(AND(BO417=0,BP417=0),BN417/1,IF(BN417=0,FLOOR((BO417+BP417)/2,0.1),IF(BO417=0,(BN417+BP417)/2,IF(BP417=0,(BO417+BN417)/2,FLOOR(((BN417+BO417+BP417)/3),0.1))))))))</f>
        <v/>
      </c>
      <c r="BR417" s="21" t="n"/>
      <c r="BS417" s="21" t="n"/>
      <c r="BT417" s="27">
        <f>SUM(BR417:BS417)</f>
        <v/>
      </c>
      <c r="BU417" s="28" t="n"/>
      <c r="BV417" s="31" t="n"/>
      <c r="BW417" s="29">
        <f>IF(AND(BT417=0,BU417=0,BV417=0),0,IF(AND(BT417=0,BU417=0),BV417/1,IF(AND(BT417=0,BV417=0),BU417/1,IF(AND(BU417=0,BV417=0),BT417/1,IF(BT417=0,FLOOR((BU417+BV417)/2,0.1),IF(BU417=0,(BT417+BV417)/2,IF(BV417=0,(BU417+BT417)/2,FLOOR(((BT417+BU417+BV417)/3),0.1))))))))</f>
        <v/>
      </c>
      <c r="BX417" s="21" t="n"/>
      <c r="BY417" s="21" t="n"/>
      <c r="BZ417" s="27">
        <f>SUM(BX417:BY417)</f>
        <v/>
      </c>
      <c r="CA417" s="28" t="n"/>
      <c r="CB417" s="31" t="n"/>
      <c r="CC417" s="29">
        <f>IF(AND(BZ417=0,CA417=0,CB417=0),0,IF(AND(BZ417=0,CA417=0),CB417/1,IF(AND(BZ417=0,CB417=0),CA417/1,IF(AND(CA417=0,CB417=0),BZ417/1,IF(BZ417=0,FLOOR((CA417+CB417)/2,0.1),IF(CA417=0,(BZ417+CB417)/2,IF(CB417=0,(CA417+BZ417)/2,FLOOR(((BZ417+CA417+CB417)/3),0.1))))))))</f>
        <v/>
      </c>
      <c r="CD417" s="21" t="n"/>
      <c r="CE417" s="21" t="n"/>
      <c r="CF417" s="27">
        <f>SUM(CD417:CE417)</f>
        <v/>
      </c>
      <c r="CG417" s="28" t="n"/>
      <c r="CH417" s="31" t="n"/>
      <c r="CI417" s="29">
        <f>IF(AND(CF417=0,CG417=0,CH417=0),0,IF(AND(CF417=0,CG417=0),CH417/1,IF(AND(CF417=0,CH417=0),CG417/1,IF(AND(CG417=0,CH417=0),CF417/1,IF(CF417=0,FLOOR((CG417+CH417)/2,0.1),IF(CG417=0,(CF417+CH417)/2,IF(CH417=0,(CG417+CF417)/2,FLOOR(((CF417+CG417+CH417)/3),0.1))))))))</f>
        <v/>
      </c>
      <c r="CJ417" s="21" t="n"/>
      <c r="CK417" s="21" t="n"/>
      <c r="CL417" s="27">
        <f>SUM(CJ417:CK417)</f>
        <v/>
      </c>
      <c r="CM417" s="28" t="n"/>
      <c r="CN417" s="31" t="n"/>
      <c r="CO417" s="29">
        <f>IF(AND(CL417=0,CM417=0,CN417=0),0,IF(AND(CL417=0,CM417=0),CN417/1,IF(AND(CL417=0,CN417=0),CM417/1,IF(AND(CM417=0,CN417=0),CL417/1,IF(CL417=0,FLOOR((CM417+CN417)/2,0.1),IF(CM417=0,(CL417+CN417)/2,IF(CN417=0,(CM417+CL417)/2,FLOOR(((CL417+CM417+CN417)/3),0.1))))))))</f>
        <v/>
      </c>
      <c r="CP417" s="21" t="n"/>
      <c r="CQ417" s="21" t="n"/>
      <c r="CR417" s="27">
        <f>SUM(CP417:CQ417)</f>
        <v/>
      </c>
      <c r="CS417" s="28" t="n"/>
      <c r="CT417" s="31" t="n"/>
      <c r="CU417" s="29">
        <f>IF(AND(CR417=0,CS417=0,CT417=0),0,IF(AND(CR417=0,CS417=0),CT417/1,IF(AND(CR417=0,CT417=0),CS417/1,IF(AND(CS417=0,CT417=0),CR417/1,IF(CR417=0,FLOOR((CS417+CT417)/2,0.1),IF(CS417=0,(CR417+CT417)/2,IF(CT417=0,(CS417+CR417)/2,FLOOR(((CR417+CS417+CT417)/3),0.1))))))))</f>
        <v/>
      </c>
      <c r="CV417" s="21" t="n"/>
      <c r="CW417" s="21" t="n"/>
      <c r="CX417" s="27">
        <f>SUM(CV417:CW417)</f>
        <v/>
      </c>
      <c r="CY417" s="28" t="n"/>
      <c r="CZ417" s="31" t="n"/>
      <c r="DA417" s="29">
        <f>IF(AND(CX417=0,CY417=0,CZ417=0),0,IF(AND(CX417=0,CY417=0),CZ417/1,IF(AND(CX417=0,CZ417=0),CY417/1,IF(AND(CY417=0,CZ417=0),CX417/1,IF(CX417=0,FLOOR((CY417+CZ417)/2,0.1),IF(CY417=0,(CX417+CZ417)/2,IF(CZ417=0,(CY417+CX417)/2,FLOOR(((CX417+CY417+CZ417)/3),0.1))))))))</f>
        <v/>
      </c>
      <c r="DB417" s="21" t="n"/>
      <c r="DC417" s="21" t="n"/>
      <c r="DD417" s="27">
        <f>SUM(DB417:DC417)</f>
        <v/>
      </c>
      <c r="DE417" s="28" t="n"/>
      <c r="DF417" s="31" t="n"/>
      <c r="DG417" s="29">
        <f>IF(AND(DD417=0,DE417=0,DF417=0),0,IF(AND(DD417=0,DE417=0),DF417/1,IF(AND(DD417=0,DF417=0),DE417/1,IF(AND(DE417=0,DF417=0),DD417/1,IF(DD417=0,FLOOR((DE417+DF417)/2,0.1),IF(DE417=0,(DD417+DF417)/2,IF(DF417=0,(DE417+DD417)/2,FLOOR(((DD417+DE417+DF417)/3),0.1))))))))</f>
        <v/>
      </c>
      <c r="DH417" s="34">
        <f>SUM(O417,U417,AA417,AG417,AM417,AS417,AY417,BE417,BK417,BQ417,BW417,CC417,CI417,CO417,CU417,DA417,DG417)</f>
        <v/>
      </c>
      <c r="DI417" s="39">
        <f>RANK(DH417,DH$4:DH$503)</f>
        <v/>
      </c>
      <c r="DJ417" s="40" t="inlineStr">
        <is>
          <t>CHOOSE RATING</t>
        </is>
      </c>
      <c r="DK417" s="40" t="inlineStr">
        <is>
          <t>CHOOSE RATING</t>
        </is>
      </c>
      <c r="DL417" s="40" t="inlineStr">
        <is>
          <t>CHOOSE RATING</t>
        </is>
      </c>
      <c r="DM417" s="40" t="inlineStr">
        <is>
          <t>CHOOSE RATING</t>
        </is>
      </c>
      <c r="DN417" s="40" t="inlineStr">
        <is>
          <t>CHOOSE RATING</t>
        </is>
      </c>
      <c r="DO417" s="40" t="inlineStr">
        <is>
          <t>CHOOSE RATING</t>
        </is>
      </c>
      <c r="DP417" s="40" t="inlineStr">
        <is>
          <t>CHOOSE RATING</t>
        </is>
      </c>
      <c r="DQ417" s="40" t="inlineStr">
        <is>
          <t>CHOOSE RATING</t>
        </is>
      </c>
      <c r="DR417" s="43" t="inlineStr">
        <is>
          <t>2024/2025</t>
        </is>
      </c>
      <c r="DS417" s="45" t="inlineStr">
        <is>
          <t>THIRD</t>
        </is>
      </c>
      <c r="DT417" s="40" t="inlineStr">
        <is>
          <t>CHOOSE RATING</t>
        </is>
      </c>
      <c r="DU417" s="40" t="inlineStr">
        <is>
          <t>CHOOSE RATING</t>
        </is>
      </c>
      <c r="DV417" s="40" t="inlineStr">
        <is>
          <t>CHOOSE RATING</t>
        </is>
      </c>
      <c r="DW417" s="40" t="inlineStr">
        <is>
          <t>CHOOSE RATING</t>
        </is>
      </c>
      <c r="DX417" s="40" t="inlineStr">
        <is>
          <t>CHOOSE RATING</t>
        </is>
      </c>
      <c r="DY417" s="40" t="inlineStr">
        <is>
          <t>CHOOSE RATING</t>
        </is>
      </c>
      <c r="DZ417" s="53" t="inlineStr">
        <is>
          <t>CHOOSE RATING</t>
        </is>
      </c>
      <c r="EA417" s="54" t="inlineStr">
        <is>
          <t>Add the Tutor's Comment . . .</t>
        </is>
      </c>
      <c r="EB417" s="55" t="inlineStr">
        <is>
          <t>Choose Principals comment</t>
        </is>
      </c>
      <c r="EC417" s="56" t="n"/>
      <c r="ED417" s="57" t="inlineStr">
        <is>
          <t>Next Term Begins on Monday, 22nd September, 2025</t>
        </is>
      </c>
    </row>
    <row r="418" ht="30.6" customHeight="1" s="6">
      <c r="A418" s="18" t="n">
        <v>415</v>
      </c>
      <c r="B418" s="19" t="n"/>
      <c r="C418" s="20" t="n"/>
      <c r="D418" s="128" t="n"/>
      <c r="E418" s="21" t="n"/>
      <c r="F418" s="22" t="n"/>
      <c r="G418" s="22" t="n"/>
      <c r="H418" s="22" t="n"/>
      <c r="I418" s="26">
        <f>G418-H418</f>
        <v/>
      </c>
      <c r="J418" s="21" t="n"/>
      <c r="K418" s="21" t="n"/>
      <c r="L418" s="27">
        <f>SUM(J418:K418)</f>
        <v/>
      </c>
      <c r="M418" s="28" t="n"/>
      <c r="N418" s="28" t="n"/>
      <c r="O418" s="29">
        <f>IF(AND(L418=0,M418=0,N418=0),0,IF(AND(L418=0,M418=0),N418/1,IF(AND(L418=0,N418=0),M418/1,IF(AND(M418=0,N418=0),L418/1,IF(L418=0,FLOOR((M418+N418)/2,0.1),IF(M418=0,(L418+N418)/2,IF(N418=0,(M418+L418)/2,FLOOR(((L418+M418+N418)/3),0.1))))))))</f>
        <v/>
      </c>
      <c r="P418" s="21" t="n"/>
      <c r="Q418" s="21" t="n"/>
      <c r="R418" s="27">
        <f>SUM(P418:Q418)</f>
        <v/>
      </c>
      <c r="S418" s="28" t="n"/>
      <c r="T418" s="28" t="n"/>
      <c r="U418" s="29">
        <f>IF(AND(R418=0,S418=0,T418=0),0,IF(AND(R418=0,S418=0),T418/1,IF(AND(R418=0,T418=0),S418/1,IF(AND(S418=0,T418=0),R418/1,IF(R418=0,FLOOR((S418+T418)/2,0.1),IF(S418=0,(R418+T418)/2,IF(T418=0,(S418+R418)/2,FLOOR(((R418+S418+T418)/3),0.1))))))))</f>
        <v/>
      </c>
      <c r="V418" s="21" t="n"/>
      <c r="W418" s="21" t="n"/>
      <c r="X418" s="27">
        <f>SUM(V418:W418)</f>
        <v/>
      </c>
      <c r="Y418" s="28" t="n"/>
      <c r="Z418" s="28" t="n"/>
      <c r="AA418" s="29">
        <f>IF(AND(X418=0,Y418=0,Z418=0),0,IF(AND(X418=0,Y418=0),Z418/1,IF(AND(X418=0,Z418=0),Y418/1,IF(AND(Y418=0,Z418=0),X418/1,IF(X418=0,FLOOR((Y418+Z418)/2,0.1),IF(Y418=0,(X418+Z418)/2,IF(Z418=0,(Y418+X418)/2,FLOOR(((X418+Y418+Z418)/3),0.1))))))))</f>
        <v/>
      </c>
      <c r="AB418" s="21" t="n"/>
      <c r="AC418" s="21" t="n"/>
      <c r="AD418" s="27">
        <f>SUM(AB418:AC418)</f>
        <v/>
      </c>
      <c r="AE418" s="28" t="n"/>
      <c r="AF418" s="28" t="n"/>
      <c r="AG418" s="29">
        <f>IF(AND(AD418=0,AE418=0,AF418=0),0,IF(AND(AD418=0,AE418=0),AF418/1,IF(AND(AD418=0,AF418=0),AE418/1,IF(AND(AE418=0,AF418=0),AD418/1,IF(AD418=0,FLOOR((AE418+AF418)/2,0.1),IF(AE418=0,(AD418+AF418)/2,IF(AF418=0,(AE418+AD418)/2,FLOOR(((AD418+AE418+AF418)/3),0.1))))))))</f>
        <v/>
      </c>
      <c r="AH418" s="21" t="n"/>
      <c r="AI418" s="21" t="n"/>
      <c r="AJ418" s="27">
        <f>SUM(AH418:AI418)</f>
        <v/>
      </c>
      <c r="AK418" s="28" t="n"/>
      <c r="AL418" s="28" t="n"/>
      <c r="AM418" s="29">
        <f>IF(AND(AJ418=0,AK418=0,AL418=0),0,IF(AND(AJ418=0,AK418=0),AL418/1,IF(AND(AJ418=0,AL418=0),AK418/1,IF(AND(AK418=0,AL418=0),AJ418/1,IF(AJ418=0,FLOOR((AK418+AL418)/2,0.1),IF(AK418=0,(AJ418+AL418)/2,IF(AL418=0,(AK418+AJ418)/2,FLOOR(((AJ418+AK418+AL418)/3),0.1))))))))</f>
        <v/>
      </c>
      <c r="AN418" s="21" t="n"/>
      <c r="AO418" s="21" t="n"/>
      <c r="AP418" s="27">
        <f>SUM(AN418:AO418)</f>
        <v/>
      </c>
      <c r="AQ418" s="28" t="n"/>
      <c r="AR418" s="30" t="n"/>
      <c r="AS418" s="29">
        <f>IF(AND(AP418=0,AQ418=0,AR418=0),0,IF(AND(AP418=0,AQ418=0),AR418/1,IF(AND(AP418=0,AR418=0),AQ418/1,IF(AND(AQ418=0,AR418=0),AP418/1,IF(AP418=0,FLOOR((AQ418+AR418)/2,0.1),IF(AQ418=0,(AP418+AR418)/2,IF(AR418=0,(AQ418+AP418)/2,FLOOR(((AP418+AQ418+AR418)/3),0.1))))))))</f>
        <v/>
      </c>
      <c r="AT418" s="21" t="n"/>
      <c r="AU418" s="21" t="n"/>
      <c r="AV418" s="27">
        <f>SUM(AT418:AU418)</f>
        <v/>
      </c>
      <c r="AW418" s="28" t="n"/>
      <c r="AX418" s="30" t="n"/>
      <c r="AY418" s="29">
        <f>IF(AND(AV418=0,AW418=0,AX418=0),0,IF(AND(AV418=0,AW418=0),AX418/1,IF(AND(AV418=0,AX418=0),AW418/1,IF(AND(AW418=0,AX418=0),AV418/1,IF(AV418=0,FLOOR((AW418+AX418)/2,0.1),IF(AW418=0,(AV418+AX418)/2,IF(AX418=0,(AW418+AV418)/2,FLOOR(((AV418+AW418+AX418)/3),0.1))))))))</f>
        <v/>
      </c>
      <c r="AZ418" s="21" t="n"/>
      <c r="BA418" s="21" t="n"/>
      <c r="BB418" s="27">
        <f>SUM(AZ418:BA418)</f>
        <v/>
      </c>
      <c r="BC418" s="28" t="n"/>
      <c r="BD418" s="28" t="n"/>
      <c r="BE418" s="29">
        <f>IF(AND(BB418=0,BC418=0,BD418=0),0,IF(AND(BB418=0,BC418=0),BD418/1,IF(AND(BB418=0,BD418=0),BC418/1,IF(AND(BC418=0,BD418=0),BB418/1,IF(BB418=0,FLOOR((BC418+BD418)/2,0.1),IF(BC418=0,(BB418+BD418)/2,IF(BD418=0,(BC418+BB418)/2,FLOOR(((BB418+BC418+BD418)/3),0.1))))))))</f>
        <v/>
      </c>
      <c r="BF418" s="21" t="n"/>
      <c r="BG418" s="21" t="n"/>
      <c r="BH418" s="27">
        <f>SUM(BF418:BG418)</f>
        <v/>
      </c>
      <c r="BI418" s="28" t="n"/>
      <c r="BJ418" s="28" t="n"/>
      <c r="BK418" s="29">
        <f>IF(AND(BH418=0,BI418=0,BJ418=0),0,IF(AND(BH418=0,BI418=0),BJ418/1,IF(AND(BH418=0,BJ418=0),BI418/1,IF(AND(BI418=0,BJ418=0),BH418/1,IF(BH418=0,FLOOR((BI418+BJ418)/2,0.1),IF(BI418=0,(BH418+BJ418)/2,IF(BJ418=0,(BI418+BH418)/2,FLOOR(((BH418+BI418+BJ418)/3),0.1))))))))</f>
        <v/>
      </c>
      <c r="BL418" s="21" t="n"/>
      <c r="BM418" s="21" t="n"/>
      <c r="BN418" s="27">
        <f>SUM(BL418:BM418)</f>
        <v/>
      </c>
      <c r="BO418" s="28" t="n"/>
      <c r="BP418" s="31" t="n"/>
      <c r="BQ418" s="29">
        <f>IF(AND(BN418=0,BO418=0,BP418=0),0,IF(AND(BN418=0,BO418=0),BP418/1,IF(AND(BN418=0,BP418=0),BO418/1,IF(AND(BO418=0,BP418=0),BN418/1,IF(BN418=0,FLOOR((BO418+BP418)/2,0.1),IF(BO418=0,(BN418+BP418)/2,IF(BP418=0,(BO418+BN418)/2,FLOOR(((BN418+BO418+BP418)/3),0.1))))))))</f>
        <v/>
      </c>
      <c r="BR418" s="21" t="n"/>
      <c r="BS418" s="21" t="n"/>
      <c r="BT418" s="27">
        <f>SUM(BR418:BS418)</f>
        <v/>
      </c>
      <c r="BU418" s="28" t="n"/>
      <c r="BV418" s="31" t="n"/>
      <c r="BW418" s="29">
        <f>IF(AND(BT418=0,BU418=0,BV418=0),0,IF(AND(BT418=0,BU418=0),BV418/1,IF(AND(BT418=0,BV418=0),BU418/1,IF(AND(BU418=0,BV418=0),BT418/1,IF(BT418=0,FLOOR((BU418+BV418)/2,0.1),IF(BU418=0,(BT418+BV418)/2,IF(BV418=0,(BU418+BT418)/2,FLOOR(((BT418+BU418+BV418)/3),0.1))))))))</f>
        <v/>
      </c>
      <c r="BX418" s="21" t="n"/>
      <c r="BY418" s="21" t="n"/>
      <c r="BZ418" s="27">
        <f>SUM(BX418:BY418)</f>
        <v/>
      </c>
      <c r="CA418" s="28" t="n"/>
      <c r="CB418" s="31" t="n"/>
      <c r="CC418" s="29">
        <f>IF(AND(BZ418=0,CA418=0,CB418=0),0,IF(AND(BZ418=0,CA418=0),CB418/1,IF(AND(BZ418=0,CB418=0),CA418/1,IF(AND(CA418=0,CB418=0),BZ418/1,IF(BZ418=0,FLOOR((CA418+CB418)/2,0.1),IF(CA418=0,(BZ418+CB418)/2,IF(CB418=0,(CA418+BZ418)/2,FLOOR(((BZ418+CA418+CB418)/3),0.1))))))))</f>
        <v/>
      </c>
      <c r="CD418" s="21" t="n"/>
      <c r="CE418" s="21" t="n"/>
      <c r="CF418" s="27">
        <f>SUM(CD418:CE418)</f>
        <v/>
      </c>
      <c r="CG418" s="28" t="n"/>
      <c r="CH418" s="31" t="n"/>
      <c r="CI418" s="29">
        <f>IF(AND(CF418=0,CG418=0,CH418=0),0,IF(AND(CF418=0,CG418=0),CH418/1,IF(AND(CF418=0,CH418=0),CG418/1,IF(AND(CG418=0,CH418=0),CF418/1,IF(CF418=0,FLOOR((CG418+CH418)/2,0.1),IF(CG418=0,(CF418+CH418)/2,IF(CH418=0,(CG418+CF418)/2,FLOOR(((CF418+CG418+CH418)/3),0.1))))))))</f>
        <v/>
      </c>
      <c r="CJ418" s="21" t="n"/>
      <c r="CK418" s="21" t="n"/>
      <c r="CL418" s="27">
        <f>SUM(CJ418:CK418)</f>
        <v/>
      </c>
      <c r="CM418" s="28" t="n"/>
      <c r="CN418" s="31" t="n"/>
      <c r="CO418" s="29">
        <f>IF(AND(CL418=0,CM418=0,CN418=0),0,IF(AND(CL418=0,CM418=0),CN418/1,IF(AND(CL418=0,CN418=0),CM418/1,IF(AND(CM418=0,CN418=0),CL418/1,IF(CL418=0,FLOOR((CM418+CN418)/2,0.1),IF(CM418=0,(CL418+CN418)/2,IF(CN418=0,(CM418+CL418)/2,FLOOR(((CL418+CM418+CN418)/3),0.1))))))))</f>
        <v/>
      </c>
      <c r="CP418" s="21" t="n"/>
      <c r="CQ418" s="21" t="n"/>
      <c r="CR418" s="27">
        <f>SUM(CP418:CQ418)</f>
        <v/>
      </c>
      <c r="CS418" s="28" t="n"/>
      <c r="CT418" s="31" t="n"/>
      <c r="CU418" s="29">
        <f>IF(AND(CR418=0,CS418=0,CT418=0),0,IF(AND(CR418=0,CS418=0),CT418/1,IF(AND(CR418=0,CT418=0),CS418/1,IF(AND(CS418=0,CT418=0),CR418/1,IF(CR418=0,FLOOR((CS418+CT418)/2,0.1),IF(CS418=0,(CR418+CT418)/2,IF(CT418=0,(CS418+CR418)/2,FLOOR(((CR418+CS418+CT418)/3),0.1))))))))</f>
        <v/>
      </c>
      <c r="CV418" s="21" t="n"/>
      <c r="CW418" s="21" t="n"/>
      <c r="CX418" s="27">
        <f>SUM(CV418:CW418)</f>
        <v/>
      </c>
      <c r="CY418" s="28" t="n"/>
      <c r="CZ418" s="31" t="n"/>
      <c r="DA418" s="29">
        <f>IF(AND(CX418=0,CY418=0,CZ418=0),0,IF(AND(CX418=0,CY418=0),CZ418/1,IF(AND(CX418=0,CZ418=0),CY418/1,IF(AND(CY418=0,CZ418=0),CX418/1,IF(CX418=0,FLOOR((CY418+CZ418)/2,0.1),IF(CY418=0,(CX418+CZ418)/2,IF(CZ418=0,(CY418+CX418)/2,FLOOR(((CX418+CY418+CZ418)/3),0.1))))))))</f>
        <v/>
      </c>
      <c r="DB418" s="21" t="n"/>
      <c r="DC418" s="21" t="n"/>
      <c r="DD418" s="27">
        <f>SUM(DB418:DC418)</f>
        <v/>
      </c>
      <c r="DE418" s="28" t="n"/>
      <c r="DF418" s="31" t="n"/>
      <c r="DG418" s="29">
        <f>IF(AND(DD418=0,DE418=0,DF418=0),0,IF(AND(DD418=0,DE418=0),DF418/1,IF(AND(DD418=0,DF418=0),DE418/1,IF(AND(DE418=0,DF418=0),DD418/1,IF(DD418=0,FLOOR((DE418+DF418)/2,0.1),IF(DE418=0,(DD418+DF418)/2,IF(DF418=0,(DE418+DD418)/2,FLOOR(((DD418+DE418+DF418)/3),0.1))))))))</f>
        <v/>
      </c>
      <c r="DH418" s="34">
        <f>SUM(O418,U418,AA418,AG418,AM418,AS418,AY418,BE418,BK418,BQ418,BW418,CC418,CI418,CO418,CU418,DA418,DG418)</f>
        <v/>
      </c>
      <c r="DI418" s="39">
        <f>RANK(DH418,DH$4:DH$503)</f>
        <v/>
      </c>
      <c r="DJ418" s="40" t="inlineStr">
        <is>
          <t>CHOOSE RATING</t>
        </is>
      </c>
      <c r="DK418" s="40" t="inlineStr">
        <is>
          <t>CHOOSE RATING</t>
        </is>
      </c>
      <c r="DL418" s="40" t="inlineStr">
        <is>
          <t>CHOOSE RATING</t>
        </is>
      </c>
      <c r="DM418" s="40" t="inlineStr">
        <is>
          <t>CHOOSE RATING</t>
        </is>
      </c>
      <c r="DN418" s="40" t="inlineStr">
        <is>
          <t>CHOOSE RATING</t>
        </is>
      </c>
      <c r="DO418" s="40" t="inlineStr">
        <is>
          <t>CHOOSE RATING</t>
        </is>
      </c>
      <c r="DP418" s="40" t="inlineStr">
        <is>
          <t>CHOOSE RATING</t>
        </is>
      </c>
      <c r="DQ418" s="40" t="inlineStr">
        <is>
          <t>CHOOSE RATING</t>
        </is>
      </c>
      <c r="DR418" s="43" t="inlineStr">
        <is>
          <t>2024/2025</t>
        </is>
      </c>
      <c r="DS418" s="45" t="inlineStr">
        <is>
          <t>THIRD</t>
        </is>
      </c>
      <c r="DT418" s="40" t="inlineStr">
        <is>
          <t>CHOOSE RATING</t>
        </is>
      </c>
      <c r="DU418" s="40" t="inlineStr">
        <is>
          <t>CHOOSE RATING</t>
        </is>
      </c>
      <c r="DV418" s="40" t="inlineStr">
        <is>
          <t>CHOOSE RATING</t>
        </is>
      </c>
      <c r="DW418" s="40" t="inlineStr">
        <is>
          <t>CHOOSE RATING</t>
        </is>
      </c>
      <c r="DX418" s="40" t="inlineStr">
        <is>
          <t>CHOOSE RATING</t>
        </is>
      </c>
      <c r="DY418" s="40" t="inlineStr">
        <is>
          <t>CHOOSE RATING</t>
        </is>
      </c>
      <c r="DZ418" s="53" t="inlineStr">
        <is>
          <t>CHOOSE RATING</t>
        </is>
      </c>
      <c r="EA418" s="54" t="inlineStr">
        <is>
          <t>Add the Tutor's Comment . . .</t>
        </is>
      </c>
      <c r="EB418" s="55" t="inlineStr">
        <is>
          <t>Choose Principals comment</t>
        </is>
      </c>
      <c r="EC418" s="56" t="n"/>
      <c r="ED418" s="57" t="inlineStr">
        <is>
          <t>Next Term Begins on Monday, 22nd September, 2025</t>
        </is>
      </c>
    </row>
    <row r="419" ht="30.6" customHeight="1" s="6">
      <c r="A419" s="18" t="n">
        <v>416</v>
      </c>
      <c r="B419" s="19" t="n"/>
      <c r="C419" s="20" t="n"/>
      <c r="D419" s="128" t="n"/>
      <c r="E419" s="21" t="n"/>
      <c r="F419" s="22" t="n"/>
      <c r="G419" s="22" t="n"/>
      <c r="H419" s="22" t="n"/>
      <c r="I419" s="26">
        <f>G419-H419</f>
        <v/>
      </c>
      <c r="J419" s="21" t="n"/>
      <c r="K419" s="21" t="n"/>
      <c r="L419" s="27">
        <f>SUM(J419:K419)</f>
        <v/>
      </c>
      <c r="M419" s="28" t="n"/>
      <c r="N419" s="28" t="n"/>
      <c r="O419" s="29">
        <f>IF(AND(L419=0,M419=0,N419=0),0,IF(AND(L419=0,M419=0),N419/1,IF(AND(L419=0,N419=0),M419/1,IF(AND(M419=0,N419=0),L419/1,IF(L419=0,FLOOR((M419+N419)/2,0.1),IF(M419=0,(L419+N419)/2,IF(N419=0,(M419+L419)/2,FLOOR(((L419+M419+N419)/3),0.1))))))))</f>
        <v/>
      </c>
      <c r="P419" s="21" t="n"/>
      <c r="Q419" s="21" t="n"/>
      <c r="R419" s="27">
        <f>SUM(P419:Q419)</f>
        <v/>
      </c>
      <c r="S419" s="28" t="n"/>
      <c r="T419" s="28" t="n"/>
      <c r="U419" s="29">
        <f>IF(AND(R419=0,S419=0,T419=0),0,IF(AND(R419=0,S419=0),T419/1,IF(AND(R419=0,T419=0),S419/1,IF(AND(S419=0,T419=0),R419/1,IF(R419=0,FLOOR((S419+T419)/2,0.1),IF(S419=0,(R419+T419)/2,IF(T419=0,(S419+R419)/2,FLOOR(((R419+S419+T419)/3),0.1))))))))</f>
        <v/>
      </c>
      <c r="V419" s="21" t="n"/>
      <c r="W419" s="21" t="n"/>
      <c r="X419" s="27">
        <f>SUM(V419:W419)</f>
        <v/>
      </c>
      <c r="Y419" s="28" t="n"/>
      <c r="Z419" s="28" t="n"/>
      <c r="AA419" s="29">
        <f>IF(AND(X419=0,Y419=0,Z419=0),0,IF(AND(X419=0,Y419=0),Z419/1,IF(AND(X419=0,Z419=0),Y419/1,IF(AND(Y419=0,Z419=0),X419/1,IF(X419=0,FLOOR((Y419+Z419)/2,0.1),IF(Y419=0,(X419+Z419)/2,IF(Z419=0,(Y419+X419)/2,FLOOR(((X419+Y419+Z419)/3),0.1))))))))</f>
        <v/>
      </c>
      <c r="AB419" s="21" t="n"/>
      <c r="AC419" s="21" t="n"/>
      <c r="AD419" s="27">
        <f>SUM(AB419:AC419)</f>
        <v/>
      </c>
      <c r="AE419" s="28" t="n"/>
      <c r="AF419" s="28" t="n"/>
      <c r="AG419" s="29">
        <f>IF(AND(AD419=0,AE419=0,AF419=0),0,IF(AND(AD419=0,AE419=0),AF419/1,IF(AND(AD419=0,AF419=0),AE419/1,IF(AND(AE419=0,AF419=0),AD419/1,IF(AD419=0,FLOOR((AE419+AF419)/2,0.1),IF(AE419=0,(AD419+AF419)/2,IF(AF419=0,(AE419+AD419)/2,FLOOR(((AD419+AE419+AF419)/3),0.1))))))))</f>
        <v/>
      </c>
      <c r="AH419" s="21" t="n"/>
      <c r="AI419" s="21" t="n"/>
      <c r="AJ419" s="27">
        <f>SUM(AH419:AI419)</f>
        <v/>
      </c>
      <c r="AK419" s="28" t="n"/>
      <c r="AL419" s="28" t="n"/>
      <c r="AM419" s="29">
        <f>IF(AND(AJ419=0,AK419=0,AL419=0),0,IF(AND(AJ419=0,AK419=0),AL419/1,IF(AND(AJ419=0,AL419=0),AK419/1,IF(AND(AK419=0,AL419=0),AJ419/1,IF(AJ419=0,FLOOR((AK419+AL419)/2,0.1),IF(AK419=0,(AJ419+AL419)/2,IF(AL419=0,(AK419+AJ419)/2,FLOOR(((AJ419+AK419+AL419)/3),0.1))))))))</f>
        <v/>
      </c>
      <c r="AN419" s="21" t="n"/>
      <c r="AO419" s="21" t="n"/>
      <c r="AP419" s="27">
        <f>SUM(AN419:AO419)</f>
        <v/>
      </c>
      <c r="AQ419" s="28" t="n"/>
      <c r="AR419" s="30" t="n"/>
      <c r="AS419" s="29">
        <f>IF(AND(AP419=0,AQ419=0,AR419=0),0,IF(AND(AP419=0,AQ419=0),AR419/1,IF(AND(AP419=0,AR419=0),AQ419/1,IF(AND(AQ419=0,AR419=0),AP419/1,IF(AP419=0,FLOOR((AQ419+AR419)/2,0.1),IF(AQ419=0,(AP419+AR419)/2,IF(AR419=0,(AQ419+AP419)/2,FLOOR(((AP419+AQ419+AR419)/3),0.1))))))))</f>
        <v/>
      </c>
      <c r="AT419" s="21" t="n"/>
      <c r="AU419" s="21" t="n"/>
      <c r="AV419" s="27">
        <f>SUM(AT419:AU419)</f>
        <v/>
      </c>
      <c r="AW419" s="28" t="n"/>
      <c r="AX419" s="30" t="n"/>
      <c r="AY419" s="29">
        <f>IF(AND(AV419=0,AW419=0,AX419=0),0,IF(AND(AV419=0,AW419=0),AX419/1,IF(AND(AV419=0,AX419=0),AW419/1,IF(AND(AW419=0,AX419=0),AV419/1,IF(AV419=0,FLOOR((AW419+AX419)/2,0.1),IF(AW419=0,(AV419+AX419)/2,IF(AX419=0,(AW419+AV419)/2,FLOOR(((AV419+AW419+AX419)/3),0.1))))))))</f>
        <v/>
      </c>
      <c r="AZ419" s="21" t="n"/>
      <c r="BA419" s="21" t="n"/>
      <c r="BB419" s="27">
        <f>SUM(AZ419:BA419)</f>
        <v/>
      </c>
      <c r="BC419" s="28" t="n"/>
      <c r="BD419" s="28" t="n"/>
      <c r="BE419" s="29">
        <f>IF(AND(BB419=0,BC419=0,BD419=0),0,IF(AND(BB419=0,BC419=0),BD419/1,IF(AND(BB419=0,BD419=0),BC419/1,IF(AND(BC419=0,BD419=0),BB419/1,IF(BB419=0,FLOOR((BC419+BD419)/2,0.1),IF(BC419=0,(BB419+BD419)/2,IF(BD419=0,(BC419+BB419)/2,FLOOR(((BB419+BC419+BD419)/3),0.1))))))))</f>
        <v/>
      </c>
      <c r="BF419" s="21" t="n"/>
      <c r="BG419" s="21" t="n"/>
      <c r="BH419" s="27">
        <f>SUM(BF419:BG419)</f>
        <v/>
      </c>
      <c r="BI419" s="28" t="n"/>
      <c r="BJ419" s="28" t="n"/>
      <c r="BK419" s="29">
        <f>IF(AND(BH419=0,BI419=0,BJ419=0),0,IF(AND(BH419=0,BI419=0),BJ419/1,IF(AND(BH419=0,BJ419=0),BI419/1,IF(AND(BI419=0,BJ419=0),BH419/1,IF(BH419=0,FLOOR((BI419+BJ419)/2,0.1),IF(BI419=0,(BH419+BJ419)/2,IF(BJ419=0,(BI419+BH419)/2,FLOOR(((BH419+BI419+BJ419)/3),0.1))))))))</f>
        <v/>
      </c>
      <c r="BL419" s="21" t="n"/>
      <c r="BM419" s="21" t="n"/>
      <c r="BN419" s="27">
        <f>SUM(BL419:BM419)</f>
        <v/>
      </c>
      <c r="BO419" s="28" t="n"/>
      <c r="BP419" s="31" t="n"/>
      <c r="BQ419" s="29">
        <f>IF(AND(BN419=0,BO419=0,BP419=0),0,IF(AND(BN419=0,BO419=0),BP419/1,IF(AND(BN419=0,BP419=0),BO419/1,IF(AND(BO419=0,BP419=0),BN419/1,IF(BN419=0,FLOOR((BO419+BP419)/2,0.1),IF(BO419=0,(BN419+BP419)/2,IF(BP419=0,(BO419+BN419)/2,FLOOR(((BN419+BO419+BP419)/3),0.1))))))))</f>
        <v/>
      </c>
      <c r="BR419" s="21" t="n"/>
      <c r="BS419" s="21" t="n"/>
      <c r="BT419" s="27">
        <f>SUM(BR419:BS419)</f>
        <v/>
      </c>
      <c r="BU419" s="28" t="n"/>
      <c r="BV419" s="31" t="n"/>
      <c r="BW419" s="29">
        <f>IF(AND(BT419=0,BU419=0,BV419=0),0,IF(AND(BT419=0,BU419=0),BV419/1,IF(AND(BT419=0,BV419=0),BU419/1,IF(AND(BU419=0,BV419=0),BT419/1,IF(BT419=0,FLOOR((BU419+BV419)/2,0.1),IF(BU419=0,(BT419+BV419)/2,IF(BV419=0,(BU419+BT419)/2,FLOOR(((BT419+BU419+BV419)/3),0.1))))))))</f>
        <v/>
      </c>
      <c r="BX419" s="21" t="n"/>
      <c r="BY419" s="21" t="n"/>
      <c r="BZ419" s="27">
        <f>SUM(BX419:BY419)</f>
        <v/>
      </c>
      <c r="CA419" s="28" t="n"/>
      <c r="CB419" s="31" t="n"/>
      <c r="CC419" s="29">
        <f>IF(AND(BZ419=0,CA419=0,CB419=0),0,IF(AND(BZ419=0,CA419=0),CB419/1,IF(AND(BZ419=0,CB419=0),CA419/1,IF(AND(CA419=0,CB419=0),BZ419/1,IF(BZ419=0,FLOOR((CA419+CB419)/2,0.1),IF(CA419=0,(BZ419+CB419)/2,IF(CB419=0,(CA419+BZ419)/2,FLOOR(((BZ419+CA419+CB419)/3),0.1))))))))</f>
        <v/>
      </c>
      <c r="CD419" s="21" t="n"/>
      <c r="CE419" s="21" t="n"/>
      <c r="CF419" s="27">
        <f>SUM(CD419:CE419)</f>
        <v/>
      </c>
      <c r="CG419" s="28" t="n"/>
      <c r="CH419" s="31" t="n"/>
      <c r="CI419" s="29">
        <f>IF(AND(CF419=0,CG419=0,CH419=0),0,IF(AND(CF419=0,CG419=0),CH419/1,IF(AND(CF419=0,CH419=0),CG419/1,IF(AND(CG419=0,CH419=0),CF419/1,IF(CF419=0,FLOOR((CG419+CH419)/2,0.1),IF(CG419=0,(CF419+CH419)/2,IF(CH419=0,(CG419+CF419)/2,FLOOR(((CF419+CG419+CH419)/3),0.1))))))))</f>
        <v/>
      </c>
      <c r="CJ419" s="21" t="n"/>
      <c r="CK419" s="21" t="n"/>
      <c r="CL419" s="27">
        <f>SUM(CJ419:CK419)</f>
        <v/>
      </c>
      <c r="CM419" s="28" t="n"/>
      <c r="CN419" s="31" t="n"/>
      <c r="CO419" s="29">
        <f>IF(AND(CL419=0,CM419=0,CN419=0),0,IF(AND(CL419=0,CM419=0),CN419/1,IF(AND(CL419=0,CN419=0),CM419/1,IF(AND(CM419=0,CN419=0),CL419/1,IF(CL419=0,FLOOR((CM419+CN419)/2,0.1),IF(CM419=0,(CL419+CN419)/2,IF(CN419=0,(CM419+CL419)/2,FLOOR(((CL419+CM419+CN419)/3),0.1))))))))</f>
        <v/>
      </c>
      <c r="CP419" s="21" t="n"/>
      <c r="CQ419" s="21" t="n"/>
      <c r="CR419" s="27">
        <f>SUM(CP419:CQ419)</f>
        <v/>
      </c>
      <c r="CS419" s="28" t="n"/>
      <c r="CT419" s="31" t="n"/>
      <c r="CU419" s="29">
        <f>IF(AND(CR419=0,CS419=0,CT419=0),0,IF(AND(CR419=0,CS419=0),CT419/1,IF(AND(CR419=0,CT419=0),CS419/1,IF(AND(CS419=0,CT419=0),CR419/1,IF(CR419=0,FLOOR((CS419+CT419)/2,0.1),IF(CS419=0,(CR419+CT419)/2,IF(CT419=0,(CS419+CR419)/2,FLOOR(((CR419+CS419+CT419)/3),0.1))))))))</f>
        <v/>
      </c>
      <c r="CV419" s="21" t="n"/>
      <c r="CW419" s="21" t="n"/>
      <c r="CX419" s="27">
        <f>SUM(CV419:CW419)</f>
        <v/>
      </c>
      <c r="CY419" s="28" t="n"/>
      <c r="CZ419" s="31" t="n"/>
      <c r="DA419" s="29">
        <f>IF(AND(CX419=0,CY419=0,CZ419=0),0,IF(AND(CX419=0,CY419=0),CZ419/1,IF(AND(CX419=0,CZ419=0),CY419/1,IF(AND(CY419=0,CZ419=0),CX419/1,IF(CX419=0,FLOOR((CY419+CZ419)/2,0.1),IF(CY419=0,(CX419+CZ419)/2,IF(CZ419=0,(CY419+CX419)/2,FLOOR(((CX419+CY419+CZ419)/3),0.1))))))))</f>
        <v/>
      </c>
      <c r="DB419" s="21" t="n"/>
      <c r="DC419" s="21" t="n"/>
      <c r="DD419" s="27">
        <f>SUM(DB419:DC419)</f>
        <v/>
      </c>
      <c r="DE419" s="28" t="n"/>
      <c r="DF419" s="31" t="n"/>
      <c r="DG419" s="29">
        <f>IF(AND(DD419=0,DE419=0,DF419=0),0,IF(AND(DD419=0,DE419=0),DF419/1,IF(AND(DD419=0,DF419=0),DE419/1,IF(AND(DE419=0,DF419=0),DD419/1,IF(DD419=0,FLOOR((DE419+DF419)/2,0.1),IF(DE419=0,(DD419+DF419)/2,IF(DF419=0,(DE419+DD419)/2,FLOOR(((DD419+DE419+DF419)/3),0.1))))))))</f>
        <v/>
      </c>
      <c r="DH419" s="34">
        <f>SUM(O419,U419,AA419,AG419,AM419,AS419,AY419,BE419,BK419,BQ419,BW419,CC419,CI419,CO419,CU419,DA419,DG419)</f>
        <v/>
      </c>
      <c r="DI419" s="39">
        <f>RANK(DH419,DH$4:DH$503)</f>
        <v/>
      </c>
      <c r="DJ419" s="40" t="inlineStr">
        <is>
          <t>CHOOSE RATING</t>
        </is>
      </c>
      <c r="DK419" s="40" t="inlineStr">
        <is>
          <t>CHOOSE RATING</t>
        </is>
      </c>
      <c r="DL419" s="40" t="inlineStr">
        <is>
          <t>CHOOSE RATING</t>
        </is>
      </c>
      <c r="DM419" s="40" t="inlineStr">
        <is>
          <t>CHOOSE RATING</t>
        </is>
      </c>
      <c r="DN419" s="40" t="inlineStr">
        <is>
          <t>CHOOSE RATING</t>
        </is>
      </c>
      <c r="DO419" s="40" t="inlineStr">
        <is>
          <t>CHOOSE RATING</t>
        </is>
      </c>
      <c r="DP419" s="40" t="inlineStr">
        <is>
          <t>CHOOSE RATING</t>
        </is>
      </c>
      <c r="DQ419" s="40" t="inlineStr">
        <is>
          <t>CHOOSE RATING</t>
        </is>
      </c>
      <c r="DR419" s="43" t="inlineStr">
        <is>
          <t>2024/2025</t>
        </is>
      </c>
      <c r="DS419" s="45" t="inlineStr">
        <is>
          <t>THIRD</t>
        </is>
      </c>
      <c r="DT419" s="40" t="inlineStr">
        <is>
          <t>CHOOSE RATING</t>
        </is>
      </c>
      <c r="DU419" s="40" t="inlineStr">
        <is>
          <t>CHOOSE RATING</t>
        </is>
      </c>
      <c r="DV419" s="40" t="inlineStr">
        <is>
          <t>CHOOSE RATING</t>
        </is>
      </c>
      <c r="DW419" s="40" t="inlineStr">
        <is>
          <t>CHOOSE RATING</t>
        </is>
      </c>
      <c r="DX419" s="40" t="inlineStr">
        <is>
          <t>CHOOSE RATING</t>
        </is>
      </c>
      <c r="DY419" s="40" t="inlineStr">
        <is>
          <t>CHOOSE RATING</t>
        </is>
      </c>
      <c r="DZ419" s="53" t="inlineStr">
        <is>
          <t>CHOOSE RATING</t>
        </is>
      </c>
      <c r="EA419" s="54" t="inlineStr">
        <is>
          <t>Add the Tutor's Comment . . .</t>
        </is>
      </c>
      <c r="EB419" s="55" t="inlineStr">
        <is>
          <t>Choose Principals comment</t>
        </is>
      </c>
      <c r="EC419" s="56" t="n"/>
      <c r="ED419" s="57" t="inlineStr">
        <is>
          <t>Next Term Begins on Monday, 22nd September, 2025</t>
        </is>
      </c>
    </row>
    <row r="420" ht="30.6" customHeight="1" s="6">
      <c r="A420" s="18" t="n">
        <v>417</v>
      </c>
      <c r="B420" s="19" t="n"/>
      <c r="C420" s="20" t="n"/>
      <c r="D420" s="128" t="n"/>
      <c r="E420" s="21" t="n"/>
      <c r="F420" s="22" t="n"/>
      <c r="G420" s="22" t="n"/>
      <c r="H420" s="22" t="n"/>
      <c r="I420" s="26">
        <f>G420-H420</f>
        <v/>
      </c>
      <c r="J420" s="21" t="n"/>
      <c r="K420" s="21" t="n"/>
      <c r="L420" s="27">
        <f>SUM(J420:K420)</f>
        <v/>
      </c>
      <c r="M420" s="28" t="n"/>
      <c r="N420" s="28" t="n"/>
      <c r="O420" s="29">
        <f>IF(AND(L420=0,M420=0,N420=0),0,IF(AND(L420=0,M420=0),N420/1,IF(AND(L420=0,N420=0),M420/1,IF(AND(M420=0,N420=0),L420/1,IF(L420=0,FLOOR((M420+N420)/2,0.1),IF(M420=0,(L420+N420)/2,IF(N420=0,(M420+L420)/2,FLOOR(((L420+M420+N420)/3),0.1))))))))</f>
        <v/>
      </c>
      <c r="P420" s="21" t="n"/>
      <c r="Q420" s="21" t="n"/>
      <c r="R420" s="27">
        <f>SUM(P420:Q420)</f>
        <v/>
      </c>
      <c r="S420" s="28" t="n"/>
      <c r="T420" s="28" t="n"/>
      <c r="U420" s="29">
        <f>IF(AND(R420=0,S420=0,T420=0),0,IF(AND(R420=0,S420=0),T420/1,IF(AND(R420=0,T420=0),S420/1,IF(AND(S420=0,T420=0),R420/1,IF(R420=0,FLOOR((S420+T420)/2,0.1),IF(S420=0,(R420+T420)/2,IF(T420=0,(S420+R420)/2,FLOOR(((R420+S420+T420)/3),0.1))))))))</f>
        <v/>
      </c>
      <c r="V420" s="21" t="n"/>
      <c r="W420" s="21" t="n"/>
      <c r="X420" s="27">
        <f>SUM(V420:W420)</f>
        <v/>
      </c>
      <c r="Y420" s="28" t="n"/>
      <c r="Z420" s="28" t="n"/>
      <c r="AA420" s="29">
        <f>IF(AND(X420=0,Y420=0,Z420=0),0,IF(AND(X420=0,Y420=0),Z420/1,IF(AND(X420=0,Z420=0),Y420/1,IF(AND(Y420=0,Z420=0),X420/1,IF(X420=0,FLOOR((Y420+Z420)/2,0.1),IF(Y420=0,(X420+Z420)/2,IF(Z420=0,(Y420+X420)/2,FLOOR(((X420+Y420+Z420)/3),0.1))))))))</f>
        <v/>
      </c>
      <c r="AB420" s="21" t="n"/>
      <c r="AC420" s="21" t="n"/>
      <c r="AD420" s="27">
        <f>SUM(AB420:AC420)</f>
        <v/>
      </c>
      <c r="AE420" s="28" t="n"/>
      <c r="AF420" s="28" t="n"/>
      <c r="AG420" s="29">
        <f>IF(AND(AD420=0,AE420=0,AF420=0),0,IF(AND(AD420=0,AE420=0),AF420/1,IF(AND(AD420=0,AF420=0),AE420/1,IF(AND(AE420=0,AF420=0),AD420/1,IF(AD420=0,FLOOR((AE420+AF420)/2,0.1),IF(AE420=0,(AD420+AF420)/2,IF(AF420=0,(AE420+AD420)/2,FLOOR(((AD420+AE420+AF420)/3),0.1))))))))</f>
        <v/>
      </c>
      <c r="AH420" s="21" t="n"/>
      <c r="AI420" s="21" t="n"/>
      <c r="AJ420" s="27">
        <f>SUM(AH420:AI420)</f>
        <v/>
      </c>
      <c r="AK420" s="28" t="n"/>
      <c r="AL420" s="28" t="n"/>
      <c r="AM420" s="29">
        <f>IF(AND(AJ420=0,AK420=0,AL420=0),0,IF(AND(AJ420=0,AK420=0),AL420/1,IF(AND(AJ420=0,AL420=0),AK420/1,IF(AND(AK420=0,AL420=0),AJ420/1,IF(AJ420=0,FLOOR((AK420+AL420)/2,0.1),IF(AK420=0,(AJ420+AL420)/2,IF(AL420=0,(AK420+AJ420)/2,FLOOR(((AJ420+AK420+AL420)/3),0.1))))))))</f>
        <v/>
      </c>
      <c r="AN420" s="21" t="n"/>
      <c r="AO420" s="21" t="n"/>
      <c r="AP420" s="27">
        <f>SUM(AN420:AO420)</f>
        <v/>
      </c>
      <c r="AQ420" s="28" t="n"/>
      <c r="AR420" s="30" t="n"/>
      <c r="AS420" s="29">
        <f>IF(AND(AP420=0,AQ420=0,AR420=0),0,IF(AND(AP420=0,AQ420=0),AR420/1,IF(AND(AP420=0,AR420=0),AQ420/1,IF(AND(AQ420=0,AR420=0),AP420/1,IF(AP420=0,FLOOR((AQ420+AR420)/2,0.1),IF(AQ420=0,(AP420+AR420)/2,IF(AR420=0,(AQ420+AP420)/2,FLOOR(((AP420+AQ420+AR420)/3),0.1))))))))</f>
        <v/>
      </c>
      <c r="AT420" s="21" t="n"/>
      <c r="AU420" s="21" t="n"/>
      <c r="AV420" s="27">
        <f>SUM(AT420:AU420)</f>
        <v/>
      </c>
      <c r="AW420" s="28" t="n"/>
      <c r="AX420" s="30" t="n"/>
      <c r="AY420" s="29">
        <f>IF(AND(AV420=0,AW420=0,AX420=0),0,IF(AND(AV420=0,AW420=0),AX420/1,IF(AND(AV420=0,AX420=0),AW420/1,IF(AND(AW420=0,AX420=0),AV420/1,IF(AV420=0,FLOOR((AW420+AX420)/2,0.1),IF(AW420=0,(AV420+AX420)/2,IF(AX420=0,(AW420+AV420)/2,FLOOR(((AV420+AW420+AX420)/3),0.1))))))))</f>
        <v/>
      </c>
      <c r="AZ420" s="21" t="n"/>
      <c r="BA420" s="21" t="n"/>
      <c r="BB420" s="27">
        <f>SUM(AZ420:BA420)</f>
        <v/>
      </c>
      <c r="BC420" s="28" t="n"/>
      <c r="BD420" s="28" t="n"/>
      <c r="BE420" s="29">
        <f>IF(AND(BB420=0,BC420=0,BD420=0),0,IF(AND(BB420=0,BC420=0),BD420/1,IF(AND(BB420=0,BD420=0),BC420/1,IF(AND(BC420=0,BD420=0),BB420/1,IF(BB420=0,FLOOR((BC420+BD420)/2,0.1),IF(BC420=0,(BB420+BD420)/2,IF(BD420=0,(BC420+BB420)/2,FLOOR(((BB420+BC420+BD420)/3),0.1))))))))</f>
        <v/>
      </c>
      <c r="BF420" s="21" t="n"/>
      <c r="BG420" s="21" t="n"/>
      <c r="BH420" s="27">
        <f>SUM(BF420:BG420)</f>
        <v/>
      </c>
      <c r="BI420" s="28" t="n"/>
      <c r="BJ420" s="28" t="n"/>
      <c r="BK420" s="29">
        <f>IF(AND(BH420=0,BI420=0,BJ420=0),0,IF(AND(BH420=0,BI420=0),BJ420/1,IF(AND(BH420=0,BJ420=0),BI420/1,IF(AND(BI420=0,BJ420=0),BH420/1,IF(BH420=0,FLOOR((BI420+BJ420)/2,0.1),IF(BI420=0,(BH420+BJ420)/2,IF(BJ420=0,(BI420+BH420)/2,FLOOR(((BH420+BI420+BJ420)/3),0.1))))))))</f>
        <v/>
      </c>
      <c r="BL420" s="21" t="n"/>
      <c r="BM420" s="21" t="n"/>
      <c r="BN420" s="27">
        <f>SUM(BL420:BM420)</f>
        <v/>
      </c>
      <c r="BO420" s="28" t="n"/>
      <c r="BP420" s="31" t="n"/>
      <c r="BQ420" s="29">
        <f>IF(AND(BN420=0,BO420=0,BP420=0),0,IF(AND(BN420=0,BO420=0),BP420/1,IF(AND(BN420=0,BP420=0),BO420/1,IF(AND(BO420=0,BP420=0),BN420/1,IF(BN420=0,FLOOR((BO420+BP420)/2,0.1),IF(BO420=0,(BN420+BP420)/2,IF(BP420=0,(BO420+BN420)/2,FLOOR(((BN420+BO420+BP420)/3),0.1))))))))</f>
        <v/>
      </c>
      <c r="BR420" s="21" t="n"/>
      <c r="BS420" s="21" t="n"/>
      <c r="BT420" s="27">
        <f>SUM(BR420:BS420)</f>
        <v/>
      </c>
      <c r="BU420" s="28" t="n"/>
      <c r="BV420" s="31" t="n"/>
      <c r="BW420" s="29">
        <f>IF(AND(BT420=0,BU420=0,BV420=0),0,IF(AND(BT420=0,BU420=0),BV420/1,IF(AND(BT420=0,BV420=0),BU420/1,IF(AND(BU420=0,BV420=0),BT420/1,IF(BT420=0,FLOOR((BU420+BV420)/2,0.1),IF(BU420=0,(BT420+BV420)/2,IF(BV420=0,(BU420+BT420)/2,FLOOR(((BT420+BU420+BV420)/3),0.1))))))))</f>
        <v/>
      </c>
      <c r="BX420" s="21" t="n"/>
      <c r="BY420" s="21" t="n"/>
      <c r="BZ420" s="27">
        <f>SUM(BX420:BY420)</f>
        <v/>
      </c>
      <c r="CA420" s="28" t="n"/>
      <c r="CB420" s="31" t="n"/>
      <c r="CC420" s="29">
        <f>IF(AND(BZ420=0,CA420=0,CB420=0),0,IF(AND(BZ420=0,CA420=0),CB420/1,IF(AND(BZ420=0,CB420=0),CA420/1,IF(AND(CA420=0,CB420=0),BZ420/1,IF(BZ420=0,FLOOR((CA420+CB420)/2,0.1),IF(CA420=0,(BZ420+CB420)/2,IF(CB420=0,(CA420+BZ420)/2,FLOOR(((BZ420+CA420+CB420)/3),0.1))))))))</f>
        <v/>
      </c>
      <c r="CD420" s="21" t="n"/>
      <c r="CE420" s="21" t="n"/>
      <c r="CF420" s="27">
        <f>SUM(CD420:CE420)</f>
        <v/>
      </c>
      <c r="CG420" s="28" t="n"/>
      <c r="CH420" s="31" t="n"/>
      <c r="CI420" s="29">
        <f>IF(AND(CF420=0,CG420=0,CH420=0),0,IF(AND(CF420=0,CG420=0),CH420/1,IF(AND(CF420=0,CH420=0),CG420/1,IF(AND(CG420=0,CH420=0),CF420/1,IF(CF420=0,FLOOR((CG420+CH420)/2,0.1),IF(CG420=0,(CF420+CH420)/2,IF(CH420=0,(CG420+CF420)/2,FLOOR(((CF420+CG420+CH420)/3),0.1))))))))</f>
        <v/>
      </c>
      <c r="CJ420" s="21" t="n"/>
      <c r="CK420" s="21" t="n"/>
      <c r="CL420" s="27">
        <f>SUM(CJ420:CK420)</f>
        <v/>
      </c>
      <c r="CM420" s="28" t="n"/>
      <c r="CN420" s="31" t="n"/>
      <c r="CO420" s="29">
        <f>IF(AND(CL420=0,CM420=0,CN420=0),0,IF(AND(CL420=0,CM420=0),CN420/1,IF(AND(CL420=0,CN420=0),CM420/1,IF(AND(CM420=0,CN420=0),CL420/1,IF(CL420=0,FLOOR((CM420+CN420)/2,0.1),IF(CM420=0,(CL420+CN420)/2,IF(CN420=0,(CM420+CL420)/2,FLOOR(((CL420+CM420+CN420)/3),0.1))))))))</f>
        <v/>
      </c>
      <c r="CP420" s="21" t="n"/>
      <c r="CQ420" s="21" t="n"/>
      <c r="CR420" s="27">
        <f>SUM(CP420:CQ420)</f>
        <v/>
      </c>
      <c r="CS420" s="28" t="n"/>
      <c r="CT420" s="31" t="n"/>
      <c r="CU420" s="29">
        <f>IF(AND(CR420=0,CS420=0,CT420=0),0,IF(AND(CR420=0,CS420=0),CT420/1,IF(AND(CR420=0,CT420=0),CS420/1,IF(AND(CS420=0,CT420=0),CR420/1,IF(CR420=0,FLOOR((CS420+CT420)/2,0.1),IF(CS420=0,(CR420+CT420)/2,IF(CT420=0,(CS420+CR420)/2,FLOOR(((CR420+CS420+CT420)/3),0.1))))))))</f>
        <v/>
      </c>
      <c r="CV420" s="21" t="n"/>
      <c r="CW420" s="21" t="n"/>
      <c r="CX420" s="27">
        <f>SUM(CV420:CW420)</f>
        <v/>
      </c>
      <c r="CY420" s="28" t="n"/>
      <c r="CZ420" s="31" t="n"/>
      <c r="DA420" s="29">
        <f>IF(AND(CX420=0,CY420=0,CZ420=0),0,IF(AND(CX420=0,CY420=0),CZ420/1,IF(AND(CX420=0,CZ420=0),CY420/1,IF(AND(CY420=0,CZ420=0),CX420/1,IF(CX420=0,FLOOR((CY420+CZ420)/2,0.1),IF(CY420=0,(CX420+CZ420)/2,IF(CZ420=0,(CY420+CX420)/2,FLOOR(((CX420+CY420+CZ420)/3),0.1))))))))</f>
        <v/>
      </c>
      <c r="DB420" s="21" t="n"/>
      <c r="DC420" s="21" t="n"/>
      <c r="DD420" s="27">
        <f>SUM(DB420:DC420)</f>
        <v/>
      </c>
      <c r="DE420" s="28" t="n"/>
      <c r="DF420" s="31" t="n"/>
      <c r="DG420" s="29">
        <f>IF(AND(DD420=0,DE420=0,DF420=0),0,IF(AND(DD420=0,DE420=0),DF420/1,IF(AND(DD420=0,DF420=0),DE420/1,IF(AND(DE420=0,DF420=0),DD420/1,IF(DD420=0,FLOOR((DE420+DF420)/2,0.1),IF(DE420=0,(DD420+DF420)/2,IF(DF420=0,(DE420+DD420)/2,FLOOR(((DD420+DE420+DF420)/3),0.1))))))))</f>
        <v/>
      </c>
      <c r="DH420" s="34">
        <f>SUM(O420,U420,AA420,AG420,AM420,AS420,AY420,BE420,BK420,BQ420,BW420,CC420,CI420,CO420,CU420,DA420,DG420)</f>
        <v/>
      </c>
      <c r="DI420" s="39">
        <f>RANK(DH420,DH$4:DH$503)</f>
        <v/>
      </c>
      <c r="DJ420" s="40" t="inlineStr">
        <is>
          <t>CHOOSE RATING</t>
        </is>
      </c>
      <c r="DK420" s="40" t="inlineStr">
        <is>
          <t>CHOOSE RATING</t>
        </is>
      </c>
      <c r="DL420" s="40" t="inlineStr">
        <is>
          <t>CHOOSE RATING</t>
        </is>
      </c>
      <c r="DM420" s="40" t="inlineStr">
        <is>
          <t>CHOOSE RATING</t>
        </is>
      </c>
      <c r="DN420" s="40" t="inlineStr">
        <is>
          <t>CHOOSE RATING</t>
        </is>
      </c>
      <c r="DO420" s="40" t="inlineStr">
        <is>
          <t>CHOOSE RATING</t>
        </is>
      </c>
      <c r="DP420" s="40" t="inlineStr">
        <is>
          <t>CHOOSE RATING</t>
        </is>
      </c>
      <c r="DQ420" s="40" t="inlineStr">
        <is>
          <t>CHOOSE RATING</t>
        </is>
      </c>
      <c r="DR420" s="43" t="inlineStr">
        <is>
          <t>2024/2025</t>
        </is>
      </c>
      <c r="DS420" s="45" t="inlineStr">
        <is>
          <t>THIRD</t>
        </is>
      </c>
      <c r="DT420" s="40" t="inlineStr">
        <is>
          <t>CHOOSE RATING</t>
        </is>
      </c>
      <c r="DU420" s="40" t="inlineStr">
        <is>
          <t>CHOOSE RATING</t>
        </is>
      </c>
      <c r="DV420" s="40" t="inlineStr">
        <is>
          <t>CHOOSE RATING</t>
        </is>
      </c>
      <c r="DW420" s="40" t="inlineStr">
        <is>
          <t>CHOOSE RATING</t>
        </is>
      </c>
      <c r="DX420" s="40" t="inlineStr">
        <is>
          <t>CHOOSE RATING</t>
        </is>
      </c>
      <c r="DY420" s="40" t="inlineStr">
        <is>
          <t>CHOOSE RATING</t>
        </is>
      </c>
      <c r="DZ420" s="53" t="inlineStr">
        <is>
          <t>CHOOSE RATING</t>
        </is>
      </c>
      <c r="EA420" s="54" t="inlineStr">
        <is>
          <t>Add the Tutor's Comment . . .</t>
        </is>
      </c>
      <c r="EB420" s="55" t="inlineStr">
        <is>
          <t>Choose Principals comment</t>
        </is>
      </c>
      <c r="EC420" s="56" t="n"/>
      <c r="ED420" s="57" t="inlineStr">
        <is>
          <t>Next Term Begins on Monday, 22nd September, 2025</t>
        </is>
      </c>
    </row>
    <row r="421" ht="30.6" customHeight="1" s="6">
      <c r="A421" s="18" t="n">
        <v>418</v>
      </c>
      <c r="B421" s="19" t="n"/>
      <c r="C421" s="20" t="n"/>
      <c r="D421" s="128" t="n"/>
      <c r="E421" s="21" t="n"/>
      <c r="F421" s="22" t="n"/>
      <c r="G421" s="22" t="n"/>
      <c r="H421" s="22" t="n"/>
      <c r="I421" s="26">
        <f>G421-H421</f>
        <v/>
      </c>
      <c r="J421" s="21" t="n"/>
      <c r="K421" s="21" t="n"/>
      <c r="L421" s="27">
        <f>SUM(J421:K421)</f>
        <v/>
      </c>
      <c r="M421" s="28" t="n"/>
      <c r="N421" s="28" t="n"/>
      <c r="O421" s="29">
        <f>IF(AND(L421=0,M421=0,N421=0),0,IF(AND(L421=0,M421=0),N421/1,IF(AND(L421=0,N421=0),M421/1,IF(AND(M421=0,N421=0),L421/1,IF(L421=0,FLOOR((M421+N421)/2,0.1),IF(M421=0,(L421+N421)/2,IF(N421=0,(M421+L421)/2,FLOOR(((L421+M421+N421)/3),0.1))))))))</f>
        <v/>
      </c>
      <c r="P421" s="21" t="n"/>
      <c r="Q421" s="21" t="n"/>
      <c r="R421" s="27">
        <f>SUM(P421:Q421)</f>
        <v/>
      </c>
      <c r="S421" s="28" t="n"/>
      <c r="T421" s="28" t="n"/>
      <c r="U421" s="29">
        <f>IF(AND(R421=0,S421=0,T421=0),0,IF(AND(R421=0,S421=0),T421/1,IF(AND(R421=0,T421=0),S421/1,IF(AND(S421=0,T421=0),R421/1,IF(R421=0,FLOOR((S421+T421)/2,0.1),IF(S421=0,(R421+T421)/2,IF(T421=0,(S421+R421)/2,FLOOR(((R421+S421+T421)/3),0.1))))))))</f>
        <v/>
      </c>
      <c r="V421" s="21" t="n"/>
      <c r="W421" s="21" t="n"/>
      <c r="X421" s="27">
        <f>SUM(V421:W421)</f>
        <v/>
      </c>
      <c r="Y421" s="28" t="n"/>
      <c r="Z421" s="28" t="n"/>
      <c r="AA421" s="29">
        <f>IF(AND(X421=0,Y421=0,Z421=0),0,IF(AND(X421=0,Y421=0),Z421/1,IF(AND(X421=0,Z421=0),Y421/1,IF(AND(Y421=0,Z421=0),X421/1,IF(X421=0,FLOOR((Y421+Z421)/2,0.1),IF(Y421=0,(X421+Z421)/2,IF(Z421=0,(Y421+X421)/2,FLOOR(((X421+Y421+Z421)/3),0.1))))))))</f>
        <v/>
      </c>
      <c r="AB421" s="21" t="n"/>
      <c r="AC421" s="21" t="n"/>
      <c r="AD421" s="27">
        <f>SUM(AB421:AC421)</f>
        <v/>
      </c>
      <c r="AE421" s="28" t="n"/>
      <c r="AF421" s="28" t="n"/>
      <c r="AG421" s="29">
        <f>IF(AND(AD421=0,AE421=0,AF421=0),0,IF(AND(AD421=0,AE421=0),AF421/1,IF(AND(AD421=0,AF421=0),AE421/1,IF(AND(AE421=0,AF421=0),AD421/1,IF(AD421=0,FLOOR((AE421+AF421)/2,0.1),IF(AE421=0,(AD421+AF421)/2,IF(AF421=0,(AE421+AD421)/2,FLOOR(((AD421+AE421+AF421)/3),0.1))))))))</f>
        <v/>
      </c>
      <c r="AH421" s="21" t="n"/>
      <c r="AI421" s="21" t="n"/>
      <c r="AJ421" s="27">
        <f>SUM(AH421:AI421)</f>
        <v/>
      </c>
      <c r="AK421" s="28" t="n"/>
      <c r="AL421" s="28" t="n"/>
      <c r="AM421" s="29">
        <f>IF(AND(AJ421=0,AK421=0,AL421=0),0,IF(AND(AJ421=0,AK421=0),AL421/1,IF(AND(AJ421=0,AL421=0),AK421/1,IF(AND(AK421=0,AL421=0),AJ421/1,IF(AJ421=0,FLOOR((AK421+AL421)/2,0.1),IF(AK421=0,(AJ421+AL421)/2,IF(AL421=0,(AK421+AJ421)/2,FLOOR(((AJ421+AK421+AL421)/3),0.1))))))))</f>
        <v/>
      </c>
      <c r="AN421" s="21" t="n"/>
      <c r="AO421" s="21" t="n"/>
      <c r="AP421" s="27">
        <f>SUM(AN421:AO421)</f>
        <v/>
      </c>
      <c r="AQ421" s="28" t="n"/>
      <c r="AR421" s="30" t="n"/>
      <c r="AS421" s="29">
        <f>IF(AND(AP421=0,AQ421=0,AR421=0),0,IF(AND(AP421=0,AQ421=0),AR421/1,IF(AND(AP421=0,AR421=0),AQ421/1,IF(AND(AQ421=0,AR421=0),AP421/1,IF(AP421=0,FLOOR((AQ421+AR421)/2,0.1),IF(AQ421=0,(AP421+AR421)/2,IF(AR421=0,(AQ421+AP421)/2,FLOOR(((AP421+AQ421+AR421)/3),0.1))))))))</f>
        <v/>
      </c>
      <c r="AT421" s="21" t="n"/>
      <c r="AU421" s="21" t="n"/>
      <c r="AV421" s="27">
        <f>SUM(AT421:AU421)</f>
        <v/>
      </c>
      <c r="AW421" s="28" t="n"/>
      <c r="AX421" s="30" t="n"/>
      <c r="AY421" s="29">
        <f>IF(AND(AV421=0,AW421=0,AX421=0),0,IF(AND(AV421=0,AW421=0),AX421/1,IF(AND(AV421=0,AX421=0),AW421/1,IF(AND(AW421=0,AX421=0),AV421/1,IF(AV421=0,FLOOR((AW421+AX421)/2,0.1),IF(AW421=0,(AV421+AX421)/2,IF(AX421=0,(AW421+AV421)/2,FLOOR(((AV421+AW421+AX421)/3),0.1))))))))</f>
        <v/>
      </c>
      <c r="AZ421" s="21" t="n"/>
      <c r="BA421" s="21" t="n"/>
      <c r="BB421" s="27">
        <f>SUM(AZ421:BA421)</f>
        <v/>
      </c>
      <c r="BC421" s="28" t="n"/>
      <c r="BD421" s="28" t="n"/>
      <c r="BE421" s="29">
        <f>IF(AND(BB421=0,BC421=0,BD421=0),0,IF(AND(BB421=0,BC421=0),BD421/1,IF(AND(BB421=0,BD421=0),BC421/1,IF(AND(BC421=0,BD421=0),BB421/1,IF(BB421=0,FLOOR((BC421+BD421)/2,0.1),IF(BC421=0,(BB421+BD421)/2,IF(BD421=0,(BC421+BB421)/2,FLOOR(((BB421+BC421+BD421)/3),0.1))))))))</f>
        <v/>
      </c>
      <c r="BF421" s="21" t="n"/>
      <c r="BG421" s="21" t="n"/>
      <c r="BH421" s="27">
        <f>SUM(BF421:BG421)</f>
        <v/>
      </c>
      <c r="BI421" s="28" t="n"/>
      <c r="BJ421" s="28" t="n"/>
      <c r="BK421" s="29">
        <f>IF(AND(BH421=0,BI421=0,BJ421=0),0,IF(AND(BH421=0,BI421=0),BJ421/1,IF(AND(BH421=0,BJ421=0),BI421/1,IF(AND(BI421=0,BJ421=0),BH421/1,IF(BH421=0,FLOOR((BI421+BJ421)/2,0.1),IF(BI421=0,(BH421+BJ421)/2,IF(BJ421=0,(BI421+BH421)/2,FLOOR(((BH421+BI421+BJ421)/3),0.1))))))))</f>
        <v/>
      </c>
      <c r="BL421" s="21" t="n"/>
      <c r="BM421" s="21" t="n"/>
      <c r="BN421" s="27">
        <f>SUM(BL421:BM421)</f>
        <v/>
      </c>
      <c r="BO421" s="28" t="n"/>
      <c r="BP421" s="31" t="n"/>
      <c r="BQ421" s="29">
        <f>IF(AND(BN421=0,BO421=0,BP421=0),0,IF(AND(BN421=0,BO421=0),BP421/1,IF(AND(BN421=0,BP421=0),BO421/1,IF(AND(BO421=0,BP421=0),BN421/1,IF(BN421=0,FLOOR((BO421+BP421)/2,0.1),IF(BO421=0,(BN421+BP421)/2,IF(BP421=0,(BO421+BN421)/2,FLOOR(((BN421+BO421+BP421)/3),0.1))))))))</f>
        <v/>
      </c>
      <c r="BR421" s="21" t="n"/>
      <c r="BS421" s="21" t="n"/>
      <c r="BT421" s="27">
        <f>SUM(BR421:BS421)</f>
        <v/>
      </c>
      <c r="BU421" s="28" t="n"/>
      <c r="BV421" s="31" t="n"/>
      <c r="BW421" s="29">
        <f>IF(AND(BT421=0,BU421=0,BV421=0),0,IF(AND(BT421=0,BU421=0),BV421/1,IF(AND(BT421=0,BV421=0),BU421/1,IF(AND(BU421=0,BV421=0),BT421/1,IF(BT421=0,FLOOR((BU421+BV421)/2,0.1),IF(BU421=0,(BT421+BV421)/2,IF(BV421=0,(BU421+BT421)/2,FLOOR(((BT421+BU421+BV421)/3),0.1))))))))</f>
        <v/>
      </c>
      <c r="BX421" s="21" t="n"/>
      <c r="BY421" s="21" t="n"/>
      <c r="BZ421" s="27">
        <f>SUM(BX421:BY421)</f>
        <v/>
      </c>
      <c r="CA421" s="28" t="n"/>
      <c r="CB421" s="31" t="n"/>
      <c r="CC421" s="29">
        <f>IF(AND(BZ421=0,CA421=0,CB421=0),0,IF(AND(BZ421=0,CA421=0),CB421/1,IF(AND(BZ421=0,CB421=0),CA421/1,IF(AND(CA421=0,CB421=0),BZ421/1,IF(BZ421=0,FLOOR((CA421+CB421)/2,0.1),IF(CA421=0,(BZ421+CB421)/2,IF(CB421=0,(CA421+BZ421)/2,FLOOR(((BZ421+CA421+CB421)/3),0.1))))))))</f>
        <v/>
      </c>
      <c r="CD421" s="21" t="n"/>
      <c r="CE421" s="21" t="n"/>
      <c r="CF421" s="27">
        <f>SUM(CD421:CE421)</f>
        <v/>
      </c>
      <c r="CG421" s="28" t="n"/>
      <c r="CH421" s="31" t="n"/>
      <c r="CI421" s="29">
        <f>IF(AND(CF421=0,CG421=0,CH421=0),0,IF(AND(CF421=0,CG421=0),CH421/1,IF(AND(CF421=0,CH421=0),CG421/1,IF(AND(CG421=0,CH421=0),CF421/1,IF(CF421=0,FLOOR((CG421+CH421)/2,0.1),IF(CG421=0,(CF421+CH421)/2,IF(CH421=0,(CG421+CF421)/2,FLOOR(((CF421+CG421+CH421)/3),0.1))))))))</f>
        <v/>
      </c>
      <c r="CJ421" s="21" t="n"/>
      <c r="CK421" s="21" t="n"/>
      <c r="CL421" s="27">
        <f>SUM(CJ421:CK421)</f>
        <v/>
      </c>
      <c r="CM421" s="28" t="n"/>
      <c r="CN421" s="31" t="n"/>
      <c r="CO421" s="29">
        <f>IF(AND(CL421=0,CM421=0,CN421=0),0,IF(AND(CL421=0,CM421=0),CN421/1,IF(AND(CL421=0,CN421=0),CM421/1,IF(AND(CM421=0,CN421=0),CL421/1,IF(CL421=0,FLOOR((CM421+CN421)/2,0.1),IF(CM421=0,(CL421+CN421)/2,IF(CN421=0,(CM421+CL421)/2,FLOOR(((CL421+CM421+CN421)/3),0.1))))))))</f>
        <v/>
      </c>
      <c r="CP421" s="21" t="n"/>
      <c r="CQ421" s="21" t="n"/>
      <c r="CR421" s="27">
        <f>SUM(CP421:CQ421)</f>
        <v/>
      </c>
      <c r="CS421" s="28" t="n"/>
      <c r="CT421" s="31" t="n"/>
      <c r="CU421" s="29">
        <f>IF(AND(CR421=0,CS421=0,CT421=0),0,IF(AND(CR421=0,CS421=0),CT421/1,IF(AND(CR421=0,CT421=0),CS421/1,IF(AND(CS421=0,CT421=0),CR421/1,IF(CR421=0,FLOOR((CS421+CT421)/2,0.1),IF(CS421=0,(CR421+CT421)/2,IF(CT421=0,(CS421+CR421)/2,FLOOR(((CR421+CS421+CT421)/3),0.1))))))))</f>
        <v/>
      </c>
      <c r="CV421" s="21" t="n"/>
      <c r="CW421" s="21" t="n"/>
      <c r="CX421" s="27">
        <f>SUM(CV421:CW421)</f>
        <v/>
      </c>
      <c r="CY421" s="28" t="n"/>
      <c r="CZ421" s="31" t="n"/>
      <c r="DA421" s="29">
        <f>IF(AND(CX421=0,CY421=0,CZ421=0),0,IF(AND(CX421=0,CY421=0),CZ421/1,IF(AND(CX421=0,CZ421=0),CY421/1,IF(AND(CY421=0,CZ421=0),CX421/1,IF(CX421=0,FLOOR((CY421+CZ421)/2,0.1),IF(CY421=0,(CX421+CZ421)/2,IF(CZ421=0,(CY421+CX421)/2,FLOOR(((CX421+CY421+CZ421)/3),0.1))))))))</f>
        <v/>
      </c>
      <c r="DB421" s="21" t="n"/>
      <c r="DC421" s="21" t="n"/>
      <c r="DD421" s="27">
        <f>SUM(DB421:DC421)</f>
        <v/>
      </c>
      <c r="DE421" s="28" t="n"/>
      <c r="DF421" s="31" t="n"/>
      <c r="DG421" s="29">
        <f>IF(AND(DD421=0,DE421=0,DF421=0),0,IF(AND(DD421=0,DE421=0),DF421/1,IF(AND(DD421=0,DF421=0),DE421/1,IF(AND(DE421=0,DF421=0),DD421/1,IF(DD421=0,FLOOR((DE421+DF421)/2,0.1),IF(DE421=0,(DD421+DF421)/2,IF(DF421=0,(DE421+DD421)/2,FLOOR(((DD421+DE421+DF421)/3),0.1))))))))</f>
        <v/>
      </c>
      <c r="DH421" s="34">
        <f>SUM(O421,U421,AA421,AG421,AM421,AS421,AY421,BE421,BK421,BQ421,BW421,CC421,CI421,CO421,CU421,DA421,DG421)</f>
        <v/>
      </c>
      <c r="DI421" s="39">
        <f>RANK(DH421,DH$4:DH$503)</f>
        <v/>
      </c>
      <c r="DJ421" s="40" t="inlineStr">
        <is>
          <t>CHOOSE RATING</t>
        </is>
      </c>
      <c r="DK421" s="40" t="inlineStr">
        <is>
          <t>CHOOSE RATING</t>
        </is>
      </c>
      <c r="DL421" s="40" t="inlineStr">
        <is>
          <t>CHOOSE RATING</t>
        </is>
      </c>
      <c r="DM421" s="40" t="inlineStr">
        <is>
          <t>CHOOSE RATING</t>
        </is>
      </c>
      <c r="DN421" s="40" t="inlineStr">
        <is>
          <t>CHOOSE RATING</t>
        </is>
      </c>
      <c r="DO421" s="40" t="inlineStr">
        <is>
          <t>CHOOSE RATING</t>
        </is>
      </c>
      <c r="DP421" s="40" t="inlineStr">
        <is>
          <t>CHOOSE RATING</t>
        </is>
      </c>
      <c r="DQ421" s="40" t="inlineStr">
        <is>
          <t>CHOOSE RATING</t>
        </is>
      </c>
      <c r="DR421" s="43" t="inlineStr">
        <is>
          <t>2024/2025</t>
        </is>
      </c>
      <c r="DS421" s="45" t="inlineStr">
        <is>
          <t>THIRD</t>
        </is>
      </c>
      <c r="DT421" s="40" t="inlineStr">
        <is>
          <t>CHOOSE RATING</t>
        </is>
      </c>
      <c r="DU421" s="40" t="inlineStr">
        <is>
          <t>CHOOSE RATING</t>
        </is>
      </c>
      <c r="DV421" s="40" t="inlineStr">
        <is>
          <t>CHOOSE RATING</t>
        </is>
      </c>
      <c r="DW421" s="40" t="inlineStr">
        <is>
          <t>CHOOSE RATING</t>
        </is>
      </c>
      <c r="DX421" s="40" t="inlineStr">
        <is>
          <t>CHOOSE RATING</t>
        </is>
      </c>
      <c r="DY421" s="40" t="inlineStr">
        <is>
          <t>CHOOSE RATING</t>
        </is>
      </c>
      <c r="DZ421" s="53" t="inlineStr">
        <is>
          <t>CHOOSE RATING</t>
        </is>
      </c>
      <c r="EA421" s="54" t="inlineStr">
        <is>
          <t>Add the Tutor's Comment . . .</t>
        </is>
      </c>
      <c r="EB421" s="55" t="inlineStr">
        <is>
          <t>Choose Principals comment</t>
        </is>
      </c>
      <c r="EC421" s="56" t="n"/>
      <c r="ED421" s="57" t="inlineStr">
        <is>
          <t>Next Term Begins on Monday, 22nd September, 2025</t>
        </is>
      </c>
    </row>
    <row r="422" ht="30.6" customHeight="1" s="6">
      <c r="A422" s="18" t="n">
        <v>419</v>
      </c>
      <c r="B422" s="19" t="n"/>
      <c r="C422" s="20" t="n"/>
      <c r="D422" s="128" t="n"/>
      <c r="E422" s="21" t="n"/>
      <c r="F422" s="22" t="n"/>
      <c r="G422" s="22" t="n"/>
      <c r="H422" s="22" t="n"/>
      <c r="I422" s="26">
        <f>G422-H422</f>
        <v/>
      </c>
      <c r="J422" s="21" t="n"/>
      <c r="K422" s="21" t="n"/>
      <c r="L422" s="27">
        <f>SUM(J422:K422)</f>
        <v/>
      </c>
      <c r="M422" s="28" t="n"/>
      <c r="N422" s="28" t="n"/>
      <c r="O422" s="29">
        <f>IF(AND(L422=0,M422=0,N422=0),0,IF(AND(L422=0,M422=0),N422/1,IF(AND(L422=0,N422=0),M422/1,IF(AND(M422=0,N422=0),L422/1,IF(L422=0,FLOOR((M422+N422)/2,0.1),IF(M422=0,(L422+N422)/2,IF(N422=0,(M422+L422)/2,FLOOR(((L422+M422+N422)/3),0.1))))))))</f>
        <v/>
      </c>
      <c r="P422" s="21" t="n"/>
      <c r="Q422" s="21" t="n"/>
      <c r="R422" s="27">
        <f>SUM(P422:Q422)</f>
        <v/>
      </c>
      <c r="S422" s="28" t="n"/>
      <c r="T422" s="28" t="n"/>
      <c r="U422" s="29">
        <f>IF(AND(R422=0,S422=0,T422=0),0,IF(AND(R422=0,S422=0),T422/1,IF(AND(R422=0,T422=0),S422/1,IF(AND(S422=0,T422=0),R422/1,IF(R422=0,FLOOR((S422+T422)/2,0.1),IF(S422=0,(R422+T422)/2,IF(T422=0,(S422+R422)/2,FLOOR(((R422+S422+T422)/3),0.1))))))))</f>
        <v/>
      </c>
      <c r="V422" s="21" t="n"/>
      <c r="W422" s="21" t="n"/>
      <c r="X422" s="27">
        <f>SUM(V422:W422)</f>
        <v/>
      </c>
      <c r="Y422" s="28" t="n"/>
      <c r="Z422" s="28" t="n"/>
      <c r="AA422" s="29">
        <f>IF(AND(X422=0,Y422=0,Z422=0),0,IF(AND(X422=0,Y422=0),Z422/1,IF(AND(X422=0,Z422=0),Y422/1,IF(AND(Y422=0,Z422=0),X422/1,IF(X422=0,FLOOR((Y422+Z422)/2,0.1),IF(Y422=0,(X422+Z422)/2,IF(Z422=0,(Y422+X422)/2,FLOOR(((X422+Y422+Z422)/3),0.1))))))))</f>
        <v/>
      </c>
      <c r="AB422" s="21" t="n"/>
      <c r="AC422" s="21" t="n"/>
      <c r="AD422" s="27">
        <f>SUM(AB422:AC422)</f>
        <v/>
      </c>
      <c r="AE422" s="28" t="n"/>
      <c r="AF422" s="28" t="n"/>
      <c r="AG422" s="29">
        <f>IF(AND(AD422=0,AE422=0,AF422=0),0,IF(AND(AD422=0,AE422=0),AF422/1,IF(AND(AD422=0,AF422=0),AE422/1,IF(AND(AE422=0,AF422=0),AD422/1,IF(AD422=0,FLOOR((AE422+AF422)/2,0.1),IF(AE422=0,(AD422+AF422)/2,IF(AF422=0,(AE422+AD422)/2,FLOOR(((AD422+AE422+AF422)/3),0.1))))))))</f>
        <v/>
      </c>
      <c r="AH422" s="21" t="n"/>
      <c r="AI422" s="21" t="n"/>
      <c r="AJ422" s="27">
        <f>SUM(AH422:AI422)</f>
        <v/>
      </c>
      <c r="AK422" s="28" t="n"/>
      <c r="AL422" s="28" t="n"/>
      <c r="AM422" s="29">
        <f>IF(AND(AJ422=0,AK422=0,AL422=0),0,IF(AND(AJ422=0,AK422=0),AL422/1,IF(AND(AJ422=0,AL422=0),AK422/1,IF(AND(AK422=0,AL422=0),AJ422/1,IF(AJ422=0,FLOOR((AK422+AL422)/2,0.1),IF(AK422=0,(AJ422+AL422)/2,IF(AL422=0,(AK422+AJ422)/2,FLOOR(((AJ422+AK422+AL422)/3),0.1))))))))</f>
        <v/>
      </c>
      <c r="AN422" s="21" t="n"/>
      <c r="AO422" s="21" t="n"/>
      <c r="AP422" s="27">
        <f>SUM(AN422:AO422)</f>
        <v/>
      </c>
      <c r="AQ422" s="28" t="n"/>
      <c r="AR422" s="30" t="n"/>
      <c r="AS422" s="29">
        <f>IF(AND(AP422=0,AQ422=0,AR422=0),0,IF(AND(AP422=0,AQ422=0),AR422/1,IF(AND(AP422=0,AR422=0),AQ422/1,IF(AND(AQ422=0,AR422=0),AP422/1,IF(AP422=0,FLOOR((AQ422+AR422)/2,0.1),IF(AQ422=0,(AP422+AR422)/2,IF(AR422=0,(AQ422+AP422)/2,FLOOR(((AP422+AQ422+AR422)/3),0.1))))))))</f>
        <v/>
      </c>
      <c r="AT422" s="21" t="n"/>
      <c r="AU422" s="21" t="n"/>
      <c r="AV422" s="27">
        <f>SUM(AT422:AU422)</f>
        <v/>
      </c>
      <c r="AW422" s="28" t="n"/>
      <c r="AX422" s="30" t="n"/>
      <c r="AY422" s="29">
        <f>IF(AND(AV422=0,AW422=0,AX422=0),0,IF(AND(AV422=0,AW422=0),AX422/1,IF(AND(AV422=0,AX422=0),AW422/1,IF(AND(AW422=0,AX422=0),AV422/1,IF(AV422=0,FLOOR((AW422+AX422)/2,0.1),IF(AW422=0,(AV422+AX422)/2,IF(AX422=0,(AW422+AV422)/2,FLOOR(((AV422+AW422+AX422)/3),0.1))))))))</f>
        <v/>
      </c>
      <c r="AZ422" s="21" t="n"/>
      <c r="BA422" s="21" t="n"/>
      <c r="BB422" s="27">
        <f>SUM(AZ422:BA422)</f>
        <v/>
      </c>
      <c r="BC422" s="28" t="n"/>
      <c r="BD422" s="28" t="n"/>
      <c r="BE422" s="29">
        <f>IF(AND(BB422=0,BC422=0,BD422=0),0,IF(AND(BB422=0,BC422=0),BD422/1,IF(AND(BB422=0,BD422=0),BC422/1,IF(AND(BC422=0,BD422=0),BB422/1,IF(BB422=0,FLOOR((BC422+BD422)/2,0.1),IF(BC422=0,(BB422+BD422)/2,IF(BD422=0,(BC422+BB422)/2,FLOOR(((BB422+BC422+BD422)/3),0.1))))))))</f>
        <v/>
      </c>
      <c r="BF422" s="21" t="n"/>
      <c r="BG422" s="21" t="n"/>
      <c r="BH422" s="27">
        <f>SUM(BF422:BG422)</f>
        <v/>
      </c>
      <c r="BI422" s="28" t="n"/>
      <c r="BJ422" s="28" t="n"/>
      <c r="BK422" s="29">
        <f>IF(AND(BH422=0,BI422=0,BJ422=0),0,IF(AND(BH422=0,BI422=0),BJ422/1,IF(AND(BH422=0,BJ422=0),BI422/1,IF(AND(BI422=0,BJ422=0),BH422/1,IF(BH422=0,FLOOR((BI422+BJ422)/2,0.1),IF(BI422=0,(BH422+BJ422)/2,IF(BJ422=0,(BI422+BH422)/2,FLOOR(((BH422+BI422+BJ422)/3),0.1))))))))</f>
        <v/>
      </c>
      <c r="BL422" s="21" t="n"/>
      <c r="BM422" s="21" t="n"/>
      <c r="BN422" s="27">
        <f>SUM(BL422:BM422)</f>
        <v/>
      </c>
      <c r="BO422" s="28" t="n"/>
      <c r="BP422" s="31" t="n"/>
      <c r="BQ422" s="29">
        <f>IF(AND(BN422=0,BO422=0,BP422=0),0,IF(AND(BN422=0,BO422=0),BP422/1,IF(AND(BN422=0,BP422=0),BO422/1,IF(AND(BO422=0,BP422=0),BN422/1,IF(BN422=0,FLOOR((BO422+BP422)/2,0.1),IF(BO422=0,(BN422+BP422)/2,IF(BP422=0,(BO422+BN422)/2,FLOOR(((BN422+BO422+BP422)/3),0.1))))))))</f>
        <v/>
      </c>
      <c r="BR422" s="21" t="n"/>
      <c r="BS422" s="21" t="n"/>
      <c r="BT422" s="27">
        <f>SUM(BR422:BS422)</f>
        <v/>
      </c>
      <c r="BU422" s="28" t="n"/>
      <c r="BV422" s="31" t="n"/>
      <c r="BW422" s="29">
        <f>IF(AND(BT422=0,BU422=0,BV422=0),0,IF(AND(BT422=0,BU422=0),BV422/1,IF(AND(BT422=0,BV422=0),BU422/1,IF(AND(BU422=0,BV422=0),BT422/1,IF(BT422=0,FLOOR((BU422+BV422)/2,0.1),IF(BU422=0,(BT422+BV422)/2,IF(BV422=0,(BU422+BT422)/2,FLOOR(((BT422+BU422+BV422)/3),0.1))))))))</f>
        <v/>
      </c>
      <c r="BX422" s="21" t="n"/>
      <c r="BY422" s="21" t="n"/>
      <c r="BZ422" s="27">
        <f>SUM(BX422:BY422)</f>
        <v/>
      </c>
      <c r="CA422" s="28" t="n"/>
      <c r="CB422" s="31" t="n"/>
      <c r="CC422" s="29">
        <f>IF(AND(BZ422=0,CA422=0,CB422=0),0,IF(AND(BZ422=0,CA422=0),CB422/1,IF(AND(BZ422=0,CB422=0),CA422/1,IF(AND(CA422=0,CB422=0),BZ422/1,IF(BZ422=0,FLOOR((CA422+CB422)/2,0.1),IF(CA422=0,(BZ422+CB422)/2,IF(CB422=0,(CA422+BZ422)/2,FLOOR(((BZ422+CA422+CB422)/3),0.1))))))))</f>
        <v/>
      </c>
      <c r="CD422" s="21" t="n"/>
      <c r="CE422" s="21" t="n"/>
      <c r="CF422" s="27">
        <f>SUM(CD422:CE422)</f>
        <v/>
      </c>
      <c r="CG422" s="28" t="n"/>
      <c r="CH422" s="31" t="n"/>
      <c r="CI422" s="29">
        <f>IF(AND(CF422=0,CG422=0,CH422=0),0,IF(AND(CF422=0,CG422=0),CH422/1,IF(AND(CF422=0,CH422=0),CG422/1,IF(AND(CG422=0,CH422=0),CF422/1,IF(CF422=0,FLOOR((CG422+CH422)/2,0.1),IF(CG422=0,(CF422+CH422)/2,IF(CH422=0,(CG422+CF422)/2,FLOOR(((CF422+CG422+CH422)/3),0.1))))))))</f>
        <v/>
      </c>
      <c r="CJ422" s="21" t="n"/>
      <c r="CK422" s="21" t="n"/>
      <c r="CL422" s="27">
        <f>SUM(CJ422:CK422)</f>
        <v/>
      </c>
      <c r="CM422" s="28" t="n"/>
      <c r="CN422" s="31" t="n"/>
      <c r="CO422" s="29">
        <f>IF(AND(CL422=0,CM422=0,CN422=0),0,IF(AND(CL422=0,CM422=0),CN422/1,IF(AND(CL422=0,CN422=0),CM422/1,IF(AND(CM422=0,CN422=0),CL422/1,IF(CL422=0,FLOOR((CM422+CN422)/2,0.1),IF(CM422=0,(CL422+CN422)/2,IF(CN422=0,(CM422+CL422)/2,FLOOR(((CL422+CM422+CN422)/3),0.1))))))))</f>
        <v/>
      </c>
      <c r="CP422" s="21" t="n"/>
      <c r="CQ422" s="21" t="n"/>
      <c r="CR422" s="27">
        <f>SUM(CP422:CQ422)</f>
        <v/>
      </c>
      <c r="CS422" s="28" t="n"/>
      <c r="CT422" s="31" t="n"/>
      <c r="CU422" s="29">
        <f>IF(AND(CR422=0,CS422=0,CT422=0),0,IF(AND(CR422=0,CS422=0),CT422/1,IF(AND(CR422=0,CT422=0),CS422/1,IF(AND(CS422=0,CT422=0),CR422/1,IF(CR422=0,FLOOR((CS422+CT422)/2,0.1),IF(CS422=0,(CR422+CT422)/2,IF(CT422=0,(CS422+CR422)/2,FLOOR(((CR422+CS422+CT422)/3),0.1))))))))</f>
        <v/>
      </c>
      <c r="CV422" s="21" t="n"/>
      <c r="CW422" s="21" t="n"/>
      <c r="CX422" s="27">
        <f>SUM(CV422:CW422)</f>
        <v/>
      </c>
      <c r="CY422" s="28" t="n"/>
      <c r="CZ422" s="31" t="n"/>
      <c r="DA422" s="29">
        <f>IF(AND(CX422=0,CY422=0,CZ422=0),0,IF(AND(CX422=0,CY422=0),CZ422/1,IF(AND(CX422=0,CZ422=0),CY422/1,IF(AND(CY422=0,CZ422=0),CX422/1,IF(CX422=0,FLOOR((CY422+CZ422)/2,0.1),IF(CY422=0,(CX422+CZ422)/2,IF(CZ422=0,(CY422+CX422)/2,FLOOR(((CX422+CY422+CZ422)/3),0.1))))))))</f>
        <v/>
      </c>
      <c r="DB422" s="21" t="n"/>
      <c r="DC422" s="21" t="n"/>
      <c r="DD422" s="27">
        <f>SUM(DB422:DC422)</f>
        <v/>
      </c>
      <c r="DE422" s="28" t="n"/>
      <c r="DF422" s="31" t="n"/>
      <c r="DG422" s="29">
        <f>IF(AND(DD422=0,DE422=0,DF422=0),0,IF(AND(DD422=0,DE422=0),DF422/1,IF(AND(DD422=0,DF422=0),DE422/1,IF(AND(DE422=0,DF422=0),DD422/1,IF(DD422=0,FLOOR((DE422+DF422)/2,0.1),IF(DE422=0,(DD422+DF422)/2,IF(DF422=0,(DE422+DD422)/2,FLOOR(((DD422+DE422+DF422)/3),0.1))))))))</f>
        <v/>
      </c>
      <c r="DH422" s="34">
        <f>SUM(O422,U422,AA422,AG422,AM422,AS422,AY422,BE422,BK422,BQ422,BW422,CC422,CI422,CO422,CU422,DA422,DG422)</f>
        <v/>
      </c>
      <c r="DI422" s="39">
        <f>RANK(DH422,DH$4:DH$503)</f>
        <v/>
      </c>
      <c r="DJ422" s="40" t="inlineStr">
        <is>
          <t>CHOOSE RATING</t>
        </is>
      </c>
      <c r="DK422" s="40" t="inlineStr">
        <is>
          <t>CHOOSE RATING</t>
        </is>
      </c>
      <c r="DL422" s="40" t="inlineStr">
        <is>
          <t>CHOOSE RATING</t>
        </is>
      </c>
      <c r="DM422" s="40" t="inlineStr">
        <is>
          <t>CHOOSE RATING</t>
        </is>
      </c>
      <c r="DN422" s="40" t="inlineStr">
        <is>
          <t>CHOOSE RATING</t>
        </is>
      </c>
      <c r="DO422" s="40" t="inlineStr">
        <is>
          <t>CHOOSE RATING</t>
        </is>
      </c>
      <c r="DP422" s="40" t="inlineStr">
        <is>
          <t>CHOOSE RATING</t>
        </is>
      </c>
      <c r="DQ422" s="40" t="inlineStr">
        <is>
          <t>CHOOSE RATING</t>
        </is>
      </c>
      <c r="DR422" s="43" t="inlineStr">
        <is>
          <t>2024/2025</t>
        </is>
      </c>
      <c r="DS422" s="45" t="inlineStr">
        <is>
          <t>THIRD</t>
        </is>
      </c>
      <c r="DT422" s="40" t="inlineStr">
        <is>
          <t>CHOOSE RATING</t>
        </is>
      </c>
      <c r="DU422" s="40" t="inlineStr">
        <is>
          <t>CHOOSE RATING</t>
        </is>
      </c>
      <c r="DV422" s="40" t="inlineStr">
        <is>
          <t>CHOOSE RATING</t>
        </is>
      </c>
      <c r="DW422" s="40" t="inlineStr">
        <is>
          <t>CHOOSE RATING</t>
        </is>
      </c>
      <c r="DX422" s="40" t="inlineStr">
        <is>
          <t>CHOOSE RATING</t>
        </is>
      </c>
      <c r="DY422" s="40" t="inlineStr">
        <is>
          <t>CHOOSE RATING</t>
        </is>
      </c>
      <c r="DZ422" s="53" t="inlineStr">
        <is>
          <t>CHOOSE RATING</t>
        </is>
      </c>
      <c r="EA422" s="54" t="inlineStr">
        <is>
          <t>Add the Tutor's Comment . . .</t>
        </is>
      </c>
      <c r="EB422" s="55" t="inlineStr">
        <is>
          <t>Choose Principals comment</t>
        </is>
      </c>
      <c r="EC422" s="56" t="n"/>
      <c r="ED422" s="57" t="inlineStr">
        <is>
          <t>Next Term Begins on Monday, 22nd September, 2025</t>
        </is>
      </c>
    </row>
    <row r="423" ht="30.6" customHeight="1" s="6">
      <c r="A423" s="18" t="n">
        <v>420</v>
      </c>
      <c r="B423" s="19" t="n"/>
      <c r="C423" s="20" t="n"/>
      <c r="D423" s="128" t="n"/>
      <c r="E423" s="21" t="n"/>
      <c r="F423" s="22" t="n"/>
      <c r="G423" s="22" t="n"/>
      <c r="H423" s="22" t="n"/>
      <c r="I423" s="26">
        <f>G423-H423</f>
        <v/>
      </c>
      <c r="J423" s="21" t="n"/>
      <c r="K423" s="21" t="n"/>
      <c r="L423" s="27">
        <f>SUM(J423:K423)</f>
        <v/>
      </c>
      <c r="M423" s="28" t="n"/>
      <c r="N423" s="28" t="n"/>
      <c r="O423" s="29">
        <f>IF(AND(L423=0,M423=0,N423=0),0,IF(AND(L423=0,M423=0),N423/1,IF(AND(L423=0,N423=0),M423/1,IF(AND(M423=0,N423=0),L423/1,IF(L423=0,FLOOR((M423+N423)/2,0.1),IF(M423=0,(L423+N423)/2,IF(N423=0,(M423+L423)/2,FLOOR(((L423+M423+N423)/3),0.1))))))))</f>
        <v/>
      </c>
      <c r="P423" s="21" t="n"/>
      <c r="Q423" s="21" t="n"/>
      <c r="R423" s="27">
        <f>SUM(P423:Q423)</f>
        <v/>
      </c>
      <c r="S423" s="28" t="n"/>
      <c r="T423" s="28" t="n"/>
      <c r="U423" s="29">
        <f>IF(AND(R423=0,S423=0,T423=0),0,IF(AND(R423=0,S423=0),T423/1,IF(AND(R423=0,T423=0),S423/1,IF(AND(S423=0,T423=0),R423/1,IF(R423=0,FLOOR((S423+T423)/2,0.1),IF(S423=0,(R423+T423)/2,IF(T423=0,(S423+R423)/2,FLOOR(((R423+S423+T423)/3),0.1))))))))</f>
        <v/>
      </c>
      <c r="V423" s="21" t="n"/>
      <c r="W423" s="21" t="n"/>
      <c r="X423" s="27">
        <f>SUM(V423:W423)</f>
        <v/>
      </c>
      <c r="Y423" s="28" t="n"/>
      <c r="Z423" s="28" t="n"/>
      <c r="AA423" s="29">
        <f>IF(AND(X423=0,Y423=0,Z423=0),0,IF(AND(X423=0,Y423=0),Z423/1,IF(AND(X423=0,Z423=0),Y423/1,IF(AND(Y423=0,Z423=0),X423/1,IF(X423=0,FLOOR((Y423+Z423)/2,0.1),IF(Y423=0,(X423+Z423)/2,IF(Z423=0,(Y423+X423)/2,FLOOR(((X423+Y423+Z423)/3),0.1))))))))</f>
        <v/>
      </c>
      <c r="AB423" s="21" t="n"/>
      <c r="AC423" s="21" t="n"/>
      <c r="AD423" s="27">
        <f>SUM(AB423:AC423)</f>
        <v/>
      </c>
      <c r="AE423" s="28" t="n"/>
      <c r="AF423" s="28" t="n"/>
      <c r="AG423" s="29">
        <f>IF(AND(AD423=0,AE423=0,AF423=0),0,IF(AND(AD423=0,AE423=0),AF423/1,IF(AND(AD423=0,AF423=0),AE423/1,IF(AND(AE423=0,AF423=0),AD423/1,IF(AD423=0,FLOOR((AE423+AF423)/2,0.1),IF(AE423=0,(AD423+AF423)/2,IF(AF423=0,(AE423+AD423)/2,FLOOR(((AD423+AE423+AF423)/3),0.1))))))))</f>
        <v/>
      </c>
      <c r="AH423" s="21" t="n"/>
      <c r="AI423" s="21" t="n"/>
      <c r="AJ423" s="27">
        <f>SUM(AH423:AI423)</f>
        <v/>
      </c>
      <c r="AK423" s="28" t="n"/>
      <c r="AL423" s="28" t="n"/>
      <c r="AM423" s="29">
        <f>IF(AND(AJ423=0,AK423=0,AL423=0),0,IF(AND(AJ423=0,AK423=0),AL423/1,IF(AND(AJ423=0,AL423=0),AK423/1,IF(AND(AK423=0,AL423=0),AJ423/1,IF(AJ423=0,FLOOR((AK423+AL423)/2,0.1),IF(AK423=0,(AJ423+AL423)/2,IF(AL423=0,(AK423+AJ423)/2,FLOOR(((AJ423+AK423+AL423)/3),0.1))))))))</f>
        <v/>
      </c>
      <c r="AN423" s="21" t="n"/>
      <c r="AO423" s="21" t="n"/>
      <c r="AP423" s="27">
        <f>SUM(AN423:AO423)</f>
        <v/>
      </c>
      <c r="AQ423" s="28" t="n"/>
      <c r="AR423" s="30" t="n"/>
      <c r="AS423" s="29">
        <f>IF(AND(AP423=0,AQ423=0,AR423=0),0,IF(AND(AP423=0,AQ423=0),AR423/1,IF(AND(AP423=0,AR423=0),AQ423/1,IF(AND(AQ423=0,AR423=0),AP423/1,IF(AP423=0,FLOOR((AQ423+AR423)/2,0.1),IF(AQ423=0,(AP423+AR423)/2,IF(AR423=0,(AQ423+AP423)/2,FLOOR(((AP423+AQ423+AR423)/3),0.1))))))))</f>
        <v/>
      </c>
      <c r="AT423" s="21" t="n"/>
      <c r="AU423" s="21" t="n"/>
      <c r="AV423" s="27">
        <f>SUM(AT423:AU423)</f>
        <v/>
      </c>
      <c r="AW423" s="28" t="n"/>
      <c r="AX423" s="30" t="n"/>
      <c r="AY423" s="29">
        <f>IF(AND(AV423=0,AW423=0,AX423=0),0,IF(AND(AV423=0,AW423=0),AX423/1,IF(AND(AV423=0,AX423=0),AW423/1,IF(AND(AW423=0,AX423=0),AV423/1,IF(AV423=0,FLOOR((AW423+AX423)/2,0.1),IF(AW423=0,(AV423+AX423)/2,IF(AX423=0,(AW423+AV423)/2,FLOOR(((AV423+AW423+AX423)/3),0.1))))))))</f>
        <v/>
      </c>
      <c r="AZ423" s="21" t="n"/>
      <c r="BA423" s="21" t="n"/>
      <c r="BB423" s="27">
        <f>SUM(AZ423:BA423)</f>
        <v/>
      </c>
      <c r="BC423" s="28" t="n"/>
      <c r="BD423" s="28" t="n"/>
      <c r="BE423" s="29">
        <f>IF(AND(BB423=0,BC423=0,BD423=0),0,IF(AND(BB423=0,BC423=0),BD423/1,IF(AND(BB423=0,BD423=0),BC423/1,IF(AND(BC423=0,BD423=0),BB423/1,IF(BB423=0,FLOOR((BC423+BD423)/2,0.1),IF(BC423=0,(BB423+BD423)/2,IF(BD423=0,(BC423+BB423)/2,FLOOR(((BB423+BC423+BD423)/3),0.1))))))))</f>
        <v/>
      </c>
      <c r="BF423" s="21" t="n"/>
      <c r="BG423" s="21" t="n"/>
      <c r="BH423" s="27">
        <f>SUM(BF423:BG423)</f>
        <v/>
      </c>
      <c r="BI423" s="28" t="n"/>
      <c r="BJ423" s="28" t="n"/>
      <c r="BK423" s="29">
        <f>IF(AND(BH423=0,BI423=0,BJ423=0),0,IF(AND(BH423=0,BI423=0),BJ423/1,IF(AND(BH423=0,BJ423=0),BI423/1,IF(AND(BI423=0,BJ423=0),BH423/1,IF(BH423=0,FLOOR((BI423+BJ423)/2,0.1),IF(BI423=0,(BH423+BJ423)/2,IF(BJ423=0,(BI423+BH423)/2,FLOOR(((BH423+BI423+BJ423)/3),0.1))))))))</f>
        <v/>
      </c>
      <c r="BL423" s="21" t="n"/>
      <c r="BM423" s="21" t="n"/>
      <c r="BN423" s="27">
        <f>SUM(BL423:BM423)</f>
        <v/>
      </c>
      <c r="BO423" s="28" t="n"/>
      <c r="BP423" s="31" t="n"/>
      <c r="BQ423" s="29">
        <f>IF(AND(BN423=0,BO423=0,BP423=0),0,IF(AND(BN423=0,BO423=0),BP423/1,IF(AND(BN423=0,BP423=0),BO423/1,IF(AND(BO423=0,BP423=0),BN423/1,IF(BN423=0,FLOOR((BO423+BP423)/2,0.1),IF(BO423=0,(BN423+BP423)/2,IF(BP423=0,(BO423+BN423)/2,FLOOR(((BN423+BO423+BP423)/3),0.1))))))))</f>
        <v/>
      </c>
      <c r="BR423" s="21" t="n"/>
      <c r="BS423" s="21" t="n"/>
      <c r="BT423" s="27">
        <f>SUM(BR423:BS423)</f>
        <v/>
      </c>
      <c r="BU423" s="28" t="n"/>
      <c r="BV423" s="31" t="n"/>
      <c r="BW423" s="29">
        <f>IF(AND(BT423=0,BU423=0,BV423=0),0,IF(AND(BT423=0,BU423=0),BV423/1,IF(AND(BT423=0,BV423=0),BU423/1,IF(AND(BU423=0,BV423=0),BT423/1,IF(BT423=0,FLOOR((BU423+BV423)/2,0.1),IF(BU423=0,(BT423+BV423)/2,IF(BV423=0,(BU423+BT423)/2,FLOOR(((BT423+BU423+BV423)/3),0.1))))))))</f>
        <v/>
      </c>
      <c r="BX423" s="21" t="n"/>
      <c r="BY423" s="21" t="n"/>
      <c r="BZ423" s="27">
        <f>SUM(BX423:BY423)</f>
        <v/>
      </c>
      <c r="CA423" s="28" t="n"/>
      <c r="CB423" s="31" t="n"/>
      <c r="CC423" s="29">
        <f>IF(AND(BZ423=0,CA423=0,CB423=0),0,IF(AND(BZ423=0,CA423=0),CB423/1,IF(AND(BZ423=0,CB423=0),CA423/1,IF(AND(CA423=0,CB423=0),BZ423/1,IF(BZ423=0,FLOOR((CA423+CB423)/2,0.1),IF(CA423=0,(BZ423+CB423)/2,IF(CB423=0,(CA423+BZ423)/2,FLOOR(((BZ423+CA423+CB423)/3),0.1))))))))</f>
        <v/>
      </c>
      <c r="CD423" s="21" t="n"/>
      <c r="CE423" s="21" t="n"/>
      <c r="CF423" s="27">
        <f>SUM(CD423:CE423)</f>
        <v/>
      </c>
      <c r="CG423" s="28" t="n"/>
      <c r="CH423" s="31" t="n"/>
      <c r="CI423" s="29">
        <f>IF(AND(CF423=0,CG423=0,CH423=0),0,IF(AND(CF423=0,CG423=0),CH423/1,IF(AND(CF423=0,CH423=0),CG423/1,IF(AND(CG423=0,CH423=0),CF423/1,IF(CF423=0,FLOOR((CG423+CH423)/2,0.1),IF(CG423=0,(CF423+CH423)/2,IF(CH423=0,(CG423+CF423)/2,FLOOR(((CF423+CG423+CH423)/3),0.1))))))))</f>
        <v/>
      </c>
      <c r="CJ423" s="21" t="n"/>
      <c r="CK423" s="21" t="n"/>
      <c r="CL423" s="27">
        <f>SUM(CJ423:CK423)</f>
        <v/>
      </c>
      <c r="CM423" s="28" t="n"/>
      <c r="CN423" s="31" t="n"/>
      <c r="CO423" s="29">
        <f>IF(AND(CL423=0,CM423=0,CN423=0),0,IF(AND(CL423=0,CM423=0),CN423/1,IF(AND(CL423=0,CN423=0),CM423/1,IF(AND(CM423=0,CN423=0),CL423/1,IF(CL423=0,FLOOR((CM423+CN423)/2,0.1),IF(CM423=0,(CL423+CN423)/2,IF(CN423=0,(CM423+CL423)/2,FLOOR(((CL423+CM423+CN423)/3),0.1))))))))</f>
        <v/>
      </c>
      <c r="CP423" s="21" t="n"/>
      <c r="CQ423" s="21" t="n"/>
      <c r="CR423" s="27">
        <f>SUM(CP423:CQ423)</f>
        <v/>
      </c>
      <c r="CS423" s="28" t="n"/>
      <c r="CT423" s="31" t="n"/>
      <c r="CU423" s="29">
        <f>IF(AND(CR423=0,CS423=0,CT423=0),0,IF(AND(CR423=0,CS423=0),CT423/1,IF(AND(CR423=0,CT423=0),CS423/1,IF(AND(CS423=0,CT423=0),CR423/1,IF(CR423=0,FLOOR((CS423+CT423)/2,0.1),IF(CS423=0,(CR423+CT423)/2,IF(CT423=0,(CS423+CR423)/2,FLOOR(((CR423+CS423+CT423)/3),0.1))))))))</f>
        <v/>
      </c>
      <c r="CV423" s="21" t="n"/>
      <c r="CW423" s="21" t="n"/>
      <c r="CX423" s="27">
        <f>SUM(CV423:CW423)</f>
        <v/>
      </c>
      <c r="CY423" s="28" t="n"/>
      <c r="CZ423" s="31" t="n"/>
      <c r="DA423" s="29">
        <f>IF(AND(CX423=0,CY423=0,CZ423=0),0,IF(AND(CX423=0,CY423=0),CZ423/1,IF(AND(CX423=0,CZ423=0),CY423/1,IF(AND(CY423=0,CZ423=0),CX423/1,IF(CX423=0,FLOOR((CY423+CZ423)/2,0.1),IF(CY423=0,(CX423+CZ423)/2,IF(CZ423=0,(CY423+CX423)/2,FLOOR(((CX423+CY423+CZ423)/3),0.1))))))))</f>
        <v/>
      </c>
      <c r="DB423" s="21" t="n"/>
      <c r="DC423" s="21" t="n"/>
      <c r="DD423" s="27">
        <f>SUM(DB423:DC423)</f>
        <v/>
      </c>
      <c r="DE423" s="28" t="n"/>
      <c r="DF423" s="31" t="n"/>
      <c r="DG423" s="29">
        <f>IF(AND(DD423=0,DE423=0,DF423=0),0,IF(AND(DD423=0,DE423=0),DF423/1,IF(AND(DD423=0,DF423=0),DE423/1,IF(AND(DE423=0,DF423=0),DD423/1,IF(DD423=0,FLOOR((DE423+DF423)/2,0.1),IF(DE423=0,(DD423+DF423)/2,IF(DF423=0,(DE423+DD423)/2,FLOOR(((DD423+DE423+DF423)/3),0.1))))))))</f>
        <v/>
      </c>
      <c r="DH423" s="34">
        <f>SUM(O423,U423,AA423,AG423,AM423,AS423,AY423,BE423,BK423,BQ423,BW423,CC423,CI423,CO423,CU423,DA423,DG423)</f>
        <v/>
      </c>
      <c r="DI423" s="39">
        <f>RANK(DH423,DH$4:DH$503)</f>
        <v/>
      </c>
      <c r="DJ423" s="40" t="inlineStr">
        <is>
          <t>CHOOSE RATING</t>
        </is>
      </c>
      <c r="DK423" s="40" t="inlineStr">
        <is>
          <t>CHOOSE RATING</t>
        </is>
      </c>
      <c r="DL423" s="40" t="inlineStr">
        <is>
          <t>CHOOSE RATING</t>
        </is>
      </c>
      <c r="DM423" s="40" t="inlineStr">
        <is>
          <t>CHOOSE RATING</t>
        </is>
      </c>
      <c r="DN423" s="40" t="inlineStr">
        <is>
          <t>CHOOSE RATING</t>
        </is>
      </c>
      <c r="DO423" s="40" t="inlineStr">
        <is>
          <t>CHOOSE RATING</t>
        </is>
      </c>
      <c r="DP423" s="40" t="inlineStr">
        <is>
          <t>CHOOSE RATING</t>
        </is>
      </c>
      <c r="DQ423" s="40" t="inlineStr">
        <is>
          <t>CHOOSE RATING</t>
        </is>
      </c>
      <c r="DR423" s="43" t="inlineStr">
        <is>
          <t>2024/2025</t>
        </is>
      </c>
      <c r="DS423" s="45" t="inlineStr">
        <is>
          <t>THIRD</t>
        </is>
      </c>
      <c r="DT423" s="40" t="inlineStr">
        <is>
          <t>CHOOSE RATING</t>
        </is>
      </c>
      <c r="DU423" s="40" t="inlineStr">
        <is>
          <t>CHOOSE RATING</t>
        </is>
      </c>
      <c r="DV423" s="40" t="inlineStr">
        <is>
          <t>CHOOSE RATING</t>
        </is>
      </c>
      <c r="DW423" s="40" t="inlineStr">
        <is>
          <t>CHOOSE RATING</t>
        </is>
      </c>
      <c r="DX423" s="40" t="inlineStr">
        <is>
          <t>CHOOSE RATING</t>
        </is>
      </c>
      <c r="DY423" s="40" t="inlineStr">
        <is>
          <t>CHOOSE RATING</t>
        </is>
      </c>
      <c r="DZ423" s="53" t="inlineStr">
        <is>
          <t>CHOOSE RATING</t>
        </is>
      </c>
      <c r="EA423" s="54" t="inlineStr">
        <is>
          <t>Add the Tutor's Comment . . .</t>
        </is>
      </c>
      <c r="EB423" s="55" t="inlineStr">
        <is>
          <t>Choose Principals comment</t>
        </is>
      </c>
      <c r="EC423" s="56" t="n"/>
      <c r="ED423" s="57" t="inlineStr">
        <is>
          <t>Next Term Begins on Monday, 22nd September, 2025</t>
        </is>
      </c>
    </row>
    <row r="424" ht="30.6" customHeight="1" s="6">
      <c r="A424" s="18" t="n">
        <v>421</v>
      </c>
      <c r="B424" s="19" t="n"/>
      <c r="C424" s="20" t="n"/>
      <c r="D424" s="128" t="n"/>
      <c r="E424" s="21" t="n"/>
      <c r="F424" s="22" t="n"/>
      <c r="G424" s="22" t="n"/>
      <c r="H424" s="22" t="n"/>
      <c r="I424" s="26">
        <f>G424-H424</f>
        <v/>
      </c>
      <c r="J424" s="21" t="n"/>
      <c r="K424" s="21" t="n"/>
      <c r="L424" s="27">
        <f>SUM(J424:K424)</f>
        <v/>
      </c>
      <c r="M424" s="28" t="n"/>
      <c r="N424" s="28" t="n"/>
      <c r="O424" s="29">
        <f>IF(AND(L424=0,M424=0,N424=0),0,IF(AND(L424=0,M424=0),N424/1,IF(AND(L424=0,N424=0),M424/1,IF(AND(M424=0,N424=0),L424/1,IF(L424=0,FLOOR((M424+N424)/2,0.1),IF(M424=0,(L424+N424)/2,IF(N424=0,(M424+L424)/2,FLOOR(((L424+M424+N424)/3),0.1))))))))</f>
        <v/>
      </c>
      <c r="P424" s="21" t="n"/>
      <c r="Q424" s="21" t="n"/>
      <c r="R424" s="27">
        <f>SUM(P424:Q424)</f>
        <v/>
      </c>
      <c r="S424" s="28" t="n"/>
      <c r="T424" s="28" t="n"/>
      <c r="U424" s="29">
        <f>IF(AND(R424=0,S424=0,T424=0),0,IF(AND(R424=0,S424=0),T424/1,IF(AND(R424=0,T424=0),S424/1,IF(AND(S424=0,T424=0),R424/1,IF(R424=0,FLOOR((S424+T424)/2,0.1),IF(S424=0,(R424+T424)/2,IF(T424=0,(S424+R424)/2,FLOOR(((R424+S424+T424)/3),0.1))))))))</f>
        <v/>
      </c>
      <c r="V424" s="21" t="n"/>
      <c r="W424" s="21" t="n"/>
      <c r="X424" s="27">
        <f>SUM(V424:W424)</f>
        <v/>
      </c>
      <c r="Y424" s="28" t="n"/>
      <c r="Z424" s="28" t="n"/>
      <c r="AA424" s="29">
        <f>IF(AND(X424=0,Y424=0,Z424=0),0,IF(AND(X424=0,Y424=0),Z424/1,IF(AND(X424=0,Z424=0),Y424/1,IF(AND(Y424=0,Z424=0),X424/1,IF(X424=0,FLOOR((Y424+Z424)/2,0.1),IF(Y424=0,(X424+Z424)/2,IF(Z424=0,(Y424+X424)/2,FLOOR(((X424+Y424+Z424)/3),0.1))))))))</f>
        <v/>
      </c>
      <c r="AB424" s="21" t="n"/>
      <c r="AC424" s="21" t="n"/>
      <c r="AD424" s="27">
        <f>SUM(AB424:AC424)</f>
        <v/>
      </c>
      <c r="AE424" s="28" t="n"/>
      <c r="AF424" s="28" t="n"/>
      <c r="AG424" s="29">
        <f>IF(AND(AD424=0,AE424=0,AF424=0),0,IF(AND(AD424=0,AE424=0),AF424/1,IF(AND(AD424=0,AF424=0),AE424/1,IF(AND(AE424=0,AF424=0),AD424/1,IF(AD424=0,FLOOR((AE424+AF424)/2,0.1),IF(AE424=0,(AD424+AF424)/2,IF(AF424=0,(AE424+AD424)/2,FLOOR(((AD424+AE424+AF424)/3),0.1))))))))</f>
        <v/>
      </c>
      <c r="AH424" s="21" t="n"/>
      <c r="AI424" s="21" t="n"/>
      <c r="AJ424" s="27">
        <f>SUM(AH424:AI424)</f>
        <v/>
      </c>
      <c r="AK424" s="28" t="n"/>
      <c r="AL424" s="28" t="n"/>
      <c r="AM424" s="29">
        <f>IF(AND(AJ424=0,AK424=0,AL424=0),0,IF(AND(AJ424=0,AK424=0),AL424/1,IF(AND(AJ424=0,AL424=0),AK424/1,IF(AND(AK424=0,AL424=0),AJ424/1,IF(AJ424=0,FLOOR((AK424+AL424)/2,0.1),IF(AK424=0,(AJ424+AL424)/2,IF(AL424=0,(AK424+AJ424)/2,FLOOR(((AJ424+AK424+AL424)/3),0.1))))))))</f>
        <v/>
      </c>
      <c r="AN424" s="21" t="n"/>
      <c r="AO424" s="21" t="n"/>
      <c r="AP424" s="27">
        <f>SUM(AN424:AO424)</f>
        <v/>
      </c>
      <c r="AQ424" s="28" t="n"/>
      <c r="AR424" s="30" t="n"/>
      <c r="AS424" s="29">
        <f>IF(AND(AP424=0,AQ424=0,AR424=0),0,IF(AND(AP424=0,AQ424=0),AR424/1,IF(AND(AP424=0,AR424=0),AQ424/1,IF(AND(AQ424=0,AR424=0),AP424/1,IF(AP424=0,FLOOR((AQ424+AR424)/2,0.1),IF(AQ424=0,(AP424+AR424)/2,IF(AR424=0,(AQ424+AP424)/2,FLOOR(((AP424+AQ424+AR424)/3),0.1))))))))</f>
        <v/>
      </c>
      <c r="AT424" s="21" t="n"/>
      <c r="AU424" s="21" t="n"/>
      <c r="AV424" s="27">
        <f>SUM(AT424:AU424)</f>
        <v/>
      </c>
      <c r="AW424" s="28" t="n"/>
      <c r="AX424" s="30" t="n"/>
      <c r="AY424" s="29">
        <f>IF(AND(AV424=0,AW424=0,AX424=0),0,IF(AND(AV424=0,AW424=0),AX424/1,IF(AND(AV424=0,AX424=0),AW424/1,IF(AND(AW424=0,AX424=0),AV424/1,IF(AV424=0,FLOOR((AW424+AX424)/2,0.1),IF(AW424=0,(AV424+AX424)/2,IF(AX424=0,(AW424+AV424)/2,FLOOR(((AV424+AW424+AX424)/3),0.1))))))))</f>
        <v/>
      </c>
      <c r="AZ424" s="21" t="n"/>
      <c r="BA424" s="21" t="n"/>
      <c r="BB424" s="27">
        <f>SUM(AZ424:BA424)</f>
        <v/>
      </c>
      <c r="BC424" s="28" t="n"/>
      <c r="BD424" s="28" t="n"/>
      <c r="BE424" s="29">
        <f>IF(AND(BB424=0,BC424=0,BD424=0),0,IF(AND(BB424=0,BC424=0),BD424/1,IF(AND(BB424=0,BD424=0),BC424/1,IF(AND(BC424=0,BD424=0),BB424/1,IF(BB424=0,FLOOR((BC424+BD424)/2,0.1),IF(BC424=0,(BB424+BD424)/2,IF(BD424=0,(BC424+BB424)/2,FLOOR(((BB424+BC424+BD424)/3),0.1))))))))</f>
        <v/>
      </c>
      <c r="BF424" s="21" t="n"/>
      <c r="BG424" s="21" t="n"/>
      <c r="BH424" s="27">
        <f>SUM(BF424:BG424)</f>
        <v/>
      </c>
      <c r="BI424" s="28" t="n"/>
      <c r="BJ424" s="28" t="n"/>
      <c r="BK424" s="29">
        <f>IF(AND(BH424=0,BI424=0,BJ424=0),0,IF(AND(BH424=0,BI424=0),BJ424/1,IF(AND(BH424=0,BJ424=0),BI424/1,IF(AND(BI424=0,BJ424=0),BH424/1,IF(BH424=0,FLOOR((BI424+BJ424)/2,0.1),IF(BI424=0,(BH424+BJ424)/2,IF(BJ424=0,(BI424+BH424)/2,FLOOR(((BH424+BI424+BJ424)/3),0.1))))))))</f>
        <v/>
      </c>
      <c r="BL424" s="21" t="n"/>
      <c r="BM424" s="21" t="n"/>
      <c r="BN424" s="27">
        <f>SUM(BL424:BM424)</f>
        <v/>
      </c>
      <c r="BO424" s="28" t="n"/>
      <c r="BP424" s="31" t="n"/>
      <c r="BQ424" s="29">
        <f>IF(AND(BN424=0,BO424=0,BP424=0),0,IF(AND(BN424=0,BO424=0),BP424/1,IF(AND(BN424=0,BP424=0),BO424/1,IF(AND(BO424=0,BP424=0),BN424/1,IF(BN424=0,FLOOR((BO424+BP424)/2,0.1),IF(BO424=0,(BN424+BP424)/2,IF(BP424=0,(BO424+BN424)/2,FLOOR(((BN424+BO424+BP424)/3),0.1))))))))</f>
        <v/>
      </c>
      <c r="BR424" s="21" t="n"/>
      <c r="BS424" s="21" t="n"/>
      <c r="BT424" s="27">
        <f>SUM(BR424:BS424)</f>
        <v/>
      </c>
      <c r="BU424" s="28" t="n"/>
      <c r="BV424" s="31" t="n"/>
      <c r="BW424" s="29">
        <f>IF(AND(BT424=0,BU424=0,BV424=0),0,IF(AND(BT424=0,BU424=0),BV424/1,IF(AND(BT424=0,BV424=0),BU424/1,IF(AND(BU424=0,BV424=0),BT424/1,IF(BT424=0,FLOOR((BU424+BV424)/2,0.1),IF(BU424=0,(BT424+BV424)/2,IF(BV424=0,(BU424+BT424)/2,FLOOR(((BT424+BU424+BV424)/3),0.1))))))))</f>
        <v/>
      </c>
      <c r="BX424" s="21" t="n"/>
      <c r="BY424" s="21" t="n"/>
      <c r="BZ424" s="27">
        <f>SUM(BX424:BY424)</f>
        <v/>
      </c>
      <c r="CA424" s="28" t="n"/>
      <c r="CB424" s="31" t="n"/>
      <c r="CC424" s="29">
        <f>IF(AND(BZ424=0,CA424=0,CB424=0),0,IF(AND(BZ424=0,CA424=0),CB424/1,IF(AND(BZ424=0,CB424=0),CA424/1,IF(AND(CA424=0,CB424=0),BZ424/1,IF(BZ424=0,FLOOR((CA424+CB424)/2,0.1),IF(CA424=0,(BZ424+CB424)/2,IF(CB424=0,(CA424+BZ424)/2,FLOOR(((BZ424+CA424+CB424)/3),0.1))))))))</f>
        <v/>
      </c>
      <c r="CD424" s="21" t="n"/>
      <c r="CE424" s="21" t="n"/>
      <c r="CF424" s="27">
        <f>SUM(CD424:CE424)</f>
        <v/>
      </c>
      <c r="CG424" s="28" t="n"/>
      <c r="CH424" s="31" t="n"/>
      <c r="CI424" s="29">
        <f>IF(AND(CF424=0,CG424=0,CH424=0),0,IF(AND(CF424=0,CG424=0),CH424/1,IF(AND(CF424=0,CH424=0),CG424/1,IF(AND(CG424=0,CH424=0),CF424/1,IF(CF424=0,FLOOR((CG424+CH424)/2,0.1),IF(CG424=0,(CF424+CH424)/2,IF(CH424=0,(CG424+CF424)/2,FLOOR(((CF424+CG424+CH424)/3),0.1))))))))</f>
        <v/>
      </c>
      <c r="CJ424" s="21" t="n"/>
      <c r="CK424" s="21" t="n"/>
      <c r="CL424" s="27">
        <f>SUM(CJ424:CK424)</f>
        <v/>
      </c>
      <c r="CM424" s="28" t="n"/>
      <c r="CN424" s="31" t="n"/>
      <c r="CO424" s="29">
        <f>IF(AND(CL424=0,CM424=0,CN424=0),0,IF(AND(CL424=0,CM424=0),CN424/1,IF(AND(CL424=0,CN424=0),CM424/1,IF(AND(CM424=0,CN424=0),CL424/1,IF(CL424=0,FLOOR((CM424+CN424)/2,0.1),IF(CM424=0,(CL424+CN424)/2,IF(CN424=0,(CM424+CL424)/2,FLOOR(((CL424+CM424+CN424)/3),0.1))))))))</f>
        <v/>
      </c>
      <c r="CP424" s="21" t="n"/>
      <c r="CQ424" s="21" t="n"/>
      <c r="CR424" s="27">
        <f>SUM(CP424:CQ424)</f>
        <v/>
      </c>
      <c r="CS424" s="28" t="n"/>
      <c r="CT424" s="31" t="n"/>
      <c r="CU424" s="29">
        <f>IF(AND(CR424=0,CS424=0,CT424=0),0,IF(AND(CR424=0,CS424=0),CT424/1,IF(AND(CR424=0,CT424=0),CS424/1,IF(AND(CS424=0,CT424=0),CR424/1,IF(CR424=0,FLOOR((CS424+CT424)/2,0.1),IF(CS424=0,(CR424+CT424)/2,IF(CT424=0,(CS424+CR424)/2,FLOOR(((CR424+CS424+CT424)/3),0.1))))))))</f>
        <v/>
      </c>
      <c r="CV424" s="21" t="n"/>
      <c r="CW424" s="21" t="n"/>
      <c r="CX424" s="27">
        <f>SUM(CV424:CW424)</f>
        <v/>
      </c>
      <c r="CY424" s="28" t="n"/>
      <c r="CZ424" s="31" t="n"/>
      <c r="DA424" s="29">
        <f>IF(AND(CX424=0,CY424=0,CZ424=0),0,IF(AND(CX424=0,CY424=0),CZ424/1,IF(AND(CX424=0,CZ424=0),CY424/1,IF(AND(CY424=0,CZ424=0),CX424/1,IF(CX424=0,FLOOR((CY424+CZ424)/2,0.1),IF(CY424=0,(CX424+CZ424)/2,IF(CZ424=0,(CY424+CX424)/2,FLOOR(((CX424+CY424+CZ424)/3),0.1))))))))</f>
        <v/>
      </c>
      <c r="DB424" s="21" t="n"/>
      <c r="DC424" s="21" t="n"/>
      <c r="DD424" s="27">
        <f>SUM(DB424:DC424)</f>
        <v/>
      </c>
      <c r="DE424" s="28" t="n"/>
      <c r="DF424" s="31" t="n"/>
      <c r="DG424" s="29">
        <f>IF(AND(DD424=0,DE424=0,DF424=0),0,IF(AND(DD424=0,DE424=0),DF424/1,IF(AND(DD424=0,DF424=0),DE424/1,IF(AND(DE424=0,DF424=0),DD424/1,IF(DD424=0,FLOOR((DE424+DF424)/2,0.1),IF(DE424=0,(DD424+DF424)/2,IF(DF424=0,(DE424+DD424)/2,FLOOR(((DD424+DE424+DF424)/3),0.1))))))))</f>
        <v/>
      </c>
      <c r="DH424" s="34">
        <f>SUM(O424,U424,AA424,AG424,AM424,AS424,AY424,BE424,BK424,BQ424,BW424,CC424,CI424,CO424,CU424,DA424,DG424)</f>
        <v/>
      </c>
      <c r="DI424" s="39">
        <f>RANK(DH424,DH$4:DH$503)</f>
        <v/>
      </c>
      <c r="DJ424" s="40" t="inlineStr">
        <is>
          <t>CHOOSE RATING</t>
        </is>
      </c>
      <c r="DK424" s="40" t="inlineStr">
        <is>
          <t>CHOOSE RATING</t>
        </is>
      </c>
      <c r="DL424" s="40" t="inlineStr">
        <is>
          <t>CHOOSE RATING</t>
        </is>
      </c>
      <c r="DM424" s="40" t="inlineStr">
        <is>
          <t>CHOOSE RATING</t>
        </is>
      </c>
      <c r="DN424" s="40" t="inlineStr">
        <is>
          <t>CHOOSE RATING</t>
        </is>
      </c>
      <c r="DO424" s="40" t="inlineStr">
        <is>
          <t>CHOOSE RATING</t>
        </is>
      </c>
      <c r="DP424" s="40" t="inlineStr">
        <is>
          <t>CHOOSE RATING</t>
        </is>
      </c>
      <c r="DQ424" s="40" t="inlineStr">
        <is>
          <t>CHOOSE RATING</t>
        </is>
      </c>
      <c r="DR424" s="43" t="inlineStr">
        <is>
          <t>2024/2025</t>
        </is>
      </c>
      <c r="DS424" s="45" t="inlineStr">
        <is>
          <t>THIRD</t>
        </is>
      </c>
      <c r="DT424" s="40" t="inlineStr">
        <is>
          <t>CHOOSE RATING</t>
        </is>
      </c>
      <c r="DU424" s="40" t="inlineStr">
        <is>
          <t>CHOOSE RATING</t>
        </is>
      </c>
      <c r="DV424" s="40" t="inlineStr">
        <is>
          <t>CHOOSE RATING</t>
        </is>
      </c>
      <c r="DW424" s="40" t="inlineStr">
        <is>
          <t>CHOOSE RATING</t>
        </is>
      </c>
      <c r="DX424" s="40" t="inlineStr">
        <is>
          <t>CHOOSE RATING</t>
        </is>
      </c>
      <c r="DY424" s="40" t="inlineStr">
        <is>
          <t>CHOOSE RATING</t>
        </is>
      </c>
      <c r="DZ424" s="53" t="inlineStr">
        <is>
          <t>CHOOSE RATING</t>
        </is>
      </c>
      <c r="EA424" s="54" t="inlineStr">
        <is>
          <t>Add the Tutor's Comment . . .</t>
        </is>
      </c>
      <c r="EB424" s="55" t="inlineStr">
        <is>
          <t>Choose Principals comment</t>
        </is>
      </c>
      <c r="EC424" s="56" t="n"/>
      <c r="ED424" s="57" t="inlineStr">
        <is>
          <t>Next Term Begins on Monday, 22nd September, 2025</t>
        </is>
      </c>
    </row>
    <row r="425" ht="30.6" customHeight="1" s="6">
      <c r="A425" s="18" t="n">
        <v>422</v>
      </c>
      <c r="B425" s="19" t="n"/>
      <c r="C425" s="20" t="n"/>
      <c r="D425" s="128" t="n"/>
      <c r="E425" s="21" t="n"/>
      <c r="F425" s="22" t="n"/>
      <c r="G425" s="22" t="n"/>
      <c r="H425" s="22" t="n"/>
      <c r="I425" s="26">
        <f>G425-H425</f>
        <v/>
      </c>
      <c r="J425" s="21" t="n"/>
      <c r="K425" s="21" t="n"/>
      <c r="L425" s="27">
        <f>SUM(J425:K425)</f>
        <v/>
      </c>
      <c r="M425" s="28" t="n"/>
      <c r="N425" s="28" t="n"/>
      <c r="O425" s="29">
        <f>IF(AND(L425=0,M425=0,N425=0),0,IF(AND(L425=0,M425=0),N425/1,IF(AND(L425=0,N425=0),M425/1,IF(AND(M425=0,N425=0),L425/1,IF(L425=0,FLOOR((M425+N425)/2,0.1),IF(M425=0,(L425+N425)/2,IF(N425=0,(M425+L425)/2,FLOOR(((L425+M425+N425)/3),0.1))))))))</f>
        <v/>
      </c>
      <c r="P425" s="21" t="n"/>
      <c r="Q425" s="21" t="n"/>
      <c r="R425" s="27">
        <f>SUM(P425:Q425)</f>
        <v/>
      </c>
      <c r="S425" s="28" t="n"/>
      <c r="T425" s="28" t="n"/>
      <c r="U425" s="29">
        <f>IF(AND(R425=0,S425=0,T425=0),0,IF(AND(R425=0,S425=0),T425/1,IF(AND(R425=0,T425=0),S425/1,IF(AND(S425=0,T425=0),R425/1,IF(R425=0,FLOOR((S425+T425)/2,0.1),IF(S425=0,(R425+T425)/2,IF(T425=0,(S425+R425)/2,FLOOR(((R425+S425+T425)/3),0.1))))))))</f>
        <v/>
      </c>
      <c r="V425" s="21" t="n"/>
      <c r="W425" s="21" t="n"/>
      <c r="X425" s="27">
        <f>SUM(V425:W425)</f>
        <v/>
      </c>
      <c r="Y425" s="28" t="n"/>
      <c r="Z425" s="28" t="n"/>
      <c r="AA425" s="29">
        <f>IF(AND(X425=0,Y425=0,Z425=0),0,IF(AND(X425=0,Y425=0),Z425/1,IF(AND(X425=0,Z425=0),Y425/1,IF(AND(Y425=0,Z425=0),X425/1,IF(X425=0,FLOOR((Y425+Z425)/2,0.1),IF(Y425=0,(X425+Z425)/2,IF(Z425=0,(Y425+X425)/2,FLOOR(((X425+Y425+Z425)/3),0.1))))))))</f>
        <v/>
      </c>
      <c r="AB425" s="21" t="n"/>
      <c r="AC425" s="21" t="n"/>
      <c r="AD425" s="27">
        <f>SUM(AB425:AC425)</f>
        <v/>
      </c>
      <c r="AE425" s="28" t="n"/>
      <c r="AF425" s="28" t="n"/>
      <c r="AG425" s="29">
        <f>IF(AND(AD425=0,AE425=0,AF425=0),0,IF(AND(AD425=0,AE425=0),AF425/1,IF(AND(AD425=0,AF425=0),AE425/1,IF(AND(AE425=0,AF425=0),AD425/1,IF(AD425=0,FLOOR((AE425+AF425)/2,0.1),IF(AE425=0,(AD425+AF425)/2,IF(AF425=0,(AE425+AD425)/2,FLOOR(((AD425+AE425+AF425)/3),0.1))))))))</f>
        <v/>
      </c>
      <c r="AH425" s="21" t="n"/>
      <c r="AI425" s="21" t="n"/>
      <c r="AJ425" s="27">
        <f>SUM(AH425:AI425)</f>
        <v/>
      </c>
      <c r="AK425" s="28" t="n"/>
      <c r="AL425" s="28" t="n"/>
      <c r="AM425" s="29">
        <f>IF(AND(AJ425=0,AK425=0,AL425=0),0,IF(AND(AJ425=0,AK425=0),AL425/1,IF(AND(AJ425=0,AL425=0),AK425/1,IF(AND(AK425=0,AL425=0),AJ425/1,IF(AJ425=0,FLOOR((AK425+AL425)/2,0.1),IF(AK425=0,(AJ425+AL425)/2,IF(AL425=0,(AK425+AJ425)/2,FLOOR(((AJ425+AK425+AL425)/3),0.1))))))))</f>
        <v/>
      </c>
      <c r="AN425" s="21" t="n"/>
      <c r="AO425" s="21" t="n"/>
      <c r="AP425" s="27">
        <f>SUM(AN425:AO425)</f>
        <v/>
      </c>
      <c r="AQ425" s="28" t="n"/>
      <c r="AR425" s="30" t="n"/>
      <c r="AS425" s="29">
        <f>IF(AND(AP425=0,AQ425=0,AR425=0),0,IF(AND(AP425=0,AQ425=0),AR425/1,IF(AND(AP425=0,AR425=0),AQ425/1,IF(AND(AQ425=0,AR425=0),AP425/1,IF(AP425=0,FLOOR((AQ425+AR425)/2,0.1),IF(AQ425=0,(AP425+AR425)/2,IF(AR425=0,(AQ425+AP425)/2,FLOOR(((AP425+AQ425+AR425)/3),0.1))))))))</f>
        <v/>
      </c>
      <c r="AT425" s="21" t="n"/>
      <c r="AU425" s="21" t="n"/>
      <c r="AV425" s="27">
        <f>SUM(AT425:AU425)</f>
        <v/>
      </c>
      <c r="AW425" s="28" t="n"/>
      <c r="AX425" s="30" t="n"/>
      <c r="AY425" s="29">
        <f>IF(AND(AV425=0,AW425=0,AX425=0),0,IF(AND(AV425=0,AW425=0),AX425/1,IF(AND(AV425=0,AX425=0),AW425/1,IF(AND(AW425=0,AX425=0),AV425/1,IF(AV425=0,FLOOR((AW425+AX425)/2,0.1),IF(AW425=0,(AV425+AX425)/2,IF(AX425=0,(AW425+AV425)/2,FLOOR(((AV425+AW425+AX425)/3),0.1))))))))</f>
        <v/>
      </c>
      <c r="AZ425" s="21" t="n"/>
      <c r="BA425" s="21" t="n"/>
      <c r="BB425" s="27">
        <f>SUM(AZ425:BA425)</f>
        <v/>
      </c>
      <c r="BC425" s="28" t="n"/>
      <c r="BD425" s="28" t="n"/>
      <c r="BE425" s="29">
        <f>IF(AND(BB425=0,BC425=0,BD425=0),0,IF(AND(BB425=0,BC425=0),BD425/1,IF(AND(BB425=0,BD425=0),BC425/1,IF(AND(BC425=0,BD425=0),BB425/1,IF(BB425=0,FLOOR((BC425+BD425)/2,0.1),IF(BC425=0,(BB425+BD425)/2,IF(BD425=0,(BC425+BB425)/2,FLOOR(((BB425+BC425+BD425)/3),0.1))))))))</f>
        <v/>
      </c>
      <c r="BF425" s="21" t="n"/>
      <c r="BG425" s="21" t="n"/>
      <c r="BH425" s="27">
        <f>SUM(BF425:BG425)</f>
        <v/>
      </c>
      <c r="BI425" s="28" t="n"/>
      <c r="BJ425" s="28" t="n"/>
      <c r="BK425" s="29">
        <f>IF(AND(BH425=0,BI425=0,BJ425=0),0,IF(AND(BH425=0,BI425=0),BJ425/1,IF(AND(BH425=0,BJ425=0),BI425/1,IF(AND(BI425=0,BJ425=0),BH425/1,IF(BH425=0,FLOOR((BI425+BJ425)/2,0.1),IF(BI425=0,(BH425+BJ425)/2,IF(BJ425=0,(BI425+BH425)/2,FLOOR(((BH425+BI425+BJ425)/3),0.1))))))))</f>
        <v/>
      </c>
      <c r="BL425" s="21" t="n"/>
      <c r="BM425" s="21" t="n"/>
      <c r="BN425" s="27">
        <f>SUM(BL425:BM425)</f>
        <v/>
      </c>
      <c r="BO425" s="28" t="n"/>
      <c r="BP425" s="31" t="n"/>
      <c r="BQ425" s="29">
        <f>IF(AND(BN425=0,BO425=0,BP425=0),0,IF(AND(BN425=0,BO425=0),BP425/1,IF(AND(BN425=0,BP425=0),BO425/1,IF(AND(BO425=0,BP425=0),BN425/1,IF(BN425=0,FLOOR((BO425+BP425)/2,0.1),IF(BO425=0,(BN425+BP425)/2,IF(BP425=0,(BO425+BN425)/2,FLOOR(((BN425+BO425+BP425)/3),0.1))))))))</f>
        <v/>
      </c>
      <c r="BR425" s="21" t="n"/>
      <c r="BS425" s="21" t="n"/>
      <c r="BT425" s="27">
        <f>SUM(BR425:BS425)</f>
        <v/>
      </c>
      <c r="BU425" s="28" t="n"/>
      <c r="BV425" s="31" t="n"/>
      <c r="BW425" s="29">
        <f>IF(AND(BT425=0,BU425=0,BV425=0),0,IF(AND(BT425=0,BU425=0),BV425/1,IF(AND(BT425=0,BV425=0),BU425/1,IF(AND(BU425=0,BV425=0),BT425/1,IF(BT425=0,FLOOR((BU425+BV425)/2,0.1),IF(BU425=0,(BT425+BV425)/2,IF(BV425=0,(BU425+BT425)/2,FLOOR(((BT425+BU425+BV425)/3),0.1))))))))</f>
        <v/>
      </c>
      <c r="BX425" s="21" t="n"/>
      <c r="BY425" s="21" t="n"/>
      <c r="BZ425" s="27">
        <f>SUM(BX425:BY425)</f>
        <v/>
      </c>
      <c r="CA425" s="28" t="n"/>
      <c r="CB425" s="31" t="n"/>
      <c r="CC425" s="29">
        <f>IF(AND(BZ425=0,CA425=0,CB425=0),0,IF(AND(BZ425=0,CA425=0),CB425/1,IF(AND(BZ425=0,CB425=0),CA425/1,IF(AND(CA425=0,CB425=0),BZ425/1,IF(BZ425=0,FLOOR((CA425+CB425)/2,0.1),IF(CA425=0,(BZ425+CB425)/2,IF(CB425=0,(CA425+BZ425)/2,FLOOR(((BZ425+CA425+CB425)/3),0.1))))))))</f>
        <v/>
      </c>
      <c r="CD425" s="21" t="n"/>
      <c r="CE425" s="21" t="n"/>
      <c r="CF425" s="27">
        <f>SUM(CD425:CE425)</f>
        <v/>
      </c>
      <c r="CG425" s="28" t="n"/>
      <c r="CH425" s="31" t="n"/>
      <c r="CI425" s="29">
        <f>IF(AND(CF425=0,CG425=0,CH425=0),0,IF(AND(CF425=0,CG425=0),CH425/1,IF(AND(CF425=0,CH425=0),CG425/1,IF(AND(CG425=0,CH425=0),CF425/1,IF(CF425=0,FLOOR((CG425+CH425)/2,0.1),IF(CG425=0,(CF425+CH425)/2,IF(CH425=0,(CG425+CF425)/2,FLOOR(((CF425+CG425+CH425)/3),0.1))))))))</f>
        <v/>
      </c>
      <c r="CJ425" s="21" t="n"/>
      <c r="CK425" s="21" t="n"/>
      <c r="CL425" s="27">
        <f>SUM(CJ425:CK425)</f>
        <v/>
      </c>
      <c r="CM425" s="28" t="n"/>
      <c r="CN425" s="31" t="n"/>
      <c r="CO425" s="29">
        <f>IF(AND(CL425=0,CM425=0,CN425=0),0,IF(AND(CL425=0,CM425=0),CN425/1,IF(AND(CL425=0,CN425=0),CM425/1,IF(AND(CM425=0,CN425=0),CL425/1,IF(CL425=0,FLOOR((CM425+CN425)/2,0.1),IF(CM425=0,(CL425+CN425)/2,IF(CN425=0,(CM425+CL425)/2,FLOOR(((CL425+CM425+CN425)/3),0.1))))))))</f>
        <v/>
      </c>
      <c r="CP425" s="21" t="n"/>
      <c r="CQ425" s="21" t="n"/>
      <c r="CR425" s="27">
        <f>SUM(CP425:CQ425)</f>
        <v/>
      </c>
      <c r="CS425" s="28" t="n"/>
      <c r="CT425" s="31" t="n"/>
      <c r="CU425" s="29">
        <f>IF(AND(CR425=0,CS425=0,CT425=0),0,IF(AND(CR425=0,CS425=0),CT425/1,IF(AND(CR425=0,CT425=0),CS425/1,IF(AND(CS425=0,CT425=0),CR425/1,IF(CR425=0,FLOOR((CS425+CT425)/2,0.1),IF(CS425=0,(CR425+CT425)/2,IF(CT425=0,(CS425+CR425)/2,FLOOR(((CR425+CS425+CT425)/3),0.1))))))))</f>
        <v/>
      </c>
      <c r="CV425" s="21" t="n"/>
      <c r="CW425" s="21" t="n"/>
      <c r="CX425" s="27">
        <f>SUM(CV425:CW425)</f>
        <v/>
      </c>
      <c r="CY425" s="28" t="n"/>
      <c r="CZ425" s="31" t="n"/>
      <c r="DA425" s="29">
        <f>IF(AND(CX425=0,CY425=0,CZ425=0),0,IF(AND(CX425=0,CY425=0),CZ425/1,IF(AND(CX425=0,CZ425=0),CY425/1,IF(AND(CY425=0,CZ425=0),CX425/1,IF(CX425=0,FLOOR((CY425+CZ425)/2,0.1),IF(CY425=0,(CX425+CZ425)/2,IF(CZ425=0,(CY425+CX425)/2,FLOOR(((CX425+CY425+CZ425)/3),0.1))))))))</f>
        <v/>
      </c>
      <c r="DB425" s="21" t="n"/>
      <c r="DC425" s="21" t="n"/>
      <c r="DD425" s="27">
        <f>SUM(DB425:DC425)</f>
        <v/>
      </c>
      <c r="DE425" s="28" t="n"/>
      <c r="DF425" s="31" t="n"/>
      <c r="DG425" s="29">
        <f>IF(AND(DD425=0,DE425=0,DF425=0),0,IF(AND(DD425=0,DE425=0),DF425/1,IF(AND(DD425=0,DF425=0),DE425/1,IF(AND(DE425=0,DF425=0),DD425/1,IF(DD425=0,FLOOR((DE425+DF425)/2,0.1),IF(DE425=0,(DD425+DF425)/2,IF(DF425=0,(DE425+DD425)/2,FLOOR(((DD425+DE425+DF425)/3),0.1))))))))</f>
        <v/>
      </c>
      <c r="DH425" s="34">
        <f>SUM(O425,U425,AA425,AG425,AM425,AS425,AY425,BE425,BK425,BQ425,BW425,CC425,CI425,CO425,CU425,DA425,DG425)</f>
        <v/>
      </c>
      <c r="DI425" s="39">
        <f>RANK(DH425,DH$4:DH$503)</f>
        <v/>
      </c>
      <c r="DJ425" s="40" t="inlineStr">
        <is>
          <t>CHOOSE RATING</t>
        </is>
      </c>
      <c r="DK425" s="40" t="inlineStr">
        <is>
          <t>CHOOSE RATING</t>
        </is>
      </c>
      <c r="DL425" s="40" t="inlineStr">
        <is>
          <t>CHOOSE RATING</t>
        </is>
      </c>
      <c r="DM425" s="40" t="inlineStr">
        <is>
          <t>CHOOSE RATING</t>
        </is>
      </c>
      <c r="DN425" s="40" t="inlineStr">
        <is>
          <t>CHOOSE RATING</t>
        </is>
      </c>
      <c r="DO425" s="40" t="inlineStr">
        <is>
          <t>CHOOSE RATING</t>
        </is>
      </c>
      <c r="DP425" s="40" t="inlineStr">
        <is>
          <t>CHOOSE RATING</t>
        </is>
      </c>
      <c r="DQ425" s="40" t="inlineStr">
        <is>
          <t>CHOOSE RATING</t>
        </is>
      </c>
      <c r="DR425" s="43" t="inlineStr">
        <is>
          <t>2024/2025</t>
        </is>
      </c>
      <c r="DS425" s="45" t="inlineStr">
        <is>
          <t>THIRD</t>
        </is>
      </c>
      <c r="DT425" s="40" t="inlineStr">
        <is>
          <t>CHOOSE RATING</t>
        </is>
      </c>
      <c r="DU425" s="40" t="inlineStr">
        <is>
          <t>CHOOSE RATING</t>
        </is>
      </c>
      <c r="DV425" s="40" t="inlineStr">
        <is>
          <t>CHOOSE RATING</t>
        </is>
      </c>
      <c r="DW425" s="40" t="inlineStr">
        <is>
          <t>CHOOSE RATING</t>
        </is>
      </c>
      <c r="DX425" s="40" t="inlineStr">
        <is>
          <t>CHOOSE RATING</t>
        </is>
      </c>
      <c r="DY425" s="40" t="inlineStr">
        <is>
          <t>CHOOSE RATING</t>
        </is>
      </c>
      <c r="DZ425" s="53" t="inlineStr">
        <is>
          <t>CHOOSE RATING</t>
        </is>
      </c>
      <c r="EA425" s="54" t="inlineStr">
        <is>
          <t>Add the Tutor's Comment . . .</t>
        </is>
      </c>
      <c r="EB425" s="55" t="inlineStr">
        <is>
          <t>Choose Principals comment</t>
        </is>
      </c>
      <c r="EC425" s="56" t="n"/>
      <c r="ED425" s="57" t="inlineStr">
        <is>
          <t>Next Term Begins on Monday, 22nd September, 2025</t>
        </is>
      </c>
    </row>
    <row r="426" ht="30.6" customHeight="1" s="6">
      <c r="A426" s="18" t="n">
        <v>423</v>
      </c>
      <c r="B426" s="19" t="n"/>
      <c r="C426" s="20" t="n"/>
      <c r="D426" s="128" t="n"/>
      <c r="E426" s="21" t="n"/>
      <c r="F426" s="22" t="n"/>
      <c r="G426" s="22" t="n"/>
      <c r="H426" s="22" t="n"/>
      <c r="I426" s="26">
        <f>G426-H426</f>
        <v/>
      </c>
      <c r="J426" s="21" t="n"/>
      <c r="K426" s="21" t="n"/>
      <c r="L426" s="27">
        <f>SUM(J426:K426)</f>
        <v/>
      </c>
      <c r="M426" s="28" t="n"/>
      <c r="N426" s="28" t="n"/>
      <c r="O426" s="29">
        <f>IF(AND(L426=0,M426=0,N426=0),0,IF(AND(L426=0,M426=0),N426/1,IF(AND(L426=0,N426=0),M426/1,IF(AND(M426=0,N426=0),L426/1,IF(L426=0,FLOOR((M426+N426)/2,0.1),IF(M426=0,(L426+N426)/2,IF(N426=0,(M426+L426)/2,FLOOR(((L426+M426+N426)/3),0.1))))))))</f>
        <v/>
      </c>
      <c r="P426" s="21" t="n"/>
      <c r="Q426" s="21" t="n"/>
      <c r="R426" s="27">
        <f>SUM(P426:Q426)</f>
        <v/>
      </c>
      <c r="S426" s="28" t="n"/>
      <c r="T426" s="28" t="n"/>
      <c r="U426" s="29">
        <f>IF(AND(R426=0,S426=0,T426=0),0,IF(AND(R426=0,S426=0),T426/1,IF(AND(R426=0,T426=0),S426/1,IF(AND(S426=0,T426=0),R426/1,IF(R426=0,FLOOR((S426+T426)/2,0.1),IF(S426=0,(R426+T426)/2,IF(T426=0,(S426+R426)/2,FLOOR(((R426+S426+T426)/3),0.1))))))))</f>
        <v/>
      </c>
      <c r="V426" s="21" t="n"/>
      <c r="W426" s="21" t="n"/>
      <c r="X426" s="27">
        <f>SUM(V426:W426)</f>
        <v/>
      </c>
      <c r="Y426" s="28" t="n"/>
      <c r="Z426" s="28" t="n"/>
      <c r="AA426" s="29">
        <f>IF(AND(X426=0,Y426=0,Z426=0),0,IF(AND(X426=0,Y426=0),Z426/1,IF(AND(X426=0,Z426=0),Y426/1,IF(AND(Y426=0,Z426=0),X426/1,IF(X426=0,FLOOR((Y426+Z426)/2,0.1),IF(Y426=0,(X426+Z426)/2,IF(Z426=0,(Y426+X426)/2,FLOOR(((X426+Y426+Z426)/3),0.1))))))))</f>
        <v/>
      </c>
      <c r="AB426" s="21" t="n"/>
      <c r="AC426" s="21" t="n"/>
      <c r="AD426" s="27">
        <f>SUM(AB426:AC426)</f>
        <v/>
      </c>
      <c r="AE426" s="28" t="n"/>
      <c r="AF426" s="28" t="n"/>
      <c r="AG426" s="29">
        <f>IF(AND(AD426=0,AE426=0,AF426=0),0,IF(AND(AD426=0,AE426=0),AF426/1,IF(AND(AD426=0,AF426=0),AE426/1,IF(AND(AE426=0,AF426=0),AD426/1,IF(AD426=0,FLOOR((AE426+AF426)/2,0.1),IF(AE426=0,(AD426+AF426)/2,IF(AF426=0,(AE426+AD426)/2,FLOOR(((AD426+AE426+AF426)/3),0.1))))))))</f>
        <v/>
      </c>
      <c r="AH426" s="21" t="n"/>
      <c r="AI426" s="21" t="n"/>
      <c r="AJ426" s="27">
        <f>SUM(AH426:AI426)</f>
        <v/>
      </c>
      <c r="AK426" s="28" t="n"/>
      <c r="AL426" s="28" t="n"/>
      <c r="AM426" s="29">
        <f>IF(AND(AJ426=0,AK426=0,AL426=0),0,IF(AND(AJ426=0,AK426=0),AL426/1,IF(AND(AJ426=0,AL426=0),AK426/1,IF(AND(AK426=0,AL426=0),AJ426/1,IF(AJ426=0,FLOOR((AK426+AL426)/2,0.1),IF(AK426=0,(AJ426+AL426)/2,IF(AL426=0,(AK426+AJ426)/2,FLOOR(((AJ426+AK426+AL426)/3),0.1))))))))</f>
        <v/>
      </c>
      <c r="AN426" s="21" t="n"/>
      <c r="AO426" s="21" t="n"/>
      <c r="AP426" s="27">
        <f>SUM(AN426:AO426)</f>
        <v/>
      </c>
      <c r="AQ426" s="28" t="n"/>
      <c r="AR426" s="30" t="n"/>
      <c r="AS426" s="29">
        <f>IF(AND(AP426=0,AQ426=0,AR426=0),0,IF(AND(AP426=0,AQ426=0),AR426/1,IF(AND(AP426=0,AR426=0),AQ426/1,IF(AND(AQ426=0,AR426=0),AP426/1,IF(AP426=0,FLOOR((AQ426+AR426)/2,0.1),IF(AQ426=0,(AP426+AR426)/2,IF(AR426=0,(AQ426+AP426)/2,FLOOR(((AP426+AQ426+AR426)/3),0.1))))))))</f>
        <v/>
      </c>
      <c r="AT426" s="21" t="n"/>
      <c r="AU426" s="21" t="n"/>
      <c r="AV426" s="27">
        <f>SUM(AT426:AU426)</f>
        <v/>
      </c>
      <c r="AW426" s="28" t="n"/>
      <c r="AX426" s="30" t="n"/>
      <c r="AY426" s="29">
        <f>IF(AND(AV426=0,AW426=0,AX426=0),0,IF(AND(AV426=0,AW426=0),AX426/1,IF(AND(AV426=0,AX426=0),AW426/1,IF(AND(AW426=0,AX426=0),AV426/1,IF(AV426=0,FLOOR((AW426+AX426)/2,0.1),IF(AW426=0,(AV426+AX426)/2,IF(AX426=0,(AW426+AV426)/2,FLOOR(((AV426+AW426+AX426)/3),0.1))))))))</f>
        <v/>
      </c>
      <c r="AZ426" s="21" t="n"/>
      <c r="BA426" s="21" t="n"/>
      <c r="BB426" s="27">
        <f>SUM(AZ426:BA426)</f>
        <v/>
      </c>
      <c r="BC426" s="28" t="n"/>
      <c r="BD426" s="28" t="n"/>
      <c r="BE426" s="29">
        <f>IF(AND(BB426=0,BC426=0,BD426=0),0,IF(AND(BB426=0,BC426=0),BD426/1,IF(AND(BB426=0,BD426=0),BC426/1,IF(AND(BC426=0,BD426=0),BB426/1,IF(BB426=0,FLOOR((BC426+BD426)/2,0.1),IF(BC426=0,(BB426+BD426)/2,IF(BD426=0,(BC426+BB426)/2,FLOOR(((BB426+BC426+BD426)/3),0.1))))))))</f>
        <v/>
      </c>
      <c r="BF426" s="21" t="n"/>
      <c r="BG426" s="21" t="n"/>
      <c r="BH426" s="27">
        <f>SUM(BF426:BG426)</f>
        <v/>
      </c>
      <c r="BI426" s="28" t="n"/>
      <c r="BJ426" s="28" t="n"/>
      <c r="BK426" s="29">
        <f>IF(AND(BH426=0,BI426=0,BJ426=0),0,IF(AND(BH426=0,BI426=0),BJ426/1,IF(AND(BH426=0,BJ426=0),BI426/1,IF(AND(BI426=0,BJ426=0),BH426/1,IF(BH426=0,FLOOR((BI426+BJ426)/2,0.1),IF(BI426=0,(BH426+BJ426)/2,IF(BJ426=0,(BI426+BH426)/2,FLOOR(((BH426+BI426+BJ426)/3),0.1))))))))</f>
        <v/>
      </c>
      <c r="BL426" s="21" t="n"/>
      <c r="BM426" s="21" t="n"/>
      <c r="BN426" s="27">
        <f>SUM(BL426:BM426)</f>
        <v/>
      </c>
      <c r="BO426" s="28" t="n"/>
      <c r="BP426" s="31" t="n"/>
      <c r="BQ426" s="29">
        <f>IF(AND(BN426=0,BO426=0,BP426=0),0,IF(AND(BN426=0,BO426=0),BP426/1,IF(AND(BN426=0,BP426=0),BO426/1,IF(AND(BO426=0,BP426=0),BN426/1,IF(BN426=0,FLOOR((BO426+BP426)/2,0.1),IF(BO426=0,(BN426+BP426)/2,IF(BP426=0,(BO426+BN426)/2,FLOOR(((BN426+BO426+BP426)/3),0.1))))))))</f>
        <v/>
      </c>
      <c r="BR426" s="21" t="n"/>
      <c r="BS426" s="21" t="n"/>
      <c r="BT426" s="27">
        <f>SUM(BR426:BS426)</f>
        <v/>
      </c>
      <c r="BU426" s="28" t="n"/>
      <c r="BV426" s="31" t="n"/>
      <c r="BW426" s="29">
        <f>IF(AND(BT426=0,BU426=0,BV426=0),0,IF(AND(BT426=0,BU426=0),BV426/1,IF(AND(BT426=0,BV426=0),BU426/1,IF(AND(BU426=0,BV426=0),BT426/1,IF(BT426=0,FLOOR((BU426+BV426)/2,0.1),IF(BU426=0,(BT426+BV426)/2,IF(BV426=0,(BU426+BT426)/2,FLOOR(((BT426+BU426+BV426)/3),0.1))))))))</f>
        <v/>
      </c>
      <c r="BX426" s="21" t="n"/>
      <c r="BY426" s="21" t="n"/>
      <c r="BZ426" s="27">
        <f>SUM(BX426:BY426)</f>
        <v/>
      </c>
      <c r="CA426" s="28" t="n"/>
      <c r="CB426" s="31" t="n"/>
      <c r="CC426" s="29">
        <f>IF(AND(BZ426=0,CA426=0,CB426=0),0,IF(AND(BZ426=0,CA426=0),CB426/1,IF(AND(BZ426=0,CB426=0),CA426/1,IF(AND(CA426=0,CB426=0),BZ426/1,IF(BZ426=0,FLOOR((CA426+CB426)/2,0.1),IF(CA426=0,(BZ426+CB426)/2,IF(CB426=0,(CA426+BZ426)/2,FLOOR(((BZ426+CA426+CB426)/3),0.1))))))))</f>
        <v/>
      </c>
      <c r="CD426" s="21" t="n"/>
      <c r="CE426" s="21" t="n"/>
      <c r="CF426" s="27">
        <f>SUM(CD426:CE426)</f>
        <v/>
      </c>
      <c r="CG426" s="28" t="n"/>
      <c r="CH426" s="31" t="n"/>
      <c r="CI426" s="29">
        <f>IF(AND(CF426=0,CG426=0,CH426=0),0,IF(AND(CF426=0,CG426=0),CH426/1,IF(AND(CF426=0,CH426=0),CG426/1,IF(AND(CG426=0,CH426=0),CF426/1,IF(CF426=0,FLOOR((CG426+CH426)/2,0.1),IF(CG426=0,(CF426+CH426)/2,IF(CH426=0,(CG426+CF426)/2,FLOOR(((CF426+CG426+CH426)/3),0.1))))))))</f>
        <v/>
      </c>
      <c r="CJ426" s="21" t="n"/>
      <c r="CK426" s="21" t="n"/>
      <c r="CL426" s="27">
        <f>SUM(CJ426:CK426)</f>
        <v/>
      </c>
      <c r="CM426" s="28" t="n"/>
      <c r="CN426" s="31" t="n"/>
      <c r="CO426" s="29">
        <f>IF(AND(CL426=0,CM426=0,CN426=0),0,IF(AND(CL426=0,CM426=0),CN426/1,IF(AND(CL426=0,CN426=0),CM426/1,IF(AND(CM426=0,CN426=0),CL426/1,IF(CL426=0,FLOOR((CM426+CN426)/2,0.1),IF(CM426=0,(CL426+CN426)/2,IF(CN426=0,(CM426+CL426)/2,FLOOR(((CL426+CM426+CN426)/3),0.1))))))))</f>
        <v/>
      </c>
      <c r="CP426" s="21" t="n"/>
      <c r="CQ426" s="21" t="n"/>
      <c r="CR426" s="27">
        <f>SUM(CP426:CQ426)</f>
        <v/>
      </c>
      <c r="CS426" s="28" t="n"/>
      <c r="CT426" s="31" t="n"/>
      <c r="CU426" s="29">
        <f>IF(AND(CR426=0,CS426=0,CT426=0),0,IF(AND(CR426=0,CS426=0),CT426/1,IF(AND(CR426=0,CT426=0),CS426/1,IF(AND(CS426=0,CT426=0),CR426/1,IF(CR426=0,FLOOR((CS426+CT426)/2,0.1),IF(CS426=0,(CR426+CT426)/2,IF(CT426=0,(CS426+CR426)/2,FLOOR(((CR426+CS426+CT426)/3),0.1))))))))</f>
        <v/>
      </c>
      <c r="CV426" s="21" t="n"/>
      <c r="CW426" s="21" t="n"/>
      <c r="CX426" s="27">
        <f>SUM(CV426:CW426)</f>
        <v/>
      </c>
      <c r="CY426" s="28" t="n"/>
      <c r="CZ426" s="31" t="n"/>
      <c r="DA426" s="29">
        <f>IF(AND(CX426=0,CY426=0,CZ426=0),0,IF(AND(CX426=0,CY426=0),CZ426/1,IF(AND(CX426=0,CZ426=0),CY426/1,IF(AND(CY426=0,CZ426=0),CX426/1,IF(CX426=0,FLOOR((CY426+CZ426)/2,0.1),IF(CY426=0,(CX426+CZ426)/2,IF(CZ426=0,(CY426+CX426)/2,FLOOR(((CX426+CY426+CZ426)/3),0.1))))))))</f>
        <v/>
      </c>
      <c r="DB426" s="21" t="n"/>
      <c r="DC426" s="21" t="n"/>
      <c r="DD426" s="27">
        <f>SUM(DB426:DC426)</f>
        <v/>
      </c>
      <c r="DE426" s="28" t="n"/>
      <c r="DF426" s="31" t="n"/>
      <c r="DG426" s="29">
        <f>IF(AND(DD426=0,DE426=0,DF426=0),0,IF(AND(DD426=0,DE426=0),DF426/1,IF(AND(DD426=0,DF426=0),DE426/1,IF(AND(DE426=0,DF426=0),DD426/1,IF(DD426=0,FLOOR((DE426+DF426)/2,0.1),IF(DE426=0,(DD426+DF426)/2,IF(DF426=0,(DE426+DD426)/2,FLOOR(((DD426+DE426+DF426)/3),0.1))))))))</f>
        <v/>
      </c>
      <c r="DH426" s="34">
        <f>SUM(O426,U426,AA426,AG426,AM426,AS426,AY426,BE426,BK426,BQ426,BW426,CC426,CI426,CO426,CU426,DA426,DG426)</f>
        <v/>
      </c>
      <c r="DI426" s="39">
        <f>RANK(DH426,DH$4:DH$503)</f>
        <v/>
      </c>
      <c r="DJ426" s="40" t="inlineStr">
        <is>
          <t>CHOOSE RATING</t>
        </is>
      </c>
      <c r="DK426" s="40" t="inlineStr">
        <is>
          <t>CHOOSE RATING</t>
        </is>
      </c>
      <c r="DL426" s="40" t="inlineStr">
        <is>
          <t>CHOOSE RATING</t>
        </is>
      </c>
      <c r="DM426" s="40" t="inlineStr">
        <is>
          <t>CHOOSE RATING</t>
        </is>
      </c>
      <c r="DN426" s="40" t="inlineStr">
        <is>
          <t>CHOOSE RATING</t>
        </is>
      </c>
      <c r="DO426" s="40" t="inlineStr">
        <is>
          <t>CHOOSE RATING</t>
        </is>
      </c>
      <c r="DP426" s="40" t="inlineStr">
        <is>
          <t>CHOOSE RATING</t>
        </is>
      </c>
      <c r="DQ426" s="40" t="inlineStr">
        <is>
          <t>CHOOSE RATING</t>
        </is>
      </c>
      <c r="DR426" s="43" t="inlineStr">
        <is>
          <t>2024/2025</t>
        </is>
      </c>
      <c r="DS426" s="45" t="inlineStr">
        <is>
          <t>THIRD</t>
        </is>
      </c>
      <c r="DT426" s="40" t="inlineStr">
        <is>
          <t>CHOOSE RATING</t>
        </is>
      </c>
      <c r="DU426" s="40" t="inlineStr">
        <is>
          <t>CHOOSE RATING</t>
        </is>
      </c>
      <c r="DV426" s="40" t="inlineStr">
        <is>
          <t>CHOOSE RATING</t>
        </is>
      </c>
      <c r="DW426" s="40" t="inlineStr">
        <is>
          <t>CHOOSE RATING</t>
        </is>
      </c>
      <c r="DX426" s="40" t="inlineStr">
        <is>
          <t>CHOOSE RATING</t>
        </is>
      </c>
      <c r="DY426" s="40" t="inlineStr">
        <is>
          <t>CHOOSE RATING</t>
        </is>
      </c>
      <c r="DZ426" s="53" t="inlineStr">
        <is>
          <t>CHOOSE RATING</t>
        </is>
      </c>
      <c r="EA426" s="54" t="inlineStr">
        <is>
          <t>Add the Tutor's Comment . . .</t>
        </is>
      </c>
      <c r="EB426" s="55" t="inlineStr">
        <is>
          <t>Choose Principals comment</t>
        </is>
      </c>
      <c r="EC426" s="56" t="n"/>
      <c r="ED426" s="57" t="inlineStr">
        <is>
          <t>Next Term Begins on Monday, 22nd September, 2025</t>
        </is>
      </c>
    </row>
    <row r="427" ht="30.6" customHeight="1" s="6">
      <c r="A427" s="18" t="n">
        <v>424</v>
      </c>
      <c r="B427" s="19" t="n"/>
      <c r="C427" s="20" t="n"/>
      <c r="D427" s="128" t="n"/>
      <c r="E427" s="21" t="n"/>
      <c r="F427" s="22" t="n"/>
      <c r="G427" s="22" t="n"/>
      <c r="H427" s="22" t="n"/>
      <c r="I427" s="26">
        <f>G427-H427</f>
        <v/>
      </c>
      <c r="J427" s="21" t="n"/>
      <c r="K427" s="21" t="n"/>
      <c r="L427" s="27">
        <f>SUM(J427:K427)</f>
        <v/>
      </c>
      <c r="M427" s="28" t="n"/>
      <c r="N427" s="28" t="n"/>
      <c r="O427" s="29">
        <f>IF(AND(L427=0,M427=0,N427=0),0,IF(AND(L427=0,M427=0),N427/1,IF(AND(L427=0,N427=0),M427/1,IF(AND(M427=0,N427=0),L427/1,IF(L427=0,FLOOR((M427+N427)/2,0.1),IF(M427=0,(L427+N427)/2,IF(N427=0,(M427+L427)/2,FLOOR(((L427+M427+N427)/3),0.1))))))))</f>
        <v/>
      </c>
      <c r="P427" s="21" t="n"/>
      <c r="Q427" s="21" t="n"/>
      <c r="R427" s="27">
        <f>SUM(P427:Q427)</f>
        <v/>
      </c>
      <c r="S427" s="28" t="n"/>
      <c r="T427" s="28" t="n"/>
      <c r="U427" s="29">
        <f>IF(AND(R427=0,S427=0,T427=0),0,IF(AND(R427=0,S427=0),T427/1,IF(AND(R427=0,T427=0),S427/1,IF(AND(S427=0,T427=0),R427/1,IF(R427=0,FLOOR((S427+T427)/2,0.1),IF(S427=0,(R427+T427)/2,IF(T427=0,(S427+R427)/2,FLOOR(((R427+S427+T427)/3),0.1))))))))</f>
        <v/>
      </c>
      <c r="V427" s="21" t="n"/>
      <c r="W427" s="21" t="n"/>
      <c r="X427" s="27">
        <f>SUM(V427:W427)</f>
        <v/>
      </c>
      <c r="Y427" s="28" t="n"/>
      <c r="Z427" s="28" t="n"/>
      <c r="AA427" s="29">
        <f>IF(AND(X427=0,Y427=0,Z427=0),0,IF(AND(X427=0,Y427=0),Z427/1,IF(AND(X427=0,Z427=0),Y427/1,IF(AND(Y427=0,Z427=0),X427/1,IF(X427=0,FLOOR((Y427+Z427)/2,0.1),IF(Y427=0,(X427+Z427)/2,IF(Z427=0,(Y427+X427)/2,FLOOR(((X427+Y427+Z427)/3),0.1))))))))</f>
        <v/>
      </c>
      <c r="AB427" s="21" t="n"/>
      <c r="AC427" s="21" t="n"/>
      <c r="AD427" s="27">
        <f>SUM(AB427:AC427)</f>
        <v/>
      </c>
      <c r="AE427" s="28" t="n"/>
      <c r="AF427" s="28" t="n"/>
      <c r="AG427" s="29">
        <f>IF(AND(AD427=0,AE427=0,AF427=0),0,IF(AND(AD427=0,AE427=0),AF427/1,IF(AND(AD427=0,AF427=0),AE427/1,IF(AND(AE427=0,AF427=0),AD427/1,IF(AD427=0,FLOOR((AE427+AF427)/2,0.1),IF(AE427=0,(AD427+AF427)/2,IF(AF427=0,(AE427+AD427)/2,FLOOR(((AD427+AE427+AF427)/3),0.1))))))))</f>
        <v/>
      </c>
      <c r="AH427" s="21" t="n"/>
      <c r="AI427" s="21" t="n"/>
      <c r="AJ427" s="27">
        <f>SUM(AH427:AI427)</f>
        <v/>
      </c>
      <c r="AK427" s="28" t="n"/>
      <c r="AL427" s="28" t="n"/>
      <c r="AM427" s="29">
        <f>IF(AND(AJ427=0,AK427=0,AL427=0),0,IF(AND(AJ427=0,AK427=0),AL427/1,IF(AND(AJ427=0,AL427=0),AK427/1,IF(AND(AK427=0,AL427=0),AJ427/1,IF(AJ427=0,FLOOR((AK427+AL427)/2,0.1),IF(AK427=0,(AJ427+AL427)/2,IF(AL427=0,(AK427+AJ427)/2,FLOOR(((AJ427+AK427+AL427)/3),0.1))))))))</f>
        <v/>
      </c>
      <c r="AN427" s="21" t="n"/>
      <c r="AO427" s="21" t="n"/>
      <c r="AP427" s="27">
        <f>SUM(AN427:AO427)</f>
        <v/>
      </c>
      <c r="AQ427" s="28" t="n"/>
      <c r="AR427" s="30" t="n"/>
      <c r="AS427" s="29">
        <f>IF(AND(AP427=0,AQ427=0,AR427=0),0,IF(AND(AP427=0,AQ427=0),AR427/1,IF(AND(AP427=0,AR427=0),AQ427/1,IF(AND(AQ427=0,AR427=0),AP427/1,IF(AP427=0,FLOOR((AQ427+AR427)/2,0.1),IF(AQ427=0,(AP427+AR427)/2,IF(AR427=0,(AQ427+AP427)/2,FLOOR(((AP427+AQ427+AR427)/3),0.1))))))))</f>
        <v/>
      </c>
      <c r="AT427" s="21" t="n"/>
      <c r="AU427" s="21" t="n"/>
      <c r="AV427" s="27">
        <f>SUM(AT427:AU427)</f>
        <v/>
      </c>
      <c r="AW427" s="28" t="n"/>
      <c r="AX427" s="30" t="n"/>
      <c r="AY427" s="29">
        <f>IF(AND(AV427=0,AW427=0,AX427=0),0,IF(AND(AV427=0,AW427=0),AX427/1,IF(AND(AV427=0,AX427=0),AW427/1,IF(AND(AW427=0,AX427=0),AV427/1,IF(AV427=0,FLOOR((AW427+AX427)/2,0.1),IF(AW427=0,(AV427+AX427)/2,IF(AX427=0,(AW427+AV427)/2,FLOOR(((AV427+AW427+AX427)/3),0.1))))))))</f>
        <v/>
      </c>
      <c r="AZ427" s="21" t="n"/>
      <c r="BA427" s="21" t="n"/>
      <c r="BB427" s="27">
        <f>SUM(AZ427:BA427)</f>
        <v/>
      </c>
      <c r="BC427" s="28" t="n"/>
      <c r="BD427" s="28" t="n"/>
      <c r="BE427" s="29">
        <f>IF(AND(BB427=0,BC427=0,BD427=0),0,IF(AND(BB427=0,BC427=0),BD427/1,IF(AND(BB427=0,BD427=0),BC427/1,IF(AND(BC427=0,BD427=0),BB427/1,IF(BB427=0,FLOOR((BC427+BD427)/2,0.1),IF(BC427=0,(BB427+BD427)/2,IF(BD427=0,(BC427+BB427)/2,FLOOR(((BB427+BC427+BD427)/3),0.1))))))))</f>
        <v/>
      </c>
      <c r="BF427" s="21" t="n"/>
      <c r="BG427" s="21" t="n"/>
      <c r="BH427" s="27">
        <f>SUM(BF427:BG427)</f>
        <v/>
      </c>
      <c r="BI427" s="28" t="n"/>
      <c r="BJ427" s="28" t="n"/>
      <c r="BK427" s="29">
        <f>IF(AND(BH427=0,BI427=0,BJ427=0),0,IF(AND(BH427=0,BI427=0),BJ427/1,IF(AND(BH427=0,BJ427=0),BI427/1,IF(AND(BI427=0,BJ427=0),BH427/1,IF(BH427=0,FLOOR((BI427+BJ427)/2,0.1),IF(BI427=0,(BH427+BJ427)/2,IF(BJ427=0,(BI427+BH427)/2,FLOOR(((BH427+BI427+BJ427)/3),0.1))))))))</f>
        <v/>
      </c>
      <c r="BL427" s="21" t="n"/>
      <c r="BM427" s="21" t="n"/>
      <c r="BN427" s="27">
        <f>SUM(BL427:BM427)</f>
        <v/>
      </c>
      <c r="BO427" s="28" t="n"/>
      <c r="BP427" s="31" t="n"/>
      <c r="BQ427" s="29">
        <f>IF(AND(BN427=0,BO427=0,BP427=0),0,IF(AND(BN427=0,BO427=0),BP427/1,IF(AND(BN427=0,BP427=0),BO427/1,IF(AND(BO427=0,BP427=0),BN427/1,IF(BN427=0,FLOOR((BO427+BP427)/2,0.1),IF(BO427=0,(BN427+BP427)/2,IF(BP427=0,(BO427+BN427)/2,FLOOR(((BN427+BO427+BP427)/3),0.1))))))))</f>
        <v/>
      </c>
      <c r="BR427" s="21" t="n"/>
      <c r="BS427" s="21" t="n"/>
      <c r="BT427" s="27">
        <f>SUM(BR427:BS427)</f>
        <v/>
      </c>
      <c r="BU427" s="28" t="n"/>
      <c r="BV427" s="31" t="n"/>
      <c r="BW427" s="29">
        <f>IF(AND(BT427=0,BU427=0,BV427=0),0,IF(AND(BT427=0,BU427=0),BV427/1,IF(AND(BT427=0,BV427=0),BU427/1,IF(AND(BU427=0,BV427=0),BT427/1,IF(BT427=0,FLOOR((BU427+BV427)/2,0.1),IF(BU427=0,(BT427+BV427)/2,IF(BV427=0,(BU427+BT427)/2,FLOOR(((BT427+BU427+BV427)/3),0.1))))))))</f>
        <v/>
      </c>
      <c r="BX427" s="21" t="n"/>
      <c r="BY427" s="21" t="n"/>
      <c r="BZ427" s="27">
        <f>SUM(BX427:BY427)</f>
        <v/>
      </c>
      <c r="CA427" s="28" t="n"/>
      <c r="CB427" s="31" t="n"/>
      <c r="CC427" s="29">
        <f>IF(AND(BZ427=0,CA427=0,CB427=0),0,IF(AND(BZ427=0,CA427=0),CB427/1,IF(AND(BZ427=0,CB427=0),CA427/1,IF(AND(CA427=0,CB427=0),BZ427/1,IF(BZ427=0,FLOOR((CA427+CB427)/2,0.1),IF(CA427=0,(BZ427+CB427)/2,IF(CB427=0,(CA427+BZ427)/2,FLOOR(((BZ427+CA427+CB427)/3),0.1))))))))</f>
        <v/>
      </c>
      <c r="CD427" s="21" t="n"/>
      <c r="CE427" s="21" t="n"/>
      <c r="CF427" s="27">
        <f>SUM(CD427:CE427)</f>
        <v/>
      </c>
      <c r="CG427" s="28" t="n"/>
      <c r="CH427" s="31" t="n"/>
      <c r="CI427" s="29">
        <f>IF(AND(CF427=0,CG427=0,CH427=0),0,IF(AND(CF427=0,CG427=0),CH427/1,IF(AND(CF427=0,CH427=0),CG427/1,IF(AND(CG427=0,CH427=0),CF427/1,IF(CF427=0,FLOOR((CG427+CH427)/2,0.1),IF(CG427=0,(CF427+CH427)/2,IF(CH427=0,(CG427+CF427)/2,FLOOR(((CF427+CG427+CH427)/3),0.1))))))))</f>
        <v/>
      </c>
      <c r="CJ427" s="21" t="n"/>
      <c r="CK427" s="21" t="n"/>
      <c r="CL427" s="27">
        <f>SUM(CJ427:CK427)</f>
        <v/>
      </c>
      <c r="CM427" s="28" t="n"/>
      <c r="CN427" s="31" t="n"/>
      <c r="CO427" s="29">
        <f>IF(AND(CL427=0,CM427=0,CN427=0),0,IF(AND(CL427=0,CM427=0),CN427/1,IF(AND(CL427=0,CN427=0),CM427/1,IF(AND(CM427=0,CN427=0),CL427/1,IF(CL427=0,FLOOR((CM427+CN427)/2,0.1),IF(CM427=0,(CL427+CN427)/2,IF(CN427=0,(CM427+CL427)/2,FLOOR(((CL427+CM427+CN427)/3),0.1))))))))</f>
        <v/>
      </c>
      <c r="CP427" s="21" t="n"/>
      <c r="CQ427" s="21" t="n"/>
      <c r="CR427" s="27">
        <f>SUM(CP427:CQ427)</f>
        <v/>
      </c>
      <c r="CS427" s="28" t="n"/>
      <c r="CT427" s="31" t="n"/>
      <c r="CU427" s="29">
        <f>IF(AND(CR427=0,CS427=0,CT427=0),0,IF(AND(CR427=0,CS427=0),CT427/1,IF(AND(CR427=0,CT427=0),CS427/1,IF(AND(CS427=0,CT427=0),CR427/1,IF(CR427=0,FLOOR((CS427+CT427)/2,0.1),IF(CS427=0,(CR427+CT427)/2,IF(CT427=0,(CS427+CR427)/2,FLOOR(((CR427+CS427+CT427)/3),0.1))))))))</f>
        <v/>
      </c>
      <c r="CV427" s="21" t="n"/>
      <c r="CW427" s="21" t="n"/>
      <c r="CX427" s="27">
        <f>SUM(CV427:CW427)</f>
        <v/>
      </c>
      <c r="CY427" s="28" t="n"/>
      <c r="CZ427" s="31" t="n"/>
      <c r="DA427" s="29">
        <f>IF(AND(CX427=0,CY427=0,CZ427=0),0,IF(AND(CX427=0,CY427=0),CZ427/1,IF(AND(CX427=0,CZ427=0),CY427/1,IF(AND(CY427=0,CZ427=0),CX427/1,IF(CX427=0,FLOOR((CY427+CZ427)/2,0.1),IF(CY427=0,(CX427+CZ427)/2,IF(CZ427=0,(CY427+CX427)/2,FLOOR(((CX427+CY427+CZ427)/3),0.1))))))))</f>
        <v/>
      </c>
      <c r="DB427" s="21" t="n"/>
      <c r="DC427" s="21" t="n"/>
      <c r="DD427" s="27">
        <f>SUM(DB427:DC427)</f>
        <v/>
      </c>
      <c r="DE427" s="28" t="n"/>
      <c r="DF427" s="31" t="n"/>
      <c r="DG427" s="29">
        <f>IF(AND(DD427=0,DE427=0,DF427=0),0,IF(AND(DD427=0,DE427=0),DF427/1,IF(AND(DD427=0,DF427=0),DE427/1,IF(AND(DE427=0,DF427=0),DD427/1,IF(DD427=0,FLOOR((DE427+DF427)/2,0.1),IF(DE427=0,(DD427+DF427)/2,IF(DF427=0,(DE427+DD427)/2,FLOOR(((DD427+DE427+DF427)/3),0.1))))))))</f>
        <v/>
      </c>
      <c r="DH427" s="34">
        <f>SUM(O427,U427,AA427,AG427,AM427,AS427,AY427,BE427,BK427,BQ427,BW427,CC427,CI427,CO427,CU427,DA427,DG427)</f>
        <v/>
      </c>
      <c r="DI427" s="39">
        <f>RANK(DH427,DH$4:DH$503)</f>
        <v/>
      </c>
      <c r="DJ427" s="40" t="inlineStr">
        <is>
          <t>CHOOSE RATING</t>
        </is>
      </c>
      <c r="DK427" s="40" t="inlineStr">
        <is>
          <t>CHOOSE RATING</t>
        </is>
      </c>
      <c r="DL427" s="40" t="inlineStr">
        <is>
          <t>CHOOSE RATING</t>
        </is>
      </c>
      <c r="DM427" s="40" t="inlineStr">
        <is>
          <t>CHOOSE RATING</t>
        </is>
      </c>
      <c r="DN427" s="40" t="inlineStr">
        <is>
          <t>CHOOSE RATING</t>
        </is>
      </c>
      <c r="DO427" s="40" t="inlineStr">
        <is>
          <t>CHOOSE RATING</t>
        </is>
      </c>
      <c r="DP427" s="40" t="inlineStr">
        <is>
          <t>CHOOSE RATING</t>
        </is>
      </c>
      <c r="DQ427" s="40" t="inlineStr">
        <is>
          <t>CHOOSE RATING</t>
        </is>
      </c>
      <c r="DR427" s="43" t="inlineStr">
        <is>
          <t>2024/2025</t>
        </is>
      </c>
      <c r="DS427" s="45" t="inlineStr">
        <is>
          <t>THIRD</t>
        </is>
      </c>
      <c r="DT427" s="40" t="inlineStr">
        <is>
          <t>CHOOSE RATING</t>
        </is>
      </c>
      <c r="DU427" s="40" t="inlineStr">
        <is>
          <t>CHOOSE RATING</t>
        </is>
      </c>
      <c r="DV427" s="40" t="inlineStr">
        <is>
          <t>CHOOSE RATING</t>
        </is>
      </c>
      <c r="DW427" s="40" t="inlineStr">
        <is>
          <t>CHOOSE RATING</t>
        </is>
      </c>
      <c r="DX427" s="40" t="inlineStr">
        <is>
          <t>CHOOSE RATING</t>
        </is>
      </c>
      <c r="DY427" s="40" t="inlineStr">
        <is>
          <t>CHOOSE RATING</t>
        </is>
      </c>
      <c r="DZ427" s="53" t="inlineStr">
        <is>
          <t>CHOOSE RATING</t>
        </is>
      </c>
      <c r="EA427" s="54" t="inlineStr">
        <is>
          <t>Add the Tutor's Comment . . .</t>
        </is>
      </c>
      <c r="EB427" s="55" t="inlineStr">
        <is>
          <t>Choose Principals comment</t>
        </is>
      </c>
      <c r="EC427" s="56" t="n"/>
      <c r="ED427" s="57" t="inlineStr">
        <is>
          <t>Next Term Begins on Monday, 22nd September, 2025</t>
        </is>
      </c>
    </row>
    <row r="428" ht="30.6" customHeight="1" s="6">
      <c r="A428" s="18" t="n">
        <v>425</v>
      </c>
      <c r="B428" s="19" t="n"/>
      <c r="C428" s="20" t="n"/>
      <c r="D428" s="128" t="n"/>
      <c r="E428" s="21" t="n"/>
      <c r="F428" s="22" t="n"/>
      <c r="G428" s="22" t="n"/>
      <c r="H428" s="22" t="n"/>
      <c r="I428" s="26">
        <f>G428-H428</f>
        <v/>
      </c>
      <c r="J428" s="21" t="n"/>
      <c r="K428" s="21" t="n"/>
      <c r="L428" s="27">
        <f>SUM(J428:K428)</f>
        <v/>
      </c>
      <c r="M428" s="28" t="n"/>
      <c r="N428" s="28" t="n"/>
      <c r="O428" s="29">
        <f>IF(AND(L428=0,M428=0,N428=0),0,IF(AND(L428=0,M428=0),N428/1,IF(AND(L428=0,N428=0),M428/1,IF(AND(M428=0,N428=0),L428/1,IF(L428=0,FLOOR((M428+N428)/2,0.1),IF(M428=0,(L428+N428)/2,IF(N428=0,(M428+L428)/2,FLOOR(((L428+M428+N428)/3),0.1))))))))</f>
        <v/>
      </c>
      <c r="P428" s="21" t="n"/>
      <c r="Q428" s="21" t="n"/>
      <c r="R428" s="27">
        <f>SUM(P428:Q428)</f>
        <v/>
      </c>
      <c r="S428" s="28" t="n"/>
      <c r="T428" s="28" t="n"/>
      <c r="U428" s="29">
        <f>IF(AND(R428=0,S428=0,T428=0),0,IF(AND(R428=0,S428=0),T428/1,IF(AND(R428=0,T428=0),S428/1,IF(AND(S428=0,T428=0),R428/1,IF(R428=0,FLOOR((S428+T428)/2,0.1),IF(S428=0,(R428+T428)/2,IF(T428=0,(S428+R428)/2,FLOOR(((R428+S428+T428)/3),0.1))))))))</f>
        <v/>
      </c>
      <c r="V428" s="21" t="n"/>
      <c r="W428" s="21" t="n"/>
      <c r="X428" s="27">
        <f>SUM(V428:W428)</f>
        <v/>
      </c>
      <c r="Y428" s="28" t="n"/>
      <c r="Z428" s="28" t="n"/>
      <c r="AA428" s="29">
        <f>IF(AND(X428=0,Y428=0,Z428=0),0,IF(AND(X428=0,Y428=0),Z428/1,IF(AND(X428=0,Z428=0),Y428/1,IF(AND(Y428=0,Z428=0),X428/1,IF(X428=0,FLOOR((Y428+Z428)/2,0.1),IF(Y428=0,(X428+Z428)/2,IF(Z428=0,(Y428+X428)/2,FLOOR(((X428+Y428+Z428)/3),0.1))))))))</f>
        <v/>
      </c>
      <c r="AB428" s="21" t="n"/>
      <c r="AC428" s="21" t="n"/>
      <c r="AD428" s="27">
        <f>SUM(AB428:AC428)</f>
        <v/>
      </c>
      <c r="AE428" s="28" t="n"/>
      <c r="AF428" s="28" t="n"/>
      <c r="AG428" s="29">
        <f>IF(AND(AD428=0,AE428=0,AF428=0),0,IF(AND(AD428=0,AE428=0),AF428/1,IF(AND(AD428=0,AF428=0),AE428/1,IF(AND(AE428=0,AF428=0),AD428/1,IF(AD428=0,FLOOR((AE428+AF428)/2,0.1),IF(AE428=0,(AD428+AF428)/2,IF(AF428=0,(AE428+AD428)/2,FLOOR(((AD428+AE428+AF428)/3),0.1))))))))</f>
        <v/>
      </c>
      <c r="AH428" s="21" t="n"/>
      <c r="AI428" s="21" t="n"/>
      <c r="AJ428" s="27">
        <f>SUM(AH428:AI428)</f>
        <v/>
      </c>
      <c r="AK428" s="28" t="n"/>
      <c r="AL428" s="28" t="n"/>
      <c r="AM428" s="29">
        <f>IF(AND(AJ428=0,AK428=0,AL428=0),0,IF(AND(AJ428=0,AK428=0),AL428/1,IF(AND(AJ428=0,AL428=0),AK428/1,IF(AND(AK428=0,AL428=0),AJ428/1,IF(AJ428=0,FLOOR((AK428+AL428)/2,0.1),IF(AK428=0,(AJ428+AL428)/2,IF(AL428=0,(AK428+AJ428)/2,FLOOR(((AJ428+AK428+AL428)/3),0.1))))))))</f>
        <v/>
      </c>
      <c r="AN428" s="21" t="n"/>
      <c r="AO428" s="21" t="n"/>
      <c r="AP428" s="27">
        <f>SUM(AN428:AO428)</f>
        <v/>
      </c>
      <c r="AQ428" s="28" t="n"/>
      <c r="AR428" s="30" t="n"/>
      <c r="AS428" s="29">
        <f>IF(AND(AP428=0,AQ428=0,AR428=0),0,IF(AND(AP428=0,AQ428=0),AR428/1,IF(AND(AP428=0,AR428=0),AQ428/1,IF(AND(AQ428=0,AR428=0),AP428/1,IF(AP428=0,FLOOR((AQ428+AR428)/2,0.1),IF(AQ428=0,(AP428+AR428)/2,IF(AR428=0,(AQ428+AP428)/2,FLOOR(((AP428+AQ428+AR428)/3),0.1))))))))</f>
        <v/>
      </c>
      <c r="AT428" s="21" t="n"/>
      <c r="AU428" s="21" t="n"/>
      <c r="AV428" s="27">
        <f>SUM(AT428:AU428)</f>
        <v/>
      </c>
      <c r="AW428" s="28" t="n"/>
      <c r="AX428" s="30" t="n"/>
      <c r="AY428" s="29">
        <f>IF(AND(AV428=0,AW428=0,AX428=0),0,IF(AND(AV428=0,AW428=0),AX428/1,IF(AND(AV428=0,AX428=0),AW428/1,IF(AND(AW428=0,AX428=0),AV428/1,IF(AV428=0,FLOOR((AW428+AX428)/2,0.1),IF(AW428=0,(AV428+AX428)/2,IF(AX428=0,(AW428+AV428)/2,FLOOR(((AV428+AW428+AX428)/3),0.1))))))))</f>
        <v/>
      </c>
      <c r="AZ428" s="21" t="n"/>
      <c r="BA428" s="21" t="n"/>
      <c r="BB428" s="27">
        <f>SUM(AZ428:BA428)</f>
        <v/>
      </c>
      <c r="BC428" s="28" t="n"/>
      <c r="BD428" s="28" t="n"/>
      <c r="BE428" s="29">
        <f>IF(AND(BB428=0,BC428=0,BD428=0),0,IF(AND(BB428=0,BC428=0),BD428/1,IF(AND(BB428=0,BD428=0),BC428/1,IF(AND(BC428=0,BD428=0),BB428/1,IF(BB428=0,FLOOR((BC428+BD428)/2,0.1),IF(BC428=0,(BB428+BD428)/2,IF(BD428=0,(BC428+BB428)/2,FLOOR(((BB428+BC428+BD428)/3),0.1))))))))</f>
        <v/>
      </c>
      <c r="BF428" s="21" t="n"/>
      <c r="BG428" s="21" t="n"/>
      <c r="BH428" s="27">
        <f>SUM(BF428:BG428)</f>
        <v/>
      </c>
      <c r="BI428" s="28" t="n"/>
      <c r="BJ428" s="28" t="n"/>
      <c r="BK428" s="29">
        <f>IF(AND(BH428=0,BI428=0,BJ428=0),0,IF(AND(BH428=0,BI428=0),BJ428/1,IF(AND(BH428=0,BJ428=0),BI428/1,IF(AND(BI428=0,BJ428=0),BH428/1,IF(BH428=0,FLOOR((BI428+BJ428)/2,0.1),IF(BI428=0,(BH428+BJ428)/2,IF(BJ428=0,(BI428+BH428)/2,FLOOR(((BH428+BI428+BJ428)/3),0.1))))))))</f>
        <v/>
      </c>
      <c r="BL428" s="21" t="n"/>
      <c r="BM428" s="21" t="n"/>
      <c r="BN428" s="27">
        <f>SUM(BL428:BM428)</f>
        <v/>
      </c>
      <c r="BO428" s="28" t="n"/>
      <c r="BP428" s="31" t="n"/>
      <c r="BQ428" s="29">
        <f>IF(AND(BN428=0,BO428=0,BP428=0),0,IF(AND(BN428=0,BO428=0),BP428/1,IF(AND(BN428=0,BP428=0),BO428/1,IF(AND(BO428=0,BP428=0),BN428/1,IF(BN428=0,FLOOR((BO428+BP428)/2,0.1),IF(BO428=0,(BN428+BP428)/2,IF(BP428=0,(BO428+BN428)/2,FLOOR(((BN428+BO428+BP428)/3),0.1))))))))</f>
        <v/>
      </c>
      <c r="BR428" s="21" t="n"/>
      <c r="BS428" s="21" t="n"/>
      <c r="BT428" s="27">
        <f>SUM(BR428:BS428)</f>
        <v/>
      </c>
      <c r="BU428" s="28" t="n"/>
      <c r="BV428" s="31" t="n"/>
      <c r="BW428" s="29">
        <f>IF(AND(BT428=0,BU428=0,BV428=0),0,IF(AND(BT428=0,BU428=0),BV428/1,IF(AND(BT428=0,BV428=0),BU428/1,IF(AND(BU428=0,BV428=0),BT428/1,IF(BT428=0,FLOOR((BU428+BV428)/2,0.1),IF(BU428=0,(BT428+BV428)/2,IF(BV428=0,(BU428+BT428)/2,FLOOR(((BT428+BU428+BV428)/3),0.1))))))))</f>
        <v/>
      </c>
      <c r="BX428" s="21" t="n"/>
      <c r="BY428" s="21" t="n"/>
      <c r="BZ428" s="27">
        <f>SUM(BX428:BY428)</f>
        <v/>
      </c>
      <c r="CA428" s="28" t="n"/>
      <c r="CB428" s="31" t="n"/>
      <c r="CC428" s="29">
        <f>IF(AND(BZ428=0,CA428=0,CB428=0),0,IF(AND(BZ428=0,CA428=0),CB428/1,IF(AND(BZ428=0,CB428=0),CA428/1,IF(AND(CA428=0,CB428=0),BZ428/1,IF(BZ428=0,FLOOR((CA428+CB428)/2,0.1),IF(CA428=0,(BZ428+CB428)/2,IF(CB428=0,(CA428+BZ428)/2,FLOOR(((BZ428+CA428+CB428)/3),0.1))))))))</f>
        <v/>
      </c>
      <c r="CD428" s="21" t="n"/>
      <c r="CE428" s="21" t="n"/>
      <c r="CF428" s="27">
        <f>SUM(CD428:CE428)</f>
        <v/>
      </c>
      <c r="CG428" s="28" t="n"/>
      <c r="CH428" s="31" t="n"/>
      <c r="CI428" s="29">
        <f>IF(AND(CF428=0,CG428=0,CH428=0),0,IF(AND(CF428=0,CG428=0),CH428/1,IF(AND(CF428=0,CH428=0),CG428/1,IF(AND(CG428=0,CH428=0),CF428/1,IF(CF428=0,FLOOR((CG428+CH428)/2,0.1),IF(CG428=0,(CF428+CH428)/2,IF(CH428=0,(CG428+CF428)/2,FLOOR(((CF428+CG428+CH428)/3),0.1))))))))</f>
        <v/>
      </c>
      <c r="CJ428" s="21" t="n"/>
      <c r="CK428" s="21" t="n"/>
      <c r="CL428" s="27">
        <f>SUM(CJ428:CK428)</f>
        <v/>
      </c>
      <c r="CM428" s="28" t="n"/>
      <c r="CN428" s="31" t="n"/>
      <c r="CO428" s="29">
        <f>IF(AND(CL428=0,CM428=0,CN428=0),0,IF(AND(CL428=0,CM428=0),CN428/1,IF(AND(CL428=0,CN428=0),CM428/1,IF(AND(CM428=0,CN428=0),CL428/1,IF(CL428=0,FLOOR((CM428+CN428)/2,0.1),IF(CM428=0,(CL428+CN428)/2,IF(CN428=0,(CM428+CL428)/2,FLOOR(((CL428+CM428+CN428)/3),0.1))))))))</f>
        <v/>
      </c>
      <c r="CP428" s="21" t="n"/>
      <c r="CQ428" s="21" t="n"/>
      <c r="CR428" s="27">
        <f>SUM(CP428:CQ428)</f>
        <v/>
      </c>
      <c r="CS428" s="28" t="n"/>
      <c r="CT428" s="31" t="n"/>
      <c r="CU428" s="29">
        <f>IF(AND(CR428=0,CS428=0,CT428=0),0,IF(AND(CR428=0,CS428=0),CT428/1,IF(AND(CR428=0,CT428=0),CS428/1,IF(AND(CS428=0,CT428=0),CR428/1,IF(CR428=0,FLOOR((CS428+CT428)/2,0.1),IF(CS428=0,(CR428+CT428)/2,IF(CT428=0,(CS428+CR428)/2,FLOOR(((CR428+CS428+CT428)/3),0.1))))))))</f>
        <v/>
      </c>
      <c r="CV428" s="21" t="n"/>
      <c r="CW428" s="21" t="n"/>
      <c r="CX428" s="27">
        <f>SUM(CV428:CW428)</f>
        <v/>
      </c>
      <c r="CY428" s="28" t="n"/>
      <c r="CZ428" s="31" t="n"/>
      <c r="DA428" s="29">
        <f>IF(AND(CX428=0,CY428=0,CZ428=0),0,IF(AND(CX428=0,CY428=0),CZ428/1,IF(AND(CX428=0,CZ428=0),CY428/1,IF(AND(CY428=0,CZ428=0),CX428/1,IF(CX428=0,FLOOR((CY428+CZ428)/2,0.1),IF(CY428=0,(CX428+CZ428)/2,IF(CZ428=0,(CY428+CX428)/2,FLOOR(((CX428+CY428+CZ428)/3),0.1))))))))</f>
        <v/>
      </c>
      <c r="DB428" s="21" t="n"/>
      <c r="DC428" s="21" t="n"/>
      <c r="DD428" s="27">
        <f>SUM(DB428:DC428)</f>
        <v/>
      </c>
      <c r="DE428" s="28" t="n"/>
      <c r="DF428" s="31" t="n"/>
      <c r="DG428" s="29">
        <f>IF(AND(DD428=0,DE428=0,DF428=0),0,IF(AND(DD428=0,DE428=0),DF428/1,IF(AND(DD428=0,DF428=0),DE428/1,IF(AND(DE428=0,DF428=0),DD428/1,IF(DD428=0,FLOOR((DE428+DF428)/2,0.1),IF(DE428=0,(DD428+DF428)/2,IF(DF428=0,(DE428+DD428)/2,FLOOR(((DD428+DE428+DF428)/3),0.1))))))))</f>
        <v/>
      </c>
      <c r="DH428" s="34">
        <f>SUM(O428,U428,AA428,AG428,AM428,AS428,AY428,BE428,BK428,BQ428,BW428,CC428,CI428,CO428,CU428,DA428,DG428)</f>
        <v/>
      </c>
      <c r="DI428" s="39">
        <f>RANK(DH428,DH$4:DH$503)</f>
        <v/>
      </c>
      <c r="DJ428" s="40" t="inlineStr">
        <is>
          <t>CHOOSE RATING</t>
        </is>
      </c>
      <c r="DK428" s="40" t="inlineStr">
        <is>
          <t>CHOOSE RATING</t>
        </is>
      </c>
      <c r="DL428" s="40" t="inlineStr">
        <is>
          <t>CHOOSE RATING</t>
        </is>
      </c>
      <c r="DM428" s="40" t="inlineStr">
        <is>
          <t>CHOOSE RATING</t>
        </is>
      </c>
      <c r="DN428" s="40" t="inlineStr">
        <is>
          <t>CHOOSE RATING</t>
        </is>
      </c>
      <c r="DO428" s="40" t="inlineStr">
        <is>
          <t>CHOOSE RATING</t>
        </is>
      </c>
      <c r="DP428" s="40" t="inlineStr">
        <is>
          <t>CHOOSE RATING</t>
        </is>
      </c>
      <c r="DQ428" s="40" t="inlineStr">
        <is>
          <t>CHOOSE RATING</t>
        </is>
      </c>
      <c r="DR428" s="43" t="inlineStr">
        <is>
          <t>2024/2025</t>
        </is>
      </c>
      <c r="DS428" s="45" t="inlineStr">
        <is>
          <t>THIRD</t>
        </is>
      </c>
      <c r="DT428" s="40" t="inlineStr">
        <is>
          <t>CHOOSE RATING</t>
        </is>
      </c>
      <c r="DU428" s="40" t="inlineStr">
        <is>
          <t>CHOOSE RATING</t>
        </is>
      </c>
      <c r="DV428" s="40" t="inlineStr">
        <is>
          <t>CHOOSE RATING</t>
        </is>
      </c>
      <c r="DW428" s="40" t="inlineStr">
        <is>
          <t>CHOOSE RATING</t>
        </is>
      </c>
      <c r="DX428" s="40" t="inlineStr">
        <is>
          <t>CHOOSE RATING</t>
        </is>
      </c>
      <c r="DY428" s="40" t="inlineStr">
        <is>
          <t>CHOOSE RATING</t>
        </is>
      </c>
      <c r="DZ428" s="53" t="inlineStr">
        <is>
          <t>CHOOSE RATING</t>
        </is>
      </c>
      <c r="EA428" s="54" t="inlineStr">
        <is>
          <t>Add the Tutor's Comment . . .</t>
        </is>
      </c>
      <c r="EB428" s="55" t="inlineStr">
        <is>
          <t>Choose Principals comment</t>
        </is>
      </c>
      <c r="EC428" s="56" t="n"/>
      <c r="ED428" s="57" t="inlineStr">
        <is>
          <t>Next Term Begins on Monday, 22nd September, 2025</t>
        </is>
      </c>
    </row>
    <row r="429" ht="30.6" customHeight="1" s="6">
      <c r="A429" s="18" t="n">
        <v>426</v>
      </c>
      <c r="B429" s="19" t="n"/>
      <c r="C429" s="20" t="n"/>
      <c r="D429" s="128" t="n"/>
      <c r="E429" s="21" t="n"/>
      <c r="F429" s="22" t="n"/>
      <c r="G429" s="22" t="n"/>
      <c r="H429" s="22" t="n"/>
      <c r="I429" s="26">
        <f>G429-H429</f>
        <v/>
      </c>
      <c r="J429" s="21" t="n"/>
      <c r="K429" s="21" t="n"/>
      <c r="L429" s="27">
        <f>SUM(J429:K429)</f>
        <v/>
      </c>
      <c r="M429" s="28" t="n"/>
      <c r="N429" s="28" t="n"/>
      <c r="O429" s="29">
        <f>IF(AND(L429=0,M429=0,N429=0),0,IF(AND(L429=0,M429=0),N429/1,IF(AND(L429=0,N429=0),M429/1,IF(AND(M429=0,N429=0),L429/1,IF(L429=0,FLOOR((M429+N429)/2,0.1),IF(M429=0,(L429+N429)/2,IF(N429=0,(M429+L429)/2,FLOOR(((L429+M429+N429)/3),0.1))))))))</f>
        <v/>
      </c>
      <c r="P429" s="21" t="n"/>
      <c r="Q429" s="21" t="n"/>
      <c r="R429" s="27">
        <f>SUM(P429:Q429)</f>
        <v/>
      </c>
      <c r="S429" s="28" t="n"/>
      <c r="T429" s="28" t="n"/>
      <c r="U429" s="29">
        <f>IF(AND(R429=0,S429=0,T429=0),0,IF(AND(R429=0,S429=0),T429/1,IF(AND(R429=0,T429=0),S429/1,IF(AND(S429=0,T429=0),R429/1,IF(R429=0,FLOOR((S429+T429)/2,0.1),IF(S429=0,(R429+T429)/2,IF(T429=0,(S429+R429)/2,FLOOR(((R429+S429+T429)/3),0.1))))))))</f>
        <v/>
      </c>
      <c r="V429" s="21" t="n"/>
      <c r="W429" s="21" t="n"/>
      <c r="X429" s="27">
        <f>SUM(V429:W429)</f>
        <v/>
      </c>
      <c r="Y429" s="28" t="n"/>
      <c r="Z429" s="28" t="n"/>
      <c r="AA429" s="29">
        <f>IF(AND(X429=0,Y429=0,Z429=0),0,IF(AND(X429=0,Y429=0),Z429/1,IF(AND(X429=0,Z429=0),Y429/1,IF(AND(Y429=0,Z429=0),X429/1,IF(X429=0,FLOOR((Y429+Z429)/2,0.1),IF(Y429=0,(X429+Z429)/2,IF(Z429=0,(Y429+X429)/2,FLOOR(((X429+Y429+Z429)/3),0.1))))))))</f>
        <v/>
      </c>
      <c r="AB429" s="21" t="n"/>
      <c r="AC429" s="21" t="n"/>
      <c r="AD429" s="27">
        <f>SUM(AB429:AC429)</f>
        <v/>
      </c>
      <c r="AE429" s="28" t="n"/>
      <c r="AF429" s="28" t="n"/>
      <c r="AG429" s="29">
        <f>IF(AND(AD429=0,AE429=0,AF429=0),0,IF(AND(AD429=0,AE429=0),AF429/1,IF(AND(AD429=0,AF429=0),AE429/1,IF(AND(AE429=0,AF429=0),AD429/1,IF(AD429=0,FLOOR((AE429+AF429)/2,0.1),IF(AE429=0,(AD429+AF429)/2,IF(AF429=0,(AE429+AD429)/2,FLOOR(((AD429+AE429+AF429)/3),0.1))))))))</f>
        <v/>
      </c>
      <c r="AH429" s="21" t="n"/>
      <c r="AI429" s="21" t="n"/>
      <c r="AJ429" s="27">
        <f>SUM(AH429:AI429)</f>
        <v/>
      </c>
      <c r="AK429" s="28" t="n"/>
      <c r="AL429" s="28" t="n"/>
      <c r="AM429" s="29">
        <f>IF(AND(AJ429=0,AK429=0,AL429=0),0,IF(AND(AJ429=0,AK429=0),AL429/1,IF(AND(AJ429=0,AL429=0),AK429/1,IF(AND(AK429=0,AL429=0),AJ429/1,IF(AJ429=0,FLOOR((AK429+AL429)/2,0.1),IF(AK429=0,(AJ429+AL429)/2,IF(AL429=0,(AK429+AJ429)/2,FLOOR(((AJ429+AK429+AL429)/3),0.1))))))))</f>
        <v/>
      </c>
      <c r="AN429" s="21" t="n"/>
      <c r="AO429" s="21" t="n"/>
      <c r="AP429" s="27">
        <f>SUM(AN429:AO429)</f>
        <v/>
      </c>
      <c r="AQ429" s="28" t="n"/>
      <c r="AR429" s="30" t="n"/>
      <c r="AS429" s="29">
        <f>IF(AND(AP429=0,AQ429=0,AR429=0),0,IF(AND(AP429=0,AQ429=0),AR429/1,IF(AND(AP429=0,AR429=0),AQ429/1,IF(AND(AQ429=0,AR429=0),AP429/1,IF(AP429=0,FLOOR((AQ429+AR429)/2,0.1),IF(AQ429=0,(AP429+AR429)/2,IF(AR429=0,(AQ429+AP429)/2,FLOOR(((AP429+AQ429+AR429)/3),0.1))))))))</f>
        <v/>
      </c>
      <c r="AT429" s="21" t="n"/>
      <c r="AU429" s="21" t="n"/>
      <c r="AV429" s="27">
        <f>SUM(AT429:AU429)</f>
        <v/>
      </c>
      <c r="AW429" s="28" t="n"/>
      <c r="AX429" s="30" t="n"/>
      <c r="AY429" s="29">
        <f>IF(AND(AV429=0,AW429=0,AX429=0),0,IF(AND(AV429=0,AW429=0),AX429/1,IF(AND(AV429=0,AX429=0),AW429/1,IF(AND(AW429=0,AX429=0),AV429/1,IF(AV429=0,FLOOR((AW429+AX429)/2,0.1),IF(AW429=0,(AV429+AX429)/2,IF(AX429=0,(AW429+AV429)/2,FLOOR(((AV429+AW429+AX429)/3),0.1))))))))</f>
        <v/>
      </c>
      <c r="AZ429" s="21" t="n"/>
      <c r="BA429" s="21" t="n"/>
      <c r="BB429" s="27">
        <f>SUM(AZ429:BA429)</f>
        <v/>
      </c>
      <c r="BC429" s="28" t="n"/>
      <c r="BD429" s="28" t="n"/>
      <c r="BE429" s="29">
        <f>IF(AND(BB429=0,BC429=0,BD429=0),0,IF(AND(BB429=0,BC429=0),BD429/1,IF(AND(BB429=0,BD429=0),BC429/1,IF(AND(BC429=0,BD429=0),BB429/1,IF(BB429=0,FLOOR((BC429+BD429)/2,0.1),IF(BC429=0,(BB429+BD429)/2,IF(BD429=0,(BC429+BB429)/2,FLOOR(((BB429+BC429+BD429)/3),0.1))))))))</f>
        <v/>
      </c>
      <c r="BF429" s="21" t="n"/>
      <c r="BG429" s="21" t="n"/>
      <c r="BH429" s="27">
        <f>SUM(BF429:BG429)</f>
        <v/>
      </c>
      <c r="BI429" s="28" t="n"/>
      <c r="BJ429" s="28" t="n"/>
      <c r="BK429" s="29">
        <f>IF(AND(BH429=0,BI429=0,BJ429=0),0,IF(AND(BH429=0,BI429=0),BJ429/1,IF(AND(BH429=0,BJ429=0),BI429/1,IF(AND(BI429=0,BJ429=0),BH429/1,IF(BH429=0,FLOOR((BI429+BJ429)/2,0.1),IF(BI429=0,(BH429+BJ429)/2,IF(BJ429=0,(BI429+BH429)/2,FLOOR(((BH429+BI429+BJ429)/3),0.1))))))))</f>
        <v/>
      </c>
      <c r="BL429" s="21" t="n"/>
      <c r="BM429" s="21" t="n"/>
      <c r="BN429" s="27">
        <f>SUM(BL429:BM429)</f>
        <v/>
      </c>
      <c r="BO429" s="28" t="n"/>
      <c r="BP429" s="31" t="n"/>
      <c r="BQ429" s="29">
        <f>IF(AND(BN429=0,BO429=0,BP429=0),0,IF(AND(BN429=0,BO429=0),BP429/1,IF(AND(BN429=0,BP429=0),BO429/1,IF(AND(BO429=0,BP429=0),BN429/1,IF(BN429=0,FLOOR((BO429+BP429)/2,0.1),IF(BO429=0,(BN429+BP429)/2,IF(BP429=0,(BO429+BN429)/2,FLOOR(((BN429+BO429+BP429)/3),0.1))))))))</f>
        <v/>
      </c>
      <c r="BR429" s="21" t="n"/>
      <c r="BS429" s="21" t="n"/>
      <c r="BT429" s="27">
        <f>SUM(BR429:BS429)</f>
        <v/>
      </c>
      <c r="BU429" s="28" t="n"/>
      <c r="BV429" s="31" t="n"/>
      <c r="BW429" s="29">
        <f>IF(AND(BT429=0,BU429=0,BV429=0),0,IF(AND(BT429=0,BU429=0),BV429/1,IF(AND(BT429=0,BV429=0),BU429/1,IF(AND(BU429=0,BV429=0),BT429/1,IF(BT429=0,FLOOR((BU429+BV429)/2,0.1),IF(BU429=0,(BT429+BV429)/2,IF(BV429=0,(BU429+BT429)/2,FLOOR(((BT429+BU429+BV429)/3),0.1))))))))</f>
        <v/>
      </c>
      <c r="BX429" s="21" t="n"/>
      <c r="BY429" s="21" t="n"/>
      <c r="BZ429" s="27">
        <f>SUM(BX429:BY429)</f>
        <v/>
      </c>
      <c r="CA429" s="28" t="n"/>
      <c r="CB429" s="31" t="n"/>
      <c r="CC429" s="29">
        <f>IF(AND(BZ429=0,CA429=0,CB429=0),0,IF(AND(BZ429=0,CA429=0),CB429/1,IF(AND(BZ429=0,CB429=0),CA429/1,IF(AND(CA429=0,CB429=0),BZ429/1,IF(BZ429=0,FLOOR((CA429+CB429)/2,0.1),IF(CA429=0,(BZ429+CB429)/2,IF(CB429=0,(CA429+BZ429)/2,FLOOR(((BZ429+CA429+CB429)/3),0.1))))))))</f>
        <v/>
      </c>
      <c r="CD429" s="21" t="n"/>
      <c r="CE429" s="21" t="n"/>
      <c r="CF429" s="27">
        <f>SUM(CD429:CE429)</f>
        <v/>
      </c>
      <c r="CG429" s="28" t="n"/>
      <c r="CH429" s="31" t="n"/>
      <c r="CI429" s="29">
        <f>IF(AND(CF429=0,CG429=0,CH429=0),0,IF(AND(CF429=0,CG429=0),CH429/1,IF(AND(CF429=0,CH429=0),CG429/1,IF(AND(CG429=0,CH429=0),CF429/1,IF(CF429=0,FLOOR((CG429+CH429)/2,0.1),IF(CG429=0,(CF429+CH429)/2,IF(CH429=0,(CG429+CF429)/2,FLOOR(((CF429+CG429+CH429)/3),0.1))))))))</f>
        <v/>
      </c>
      <c r="CJ429" s="21" t="n"/>
      <c r="CK429" s="21" t="n"/>
      <c r="CL429" s="27">
        <f>SUM(CJ429:CK429)</f>
        <v/>
      </c>
      <c r="CM429" s="28" t="n"/>
      <c r="CN429" s="31" t="n"/>
      <c r="CO429" s="29">
        <f>IF(AND(CL429=0,CM429=0,CN429=0),0,IF(AND(CL429=0,CM429=0),CN429/1,IF(AND(CL429=0,CN429=0),CM429/1,IF(AND(CM429=0,CN429=0),CL429/1,IF(CL429=0,FLOOR((CM429+CN429)/2,0.1),IF(CM429=0,(CL429+CN429)/2,IF(CN429=0,(CM429+CL429)/2,FLOOR(((CL429+CM429+CN429)/3),0.1))))))))</f>
        <v/>
      </c>
      <c r="CP429" s="21" t="n"/>
      <c r="CQ429" s="21" t="n"/>
      <c r="CR429" s="27">
        <f>SUM(CP429:CQ429)</f>
        <v/>
      </c>
      <c r="CS429" s="28" t="n"/>
      <c r="CT429" s="31" t="n"/>
      <c r="CU429" s="29">
        <f>IF(AND(CR429=0,CS429=0,CT429=0),0,IF(AND(CR429=0,CS429=0),CT429/1,IF(AND(CR429=0,CT429=0),CS429/1,IF(AND(CS429=0,CT429=0),CR429/1,IF(CR429=0,FLOOR((CS429+CT429)/2,0.1),IF(CS429=0,(CR429+CT429)/2,IF(CT429=0,(CS429+CR429)/2,FLOOR(((CR429+CS429+CT429)/3),0.1))))))))</f>
        <v/>
      </c>
      <c r="CV429" s="21" t="n"/>
      <c r="CW429" s="21" t="n"/>
      <c r="CX429" s="27">
        <f>SUM(CV429:CW429)</f>
        <v/>
      </c>
      <c r="CY429" s="28" t="n"/>
      <c r="CZ429" s="31" t="n"/>
      <c r="DA429" s="29">
        <f>IF(AND(CX429=0,CY429=0,CZ429=0),0,IF(AND(CX429=0,CY429=0),CZ429/1,IF(AND(CX429=0,CZ429=0),CY429/1,IF(AND(CY429=0,CZ429=0),CX429/1,IF(CX429=0,FLOOR((CY429+CZ429)/2,0.1),IF(CY429=0,(CX429+CZ429)/2,IF(CZ429=0,(CY429+CX429)/2,FLOOR(((CX429+CY429+CZ429)/3),0.1))))))))</f>
        <v/>
      </c>
      <c r="DB429" s="21" t="n"/>
      <c r="DC429" s="21" t="n"/>
      <c r="DD429" s="27">
        <f>SUM(DB429:DC429)</f>
        <v/>
      </c>
      <c r="DE429" s="28" t="n"/>
      <c r="DF429" s="31" t="n"/>
      <c r="DG429" s="29">
        <f>IF(AND(DD429=0,DE429=0,DF429=0),0,IF(AND(DD429=0,DE429=0),DF429/1,IF(AND(DD429=0,DF429=0),DE429/1,IF(AND(DE429=0,DF429=0),DD429/1,IF(DD429=0,FLOOR((DE429+DF429)/2,0.1),IF(DE429=0,(DD429+DF429)/2,IF(DF429=0,(DE429+DD429)/2,FLOOR(((DD429+DE429+DF429)/3),0.1))))))))</f>
        <v/>
      </c>
      <c r="DH429" s="34">
        <f>SUM(O429,U429,AA429,AG429,AM429,AS429,AY429,BE429,BK429,BQ429,BW429,CC429,CI429,CO429,CU429,DA429,DG429)</f>
        <v/>
      </c>
      <c r="DI429" s="39">
        <f>RANK(DH429,DH$4:DH$503)</f>
        <v/>
      </c>
      <c r="DJ429" s="40" t="inlineStr">
        <is>
          <t>CHOOSE RATING</t>
        </is>
      </c>
      <c r="DK429" s="40" t="inlineStr">
        <is>
          <t>CHOOSE RATING</t>
        </is>
      </c>
      <c r="DL429" s="40" t="inlineStr">
        <is>
          <t>CHOOSE RATING</t>
        </is>
      </c>
      <c r="DM429" s="40" t="inlineStr">
        <is>
          <t>CHOOSE RATING</t>
        </is>
      </c>
      <c r="DN429" s="40" t="inlineStr">
        <is>
          <t>CHOOSE RATING</t>
        </is>
      </c>
      <c r="DO429" s="40" t="inlineStr">
        <is>
          <t>CHOOSE RATING</t>
        </is>
      </c>
      <c r="DP429" s="40" t="inlineStr">
        <is>
          <t>CHOOSE RATING</t>
        </is>
      </c>
      <c r="DQ429" s="40" t="inlineStr">
        <is>
          <t>CHOOSE RATING</t>
        </is>
      </c>
      <c r="DR429" s="43" t="inlineStr">
        <is>
          <t>2024/2025</t>
        </is>
      </c>
      <c r="DS429" s="45" t="inlineStr">
        <is>
          <t>THIRD</t>
        </is>
      </c>
      <c r="DT429" s="40" t="inlineStr">
        <is>
          <t>CHOOSE RATING</t>
        </is>
      </c>
      <c r="DU429" s="40" t="inlineStr">
        <is>
          <t>CHOOSE RATING</t>
        </is>
      </c>
      <c r="DV429" s="40" t="inlineStr">
        <is>
          <t>CHOOSE RATING</t>
        </is>
      </c>
      <c r="DW429" s="40" t="inlineStr">
        <is>
          <t>CHOOSE RATING</t>
        </is>
      </c>
      <c r="DX429" s="40" t="inlineStr">
        <is>
          <t>CHOOSE RATING</t>
        </is>
      </c>
      <c r="DY429" s="40" t="inlineStr">
        <is>
          <t>CHOOSE RATING</t>
        </is>
      </c>
      <c r="DZ429" s="53" t="inlineStr">
        <is>
          <t>CHOOSE RATING</t>
        </is>
      </c>
      <c r="EA429" s="54" t="inlineStr">
        <is>
          <t>Add the Tutor's Comment . . .</t>
        </is>
      </c>
      <c r="EB429" s="55" t="inlineStr">
        <is>
          <t>Choose Principals comment</t>
        </is>
      </c>
      <c r="EC429" s="56" t="n"/>
      <c r="ED429" s="57" t="inlineStr">
        <is>
          <t>Next Term Begins on Monday, 22nd September, 2025</t>
        </is>
      </c>
    </row>
    <row r="430" ht="30.6" customHeight="1" s="6">
      <c r="A430" s="18" t="n">
        <v>427</v>
      </c>
      <c r="B430" s="19" t="n"/>
      <c r="C430" s="20" t="n"/>
      <c r="D430" s="128" t="n"/>
      <c r="E430" s="21" t="n"/>
      <c r="F430" s="22" t="n"/>
      <c r="G430" s="22" t="n"/>
      <c r="H430" s="22" t="n"/>
      <c r="I430" s="26">
        <f>G430-H430</f>
        <v/>
      </c>
      <c r="J430" s="21" t="n"/>
      <c r="K430" s="21" t="n"/>
      <c r="L430" s="27">
        <f>SUM(J430:K430)</f>
        <v/>
      </c>
      <c r="M430" s="28" t="n"/>
      <c r="N430" s="28" t="n"/>
      <c r="O430" s="29">
        <f>IF(AND(L430=0,M430=0,N430=0),0,IF(AND(L430=0,M430=0),N430/1,IF(AND(L430=0,N430=0),M430/1,IF(AND(M430=0,N430=0),L430/1,IF(L430=0,FLOOR((M430+N430)/2,0.1),IF(M430=0,(L430+N430)/2,IF(N430=0,(M430+L430)/2,FLOOR(((L430+M430+N430)/3),0.1))))))))</f>
        <v/>
      </c>
      <c r="P430" s="21" t="n"/>
      <c r="Q430" s="21" t="n"/>
      <c r="R430" s="27">
        <f>SUM(P430:Q430)</f>
        <v/>
      </c>
      <c r="S430" s="28" t="n"/>
      <c r="T430" s="28" t="n"/>
      <c r="U430" s="29">
        <f>IF(AND(R430=0,S430=0,T430=0),0,IF(AND(R430=0,S430=0),T430/1,IF(AND(R430=0,T430=0),S430/1,IF(AND(S430=0,T430=0),R430/1,IF(R430=0,FLOOR((S430+T430)/2,0.1),IF(S430=0,(R430+T430)/2,IF(T430=0,(S430+R430)/2,FLOOR(((R430+S430+T430)/3),0.1))))))))</f>
        <v/>
      </c>
      <c r="V430" s="21" t="n"/>
      <c r="W430" s="21" t="n"/>
      <c r="X430" s="27">
        <f>SUM(V430:W430)</f>
        <v/>
      </c>
      <c r="Y430" s="28" t="n"/>
      <c r="Z430" s="28" t="n"/>
      <c r="AA430" s="29">
        <f>IF(AND(X430=0,Y430=0,Z430=0),0,IF(AND(X430=0,Y430=0),Z430/1,IF(AND(X430=0,Z430=0),Y430/1,IF(AND(Y430=0,Z430=0),X430/1,IF(X430=0,FLOOR((Y430+Z430)/2,0.1),IF(Y430=0,(X430+Z430)/2,IF(Z430=0,(Y430+X430)/2,FLOOR(((X430+Y430+Z430)/3),0.1))))))))</f>
        <v/>
      </c>
      <c r="AB430" s="21" t="n"/>
      <c r="AC430" s="21" t="n"/>
      <c r="AD430" s="27">
        <f>SUM(AB430:AC430)</f>
        <v/>
      </c>
      <c r="AE430" s="28" t="n"/>
      <c r="AF430" s="28" t="n"/>
      <c r="AG430" s="29">
        <f>IF(AND(AD430=0,AE430=0,AF430=0),0,IF(AND(AD430=0,AE430=0),AF430/1,IF(AND(AD430=0,AF430=0),AE430/1,IF(AND(AE430=0,AF430=0),AD430/1,IF(AD430=0,FLOOR((AE430+AF430)/2,0.1),IF(AE430=0,(AD430+AF430)/2,IF(AF430=0,(AE430+AD430)/2,FLOOR(((AD430+AE430+AF430)/3),0.1))))))))</f>
        <v/>
      </c>
      <c r="AH430" s="21" t="n"/>
      <c r="AI430" s="21" t="n"/>
      <c r="AJ430" s="27">
        <f>SUM(AH430:AI430)</f>
        <v/>
      </c>
      <c r="AK430" s="28" t="n"/>
      <c r="AL430" s="28" t="n"/>
      <c r="AM430" s="29">
        <f>IF(AND(AJ430=0,AK430=0,AL430=0),0,IF(AND(AJ430=0,AK430=0),AL430/1,IF(AND(AJ430=0,AL430=0),AK430/1,IF(AND(AK430=0,AL430=0),AJ430/1,IF(AJ430=0,FLOOR((AK430+AL430)/2,0.1),IF(AK430=0,(AJ430+AL430)/2,IF(AL430=0,(AK430+AJ430)/2,FLOOR(((AJ430+AK430+AL430)/3),0.1))))))))</f>
        <v/>
      </c>
      <c r="AN430" s="21" t="n"/>
      <c r="AO430" s="21" t="n"/>
      <c r="AP430" s="27">
        <f>SUM(AN430:AO430)</f>
        <v/>
      </c>
      <c r="AQ430" s="28" t="n"/>
      <c r="AR430" s="30" t="n"/>
      <c r="AS430" s="29">
        <f>IF(AND(AP430=0,AQ430=0,AR430=0),0,IF(AND(AP430=0,AQ430=0),AR430/1,IF(AND(AP430=0,AR430=0),AQ430/1,IF(AND(AQ430=0,AR430=0),AP430/1,IF(AP430=0,FLOOR((AQ430+AR430)/2,0.1),IF(AQ430=0,(AP430+AR430)/2,IF(AR430=0,(AQ430+AP430)/2,FLOOR(((AP430+AQ430+AR430)/3),0.1))))))))</f>
        <v/>
      </c>
      <c r="AT430" s="21" t="n"/>
      <c r="AU430" s="21" t="n"/>
      <c r="AV430" s="27">
        <f>SUM(AT430:AU430)</f>
        <v/>
      </c>
      <c r="AW430" s="28" t="n"/>
      <c r="AX430" s="30" t="n"/>
      <c r="AY430" s="29">
        <f>IF(AND(AV430=0,AW430=0,AX430=0),0,IF(AND(AV430=0,AW430=0),AX430/1,IF(AND(AV430=0,AX430=0),AW430/1,IF(AND(AW430=0,AX430=0),AV430/1,IF(AV430=0,FLOOR((AW430+AX430)/2,0.1),IF(AW430=0,(AV430+AX430)/2,IF(AX430=0,(AW430+AV430)/2,FLOOR(((AV430+AW430+AX430)/3),0.1))))))))</f>
        <v/>
      </c>
      <c r="AZ430" s="21" t="n"/>
      <c r="BA430" s="21" t="n"/>
      <c r="BB430" s="27">
        <f>SUM(AZ430:BA430)</f>
        <v/>
      </c>
      <c r="BC430" s="28" t="n"/>
      <c r="BD430" s="28" t="n"/>
      <c r="BE430" s="29">
        <f>IF(AND(BB430=0,BC430=0,BD430=0),0,IF(AND(BB430=0,BC430=0),BD430/1,IF(AND(BB430=0,BD430=0),BC430/1,IF(AND(BC430=0,BD430=0),BB430/1,IF(BB430=0,FLOOR((BC430+BD430)/2,0.1),IF(BC430=0,(BB430+BD430)/2,IF(BD430=0,(BC430+BB430)/2,FLOOR(((BB430+BC430+BD430)/3),0.1))))))))</f>
        <v/>
      </c>
      <c r="BF430" s="21" t="n"/>
      <c r="BG430" s="21" t="n"/>
      <c r="BH430" s="27">
        <f>SUM(BF430:BG430)</f>
        <v/>
      </c>
      <c r="BI430" s="28" t="n"/>
      <c r="BJ430" s="28" t="n"/>
      <c r="BK430" s="29">
        <f>IF(AND(BH430=0,BI430=0,BJ430=0),0,IF(AND(BH430=0,BI430=0),BJ430/1,IF(AND(BH430=0,BJ430=0),BI430/1,IF(AND(BI430=0,BJ430=0),BH430/1,IF(BH430=0,FLOOR((BI430+BJ430)/2,0.1),IF(BI430=0,(BH430+BJ430)/2,IF(BJ430=0,(BI430+BH430)/2,FLOOR(((BH430+BI430+BJ430)/3),0.1))))))))</f>
        <v/>
      </c>
      <c r="BL430" s="21" t="n"/>
      <c r="BM430" s="21" t="n"/>
      <c r="BN430" s="27">
        <f>SUM(BL430:BM430)</f>
        <v/>
      </c>
      <c r="BO430" s="28" t="n"/>
      <c r="BP430" s="31" t="n"/>
      <c r="BQ430" s="29">
        <f>IF(AND(BN430=0,BO430=0,BP430=0),0,IF(AND(BN430=0,BO430=0),BP430/1,IF(AND(BN430=0,BP430=0),BO430/1,IF(AND(BO430=0,BP430=0),BN430/1,IF(BN430=0,FLOOR((BO430+BP430)/2,0.1),IF(BO430=0,(BN430+BP430)/2,IF(BP430=0,(BO430+BN430)/2,FLOOR(((BN430+BO430+BP430)/3),0.1))))))))</f>
        <v/>
      </c>
      <c r="BR430" s="21" t="n"/>
      <c r="BS430" s="21" t="n"/>
      <c r="BT430" s="27">
        <f>SUM(BR430:BS430)</f>
        <v/>
      </c>
      <c r="BU430" s="28" t="n"/>
      <c r="BV430" s="31" t="n"/>
      <c r="BW430" s="29">
        <f>IF(AND(BT430=0,BU430=0,BV430=0),0,IF(AND(BT430=0,BU430=0),BV430/1,IF(AND(BT430=0,BV430=0),BU430/1,IF(AND(BU430=0,BV430=0),BT430/1,IF(BT430=0,FLOOR((BU430+BV430)/2,0.1),IF(BU430=0,(BT430+BV430)/2,IF(BV430=0,(BU430+BT430)/2,FLOOR(((BT430+BU430+BV430)/3),0.1))))))))</f>
        <v/>
      </c>
      <c r="BX430" s="21" t="n"/>
      <c r="BY430" s="21" t="n"/>
      <c r="BZ430" s="27">
        <f>SUM(BX430:BY430)</f>
        <v/>
      </c>
      <c r="CA430" s="28" t="n"/>
      <c r="CB430" s="31" t="n"/>
      <c r="CC430" s="29">
        <f>IF(AND(BZ430=0,CA430=0,CB430=0),0,IF(AND(BZ430=0,CA430=0),CB430/1,IF(AND(BZ430=0,CB430=0),CA430/1,IF(AND(CA430=0,CB430=0),BZ430/1,IF(BZ430=0,FLOOR((CA430+CB430)/2,0.1),IF(CA430=0,(BZ430+CB430)/2,IF(CB430=0,(CA430+BZ430)/2,FLOOR(((BZ430+CA430+CB430)/3),0.1))))))))</f>
        <v/>
      </c>
      <c r="CD430" s="21" t="n"/>
      <c r="CE430" s="21" t="n"/>
      <c r="CF430" s="27">
        <f>SUM(CD430:CE430)</f>
        <v/>
      </c>
      <c r="CG430" s="28" t="n"/>
      <c r="CH430" s="31" t="n"/>
      <c r="CI430" s="29">
        <f>IF(AND(CF430=0,CG430=0,CH430=0),0,IF(AND(CF430=0,CG430=0),CH430/1,IF(AND(CF430=0,CH430=0),CG430/1,IF(AND(CG430=0,CH430=0),CF430/1,IF(CF430=0,FLOOR((CG430+CH430)/2,0.1),IF(CG430=0,(CF430+CH430)/2,IF(CH430=0,(CG430+CF430)/2,FLOOR(((CF430+CG430+CH430)/3),0.1))))))))</f>
        <v/>
      </c>
      <c r="CJ430" s="21" t="n"/>
      <c r="CK430" s="21" t="n"/>
      <c r="CL430" s="27">
        <f>SUM(CJ430:CK430)</f>
        <v/>
      </c>
      <c r="CM430" s="28" t="n"/>
      <c r="CN430" s="31" t="n"/>
      <c r="CO430" s="29">
        <f>IF(AND(CL430=0,CM430=0,CN430=0),0,IF(AND(CL430=0,CM430=0),CN430/1,IF(AND(CL430=0,CN430=0),CM430/1,IF(AND(CM430=0,CN430=0),CL430/1,IF(CL430=0,FLOOR((CM430+CN430)/2,0.1),IF(CM430=0,(CL430+CN430)/2,IF(CN430=0,(CM430+CL430)/2,FLOOR(((CL430+CM430+CN430)/3),0.1))))))))</f>
        <v/>
      </c>
      <c r="CP430" s="21" t="n"/>
      <c r="CQ430" s="21" t="n"/>
      <c r="CR430" s="27">
        <f>SUM(CP430:CQ430)</f>
        <v/>
      </c>
      <c r="CS430" s="28" t="n"/>
      <c r="CT430" s="31" t="n"/>
      <c r="CU430" s="29">
        <f>IF(AND(CR430=0,CS430=0,CT430=0),0,IF(AND(CR430=0,CS430=0),CT430/1,IF(AND(CR430=0,CT430=0),CS430/1,IF(AND(CS430=0,CT430=0),CR430/1,IF(CR430=0,FLOOR((CS430+CT430)/2,0.1),IF(CS430=0,(CR430+CT430)/2,IF(CT430=0,(CS430+CR430)/2,FLOOR(((CR430+CS430+CT430)/3),0.1))))))))</f>
        <v/>
      </c>
      <c r="CV430" s="21" t="n"/>
      <c r="CW430" s="21" t="n"/>
      <c r="CX430" s="27">
        <f>SUM(CV430:CW430)</f>
        <v/>
      </c>
      <c r="CY430" s="28" t="n"/>
      <c r="CZ430" s="31" t="n"/>
      <c r="DA430" s="29">
        <f>IF(AND(CX430=0,CY430=0,CZ430=0),0,IF(AND(CX430=0,CY430=0),CZ430/1,IF(AND(CX430=0,CZ430=0),CY430/1,IF(AND(CY430=0,CZ430=0),CX430/1,IF(CX430=0,FLOOR((CY430+CZ430)/2,0.1),IF(CY430=0,(CX430+CZ430)/2,IF(CZ430=0,(CY430+CX430)/2,FLOOR(((CX430+CY430+CZ430)/3),0.1))))))))</f>
        <v/>
      </c>
      <c r="DB430" s="21" t="n"/>
      <c r="DC430" s="21" t="n"/>
      <c r="DD430" s="27">
        <f>SUM(DB430:DC430)</f>
        <v/>
      </c>
      <c r="DE430" s="28" t="n"/>
      <c r="DF430" s="31" t="n"/>
      <c r="DG430" s="29">
        <f>IF(AND(DD430=0,DE430=0,DF430=0),0,IF(AND(DD430=0,DE430=0),DF430/1,IF(AND(DD430=0,DF430=0),DE430/1,IF(AND(DE430=0,DF430=0),DD430/1,IF(DD430=0,FLOOR((DE430+DF430)/2,0.1),IF(DE430=0,(DD430+DF430)/2,IF(DF430=0,(DE430+DD430)/2,FLOOR(((DD430+DE430+DF430)/3),0.1))))))))</f>
        <v/>
      </c>
      <c r="DH430" s="34">
        <f>SUM(O430,U430,AA430,AG430,AM430,AS430,AY430,BE430,BK430,BQ430,BW430,CC430,CI430,CO430,CU430,DA430,DG430)</f>
        <v/>
      </c>
      <c r="DI430" s="39">
        <f>RANK(DH430,DH$4:DH$503)</f>
        <v/>
      </c>
      <c r="DJ430" s="40" t="inlineStr">
        <is>
          <t>CHOOSE RATING</t>
        </is>
      </c>
      <c r="DK430" s="40" t="inlineStr">
        <is>
          <t>CHOOSE RATING</t>
        </is>
      </c>
      <c r="DL430" s="40" t="inlineStr">
        <is>
          <t>CHOOSE RATING</t>
        </is>
      </c>
      <c r="DM430" s="40" t="inlineStr">
        <is>
          <t>CHOOSE RATING</t>
        </is>
      </c>
      <c r="DN430" s="40" t="inlineStr">
        <is>
          <t>CHOOSE RATING</t>
        </is>
      </c>
      <c r="DO430" s="40" t="inlineStr">
        <is>
          <t>CHOOSE RATING</t>
        </is>
      </c>
      <c r="DP430" s="40" t="inlineStr">
        <is>
          <t>CHOOSE RATING</t>
        </is>
      </c>
      <c r="DQ430" s="40" t="inlineStr">
        <is>
          <t>CHOOSE RATING</t>
        </is>
      </c>
      <c r="DR430" s="43" t="inlineStr">
        <is>
          <t>2024/2025</t>
        </is>
      </c>
      <c r="DS430" s="45" t="inlineStr">
        <is>
          <t>THIRD</t>
        </is>
      </c>
      <c r="DT430" s="40" t="inlineStr">
        <is>
          <t>CHOOSE RATING</t>
        </is>
      </c>
      <c r="DU430" s="40" t="inlineStr">
        <is>
          <t>CHOOSE RATING</t>
        </is>
      </c>
      <c r="DV430" s="40" t="inlineStr">
        <is>
          <t>CHOOSE RATING</t>
        </is>
      </c>
      <c r="DW430" s="40" t="inlineStr">
        <is>
          <t>CHOOSE RATING</t>
        </is>
      </c>
      <c r="DX430" s="40" t="inlineStr">
        <is>
          <t>CHOOSE RATING</t>
        </is>
      </c>
      <c r="DY430" s="40" t="inlineStr">
        <is>
          <t>CHOOSE RATING</t>
        </is>
      </c>
      <c r="DZ430" s="53" t="inlineStr">
        <is>
          <t>CHOOSE RATING</t>
        </is>
      </c>
      <c r="EA430" s="54" t="inlineStr">
        <is>
          <t>Add the Tutor's Comment . . .</t>
        </is>
      </c>
      <c r="EB430" s="55" t="inlineStr">
        <is>
          <t>Choose Principals comment</t>
        </is>
      </c>
      <c r="EC430" s="56" t="n"/>
      <c r="ED430" s="57" t="inlineStr">
        <is>
          <t>Next Term Begins on Monday, 22nd September, 2025</t>
        </is>
      </c>
    </row>
    <row r="431" ht="30.6" customHeight="1" s="6">
      <c r="A431" s="18" t="n">
        <v>428</v>
      </c>
      <c r="B431" s="19" t="n"/>
      <c r="C431" s="20" t="n"/>
      <c r="D431" s="128" t="n"/>
      <c r="E431" s="21" t="n"/>
      <c r="F431" s="22" t="n"/>
      <c r="G431" s="22" t="n"/>
      <c r="H431" s="22" t="n"/>
      <c r="I431" s="26">
        <f>G431-H431</f>
        <v/>
      </c>
      <c r="J431" s="21" t="n"/>
      <c r="K431" s="21" t="n"/>
      <c r="L431" s="27">
        <f>SUM(J431:K431)</f>
        <v/>
      </c>
      <c r="M431" s="28" t="n"/>
      <c r="N431" s="28" t="n"/>
      <c r="O431" s="29">
        <f>IF(AND(L431=0,M431=0,N431=0),0,IF(AND(L431=0,M431=0),N431/1,IF(AND(L431=0,N431=0),M431/1,IF(AND(M431=0,N431=0),L431/1,IF(L431=0,FLOOR((M431+N431)/2,0.1),IF(M431=0,(L431+N431)/2,IF(N431=0,(M431+L431)/2,FLOOR(((L431+M431+N431)/3),0.1))))))))</f>
        <v/>
      </c>
      <c r="P431" s="21" t="n"/>
      <c r="Q431" s="21" t="n"/>
      <c r="R431" s="27">
        <f>SUM(P431:Q431)</f>
        <v/>
      </c>
      <c r="S431" s="28" t="n"/>
      <c r="T431" s="28" t="n"/>
      <c r="U431" s="29">
        <f>IF(AND(R431=0,S431=0,T431=0),0,IF(AND(R431=0,S431=0),T431/1,IF(AND(R431=0,T431=0),S431/1,IF(AND(S431=0,T431=0),R431/1,IF(R431=0,FLOOR((S431+T431)/2,0.1),IF(S431=0,(R431+T431)/2,IF(T431=0,(S431+R431)/2,FLOOR(((R431+S431+T431)/3),0.1))))))))</f>
        <v/>
      </c>
      <c r="V431" s="21" t="n"/>
      <c r="W431" s="21" t="n"/>
      <c r="X431" s="27">
        <f>SUM(V431:W431)</f>
        <v/>
      </c>
      <c r="Y431" s="28" t="n"/>
      <c r="Z431" s="28" t="n"/>
      <c r="AA431" s="29">
        <f>IF(AND(X431=0,Y431=0,Z431=0),0,IF(AND(X431=0,Y431=0),Z431/1,IF(AND(X431=0,Z431=0),Y431/1,IF(AND(Y431=0,Z431=0),X431/1,IF(X431=0,FLOOR((Y431+Z431)/2,0.1),IF(Y431=0,(X431+Z431)/2,IF(Z431=0,(Y431+X431)/2,FLOOR(((X431+Y431+Z431)/3),0.1))))))))</f>
        <v/>
      </c>
      <c r="AB431" s="21" t="n"/>
      <c r="AC431" s="21" t="n"/>
      <c r="AD431" s="27">
        <f>SUM(AB431:AC431)</f>
        <v/>
      </c>
      <c r="AE431" s="28" t="n"/>
      <c r="AF431" s="28" t="n"/>
      <c r="AG431" s="29">
        <f>IF(AND(AD431=0,AE431=0,AF431=0),0,IF(AND(AD431=0,AE431=0),AF431/1,IF(AND(AD431=0,AF431=0),AE431/1,IF(AND(AE431=0,AF431=0),AD431/1,IF(AD431=0,FLOOR((AE431+AF431)/2,0.1),IF(AE431=0,(AD431+AF431)/2,IF(AF431=0,(AE431+AD431)/2,FLOOR(((AD431+AE431+AF431)/3),0.1))))))))</f>
        <v/>
      </c>
      <c r="AH431" s="21" t="n"/>
      <c r="AI431" s="21" t="n"/>
      <c r="AJ431" s="27">
        <f>SUM(AH431:AI431)</f>
        <v/>
      </c>
      <c r="AK431" s="28" t="n"/>
      <c r="AL431" s="28" t="n"/>
      <c r="AM431" s="29">
        <f>IF(AND(AJ431=0,AK431=0,AL431=0),0,IF(AND(AJ431=0,AK431=0),AL431/1,IF(AND(AJ431=0,AL431=0),AK431/1,IF(AND(AK431=0,AL431=0),AJ431/1,IF(AJ431=0,FLOOR((AK431+AL431)/2,0.1),IF(AK431=0,(AJ431+AL431)/2,IF(AL431=0,(AK431+AJ431)/2,FLOOR(((AJ431+AK431+AL431)/3),0.1))))))))</f>
        <v/>
      </c>
      <c r="AN431" s="21" t="n"/>
      <c r="AO431" s="21" t="n"/>
      <c r="AP431" s="27">
        <f>SUM(AN431:AO431)</f>
        <v/>
      </c>
      <c r="AQ431" s="28" t="n"/>
      <c r="AR431" s="30" t="n"/>
      <c r="AS431" s="29">
        <f>IF(AND(AP431=0,AQ431=0,AR431=0),0,IF(AND(AP431=0,AQ431=0),AR431/1,IF(AND(AP431=0,AR431=0),AQ431/1,IF(AND(AQ431=0,AR431=0),AP431/1,IF(AP431=0,FLOOR((AQ431+AR431)/2,0.1),IF(AQ431=0,(AP431+AR431)/2,IF(AR431=0,(AQ431+AP431)/2,FLOOR(((AP431+AQ431+AR431)/3),0.1))))))))</f>
        <v/>
      </c>
      <c r="AT431" s="21" t="n"/>
      <c r="AU431" s="21" t="n"/>
      <c r="AV431" s="27">
        <f>SUM(AT431:AU431)</f>
        <v/>
      </c>
      <c r="AW431" s="28" t="n"/>
      <c r="AX431" s="30" t="n"/>
      <c r="AY431" s="29">
        <f>IF(AND(AV431=0,AW431=0,AX431=0),0,IF(AND(AV431=0,AW431=0),AX431/1,IF(AND(AV431=0,AX431=0),AW431/1,IF(AND(AW431=0,AX431=0),AV431/1,IF(AV431=0,FLOOR((AW431+AX431)/2,0.1),IF(AW431=0,(AV431+AX431)/2,IF(AX431=0,(AW431+AV431)/2,FLOOR(((AV431+AW431+AX431)/3),0.1))))))))</f>
        <v/>
      </c>
      <c r="AZ431" s="21" t="n"/>
      <c r="BA431" s="21" t="n"/>
      <c r="BB431" s="27">
        <f>SUM(AZ431:BA431)</f>
        <v/>
      </c>
      <c r="BC431" s="28" t="n"/>
      <c r="BD431" s="28" t="n"/>
      <c r="BE431" s="29">
        <f>IF(AND(BB431=0,BC431=0,BD431=0),0,IF(AND(BB431=0,BC431=0),BD431/1,IF(AND(BB431=0,BD431=0),BC431/1,IF(AND(BC431=0,BD431=0),BB431/1,IF(BB431=0,FLOOR((BC431+BD431)/2,0.1),IF(BC431=0,(BB431+BD431)/2,IF(BD431=0,(BC431+BB431)/2,FLOOR(((BB431+BC431+BD431)/3),0.1))))))))</f>
        <v/>
      </c>
      <c r="BF431" s="21" t="n"/>
      <c r="BG431" s="21" t="n"/>
      <c r="BH431" s="27">
        <f>SUM(BF431:BG431)</f>
        <v/>
      </c>
      <c r="BI431" s="28" t="n"/>
      <c r="BJ431" s="28" t="n"/>
      <c r="BK431" s="29">
        <f>IF(AND(BH431=0,BI431=0,BJ431=0),0,IF(AND(BH431=0,BI431=0),BJ431/1,IF(AND(BH431=0,BJ431=0),BI431/1,IF(AND(BI431=0,BJ431=0),BH431/1,IF(BH431=0,FLOOR((BI431+BJ431)/2,0.1),IF(BI431=0,(BH431+BJ431)/2,IF(BJ431=0,(BI431+BH431)/2,FLOOR(((BH431+BI431+BJ431)/3),0.1))))))))</f>
        <v/>
      </c>
      <c r="BL431" s="21" t="n"/>
      <c r="BM431" s="21" t="n"/>
      <c r="BN431" s="27">
        <f>SUM(BL431:BM431)</f>
        <v/>
      </c>
      <c r="BO431" s="28" t="n"/>
      <c r="BP431" s="31" t="n"/>
      <c r="BQ431" s="29">
        <f>IF(AND(BN431=0,BO431=0,BP431=0),0,IF(AND(BN431=0,BO431=0),BP431/1,IF(AND(BN431=0,BP431=0),BO431/1,IF(AND(BO431=0,BP431=0),BN431/1,IF(BN431=0,FLOOR((BO431+BP431)/2,0.1),IF(BO431=0,(BN431+BP431)/2,IF(BP431=0,(BO431+BN431)/2,FLOOR(((BN431+BO431+BP431)/3),0.1))))))))</f>
        <v/>
      </c>
      <c r="BR431" s="21" t="n"/>
      <c r="BS431" s="21" t="n"/>
      <c r="BT431" s="27">
        <f>SUM(BR431:BS431)</f>
        <v/>
      </c>
      <c r="BU431" s="28" t="n"/>
      <c r="BV431" s="31" t="n"/>
      <c r="BW431" s="29">
        <f>IF(AND(BT431=0,BU431=0,BV431=0),0,IF(AND(BT431=0,BU431=0),BV431/1,IF(AND(BT431=0,BV431=0),BU431/1,IF(AND(BU431=0,BV431=0),BT431/1,IF(BT431=0,FLOOR((BU431+BV431)/2,0.1),IF(BU431=0,(BT431+BV431)/2,IF(BV431=0,(BU431+BT431)/2,FLOOR(((BT431+BU431+BV431)/3),0.1))))))))</f>
        <v/>
      </c>
      <c r="BX431" s="21" t="n"/>
      <c r="BY431" s="21" t="n"/>
      <c r="BZ431" s="27">
        <f>SUM(BX431:BY431)</f>
        <v/>
      </c>
      <c r="CA431" s="28" t="n"/>
      <c r="CB431" s="31" t="n"/>
      <c r="CC431" s="29">
        <f>IF(AND(BZ431=0,CA431=0,CB431=0),0,IF(AND(BZ431=0,CA431=0),CB431/1,IF(AND(BZ431=0,CB431=0),CA431/1,IF(AND(CA431=0,CB431=0),BZ431/1,IF(BZ431=0,FLOOR((CA431+CB431)/2,0.1),IF(CA431=0,(BZ431+CB431)/2,IF(CB431=0,(CA431+BZ431)/2,FLOOR(((BZ431+CA431+CB431)/3),0.1))))))))</f>
        <v/>
      </c>
      <c r="CD431" s="21" t="n"/>
      <c r="CE431" s="21" t="n"/>
      <c r="CF431" s="27">
        <f>SUM(CD431:CE431)</f>
        <v/>
      </c>
      <c r="CG431" s="28" t="n"/>
      <c r="CH431" s="31" t="n"/>
      <c r="CI431" s="29">
        <f>IF(AND(CF431=0,CG431=0,CH431=0),0,IF(AND(CF431=0,CG431=0),CH431/1,IF(AND(CF431=0,CH431=0),CG431/1,IF(AND(CG431=0,CH431=0),CF431/1,IF(CF431=0,FLOOR((CG431+CH431)/2,0.1),IF(CG431=0,(CF431+CH431)/2,IF(CH431=0,(CG431+CF431)/2,FLOOR(((CF431+CG431+CH431)/3),0.1))))))))</f>
        <v/>
      </c>
      <c r="CJ431" s="21" t="n"/>
      <c r="CK431" s="21" t="n"/>
      <c r="CL431" s="27">
        <f>SUM(CJ431:CK431)</f>
        <v/>
      </c>
      <c r="CM431" s="28" t="n"/>
      <c r="CN431" s="31" t="n"/>
      <c r="CO431" s="29">
        <f>IF(AND(CL431=0,CM431=0,CN431=0),0,IF(AND(CL431=0,CM431=0),CN431/1,IF(AND(CL431=0,CN431=0),CM431/1,IF(AND(CM431=0,CN431=0),CL431/1,IF(CL431=0,FLOOR((CM431+CN431)/2,0.1),IF(CM431=0,(CL431+CN431)/2,IF(CN431=0,(CM431+CL431)/2,FLOOR(((CL431+CM431+CN431)/3),0.1))))))))</f>
        <v/>
      </c>
      <c r="CP431" s="21" t="n"/>
      <c r="CQ431" s="21" t="n"/>
      <c r="CR431" s="27">
        <f>SUM(CP431:CQ431)</f>
        <v/>
      </c>
      <c r="CS431" s="28" t="n"/>
      <c r="CT431" s="31" t="n"/>
      <c r="CU431" s="29">
        <f>IF(AND(CR431=0,CS431=0,CT431=0),0,IF(AND(CR431=0,CS431=0),CT431/1,IF(AND(CR431=0,CT431=0),CS431/1,IF(AND(CS431=0,CT431=0),CR431/1,IF(CR431=0,FLOOR((CS431+CT431)/2,0.1),IF(CS431=0,(CR431+CT431)/2,IF(CT431=0,(CS431+CR431)/2,FLOOR(((CR431+CS431+CT431)/3),0.1))))))))</f>
        <v/>
      </c>
      <c r="CV431" s="21" t="n"/>
      <c r="CW431" s="21" t="n"/>
      <c r="CX431" s="27">
        <f>SUM(CV431:CW431)</f>
        <v/>
      </c>
      <c r="CY431" s="28" t="n"/>
      <c r="CZ431" s="31" t="n"/>
      <c r="DA431" s="29">
        <f>IF(AND(CX431=0,CY431=0,CZ431=0),0,IF(AND(CX431=0,CY431=0),CZ431/1,IF(AND(CX431=0,CZ431=0),CY431/1,IF(AND(CY431=0,CZ431=0),CX431/1,IF(CX431=0,FLOOR((CY431+CZ431)/2,0.1),IF(CY431=0,(CX431+CZ431)/2,IF(CZ431=0,(CY431+CX431)/2,FLOOR(((CX431+CY431+CZ431)/3),0.1))))))))</f>
        <v/>
      </c>
      <c r="DB431" s="21" t="n"/>
      <c r="DC431" s="21" t="n"/>
      <c r="DD431" s="27">
        <f>SUM(DB431:DC431)</f>
        <v/>
      </c>
      <c r="DE431" s="28" t="n"/>
      <c r="DF431" s="31" t="n"/>
      <c r="DG431" s="29">
        <f>IF(AND(DD431=0,DE431=0,DF431=0),0,IF(AND(DD431=0,DE431=0),DF431/1,IF(AND(DD431=0,DF431=0),DE431/1,IF(AND(DE431=0,DF431=0),DD431/1,IF(DD431=0,FLOOR((DE431+DF431)/2,0.1),IF(DE431=0,(DD431+DF431)/2,IF(DF431=0,(DE431+DD431)/2,FLOOR(((DD431+DE431+DF431)/3),0.1))))))))</f>
        <v/>
      </c>
      <c r="DH431" s="34">
        <f>SUM(O431,U431,AA431,AG431,AM431,AS431,AY431,BE431,BK431,BQ431,BW431,CC431,CI431,CO431,CU431,DA431,DG431)</f>
        <v/>
      </c>
      <c r="DI431" s="39">
        <f>RANK(DH431,DH$4:DH$503)</f>
        <v/>
      </c>
      <c r="DJ431" s="40" t="inlineStr">
        <is>
          <t>CHOOSE RATING</t>
        </is>
      </c>
      <c r="DK431" s="40" t="inlineStr">
        <is>
          <t>CHOOSE RATING</t>
        </is>
      </c>
      <c r="DL431" s="40" t="inlineStr">
        <is>
          <t>CHOOSE RATING</t>
        </is>
      </c>
      <c r="DM431" s="40" t="inlineStr">
        <is>
          <t>CHOOSE RATING</t>
        </is>
      </c>
      <c r="DN431" s="40" t="inlineStr">
        <is>
          <t>CHOOSE RATING</t>
        </is>
      </c>
      <c r="DO431" s="40" t="inlineStr">
        <is>
          <t>CHOOSE RATING</t>
        </is>
      </c>
      <c r="DP431" s="40" t="inlineStr">
        <is>
          <t>CHOOSE RATING</t>
        </is>
      </c>
      <c r="DQ431" s="40" t="inlineStr">
        <is>
          <t>CHOOSE RATING</t>
        </is>
      </c>
      <c r="DR431" s="43" t="inlineStr">
        <is>
          <t>2024/2025</t>
        </is>
      </c>
      <c r="DS431" s="45" t="inlineStr">
        <is>
          <t>THIRD</t>
        </is>
      </c>
      <c r="DT431" s="40" t="inlineStr">
        <is>
          <t>CHOOSE RATING</t>
        </is>
      </c>
      <c r="DU431" s="40" t="inlineStr">
        <is>
          <t>CHOOSE RATING</t>
        </is>
      </c>
      <c r="DV431" s="40" t="inlineStr">
        <is>
          <t>CHOOSE RATING</t>
        </is>
      </c>
      <c r="DW431" s="40" t="inlineStr">
        <is>
          <t>CHOOSE RATING</t>
        </is>
      </c>
      <c r="DX431" s="40" t="inlineStr">
        <is>
          <t>CHOOSE RATING</t>
        </is>
      </c>
      <c r="DY431" s="40" t="inlineStr">
        <is>
          <t>CHOOSE RATING</t>
        </is>
      </c>
      <c r="DZ431" s="53" t="inlineStr">
        <is>
          <t>CHOOSE RATING</t>
        </is>
      </c>
      <c r="EA431" s="54" t="inlineStr">
        <is>
          <t>Add the Tutor's Comment . . .</t>
        </is>
      </c>
      <c r="EB431" s="55" t="inlineStr">
        <is>
          <t>Choose Principals comment</t>
        </is>
      </c>
      <c r="EC431" s="56" t="n"/>
      <c r="ED431" s="57" t="inlineStr">
        <is>
          <t>Next Term Begins on Monday, 22nd September, 2025</t>
        </is>
      </c>
    </row>
    <row r="432" ht="30.6" customHeight="1" s="6">
      <c r="A432" s="18" t="n">
        <v>429</v>
      </c>
      <c r="B432" s="19" t="n"/>
      <c r="C432" s="20" t="n"/>
      <c r="D432" s="128" t="n"/>
      <c r="E432" s="21" t="n"/>
      <c r="F432" s="22" t="n"/>
      <c r="G432" s="22" t="n"/>
      <c r="H432" s="22" t="n"/>
      <c r="I432" s="26">
        <f>G432-H432</f>
        <v/>
      </c>
      <c r="J432" s="21" t="n"/>
      <c r="K432" s="21" t="n"/>
      <c r="L432" s="27">
        <f>SUM(J432:K432)</f>
        <v/>
      </c>
      <c r="M432" s="28" t="n"/>
      <c r="N432" s="28" t="n"/>
      <c r="O432" s="29">
        <f>IF(AND(L432=0,M432=0,N432=0),0,IF(AND(L432=0,M432=0),N432/1,IF(AND(L432=0,N432=0),M432/1,IF(AND(M432=0,N432=0),L432/1,IF(L432=0,FLOOR((M432+N432)/2,0.1),IF(M432=0,(L432+N432)/2,IF(N432=0,(M432+L432)/2,FLOOR(((L432+M432+N432)/3),0.1))))))))</f>
        <v/>
      </c>
      <c r="P432" s="21" t="n"/>
      <c r="Q432" s="21" t="n"/>
      <c r="R432" s="27">
        <f>SUM(P432:Q432)</f>
        <v/>
      </c>
      <c r="S432" s="28" t="n"/>
      <c r="T432" s="28" t="n"/>
      <c r="U432" s="29">
        <f>IF(AND(R432=0,S432=0,T432=0),0,IF(AND(R432=0,S432=0),T432/1,IF(AND(R432=0,T432=0),S432/1,IF(AND(S432=0,T432=0),R432/1,IF(R432=0,FLOOR((S432+T432)/2,0.1),IF(S432=0,(R432+T432)/2,IF(T432=0,(S432+R432)/2,FLOOR(((R432+S432+T432)/3),0.1))))))))</f>
        <v/>
      </c>
      <c r="V432" s="21" t="n"/>
      <c r="W432" s="21" t="n"/>
      <c r="X432" s="27">
        <f>SUM(V432:W432)</f>
        <v/>
      </c>
      <c r="Y432" s="28" t="n"/>
      <c r="Z432" s="28" t="n"/>
      <c r="AA432" s="29">
        <f>IF(AND(X432=0,Y432=0,Z432=0),0,IF(AND(X432=0,Y432=0),Z432/1,IF(AND(X432=0,Z432=0),Y432/1,IF(AND(Y432=0,Z432=0),X432/1,IF(X432=0,FLOOR((Y432+Z432)/2,0.1),IF(Y432=0,(X432+Z432)/2,IF(Z432=0,(Y432+X432)/2,FLOOR(((X432+Y432+Z432)/3),0.1))))))))</f>
        <v/>
      </c>
      <c r="AB432" s="21" t="n"/>
      <c r="AC432" s="21" t="n"/>
      <c r="AD432" s="27">
        <f>SUM(AB432:AC432)</f>
        <v/>
      </c>
      <c r="AE432" s="28" t="n"/>
      <c r="AF432" s="28" t="n"/>
      <c r="AG432" s="29">
        <f>IF(AND(AD432=0,AE432=0,AF432=0),0,IF(AND(AD432=0,AE432=0),AF432/1,IF(AND(AD432=0,AF432=0),AE432/1,IF(AND(AE432=0,AF432=0),AD432/1,IF(AD432=0,FLOOR((AE432+AF432)/2,0.1),IF(AE432=0,(AD432+AF432)/2,IF(AF432=0,(AE432+AD432)/2,FLOOR(((AD432+AE432+AF432)/3),0.1))))))))</f>
        <v/>
      </c>
      <c r="AH432" s="21" t="n"/>
      <c r="AI432" s="21" t="n"/>
      <c r="AJ432" s="27">
        <f>SUM(AH432:AI432)</f>
        <v/>
      </c>
      <c r="AK432" s="28" t="n"/>
      <c r="AL432" s="28" t="n"/>
      <c r="AM432" s="29">
        <f>IF(AND(AJ432=0,AK432=0,AL432=0),0,IF(AND(AJ432=0,AK432=0),AL432/1,IF(AND(AJ432=0,AL432=0),AK432/1,IF(AND(AK432=0,AL432=0),AJ432/1,IF(AJ432=0,FLOOR((AK432+AL432)/2,0.1),IF(AK432=0,(AJ432+AL432)/2,IF(AL432=0,(AK432+AJ432)/2,FLOOR(((AJ432+AK432+AL432)/3),0.1))))))))</f>
        <v/>
      </c>
      <c r="AN432" s="21" t="n"/>
      <c r="AO432" s="21" t="n"/>
      <c r="AP432" s="27">
        <f>SUM(AN432:AO432)</f>
        <v/>
      </c>
      <c r="AQ432" s="28" t="n"/>
      <c r="AR432" s="30" t="n"/>
      <c r="AS432" s="29">
        <f>IF(AND(AP432=0,AQ432=0,AR432=0),0,IF(AND(AP432=0,AQ432=0),AR432/1,IF(AND(AP432=0,AR432=0),AQ432/1,IF(AND(AQ432=0,AR432=0),AP432/1,IF(AP432=0,FLOOR((AQ432+AR432)/2,0.1),IF(AQ432=0,(AP432+AR432)/2,IF(AR432=0,(AQ432+AP432)/2,FLOOR(((AP432+AQ432+AR432)/3),0.1))))))))</f>
        <v/>
      </c>
      <c r="AT432" s="21" t="n"/>
      <c r="AU432" s="21" t="n"/>
      <c r="AV432" s="27">
        <f>SUM(AT432:AU432)</f>
        <v/>
      </c>
      <c r="AW432" s="28" t="n"/>
      <c r="AX432" s="30" t="n"/>
      <c r="AY432" s="29">
        <f>IF(AND(AV432=0,AW432=0,AX432=0),0,IF(AND(AV432=0,AW432=0),AX432/1,IF(AND(AV432=0,AX432=0),AW432/1,IF(AND(AW432=0,AX432=0),AV432/1,IF(AV432=0,FLOOR((AW432+AX432)/2,0.1),IF(AW432=0,(AV432+AX432)/2,IF(AX432=0,(AW432+AV432)/2,FLOOR(((AV432+AW432+AX432)/3),0.1))))))))</f>
        <v/>
      </c>
      <c r="AZ432" s="21" t="n"/>
      <c r="BA432" s="21" t="n"/>
      <c r="BB432" s="27">
        <f>SUM(AZ432:BA432)</f>
        <v/>
      </c>
      <c r="BC432" s="28" t="n"/>
      <c r="BD432" s="28" t="n"/>
      <c r="BE432" s="29">
        <f>IF(AND(BB432=0,BC432=0,BD432=0),0,IF(AND(BB432=0,BC432=0),BD432/1,IF(AND(BB432=0,BD432=0),BC432/1,IF(AND(BC432=0,BD432=0),BB432/1,IF(BB432=0,FLOOR((BC432+BD432)/2,0.1),IF(BC432=0,(BB432+BD432)/2,IF(BD432=0,(BC432+BB432)/2,FLOOR(((BB432+BC432+BD432)/3),0.1))))))))</f>
        <v/>
      </c>
      <c r="BF432" s="21" t="n"/>
      <c r="BG432" s="21" t="n"/>
      <c r="BH432" s="27">
        <f>SUM(BF432:BG432)</f>
        <v/>
      </c>
      <c r="BI432" s="28" t="n"/>
      <c r="BJ432" s="28" t="n"/>
      <c r="BK432" s="29">
        <f>IF(AND(BH432=0,BI432=0,BJ432=0),0,IF(AND(BH432=0,BI432=0),BJ432/1,IF(AND(BH432=0,BJ432=0),BI432/1,IF(AND(BI432=0,BJ432=0),BH432/1,IF(BH432=0,FLOOR((BI432+BJ432)/2,0.1),IF(BI432=0,(BH432+BJ432)/2,IF(BJ432=0,(BI432+BH432)/2,FLOOR(((BH432+BI432+BJ432)/3),0.1))))))))</f>
        <v/>
      </c>
      <c r="BL432" s="21" t="n"/>
      <c r="BM432" s="21" t="n"/>
      <c r="BN432" s="27">
        <f>SUM(BL432:BM432)</f>
        <v/>
      </c>
      <c r="BO432" s="28" t="n"/>
      <c r="BP432" s="31" t="n"/>
      <c r="BQ432" s="29">
        <f>IF(AND(BN432=0,BO432=0,BP432=0),0,IF(AND(BN432=0,BO432=0),BP432/1,IF(AND(BN432=0,BP432=0),BO432/1,IF(AND(BO432=0,BP432=0),BN432/1,IF(BN432=0,FLOOR((BO432+BP432)/2,0.1),IF(BO432=0,(BN432+BP432)/2,IF(BP432=0,(BO432+BN432)/2,FLOOR(((BN432+BO432+BP432)/3),0.1))))))))</f>
        <v/>
      </c>
      <c r="BR432" s="21" t="n"/>
      <c r="BS432" s="21" t="n"/>
      <c r="BT432" s="27">
        <f>SUM(BR432:BS432)</f>
        <v/>
      </c>
      <c r="BU432" s="28" t="n"/>
      <c r="BV432" s="31" t="n"/>
      <c r="BW432" s="29">
        <f>IF(AND(BT432=0,BU432=0,BV432=0),0,IF(AND(BT432=0,BU432=0),BV432/1,IF(AND(BT432=0,BV432=0),BU432/1,IF(AND(BU432=0,BV432=0),BT432/1,IF(BT432=0,FLOOR((BU432+BV432)/2,0.1),IF(BU432=0,(BT432+BV432)/2,IF(BV432=0,(BU432+BT432)/2,FLOOR(((BT432+BU432+BV432)/3),0.1))))))))</f>
        <v/>
      </c>
      <c r="BX432" s="21" t="n"/>
      <c r="BY432" s="21" t="n"/>
      <c r="BZ432" s="27">
        <f>SUM(BX432:BY432)</f>
        <v/>
      </c>
      <c r="CA432" s="28" t="n"/>
      <c r="CB432" s="31" t="n"/>
      <c r="CC432" s="29">
        <f>IF(AND(BZ432=0,CA432=0,CB432=0),0,IF(AND(BZ432=0,CA432=0),CB432/1,IF(AND(BZ432=0,CB432=0),CA432/1,IF(AND(CA432=0,CB432=0),BZ432/1,IF(BZ432=0,FLOOR((CA432+CB432)/2,0.1),IF(CA432=0,(BZ432+CB432)/2,IF(CB432=0,(CA432+BZ432)/2,FLOOR(((BZ432+CA432+CB432)/3),0.1))))))))</f>
        <v/>
      </c>
      <c r="CD432" s="21" t="n"/>
      <c r="CE432" s="21" t="n"/>
      <c r="CF432" s="27">
        <f>SUM(CD432:CE432)</f>
        <v/>
      </c>
      <c r="CG432" s="28" t="n"/>
      <c r="CH432" s="31" t="n"/>
      <c r="CI432" s="29">
        <f>IF(AND(CF432=0,CG432=0,CH432=0),0,IF(AND(CF432=0,CG432=0),CH432/1,IF(AND(CF432=0,CH432=0),CG432/1,IF(AND(CG432=0,CH432=0),CF432/1,IF(CF432=0,FLOOR((CG432+CH432)/2,0.1),IF(CG432=0,(CF432+CH432)/2,IF(CH432=0,(CG432+CF432)/2,FLOOR(((CF432+CG432+CH432)/3),0.1))))))))</f>
        <v/>
      </c>
      <c r="CJ432" s="21" t="n"/>
      <c r="CK432" s="21" t="n"/>
      <c r="CL432" s="27">
        <f>SUM(CJ432:CK432)</f>
        <v/>
      </c>
      <c r="CM432" s="28" t="n"/>
      <c r="CN432" s="31" t="n"/>
      <c r="CO432" s="29">
        <f>IF(AND(CL432=0,CM432=0,CN432=0),0,IF(AND(CL432=0,CM432=0),CN432/1,IF(AND(CL432=0,CN432=0),CM432/1,IF(AND(CM432=0,CN432=0),CL432/1,IF(CL432=0,FLOOR((CM432+CN432)/2,0.1),IF(CM432=0,(CL432+CN432)/2,IF(CN432=0,(CM432+CL432)/2,FLOOR(((CL432+CM432+CN432)/3),0.1))))))))</f>
        <v/>
      </c>
      <c r="CP432" s="21" t="n"/>
      <c r="CQ432" s="21" t="n"/>
      <c r="CR432" s="27">
        <f>SUM(CP432:CQ432)</f>
        <v/>
      </c>
      <c r="CS432" s="28" t="n"/>
      <c r="CT432" s="31" t="n"/>
      <c r="CU432" s="29">
        <f>IF(AND(CR432=0,CS432=0,CT432=0),0,IF(AND(CR432=0,CS432=0),CT432/1,IF(AND(CR432=0,CT432=0),CS432/1,IF(AND(CS432=0,CT432=0),CR432/1,IF(CR432=0,FLOOR((CS432+CT432)/2,0.1),IF(CS432=0,(CR432+CT432)/2,IF(CT432=0,(CS432+CR432)/2,FLOOR(((CR432+CS432+CT432)/3),0.1))))))))</f>
        <v/>
      </c>
      <c r="CV432" s="21" t="n"/>
      <c r="CW432" s="21" t="n"/>
      <c r="CX432" s="27">
        <f>SUM(CV432:CW432)</f>
        <v/>
      </c>
      <c r="CY432" s="28" t="n"/>
      <c r="CZ432" s="31" t="n"/>
      <c r="DA432" s="29">
        <f>IF(AND(CX432=0,CY432=0,CZ432=0),0,IF(AND(CX432=0,CY432=0),CZ432/1,IF(AND(CX432=0,CZ432=0),CY432/1,IF(AND(CY432=0,CZ432=0),CX432/1,IF(CX432=0,FLOOR((CY432+CZ432)/2,0.1),IF(CY432=0,(CX432+CZ432)/2,IF(CZ432=0,(CY432+CX432)/2,FLOOR(((CX432+CY432+CZ432)/3),0.1))))))))</f>
        <v/>
      </c>
      <c r="DB432" s="21" t="n"/>
      <c r="DC432" s="21" t="n"/>
      <c r="DD432" s="27">
        <f>SUM(DB432:DC432)</f>
        <v/>
      </c>
      <c r="DE432" s="28" t="n"/>
      <c r="DF432" s="31" t="n"/>
      <c r="DG432" s="29">
        <f>IF(AND(DD432=0,DE432=0,DF432=0),0,IF(AND(DD432=0,DE432=0),DF432/1,IF(AND(DD432=0,DF432=0),DE432/1,IF(AND(DE432=0,DF432=0),DD432/1,IF(DD432=0,FLOOR((DE432+DF432)/2,0.1),IF(DE432=0,(DD432+DF432)/2,IF(DF432=0,(DE432+DD432)/2,FLOOR(((DD432+DE432+DF432)/3),0.1))))))))</f>
        <v/>
      </c>
      <c r="DH432" s="34">
        <f>SUM(O432,U432,AA432,AG432,AM432,AS432,AY432,BE432,BK432,BQ432,BW432,CC432,CI432,CO432,CU432,DA432,DG432)</f>
        <v/>
      </c>
      <c r="DI432" s="39">
        <f>RANK(DH432,DH$4:DH$503)</f>
        <v/>
      </c>
      <c r="DJ432" s="40" t="inlineStr">
        <is>
          <t>CHOOSE RATING</t>
        </is>
      </c>
      <c r="DK432" s="40" t="inlineStr">
        <is>
          <t>CHOOSE RATING</t>
        </is>
      </c>
      <c r="DL432" s="40" t="inlineStr">
        <is>
          <t>CHOOSE RATING</t>
        </is>
      </c>
      <c r="DM432" s="40" t="inlineStr">
        <is>
          <t>CHOOSE RATING</t>
        </is>
      </c>
      <c r="DN432" s="40" t="inlineStr">
        <is>
          <t>CHOOSE RATING</t>
        </is>
      </c>
      <c r="DO432" s="40" t="inlineStr">
        <is>
          <t>CHOOSE RATING</t>
        </is>
      </c>
      <c r="DP432" s="40" t="inlineStr">
        <is>
          <t>CHOOSE RATING</t>
        </is>
      </c>
      <c r="DQ432" s="40" t="inlineStr">
        <is>
          <t>CHOOSE RATING</t>
        </is>
      </c>
      <c r="DR432" s="43" t="inlineStr">
        <is>
          <t>2024/2025</t>
        </is>
      </c>
      <c r="DS432" s="45" t="inlineStr">
        <is>
          <t>THIRD</t>
        </is>
      </c>
      <c r="DT432" s="40" t="inlineStr">
        <is>
          <t>CHOOSE RATING</t>
        </is>
      </c>
      <c r="DU432" s="40" t="inlineStr">
        <is>
          <t>CHOOSE RATING</t>
        </is>
      </c>
      <c r="DV432" s="40" t="inlineStr">
        <is>
          <t>CHOOSE RATING</t>
        </is>
      </c>
      <c r="DW432" s="40" t="inlineStr">
        <is>
          <t>CHOOSE RATING</t>
        </is>
      </c>
      <c r="DX432" s="40" t="inlineStr">
        <is>
          <t>CHOOSE RATING</t>
        </is>
      </c>
      <c r="DY432" s="40" t="inlineStr">
        <is>
          <t>CHOOSE RATING</t>
        </is>
      </c>
      <c r="DZ432" s="53" t="inlineStr">
        <is>
          <t>CHOOSE RATING</t>
        </is>
      </c>
      <c r="EA432" s="54" t="inlineStr">
        <is>
          <t>Add the Tutor's Comment . . .</t>
        </is>
      </c>
      <c r="EB432" s="55" t="inlineStr">
        <is>
          <t>Choose Principals comment</t>
        </is>
      </c>
      <c r="EC432" s="56" t="n"/>
      <c r="ED432" s="57" t="inlineStr">
        <is>
          <t>Next Term Begins on Monday, 22nd September, 2025</t>
        </is>
      </c>
    </row>
    <row r="433" ht="30.6" customHeight="1" s="6">
      <c r="A433" s="18" t="n">
        <v>430</v>
      </c>
      <c r="B433" s="19" t="n"/>
      <c r="C433" s="20" t="n"/>
      <c r="D433" s="128" t="n"/>
      <c r="E433" s="21" t="n"/>
      <c r="F433" s="22" t="n"/>
      <c r="G433" s="22" t="n"/>
      <c r="H433" s="22" t="n"/>
      <c r="I433" s="26">
        <f>G433-H433</f>
        <v/>
      </c>
      <c r="J433" s="21" t="n"/>
      <c r="K433" s="21" t="n"/>
      <c r="L433" s="27">
        <f>SUM(J433:K433)</f>
        <v/>
      </c>
      <c r="M433" s="28" t="n"/>
      <c r="N433" s="28" t="n"/>
      <c r="O433" s="29">
        <f>IF(AND(L433=0,M433=0,N433=0),0,IF(AND(L433=0,M433=0),N433/1,IF(AND(L433=0,N433=0),M433/1,IF(AND(M433=0,N433=0),L433/1,IF(L433=0,FLOOR((M433+N433)/2,0.1),IF(M433=0,(L433+N433)/2,IF(N433=0,(M433+L433)/2,FLOOR(((L433+M433+N433)/3),0.1))))))))</f>
        <v/>
      </c>
      <c r="P433" s="21" t="n"/>
      <c r="Q433" s="21" t="n"/>
      <c r="R433" s="27">
        <f>SUM(P433:Q433)</f>
        <v/>
      </c>
      <c r="S433" s="28" t="n"/>
      <c r="T433" s="28" t="n"/>
      <c r="U433" s="29">
        <f>IF(AND(R433=0,S433=0,T433=0),0,IF(AND(R433=0,S433=0),T433/1,IF(AND(R433=0,T433=0),S433/1,IF(AND(S433=0,T433=0),R433/1,IF(R433=0,FLOOR((S433+T433)/2,0.1),IF(S433=0,(R433+T433)/2,IF(T433=0,(S433+R433)/2,FLOOR(((R433+S433+T433)/3),0.1))))))))</f>
        <v/>
      </c>
      <c r="V433" s="21" t="n"/>
      <c r="W433" s="21" t="n"/>
      <c r="X433" s="27">
        <f>SUM(V433:W433)</f>
        <v/>
      </c>
      <c r="Y433" s="28" t="n"/>
      <c r="Z433" s="28" t="n"/>
      <c r="AA433" s="29">
        <f>IF(AND(X433=0,Y433=0,Z433=0),0,IF(AND(X433=0,Y433=0),Z433/1,IF(AND(X433=0,Z433=0),Y433/1,IF(AND(Y433=0,Z433=0),X433/1,IF(X433=0,FLOOR((Y433+Z433)/2,0.1),IF(Y433=0,(X433+Z433)/2,IF(Z433=0,(Y433+X433)/2,FLOOR(((X433+Y433+Z433)/3),0.1))))))))</f>
        <v/>
      </c>
      <c r="AB433" s="21" t="n"/>
      <c r="AC433" s="21" t="n"/>
      <c r="AD433" s="27">
        <f>SUM(AB433:AC433)</f>
        <v/>
      </c>
      <c r="AE433" s="28" t="n"/>
      <c r="AF433" s="28" t="n"/>
      <c r="AG433" s="29">
        <f>IF(AND(AD433=0,AE433=0,AF433=0),0,IF(AND(AD433=0,AE433=0),AF433/1,IF(AND(AD433=0,AF433=0),AE433/1,IF(AND(AE433=0,AF433=0),AD433/1,IF(AD433=0,FLOOR((AE433+AF433)/2,0.1),IF(AE433=0,(AD433+AF433)/2,IF(AF433=0,(AE433+AD433)/2,FLOOR(((AD433+AE433+AF433)/3),0.1))))))))</f>
        <v/>
      </c>
      <c r="AH433" s="21" t="n"/>
      <c r="AI433" s="21" t="n"/>
      <c r="AJ433" s="27">
        <f>SUM(AH433:AI433)</f>
        <v/>
      </c>
      <c r="AK433" s="28" t="n"/>
      <c r="AL433" s="28" t="n"/>
      <c r="AM433" s="29">
        <f>IF(AND(AJ433=0,AK433=0,AL433=0),0,IF(AND(AJ433=0,AK433=0),AL433/1,IF(AND(AJ433=0,AL433=0),AK433/1,IF(AND(AK433=0,AL433=0),AJ433/1,IF(AJ433=0,FLOOR((AK433+AL433)/2,0.1),IF(AK433=0,(AJ433+AL433)/2,IF(AL433=0,(AK433+AJ433)/2,FLOOR(((AJ433+AK433+AL433)/3),0.1))))))))</f>
        <v/>
      </c>
      <c r="AN433" s="21" t="n"/>
      <c r="AO433" s="21" t="n"/>
      <c r="AP433" s="27">
        <f>SUM(AN433:AO433)</f>
        <v/>
      </c>
      <c r="AQ433" s="28" t="n"/>
      <c r="AR433" s="30" t="n"/>
      <c r="AS433" s="29">
        <f>IF(AND(AP433=0,AQ433=0,AR433=0),0,IF(AND(AP433=0,AQ433=0),AR433/1,IF(AND(AP433=0,AR433=0),AQ433/1,IF(AND(AQ433=0,AR433=0),AP433/1,IF(AP433=0,FLOOR((AQ433+AR433)/2,0.1),IF(AQ433=0,(AP433+AR433)/2,IF(AR433=0,(AQ433+AP433)/2,FLOOR(((AP433+AQ433+AR433)/3),0.1))))))))</f>
        <v/>
      </c>
      <c r="AT433" s="21" t="n"/>
      <c r="AU433" s="21" t="n"/>
      <c r="AV433" s="27">
        <f>SUM(AT433:AU433)</f>
        <v/>
      </c>
      <c r="AW433" s="28" t="n"/>
      <c r="AX433" s="30" t="n"/>
      <c r="AY433" s="29">
        <f>IF(AND(AV433=0,AW433=0,AX433=0),0,IF(AND(AV433=0,AW433=0),AX433/1,IF(AND(AV433=0,AX433=0),AW433/1,IF(AND(AW433=0,AX433=0),AV433/1,IF(AV433=0,FLOOR((AW433+AX433)/2,0.1),IF(AW433=0,(AV433+AX433)/2,IF(AX433=0,(AW433+AV433)/2,FLOOR(((AV433+AW433+AX433)/3),0.1))))))))</f>
        <v/>
      </c>
      <c r="AZ433" s="21" t="n"/>
      <c r="BA433" s="21" t="n"/>
      <c r="BB433" s="27">
        <f>SUM(AZ433:BA433)</f>
        <v/>
      </c>
      <c r="BC433" s="28" t="n"/>
      <c r="BD433" s="28" t="n"/>
      <c r="BE433" s="29">
        <f>IF(AND(BB433=0,BC433=0,BD433=0),0,IF(AND(BB433=0,BC433=0),BD433/1,IF(AND(BB433=0,BD433=0),BC433/1,IF(AND(BC433=0,BD433=0),BB433/1,IF(BB433=0,FLOOR((BC433+BD433)/2,0.1),IF(BC433=0,(BB433+BD433)/2,IF(BD433=0,(BC433+BB433)/2,FLOOR(((BB433+BC433+BD433)/3),0.1))))))))</f>
        <v/>
      </c>
      <c r="BF433" s="21" t="n"/>
      <c r="BG433" s="21" t="n"/>
      <c r="BH433" s="27">
        <f>SUM(BF433:BG433)</f>
        <v/>
      </c>
      <c r="BI433" s="28" t="n"/>
      <c r="BJ433" s="28" t="n"/>
      <c r="BK433" s="29">
        <f>IF(AND(BH433=0,BI433=0,BJ433=0),0,IF(AND(BH433=0,BI433=0),BJ433/1,IF(AND(BH433=0,BJ433=0),BI433/1,IF(AND(BI433=0,BJ433=0),BH433/1,IF(BH433=0,FLOOR((BI433+BJ433)/2,0.1),IF(BI433=0,(BH433+BJ433)/2,IF(BJ433=0,(BI433+BH433)/2,FLOOR(((BH433+BI433+BJ433)/3),0.1))))))))</f>
        <v/>
      </c>
      <c r="BL433" s="21" t="n"/>
      <c r="BM433" s="21" t="n"/>
      <c r="BN433" s="27">
        <f>SUM(BL433:BM433)</f>
        <v/>
      </c>
      <c r="BO433" s="28" t="n"/>
      <c r="BP433" s="31" t="n"/>
      <c r="BQ433" s="29">
        <f>IF(AND(BN433=0,BO433=0,BP433=0),0,IF(AND(BN433=0,BO433=0),BP433/1,IF(AND(BN433=0,BP433=0),BO433/1,IF(AND(BO433=0,BP433=0),BN433/1,IF(BN433=0,FLOOR((BO433+BP433)/2,0.1),IF(BO433=0,(BN433+BP433)/2,IF(BP433=0,(BO433+BN433)/2,FLOOR(((BN433+BO433+BP433)/3),0.1))))))))</f>
        <v/>
      </c>
      <c r="BR433" s="21" t="n"/>
      <c r="BS433" s="21" t="n"/>
      <c r="BT433" s="27">
        <f>SUM(BR433:BS433)</f>
        <v/>
      </c>
      <c r="BU433" s="28" t="n"/>
      <c r="BV433" s="31" t="n"/>
      <c r="BW433" s="29">
        <f>IF(AND(BT433=0,BU433=0,BV433=0),0,IF(AND(BT433=0,BU433=0),BV433/1,IF(AND(BT433=0,BV433=0),BU433/1,IF(AND(BU433=0,BV433=0),BT433/1,IF(BT433=0,FLOOR((BU433+BV433)/2,0.1),IF(BU433=0,(BT433+BV433)/2,IF(BV433=0,(BU433+BT433)/2,FLOOR(((BT433+BU433+BV433)/3),0.1))))))))</f>
        <v/>
      </c>
      <c r="BX433" s="21" t="n"/>
      <c r="BY433" s="21" t="n"/>
      <c r="BZ433" s="27">
        <f>SUM(BX433:BY433)</f>
        <v/>
      </c>
      <c r="CA433" s="28" t="n"/>
      <c r="CB433" s="31" t="n"/>
      <c r="CC433" s="29">
        <f>IF(AND(BZ433=0,CA433=0,CB433=0),0,IF(AND(BZ433=0,CA433=0),CB433/1,IF(AND(BZ433=0,CB433=0),CA433/1,IF(AND(CA433=0,CB433=0),BZ433/1,IF(BZ433=0,FLOOR((CA433+CB433)/2,0.1),IF(CA433=0,(BZ433+CB433)/2,IF(CB433=0,(CA433+BZ433)/2,FLOOR(((BZ433+CA433+CB433)/3),0.1))))))))</f>
        <v/>
      </c>
      <c r="CD433" s="21" t="n"/>
      <c r="CE433" s="21" t="n"/>
      <c r="CF433" s="27">
        <f>SUM(CD433:CE433)</f>
        <v/>
      </c>
      <c r="CG433" s="28" t="n"/>
      <c r="CH433" s="31" t="n"/>
      <c r="CI433" s="29">
        <f>IF(AND(CF433=0,CG433=0,CH433=0),0,IF(AND(CF433=0,CG433=0),CH433/1,IF(AND(CF433=0,CH433=0),CG433/1,IF(AND(CG433=0,CH433=0),CF433/1,IF(CF433=0,FLOOR((CG433+CH433)/2,0.1),IF(CG433=0,(CF433+CH433)/2,IF(CH433=0,(CG433+CF433)/2,FLOOR(((CF433+CG433+CH433)/3),0.1))))))))</f>
        <v/>
      </c>
      <c r="CJ433" s="21" t="n"/>
      <c r="CK433" s="21" t="n"/>
      <c r="CL433" s="27">
        <f>SUM(CJ433:CK433)</f>
        <v/>
      </c>
      <c r="CM433" s="28" t="n"/>
      <c r="CN433" s="31" t="n"/>
      <c r="CO433" s="29">
        <f>IF(AND(CL433=0,CM433=0,CN433=0),0,IF(AND(CL433=0,CM433=0),CN433/1,IF(AND(CL433=0,CN433=0),CM433/1,IF(AND(CM433=0,CN433=0),CL433/1,IF(CL433=0,FLOOR((CM433+CN433)/2,0.1),IF(CM433=0,(CL433+CN433)/2,IF(CN433=0,(CM433+CL433)/2,FLOOR(((CL433+CM433+CN433)/3),0.1))))))))</f>
        <v/>
      </c>
      <c r="CP433" s="21" t="n"/>
      <c r="CQ433" s="21" t="n"/>
      <c r="CR433" s="27">
        <f>SUM(CP433:CQ433)</f>
        <v/>
      </c>
      <c r="CS433" s="28" t="n"/>
      <c r="CT433" s="31" t="n"/>
      <c r="CU433" s="29">
        <f>IF(AND(CR433=0,CS433=0,CT433=0),0,IF(AND(CR433=0,CS433=0),CT433/1,IF(AND(CR433=0,CT433=0),CS433/1,IF(AND(CS433=0,CT433=0),CR433/1,IF(CR433=0,FLOOR((CS433+CT433)/2,0.1),IF(CS433=0,(CR433+CT433)/2,IF(CT433=0,(CS433+CR433)/2,FLOOR(((CR433+CS433+CT433)/3),0.1))))))))</f>
        <v/>
      </c>
      <c r="CV433" s="21" t="n"/>
      <c r="CW433" s="21" t="n"/>
      <c r="CX433" s="27">
        <f>SUM(CV433:CW433)</f>
        <v/>
      </c>
      <c r="CY433" s="28" t="n"/>
      <c r="CZ433" s="31" t="n"/>
      <c r="DA433" s="29">
        <f>IF(AND(CX433=0,CY433=0,CZ433=0),0,IF(AND(CX433=0,CY433=0),CZ433/1,IF(AND(CX433=0,CZ433=0),CY433/1,IF(AND(CY433=0,CZ433=0),CX433/1,IF(CX433=0,FLOOR((CY433+CZ433)/2,0.1),IF(CY433=0,(CX433+CZ433)/2,IF(CZ433=0,(CY433+CX433)/2,FLOOR(((CX433+CY433+CZ433)/3),0.1))))))))</f>
        <v/>
      </c>
      <c r="DB433" s="21" t="n"/>
      <c r="DC433" s="21" t="n"/>
      <c r="DD433" s="27">
        <f>SUM(DB433:DC433)</f>
        <v/>
      </c>
      <c r="DE433" s="28" t="n"/>
      <c r="DF433" s="31" t="n"/>
      <c r="DG433" s="29">
        <f>IF(AND(DD433=0,DE433=0,DF433=0),0,IF(AND(DD433=0,DE433=0),DF433/1,IF(AND(DD433=0,DF433=0),DE433/1,IF(AND(DE433=0,DF433=0),DD433/1,IF(DD433=0,FLOOR((DE433+DF433)/2,0.1),IF(DE433=0,(DD433+DF433)/2,IF(DF433=0,(DE433+DD433)/2,FLOOR(((DD433+DE433+DF433)/3),0.1))))))))</f>
        <v/>
      </c>
      <c r="DH433" s="34">
        <f>SUM(O433,U433,AA433,AG433,AM433,AS433,AY433,BE433,BK433,BQ433,BW433,CC433,CI433,CO433,CU433,DA433,DG433)</f>
        <v/>
      </c>
      <c r="DI433" s="39">
        <f>RANK(DH433,DH$4:DH$503)</f>
        <v/>
      </c>
      <c r="DJ433" s="40" t="inlineStr">
        <is>
          <t>CHOOSE RATING</t>
        </is>
      </c>
      <c r="DK433" s="40" t="inlineStr">
        <is>
          <t>CHOOSE RATING</t>
        </is>
      </c>
      <c r="DL433" s="40" t="inlineStr">
        <is>
          <t>CHOOSE RATING</t>
        </is>
      </c>
      <c r="DM433" s="40" t="inlineStr">
        <is>
          <t>CHOOSE RATING</t>
        </is>
      </c>
      <c r="DN433" s="40" t="inlineStr">
        <is>
          <t>CHOOSE RATING</t>
        </is>
      </c>
      <c r="DO433" s="40" t="inlineStr">
        <is>
          <t>CHOOSE RATING</t>
        </is>
      </c>
      <c r="DP433" s="40" t="inlineStr">
        <is>
          <t>CHOOSE RATING</t>
        </is>
      </c>
      <c r="DQ433" s="40" t="inlineStr">
        <is>
          <t>CHOOSE RATING</t>
        </is>
      </c>
      <c r="DR433" s="43" t="inlineStr">
        <is>
          <t>2024/2025</t>
        </is>
      </c>
      <c r="DS433" s="45" t="inlineStr">
        <is>
          <t>THIRD</t>
        </is>
      </c>
      <c r="DT433" s="40" t="inlineStr">
        <is>
          <t>CHOOSE RATING</t>
        </is>
      </c>
      <c r="DU433" s="40" t="inlineStr">
        <is>
          <t>CHOOSE RATING</t>
        </is>
      </c>
      <c r="DV433" s="40" t="inlineStr">
        <is>
          <t>CHOOSE RATING</t>
        </is>
      </c>
      <c r="DW433" s="40" t="inlineStr">
        <is>
          <t>CHOOSE RATING</t>
        </is>
      </c>
      <c r="DX433" s="40" t="inlineStr">
        <is>
          <t>CHOOSE RATING</t>
        </is>
      </c>
      <c r="DY433" s="40" t="inlineStr">
        <is>
          <t>CHOOSE RATING</t>
        </is>
      </c>
      <c r="DZ433" s="53" t="inlineStr">
        <is>
          <t>CHOOSE RATING</t>
        </is>
      </c>
      <c r="EA433" s="54" t="inlineStr">
        <is>
          <t>Add the Tutor's Comment . . .</t>
        </is>
      </c>
      <c r="EB433" s="55" t="inlineStr">
        <is>
          <t>Choose Principals comment</t>
        </is>
      </c>
      <c r="EC433" s="56" t="n"/>
      <c r="ED433" s="57" t="inlineStr">
        <is>
          <t>Next Term Begins on Monday, 22nd September, 2025</t>
        </is>
      </c>
    </row>
    <row r="434" ht="30.6" customHeight="1" s="6">
      <c r="A434" s="18" t="n">
        <v>431</v>
      </c>
      <c r="B434" s="19" t="n"/>
      <c r="C434" s="20" t="n"/>
      <c r="D434" s="128" t="n"/>
      <c r="E434" s="21" t="n"/>
      <c r="F434" s="22" t="n"/>
      <c r="G434" s="22" t="n"/>
      <c r="H434" s="22" t="n"/>
      <c r="I434" s="26">
        <f>G434-H434</f>
        <v/>
      </c>
      <c r="J434" s="21" t="n"/>
      <c r="K434" s="21" t="n"/>
      <c r="L434" s="27">
        <f>SUM(J434:K434)</f>
        <v/>
      </c>
      <c r="M434" s="28" t="n"/>
      <c r="N434" s="28" t="n"/>
      <c r="O434" s="29">
        <f>IF(AND(L434=0,M434=0,N434=0),0,IF(AND(L434=0,M434=0),N434/1,IF(AND(L434=0,N434=0),M434/1,IF(AND(M434=0,N434=0),L434/1,IF(L434=0,FLOOR((M434+N434)/2,0.1),IF(M434=0,(L434+N434)/2,IF(N434=0,(M434+L434)/2,FLOOR(((L434+M434+N434)/3),0.1))))))))</f>
        <v/>
      </c>
      <c r="P434" s="21" t="n"/>
      <c r="Q434" s="21" t="n"/>
      <c r="R434" s="27">
        <f>SUM(P434:Q434)</f>
        <v/>
      </c>
      <c r="S434" s="28" t="n"/>
      <c r="T434" s="28" t="n"/>
      <c r="U434" s="29">
        <f>IF(AND(R434=0,S434=0,T434=0),0,IF(AND(R434=0,S434=0),T434/1,IF(AND(R434=0,T434=0),S434/1,IF(AND(S434=0,T434=0),R434/1,IF(R434=0,FLOOR((S434+T434)/2,0.1),IF(S434=0,(R434+T434)/2,IF(T434=0,(S434+R434)/2,FLOOR(((R434+S434+T434)/3),0.1))))))))</f>
        <v/>
      </c>
      <c r="V434" s="21" t="n"/>
      <c r="W434" s="21" t="n"/>
      <c r="X434" s="27">
        <f>SUM(V434:W434)</f>
        <v/>
      </c>
      <c r="Y434" s="28" t="n"/>
      <c r="Z434" s="28" t="n"/>
      <c r="AA434" s="29">
        <f>IF(AND(X434=0,Y434=0,Z434=0),0,IF(AND(X434=0,Y434=0),Z434/1,IF(AND(X434=0,Z434=0),Y434/1,IF(AND(Y434=0,Z434=0),X434/1,IF(X434=0,FLOOR((Y434+Z434)/2,0.1),IF(Y434=0,(X434+Z434)/2,IF(Z434=0,(Y434+X434)/2,FLOOR(((X434+Y434+Z434)/3),0.1))))))))</f>
        <v/>
      </c>
      <c r="AB434" s="21" t="n"/>
      <c r="AC434" s="21" t="n"/>
      <c r="AD434" s="27">
        <f>SUM(AB434:AC434)</f>
        <v/>
      </c>
      <c r="AE434" s="28" t="n"/>
      <c r="AF434" s="28" t="n"/>
      <c r="AG434" s="29">
        <f>IF(AND(AD434=0,AE434=0,AF434=0),0,IF(AND(AD434=0,AE434=0),AF434/1,IF(AND(AD434=0,AF434=0),AE434/1,IF(AND(AE434=0,AF434=0),AD434/1,IF(AD434=0,FLOOR((AE434+AF434)/2,0.1),IF(AE434=0,(AD434+AF434)/2,IF(AF434=0,(AE434+AD434)/2,FLOOR(((AD434+AE434+AF434)/3),0.1))))))))</f>
        <v/>
      </c>
      <c r="AH434" s="21" t="n"/>
      <c r="AI434" s="21" t="n"/>
      <c r="AJ434" s="27">
        <f>SUM(AH434:AI434)</f>
        <v/>
      </c>
      <c r="AK434" s="28" t="n"/>
      <c r="AL434" s="28" t="n"/>
      <c r="AM434" s="29">
        <f>IF(AND(AJ434=0,AK434=0,AL434=0),0,IF(AND(AJ434=0,AK434=0),AL434/1,IF(AND(AJ434=0,AL434=0),AK434/1,IF(AND(AK434=0,AL434=0),AJ434/1,IF(AJ434=0,FLOOR((AK434+AL434)/2,0.1),IF(AK434=0,(AJ434+AL434)/2,IF(AL434=0,(AK434+AJ434)/2,FLOOR(((AJ434+AK434+AL434)/3),0.1))))))))</f>
        <v/>
      </c>
      <c r="AN434" s="21" t="n"/>
      <c r="AO434" s="21" t="n"/>
      <c r="AP434" s="27">
        <f>SUM(AN434:AO434)</f>
        <v/>
      </c>
      <c r="AQ434" s="28" t="n"/>
      <c r="AR434" s="30" t="n"/>
      <c r="AS434" s="29">
        <f>IF(AND(AP434=0,AQ434=0,AR434=0),0,IF(AND(AP434=0,AQ434=0),AR434/1,IF(AND(AP434=0,AR434=0),AQ434/1,IF(AND(AQ434=0,AR434=0),AP434/1,IF(AP434=0,FLOOR((AQ434+AR434)/2,0.1),IF(AQ434=0,(AP434+AR434)/2,IF(AR434=0,(AQ434+AP434)/2,FLOOR(((AP434+AQ434+AR434)/3),0.1))))))))</f>
        <v/>
      </c>
      <c r="AT434" s="21" t="n"/>
      <c r="AU434" s="21" t="n"/>
      <c r="AV434" s="27">
        <f>SUM(AT434:AU434)</f>
        <v/>
      </c>
      <c r="AW434" s="28" t="n"/>
      <c r="AX434" s="30" t="n"/>
      <c r="AY434" s="29">
        <f>IF(AND(AV434=0,AW434=0,AX434=0),0,IF(AND(AV434=0,AW434=0),AX434/1,IF(AND(AV434=0,AX434=0),AW434/1,IF(AND(AW434=0,AX434=0),AV434/1,IF(AV434=0,FLOOR((AW434+AX434)/2,0.1),IF(AW434=0,(AV434+AX434)/2,IF(AX434=0,(AW434+AV434)/2,FLOOR(((AV434+AW434+AX434)/3),0.1))))))))</f>
        <v/>
      </c>
      <c r="AZ434" s="21" t="n"/>
      <c r="BA434" s="21" t="n"/>
      <c r="BB434" s="27">
        <f>SUM(AZ434:BA434)</f>
        <v/>
      </c>
      <c r="BC434" s="28" t="n"/>
      <c r="BD434" s="28" t="n"/>
      <c r="BE434" s="29">
        <f>IF(AND(BB434=0,BC434=0,BD434=0),0,IF(AND(BB434=0,BC434=0),BD434/1,IF(AND(BB434=0,BD434=0),BC434/1,IF(AND(BC434=0,BD434=0),BB434/1,IF(BB434=0,FLOOR((BC434+BD434)/2,0.1),IF(BC434=0,(BB434+BD434)/2,IF(BD434=0,(BC434+BB434)/2,FLOOR(((BB434+BC434+BD434)/3),0.1))))))))</f>
        <v/>
      </c>
      <c r="BF434" s="21" t="n"/>
      <c r="BG434" s="21" t="n"/>
      <c r="BH434" s="27">
        <f>SUM(BF434:BG434)</f>
        <v/>
      </c>
      <c r="BI434" s="28" t="n"/>
      <c r="BJ434" s="28" t="n"/>
      <c r="BK434" s="29">
        <f>IF(AND(BH434=0,BI434=0,BJ434=0),0,IF(AND(BH434=0,BI434=0),BJ434/1,IF(AND(BH434=0,BJ434=0),BI434/1,IF(AND(BI434=0,BJ434=0),BH434/1,IF(BH434=0,FLOOR((BI434+BJ434)/2,0.1),IF(BI434=0,(BH434+BJ434)/2,IF(BJ434=0,(BI434+BH434)/2,FLOOR(((BH434+BI434+BJ434)/3),0.1))))))))</f>
        <v/>
      </c>
      <c r="BL434" s="21" t="n"/>
      <c r="BM434" s="21" t="n"/>
      <c r="BN434" s="27">
        <f>SUM(BL434:BM434)</f>
        <v/>
      </c>
      <c r="BO434" s="28" t="n"/>
      <c r="BP434" s="31" t="n"/>
      <c r="BQ434" s="29">
        <f>IF(AND(BN434=0,BO434=0,BP434=0),0,IF(AND(BN434=0,BO434=0),BP434/1,IF(AND(BN434=0,BP434=0),BO434/1,IF(AND(BO434=0,BP434=0),BN434/1,IF(BN434=0,FLOOR((BO434+BP434)/2,0.1),IF(BO434=0,(BN434+BP434)/2,IF(BP434=0,(BO434+BN434)/2,FLOOR(((BN434+BO434+BP434)/3),0.1))))))))</f>
        <v/>
      </c>
      <c r="BR434" s="21" t="n"/>
      <c r="BS434" s="21" t="n"/>
      <c r="BT434" s="27">
        <f>SUM(BR434:BS434)</f>
        <v/>
      </c>
      <c r="BU434" s="28" t="n"/>
      <c r="BV434" s="31" t="n"/>
      <c r="BW434" s="29">
        <f>IF(AND(BT434=0,BU434=0,BV434=0),0,IF(AND(BT434=0,BU434=0),BV434/1,IF(AND(BT434=0,BV434=0),BU434/1,IF(AND(BU434=0,BV434=0),BT434/1,IF(BT434=0,FLOOR((BU434+BV434)/2,0.1),IF(BU434=0,(BT434+BV434)/2,IF(BV434=0,(BU434+BT434)/2,FLOOR(((BT434+BU434+BV434)/3),0.1))))))))</f>
        <v/>
      </c>
      <c r="BX434" s="21" t="n"/>
      <c r="BY434" s="21" t="n"/>
      <c r="BZ434" s="27">
        <f>SUM(BX434:BY434)</f>
        <v/>
      </c>
      <c r="CA434" s="28" t="n"/>
      <c r="CB434" s="31" t="n"/>
      <c r="CC434" s="29">
        <f>IF(AND(BZ434=0,CA434=0,CB434=0),0,IF(AND(BZ434=0,CA434=0),CB434/1,IF(AND(BZ434=0,CB434=0),CA434/1,IF(AND(CA434=0,CB434=0),BZ434/1,IF(BZ434=0,FLOOR((CA434+CB434)/2,0.1),IF(CA434=0,(BZ434+CB434)/2,IF(CB434=0,(CA434+BZ434)/2,FLOOR(((BZ434+CA434+CB434)/3),0.1))))))))</f>
        <v/>
      </c>
      <c r="CD434" s="21" t="n"/>
      <c r="CE434" s="21" t="n"/>
      <c r="CF434" s="27">
        <f>SUM(CD434:CE434)</f>
        <v/>
      </c>
      <c r="CG434" s="28" t="n"/>
      <c r="CH434" s="31" t="n"/>
      <c r="CI434" s="29">
        <f>IF(AND(CF434=0,CG434=0,CH434=0),0,IF(AND(CF434=0,CG434=0),CH434/1,IF(AND(CF434=0,CH434=0),CG434/1,IF(AND(CG434=0,CH434=0),CF434/1,IF(CF434=0,FLOOR((CG434+CH434)/2,0.1),IF(CG434=0,(CF434+CH434)/2,IF(CH434=0,(CG434+CF434)/2,FLOOR(((CF434+CG434+CH434)/3),0.1))))))))</f>
        <v/>
      </c>
      <c r="CJ434" s="21" t="n"/>
      <c r="CK434" s="21" t="n"/>
      <c r="CL434" s="27">
        <f>SUM(CJ434:CK434)</f>
        <v/>
      </c>
      <c r="CM434" s="28" t="n"/>
      <c r="CN434" s="31" t="n"/>
      <c r="CO434" s="29">
        <f>IF(AND(CL434=0,CM434=0,CN434=0),0,IF(AND(CL434=0,CM434=0),CN434/1,IF(AND(CL434=0,CN434=0),CM434/1,IF(AND(CM434=0,CN434=0),CL434/1,IF(CL434=0,FLOOR((CM434+CN434)/2,0.1),IF(CM434=0,(CL434+CN434)/2,IF(CN434=0,(CM434+CL434)/2,FLOOR(((CL434+CM434+CN434)/3),0.1))))))))</f>
        <v/>
      </c>
      <c r="CP434" s="21" t="n"/>
      <c r="CQ434" s="21" t="n"/>
      <c r="CR434" s="27">
        <f>SUM(CP434:CQ434)</f>
        <v/>
      </c>
      <c r="CS434" s="28" t="n"/>
      <c r="CT434" s="31" t="n"/>
      <c r="CU434" s="29">
        <f>IF(AND(CR434=0,CS434=0,CT434=0),0,IF(AND(CR434=0,CS434=0),CT434/1,IF(AND(CR434=0,CT434=0),CS434/1,IF(AND(CS434=0,CT434=0),CR434/1,IF(CR434=0,FLOOR((CS434+CT434)/2,0.1),IF(CS434=0,(CR434+CT434)/2,IF(CT434=0,(CS434+CR434)/2,FLOOR(((CR434+CS434+CT434)/3),0.1))))))))</f>
        <v/>
      </c>
      <c r="CV434" s="21" t="n"/>
      <c r="CW434" s="21" t="n"/>
      <c r="CX434" s="27">
        <f>SUM(CV434:CW434)</f>
        <v/>
      </c>
      <c r="CY434" s="28" t="n"/>
      <c r="CZ434" s="31" t="n"/>
      <c r="DA434" s="29">
        <f>IF(AND(CX434=0,CY434=0,CZ434=0),0,IF(AND(CX434=0,CY434=0),CZ434/1,IF(AND(CX434=0,CZ434=0),CY434/1,IF(AND(CY434=0,CZ434=0),CX434/1,IF(CX434=0,FLOOR((CY434+CZ434)/2,0.1),IF(CY434=0,(CX434+CZ434)/2,IF(CZ434=0,(CY434+CX434)/2,FLOOR(((CX434+CY434+CZ434)/3),0.1))))))))</f>
        <v/>
      </c>
      <c r="DB434" s="21" t="n"/>
      <c r="DC434" s="21" t="n"/>
      <c r="DD434" s="27">
        <f>SUM(DB434:DC434)</f>
        <v/>
      </c>
      <c r="DE434" s="28" t="n"/>
      <c r="DF434" s="31" t="n"/>
      <c r="DG434" s="29">
        <f>IF(AND(DD434=0,DE434=0,DF434=0),0,IF(AND(DD434=0,DE434=0),DF434/1,IF(AND(DD434=0,DF434=0),DE434/1,IF(AND(DE434=0,DF434=0),DD434/1,IF(DD434=0,FLOOR((DE434+DF434)/2,0.1),IF(DE434=0,(DD434+DF434)/2,IF(DF434=0,(DE434+DD434)/2,FLOOR(((DD434+DE434+DF434)/3),0.1))))))))</f>
        <v/>
      </c>
      <c r="DH434" s="34">
        <f>SUM(O434,U434,AA434,AG434,AM434,AS434,AY434,BE434,BK434,BQ434,BW434,CC434,CI434,CO434,CU434,DA434,DG434)</f>
        <v/>
      </c>
      <c r="DI434" s="39">
        <f>RANK(DH434,DH$4:DH$503)</f>
        <v/>
      </c>
      <c r="DJ434" s="40" t="inlineStr">
        <is>
          <t>CHOOSE RATING</t>
        </is>
      </c>
      <c r="DK434" s="40" t="inlineStr">
        <is>
          <t>CHOOSE RATING</t>
        </is>
      </c>
      <c r="DL434" s="40" t="inlineStr">
        <is>
          <t>CHOOSE RATING</t>
        </is>
      </c>
      <c r="DM434" s="40" t="inlineStr">
        <is>
          <t>CHOOSE RATING</t>
        </is>
      </c>
      <c r="DN434" s="40" t="inlineStr">
        <is>
          <t>CHOOSE RATING</t>
        </is>
      </c>
      <c r="DO434" s="40" t="inlineStr">
        <is>
          <t>CHOOSE RATING</t>
        </is>
      </c>
      <c r="DP434" s="40" t="inlineStr">
        <is>
          <t>CHOOSE RATING</t>
        </is>
      </c>
      <c r="DQ434" s="40" t="inlineStr">
        <is>
          <t>CHOOSE RATING</t>
        </is>
      </c>
      <c r="DR434" s="43" t="inlineStr">
        <is>
          <t>2024/2025</t>
        </is>
      </c>
      <c r="DS434" s="45" t="inlineStr">
        <is>
          <t>THIRD</t>
        </is>
      </c>
      <c r="DT434" s="40" t="inlineStr">
        <is>
          <t>CHOOSE RATING</t>
        </is>
      </c>
      <c r="DU434" s="40" t="inlineStr">
        <is>
          <t>CHOOSE RATING</t>
        </is>
      </c>
      <c r="DV434" s="40" t="inlineStr">
        <is>
          <t>CHOOSE RATING</t>
        </is>
      </c>
      <c r="DW434" s="40" t="inlineStr">
        <is>
          <t>CHOOSE RATING</t>
        </is>
      </c>
      <c r="DX434" s="40" t="inlineStr">
        <is>
          <t>CHOOSE RATING</t>
        </is>
      </c>
      <c r="DY434" s="40" t="inlineStr">
        <is>
          <t>CHOOSE RATING</t>
        </is>
      </c>
      <c r="DZ434" s="53" t="inlineStr">
        <is>
          <t>CHOOSE RATING</t>
        </is>
      </c>
      <c r="EA434" s="54" t="inlineStr">
        <is>
          <t>Add the Tutor's Comment . . .</t>
        </is>
      </c>
      <c r="EB434" s="55" t="inlineStr">
        <is>
          <t>Choose Principals comment</t>
        </is>
      </c>
      <c r="EC434" s="56" t="n"/>
      <c r="ED434" s="57" t="inlineStr">
        <is>
          <t>Next Term Begins on Monday, 22nd September, 2025</t>
        </is>
      </c>
    </row>
    <row r="435" ht="30.6" customHeight="1" s="6">
      <c r="A435" s="18" t="n">
        <v>432</v>
      </c>
      <c r="B435" s="19" t="n"/>
      <c r="C435" s="20" t="n"/>
      <c r="D435" s="128" t="n"/>
      <c r="E435" s="21" t="n"/>
      <c r="F435" s="22" t="n"/>
      <c r="G435" s="22" t="n"/>
      <c r="H435" s="22" t="n"/>
      <c r="I435" s="26">
        <f>G435-H435</f>
        <v/>
      </c>
      <c r="J435" s="21" t="n"/>
      <c r="K435" s="21" t="n"/>
      <c r="L435" s="27">
        <f>SUM(J435:K435)</f>
        <v/>
      </c>
      <c r="M435" s="28" t="n"/>
      <c r="N435" s="28" t="n"/>
      <c r="O435" s="29">
        <f>IF(AND(L435=0,M435=0,N435=0),0,IF(AND(L435=0,M435=0),N435/1,IF(AND(L435=0,N435=0),M435/1,IF(AND(M435=0,N435=0),L435/1,IF(L435=0,FLOOR((M435+N435)/2,0.1),IF(M435=0,(L435+N435)/2,IF(N435=0,(M435+L435)/2,FLOOR(((L435+M435+N435)/3),0.1))))))))</f>
        <v/>
      </c>
      <c r="P435" s="21" t="n"/>
      <c r="Q435" s="21" t="n"/>
      <c r="R435" s="27">
        <f>SUM(P435:Q435)</f>
        <v/>
      </c>
      <c r="S435" s="28" t="n"/>
      <c r="T435" s="28" t="n"/>
      <c r="U435" s="29">
        <f>IF(AND(R435=0,S435=0,T435=0),0,IF(AND(R435=0,S435=0),T435/1,IF(AND(R435=0,T435=0),S435/1,IF(AND(S435=0,T435=0),R435/1,IF(R435=0,FLOOR((S435+T435)/2,0.1),IF(S435=0,(R435+T435)/2,IF(T435=0,(S435+R435)/2,FLOOR(((R435+S435+T435)/3),0.1))))))))</f>
        <v/>
      </c>
      <c r="V435" s="21" t="n"/>
      <c r="W435" s="21" t="n"/>
      <c r="X435" s="27">
        <f>SUM(V435:W435)</f>
        <v/>
      </c>
      <c r="Y435" s="28" t="n"/>
      <c r="Z435" s="28" t="n"/>
      <c r="AA435" s="29">
        <f>IF(AND(X435=0,Y435=0,Z435=0),0,IF(AND(X435=0,Y435=0),Z435/1,IF(AND(X435=0,Z435=0),Y435/1,IF(AND(Y435=0,Z435=0),X435/1,IF(X435=0,FLOOR((Y435+Z435)/2,0.1),IF(Y435=0,(X435+Z435)/2,IF(Z435=0,(Y435+X435)/2,FLOOR(((X435+Y435+Z435)/3),0.1))))))))</f>
        <v/>
      </c>
      <c r="AB435" s="21" t="n"/>
      <c r="AC435" s="21" t="n"/>
      <c r="AD435" s="27">
        <f>SUM(AB435:AC435)</f>
        <v/>
      </c>
      <c r="AE435" s="28" t="n"/>
      <c r="AF435" s="28" t="n"/>
      <c r="AG435" s="29">
        <f>IF(AND(AD435=0,AE435=0,AF435=0),0,IF(AND(AD435=0,AE435=0),AF435/1,IF(AND(AD435=0,AF435=0),AE435/1,IF(AND(AE435=0,AF435=0),AD435/1,IF(AD435=0,FLOOR((AE435+AF435)/2,0.1),IF(AE435=0,(AD435+AF435)/2,IF(AF435=0,(AE435+AD435)/2,FLOOR(((AD435+AE435+AF435)/3),0.1))))))))</f>
        <v/>
      </c>
      <c r="AH435" s="21" t="n"/>
      <c r="AI435" s="21" t="n"/>
      <c r="AJ435" s="27">
        <f>SUM(AH435:AI435)</f>
        <v/>
      </c>
      <c r="AK435" s="28" t="n"/>
      <c r="AL435" s="28" t="n"/>
      <c r="AM435" s="29">
        <f>IF(AND(AJ435=0,AK435=0,AL435=0),0,IF(AND(AJ435=0,AK435=0),AL435/1,IF(AND(AJ435=0,AL435=0),AK435/1,IF(AND(AK435=0,AL435=0),AJ435/1,IF(AJ435=0,FLOOR((AK435+AL435)/2,0.1),IF(AK435=0,(AJ435+AL435)/2,IF(AL435=0,(AK435+AJ435)/2,FLOOR(((AJ435+AK435+AL435)/3),0.1))))))))</f>
        <v/>
      </c>
      <c r="AN435" s="21" t="n"/>
      <c r="AO435" s="21" t="n"/>
      <c r="AP435" s="27">
        <f>SUM(AN435:AO435)</f>
        <v/>
      </c>
      <c r="AQ435" s="28" t="n"/>
      <c r="AR435" s="30" t="n"/>
      <c r="AS435" s="29">
        <f>IF(AND(AP435=0,AQ435=0,AR435=0),0,IF(AND(AP435=0,AQ435=0),AR435/1,IF(AND(AP435=0,AR435=0),AQ435/1,IF(AND(AQ435=0,AR435=0),AP435/1,IF(AP435=0,FLOOR((AQ435+AR435)/2,0.1),IF(AQ435=0,(AP435+AR435)/2,IF(AR435=0,(AQ435+AP435)/2,FLOOR(((AP435+AQ435+AR435)/3),0.1))))))))</f>
        <v/>
      </c>
      <c r="AT435" s="21" t="n"/>
      <c r="AU435" s="21" t="n"/>
      <c r="AV435" s="27">
        <f>SUM(AT435:AU435)</f>
        <v/>
      </c>
      <c r="AW435" s="28" t="n"/>
      <c r="AX435" s="30" t="n"/>
      <c r="AY435" s="29">
        <f>IF(AND(AV435=0,AW435=0,AX435=0),0,IF(AND(AV435=0,AW435=0),AX435/1,IF(AND(AV435=0,AX435=0),AW435/1,IF(AND(AW435=0,AX435=0),AV435/1,IF(AV435=0,FLOOR((AW435+AX435)/2,0.1),IF(AW435=0,(AV435+AX435)/2,IF(AX435=0,(AW435+AV435)/2,FLOOR(((AV435+AW435+AX435)/3),0.1))))))))</f>
        <v/>
      </c>
      <c r="AZ435" s="21" t="n"/>
      <c r="BA435" s="21" t="n"/>
      <c r="BB435" s="27">
        <f>SUM(AZ435:BA435)</f>
        <v/>
      </c>
      <c r="BC435" s="28" t="n"/>
      <c r="BD435" s="28" t="n"/>
      <c r="BE435" s="29">
        <f>IF(AND(BB435=0,BC435=0,BD435=0),0,IF(AND(BB435=0,BC435=0),BD435/1,IF(AND(BB435=0,BD435=0),BC435/1,IF(AND(BC435=0,BD435=0),BB435/1,IF(BB435=0,FLOOR((BC435+BD435)/2,0.1),IF(BC435=0,(BB435+BD435)/2,IF(BD435=0,(BC435+BB435)/2,FLOOR(((BB435+BC435+BD435)/3),0.1))))))))</f>
        <v/>
      </c>
      <c r="BF435" s="21" t="n"/>
      <c r="BG435" s="21" t="n"/>
      <c r="BH435" s="27">
        <f>SUM(BF435:BG435)</f>
        <v/>
      </c>
      <c r="BI435" s="28" t="n"/>
      <c r="BJ435" s="28" t="n"/>
      <c r="BK435" s="29">
        <f>IF(AND(BH435=0,BI435=0,BJ435=0),0,IF(AND(BH435=0,BI435=0),BJ435/1,IF(AND(BH435=0,BJ435=0),BI435/1,IF(AND(BI435=0,BJ435=0),BH435/1,IF(BH435=0,FLOOR((BI435+BJ435)/2,0.1),IF(BI435=0,(BH435+BJ435)/2,IF(BJ435=0,(BI435+BH435)/2,FLOOR(((BH435+BI435+BJ435)/3),0.1))))))))</f>
        <v/>
      </c>
      <c r="BL435" s="21" t="n"/>
      <c r="BM435" s="21" t="n"/>
      <c r="BN435" s="27">
        <f>SUM(BL435:BM435)</f>
        <v/>
      </c>
      <c r="BO435" s="28" t="n"/>
      <c r="BP435" s="31" t="n"/>
      <c r="BQ435" s="29">
        <f>IF(AND(BN435=0,BO435=0,BP435=0),0,IF(AND(BN435=0,BO435=0),BP435/1,IF(AND(BN435=0,BP435=0),BO435/1,IF(AND(BO435=0,BP435=0),BN435/1,IF(BN435=0,FLOOR((BO435+BP435)/2,0.1),IF(BO435=0,(BN435+BP435)/2,IF(BP435=0,(BO435+BN435)/2,FLOOR(((BN435+BO435+BP435)/3),0.1))))))))</f>
        <v/>
      </c>
      <c r="BR435" s="21" t="n"/>
      <c r="BS435" s="21" t="n"/>
      <c r="BT435" s="27">
        <f>SUM(BR435:BS435)</f>
        <v/>
      </c>
      <c r="BU435" s="28" t="n"/>
      <c r="BV435" s="31" t="n"/>
      <c r="BW435" s="29">
        <f>IF(AND(BT435=0,BU435=0,BV435=0),0,IF(AND(BT435=0,BU435=0),BV435/1,IF(AND(BT435=0,BV435=0),BU435/1,IF(AND(BU435=0,BV435=0),BT435/1,IF(BT435=0,FLOOR((BU435+BV435)/2,0.1),IF(BU435=0,(BT435+BV435)/2,IF(BV435=0,(BU435+BT435)/2,FLOOR(((BT435+BU435+BV435)/3),0.1))))))))</f>
        <v/>
      </c>
      <c r="BX435" s="21" t="n"/>
      <c r="BY435" s="21" t="n"/>
      <c r="BZ435" s="27">
        <f>SUM(BX435:BY435)</f>
        <v/>
      </c>
      <c r="CA435" s="28" t="n"/>
      <c r="CB435" s="31" t="n"/>
      <c r="CC435" s="29">
        <f>IF(AND(BZ435=0,CA435=0,CB435=0),0,IF(AND(BZ435=0,CA435=0),CB435/1,IF(AND(BZ435=0,CB435=0),CA435/1,IF(AND(CA435=0,CB435=0),BZ435/1,IF(BZ435=0,FLOOR((CA435+CB435)/2,0.1),IF(CA435=0,(BZ435+CB435)/2,IF(CB435=0,(CA435+BZ435)/2,FLOOR(((BZ435+CA435+CB435)/3),0.1))))))))</f>
        <v/>
      </c>
      <c r="CD435" s="21" t="n"/>
      <c r="CE435" s="21" t="n"/>
      <c r="CF435" s="27">
        <f>SUM(CD435:CE435)</f>
        <v/>
      </c>
      <c r="CG435" s="28" t="n"/>
      <c r="CH435" s="31" t="n"/>
      <c r="CI435" s="29">
        <f>IF(AND(CF435=0,CG435=0,CH435=0),0,IF(AND(CF435=0,CG435=0),CH435/1,IF(AND(CF435=0,CH435=0),CG435/1,IF(AND(CG435=0,CH435=0),CF435/1,IF(CF435=0,FLOOR((CG435+CH435)/2,0.1),IF(CG435=0,(CF435+CH435)/2,IF(CH435=0,(CG435+CF435)/2,FLOOR(((CF435+CG435+CH435)/3),0.1))))))))</f>
        <v/>
      </c>
      <c r="CJ435" s="21" t="n"/>
      <c r="CK435" s="21" t="n"/>
      <c r="CL435" s="27">
        <f>SUM(CJ435:CK435)</f>
        <v/>
      </c>
      <c r="CM435" s="28" t="n"/>
      <c r="CN435" s="31" t="n"/>
      <c r="CO435" s="29">
        <f>IF(AND(CL435=0,CM435=0,CN435=0),0,IF(AND(CL435=0,CM435=0),CN435/1,IF(AND(CL435=0,CN435=0),CM435/1,IF(AND(CM435=0,CN435=0),CL435/1,IF(CL435=0,FLOOR((CM435+CN435)/2,0.1),IF(CM435=0,(CL435+CN435)/2,IF(CN435=0,(CM435+CL435)/2,FLOOR(((CL435+CM435+CN435)/3),0.1))))))))</f>
        <v/>
      </c>
      <c r="CP435" s="21" t="n"/>
      <c r="CQ435" s="21" t="n"/>
      <c r="CR435" s="27">
        <f>SUM(CP435:CQ435)</f>
        <v/>
      </c>
      <c r="CS435" s="28" t="n"/>
      <c r="CT435" s="31" t="n"/>
      <c r="CU435" s="29">
        <f>IF(AND(CR435=0,CS435=0,CT435=0),0,IF(AND(CR435=0,CS435=0),CT435/1,IF(AND(CR435=0,CT435=0),CS435/1,IF(AND(CS435=0,CT435=0),CR435/1,IF(CR435=0,FLOOR((CS435+CT435)/2,0.1),IF(CS435=0,(CR435+CT435)/2,IF(CT435=0,(CS435+CR435)/2,FLOOR(((CR435+CS435+CT435)/3),0.1))))))))</f>
        <v/>
      </c>
      <c r="CV435" s="21" t="n"/>
      <c r="CW435" s="21" t="n"/>
      <c r="CX435" s="27">
        <f>SUM(CV435:CW435)</f>
        <v/>
      </c>
      <c r="CY435" s="28" t="n"/>
      <c r="CZ435" s="31" t="n"/>
      <c r="DA435" s="29">
        <f>IF(AND(CX435=0,CY435=0,CZ435=0),0,IF(AND(CX435=0,CY435=0),CZ435/1,IF(AND(CX435=0,CZ435=0),CY435/1,IF(AND(CY435=0,CZ435=0),CX435/1,IF(CX435=0,FLOOR((CY435+CZ435)/2,0.1),IF(CY435=0,(CX435+CZ435)/2,IF(CZ435=0,(CY435+CX435)/2,FLOOR(((CX435+CY435+CZ435)/3),0.1))))))))</f>
        <v/>
      </c>
      <c r="DB435" s="21" t="n"/>
      <c r="DC435" s="21" t="n"/>
      <c r="DD435" s="27">
        <f>SUM(DB435:DC435)</f>
        <v/>
      </c>
      <c r="DE435" s="28" t="n"/>
      <c r="DF435" s="31" t="n"/>
      <c r="DG435" s="29">
        <f>IF(AND(DD435=0,DE435=0,DF435=0),0,IF(AND(DD435=0,DE435=0),DF435/1,IF(AND(DD435=0,DF435=0),DE435/1,IF(AND(DE435=0,DF435=0),DD435/1,IF(DD435=0,FLOOR((DE435+DF435)/2,0.1),IF(DE435=0,(DD435+DF435)/2,IF(DF435=0,(DE435+DD435)/2,FLOOR(((DD435+DE435+DF435)/3),0.1))))))))</f>
        <v/>
      </c>
      <c r="DH435" s="34">
        <f>SUM(O435,U435,AA435,AG435,AM435,AS435,AY435,BE435,BK435,BQ435,BW435,CC435,CI435,CO435,CU435,DA435,DG435)</f>
        <v/>
      </c>
      <c r="DI435" s="39">
        <f>RANK(DH435,DH$4:DH$503)</f>
        <v/>
      </c>
      <c r="DJ435" s="40" t="inlineStr">
        <is>
          <t>CHOOSE RATING</t>
        </is>
      </c>
      <c r="DK435" s="40" t="inlineStr">
        <is>
          <t>CHOOSE RATING</t>
        </is>
      </c>
      <c r="DL435" s="40" t="inlineStr">
        <is>
          <t>CHOOSE RATING</t>
        </is>
      </c>
      <c r="DM435" s="40" t="inlineStr">
        <is>
          <t>CHOOSE RATING</t>
        </is>
      </c>
      <c r="DN435" s="40" t="inlineStr">
        <is>
          <t>CHOOSE RATING</t>
        </is>
      </c>
      <c r="DO435" s="40" t="inlineStr">
        <is>
          <t>CHOOSE RATING</t>
        </is>
      </c>
      <c r="DP435" s="40" t="inlineStr">
        <is>
          <t>CHOOSE RATING</t>
        </is>
      </c>
      <c r="DQ435" s="40" t="inlineStr">
        <is>
          <t>CHOOSE RATING</t>
        </is>
      </c>
      <c r="DR435" s="43" t="inlineStr">
        <is>
          <t>2024/2025</t>
        </is>
      </c>
      <c r="DS435" s="45" t="inlineStr">
        <is>
          <t>THIRD</t>
        </is>
      </c>
      <c r="DT435" s="40" t="inlineStr">
        <is>
          <t>CHOOSE RATING</t>
        </is>
      </c>
      <c r="DU435" s="40" t="inlineStr">
        <is>
          <t>CHOOSE RATING</t>
        </is>
      </c>
      <c r="DV435" s="40" t="inlineStr">
        <is>
          <t>CHOOSE RATING</t>
        </is>
      </c>
      <c r="DW435" s="40" t="inlineStr">
        <is>
          <t>CHOOSE RATING</t>
        </is>
      </c>
      <c r="DX435" s="40" t="inlineStr">
        <is>
          <t>CHOOSE RATING</t>
        </is>
      </c>
      <c r="DY435" s="40" t="inlineStr">
        <is>
          <t>CHOOSE RATING</t>
        </is>
      </c>
      <c r="DZ435" s="53" t="inlineStr">
        <is>
          <t>CHOOSE RATING</t>
        </is>
      </c>
      <c r="EA435" s="54" t="inlineStr">
        <is>
          <t>Add the Tutor's Comment . . .</t>
        </is>
      </c>
      <c r="EB435" s="55" t="inlineStr">
        <is>
          <t>Choose Principals comment</t>
        </is>
      </c>
      <c r="EC435" s="56" t="n"/>
      <c r="ED435" s="57" t="inlineStr">
        <is>
          <t>Next Term Begins on Monday, 22nd September, 2025</t>
        </is>
      </c>
    </row>
    <row r="436" ht="30.6" customHeight="1" s="6">
      <c r="A436" s="18" t="n">
        <v>433</v>
      </c>
      <c r="B436" s="19" t="n"/>
      <c r="C436" s="20" t="n"/>
      <c r="D436" s="128" t="n"/>
      <c r="E436" s="21" t="n"/>
      <c r="F436" s="22" t="n"/>
      <c r="G436" s="22" t="n"/>
      <c r="H436" s="22" t="n"/>
      <c r="I436" s="26">
        <f>G436-H436</f>
        <v/>
      </c>
      <c r="J436" s="21" t="n"/>
      <c r="K436" s="21" t="n"/>
      <c r="L436" s="27">
        <f>SUM(J436:K436)</f>
        <v/>
      </c>
      <c r="M436" s="28" t="n"/>
      <c r="N436" s="28" t="n"/>
      <c r="O436" s="29">
        <f>IF(AND(L436=0,M436=0,N436=0),0,IF(AND(L436=0,M436=0),N436/1,IF(AND(L436=0,N436=0),M436/1,IF(AND(M436=0,N436=0),L436/1,IF(L436=0,FLOOR((M436+N436)/2,0.1),IF(M436=0,(L436+N436)/2,IF(N436=0,(M436+L436)/2,FLOOR(((L436+M436+N436)/3),0.1))))))))</f>
        <v/>
      </c>
      <c r="P436" s="21" t="n"/>
      <c r="Q436" s="21" t="n"/>
      <c r="R436" s="27">
        <f>SUM(P436:Q436)</f>
        <v/>
      </c>
      <c r="S436" s="28" t="n"/>
      <c r="T436" s="28" t="n"/>
      <c r="U436" s="29">
        <f>IF(AND(R436=0,S436=0,T436=0),0,IF(AND(R436=0,S436=0),T436/1,IF(AND(R436=0,T436=0),S436/1,IF(AND(S436=0,T436=0),R436/1,IF(R436=0,FLOOR((S436+T436)/2,0.1),IF(S436=0,(R436+T436)/2,IF(T436=0,(S436+R436)/2,FLOOR(((R436+S436+T436)/3),0.1))))))))</f>
        <v/>
      </c>
      <c r="V436" s="21" t="n"/>
      <c r="W436" s="21" t="n"/>
      <c r="X436" s="27">
        <f>SUM(V436:W436)</f>
        <v/>
      </c>
      <c r="Y436" s="28" t="n"/>
      <c r="Z436" s="28" t="n"/>
      <c r="AA436" s="29">
        <f>IF(AND(X436=0,Y436=0,Z436=0),0,IF(AND(X436=0,Y436=0),Z436/1,IF(AND(X436=0,Z436=0),Y436/1,IF(AND(Y436=0,Z436=0),X436/1,IF(X436=0,FLOOR((Y436+Z436)/2,0.1),IF(Y436=0,(X436+Z436)/2,IF(Z436=0,(Y436+X436)/2,FLOOR(((X436+Y436+Z436)/3),0.1))))))))</f>
        <v/>
      </c>
      <c r="AB436" s="21" t="n"/>
      <c r="AC436" s="21" t="n"/>
      <c r="AD436" s="27">
        <f>SUM(AB436:AC436)</f>
        <v/>
      </c>
      <c r="AE436" s="28" t="n"/>
      <c r="AF436" s="28" t="n"/>
      <c r="AG436" s="29">
        <f>IF(AND(AD436=0,AE436=0,AF436=0),0,IF(AND(AD436=0,AE436=0),AF436/1,IF(AND(AD436=0,AF436=0),AE436/1,IF(AND(AE436=0,AF436=0),AD436/1,IF(AD436=0,FLOOR((AE436+AF436)/2,0.1),IF(AE436=0,(AD436+AF436)/2,IF(AF436=0,(AE436+AD436)/2,FLOOR(((AD436+AE436+AF436)/3),0.1))))))))</f>
        <v/>
      </c>
      <c r="AH436" s="21" t="n"/>
      <c r="AI436" s="21" t="n"/>
      <c r="AJ436" s="27">
        <f>SUM(AH436:AI436)</f>
        <v/>
      </c>
      <c r="AK436" s="28" t="n"/>
      <c r="AL436" s="28" t="n"/>
      <c r="AM436" s="29">
        <f>IF(AND(AJ436=0,AK436=0,AL436=0),0,IF(AND(AJ436=0,AK436=0),AL436/1,IF(AND(AJ436=0,AL436=0),AK436/1,IF(AND(AK436=0,AL436=0),AJ436/1,IF(AJ436=0,FLOOR((AK436+AL436)/2,0.1),IF(AK436=0,(AJ436+AL436)/2,IF(AL436=0,(AK436+AJ436)/2,FLOOR(((AJ436+AK436+AL436)/3),0.1))))))))</f>
        <v/>
      </c>
      <c r="AN436" s="21" t="n"/>
      <c r="AO436" s="21" t="n"/>
      <c r="AP436" s="27">
        <f>SUM(AN436:AO436)</f>
        <v/>
      </c>
      <c r="AQ436" s="28" t="n"/>
      <c r="AR436" s="30" t="n"/>
      <c r="AS436" s="29">
        <f>IF(AND(AP436=0,AQ436=0,AR436=0),0,IF(AND(AP436=0,AQ436=0),AR436/1,IF(AND(AP436=0,AR436=0),AQ436/1,IF(AND(AQ436=0,AR436=0),AP436/1,IF(AP436=0,FLOOR((AQ436+AR436)/2,0.1),IF(AQ436=0,(AP436+AR436)/2,IF(AR436=0,(AQ436+AP436)/2,FLOOR(((AP436+AQ436+AR436)/3),0.1))))))))</f>
        <v/>
      </c>
      <c r="AT436" s="21" t="n"/>
      <c r="AU436" s="21" t="n"/>
      <c r="AV436" s="27">
        <f>SUM(AT436:AU436)</f>
        <v/>
      </c>
      <c r="AW436" s="28" t="n"/>
      <c r="AX436" s="30" t="n"/>
      <c r="AY436" s="29">
        <f>IF(AND(AV436=0,AW436=0,AX436=0),0,IF(AND(AV436=0,AW436=0),AX436/1,IF(AND(AV436=0,AX436=0),AW436/1,IF(AND(AW436=0,AX436=0),AV436/1,IF(AV436=0,FLOOR((AW436+AX436)/2,0.1),IF(AW436=0,(AV436+AX436)/2,IF(AX436=0,(AW436+AV436)/2,FLOOR(((AV436+AW436+AX436)/3),0.1))))))))</f>
        <v/>
      </c>
      <c r="AZ436" s="21" t="n"/>
      <c r="BA436" s="21" t="n"/>
      <c r="BB436" s="27">
        <f>SUM(AZ436:BA436)</f>
        <v/>
      </c>
      <c r="BC436" s="28" t="n"/>
      <c r="BD436" s="28" t="n"/>
      <c r="BE436" s="29">
        <f>IF(AND(BB436=0,BC436=0,BD436=0),0,IF(AND(BB436=0,BC436=0),BD436/1,IF(AND(BB436=0,BD436=0),BC436/1,IF(AND(BC436=0,BD436=0),BB436/1,IF(BB436=0,FLOOR((BC436+BD436)/2,0.1),IF(BC436=0,(BB436+BD436)/2,IF(BD436=0,(BC436+BB436)/2,FLOOR(((BB436+BC436+BD436)/3),0.1))))))))</f>
        <v/>
      </c>
      <c r="BF436" s="21" t="n"/>
      <c r="BG436" s="21" t="n"/>
      <c r="BH436" s="27">
        <f>SUM(BF436:BG436)</f>
        <v/>
      </c>
      <c r="BI436" s="28" t="n"/>
      <c r="BJ436" s="28" t="n"/>
      <c r="BK436" s="29">
        <f>IF(AND(BH436=0,BI436=0,BJ436=0),0,IF(AND(BH436=0,BI436=0),BJ436/1,IF(AND(BH436=0,BJ436=0),BI436/1,IF(AND(BI436=0,BJ436=0),BH436/1,IF(BH436=0,FLOOR((BI436+BJ436)/2,0.1),IF(BI436=0,(BH436+BJ436)/2,IF(BJ436=0,(BI436+BH436)/2,FLOOR(((BH436+BI436+BJ436)/3),0.1))))))))</f>
        <v/>
      </c>
      <c r="BL436" s="21" t="n"/>
      <c r="BM436" s="21" t="n"/>
      <c r="BN436" s="27">
        <f>SUM(BL436:BM436)</f>
        <v/>
      </c>
      <c r="BO436" s="28" t="n"/>
      <c r="BP436" s="31" t="n"/>
      <c r="BQ436" s="29">
        <f>IF(AND(BN436=0,BO436=0,BP436=0),0,IF(AND(BN436=0,BO436=0),BP436/1,IF(AND(BN436=0,BP436=0),BO436/1,IF(AND(BO436=0,BP436=0),BN436/1,IF(BN436=0,FLOOR((BO436+BP436)/2,0.1),IF(BO436=0,(BN436+BP436)/2,IF(BP436=0,(BO436+BN436)/2,FLOOR(((BN436+BO436+BP436)/3),0.1))))))))</f>
        <v/>
      </c>
      <c r="BR436" s="21" t="n"/>
      <c r="BS436" s="21" t="n"/>
      <c r="BT436" s="27">
        <f>SUM(BR436:BS436)</f>
        <v/>
      </c>
      <c r="BU436" s="28" t="n"/>
      <c r="BV436" s="31" t="n"/>
      <c r="BW436" s="29">
        <f>IF(AND(BT436=0,BU436=0,BV436=0),0,IF(AND(BT436=0,BU436=0),BV436/1,IF(AND(BT436=0,BV436=0),BU436/1,IF(AND(BU436=0,BV436=0),BT436/1,IF(BT436=0,FLOOR((BU436+BV436)/2,0.1),IF(BU436=0,(BT436+BV436)/2,IF(BV436=0,(BU436+BT436)/2,FLOOR(((BT436+BU436+BV436)/3),0.1))))))))</f>
        <v/>
      </c>
      <c r="BX436" s="21" t="n"/>
      <c r="BY436" s="21" t="n"/>
      <c r="BZ436" s="27">
        <f>SUM(BX436:BY436)</f>
        <v/>
      </c>
      <c r="CA436" s="28" t="n"/>
      <c r="CB436" s="31" t="n"/>
      <c r="CC436" s="29">
        <f>IF(AND(BZ436=0,CA436=0,CB436=0),0,IF(AND(BZ436=0,CA436=0),CB436/1,IF(AND(BZ436=0,CB436=0),CA436/1,IF(AND(CA436=0,CB436=0),BZ436/1,IF(BZ436=0,FLOOR((CA436+CB436)/2,0.1),IF(CA436=0,(BZ436+CB436)/2,IF(CB436=0,(CA436+BZ436)/2,FLOOR(((BZ436+CA436+CB436)/3),0.1))))))))</f>
        <v/>
      </c>
      <c r="CD436" s="21" t="n"/>
      <c r="CE436" s="21" t="n"/>
      <c r="CF436" s="27">
        <f>SUM(CD436:CE436)</f>
        <v/>
      </c>
      <c r="CG436" s="28" t="n"/>
      <c r="CH436" s="31" t="n"/>
      <c r="CI436" s="29">
        <f>IF(AND(CF436=0,CG436=0,CH436=0),0,IF(AND(CF436=0,CG436=0),CH436/1,IF(AND(CF436=0,CH436=0),CG436/1,IF(AND(CG436=0,CH436=0),CF436/1,IF(CF436=0,FLOOR((CG436+CH436)/2,0.1),IF(CG436=0,(CF436+CH436)/2,IF(CH436=0,(CG436+CF436)/2,FLOOR(((CF436+CG436+CH436)/3),0.1))))))))</f>
        <v/>
      </c>
      <c r="CJ436" s="21" t="n"/>
      <c r="CK436" s="21" t="n"/>
      <c r="CL436" s="27">
        <f>SUM(CJ436:CK436)</f>
        <v/>
      </c>
      <c r="CM436" s="28" t="n"/>
      <c r="CN436" s="31" t="n"/>
      <c r="CO436" s="29">
        <f>IF(AND(CL436=0,CM436=0,CN436=0),0,IF(AND(CL436=0,CM436=0),CN436/1,IF(AND(CL436=0,CN436=0),CM436/1,IF(AND(CM436=0,CN436=0),CL436/1,IF(CL436=0,FLOOR((CM436+CN436)/2,0.1),IF(CM436=0,(CL436+CN436)/2,IF(CN436=0,(CM436+CL436)/2,FLOOR(((CL436+CM436+CN436)/3),0.1))))))))</f>
        <v/>
      </c>
      <c r="CP436" s="21" t="n"/>
      <c r="CQ436" s="21" t="n"/>
      <c r="CR436" s="27">
        <f>SUM(CP436:CQ436)</f>
        <v/>
      </c>
      <c r="CS436" s="28" t="n"/>
      <c r="CT436" s="31" t="n"/>
      <c r="CU436" s="29">
        <f>IF(AND(CR436=0,CS436=0,CT436=0),0,IF(AND(CR436=0,CS436=0),CT436/1,IF(AND(CR436=0,CT436=0),CS436/1,IF(AND(CS436=0,CT436=0),CR436/1,IF(CR436=0,FLOOR((CS436+CT436)/2,0.1),IF(CS436=0,(CR436+CT436)/2,IF(CT436=0,(CS436+CR436)/2,FLOOR(((CR436+CS436+CT436)/3),0.1))))))))</f>
        <v/>
      </c>
      <c r="CV436" s="21" t="n"/>
      <c r="CW436" s="21" t="n"/>
      <c r="CX436" s="27">
        <f>SUM(CV436:CW436)</f>
        <v/>
      </c>
      <c r="CY436" s="28" t="n"/>
      <c r="CZ436" s="31" t="n"/>
      <c r="DA436" s="29">
        <f>IF(AND(CX436=0,CY436=0,CZ436=0),0,IF(AND(CX436=0,CY436=0),CZ436/1,IF(AND(CX436=0,CZ436=0),CY436/1,IF(AND(CY436=0,CZ436=0),CX436/1,IF(CX436=0,FLOOR((CY436+CZ436)/2,0.1),IF(CY436=0,(CX436+CZ436)/2,IF(CZ436=0,(CY436+CX436)/2,FLOOR(((CX436+CY436+CZ436)/3),0.1))))))))</f>
        <v/>
      </c>
      <c r="DB436" s="21" t="n"/>
      <c r="DC436" s="21" t="n"/>
      <c r="DD436" s="27">
        <f>SUM(DB436:DC436)</f>
        <v/>
      </c>
      <c r="DE436" s="28" t="n"/>
      <c r="DF436" s="31" t="n"/>
      <c r="DG436" s="29">
        <f>IF(AND(DD436=0,DE436=0,DF436=0),0,IF(AND(DD436=0,DE436=0),DF436/1,IF(AND(DD436=0,DF436=0),DE436/1,IF(AND(DE436=0,DF436=0),DD436/1,IF(DD436=0,FLOOR((DE436+DF436)/2,0.1),IF(DE436=0,(DD436+DF436)/2,IF(DF436=0,(DE436+DD436)/2,FLOOR(((DD436+DE436+DF436)/3),0.1))))))))</f>
        <v/>
      </c>
      <c r="DH436" s="34">
        <f>SUM(O436,U436,AA436,AG436,AM436,AS436,AY436,BE436,BK436,BQ436,BW436,CC436,CI436,CO436,CU436,DA436,DG436)</f>
        <v/>
      </c>
      <c r="DI436" s="39">
        <f>RANK(DH436,DH$4:DH$503)</f>
        <v/>
      </c>
      <c r="DJ436" s="40" t="inlineStr">
        <is>
          <t>CHOOSE RATING</t>
        </is>
      </c>
      <c r="DK436" s="40" t="inlineStr">
        <is>
          <t>CHOOSE RATING</t>
        </is>
      </c>
      <c r="DL436" s="40" t="inlineStr">
        <is>
          <t>CHOOSE RATING</t>
        </is>
      </c>
      <c r="DM436" s="40" t="inlineStr">
        <is>
          <t>CHOOSE RATING</t>
        </is>
      </c>
      <c r="DN436" s="40" t="inlineStr">
        <is>
          <t>CHOOSE RATING</t>
        </is>
      </c>
      <c r="DO436" s="40" t="inlineStr">
        <is>
          <t>CHOOSE RATING</t>
        </is>
      </c>
      <c r="DP436" s="40" t="inlineStr">
        <is>
          <t>CHOOSE RATING</t>
        </is>
      </c>
      <c r="DQ436" s="40" t="inlineStr">
        <is>
          <t>CHOOSE RATING</t>
        </is>
      </c>
      <c r="DR436" s="43" t="inlineStr">
        <is>
          <t>2024/2025</t>
        </is>
      </c>
      <c r="DS436" s="45" t="inlineStr">
        <is>
          <t>THIRD</t>
        </is>
      </c>
      <c r="DT436" s="40" t="inlineStr">
        <is>
          <t>CHOOSE RATING</t>
        </is>
      </c>
      <c r="DU436" s="40" t="inlineStr">
        <is>
          <t>CHOOSE RATING</t>
        </is>
      </c>
      <c r="DV436" s="40" t="inlineStr">
        <is>
          <t>CHOOSE RATING</t>
        </is>
      </c>
      <c r="DW436" s="40" t="inlineStr">
        <is>
          <t>CHOOSE RATING</t>
        </is>
      </c>
      <c r="DX436" s="40" t="inlineStr">
        <is>
          <t>CHOOSE RATING</t>
        </is>
      </c>
      <c r="DY436" s="40" t="inlineStr">
        <is>
          <t>CHOOSE RATING</t>
        </is>
      </c>
      <c r="DZ436" s="53" t="inlineStr">
        <is>
          <t>CHOOSE RATING</t>
        </is>
      </c>
      <c r="EA436" s="54" t="inlineStr">
        <is>
          <t>Add the Tutor's Comment . . .</t>
        </is>
      </c>
      <c r="EB436" s="55" t="inlineStr">
        <is>
          <t>Choose Principals comment</t>
        </is>
      </c>
      <c r="EC436" s="56" t="n"/>
      <c r="ED436" s="57" t="inlineStr">
        <is>
          <t>Next Term Begins on Monday, 22nd September, 2025</t>
        </is>
      </c>
    </row>
    <row r="437" ht="30.6" customHeight="1" s="6">
      <c r="A437" s="18" t="n">
        <v>434</v>
      </c>
      <c r="B437" s="19" t="n"/>
      <c r="C437" s="20" t="n"/>
      <c r="D437" s="128" t="n"/>
      <c r="E437" s="21" t="n"/>
      <c r="F437" s="22" t="n"/>
      <c r="G437" s="22" t="n"/>
      <c r="H437" s="22" t="n"/>
      <c r="I437" s="26">
        <f>G437-H437</f>
        <v/>
      </c>
      <c r="J437" s="21" t="n"/>
      <c r="K437" s="21" t="n"/>
      <c r="L437" s="27">
        <f>SUM(J437:K437)</f>
        <v/>
      </c>
      <c r="M437" s="28" t="n"/>
      <c r="N437" s="28" t="n"/>
      <c r="O437" s="29">
        <f>IF(AND(L437=0,M437=0,N437=0),0,IF(AND(L437=0,M437=0),N437/1,IF(AND(L437=0,N437=0),M437/1,IF(AND(M437=0,N437=0),L437/1,IF(L437=0,FLOOR((M437+N437)/2,0.1),IF(M437=0,(L437+N437)/2,IF(N437=0,(M437+L437)/2,FLOOR(((L437+M437+N437)/3),0.1))))))))</f>
        <v/>
      </c>
      <c r="P437" s="21" t="n"/>
      <c r="Q437" s="21" t="n"/>
      <c r="R437" s="27">
        <f>SUM(P437:Q437)</f>
        <v/>
      </c>
      <c r="S437" s="28" t="n"/>
      <c r="T437" s="28" t="n"/>
      <c r="U437" s="29">
        <f>IF(AND(R437=0,S437=0,T437=0),0,IF(AND(R437=0,S437=0),T437/1,IF(AND(R437=0,T437=0),S437/1,IF(AND(S437=0,T437=0),R437/1,IF(R437=0,FLOOR((S437+T437)/2,0.1),IF(S437=0,(R437+T437)/2,IF(T437=0,(S437+R437)/2,FLOOR(((R437+S437+T437)/3),0.1))))))))</f>
        <v/>
      </c>
      <c r="V437" s="21" t="n"/>
      <c r="W437" s="21" t="n"/>
      <c r="X437" s="27">
        <f>SUM(V437:W437)</f>
        <v/>
      </c>
      <c r="Y437" s="28" t="n"/>
      <c r="Z437" s="28" t="n"/>
      <c r="AA437" s="29">
        <f>IF(AND(X437=0,Y437=0,Z437=0),0,IF(AND(X437=0,Y437=0),Z437/1,IF(AND(X437=0,Z437=0),Y437/1,IF(AND(Y437=0,Z437=0),X437/1,IF(X437=0,FLOOR((Y437+Z437)/2,0.1),IF(Y437=0,(X437+Z437)/2,IF(Z437=0,(Y437+X437)/2,FLOOR(((X437+Y437+Z437)/3),0.1))))))))</f>
        <v/>
      </c>
      <c r="AB437" s="21" t="n"/>
      <c r="AC437" s="21" t="n"/>
      <c r="AD437" s="27">
        <f>SUM(AB437:AC437)</f>
        <v/>
      </c>
      <c r="AE437" s="28" t="n"/>
      <c r="AF437" s="28" t="n"/>
      <c r="AG437" s="29">
        <f>IF(AND(AD437=0,AE437=0,AF437=0),0,IF(AND(AD437=0,AE437=0),AF437/1,IF(AND(AD437=0,AF437=0),AE437/1,IF(AND(AE437=0,AF437=0),AD437/1,IF(AD437=0,FLOOR((AE437+AF437)/2,0.1),IF(AE437=0,(AD437+AF437)/2,IF(AF437=0,(AE437+AD437)/2,FLOOR(((AD437+AE437+AF437)/3),0.1))))))))</f>
        <v/>
      </c>
      <c r="AH437" s="21" t="n"/>
      <c r="AI437" s="21" t="n"/>
      <c r="AJ437" s="27">
        <f>SUM(AH437:AI437)</f>
        <v/>
      </c>
      <c r="AK437" s="28" t="n"/>
      <c r="AL437" s="28" t="n"/>
      <c r="AM437" s="29">
        <f>IF(AND(AJ437=0,AK437=0,AL437=0),0,IF(AND(AJ437=0,AK437=0),AL437/1,IF(AND(AJ437=0,AL437=0),AK437/1,IF(AND(AK437=0,AL437=0),AJ437/1,IF(AJ437=0,FLOOR((AK437+AL437)/2,0.1),IF(AK437=0,(AJ437+AL437)/2,IF(AL437=0,(AK437+AJ437)/2,FLOOR(((AJ437+AK437+AL437)/3),0.1))))))))</f>
        <v/>
      </c>
      <c r="AN437" s="21" t="n"/>
      <c r="AO437" s="21" t="n"/>
      <c r="AP437" s="27">
        <f>SUM(AN437:AO437)</f>
        <v/>
      </c>
      <c r="AQ437" s="28" t="n"/>
      <c r="AR437" s="30" t="n"/>
      <c r="AS437" s="29">
        <f>IF(AND(AP437=0,AQ437=0,AR437=0),0,IF(AND(AP437=0,AQ437=0),AR437/1,IF(AND(AP437=0,AR437=0),AQ437/1,IF(AND(AQ437=0,AR437=0),AP437/1,IF(AP437=0,FLOOR((AQ437+AR437)/2,0.1),IF(AQ437=0,(AP437+AR437)/2,IF(AR437=0,(AQ437+AP437)/2,FLOOR(((AP437+AQ437+AR437)/3),0.1))))))))</f>
        <v/>
      </c>
      <c r="AT437" s="21" t="n"/>
      <c r="AU437" s="21" t="n"/>
      <c r="AV437" s="27">
        <f>SUM(AT437:AU437)</f>
        <v/>
      </c>
      <c r="AW437" s="28" t="n"/>
      <c r="AX437" s="30" t="n"/>
      <c r="AY437" s="29">
        <f>IF(AND(AV437=0,AW437=0,AX437=0),0,IF(AND(AV437=0,AW437=0),AX437/1,IF(AND(AV437=0,AX437=0),AW437/1,IF(AND(AW437=0,AX437=0),AV437/1,IF(AV437=0,FLOOR((AW437+AX437)/2,0.1),IF(AW437=0,(AV437+AX437)/2,IF(AX437=0,(AW437+AV437)/2,FLOOR(((AV437+AW437+AX437)/3),0.1))))))))</f>
        <v/>
      </c>
      <c r="AZ437" s="21" t="n"/>
      <c r="BA437" s="21" t="n"/>
      <c r="BB437" s="27">
        <f>SUM(AZ437:BA437)</f>
        <v/>
      </c>
      <c r="BC437" s="28" t="n"/>
      <c r="BD437" s="28" t="n"/>
      <c r="BE437" s="29">
        <f>IF(AND(BB437=0,BC437=0,BD437=0),0,IF(AND(BB437=0,BC437=0),BD437/1,IF(AND(BB437=0,BD437=0),BC437/1,IF(AND(BC437=0,BD437=0),BB437/1,IF(BB437=0,FLOOR((BC437+BD437)/2,0.1),IF(BC437=0,(BB437+BD437)/2,IF(BD437=0,(BC437+BB437)/2,FLOOR(((BB437+BC437+BD437)/3),0.1))))))))</f>
        <v/>
      </c>
      <c r="BF437" s="21" t="n"/>
      <c r="BG437" s="21" t="n"/>
      <c r="BH437" s="27">
        <f>SUM(BF437:BG437)</f>
        <v/>
      </c>
      <c r="BI437" s="28" t="n"/>
      <c r="BJ437" s="28" t="n"/>
      <c r="BK437" s="29">
        <f>IF(AND(BH437=0,BI437=0,BJ437=0),0,IF(AND(BH437=0,BI437=0),BJ437/1,IF(AND(BH437=0,BJ437=0),BI437/1,IF(AND(BI437=0,BJ437=0),BH437/1,IF(BH437=0,FLOOR((BI437+BJ437)/2,0.1),IF(BI437=0,(BH437+BJ437)/2,IF(BJ437=0,(BI437+BH437)/2,FLOOR(((BH437+BI437+BJ437)/3),0.1))))))))</f>
        <v/>
      </c>
      <c r="BL437" s="21" t="n"/>
      <c r="BM437" s="21" t="n"/>
      <c r="BN437" s="27">
        <f>SUM(BL437:BM437)</f>
        <v/>
      </c>
      <c r="BO437" s="28" t="n"/>
      <c r="BP437" s="31" t="n"/>
      <c r="BQ437" s="29">
        <f>IF(AND(BN437=0,BO437=0,BP437=0),0,IF(AND(BN437=0,BO437=0),BP437/1,IF(AND(BN437=0,BP437=0),BO437/1,IF(AND(BO437=0,BP437=0),BN437/1,IF(BN437=0,FLOOR((BO437+BP437)/2,0.1),IF(BO437=0,(BN437+BP437)/2,IF(BP437=0,(BO437+BN437)/2,FLOOR(((BN437+BO437+BP437)/3),0.1))))))))</f>
        <v/>
      </c>
      <c r="BR437" s="21" t="n"/>
      <c r="BS437" s="21" t="n"/>
      <c r="BT437" s="27">
        <f>SUM(BR437:BS437)</f>
        <v/>
      </c>
      <c r="BU437" s="28" t="n"/>
      <c r="BV437" s="31" t="n"/>
      <c r="BW437" s="29">
        <f>IF(AND(BT437=0,BU437=0,BV437=0),0,IF(AND(BT437=0,BU437=0),BV437/1,IF(AND(BT437=0,BV437=0),BU437/1,IF(AND(BU437=0,BV437=0),BT437/1,IF(BT437=0,FLOOR((BU437+BV437)/2,0.1),IF(BU437=0,(BT437+BV437)/2,IF(BV437=0,(BU437+BT437)/2,FLOOR(((BT437+BU437+BV437)/3),0.1))))))))</f>
        <v/>
      </c>
      <c r="BX437" s="21" t="n"/>
      <c r="BY437" s="21" t="n"/>
      <c r="BZ437" s="27">
        <f>SUM(BX437:BY437)</f>
        <v/>
      </c>
      <c r="CA437" s="28" t="n"/>
      <c r="CB437" s="31" t="n"/>
      <c r="CC437" s="29">
        <f>IF(AND(BZ437=0,CA437=0,CB437=0),0,IF(AND(BZ437=0,CA437=0),CB437/1,IF(AND(BZ437=0,CB437=0),CA437/1,IF(AND(CA437=0,CB437=0),BZ437/1,IF(BZ437=0,FLOOR((CA437+CB437)/2,0.1),IF(CA437=0,(BZ437+CB437)/2,IF(CB437=0,(CA437+BZ437)/2,FLOOR(((BZ437+CA437+CB437)/3),0.1))))))))</f>
        <v/>
      </c>
      <c r="CD437" s="21" t="n"/>
      <c r="CE437" s="21" t="n"/>
      <c r="CF437" s="27">
        <f>SUM(CD437:CE437)</f>
        <v/>
      </c>
      <c r="CG437" s="28" t="n"/>
      <c r="CH437" s="31" t="n"/>
      <c r="CI437" s="29">
        <f>IF(AND(CF437=0,CG437=0,CH437=0),0,IF(AND(CF437=0,CG437=0),CH437/1,IF(AND(CF437=0,CH437=0),CG437/1,IF(AND(CG437=0,CH437=0),CF437/1,IF(CF437=0,FLOOR((CG437+CH437)/2,0.1),IF(CG437=0,(CF437+CH437)/2,IF(CH437=0,(CG437+CF437)/2,FLOOR(((CF437+CG437+CH437)/3),0.1))))))))</f>
        <v/>
      </c>
      <c r="CJ437" s="21" t="n"/>
      <c r="CK437" s="21" t="n"/>
      <c r="CL437" s="27">
        <f>SUM(CJ437:CK437)</f>
        <v/>
      </c>
      <c r="CM437" s="28" t="n"/>
      <c r="CN437" s="31" t="n"/>
      <c r="CO437" s="29">
        <f>IF(AND(CL437=0,CM437=0,CN437=0),0,IF(AND(CL437=0,CM437=0),CN437/1,IF(AND(CL437=0,CN437=0),CM437/1,IF(AND(CM437=0,CN437=0),CL437/1,IF(CL437=0,FLOOR((CM437+CN437)/2,0.1),IF(CM437=0,(CL437+CN437)/2,IF(CN437=0,(CM437+CL437)/2,FLOOR(((CL437+CM437+CN437)/3),0.1))))))))</f>
        <v/>
      </c>
      <c r="CP437" s="21" t="n"/>
      <c r="CQ437" s="21" t="n"/>
      <c r="CR437" s="27">
        <f>SUM(CP437:CQ437)</f>
        <v/>
      </c>
      <c r="CS437" s="28" t="n"/>
      <c r="CT437" s="31" t="n"/>
      <c r="CU437" s="29">
        <f>IF(AND(CR437=0,CS437=0,CT437=0),0,IF(AND(CR437=0,CS437=0),CT437/1,IF(AND(CR437=0,CT437=0),CS437/1,IF(AND(CS437=0,CT437=0),CR437/1,IF(CR437=0,FLOOR((CS437+CT437)/2,0.1),IF(CS437=0,(CR437+CT437)/2,IF(CT437=0,(CS437+CR437)/2,FLOOR(((CR437+CS437+CT437)/3),0.1))))))))</f>
        <v/>
      </c>
      <c r="CV437" s="21" t="n"/>
      <c r="CW437" s="21" t="n"/>
      <c r="CX437" s="27">
        <f>SUM(CV437:CW437)</f>
        <v/>
      </c>
      <c r="CY437" s="28" t="n"/>
      <c r="CZ437" s="31" t="n"/>
      <c r="DA437" s="29">
        <f>IF(AND(CX437=0,CY437=0,CZ437=0),0,IF(AND(CX437=0,CY437=0),CZ437/1,IF(AND(CX437=0,CZ437=0),CY437/1,IF(AND(CY437=0,CZ437=0),CX437/1,IF(CX437=0,FLOOR((CY437+CZ437)/2,0.1),IF(CY437=0,(CX437+CZ437)/2,IF(CZ437=0,(CY437+CX437)/2,FLOOR(((CX437+CY437+CZ437)/3),0.1))))))))</f>
        <v/>
      </c>
      <c r="DB437" s="21" t="n"/>
      <c r="DC437" s="21" t="n"/>
      <c r="DD437" s="27">
        <f>SUM(DB437:DC437)</f>
        <v/>
      </c>
      <c r="DE437" s="28" t="n"/>
      <c r="DF437" s="31" t="n"/>
      <c r="DG437" s="29">
        <f>IF(AND(DD437=0,DE437=0,DF437=0),0,IF(AND(DD437=0,DE437=0),DF437/1,IF(AND(DD437=0,DF437=0),DE437/1,IF(AND(DE437=0,DF437=0),DD437/1,IF(DD437=0,FLOOR((DE437+DF437)/2,0.1),IF(DE437=0,(DD437+DF437)/2,IF(DF437=0,(DE437+DD437)/2,FLOOR(((DD437+DE437+DF437)/3),0.1))))))))</f>
        <v/>
      </c>
      <c r="DH437" s="34">
        <f>SUM(O437,U437,AA437,AG437,AM437,AS437,AY437,BE437,BK437,BQ437,BW437,CC437,CI437,CO437,CU437,DA437,DG437)</f>
        <v/>
      </c>
      <c r="DI437" s="39">
        <f>RANK(DH437,DH$4:DH$503)</f>
        <v/>
      </c>
      <c r="DJ437" s="40" t="inlineStr">
        <is>
          <t>CHOOSE RATING</t>
        </is>
      </c>
      <c r="DK437" s="40" t="inlineStr">
        <is>
          <t>CHOOSE RATING</t>
        </is>
      </c>
      <c r="DL437" s="40" t="inlineStr">
        <is>
          <t>CHOOSE RATING</t>
        </is>
      </c>
      <c r="DM437" s="40" t="inlineStr">
        <is>
          <t>CHOOSE RATING</t>
        </is>
      </c>
      <c r="DN437" s="40" t="inlineStr">
        <is>
          <t>CHOOSE RATING</t>
        </is>
      </c>
      <c r="DO437" s="40" t="inlineStr">
        <is>
          <t>CHOOSE RATING</t>
        </is>
      </c>
      <c r="DP437" s="40" t="inlineStr">
        <is>
          <t>CHOOSE RATING</t>
        </is>
      </c>
      <c r="DQ437" s="40" t="inlineStr">
        <is>
          <t>CHOOSE RATING</t>
        </is>
      </c>
      <c r="DR437" s="43" t="inlineStr">
        <is>
          <t>2024/2025</t>
        </is>
      </c>
      <c r="DS437" s="45" t="inlineStr">
        <is>
          <t>THIRD</t>
        </is>
      </c>
      <c r="DT437" s="40" t="inlineStr">
        <is>
          <t>CHOOSE RATING</t>
        </is>
      </c>
      <c r="DU437" s="40" t="inlineStr">
        <is>
          <t>CHOOSE RATING</t>
        </is>
      </c>
      <c r="DV437" s="40" t="inlineStr">
        <is>
          <t>CHOOSE RATING</t>
        </is>
      </c>
      <c r="DW437" s="40" t="inlineStr">
        <is>
          <t>CHOOSE RATING</t>
        </is>
      </c>
      <c r="DX437" s="40" t="inlineStr">
        <is>
          <t>CHOOSE RATING</t>
        </is>
      </c>
      <c r="DY437" s="40" t="inlineStr">
        <is>
          <t>CHOOSE RATING</t>
        </is>
      </c>
      <c r="DZ437" s="53" t="inlineStr">
        <is>
          <t>CHOOSE RATING</t>
        </is>
      </c>
      <c r="EA437" s="54" t="inlineStr">
        <is>
          <t>Add the Tutor's Comment . . .</t>
        </is>
      </c>
      <c r="EB437" s="55" t="inlineStr">
        <is>
          <t>Choose Principals comment</t>
        </is>
      </c>
      <c r="EC437" s="56" t="n"/>
      <c r="ED437" s="57" t="inlineStr">
        <is>
          <t>Next Term Begins on Monday, 22nd September, 2025</t>
        </is>
      </c>
    </row>
    <row r="438" ht="30.6" customHeight="1" s="6">
      <c r="A438" s="18" t="n">
        <v>435</v>
      </c>
      <c r="B438" s="19" t="n"/>
      <c r="C438" s="20" t="n"/>
      <c r="D438" s="128" t="n"/>
      <c r="E438" s="21" t="n"/>
      <c r="F438" s="22" t="n"/>
      <c r="G438" s="22" t="n"/>
      <c r="H438" s="22" t="n"/>
      <c r="I438" s="26">
        <f>G438-H438</f>
        <v/>
      </c>
      <c r="J438" s="21" t="n"/>
      <c r="K438" s="21" t="n"/>
      <c r="L438" s="27">
        <f>SUM(J438:K438)</f>
        <v/>
      </c>
      <c r="M438" s="28" t="n"/>
      <c r="N438" s="28" t="n"/>
      <c r="O438" s="29">
        <f>IF(AND(L438=0,M438=0,N438=0),0,IF(AND(L438=0,M438=0),N438/1,IF(AND(L438=0,N438=0),M438/1,IF(AND(M438=0,N438=0),L438/1,IF(L438=0,FLOOR((M438+N438)/2,0.1),IF(M438=0,(L438+N438)/2,IF(N438=0,(M438+L438)/2,FLOOR(((L438+M438+N438)/3),0.1))))))))</f>
        <v/>
      </c>
      <c r="P438" s="21" t="n"/>
      <c r="Q438" s="21" t="n"/>
      <c r="R438" s="27">
        <f>SUM(P438:Q438)</f>
        <v/>
      </c>
      <c r="S438" s="28" t="n"/>
      <c r="T438" s="28" t="n"/>
      <c r="U438" s="29">
        <f>IF(AND(R438=0,S438=0,T438=0),0,IF(AND(R438=0,S438=0),T438/1,IF(AND(R438=0,T438=0),S438/1,IF(AND(S438=0,T438=0),R438/1,IF(R438=0,FLOOR((S438+T438)/2,0.1),IF(S438=0,(R438+T438)/2,IF(T438=0,(S438+R438)/2,FLOOR(((R438+S438+T438)/3),0.1))))))))</f>
        <v/>
      </c>
      <c r="V438" s="21" t="n"/>
      <c r="W438" s="21" t="n"/>
      <c r="X438" s="27">
        <f>SUM(V438:W438)</f>
        <v/>
      </c>
      <c r="Y438" s="28" t="n"/>
      <c r="Z438" s="28" t="n"/>
      <c r="AA438" s="29">
        <f>IF(AND(X438=0,Y438=0,Z438=0),0,IF(AND(X438=0,Y438=0),Z438/1,IF(AND(X438=0,Z438=0),Y438/1,IF(AND(Y438=0,Z438=0),X438/1,IF(X438=0,FLOOR((Y438+Z438)/2,0.1),IF(Y438=0,(X438+Z438)/2,IF(Z438=0,(Y438+X438)/2,FLOOR(((X438+Y438+Z438)/3),0.1))))))))</f>
        <v/>
      </c>
      <c r="AB438" s="21" t="n"/>
      <c r="AC438" s="21" t="n"/>
      <c r="AD438" s="27">
        <f>SUM(AB438:AC438)</f>
        <v/>
      </c>
      <c r="AE438" s="28" t="n"/>
      <c r="AF438" s="28" t="n"/>
      <c r="AG438" s="29">
        <f>IF(AND(AD438=0,AE438=0,AF438=0),0,IF(AND(AD438=0,AE438=0),AF438/1,IF(AND(AD438=0,AF438=0),AE438/1,IF(AND(AE438=0,AF438=0),AD438/1,IF(AD438=0,FLOOR((AE438+AF438)/2,0.1),IF(AE438=0,(AD438+AF438)/2,IF(AF438=0,(AE438+AD438)/2,FLOOR(((AD438+AE438+AF438)/3),0.1))))))))</f>
        <v/>
      </c>
      <c r="AH438" s="21" t="n"/>
      <c r="AI438" s="21" t="n"/>
      <c r="AJ438" s="27">
        <f>SUM(AH438:AI438)</f>
        <v/>
      </c>
      <c r="AK438" s="28" t="n"/>
      <c r="AL438" s="28" t="n"/>
      <c r="AM438" s="29">
        <f>IF(AND(AJ438=0,AK438=0,AL438=0),0,IF(AND(AJ438=0,AK438=0),AL438/1,IF(AND(AJ438=0,AL438=0),AK438/1,IF(AND(AK438=0,AL438=0),AJ438/1,IF(AJ438=0,FLOOR((AK438+AL438)/2,0.1),IF(AK438=0,(AJ438+AL438)/2,IF(AL438=0,(AK438+AJ438)/2,FLOOR(((AJ438+AK438+AL438)/3),0.1))))))))</f>
        <v/>
      </c>
      <c r="AN438" s="21" t="n"/>
      <c r="AO438" s="21" t="n"/>
      <c r="AP438" s="27">
        <f>SUM(AN438:AO438)</f>
        <v/>
      </c>
      <c r="AQ438" s="28" t="n"/>
      <c r="AR438" s="30" t="n"/>
      <c r="AS438" s="29">
        <f>IF(AND(AP438=0,AQ438=0,AR438=0),0,IF(AND(AP438=0,AQ438=0),AR438/1,IF(AND(AP438=0,AR438=0),AQ438/1,IF(AND(AQ438=0,AR438=0),AP438/1,IF(AP438=0,FLOOR((AQ438+AR438)/2,0.1),IF(AQ438=0,(AP438+AR438)/2,IF(AR438=0,(AQ438+AP438)/2,FLOOR(((AP438+AQ438+AR438)/3),0.1))))))))</f>
        <v/>
      </c>
      <c r="AT438" s="21" t="n"/>
      <c r="AU438" s="21" t="n"/>
      <c r="AV438" s="27">
        <f>SUM(AT438:AU438)</f>
        <v/>
      </c>
      <c r="AW438" s="28" t="n"/>
      <c r="AX438" s="30" t="n"/>
      <c r="AY438" s="29">
        <f>IF(AND(AV438=0,AW438=0,AX438=0),0,IF(AND(AV438=0,AW438=0),AX438/1,IF(AND(AV438=0,AX438=0),AW438/1,IF(AND(AW438=0,AX438=0),AV438/1,IF(AV438=0,FLOOR((AW438+AX438)/2,0.1),IF(AW438=0,(AV438+AX438)/2,IF(AX438=0,(AW438+AV438)/2,FLOOR(((AV438+AW438+AX438)/3),0.1))))))))</f>
        <v/>
      </c>
      <c r="AZ438" s="21" t="n"/>
      <c r="BA438" s="21" t="n"/>
      <c r="BB438" s="27">
        <f>SUM(AZ438:BA438)</f>
        <v/>
      </c>
      <c r="BC438" s="28" t="n"/>
      <c r="BD438" s="28" t="n"/>
      <c r="BE438" s="29">
        <f>IF(AND(BB438=0,BC438=0,BD438=0),0,IF(AND(BB438=0,BC438=0),BD438/1,IF(AND(BB438=0,BD438=0),BC438/1,IF(AND(BC438=0,BD438=0),BB438/1,IF(BB438=0,FLOOR((BC438+BD438)/2,0.1),IF(BC438=0,(BB438+BD438)/2,IF(BD438=0,(BC438+BB438)/2,FLOOR(((BB438+BC438+BD438)/3),0.1))))))))</f>
        <v/>
      </c>
      <c r="BF438" s="21" t="n"/>
      <c r="BG438" s="21" t="n"/>
      <c r="BH438" s="27">
        <f>SUM(BF438:BG438)</f>
        <v/>
      </c>
      <c r="BI438" s="28" t="n"/>
      <c r="BJ438" s="28" t="n"/>
      <c r="BK438" s="29">
        <f>IF(AND(BH438=0,BI438=0,BJ438=0),0,IF(AND(BH438=0,BI438=0),BJ438/1,IF(AND(BH438=0,BJ438=0),BI438/1,IF(AND(BI438=0,BJ438=0),BH438/1,IF(BH438=0,FLOOR((BI438+BJ438)/2,0.1),IF(BI438=0,(BH438+BJ438)/2,IF(BJ438=0,(BI438+BH438)/2,FLOOR(((BH438+BI438+BJ438)/3),0.1))))))))</f>
        <v/>
      </c>
      <c r="BL438" s="21" t="n"/>
      <c r="BM438" s="21" t="n"/>
      <c r="BN438" s="27">
        <f>SUM(BL438:BM438)</f>
        <v/>
      </c>
      <c r="BO438" s="28" t="n"/>
      <c r="BP438" s="31" t="n"/>
      <c r="BQ438" s="29">
        <f>IF(AND(BN438=0,BO438=0,BP438=0),0,IF(AND(BN438=0,BO438=0),BP438/1,IF(AND(BN438=0,BP438=0),BO438/1,IF(AND(BO438=0,BP438=0),BN438/1,IF(BN438=0,FLOOR((BO438+BP438)/2,0.1),IF(BO438=0,(BN438+BP438)/2,IF(BP438=0,(BO438+BN438)/2,FLOOR(((BN438+BO438+BP438)/3),0.1))))))))</f>
        <v/>
      </c>
      <c r="BR438" s="21" t="n"/>
      <c r="BS438" s="21" t="n"/>
      <c r="BT438" s="27">
        <f>SUM(BR438:BS438)</f>
        <v/>
      </c>
      <c r="BU438" s="28" t="n"/>
      <c r="BV438" s="31" t="n"/>
      <c r="BW438" s="29">
        <f>IF(AND(BT438=0,BU438=0,BV438=0),0,IF(AND(BT438=0,BU438=0),BV438/1,IF(AND(BT438=0,BV438=0),BU438/1,IF(AND(BU438=0,BV438=0),BT438/1,IF(BT438=0,FLOOR((BU438+BV438)/2,0.1),IF(BU438=0,(BT438+BV438)/2,IF(BV438=0,(BU438+BT438)/2,FLOOR(((BT438+BU438+BV438)/3),0.1))))))))</f>
        <v/>
      </c>
      <c r="BX438" s="21" t="n"/>
      <c r="BY438" s="21" t="n"/>
      <c r="BZ438" s="27">
        <f>SUM(BX438:BY438)</f>
        <v/>
      </c>
      <c r="CA438" s="28" t="n"/>
      <c r="CB438" s="31" t="n"/>
      <c r="CC438" s="29">
        <f>IF(AND(BZ438=0,CA438=0,CB438=0),0,IF(AND(BZ438=0,CA438=0),CB438/1,IF(AND(BZ438=0,CB438=0),CA438/1,IF(AND(CA438=0,CB438=0),BZ438/1,IF(BZ438=0,FLOOR((CA438+CB438)/2,0.1),IF(CA438=0,(BZ438+CB438)/2,IF(CB438=0,(CA438+BZ438)/2,FLOOR(((BZ438+CA438+CB438)/3),0.1))))))))</f>
        <v/>
      </c>
      <c r="CD438" s="21" t="n"/>
      <c r="CE438" s="21" t="n"/>
      <c r="CF438" s="27">
        <f>SUM(CD438:CE438)</f>
        <v/>
      </c>
      <c r="CG438" s="28" t="n"/>
      <c r="CH438" s="31" t="n"/>
      <c r="CI438" s="29">
        <f>IF(AND(CF438=0,CG438=0,CH438=0),0,IF(AND(CF438=0,CG438=0),CH438/1,IF(AND(CF438=0,CH438=0),CG438/1,IF(AND(CG438=0,CH438=0),CF438/1,IF(CF438=0,FLOOR((CG438+CH438)/2,0.1),IF(CG438=0,(CF438+CH438)/2,IF(CH438=0,(CG438+CF438)/2,FLOOR(((CF438+CG438+CH438)/3),0.1))))))))</f>
        <v/>
      </c>
      <c r="CJ438" s="21" t="n"/>
      <c r="CK438" s="21" t="n"/>
      <c r="CL438" s="27">
        <f>SUM(CJ438:CK438)</f>
        <v/>
      </c>
      <c r="CM438" s="28" t="n"/>
      <c r="CN438" s="31" t="n"/>
      <c r="CO438" s="29">
        <f>IF(AND(CL438=0,CM438=0,CN438=0),0,IF(AND(CL438=0,CM438=0),CN438/1,IF(AND(CL438=0,CN438=0),CM438/1,IF(AND(CM438=0,CN438=0),CL438/1,IF(CL438=0,FLOOR((CM438+CN438)/2,0.1),IF(CM438=0,(CL438+CN438)/2,IF(CN438=0,(CM438+CL438)/2,FLOOR(((CL438+CM438+CN438)/3),0.1))))))))</f>
        <v/>
      </c>
      <c r="CP438" s="21" t="n"/>
      <c r="CQ438" s="21" t="n"/>
      <c r="CR438" s="27">
        <f>SUM(CP438:CQ438)</f>
        <v/>
      </c>
      <c r="CS438" s="28" t="n"/>
      <c r="CT438" s="31" t="n"/>
      <c r="CU438" s="29">
        <f>IF(AND(CR438=0,CS438=0,CT438=0),0,IF(AND(CR438=0,CS438=0),CT438/1,IF(AND(CR438=0,CT438=0),CS438/1,IF(AND(CS438=0,CT438=0),CR438/1,IF(CR438=0,FLOOR((CS438+CT438)/2,0.1),IF(CS438=0,(CR438+CT438)/2,IF(CT438=0,(CS438+CR438)/2,FLOOR(((CR438+CS438+CT438)/3),0.1))))))))</f>
        <v/>
      </c>
      <c r="CV438" s="21" t="n"/>
      <c r="CW438" s="21" t="n"/>
      <c r="CX438" s="27">
        <f>SUM(CV438:CW438)</f>
        <v/>
      </c>
      <c r="CY438" s="28" t="n"/>
      <c r="CZ438" s="31" t="n"/>
      <c r="DA438" s="29">
        <f>IF(AND(CX438=0,CY438=0,CZ438=0),0,IF(AND(CX438=0,CY438=0),CZ438/1,IF(AND(CX438=0,CZ438=0),CY438/1,IF(AND(CY438=0,CZ438=0),CX438/1,IF(CX438=0,FLOOR((CY438+CZ438)/2,0.1),IF(CY438=0,(CX438+CZ438)/2,IF(CZ438=0,(CY438+CX438)/2,FLOOR(((CX438+CY438+CZ438)/3),0.1))))))))</f>
        <v/>
      </c>
      <c r="DB438" s="21" t="n"/>
      <c r="DC438" s="21" t="n"/>
      <c r="DD438" s="27">
        <f>SUM(DB438:DC438)</f>
        <v/>
      </c>
      <c r="DE438" s="28" t="n"/>
      <c r="DF438" s="31" t="n"/>
      <c r="DG438" s="29">
        <f>IF(AND(DD438=0,DE438=0,DF438=0),0,IF(AND(DD438=0,DE438=0),DF438/1,IF(AND(DD438=0,DF438=0),DE438/1,IF(AND(DE438=0,DF438=0),DD438/1,IF(DD438=0,FLOOR((DE438+DF438)/2,0.1),IF(DE438=0,(DD438+DF438)/2,IF(DF438=0,(DE438+DD438)/2,FLOOR(((DD438+DE438+DF438)/3),0.1))))))))</f>
        <v/>
      </c>
      <c r="DH438" s="34">
        <f>SUM(O438,U438,AA438,AG438,AM438,AS438,AY438,BE438,BK438,BQ438,BW438,CC438,CI438,CO438,CU438,DA438,DG438)</f>
        <v/>
      </c>
      <c r="DI438" s="39">
        <f>RANK(DH438,DH$4:DH$503)</f>
        <v/>
      </c>
      <c r="DJ438" s="40" t="inlineStr">
        <is>
          <t>CHOOSE RATING</t>
        </is>
      </c>
      <c r="DK438" s="40" t="inlineStr">
        <is>
          <t>CHOOSE RATING</t>
        </is>
      </c>
      <c r="DL438" s="40" t="inlineStr">
        <is>
          <t>CHOOSE RATING</t>
        </is>
      </c>
      <c r="DM438" s="40" t="inlineStr">
        <is>
          <t>CHOOSE RATING</t>
        </is>
      </c>
      <c r="DN438" s="40" t="inlineStr">
        <is>
          <t>CHOOSE RATING</t>
        </is>
      </c>
      <c r="DO438" s="40" t="inlineStr">
        <is>
          <t>CHOOSE RATING</t>
        </is>
      </c>
      <c r="DP438" s="40" t="inlineStr">
        <is>
          <t>CHOOSE RATING</t>
        </is>
      </c>
      <c r="DQ438" s="40" t="inlineStr">
        <is>
          <t>CHOOSE RATING</t>
        </is>
      </c>
      <c r="DR438" s="43" t="inlineStr">
        <is>
          <t>2024/2025</t>
        </is>
      </c>
      <c r="DS438" s="45" t="inlineStr">
        <is>
          <t>THIRD</t>
        </is>
      </c>
      <c r="DT438" s="40" t="inlineStr">
        <is>
          <t>CHOOSE RATING</t>
        </is>
      </c>
      <c r="DU438" s="40" t="inlineStr">
        <is>
          <t>CHOOSE RATING</t>
        </is>
      </c>
      <c r="DV438" s="40" t="inlineStr">
        <is>
          <t>CHOOSE RATING</t>
        </is>
      </c>
      <c r="DW438" s="40" t="inlineStr">
        <is>
          <t>CHOOSE RATING</t>
        </is>
      </c>
      <c r="DX438" s="40" t="inlineStr">
        <is>
          <t>CHOOSE RATING</t>
        </is>
      </c>
      <c r="DY438" s="40" t="inlineStr">
        <is>
          <t>CHOOSE RATING</t>
        </is>
      </c>
      <c r="DZ438" s="53" t="inlineStr">
        <is>
          <t>CHOOSE RATING</t>
        </is>
      </c>
      <c r="EA438" s="54" t="inlineStr">
        <is>
          <t>Add the Tutor's Comment . . .</t>
        </is>
      </c>
      <c r="EB438" s="55" t="inlineStr">
        <is>
          <t>Choose Principals comment</t>
        </is>
      </c>
      <c r="EC438" s="56" t="n"/>
      <c r="ED438" s="57" t="inlineStr">
        <is>
          <t>Next Term Begins on Monday, 22nd September, 2025</t>
        </is>
      </c>
    </row>
    <row r="439" ht="30.6" customHeight="1" s="6">
      <c r="A439" s="18" t="n">
        <v>436</v>
      </c>
      <c r="B439" s="19" t="n"/>
      <c r="C439" s="20" t="n"/>
      <c r="D439" s="128" t="n"/>
      <c r="E439" s="21" t="n"/>
      <c r="F439" s="22" t="n"/>
      <c r="G439" s="22" t="n"/>
      <c r="H439" s="22" t="n"/>
      <c r="I439" s="26">
        <f>G439-H439</f>
        <v/>
      </c>
      <c r="J439" s="21" t="n"/>
      <c r="K439" s="21" t="n"/>
      <c r="L439" s="27">
        <f>SUM(J439:K439)</f>
        <v/>
      </c>
      <c r="M439" s="28" t="n"/>
      <c r="N439" s="28" t="n"/>
      <c r="O439" s="29">
        <f>IF(AND(L439=0,M439=0,N439=0),0,IF(AND(L439=0,M439=0),N439/1,IF(AND(L439=0,N439=0),M439/1,IF(AND(M439=0,N439=0),L439/1,IF(L439=0,FLOOR((M439+N439)/2,0.1),IF(M439=0,(L439+N439)/2,IF(N439=0,(M439+L439)/2,FLOOR(((L439+M439+N439)/3),0.1))))))))</f>
        <v/>
      </c>
      <c r="P439" s="21" t="n"/>
      <c r="Q439" s="21" t="n"/>
      <c r="R439" s="27">
        <f>SUM(P439:Q439)</f>
        <v/>
      </c>
      <c r="S439" s="28" t="n"/>
      <c r="T439" s="28" t="n"/>
      <c r="U439" s="29">
        <f>IF(AND(R439=0,S439=0,T439=0),0,IF(AND(R439=0,S439=0),T439/1,IF(AND(R439=0,T439=0),S439/1,IF(AND(S439=0,T439=0),R439/1,IF(R439=0,FLOOR((S439+T439)/2,0.1),IF(S439=0,(R439+T439)/2,IF(T439=0,(S439+R439)/2,FLOOR(((R439+S439+T439)/3),0.1))))))))</f>
        <v/>
      </c>
      <c r="V439" s="21" t="n"/>
      <c r="W439" s="21" t="n"/>
      <c r="X439" s="27">
        <f>SUM(V439:W439)</f>
        <v/>
      </c>
      <c r="Y439" s="28" t="n"/>
      <c r="Z439" s="28" t="n"/>
      <c r="AA439" s="29">
        <f>IF(AND(X439=0,Y439=0,Z439=0),0,IF(AND(X439=0,Y439=0),Z439/1,IF(AND(X439=0,Z439=0),Y439/1,IF(AND(Y439=0,Z439=0),X439/1,IF(X439=0,FLOOR((Y439+Z439)/2,0.1),IF(Y439=0,(X439+Z439)/2,IF(Z439=0,(Y439+X439)/2,FLOOR(((X439+Y439+Z439)/3),0.1))))))))</f>
        <v/>
      </c>
      <c r="AB439" s="21" t="n"/>
      <c r="AC439" s="21" t="n"/>
      <c r="AD439" s="27">
        <f>SUM(AB439:AC439)</f>
        <v/>
      </c>
      <c r="AE439" s="28" t="n"/>
      <c r="AF439" s="28" t="n"/>
      <c r="AG439" s="29">
        <f>IF(AND(AD439=0,AE439=0,AF439=0),0,IF(AND(AD439=0,AE439=0),AF439/1,IF(AND(AD439=0,AF439=0),AE439/1,IF(AND(AE439=0,AF439=0),AD439/1,IF(AD439=0,FLOOR((AE439+AF439)/2,0.1),IF(AE439=0,(AD439+AF439)/2,IF(AF439=0,(AE439+AD439)/2,FLOOR(((AD439+AE439+AF439)/3),0.1))))))))</f>
        <v/>
      </c>
      <c r="AH439" s="21" t="n"/>
      <c r="AI439" s="21" t="n"/>
      <c r="AJ439" s="27">
        <f>SUM(AH439:AI439)</f>
        <v/>
      </c>
      <c r="AK439" s="28" t="n"/>
      <c r="AL439" s="28" t="n"/>
      <c r="AM439" s="29">
        <f>IF(AND(AJ439=0,AK439=0,AL439=0),0,IF(AND(AJ439=0,AK439=0),AL439/1,IF(AND(AJ439=0,AL439=0),AK439/1,IF(AND(AK439=0,AL439=0),AJ439/1,IF(AJ439=0,FLOOR((AK439+AL439)/2,0.1),IF(AK439=0,(AJ439+AL439)/2,IF(AL439=0,(AK439+AJ439)/2,FLOOR(((AJ439+AK439+AL439)/3),0.1))))))))</f>
        <v/>
      </c>
      <c r="AN439" s="21" t="n"/>
      <c r="AO439" s="21" t="n"/>
      <c r="AP439" s="27">
        <f>SUM(AN439:AO439)</f>
        <v/>
      </c>
      <c r="AQ439" s="28" t="n"/>
      <c r="AR439" s="30" t="n"/>
      <c r="AS439" s="29">
        <f>IF(AND(AP439=0,AQ439=0,AR439=0),0,IF(AND(AP439=0,AQ439=0),AR439/1,IF(AND(AP439=0,AR439=0),AQ439/1,IF(AND(AQ439=0,AR439=0),AP439/1,IF(AP439=0,FLOOR((AQ439+AR439)/2,0.1),IF(AQ439=0,(AP439+AR439)/2,IF(AR439=0,(AQ439+AP439)/2,FLOOR(((AP439+AQ439+AR439)/3),0.1))))))))</f>
        <v/>
      </c>
      <c r="AT439" s="21" t="n"/>
      <c r="AU439" s="21" t="n"/>
      <c r="AV439" s="27">
        <f>SUM(AT439:AU439)</f>
        <v/>
      </c>
      <c r="AW439" s="28" t="n"/>
      <c r="AX439" s="30" t="n"/>
      <c r="AY439" s="29">
        <f>IF(AND(AV439=0,AW439=0,AX439=0),0,IF(AND(AV439=0,AW439=0),AX439/1,IF(AND(AV439=0,AX439=0),AW439/1,IF(AND(AW439=0,AX439=0),AV439/1,IF(AV439=0,FLOOR((AW439+AX439)/2,0.1),IF(AW439=0,(AV439+AX439)/2,IF(AX439=0,(AW439+AV439)/2,FLOOR(((AV439+AW439+AX439)/3),0.1))))))))</f>
        <v/>
      </c>
      <c r="AZ439" s="21" t="n"/>
      <c r="BA439" s="21" t="n"/>
      <c r="BB439" s="27">
        <f>SUM(AZ439:BA439)</f>
        <v/>
      </c>
      <c r="BC439" s="28" t="n"/>
      <c r="BD439" s="28" t="n"/>
      <c r="BE439" s="29">
        <f>IF(AND(BB439=0,BC439=0,BD439=0),0,IF(AND(BB439=0,BC439=0),BD439/1,IF(AND(BB439=0,BD439=0),BC439/1,IF(AND(BC439=0,BD439=0),BB439/1,IF(BB439=0,FLOOR((BC439+BD439)/2,0.1),IF(BC439=0,(BB439+BD439)/2,IF(BD439=0,(BC439+BB439)/2,FLOOR(((BB439+BC439+BD439)/3),0.1))))))))</f>
        <v/>
      </c>
      <c r="BF439" s="21" t="n"/>
      <c r="BG439" s="21" t="n"/>
      <c r="BH439" s="27">
        <f>SUM(BF439:BG439)</f>
        <v/>
      </c>
      <c r="BI439" s="28" t="n"/>
      <c r="BJ439" s="28" t="n"/>
      <c r="BK439" s="29">
        <f>IF(AND(BH439=0,BI439=0,BJ439=0),0,IF(AND(BH439=0,BI439=0),BJ439/1,IF(AND(BH439=0,BJ439=0),BI439/1,IF(AND(BI439=0,BJ439=0),BH439/1,IF(BH439=0,FLOOR((BI439+BJ439)/2,0.1),IF(BI439=0,(BH439+BJ439)/2,IF(BJ439=0,(BI439+BH439)/2,FLOOR(((BH439+BI439+BJ439)/3),0.1))))))))</f>
        <v/>
      </c>
      <c r="BL439" s="21" t="n"/>
      <c r="BM439" s="21" t="n"/>
      <c r="BN439" s="27">
        <f>SUM(BL439:BM439)</f>
        <v/>
      </c>
      <c r="BO439" s="28" t="n"/>
      <c r="BP439" s="31" t="n"/>
      <c r="BQ439" s="29">
        <f>IF(AND(BN439=0,BO439=0,BP439=0),0,IF(AND(BN439=0,BO439=0),BP439/1,IF(AND(BN439=0,BP439=0),BO439/1,IF(AND(BO439=0,BP439=0),BN439/1,IF(BN439=0,FLOOR((BO439+BP439)/2,0.1),IF(BO439=0,(BN439+BP439)/2,IF(BP439=0,(BO439+BN439)/2,FLOOR(((BN439+BO439+BP439)/3),0.1))))))))</f>
        <v/>
      </c>
      <c r="BR439" s="21" t="n"/>
      <c r="BS439" s="21" t="n"/>
      <c r="BT439" s="27">
        <f>SUM(BR439:BS439)</f>
        <v/>
      </c>
      <c r="BU439" s="28" t="n"/>
      <c r="BV439" s="31" t="n"/>
      <c r="BW439" s="29">
        <f>IF(AND(BT439=0,BU439=0,BV439=0),0,IF(AND(BT439=0,BU439=0),BV439/1,IF(AND(BT439=0,BV439=0),BU439/1,IF(AND(BU439=0,BV439=0),BT439/1,IF(BT439=0,FLOOR((BU439+BV439)/2,0.1),IF(BU439=0,(BT439+BV439)/2,IF(BV439=0,(BU439+BT439)/2,FLOOR(((BT439+BU439+BV439)/3),0.1))))))))</f>
        <v/>
      </c>
      <c r="BX439" s="21" t="n"/>
      <c r="BY439" s="21" t="n"/>
      <c r="BZ439" s="27">
        <f>SUM(BX439:BY439)</f>
        <v/>
      </c>
      <c r="CA439" s="28" t="n"/>
      <c r="CB439" s="31" t="n"/>
      <c r="CC439" s="29">
        <f>IF(AND(BZ439=0,CA439=0,CB439=0),0,IF(AND(BZ439=0,CA439=0),CB439/1,IF(AND(BZ439=0,CB439=0),CA439/1,IF(AND(CA439=0,CB439=0),BZ439/1,IF(BZ439=0,FLOOR((CA439+CB439)/2,0.1),IF(CA439=0,(BZ439+CB439)/2,IF(CB439=0,(CA439+BZ439)/2,FLOOR(((BZ439+CA439+CB439)/3),0.1))))))))</f>
        <v/>
      </c>
      <c r="CD439" s="21" t="n"/>
      <c r="CE439" s="21" t="n"/>
      <c r="CF439" s="27">
        <f>SUM(CD439:CE439)</f>
        <v/>
      </c>
      <c r="CG439" s="28" t="n"/>
      <c r="CH439" s="31" t="n"/>
      <c r="CI439" s="29">
        <f>IF(AND(CF439=0,CG439=0,CH439=0),0,IF(AND(CF439=0,CG439=0),CH439/1,IF(AND(CF439=0,CH439=0),CG439/1,IF(AND(CG439=0,CH439=0),CF439/1,IF(CF439=0,FLOOR((CG439+CH439)/2,0.1),IF(CG439=0,(CF439+CH439)/2,IF(CH439=0,(CG439+CF439)/2,FLOOR(((CF439+CG439+CH439)/3),0.1))))))))</f>
        <v/>
      </c>
      <c r="CJ439" s="21" t="n"/>
      <c r="CK439" s="21" t="n"/>
      <c r="CL439" s="27">
        <f>SUM(CJ439:CK439)</f>
        <v/>
      </c>
      <c r="CM439" s="28" t="n"/>
      <c r="CN439" s="31" t="n"/>
      <c r="CO439" s="29">
        <f>IF(AND(CL439=0,CM439=0,CN439=0),0,IF(AND(CL439=0,CM439=0),CN439/1,IF(AND(CL439=0,CN439=0),CM439/1,IF(AND(CM439=0,CN439=0),CL439/1,IF(CL439=0,FLOOR((CM439+CN439)/2,0.1),IF(CM439=0,(CL439+CN439)/2,IF(CN439=0,(CM439+CL439)/2,FLOOR(((CL439+CM439+CN439)/3),0.1))))))))</f>
        <v/>
      </c>
      <c r="CP439" s="21" t="n"/>
      <c r="CQ439" s="21" t="n"/>
      <c r="CR439" s="27">
        <f>SUM(CP439:CQ439)</f>
        <v/>
      </c>
      <c r="CS439" s="28" t="n"/>
      <c r="CT439" s="31" t="n"/>
      <c r="CU439" s="29">
        <f>IF(AND(CR439=0,CS439=0,CT439=0),0,IF(AND(CR439=0,CS439=0),CT439/1,IF(AND(CR439=0,CT439=0),CS439/1,IF(AND(CS439=0,CT439=0),CR439/1,IF(CR439=0,FLOOR((CS439+CT439)/2,0.1),IF(CS439=0,(CR439+CT439)/2,IF(CT439=0,(CS439+CR439)/2,FLOOR(((CR439+CS439+CT439)/3),0.1))))))))</f>
        <v/>
      </c>
      <c r="CV439" s="21" t="n"/>
      <c r="CW439" s="21" t="n"/>
      <c r="CX439" s="27">
        <f>SUM(CV439:CW439)</f>
        <v/>
      </c>
      <c r="CY439" s="28" t="n"/>
      <c r="CZ439" s="31" t="n"/>
      <c r="DA439" s="29">
        <f>IF(AND(CX439=0,CY439=0,CZ439=0),0,IF(AND(CX439=0,CY439=0),CZ439/1,IF(AND(CX439=0,CZ439=0),CY439/1,IF(AND(CY439=0,CZ439=0),CX439/1,IF(CX439=0,FLOOR((CY439+CZ439)/2,0.1),IF(CY439=0,(CX439+CZ439)/2,IF(CZ439=0,(CY439+CX439)/2,FLOOR(((CX439+CY439+CZ439)/3),0.1))))))))</f>
        <v/>
      </c>
      <c r="DB439" s="21" t="n"/>
      <c r="DC439" s="21" t="n"/>
      <c r="DD439" s="27">
        <f>SUM(DB439:DC439)</f>
        <v/>
      </c>
      <c r="DE439" s="28" t="n"/>
      <c r="DF439" s="31" t="n"/>
      <c r="DG439" s="29">
        <f>IF(AND(DD439=0,DE439=0,DF439=0),0,IF(AND(DD439=0,DE439=0),DF439/1,IF(AND(DD439=0,DF439=0),DE439/1,IF(AND(DE439=0,DF439=0),DD439/1,IF(DD439=0,FLOOR((DE439+DF439)/2,0.1),IF(DE439=0,(DD439+DF439)/2,IF(DF439=0,(DE439+DD439)/2,FLOOR(((DD439+DE439+DF439)/3),0.1))))))))</f>
        <v/>
      </c>
      <c r="DH439" s="34">
        <f>SUM(O439,U439,AA439,AG439,AM439,AS439,AY439,BE439,BK439,BQ439,BW439,CC439,CI439,CO439,CU439,DA439,DG439)</f>
        <v/>
      </c>
      <c r="DI439" s="39">
        <f>RANK(DH439,DH$4:DH$503)</f>
        <v/>
      </c>
      <c r="DJ439" s="40" t="inlineStr">
        <is>
          <t>CHOOSE RATING</t>
        </is>
      </c>
      <c r="DK439" s="40" t="inlineStr">
        <is>
          <t>CHOOSE RATING</t>
        </is>
      </c>
      <c r="DL439" s="40" t="inlineStr">
        <is>
          <t>CHOOSE RATING</t>
        </is>
      </c>
      <c r="DM439" s="40" t="inlineStr">
        <is>
          <t>CHOOSE RATING</t>
        </is>
      </c>
      <c r="DN439" s="40" t="inlineStr">
        <is>
          <t>CHOOSE RATING</t>
        </is>
      </c>
      <c r="DO439" s="40" t="inlineStr">
        <is>
          <t>CHOOSE RATING</t>
        </is>
      </c>
      <c r="DP439" s="40" t="inlineStr">
        <is>
          <t>CHOOSE RATING</t>
        </is>
      </c>
      <c r="DQ439" s="40" t="inlineStr">
        <is>
          <t>CHOOSE RATING</t>
        </is>
      </c>
      <c r="DR439" s="43" t="inlineStr">
        <is>
          <t>2024/2025</t>
        </is>
      </c>
      <c r="DS439" s="45" t="inlineStr">
        <is>
          <t>THIRD</t>
        </is>
      </c>
      <c r="DT439" s="40" t="inlineStr">
        <is>
          <t>CHOOSE RATING</t>
        </is>
      </c>
      <c r="DU439" s="40" t="inlineStr">
        <is>
          <t>CHOOSE RATING</t>
        </is>
      </c>
      <c r="DV439" s="40" t="inlineStr">
        <is>
          <t>CHOOSE RATING</t>
        </is>
      </c>
      <c r="DW439" s="40" t="inlineStr">
        <is>
          <t>CHOOSE RATING</t>
        </is>
      </c>
      <c r="DX439" s="40" t="inlineStr">
        <is>
          <t>CHOOSE RATING</t>
        </is>
      </c>
      <c r="DY439" s="40" t="inlineStr">
        <is>
          <t>CHOOSE RATING</t>
        </is>
      </c>
      <c r="DZ439" s="53" t="inlineStr">
        <is>
          <t>CHOOSE RATING</t>
        </is>
      </c>
      <c r="EA439" s="54" t="inlineStr">
        <is>
          <t>Add the Tutor's Comment . . .</t>
        </is>
      </c>
      <c r="EB439" s="55" t="inlineStr">
        <is>
          <t>Choose Principals comment</t>
        </is>
      </c>
      <c r="EC439" s="56" t="n"/>
      <c r="ED439" s="57" t="inlineStr">
        <is>
          <t>Next Term Begins on Monday, 22nd September, 2025</t>
        </is>
      </c>
    </row>
    <row r="440" ht="30.6" customHeight="1" s="6">
      <c r="A440" s="18" t="n">
        <v>437</v>
      </c>
      <c r="B440" s="19" t="n"/>
      <c r="C440" s="20" t="n"/>
      <c r="D440" s="128" t="n"/>
      <c r="E440" s="21" t="n"/>
      <c r="F440" s="22" t="n"/>
      <c r="G440" s="22" t="n"/>
      <c r="H440" s="22" t="n"/>
      <c r="I440" s="26">
        <f>G440-H440</f>
        <v/>
      </c>
      <c r="J440" s="21" t="n"/>
      <c r="K440" s="21" t="n"/>
      <c r="L440" s="27">
        <f>SUM(J440:K440)</f>
        <v/>
      </c>
      <c r="M440" s="28" t="n"/>
      <c r="N440" s="28" t="n"/>
      <c r="O440" s="29">
        <f>IF(AND(L440=0,M440=0,N440=0),0,IF(AND(L440=0,M440=0),N440/1,IF(AND(L440=0,N440=0),M440/1,IF(AND(M440=0,N440=0),L440/1,IF(L440=0,FLOOR((M440+N440)/2,0.1),IF(M440=0,(L440+N440)/2,IF(N440=0,(M440+L440)/2,FLOOR(((L440+M440+N440)/3),0.1))))))))</f>
        <v/>
      </c>
      <c r="P440" s="21" t="n"/>
      <c r="Q440" s="21" t="n"/>
      <c r="R440" s="27">
        <f>SUM(P440:Q440)</f>
        <v/>
      </c>
      <c r="S440" s="28" t="n"/>
      <c r="T440" s="28" t="n"/>
      <c r="U440" s="29">
        <f>IF(AND(R440=0,S440=0,T440=0),0,IF(AND(R440=0,S440=0),T440/1,IF(AND(R440=0,T440=0),S440/1,IF(AND(S440=0,T440=0),R440/1,IF(R440=0,FLOOR((S440+T440)/2,0.1),IF(S440=0,(R440+T440)/2,IF(T440=0,(S440+R440)/2,FLOOR(((R440+S440+T440)/3),0.1))))))))</f>
        <v/>
      </c>
      <c r="V440" s="21" t="n"/>
      <c r="W440" s="21" t="n"/>
      <c r="X440" s="27">
        <f>SUM(V440:W440)</f>
        <v/>
      </c>
      <c r="Y440" s="28" t="n"/>
      <c r="Z440" s="28" t="n"/>
      <c r="AA440" s="29">
        <f>IF(AND(X440=0,Y440=0,Z440=0),0,IF(AND(X440=0,Y440=0),Z440/1,IF(AND(X440=0,Z440=0),Y440/1,IF(AND(Y440=0,Z440=0),X440/1,IF(X440=0,FLOOR((Y440+Z440)/2,0.1),IF(Y440=0,(X440+Z440)/2,IF(Z440=0,(Y440+X440)/2,FLOOR(((X440+Y440+Z440)/3),0.1))))))))</f>
        <v/>
      </c>
      <c r="AB440" s="21" t="n"/>
      <c r="AC440" s="21" t="n"/>
      <c r="AD440" s="27">
        <f>SUM(AB440:AC440)</f>
        <v/>
      </c>
      <c r="AE440" s="28" t="n"/>
      <c r="AF440" s="28" t="n"/>
      <c r="AG440" s="29">
        <f>IF(AND(AD440=0,AE440=0,AF440=0),0,IF(AND(AD440=0,AE440=0),AF440/1,IF(AND(AD440=0,AF440=0),AE440/1,IF(AND(AE440=0,AF440=0),AD440/1,IF(AD440=0,FLOOR((AE440+AF440)/2,0.1),IF(AE440=0,(AD440+AF440)/2,IF(AF440=0,(AE440+AD440)/2,FLOOR(((AD440+AE440+AF440)/3),0.1))))))))</f>
        <v/>
      </c>
      <c r="AH440" s="21" t="n"/>
      <c r="AI440" s="21" t="n"/>
      <c r="AJ440" s="27">
        <f>SUM(AH440:AI440)</f>
        <v/>
      </c>
      <c r="AK440" s="28" t="n"/>
      <c r="AL440" s="28" t="n"/>
      <c r="AM440" s="29">
        <f>IF(AND(AJ440=0,AK440=0,AL440=0),0,IF(AND(AJ440=0,AK440=0),AL440/1,IF(AND(AJ440=0,AL440=0),AK440/1,IF(AND(AK440=0,AL440=0),AJ440/1,IF(AJ440=0,FLOOR((AK440+AL440)/2,0.1),IF(AK440=0,(AJ440+AL440)/2,IF(AL440=0,(AK440+AJ440)/2,FLOOR(((AJ440+AK440+AL440)/3),0.1))))))))</f>
        <v/>
      </c>
      <c r="AN440" s="21" t="n"/>
      <c r="AO440" s="21" t="n"/>
      <c r="AP440" s="27">
        <f>SUM(AN440:AO440)</f>
        <v/>
      </c>
      <c r="AQ440" s="28" t="n"/>
      <c r="AR440" s="30" t="n"/>
      <c r="AS440" s="29">
        <f>IF(AND(AP440=0,AQ440=0,AR440=0),0,IF(AND(AP440=0,AQ440=0),AR440/1,IF(AND(AP440=0,AR440=0),AQ440/1,IF(AND(AQ440=0,AR440=0),AP440/1,IF(AP440=0,FLOOR((AQ440+AR440)/2,0.1),IF(AQ440=0,(AP440+AR440)/2,IF(AR440=0,(AQ440+AP440)/2,FLOOR(((AP440+AQ440+AR440)/3),0.1))))))))</f>
        <v/>
      </c>
      <c r="AT440" s="21" t="n"/>
      <c r="AU440" s="21" t="n"/>
      <c r="AV440" s="27">
        <f>SUM(AT440:AU440)</f>
        <v/>
      </c>
      <c r="AW440" s="28" t="n"/>
      <c r="AX440" s="30" t="n"/>
      <c r="AY440" s="29">
        <f>IF(AND(AV440=0,AW440=0,AX440=0),0,IF(AND(AV440=0,AW440=0),AX440/1,IF(AND(AV440=0,AX440=0),AW440/1,IF(AND(AW440=0,AX440=0),AV440/1,IF(AV440=0,FLOOR((AW440+AX440)/2,0.1),IF(AW440=0,(AV440+AX440)/2,IF(AX440=0,(AW440+AV440)/2,FLOOR(((AV440+AW440+AX440)/3),0.1))))))))</f>
        <v/>
      </c>
      <c r="AZ440" s="21" t="n"/>
      <c r="BA440" s="21" t="n"/>
      <c r="BB440" s="27">
        <f>SUM(AZ440:BA440)</f>
        <v/>
      </c>
      <c r="BC440" s="28" t="n"/>
      <c r="BD440" s="28" t="n"/>
      <c r="BE440" s="29">
        <f>IF(AND(BB440=0,BC440=0,BD440=0),0,IF(AND(BB440=0,BC440=0),BD440/1,IF(AND(BB440=0,BD440=0),BC440/1,IF(AND(BC440=0,BD440=0),BB440/1,IF(BB440=0,FLOOR((BC440+BD440)/2,0.1),IF(BC440=0,(BB440+BD440)/2,IF(BD440=0,(BC440+BB440)/2,FLOOR(((BB440+BC440+BD440)/3),0.1))))))))</f>
        <v/>
      </c>
      <c r="BF440" s="21" t="n"/>
      <c r="BG440" s="21" t="n"/>
      <c r="BH440" s="27">
        <f>SUM(BF440:BG440)</f>
        <v/>
      </c>
      <c r="BI440" s="28" t="n"/>
      <c r="BJ440" s="28" t="n"/>
      <c r="BK440" s="29">
        <f>IF(AND(BH440=0,BI440=0,BJ440=0),0,IF(AND(BH440=0,BI440=0),BJ440/1,IF(AND(BH440=0,BJ440=0),BI440/1,IF(AND(BI440=0,BJ440=0),BH440/1,IF(BH440=0,FLOOR((BI440+BJ440)/2,0.1),IF(BI440=0,(BH440+BJ440)/2,IF(BJ440=0,(BI440+BH440)/2,FLOOR(((BH440+BI440+BJ440)/3),0.1))))))))</f>
        <v/>
      </c>
      <c r="BL440" s="21" t="n"/>
      <c r="BM440" s="21" t="n"/>
      <c r="BN440" s="27">
        <f>SUM(BL440:BM440)</f>
        <v/>
      </c>
      <c r="BO440" s="28" t="n"/>
      <c r="BP440" s="31" t="n"/>
      <c r="BQ440" s="29">
        <f>IF(AND(BN440=0,BO440=0,BP440=0),0,IF(AND(BN440=0,BO440=0),BP440/1,IF(AND(BN440=0,BP440=0),BO440/1,IF(AND(BO440=0,BP440=0),BN440/1,IF(BN440=0,FLOOR((BO440+BP440)/2,0.1),IF(BO440=0,(BN440+BP440)/2,IF(BP440=0,(BO440+BN440)/2,FLOOR(((BN440+BO440+BP440)/3),0.1))))))))</f>
        <v/>
      </c>
      <c r="BR440" s="21" t="n"/>
      <c r="BS440" s="21" t="n"/>
      <c r="BT440" s="27">
        <f>SUM(BR440:BS440)</f>
        <v/>
      </c>
      <c r="BU440" s="28" t="n"/>
      <c r="BV440" s="31" t="n"/>
      <c r="BW440" s="29">
        <f>IF(AND(BT440=0,BU440=0,BV440=0),0,IF(AND(BT440=0,BU440=0),BV440/1,IF(AND(BT440=0,BV440=0),BU440/1,IF(AND(BU440=0,BV440=0),BT440/1,IF(BT440=0,FLOOR((BU440+BV440)/2,0.1),IF(BU440=0,(BT440+BV440)/2,IF(BV440=0,(BU440+BT440)/2,FLOOR(((BT440+BU440+BV440)/3),0.1))))))))</f>
        <v/>
      </c>
      <c r="BX440" s="21" t="n"/>
      <c r="BY440" s="21" t="n"/>
      <c r="BZ440" s="27">
        <f>SUM(BX440:BY440)</f>
        <v/>
      </c>
      <c r="CA440" s="28" t="n"/>
      <c r="CB440" s="31" t="n"/>
      <c r="CC440" s="29">
        <f>IF(AND(BZ440=0,CA440=0,CB440=0),0,IF(AND(BZ440=0,CA440=0),CB440/1,IF(AND(BZ440=0,CB440=0),CA440/1,IF(AND(CA440=0,CB440=0),BZ440/1,IF(BZ440=0,FLOOR((CA440+CB440)/2,0.1),IF(CA440=0,(BZ440+CB440)/2,IF(CB440=0,(CA440+BZ440)/2,FLOOR(((BZ440+CA440+CB440)/3),0.1))))))))</f>
        <v/>
      </c>
      <c r="CD440" s="21" t="n"/>
      <c r="CE440" s="21" t="n"/>
      <c r="CF440" s="27">
        <f>SUM(CD440:CE440)</f>
        <v/>
      </c>
      <c r="CG440" s="28" t="n"/>
      <c r="CH440" s="31" t="n"/>
      <c r="CI440" s="29">
        <f>IF(AND(CF440=0,CG440=0,CH440=0),0,IF(AND(CF440=0,CG440=0),CH440/1,IF(AND(CF440=0,CH440=0),CG440/1,IF(AND(CG440=0,CH440=0),CF440/1,IF(CF440=0,FLOOR((CG440+CH440)/2,0.1),IF(CG440=0,(CF440+CH440)/2,IF(CH440=0,(CG440+CF440)/2,FLOOR(((CF440+CG440+CH440)/3),0.1))))))))</f>
        <v/>
      </c>
      <c r="CJ440" s="21" t="n"/>
      <c r="CK440" s="21" t="n"/>
      <c r="CL440" s="27">
        <f>SUM(CJ440:CK440)</f>
        <v/>
      </c>
      <c r="CM440" s="28" t="n"/>
      <c r="CN440" s="31" t="n"/>
      <c r="CO440" s="29">
        <f>IF(AND(CL440=0,CM440=0,CN440=0),0,IF(AND(CL440=0,CM440=0),CN440/1,IF(AND(CL440=0,CN440=0),CM440/1,IF(AND(CM440=0,CN440=0),CL440/1,IF(CL440=0,FLOOR((CM440+CN440)/2,0.1),IF(CM440=0,(CL440+CN440)/2,IF(CN440=0,(CM440+CL440)/2,FLOOR(((CL440+CM440+CN440)/3),0.1))))))))</f>
        <v/>
      </c>
      <c r="CP440" s="21" t="n"/>
      <c r="CQ440" s="21" t="n"/>
      <c r="CR440" s="27">
        <f>SUM(CP440:CQ440)</f>
        <v/>
      </c>
      <c r="CS440" s="28" t="n"/>
      <c r="CT440" s="31" t="n"/>
      <c r="CU440" s="29">
        <f>IF(AND(CR440=0,CS440=0,CT440=0),0,IF(AND(CR440=0,CS440=0),CT440/1,IF(AND(CR440=0,CT440=0),CS440/1,IF(AND(CS440=0,CT440=0),CR440/1,IF(CR440=0,FLOOR((CS440+CT440)/2,0.1),IF(CS440=0,(CR440+CT440)/2,IF(CT440=0,(CS440+CR440)/2,FLOOR(((CR440+CS440+CT440)/3),0.1))))))))</f>
        <v/>
      </c>
      <c r="CV440" s="21" t="n"/>
      <c r="CW440" s="21" t="n"/>
      <c r="CX440" s="27">
        <f>SUM(CV440:CW440)</f>
        <v/>
      </c>
      <c r="CY440" s="28" t="n"/>
      <c r="CZ440" s="31" t="n"/>
      <c r="DA440" s="29">
        <f>IF(AND(CX440=0,CY440=0,CZ440=0),0,IF(AND(CX440=0,CY440=0),CZ440/1,IF(AND(CX440=0,CZ440=0),CY440/1,IF(AND(CY440=0,CZ440=0),CX440/1,IF(CX440=0,FLOOR((CY440+CZ440)/2,0.1),IF(CY440=0,(CX440+CZ440)/2,IF(CZ440=0,(CY440+CX440)/2,FLOOR(((CX440+CY440+CZ440)/3),0.1))))))))</f>
        <v/>
      </c>
      <c r="DB440" s="21" t="n"/>
      <c r="DC440" s="21" t="n"/>
      <c r="DD440" s="27">
        <f>SUM(DB440:DC440)</f>
        <v/>
      </c>
      <c r="DE440" s="28" t="n"/>
      <c r="DF440" s="31" t="n"/>
      <c r="DG440" s="29">
        <f>IF(AND(DD440=0,DE440=0,DF440=0),0,IF(AND(DD440=0,DE440=0),DF440/1,IF(AND(DD440=0,DF440=0),DE440/1,IF(AND(DE440=0,DF440=0),DD440/1,IF(DD440=0,FLOOR((DE440+DF440)/2,0.1),IF(DE440=0,(DD440+DF440)/2,IF(DF440=0,(DE440+DD440)/2,FLOOR(((DD440+DE440+DF440)/3),0.1))))))))</f>
        <v/>
      </c>
      <c r="DH440" s="34">
        <f>SUM(O440,U440,AA440,AG440,AM440,AS440,AY440,BE440,BK440,BQ440,BW440,CC440,CI440,CO440,CU440,DA440,DG440)</f>
        <v/>
      </c>
      <c r="DI440" s="39">
        <f>RANK(DH440,DH$4:DH$503)</f>
        <v/>
      </c>
      <c r="DJ440" s="40" t="inlineStr">
        <is>
          <t>CHOOSE RATING</t>
        </is>
      </c>
      <c r="DK440" s="40" t="inlineStr">
        <is>
          <t>CHOOSE RATING</t>
        </is>
      </c>
      <c r="DL440" s="40" t="inlineStr">
        <is>
          <t>CHOOSE RATING</t>
        </is>
      </c>
      <c r="DM440" s="40" t="inlineStr">
        <is>
          <t>CHOOSE RATING</t>
        </is>
      </c>
      <c r="DN440" s="40" t="inlineStr">
        <is>
          <t>CHOOSE RATING</t>
        </is>
      </c>
      <c r="DO440" s="40" t="inlineStr">
        <is>
          <t>CHOOSE RATING</t>
        </is>
      </c>
      <c r="DP440" s="40" t="inlineStr">
        <is>
          <t>CHOOSE RATING</t>
        </is>
      </c>
      <c r="DQ440" s="40" t="inlineStr">
        <is>
          <t>CHOOSE RATING</t>
        </is>
      </c>
      <c r="DR440" s="43" t="inlineStr">
        <is>
          <t>2024/2025</t>
        </is>
      </c>
      <c r="DS440" s="45" t="inlineStr">
        <is>
          <t>THIRD</t>
        </is>
      </c>
      <c r="DT440" s="40" t="inlineStr">
        <is>
          <t>CHOOSE RATING</t>
        </is>
      </c>
      <c r="DU440" s="40" t="inlineStr">
        <is>
          <t>CHOOSE RATING</t>
        </is>
      </c>
      <c r="DV440" s="40" t="inlineStr">
        <is>
          <t>CHOOSE RATING</t>
        </is>
      </c>
      <c r="DW440" s="40" t="inlineStr">
        <is>
          <t>CHOOSE RATING</t>
        </is>
      </c>
      <c r="DX440" s="40" t="inlineStr">
        <is>
          <t>CHOOSE RATING</t>
        </is>
      </c>
      <c r="DY440" s="40" t="inlineStr">
        <is>
          <t>CHOOSE RATING</t>
        </is>
      </c>
      <c r="DZ440" s="53" t="inlineStr">
        <is>
          <t>CHOOSE RATING</t>
        </is>
      </c>
      <c r="EA440" s="54" t="inlineStr">
        <is>
          <t>Add the Tutor's Comment . . .</t>
        </is>
      </c>
      <c r="EB440" s="55" t="inlineStr">
        <is>
          <t>Choose Principals comment</t>
        </is>
      </c>
      <c r="EC440" s="56" t="n"/>
      <c r="ED440" s="57" t="inlineStr">
        <is>
          <t>Next Term Begins on Monday, 22nd September, 2025</t>
        </is>
      </c>
    </row>
    <row r="441" ht="30.6" customHeight="1" s="6">
      <c r="A441" s="18" t="n">
        <v>438</v>
      </c>
      <c r="B441" s="19" t="n"/>
      <c r="C441" s="20" t="n"/>
      <c r="D441" s="128" t="n"/>
      <c r="E441" s="21" t="n"/>
      <c r="F441" s="22" t="n"/>
      <c r="G441" s="22" t="n"/>
      <c r="H441" s="22" t="n"/>
      <c r="I441" s="26">
        <f>G441-H441</f>
        <v/>
      </c>
      <c r="J441" s="21" t="n"/>
      <c r="K441" s="21" t="n"/>
      <c r="L441" s="27">
        <f>SUM(J441:K441)</f>
        <v/>
      </c>
      <c r="M441" s="28" t="n"/>
      <c r="N441" s="28" t="n"/>
      <c r="O441" s="29">
        <f>IF(AND(L441=0,M441=0,N441=0),0,IF(AND(L441=0,M441=0),N441/1,IF(AND(L441=0,N441=0),M441/1,IF(AND(M441=0,N441=0),L441/1,IF(L441=0,FLOOR((M441+N441)/2,0.1),IF(M441=0,(L441+N441)/2,IF(N441=0,(M441+L441)/2,FLOOR(((L441+M441+N441)/3),0.1))))))))</f>
        <v/>
      </c>
      <c r="P441" s="21" t="n"/>
      <c r="Q441" s="21" t="n"/>
      <c r="R441" s="27">
        <f>SUM(P441:Q441)</f>
        <v/>
      </c>
      <c r="S441" s="28" t="n"/>
      <c r="T441" s="28" t="n"/>
      <c r="U441" s="29">
        <f>IF(AND(R441=0,S441=0,T441=0),0,IF(AND(R441=0,S441=0),T441/1,IF(AND(R441=0,T441=0),S441/1,IF(AND(S441=0,T441=0),R441/1,IF(R441=0,FLOOR((S441+T441)/2,0.1),IF(S441=0,(R441+T441)/2,IF(T441=0,(S441+R441)/2,FLOOR(((R441+S441+T441)/3),0.1))))))))</f>
        <v/>
      </c>
      <c r="V441" s="21" t="n"/>
      <c r="W441" s="21" t="n"/>
      <c r="X441" s="27">
        <f>SUM(V441:W441)</f>
        <v/>
      </c>
      <c r="Y441" s="28" t="n"/>
      <c r="Z441" s="28" t="n"/>
      <c r="AA441" s="29">
        <f>IF(AND(X441=0,Y441=0,Z441=0),0,IF(AND(X441=0,Y441=0),Z441/1,IF(AND(X441=0,Z441=0),Y441/1,IF(AND(Y441=0,Z441=0),X441/1,IF(X441=0,FLOOR((Y441+Z441)/2,0.1),IF(Y441=0,(X441+Z441)/2,IF(Z441=0,(Y441+X441)/2,FLOOR(((X441+Y441+Z441)/3),0.1))))))))</f>
        <v/>
      </c>
      <c r="AB441" s="21" t="n"/>
      <c r="AC441" s="21" t="n"/>
      <c r="AD441" s="27">
        <f>SUM(AB441:AC441)</f>
        <v/>
      </c>
      <c r="AE441" s="28" t="n"/>
      <c r="AF441" s="28" t="n"/>
      <c r="AG441" s="29">
        <f>IF(AND(AD441=0,AE441=0,AF441=0),0,IF(AND(AD441=0,AE441=0),AF441/1,IF(AND(AD441=0,AF441=0),AE441/1,IF(AND(AE441=0,AF441=0),AD441/1,IF(AD441=0,FLOOR((AE441+AF441)/2,0.1),IF(AE441=0,(AD441+AF441)/2,IF(AF441=0,(AE441+AD441)/2,FLOOR(((AD441+AE441+AF441)/3),0.1))))))))</f>
        <v/>
      </c>
      <c r="AH441" s="21" t="n"/>
      <c r="AI441" s="21" t="n"/>
      <c r="AJ441" s="27">
        <f>SUM(AH441:AI441)</f>
        <v/>
      </c>
      <c r="AK441" s="28" t="n"/>
      <c r="AL441" s="28" t="n"/>
      <c r="AM441" s="29">
        <f>IF(AND(AJ441=0,AK441=0,AL441=0),0,IF(AND(AJ441=0,AK441=0),AL441/1,IF(AND(AJ441=0,AL441=0),AK441/1,IF(AND(AK441=0,AL441=0),AJ441/1,IF(AJ441=0,FLOOR((AK441+AL441)/2,0.1),IF(AK441=0,(AJ441+AL441)/2,IF(AL441=0,(AK441+AJ441)/2,FLOOR(((AJ441+AK441+AL441)/3),0.1))))))))</f>
        <v/>
      </c>
      <c r="AN441" s="21" t="n"/>
      <c r="AO441" s="21" t="n"/>
      <c r="AP441" s="27">
        <f>SUM(AN441:AO441)</f>
        <v/>
      </c>
      <c r="AQ441" s="28" t="n"/>
      <c r="AR441" s="30" t="n"/>
      <c r="AS441" s="29">
        <f>IF(AND(AP441=0,AQ441=0,AR441=0),0,IF(AND(AP441=0,AQ441=0),AR441/1,IF(AND(AP441=0,AR441=0),AQ441/1,IF(AND(AQ441=0,AR441=0),AP441/1,IF(AP441=0,FLOOR((AQ441+AR441)/2,0.1),IF(AQ441=0,(AP441+AR441)/2,IF(AR441=0,(AQ441+AP441)/2,FLOOR(((AP441+AQ441+AR441)/3),0.1))))))))</f>
        <v/>
      </c>
      <c r="AT441" s="21" t="n"/>
      <c r="AU441" s="21" t="n"/>
      <c r="AV441" s="27">
        <f>SUM(AT441:AU441)</f>
        <v/>
      </c>
      <c r="AW441" s="28" t="n"/>
      <c r="AX441" s="30" t="n"/>
      <c r="AY441" s="29">
        <f>IF(AND(AV441=0,AW441=0,AX441=0),0,IF(AND(AV441=0,AW441=0),AX441/1,IF(AND(AV441=0,AX441=0),AW441/1,IF(AND(AW441=0,AX441=0),AV441/1,IF(AV441=0,FLOOR((AW441+AX441)/2,0.1),IF(AW441=0,(AV441+AX441)/2,IF(AX441=0,(AW441+AV441)/2,FLOOR(((AV441+AW441+AX441)/3),0.1))))))))</f>
        <v/>
      </c>
      <c r="AZ441" s="21" t="n"/>
      <c r="BA441" s="21" t="n"/>
      <c r="BB441" s="27">
        <f>SUM(AZ441:BA441)</f>
        <v/>
      </c>
      <c r="BC441" s="28" t="n"/>
      <c r="BD441" s="28" t="n"/>
      <c r="BE441" s="29">
        <f>IF(AND(BB441=0,BC441=0,BD441=0),0,IF(AND(BB441=0,BC441=0),BD441/1,IF(AND(BB441=0,BD441=0),BC441/1,IF(AND(BC441=0,BD441=0),BB441/1,IF(BB441=0,FLOOR((BC441+BD441)/2,0.1),IF(BC441=0,(BB441+BD441)/2,IF(BD441=0,(BC441+BB441)/2,FLOOR(((BB441+BC441+BD441)/3),0.1))))))))</f>
        <v/>
      </c>
      <c r="BF441" s="21" t="n"/>
      <c r="BG441" s="21" t="n"/>
      <c r="BH441" s="27">
        <f>SUM(BF441:BG441)</f>
        <v/>
      </c>
      <c r="BI441" s="28" t="n"/>
      <c r="BJ441" s="28" t="n"/>
      <c r="BK441" s="29">
        <f>IF(AND(BH441=0,BI441=0,BJ441=0),0,IF(AND(BH441=0,BI441=0),BJ441/1,IF(AND(BH441=0,BJ441=0),BI441/1,IF(AND(BI441=0,BJ441=0),BH441/1,IF(BH441=0,FLOOR((BI441+BJ441)/2,0.1),IF(BI441=0,(BH441+BJ441)/2,IF(BJ441=0,(BI441+BH441)/2,FLOOR(((BH441+BI441+BJ441)/3),0.1))))))))</f>
        <v/>
      </c>
      <c r="BL441" s="21" t="n"/>
      <c r="BM441" s="21" t="n"/>
      <c r="BN441" s="27">
        <f>SUM(BL441:BM441)</f>
        <v/>
      </c>
      <c r="BO441" s="28" t="n"/>
      <c r="BP441" s="31" t="n"/>
      <c r="BQ441" s="29">
        <f>IF(AND(BN441=0,BO441=0,BP441=0),0,IF(AND(BN441=0,BO441=0),BP441/1,IF(AND(BN441=0,BP441=0),BO441/1,IF(AND(BO441=0,BP441=0),BN441/1,IF(BN441=0,FLOOR((BO441+BP441)/2,0.1),IF(BO441=0,(BN441+BP441)/2,IF(BP441=0,(BO441+BN441)/2,FLOOR(((BN441+BO441+BP441)/3),0.1))))))))</f>
        <v/>
      </c>
      <c r="BR441" s="21" t="n"/>
      <c r="BS441" s="21" t="n"/>
      <c r="BT441" s="27">
        <f>SUM(BR441:BS441)</f>
        <v/>
      </c>
      <c r="BU441" s="28" t="n"/>
      <c r="BV441" s="31" t="n"/>
      <c r="BW441" s="29">
        <f>IF(AND(BT441=0,BU441=0,BV441=0),0,IF(AND(BT441=0,BU441=0),BV441/1,IF(AND(BT441=0,BV441=0),BU441/1,IF(AND(BU441=0,BV441=0),BT441/1,IF(BT441=0,FLOOR((BU441+BV441)/2,0.1),IF(BU441=0,(BT441+BV441)/2,IF(BV441=0,(BU441+BT441)/2,FLOOR(((BT441+BU441+BV441)/3),0.1))))))))</f>
        <v/>
      </c>
      <c r="BX441" s="21" t="n"/>
      <c r="BY441" s="21" t="n"/>
      <c r="BZ441" s="27">
        <f>SUM(BX441:BY441)</f>
        <v/>
      </c>
      <c r="CA441" s="28" t="n"/>
      <c r="CB441" s="31" t="n"/>
      <c r="CC441" s="29">
        <f>IF(AND(BZ441=0,CA441=0,CB441=0),0,IF(AND(BZ441=0,CA441=0),CB441/1,IF(AND(BZ441=0,CB441=0),CA441/1,IF(AND(CA441=0,CB441=0),BZ441/1,IF(BZ441=0,FLOOR((CA441+CB441)/2,0.1),IF(CA441=0,(BZ441+CB441)/2,IF(CB441=0,(CA441+BZ441)/2,FLOOR(((BZ441+CA441+CB441)/3),0.1))))))))</f>
        <v/>
      </c>
      <c r="CD441" s="21" t="n"/>
      <c r="CE441" s="21" t="n"/>
      <c r="CF441" s="27">
        <f>SUM(CD441:CE441)</f>
        <v/>
      </c>
      <c r="CG441" s="28" t="n"/>
      <c r="CH441" s="31" t="n"/>
      <c r="CI441" s="29">
        <f>IF(AND(CF441=0,CG441=0,CH441=0),0,IF(AND(CF441=0,CG441=0),CH441/1,IF(AND(CF441=0,CH441=0),CG441/1,IF(AND(CG441=0,CH441=0),CF441/1,IF(CF441=0,FLOOR((CG441+CH441)/2,0.1),IF(CG441=0,(CF441+CH441)/2,IF(CH441=0,(CG441+CF441)/2,FLOOR(((CF441+CG441+CH441)/3),0.1))))))))</f>
        <v/>
      </c>
      <c r="CJ441" s="21" t="n"/>
      <c r="CK441" s="21" t="n"/>
      <c r="CL441" s="27">
        <f>SUM(CJ441:CK441)</f>
        <v/>
      </c>
      <c r="CM441" s="28" t="n"/>
      <c r="CN441" s="31" t="n"/>
      <c r="CO441" s="29">
        <f>IF(AND(CL441=0,CM441=0,CN441=0),0,IF(AND(CL441=0,CM441=0),CN441/1,IF(AND(CL441=0,CN441=0),CM441/1,IF(AND(CM441=0,CN441=0),CL441/1,IF(CL441=0,FLOOR((CM441+CN441)/2,0.1),IF(CM441=0,(CL441+CN441)/2,IF(CN441=0,(CM441+CL441)/2,FLOOR(((CL441+CM441+CN441)/3),0.1))))))))</f>
        <v/>
      </c>
      <c r="CP441" s="21" t="n"/>
      <c r="CQ441" s="21" t="n"/>
      <c r="CR441" s="27">
        <f>SUM(CP441:CQ441)</f>
        <v/>
      </c>
      <c r="CS441" s="28" t="n"/>
      <c r="CT441" s="31" t="n"/>
      <c r="CU441" s="29">
        <f>IF(AND(CR441=0,CS441=0,CT441=0),0,IF(AND(CR441=0,CS441=0),CT441/1,IF(AND(CR441=0,CT441=0),CS441/1,IF(AND(CS441=0,CT441=0),CR441/1,IF(CR441=0,FLOOR((CS441+CT441)/2,0.1),IF(CS441=0,(CR441+CT441)/2,IF(CT441=0,(CS441+CR441)/2,FLOOR(((CR441+CS441+CT441)/3),0.1))))))))</f>
        <v/>
      </c>
      <c r="CV441" s="21" t="n"/>
      <c r="CW441" s="21" t="n"/>
      <c r="CX441" s="27">
        <f>SUM(CV441:CW441)</f>
        <v/>
      </c>
      <c r="CY441" s="28" t="n"/>
      <c r="CZ441" s="31" t="n"/>
      <c r="DA441" s="29">
        <f>IF(AND(CX441=0,CY441=0,CZ441=0),0,IF(AND(CX441=0,CY441=0),CZ441/1,IF(AND(CX441=0,CZ441=0),CY441/1,IF(AND(CY441=0,CZ441=0),CX441/1,IF(CX441=0,FLOOR((CY441+CZ441)/2,0.1),IF(CY441=0,(CX441+CZ441)/2,IF(CZ441=0,(CY441+CX441)/2,FLOOR(((CX441+CY441+CZ441)/3),0.1))))))))</f>
        <v/>
      </c>
      <c r="DB441" s="21" t="n"/>
      <c r="DC441" s="21" t="n"/>
      <c r="DD441" s="27">
        <f>SUM(DB441:DC441)</f>
        <v/>
      </c>
      <c r="DE441" s="28" t="n"/>
      <c r="DF441" s="31" t="n"/>
      <c r="DG441" s="29">
        <f>IF(AND(DD441=0,DE441=0,DF441=0),0,IF(AND(DD441=0,DE441=0),DF441/1,IF(AND(DD441=0,DF441=0),DE441/1,IF(AND(DE441=0,DF441=0),DD441/1,IF(DD441=0,FLOOR((DE441+DF441)/2,0.1),IF(DE441=0,(DD441+DF441)/2,IF(DF441=0,(DE441+DD441)/2,FLOOR(((DD441+DE441+DF441)/3),0.1))))))))</f>
        <v/>
      </c>
      <c r="DH441" s="34">
        <f>SUM(O441,U441,AA441,AG441,AM441,AS441,AY441,BE441,BK441,BQ441,BW441,CC441,CI441,CO441,CU441,DA441,DG441)</f>
        <v/>
      </c>
      <c r="DI441" s="39">
        <f>RANK(DH441,DH$4:DH$503)</f>
        <v/>
      </c>
      <c r="DJ441" s="40" t="inlineStr">
        <is>
          <t>CHOOSE RATING</t>
        </is>
      </c>
      <c r="DK441" s="40" t="inlineStr">
        <is>
          <t>CHOOSE RATING</t>
        </is>
      </c>
      <c r="DL441" s="40" t="inlineStr">
        <is>
          <t>CHOOSE RATING</t>
        </is>
      </c>
      <c r="DM441" s="40" t="inlineStr">
        <is>
          <t>CHOOSE RATING</t>
        </is>
      </c>
      <c r="DN441" s="40" t="inlineStr">
        <is>
          <t>CHOOSE RATING</t>
        </is>
      </c>
      <c r="DO441" s="40" t="inlineStr">
        <is>
          <t>CHOOSE RATING</t>
        </is>
      </c>
      <c r="DP441" s="40" t="inlineStr">
        <is>
          <t>CHOOSE RATING</t>
        </is>
      </c>
      <c r="DQ441" s="40" t="inlineStr">
        <is>
          <t>CHOOSE RATING</t>
        </is>
      </c>
      <c r="DR441" s="43" t="inlineStr">
        <is>
          <t>2024/2025</t>
        </is>
      </c>
      <c r="DS441" s="45" t="inlineStr">
        <is>
          <t>THIRD</t>
        </is>
      </c>
      <c r="DT441" s="40" t="inlineStr">
        <is>
          <t>CHOOSE RATING</t>
        </is>
      </c>
      <c r="DU441" s="40" t="inlineStr">
        <is>
          <t>CHOOSE RATING</t>
        </is>
      </c>
      <c r="DV441" s="40" t="inlineStr">
        <is>
          <t>CHOOSE RATING</t>
        </is>
      </c>
      <c r="DW441" s="40" t="inlineStr">
        <is>
          <t>CHOOSE RATING</t>
        </is>
      </c>
      <c r="DX441" s="40" t="inlineStr">
        <is>
          <t>CHOOSE RATING</t>
        </is>
      </c>
      <c r="DY441" s="40" t="inlineStr">
        <is>
          <t>CHOOSE RATING</t>
        </is>
      </c>
      <c r="DZ441" s="53" t="inlineStr">
        <is>
          <t>CHOOSE RATING</t>
        </is>
      </c>
      <c r="EA441" s="54" t="inlineStr">
        <is>
          <t>Add the Tutor's Comment . . .</t>
        </is>
      </c>
      <c r="EB441" s="55" t="inlineStr">
        <is>
          <t>Choose Principals comment</t>
        </is>
      </c>
      <c r="EC441" s="56" t="n"/>
      <c r="ED441" s="57" t="inlineStr">
        <is>
          <t>Next Term Begins on Monday, 22nd September, 2025</t>
        </is>
      </c>
    </row>
    <row r="442" ht="30.6" customHeight="1" s="6">
      <c r="A442" s="18" t="n">
        <v>439</v>
      </c>
      <c r="B442" s="19" t="n"/>
      <c r="C442" s="20" t="n"/>
      <c r="D442" s="128" t="n"/>
      <c r="E442" s="21" t="n"/>
      <c r="F442" s="22" t="n"/>
      <c r="G442" s="22" t="n"/>
      <c r="H442" s="22" t="n"/>
      <c r="I442" s="26">
        <f>G442-H442</f>
        <v/>
      </c>
      <c r="J442" s="21" t="n"/>
      <c r="K442" s="21" t="n"/>
      <c r="L442" s="27">
        <f>SUM(J442:K442)</f>
        <v/>
      </c>
      <c r="M442" s="28" t="n"/>
      <c r="N442" s="28" t="n"/>
      <c r="O442" s="29">
        <f>IF(AND(L442=0,M442=0,N442=0),0,IF(AND(L442=0,M442=0),N442/1,IF(AND(L442=0,N442=0),M442/1,IF(AND(M442=0,N442=0),L442/1,IF(L442=0,FLOOR((M442+N442)/2,0.1),IF(M442=0,(L442+N442)/2,IF(N442=0,(M442+L442)/2,FLOOR(((L442+M442+N442)/3),0.1))))))))</f>
        <v/>
      </c>
      <c r="P442" s="21" t="n"/>
      <c r="Q442" s="21" t="n"/>
      <c r="R442" s="27">
        <f>SUM(P442:Q442)</f>
        <v/>
      </c>
      <c r="S442" s="28" t="n"/>
      <c r="T442" s="28" t="n"/>
      <c r="U442" s="29">
        <f>IF(AND(R442=0,S442=0,T442=0),0,IF(AND(R442=0,S442=0),T442/1,IF(AND(R442=0,T442=0),S442/1,IF(AND(S442=0,T442=0),R442/1,IF(R442=0,FLOOR((S442+T442)/2,0.1),IF(S442=0,(R442+T442)/2,IF(T442=0,(S442+R442)/2,FLOOR(((R442+S442+T442)/3),0.1))))))))</f>
        <v/>
      </c>
      <c r="V442" s="21" t="n"/>
      <c r="W442" s="21" t="n"/>
      <c r="X442" s="27">
        <f>SUM(V442:W442)</f>
        <v/>
      </c>
      <c r="Y442" s="28" t="n"/>
      <c r="Z442" s="28" t="n"/>
      <c r="AA442" s="29">
        <f>IF(AND(X442=0,Y442=0,Z442=0),0,IF(AND(X442=0,Y442=0),Z442/1,IF(AND(X442=0,Z442=0),Y442/1,IF(AND(Y442=0,Z442=0),X442/1,IF(X442=0,FLOOR((Y442+Z442)/2,0.1),IF(Y442=0,(X442+Z442)/2,IF(Z442=0,(Y442+X442)/2,FLOOR(((X442+Y442+Z442)/3),0.1))))))))</f>
        <v/>
      </c>
      <c r="AB442" s="21" t="n"/>
      <c r="AC442" s="21" t="n"/>
      <c r="AD442" s="27">
        <f>SUM(AB442:AC442)</f>
        <v/>
      </c>
      <c r="AE442" s="28" t="n"/>
      <c r="AF442" s="28" t="n"/>
      <c r="AG442" s="29">
        <f>IF(AND(AD442=0,AE442=0,AF442=0),0,IF(AND(AD442=0,AE442=0),AF442/1,IF(AND(AD442=0,AF442=0),AE442/1,IF(AND(AE442=0,AF442=0),AD442/1,IF(AD442=0,FLOOR((AE442+AF442)/2,0.1),IF(AE442=0,(AD442+AF442)/2,IF(AF442=0,(AE442+AD442)/2,FLOOR(((AD442+AE442+AF442)/3),0.1))))))))</f>
        <v/>
      </c>
      <c r="AH442" s="21" t="n"/>
      <c r="AI442" s="21" t="n"/>
      <c r="AJ442" s="27">
        <f>SUM(AH442:AI442)</f>
        <v/>
      </c>
      <c r="AK442" s="28" t="n"/>
      <c r="AL442" s="28" t="n"/>
      <c r="AM442" s="29">
        <f>IF(AND(AJ442=0,AK442=0,AL442=0),0,IF(AND(AJ442=0,AK442=0),AL442/1,IF(AND(AJ442=0,AL442=0),AK442/1,IF(AND(AK442=0,AL442=0),AJ442/1,IF(AJ442=0,FLOOR((AK442+AL442)/2,0.1),IF(AK442=0,(AJ442+AL442)/2,IF(AL442=0,(AK442+AJ442)/2,FLOOR(((AJ442+AK442+AL442)/3),0.1))))))))</f>
        <v/>
      </c>
      <c r="AN442" s="21" t="n"/>
      <c r="AO442" s="21" t="n"/>
      <c r="AP442" s="27">
        <f>SUM(AN442:AO442)</f>
        <v/>
      </c>
      <c r="AQ442" s="28" t="n"/>
      <c r="AR442" s="30" t="n"/>
      <c r="AS442" s="29">
        <f>IF(AND(AP442=0,AQ442=0,AR442=0),0,IF(AND(AP442=0,AQ442=0),AR442/1,IF(AND(AP442=0,AR442=0),AQ442/1,IF(AND(AQ442=0,AR442=0),AP442/1,IF(AP442=0,FLOOR((AQ442+AR442)/2,0.1),IF(AQ442=0,(AP442+AR442)/2,IF(AR442=0,(AQ442+AP442)/2,FLOOR(((AP442+AQ442+AR442)/3),0.1))))))))</f>
        <v/>
      </c>
      <c r="AT442" s="21" t="n"/>
      <c r="AU442" s="21" t="n"/>
      <c r="AV442" s="27">
        <f>SUM(AT442:AU442)</f>
        <v/>
      </c>
      <c r="AW442" s="28" t="n"/>
      <c r="AX442" s="30" t="n"/>
      <c r="AY442" s="29">
        <f>IF(AND(AV442=0,AW442=0,AX442=0),0,IF(AND(AV442=0,AW442=0),AX442/1,IF(AND(AV442=0,AX442=0),AW442/1,IF(AND(AW442=0,AX442=0),AV442/1,IF(AV442=0,FLOOR((AW442+AX442)/2,0.1),IF(AW442=0,(AV442+AX442)/2,IF(AX442=0,(AW442+AV442)/2,FLOOR(((AV442+AW442+AX442)/3),0.1))))))))</f>
        <v/>
      </c>
      <c r="AZ442" s="21" t="n"/>
      <c r="BA442" s="21" t="n"/>
      <c r="BB442" s="27">
        <f>SUM(AZ442:BA442)</f>
        <v/>
      </c>
      <c r="BC442" s="28" t="n"/>
      <c r="BD442" s="28" t="n"/>
      <c r="BE442" s="29">
        <f>IF(AND(BB442=0,BC442=0,BD442=0),0,IF(AND(BB442=0,BC442=0),BD442/1,IF(AND(BB442=0,BD442=0),BC442/1,IF(AND(BC442=0,BD442=0),BB442/1,IF(BB442=0,FLOOR((BC442+BD442)/2,0.1),IF(BC442=0,(BB442+BD442)/2,IF(BD442=0,(BC442+BB442)/2,FLOOR(((BB442+BC442+BD442)/3),0.1))))))))</f>
        <v/>
      </c>
      <c r="BF442" s="21" t="n"/>
      <c r="BG442" s="21" t="n"/>
      <c r="BH442" s="27">
        <f>SUM(BF442:BG442)</f>
        <v/>
      </c>
      <c r="BI442" s="28" t="n"/>
      <c r="BJ442" s="28" t="n"/>
      <c r="BK442" s="29">
        <f>IF(AND(BH442=0,BI442=0,BJ442=0),0,IF(AND(BH442=0,BI442=0),BJ442/1,IF(AND(BH442=0,BJ442=0),BI442/1,IF(AND(BI442=0,BJ442=0),BH442/1,IF(BH442=0,FLOOR((BI442+BJ442)/2,0.1),IF(BI442=0,(BH442+BJ442)/2,IF(BJ442=0,(BI442+BH442)/2,FLOOR(((BH442+BI442+BJ442)/3),0.1))))))))</f>
        <v/>
      </c>
      <c r="BL442" s="21" t="n"/>
      <c r="BM442" s="21" t="n"/>
      <c r="BN442" s="27">
        <f>SUM(BL442:BM442)</f>
        <v/>
      </c>
      <c r="BO442" s="28" t="n"/>
      <c r="BP442" s="31" t="n"/>
      <c r="BQ442" s="29">
        <f>IF(AND(BN442=0,BO442=0,BP442=0),0,IF(AND(BN442=0,BO442=0),BP442/1,IF(AND(BN442=0,BP442=0),BO442/1,IF(AND(BO442=0,BP442=0),BN442/1,IF(BN442=0,FLOOR((BO442+BP442)/2,0.1),IF(BO442=0,(BN442+BP442)/2,IF(BP442=0,(BO442+BN442)/2,FLOOR(((BN442+BO442+BP442)/3),0.1))))))))</f>
        <v/>
      </c>
      <c r="BR442" s="21" t="n"/>
      <c r="BS442" s="21" t="n"/>
      <c r="BT442" s="27">
        <f>SUM(BR442:BS442)</f>
        <v/>
      </c>
      <c r="BU442" s="28" t="n"/>
      <c r="BV442" s="31" t="n"/>
      <c r="BW442" s="29">
        <f>IF(AND(BT442=0,BU442=0,BV442=0),0,IF(AND(BT442=0,BU442=0),BV442/1,IF(AND(BT442=0,BV442=0),BU442/1,IF(AND(BU442=0,BV442=0),BT442/1,IF(BT442=0,FLOOR((BU442+BV442)/2,0.1),IF(BU442=0,(BT442+BV442)/2,IF(BV442=0,(BU442+BT442)/2,FLOOR(((BT442+BU442+BV442)/3),0.1))))))))</f>
        <v/>
      </c>
      <c r="BX442" s="21" t="n"/>
      <c r="BY442" s="21" t="n"/>
      <c r="BZ442" s="27">
        <f>SUM(BX442:BY442)</f>
        <v/>
      </c>
      <c r="CA442" s="28" t="n"/>
      <c r="CB442" s="31" t="n"/>
      <c r="CC442" s="29">
        <f>IF(AND(BZ442=0,CA442=0,CB442=0),0,IF(AND(BZ442=0,CA442=0),CB442/1,IF(AND(BZ442=0,CB442=0),CA442/1,IF(AND(CA442=0,CB442=0),BZ442/1,IF(BZ442=0,FLOOR((CA442+CB442)/2,0.1),IF(CA442=0,(BZ442+CB442)/2,IF(CB442=0,(CA442+BZ442)/2,FLOOR(((BZ442+CA442+CB442)/3),0.1))))))))</f>
        <v/>
      </c>
      <c r="CD442" s="21" t="n"/>
      <c r="CE442" s="21" t="n"/>
      <c r="CF442" s="27">
        <f>SUM(CD442:CE442)</f>
        <v/>
      </c>
      <c r="CG442" s="28" t="n"/>
      <c r="CH442" s="31" t="n"/>
      <c r="CI442" s="29">
        <f>IF(AND(CF442=0,CG442=0,CH442=0),0,IF(AND(CF442=0,CG442=0),CH442/1,IF(AND(CF442=0,CH442=0),CG442/1,IF(AND(CG442=0,CH442=0),CF442/1,IF(CF442=0,FLOOR((CG442+CH442)/2,0.1),IF(CG442=0,(CF442+CH442)/2,IF(CH442=0,(CG442+CF442)/2,FLOOR(((CF442+CG442+CH442)/3),0.1))))))))</f>
        <v/>
      </c>
      <c r="CJ442" s="21" t="n"/>
      <c r="CK442" s="21" t="n"/>
      <c r="CL442" s="27">
        <f>SUM(CJ442:CK442)</f>
        <v/>
      </c>
      <c r="CM442" s="28" t="n"/>
      <c r="CN442" s="31" t="n"/>
      <c r="CO442" s="29">
        <f>IF(AND(CL442=0,CM442=0,CN442=0),0,IF(AND(CL442=0,CM442=0),CN442/1,IF(AND(CL442=0,CN442=0),CM442/1,IF(AND(CM442=0,CN442=0),CL442/1,IF(CL442=0,FLOOR((CM442+CN442)/2,0.1),IF(CM442=0,(CL442+CN442)/2,IF(CN442=0,(CM442+CL442)/2,FLOOR(((CL442+CM442+CN442)/3),0.1))))))))</f>
        <v/>
      </c>
      <c r="CP442" s="21" t="n"/>
      <c r="CQ442" s="21" t="n"/>
      <c r="CR442" s="27">
        <f>SUM(CP442:CQ442)</f>
        <v/>
      </c>
      <c r="CS442" s="28" t="n"/>
      <c r="CT442" s="31" t="n"/>
      <c r="CU442" s="29">
        <f>IF(AND(CR442=0,CS442=0,CT442=0),0,IF(AND(CR442=0,CS442=0),CT442/1,IF(AND(CR442=0,CT442=0),CS442/1,IF(AND(CS442=0,CT442=0),CR442/1,IF(CR442=0,FLOOR((CS442+CT442)/2,0.1),IF(CS442=0,(CR442+CT442)/2,IF(CT442=0,(CS442+CR442)/2,FLOOR(((CR442+CS442+CT442)/3),0.1))))))))</f>
        <v/>
      </c>
      <c r="CV442" s="21" t="n"/>
      <c r="CW442" s="21" t="n"/>
      <c r="CX442" s="27">
        <f>SUM(CV442:CW442)</f>
        <v/>
      </c>
      <c r="CY442" s="28" t="n"/>
      <c r="CZ442" s="31" t="n"/>
      <c r="DA442" s="29">
        <f>IF(AND(CX442=0,CY442=0,CZ442=0),0,IF(AND(CX442=0,CY442=0),CZ442/1,IF(AND(CX442=0,CZ442=0),CY442/1,IF(AND(CY442=0,CZ442=0),CX442/1,IF(CX442=0,FLOOR((CY442+CZ442)/2,0.1),IF(CY442=0,(CX442+CZ442)/2,IF(CZ442=0,(CY442+CX442)/2,FLOOR(((CX442+CY442+CZ442)/3),0.1))))))))</f>
        <v/>
      </c>
      <c r="DB442" s="21" t="n"/>
      <c r="DC442" s="21" t="n"/>
      <c r="DD442" s="27">
        <f>SUM(DB442:DC442)</f>
        <v/>
      </c>
      <c r="DE442" s="28" t="n"/>
      <c r="DF442" s="31" t="n"/>
      <c r="DG442" s="29">
        <f>IF(AND(DD442=0,DE442=0,DF442=0),0,IF(AND(DD442=0,DE442=0),DF442/1,IF(AND(DD442=0,DF442=0),DE442/1,IF(AND(DE442=0,DF442=0),DD442/1,IF(DD442=0,FLOOR((DE442+DF442)/2,0.1),IF(DE442=0,(DD442+DF442)/2,IF(DF442=0,(DE442+DD442)/2,FLOOR(((DD442+DE442+DF442)/3),0.1))))))))</f>
        <v/>
      </c>
      <c r="DH442" s="34">
        <f>SUM(O442,U442,AA442,AG442,AM442,AS442,AY442,BE442,BK442,BQ442,BW442,CC442,CI442,CO442,CU442,DA442,DG442)</f>
        <v/>
      </c>
      <c r="DI442" s="39">
        <f>RANK(DH442,DH$4:DH$503)</f>
        <v/>
      </c>
      <c r="DJ442" s="40" t="inlineStr">
        <is>
          <t>CHOOSE RATING</t>
        </is>
      </c>
      <c r="DK442" s="40" t="inlineStr">
        <is>
          <t>CHOOSE RATING</t>
        </is>
      </c>
      <c r="DL442" s="40" t="inlineStr">
        <is>
          <t>CHOOSE RATING</t>
        </is>
      </c>
      <c r="DM442" s="40" t="inlineStr">
        <is>
          <t>CHOOSE RATING</t>
        </is>
      </c>
      <c r="DN442" s="40" t="inlineStr">
        <is>
          <t>CHOOSE RATING</t>
        </is>
      </c>
      <c r="DO442" s="40" t="inlineStr">
        <is>
          <t>CHOOSE RATING</t>
        </is>
      </c>
      <c r="DP442" s="40" t="inlineStr">
        <is>
          <t>CHOOSE RATING</t>
        </is>
      </c>
      <c r="DQ442" s="40" t="inlineStr">
        <is>
          <t>CHOOSE RATING</t>
        </is>
      </c>
      <c r="DR442" s="43" t="inlineStr">
        <is>
          <t>2024/2025</t>
        </is>
      </c>
      <c r="DS442" s="45" t="inlineStr">
        <is>
          <t>THIRD</t>
        </is>
      </c>
      <c r="DT442" s="40" t="inlineStr">
        <is>
          <t>CHOOSE RATING</t>
        </is>
      </c>
      <c r="DU442" s="40" t="inlineStr">
        <is>
          <t>CHOOSE RATING</t>
        </is>
      </c>
      <c r="DV442" s="40" t="inlineStr">
        <is>
          <t>CHOOSE RATING</t>
        </is>
      </c>
      <c r="DW442" s="40" t="inlineStr">
        <is>
          <t>CHOOSE RATING</t>
        </is>
      </c>
      <c r="DX442" s="40" t="inlineStr">
        <is>
          <t>CHOOSE RATING</t>
        </is>
      </c>
      <c r="DY442" s="40" t="inlineStr">
        <is>
          <t>CHOOSE RATING</t>
        </is>
      </c>
      <c r="DZ442" s="53" t="inlineStr">
        <is>
          <t>CHOOSE RATING</t>
        </is>
      </c>
      <c r="EA442" s="54" t="inlineStr">
        <is>
          <t>Add the Tutor's Comment . . .</t>
        </is>
      </c>
      <c r="EB442" s="55" t="inlineStr">
        <is>
          <t>Choose Principals comment</t>
        </is>
      </c>
      <c r="EC442" s="56" t="n"/>
      <c r="ED442" s="57" t="inlineStr">
        <is>
          <t>Next Term Begins on Monday, 22nd September, 2025</t>
        </is>
      </c>
    </row>
    <row r="443" ht="30.6" customHeight="1" s="6">
      <c r="A443" s="18" t="n">
        <v>440</v>
      </c>
      <c r="B443" s="19" t="n"/>
      <c r="C443" s="20" t="n"/>
      <c r="D443" s="128" t="n"/>
      <c r="E443" s="21" t="n"/>
      <c r="F443" s="22" t="n"/>
      <c r="G443" s="22" t="n"/>
      <c r="H443" s="22" t="n"/>
      <c r="I443" s="26">
        <f>G443-H443</f>
        <v/>
      </c>
      <c r="J443" s="21" t="n"/>
      <c r="K443" s="21" t="n"/>
      <c r="L443" s="27">
        <f>SUM(J443:K443)</f>
        <v/>
      </c>
      <c r="M443" s="28" t="n"/>
      <c r="N443" s="28" t="n"/>
      <c r="O443" s="29">
        <f>IF(AND(L443=0,M443=0,N443=0),0,IF(AND(L443=0,M443=0),N443/1,IF(AND(L443=0,N443=0),M443/1,IF(AND(M443=0,N443=0),L443/1,IF(L443=0,FLOOR((M443+N443)/2,0.1),IF(M443=0,(L443+N443)/2,IF(N443=0,(M443+L443)/2,FLOOR(((L443+M443+N443)/3),0.1))))))))</f>
        <v/>
      </c>
      <c r="P443" s="21" t="n"/>
      <c r="Q443" s="21" t="n"/>
      <c r="R443" s="27">
        <f>SUM(P443:Q443)</f>
        <v/>
      </c>
      <c r="S443" s="28" t="n"/>
      <c r="T443" s="28" t="n"/>
      <c r="U443" s="29">
        <f>IF(AND(R443=0,S443=0,T443=0),0,IF(AND(R443=0,S443=0),T443/1,IF(AND(R443=0,T443=0),S443/1,IF(AND(S443=0,T443=0),R443/1,IF(R443=0,FLOOR((S443+T443)/2,0.1),IF(S443=0,(R443+T443)/2,IF(T443=0,(S443+R443)/2,FLOOR(((R443+S443+T443)/3),0.1))))))))</f>
        <v/>
      </c>
      <c r="V443" s="21" t="n"/>
      <c r="W443" s="21" t="n"/>
      <c r="X443" s="27">
        <f>SUM(V443:W443)</f>
        <v/>
      </c>
      <c r="Y443" s="28" t="n"/>
      <c r="Z443" s="28" t="n"/>
      <c r="AA443" s="29">
        <f>IF(AND(X443=0,Y443=0,Z443=0),0,IF(AND(X443=0,Y443=0),Z443/1,IF(AND(X443=0,Z443=0),Y443/1,IF(AND(Y443=0,Z443=0),X443/1,IF(X443=0,FLOOR((Y443+Z443)/2,0.1),IF(Y443=0,(X443+Z443)/2,IF(Z443=0,(Y443+X443)/2,FLOOR(((X443+Y443+Z443)/3),0.1))))))))</f>
        <v/>
      </c>
      <c r="AB443" s="21" t="n"/>
      <c r="AC443" s="21" t="n"/>
      <c r="AD443" s="27">
        <f>SUM(AB443:AC443)</f>
        <v/>
      </c>
      <c r="AE443" s="28" t="n"/>
      <c r="AF443" s="28" t="n"/>
      <c r="AG443" s="29">
        <f>IF(AND(AD443=0,AE443=0,AF443=0),0,IF(AND(AD443=0,AE443=0),AF443/1,IF(AND(AD443=0,AF443=0),AE443/1,IF(AND(AE443=0,AF443=0),AD443/1,IF(AD443=0,FLOOR((AE443+AF443)/2,0.1),IF(AE443=0,(AD443+AF443)/2,IF(AF443=0,(AE443+AD443)/2,FLOOR(((AD443+AE443+AF443)/3),0.1))))))))</f>
        <v/>
      </c>
      <c r="AH443" s="21" t="n"/>
      <c r="AI443" s="21" t="n"/>
      <c r="AJ443" s="27">
        <f>SUM(AH443:AI443)</f>
        <v/>
      </c>
      <c r="AK443" s="28" t="n"/>
      <c r="AL443" s="28" t="n"/>
      <c r="AM443" s="29">
        <f>IF(AND(AJ443=0,AK443=0,AL443=0),0,IF(AND(AJ443=0,AK443=0),AL443/1,IF(AND(AJ443=0,AL443=0),AK443/1,IF(AND(AK443=0,AL443=0),AJ443/1,IF(AJ443=0,FLOOR((AK443+AL443)/2,0.1),IF(AK443=0,(AJ443+AL443)/2,IF(AL443=0,(AK443+AJ443)/2,FLOOR(((AJ443+AK443+AL443)/3),0.1))))))))</f>
        <v/>
      </c>
      <c r="AN443" s="21" t="n"/>
      <c r="AO443" s="21" t="n"/>
      <c r="AP443" s="27">
        <f>SUM(AN443:AO443)</f>
        <v/>
      </c>
      <c r="AQ443" s="28" t="n"/>
      <c r="AR443" s="30" t="n"/>
      <c r="AS443" s="29">
        <f>IF(AND(AP443=0,AQ443=0,AR443=0),0,IF(AND(AP443=0,AQ443=0),AR443/1,IF(AND(AP443=0,AR443=0),AQ443/1,IF(AND(AQ443=0,AR443=0),AP443/1,IF(AP443=0,FLOOR((AQ443+AR443)/2,0.1),IF(AQ443=0,(AP443+AR443)/2,IF(AR443=0,(AQ443+AP443)/2,FLOOR(((AP443+AQ443+AR443)/3),0.1))))))))</f>
        <v/>
      </c>
      <c r="AT443" s="21" t="n"/>
      <c r="AU443" s="21" t="n"/>
      <c r="AV443" s="27">
        <f>SUM(AT443:AU443)</f>
        <v/>
      </c>
      <c r="AW443" s="28" t="n"/>
      <c r="AX443" s="30" t="n"/>
      <c r="AY443" s="29">
        <f>IF(AND(AV443=0,AW443=0,AX443=0),0,IF(AND(AV443=0,AW443=0),AX443/1,IF(AND(AV443=0,AX443=0),AW443/1,IF(AND(AW443=0,AX443=0),AV443/1,IF(AV443=0,FLOOR((AW443+AX443)/2,0.1),IF(AW443=0,(AV443+AX443)/2,IF(AX443=0,(AW443+AV443)/2,FLOOR(((AV443+AW443+AX443)/3),0.1))))))))</f>
        <v/>
      </c>
      <c r="AZ443" s="21" t="n"/>
      <c r="BA443" s="21" t="n"/>
      <c r="BB443" s="27">
        <f>SUM(AZ443:BA443)</f>
        <v/>
      </c>
      <c r="BC443" s="28" t="n"/>
      <c r="BD443" s="28" t="n"/>
      <c r="BE443" s="29">
        <f>IF(AND(BB443=0,BC443=0,BD443=0),0,IF(AND(BB443=0,BC443=0),BD443/1,IF(AND(BB443=0,BD443=0),BC443/1,IF(AND(BC443=0,BD443=0),BB443/1,IF(BB443=0,FLOOR((BC443+BD443)/2,0.1),IF(BC443=0,(BB443+BD443)/2,IF(BD443=0,(BC443+BB443)/2,FLOOR(((BB443+BC443+BD443)/3),0.1))))))))</f>
        <v/>
      </c>
      <c r="BF443" s="21" t="n"/>
      <c r="BG443" s="21" t="n"/>
      <c r="BH443" s="27">
        <f>SUM(BF443:BG443)</f>
        <v/>
      </c>
      <c r="BI443" s="28" t="n"/>
      <c r="BJ443" s="28" t="n"/>
      <c r="BK443" s="29">
        <f>IF(AND(BH443=0,BI443=0,BJ443=0),0,IF(AND(BH443=0,BI443=0),BJ443/1,IF(AND(BH443=0,BJ443=0),BI443/1,IF(AND(BI443=0,BJ443=0),BH443/1,IF(BH443=0,FLOOR((BI443+BJ443)/2,0.1),IF(BI443=0,(BH443+BJ443)/2,IF(BJ443=0,(BI443+BH443)/2,FLOOR(((BH443+BI443+BJ443)/3),0.1))))))))</f>
        <v/>
      </c>
      <c r="BL443" s="21" t="n"/>
      <c r="BM443" s="21" t="n"/>
      <c r="BN443" s="27">
        <f>SUM(BL443:BM443)</f>
        <v/>
      </c>
      <c r="BO443" s="28" t="n"/>
      <c r="BP443" s="31" t="n"/>
      <c r="BQ443" s="29">
        <f>IF(AND(BN443=0,BO443=0,BP443=0),0,IF(AND(BN443=0,BO443=0),BP443/1,IF(AND(BN443=0,BP443=0),BO443/1,IF(AND(BO443=0,BP443=0),BN443/1,IF(BN443=0,FLOOR((BO443+BP443)/2,0.1),IF(BO443=0,(BN443+BP443)/2,IF(BP443=0,(BO443+BN443)/2,FLOOR(((BN443+BO443+BP443)/3),0.1))))))))</f>
        <v/>
      </c>
      <c r="BR443" s="21" t="n"/>
      <c r="BS443" s="21" t="n"/>
      <c r="BT443" s="27">
        <f>SUM(BR443:BS443)</f>
        <v/>
      </c>
      <c r="BU443" s="28" t="n"/>
      <c r="BV443" s="31" t="n"/>
      <c r="BW443" s="29">
        <f>IF(AND(BT443=0,BU443=0,BV443=0),0,IF(AND(BT443=0,BU443=0),BV443/1,IF(AND(BT443=0,BV443=0),BU443/1,IF(AND(BU443=0,BV443=0),BT443/1,IF(BT443=0,FLOOR((BU443+BV443)/2,0.1),IF(BU443=0,(BT443+BV443)/2,IF(BV443=0,(BU443+BT443)/2,FLOOR(((BT443+BU443+BV443)/3),0.1))))))))</f>
        <v/>
      </c>
      <c r="BX443" s="21" t="n"/>
      <c r="BY443" s="21" t="n"/>
      <c r="BZ443" s="27">
        <f>SUM(BX443:BY443)</f>
        <v/>
      </c>
      <c r="CA443" s="28" t="n"/>
      <c r="CB443" s="31" t="n"/>
      <c r="CC443" s="29">
        <f>IF(AND(BZ443=0,CA443=0,CB443=0),0,IF(AND(BZ443=0,CA443=0),CB443/1,IF(AND(BZ443=0,CB443=0),CA443/1,IF(AND(CA443=0,CB443=0),BZ443/1,IF(BZ443=0,FLOOR((CA443+CB443)/2,0.1),IF(CA443=0,(BZ443+CB443)/2,IF(CB443=0,(CA443+BZ443)/2,FLOOR(((BZ443+CA443+CB443)/3),0.1))))))))</f>
        <v/>
      </c>
      <c r="CD443" s="21" t="n"/>
      <c r="CE443" s="21" t="n"/>
      <c r="CF443" s="27">
        <f>SUM(CD443:CE443)</f>
        <v/>
      </c>
      <c r="CG443" s="28" t="n"/>
      <c r="CH443" s="31" t="n"/>
      <c r="CI443" s="29">
        <f>IF(AND(CF443=0,CG443=0,CH443=0),0,IF(AND(CF443=0,CG443=0),CH443/1,IF(AND(CF443=0,CH443=0),CG443/1,IF(AND(CG443=0,CH443=0),CF443/1,IF(CF443=0,FLOOR((CG443+CH443)/2,0.1),IF(CG443=0,(CF443+CH443)/2,IF(CH443=0,(CG443+CF443)/2,FLOOR(((CF443+CG443+CH443)/3),0.1))))))))</f>
        <v/>
      </c>
      <c r="CJ443" s="21" t="n"/>
      <c r="CK443" s="21" t="n"/>
      <c r="CL443" s="27">
        <f>SUM(CJ443:CK443)</f>
        <v/>
      </c>
      <c r="CM443" s="28" t="n"/>
      <c r="CN443" s="31" t="n"/>
      <c r="CO443" s="29">
        <f>IF(AND(CL443=0,CM443=0,CN443=0),0,IF(AND(CL443=0,CM443=0),CN443/1,IF(AND(CL443=0,CN443=0),CM443/1,IF(AND(CM443=0,CN443=0),CL443/1,IF(CL443=0,FLOOR((CM443+CN443)/2,0.1),IF(CM443=0,(CL443+CN443)/2,IF(CN443=0,(CM443+CL443)/2,FLOOR(((CL443+CM443+CN443)/3),0.1))))))))</f>
        <v/>
      </c>
      <c r="CP443" s="21" t="n"/>
      <c r="CQ443" s="21" t="n"/>
      <c r="CR443" s="27">
        <f>SUM(CP443:CQ443)</f>
        <v/>
      </c>
      <c r="CS443" s="28" t="n"/>
      <c r="CT443" s="31" t="n"/>
      <c r="CU443" s="29">
        <f>IF(AND(CR443=0,CS443=0,CT443=0),0,IF(AND(CR443=0,CS443=0),CT443/1,IF(AND(CR443=0,CT443=0),CS443/1,IF(AND(CS443=0,CT443=0),CR443/1,IF(CR443=0,FLOOR((CS443+CT443)/2,0.1),IF(CS443=0,(CR443+CT443)/2,IF(CT443=0,(CS443+CR443)/2,FLOOR(((CR443+CS443+CT443)/3),0.1))))))))</f>
        <v/>
      </c>
      <c r="CV443" s="21" t="n"/>
      <c r="CW443" s="21" t="n"/>
      <c r="CX443" s="27">
        <f>SUM(CV443:CW443)</f>
        <v/>
      </c>
      <c r="CY443" s="28" t="n"/>
      <c r="CZ443" s="31" t="n"/>
      <c r="DA443" s="29">
        <f>IF(AND(CX443=0,CY443=0,CZ443=0),0,IF(AND(CX443=0,CY443=0),CZ443/1,IF(AND(CX443=0,CZ443=0),CY443/1,IF(AND(CY443=0,CZ443=0),CX443/1,IF(CX443=0,FLOOR((CY443+CZ443)/2,0.1),IF(CY443=0,(CX443+CZ443)/2,IF(CZ443=0,(CY443+CX443)/2,FLOOR(((CX443+CY443+CZ443)/3),0.1))))))))</f>
        <v/>
      </c>
      <c r="DB443" s="21" t="n"/>
      <c r="DC443" s="21" t="n"/>
      <c r="DD443" s="27">
        <f>SUM(DB443:DC443)</f>
        <v/>
      </c>
      <c r="DE443" s="28" t="n"/>
      <c r="DF443" s="31" t="n"/>
      <c r="DG443" s="29">
        <f>IF(AND(DD443=0,DE443=0,DF443=0),0,IF(AND(DD443=0,DE443=0),DF443/1,IF(AND(DD443=0,DF443=0),DE443/1,IF(AND(DE443=0,DF443=0),DD443/1,IF(DD443=0,FLOOR((DE443+DF443)/2,0.1),IF(DE443=0,(DD443+DF443)/2,IF(DF443=0,(DE443+DD443)/2,FLOOR(((DD443+DE443+DF443)/3),0.1))))))))</f>
        <v/>
      </c>
      <c r="DH443" s="34">
        <f>SUM(O443,U443,AA443,AG443,AM443,AS443,AY443,BE443,BK443,BQ443,BW443,CC443,CI443,CO443,CU443,DA443,DG443)</f>
        <v/>
      </c>
      <c r="DI443" s="39">
        <f>RANK(DH443,DH$4:DH$503)</f>
        <v/>
      </c>
      <c r="DJ443" s="40" t="inlineStr">
        <is>
          <t>CHOOSE RATING</t>
        </is>
      </c>
      <c r="DK443" s="40" t="inlineStr">
        <is>
          <t>CHOOSE RATING</t>
        </is>
      </c>
      <c r="DL443" s="40" t="inlineStr">
        <is>
          <t>CHOOSE RATING</t>
        </is>
      </c>
      <c r="DM443" s="40" t="inlineStr">
        <is>
          <t>CHOOSE RATING</t>
        </is>
      </c>
      <c r="DN443" s="40" t="inlineStr">
        <is>
          <t>CHOOSE RATING</t>
        </is>
      </c>
      <c r="DO443" s="40" t="inlineStr">
        <is>
          <t>CHOOSE RATING</t>
        </is>
      </c>
      <c r="DP443" s="40" t="inlineStr">
        <is>
          <t>CHOOSE RATING</t>
        </is>
      </c>
      <c r="DQ443" s="40" t="inlineStr">
        <is>
          <t>CHOOSE RATING</t>
        </is>
      </c>
      <c r="DR443" s="43" t="inlineStr">
        <is>
          <t>2024/2025</t>
        </is>
      </c>
      <c r="DS443" s="45" t="inlineStr">
        <is>
          <t>THIRD</t>
        </is>
      </c>
      <c r="DT443" s="40" t="inlineStr">
        <is>
          <t>CHOOSE RATING</t>
        </is>
      </c>
      <c r="DU443" s="40" t="inlineStr">
        <is>
          <t>CHOOSE RATING</t>
        </is>
      </c>
      <c r="DV443" s="40" t="inlineStr">
        <is>
          <t>CHOOSE RATING</t>
        </is>
      </c>
      <c r="DW443" s="40" t="inlineStr">
        <is>
          <t>CHOOSE RATING</t>
        </is>
      </c>
      <c r="DX443" s="40" t="inlineStr">
        <is>
          <t>CHOOSE RATING</t>
        </is>
      </c>
      <c r="DY443" s="40" t="inlineStr">
        <is>
          <t>CHOOSE RATING</t>
        </is>
      </c>
      <c r="DZ443" s="53" t="inlineStr">
        <is>
          <t>CHOOSE RATING</t>
        </is>
      </c>
      <c r="EA443" s="54" t="inlineStr">
        <is>
          <t>Add the Tutor's Comment . . .</t>
        </is>
      </c>
      <c r="EB443" s="55" t="inlineStr">
        <is>
          <t>Choose Principals comment</t>
        </is>
      </c>
      <c r="EC443" s="56" t="n"/>
      <c r="ED443" s="57" t="inlineStr">
        <is>
          <t>Next Term Begins on Monday, 22nd September, 2025</t>
        </is>
      </c>
    </row>
    <row r="444" ht="30.6" customHeight="1" s="6">
      <c r="A444" s="18" t="n">
        <v>441</v>
      </c>
      <c r="B444" s="19" t="n"/>
      <c r="C444" s="20" t="n"/>
      <c r="D444" s="128" t="n"/>
      <c r="E444" s="21" t="n"/>
      <c r="F444" s="22" t="n"/>
      <c r="G444" s="22" t="n"/>
      <c r="H444" s="22" t="n"/>
      <c r="I444" s="26">
        <f>G444-H444</f>
        <v/>
      </c>
      <c r="J444" s="21" t="n"/>
      <c r="K444" s="21" t="n"/>
      <c r="L444" s="27">
        <f>SUM(J444:K444)</f>
        <v/>
      </c>
      <c r="M444" s="28" t="n"/>
      <c r="N444" s="28" t="n"/>
      <c r="O444" s="29">
        <f>IF(AND(L444=0,M444=0,N444=0),0,IF(AND(L444=0,M444=0),N444/1,IF(AND(L444=0,N444=0),M444/1,IF(AND(M444=0,N444=0),L444/1,IF(L444=0,FLOOR((M444+N444)/2,0.1),IF(M444=0,(L444+N444)/2,IF(N444=0,(M444+L444)/2,FLOOR(((L444+M444+N444)/3),0.1))))))))</f>
        <v/>
      </c>
      <c r="P444" s="21" t="n"/>
      <c r="Q444" s="21" t="n"/>
      <c r="R444" s="27">
        <f>SUM(P444:Q444)</f>
        <v/>
      </c>
      <c r="S444" s="28" t="n"/>
      <c r="T444" s="28" t="n"/>
      <c r="U444" s="29">
        <f>IF(AND(R444=0,S444=0,T444=0),0,IF(AND(R444=0,S444=0),T444/1,IF(AND(R444=0,T444=0),S444/1,IF(AND(S444=0,T444=0),R444/1,IF(R444=0,FLOOR((S444+T444)/2,0.1),IF(S444=0,(R444+T444)/2,IF(T444=0,(S444+R444)/2,FLOOR(((R444+S444+T444)/3),0.1))))))))</f>
        <v/>
      </c>
      <c r="V444" s="21" t="n"/>
      <c r="W444" s="21" t="n"/>
      <c r="X444" s="27">
        <f>SUM(V444:W444)</f>
        <v/>
      </c>
      <c r="Y444" s="28" t="n"/>
      <c r="Z444" s="28" t="n"/>
      <c r="AA444" s="29">
        <f>IF(AND(X444=0,Y444=0,Z444=0),0,IF(AND(X444=0,Y444=0),Z444/1,IF(AND(X444=0,Z444=0),Y444/1,IF(AND(Y444=0,Z444=0),X444/1,IF(X444=0,FLOOR((Y444+Z444)/2,0.1),IF(Y444=0,(X444+Z444)/2,IF(Z444=0,(Y444+X444)/2,FLOOR(((X444+Y444+Z444)/3),0.1))))))))</f>
        <v/>
      </c>
      <c r="AB444" s="21" t="n"/>
      <c r="AC444" s="21" t="n"/>
      <c r="AD444" s="27">
        <f>SUM(AB444:AC444)</f>
        <v/>
      </c>
      <c r="AE444" s="28" t="n"/>
      <c r="AF444" s="28" t="n"/>
      <c r="AG444" s="29">
        <f>IF(AND(AD444=0,AE444=0,AF444=0),0,IF(AND(AD444=0,AE444=0),AF444/1,IF(AND(AD444=0,AF444=0),AE444/1,IF(AND(AE444=0,AF444=0),AD444/1,IF(AD444=0,FLOOR((AE444+AF444)/2,0.1),IF(AE444=0,(AD444+AF444)/2,IF(AF444=0,(AE444+AD444)/2,FLOOR(((AD444+AE444+AF444)/3),0.1))))))))</f>
        <v/>
      </c>
      <c r="AH444" s="21" t="n"/>
      <c r="AI444" s="21" t="n"/>
      <c r="AJ444" s="27">
        <f>SUM(AH444:AI444)</f>
        <v/>
      </c>
      <c r="AK444" s="28" t="n"/>
      <c r="AL444" s="28" t="n"/>
      <c r="AM444" s="29">
        <f>IF(AND(AJ444=0,AK444=0,AL444=0),0,IF(AND(AJ444=0,AK444=0),AL444/1,IF(AND(AJ444=0,AL444=0),AK444/1,IF(AND(AK444=0,AL444=0),AJ444/1,IF(AJ444=0,FLOOR((AK444+AL444)/2,0.1),IF(AK444=0,(AJ444+AL444)/2,IF(AL444=0,(AK444+AJ444)/2,FLOOR(((AJ444+AK444+AL444)/3),0.1))))))))</f>
        <v/>
      </c>
      <c r="AN444" s="21" t="n"/>
      <c r="AO444" s="21" t="n"/>
      <c r="AP444" s="27">
        <f>SUM(AN444:AO444)</f>
        <v/>
      </c>
      <c r="AQ444" s="28" t="n"/>
      <c r="AR444" s="30" t="n"/>
      <c r="AS444" s="29">
        <f>IF(AND(AP444=0,AQ444=0,AR444=0),0,IF(AND(AP444=0,AQ444=0),AR444/1,IF(AND(AP444=0,AR444=0),AQ444/1,IF(AND(AQ444=0,AR444=0),AP444/1,IF(AP444=0,FLOOR((AQ444+AR444)/2,0.1),IF(AQ444=0,(AP444+AR444)/2,IF(AR444=0,(AQ444+AP444)/2,FLOOR(((AP444+AQ444+AR444)/3),0.1))))))))</f>
        <v/>
      </c>
      <c r="AT444" s="21" t="n"/>
      <c r="AU444" s="21" t="n"/>
      <c r="AV444" s="27">
        <f>SUM(AT444:AU444)</f>
        <v/>
      </c>
      <c r="AW444" s="28" t="n"/>
      <c r="AX444" s="30" t="n"/>
      <c r="AY444" s="29">
        <f>IF(AND(AV444=0,AW444=0,AX444=0),0,IF(AND(AV444=0,AW444=0),AX444/1,IF(AND(AV444=0,AX444=0),AW444/1,IF(AND(AW444=0,AX444=0),AV444/1,IF(AV444=0,FLOOR((AW444+AX444)/2,0.1),IF(AW444=0,(AV444+AX444)/2,IF(AX444=0,(AW444+AV444)/2,FLOOR(((AV444+AW444+AX444)/3),0.1))))))))</f>
        <v/>
      </c>
      <c r="AZ444" s="21" t="n"/>
      <c r="BA444" s="21" t="n"/>
      <c r="BB444" s="27">
        <f>SUM(AZ444:BA444)</f>
        <v/>
      </c>
      <c r="BC444" s="28" t="n"/>
      <c r="BD444" s="28" t="n"/>
      <c r="BE444" s="29">
        <f>IF(AND(BB444=0,BC444=0,BD444=0),0,IF(AND(BB444=0,BC444=0),BD444/1,IF(AND(BB444=0,BD444=0),BC444/1,IF(AND(BC444=0,BD444=0),BB444/1,IF(BB444=0,FLOOR((BC444+BD444)/2,0.1),IF(BC444=0,(BB444+BD444)/2,IF(BD444=0,(BC444+BB444)/2,FLOOR(((BB444+BC444+BD444)/3),0.1))))))))</f>
        <v/>
      </c>
      <c r="BF444" s="21" t="n"/>
      <c r="BG444" s="21" t="n"/>
      <c r="BH444" s="27">
        <f>SUM(BF444:BG444)</f>
        <v/>
      </c>
      <c r="BI444" s="28" t="n"/>
      <c r="BJ444" s="28" t="n"/>
      <c r="BK444" s="29">
        <f>IF(AND(BH444=0,BI444=0,BJ444=0),0,IF(AND(BH444=0,BI444=0),BJ444/1,IF(AND(BH444=0,BJ444=0),BI444/1,IF(AND(BI444=0,BJ444=0),BH444/1,IF(BH444=0,FLOOR((BI444+BJ444)/2,0.1),IF(BI444=0,(BH444+BJ444)/2,IF(BJ444=0,(BI444+BH444)/2,FLOOR(((BH444+BI444+BJ444)/3),0.1))))))))</f>
        <v/>
      </c>
      <c r="BL444" s="21" t="n"/>
      <c r="BM444" s="21" t="n"/>
      <c r="BN444" s="27">
        <f>SUM(BL444:BM444)</f>
        <v/>
      </c>
      <c r="BO444" s="28" t="n"/>
      <c r="BP444" s="31" t="n"/>
      <c r="BQ444" s="29">
        <f>IF(AND(BN444=0,BO444=0,BP444=0),0,IF(AND(BN444=0,BO444=0),BP444/1,IF(AND(BN444=0,BP444=0),BO444/1,IF(AND(BO444=0,BP444=0),BN444/1,IF(BN444=0,FLOOR((BO444+BP444)/2,0.1),IF(BO444=0,(BN444+BP444)/2,IF(BP444=0,(BO444+BN444)/2,FLOOR(((BN444+BO444+BP444)/3),0.1))))))))</f>
        <v/>
      </c>
      <c r="BR444" s="21" t="n"/>
      <c r="BS444" s="21" t="n"/>
      <c r="BT444" s="27">
        <f>SUM(BR444:BS444)</f>
        <v/>
      </c>
      <c r="BU444" s="28" t="n"/>
      <c r="BV444" s="31" t="n"/>
      <c r="BW444" s="29">
        <f>IF(AND(BT444=0,BU444=0,BV444=0),0,IF(AND(BT444=0,BU444=0),BV444/1,IF(AND(BT444=0,BV444=0),BU444/1,IF(AND(BU444=0,BV444=0),BT444/1,IF(BT444=0,FLOOR((BU444+BV444)/2,0.1),IF(BU444=0,(BT444+BV444)/2,IF(BV444=0,(BU444+BT444)/2,FLOOR(((BT444+BU444+BV444)/3),0.1))))))))</f>
        <v/>
      </c>
      <c r="BX444" s="21" t="n"/>
      <c r="BY444" s="21" t="n"/>
      <c r="BZ444" s="27">
        <f>SUM(BX444:BY444)</f>
        <v/>
      </c>
      <c r="CA444" s="28" t="n"/>
      <c r="CB444" s="31" t="n"/>
      <c r="CC444" s="29">
        <f>IF(AND(BZ444=0,CA444=0,CB444=0),0,IF(AND(BZ444=0,CA444=0),CB444/1,IF(AND(BZ444=0,CB444=0),CA444/1,IF(AND(CA444=0,CB444=0),BZ444/1,IF(BZ444=0,FLOOR((CA444+CB444)/2,0.1),IF(CA444=0,(BZ444+CB444)/2,IF(CB444=0,(CA444+BZ444)/2,FLOOR(((BZ444+CA444+CB444)/3),0.1))))))))</f>
        <v/>
      </c>
      <c r="CD444" s="21" t="n"/>
      <c r="CE444" s="21" t="n"/>
      <c r="CF444" s="27">
        <f>SUM(CD444:CE444)</f>
        <v/>
      </c>
      <c r="CG444" s="28" t="n"/>
      <c r="CH444" s="31" t="n"/>
      <c r="CI444" s="29">
        <f>IF(AND(CF444=0,CG444=0,CH444=0),0,IF(AND(CF444=0,CG444=0),CH444/1,IF(AND(CF444=0,CH444=0),CG444/1,IF(AND(CG444=0,CH444=0),CF444/1,IF(CF444=0,FLOOR((CG444+CH444)/2,0.1),IF(CG444=0,(CF444+CH444)/2,IF(CH444=0,(CG444+CF444)/2,FLOOR(((CF444+CG444+CH444)/3),0.1))))))))</f>
        <v/>
      </c>
      <c r="CJ444" s="21" t="n"/>
      <c r="CK444" s="21" t="n"/>
      <c r="CL444" s="27">
        <f>SUM(CJ444:CK444)</f>
        <v/>
      </c>
      <c r="CM444" s="28" t="n"/>
      <c r="CN444" s="31" t="n"/>
      <c r="CO444" s="29">
        <f>IF(AND(CL444=0,CM444=0,CN444=0),0,IF(AND(CL444=0,CM444=0),CN444/1,IF(AND(CL444=0,CN444=0),CM444/1,IF(AND(CM444=0,CN444=0),CL444/1,IF(CL444=0,FLOOR((CM444+CN444)/2,0.1),IF(CM444=0,(CL444+CN444)/2,IF(CN444=0,(CM444+CL444)/2,FLOOR(((CL444+CM444+CN444)/3),0.1))))))))</f>
        <v/>
      </c>
      <c r="CP444" s="21" t="n"/>
      <c r="CQ444" s="21" t="n"/>
      <c r="CR444" s="27">
        <f>SUM(CP444:CQ444)</f>
        <v/>
      </c>
      <c r="CS444" s="28" t="n"/>
      <c r="CT444" s="31" t="n"/>
      <c r="CU444" s="29">
        <f>IF(AND(CR444=0,CS444=0,CT444=0),0,IF(AND(CR444=0,CS444=0),CT444/1,IF(AND(CR444=0,CT444=0),CS444/1,IF(AND(CS444=0,CT444=0),CR444/1,IF(CR444=0,FLOOR((CS444+CT444)/2,0.1),IF(CS444=0,(CR444+CT444)/2,IF(CT444=0,(CS444+CR444)/2,FLOOR(((CR444+CS444+CT444)/3),0.1))))))))</f>
        <v/>
      </c>
      <c r="CV444" s="21" t="n"/>
      <c r="CW444" s="21" t="n"/>
      <c r="CX444" s="27">
        <f>SUM(CV444:CW444)</f>
        <v/>
      </c>
      <c r="CY444" s="28" t="n"/>
      <c r="CZ444" s="31" t="n"/>
      <c r="DA444" s="29">
        <f>IF(AND(CX444=0,CY444=0,CZ444=0),0,IF(AND(CX444=0,CY444=0),CZ444/1,IF(AND(CX444=0,CZ444=0),CY444/1,IF(AND(CY444=0,CZ444=0),CX444/1,IF(CX444=0,FLOOR((CY444+CZ444)/2,0.1),IF(CY444=0,(CX444+CZ444)/2,IF(CZ444=0,(CY444+CX444)/2,FLOOR(((CX444+CY444+CZ444)/3),0.1))))))))</f>
        <v/>
      </c>
      <c r="DB444" s="21" t="n"/>
      <c r="DC444" s="21" t="n"/>
      <c r="DD444" s="27">
        <f>SUM(DB444:DC444)</f>
        <v/>
      </c>
      <c r="DE444" s="28" t="n"/>
      <c r="DF444" s="31" t="n"/>
      <c r="DG444" s="29">
        <f>IF(AND(DD444=0,DE444=0,DF444=0),0,IF(AND(DD444=0,DE444=0),DF444/1,IF(AND(DD444=0,DF444=0),DE444/1,IF(AND(DE444=0,DF444=0),DD444/1,IF(DD444=0,FLOOR((DE444+DF444)/2,0.1),IF(DE444=0,(DD444+DF444)/2,IF(DF444=0,(DE444+DD444)/2,FLOOR(((DD444+DE444+DF444)/3),0.1))))))))</f>
        <v/>
      </c>
      <c r="DH444" s="34">
        <f>SUM(O444,U444,AA444,AG444,AM444,AS444,AY444,BE444,BK444,BQ444,BW444,CC444,CI444,CO444,CU444,DA444,DG444)</f>
        <v/>
      </c>
      <c r="DI444" s="39">
        <f>RANK(DH444,DH$4:DH$503)</f>
        <v/>
      </c>
      <c r="DJ444" s="40" t="inlineStr">
        <is>
          <t>CHOOSE RATING</t>
        </is>
      </c>
      <c r="DK444" s="40" t="inlineStr">
        <is>
          <t>CHOOSE RATING</t>
        </is>
      </c>
      <c r="DL444" s="40" t="inlineStr">
        <is>
          <t>CHOOSE RATING</t>
        </is>
      </c>
      <c r="DM444" s="40" t="inlineStr">
        <is>
          <t>CHOOSE RATING</t>
        </is>
      </c>
      <c r="DN444" s="40" t="inlineStr">
        <is>
          <t>CHOOSE RATING</t>
        </is>
      </c>
      <c r="DO444" s="40" t="inlineStr">
        <is>
          <t>CHOOSE RATING</t>
        </is>
      </c>
      <c r="DP444" s="40" t="inlineStr">
        <is>
          <t>CHOOSE RATING</t>
        </is>
      </c>
      <c r="DQ444" s="40" t="inlineStr">
        <is>
          <t>CHOOSE RATING</t>
        </is>
      </c>
      <c r="DR444" s="43" t="inlineStr">
        <is>
          <t>2024/2025</t>
        </is>
      </c>
      <c r="DS444" s="45" t="inlineStr">
        <is>
          <t>THIRD</t>
        </is>
      </c>
      <c r="DT444" s="40" t="inlineStr">
        <is>
          <t>CHOOSE RATING</t>
        </is>
      </c>
      <c r="DU444" s="40" t="inlineStr">
        <is>
          <t>CHOOSE RATING</t>
        </is>
      </c>
      <c r="DV444" s="40" t="inlineStr">
        <is>
          <t>CHOOSE RATING</t>
        </is>
      </c>
      <c r="DW444" s="40" t="inlineStr">
        <is>
          <t>CHOOSE RATING</t>
        </is>
      </c>
      <c r="DX444" s="40" t="inlineStr">
        <is>
          <t>CHOOSE RATING</t>
        </is>
      </c>
      <c r="DY444" s="40" t="inlineStr">
        <is>
          <t>CHOOSE RATING</t>
        </is>
      </c>
      <c r="DZ444" s="53" t="inlineStr">
        <is>
          <t>CHOOSE RATING</t>
        </is>
      </c>
      <c r="EA444" s="54" t="inlineStr">
        <is>
          <t>Add the Tutor's Comment . . .</t>
        </is>
      </c>
      <c r="EB444" s="55" t="inlineStr">
        <is>
          <t>Choose Principals comment</t>
        </is>
      </c>
      <c r="EC444" s="56" t="n"/>
      <c r="ED444" s="57" t="inlineStr">
        <is>
          <t>Next Term Begins on Monday, 22nd September, 2025</t>
        </is>
      </c>
    </row>
    <row r="445" ht="30.6" customHeight="1" s="6">
      <c r="A445" s="18" t="n">
        <v>442</v>
      </c>
      <c r="B445" s="19" t="n"/>
      <c r="C445" s="20" t="n"/>
      <c r="D445" s="128" t="n"/>
      <c r="E445" s="21" t="n"/>
      <c r="F445" s="22" t="n"/>
      <c r="G445" s="22" t="n"/>
      <c r="H445" s="22" t="n"/>
      <c r="I445" s="26">
        <f>G445-H445</f>
        <v/>
      </c>
      <c r="J445" s="21" t="n"/>
      <c r="K445" s="21" t="n"/>
      <c r="L445" s="27">
        <f>SUM(J445:K445)</f>
        <v/>
      </c>
      <c r="M445" s="28" t="n"/>
      <c r="N445" s="28" t="n"/>
      <c r="O445" s="29">
        <f>IF(AND(L445=0,M445=0,N445=0),0,IF(AND(L445=0,M445=0),N445/1,IF(AND(L445=0,N445=0),M445/1,IF(AND(M445=0,N445=0),L445/1,IF(L445=0,FLOOR((M445+N445)/2,0.1),IF(M445=0,(L445+N445)/2,IF(N445=0,(M445+L445)/2,FLOOR(((L445+M445+N445)/3),0.1))))))))</f>
        <v/>
      </c>
      <c r="P445" s="21" t="n"/>
      <c r="Q445" s="21" t="n"/>
      <c r="R445" s="27">
        <f>SUM(P445:Q445)</f>
        <v/>
      </c>
      <c r="S445" s="28" t="n"/>
      <c r="T445" s="28" t="n"/>
      <c r="U445" s="29">
        <f>IF(AND(R445=0,S445=0,T445=0),0,IF(AND(R445=0,S445=0),T445/1,IF(AND(R445=0,T445=0),S445/1,IF(AND(S445=0,T445=0),R445/1,IF(R445=0,FLOOR((S445+T445)/2,0.1),IF(S445=0,(R445+T445)/2,IF(T445=0,(S445+R445)/2,FLOOR(((R445+S445+T445)/3),0.1))))))))</f>
        <v/>
      </c>
      <c r="V445" s="21" t="n"/>
      <c r="W445" s="21" t="n"/>
      <c r="X445" s="27">
        <f>SUM(V445:W445)</f>
        <v/>
      </c>
      <c r="Y445" s="28" t="n"/>
      <c r="Z445" s="28" t="n"/>
      <c r="AA445" s="29">
        <f>IF(AND(X445=0,Y445=0,Z445=0),0,IF(AND(X445=0,Y445=0),Z445/1,IF(AND(X445=0,Z445=0),Y445/1,IF(AND(Y445=0,Z445=0),X445/1,IF(X445=0,FLOOR((Y445+Z445)/2,0.1),IF(Y445=0,(X445+Z445)/2,IF(Z445=0,(Y445+X445)/2,FLOOR(((X445+Y445+Z445)/3),0.1))))))))</f>
        <v/>
      </c>
      <c r="AB445" s="21" t="n"/>
      <c r="AC445" s="21" t="n"/>
      <c r="AD445" s="27">
        <f>SUM(AB445:AC445)</f>
        <v/>
      </c>
      <c r="AE445" s="28" t="n"/>
      <c r="AF445" s="28" t="n"/>
      <c r="AG445" s="29">
        <f>IF(AND(AD445=0,AE445=0,AF445=0),0,IF(AND(AD445=0,AE445=0),AF445/1,IF(AND(AD445=0,AF445=0),AE445/1,IF(AND(AE445=0,AF445=0),AD445/1,IF(AD445=0,FLOOR((AE445+AF445)/2,0.1),IF(AE445=0,(AD445+AF445)/2,IF(AF445=0,(AE445+AD445)/2,FLOOR(((AD445+AE445+AF445)/3),0.1))))))))</f>
        <v/>
      </c>
      <c r="AH445" s="21" t="n"/>
      <c r="AI445" s="21" t="n"/>
      <c r="AJ445" s="27">
        <f>SUM(AH445:AI445)</f>
        <v/>
      </c>
      <c r="AK445" s="28" t="n"/>
      <c r="AL445" s="28" t="n"/>
      <c r="AM445" s="29">
        <f>IF(AND(AJ445=0,AK445=0,AL445=0),0,IF(AND(AJ445=0,AK445=0),AL445/1,IF(AND(AJ445=0,AL445=0),AK445/1,IF(AND(AK445=0,AL445=0),AJ445/1,IF(AJ445=0,FLOOR((AK445+AL445)/2,0.1),IF(AK445=0,(AJ445+AL445)/2,IF(AL445=0,(AK445+AJ445)/2,FLOOR(((AJ445+AK445+AL445)/3),0.1))))))))</f>
        <v/>
      </c>
      <c r="AN445" s="21" t="n"/>
      <c r="AO445" s="21" t="n"/>
      <c r="AP445" s="27">
        <f>SUM(AN445:AO445)</f>
        <v/>
      </c>
      <c r="AQ445" s="28" t="n"/>
      <c r="AR445" s="30" t="n"/>
      <c r="AS445" s="29">
        <f>IF(AND(AP445=0,AQ445=0,AR445=0),0,IF(AND(AP445=0,AQ445=0),AR445/1,IF(AND(AP445=0,AR445=0),AQ445/1,IF(AND(AQ445=0,AR445=0),AP445/1,IF(AP445=0,FLOOR((AQ445+AR445)/2,0.1),IF(AQ445=0,(AP445+AR445)/2,IF(AR445=0,(AQ445+AP445)/2,FLOOR(((AP445+AQ445+AR445)/3),0.1))))))))</f>
        <v/>
      </c>
      <c r="AT445" s="21" t="n"/>
      <c r="AU445" s="21" t="n"/>
      <c r="AV445" s="27">
        <f>SUM(AT445:AU445)</f>
        <v/>
      </c>
      <c r="AW445" s="28" t="n"/>
      <c r="AX445" s="30" t="n"/>
      <c r="AY445" s="29">
        <f>IF(AND(AV445=0,AW445=0,AX445=0),0,IF(AND(AV445=0,AW445=0),AX445/1,IF(AND(AV445=0,AX445=0),AW445/1,IF(AND(AW445=0,AX445=0),AV445/1,IF(AV445=0,FLOOR((AW445+AX445)/2,0.1),IF(AW445=0,(AV445+AX445)/2,IF(AX445=0,(AW445+AV445)/2,FLOOR(((AV445+AW445+AX445)/3),0.1))))))))</f>
        <v/>
      </c>
      <c r="AZ445" s="21" t="n"/>
      <c r="BA445" s="21" t="n"/>
      <c r="BB445" s="27">
        <f>SUM(AZ445:BA445)</f>
        <v/>
      </c>
      <c r="BC445" s="28" t="n"/>
      <c r="BD445" s="28" t="n"/>
      <c r="BE445" s="29">
        <f>IF(AND(BB445=0,BC445=0,BD445=0),0,IF(AND(BB445=0,BC445=0),BD445/1,IF(AND(BB445=0,BD445=0),BC445/1,IF(AND(BC445=0,BD445=0),BB445/1,IF(BB445=0,FLOOR((BC445+BD445)/2,0.1),IF(BC445=0,(BB445+BD445)/2,IF(BD445=0,(BC445+BB445)/2,FLOOR(((BB445+BC445+BD445)/3),0.1))))))))</f>
        <v/>
      </c>
      <c r="BF445" s="21" t="n"/>
      <c r="BG445" s="21" t="n"/>
      <c r="BH445" s="27">
        <f>SUM(BF445:BG445)</f>
        <v/>
      </c>
      <c r="BI445" s="28" t="n"/>
      <c r="BJ445" s="28" t="n"/>
      <c r="BK445" s="29">
        <f>IF(AND(BH445=0,BI445=0,BJ445=0),0,IF(AND(BH445=0,BI445=0),BJ445/1,IF(AND(BH445=0,BJ445=0),BI445/1,IF(AND(BI445=0,BJ445=0),BH445/1,IF(BH445=0,FLOOR((BI445+BJ445)/2,0.1),IF(BI445=0,(BH445+BJ445)/2,IF(BJ445=0,(BI445+BH445)/2,FLOOR(((BH445+BI445+BJ445)/3),0.1))))))))</f>
        <v/>
      </c>
      <c r="BL445" s="21" t="n"/>
      <c r="BM445" s="21" t="n"/>
      <c r="BN445" s="27">
        <f>SUM(BL445:BM445)</f>
        <v/>
      </c>
      <c r="BO445" s="28" t="n"/>
      <c r="BP445" s="31" t="n"/>
      <c r="BQ445" s="29">
        <f>IF(AND(BN445=0,BO445=0,BP445=0),0,IF(AND(BN445=0,BO445=0),BP445/1,IF(AND(BN445=0,BP445=0),BO445/1,IF(AND(BO445=0,BP445=0),BN445/1,IF(BN445=0,FLOOR((BO445+BP445)/2,0.1),IF(BO445=0,(BN445+BP445)/2,IF(BP445=0,(BO445+BN445)/2,FLOOR(((BN445+BO445+BP445)/3),0.1))))))))</f>
        <v/>
      </c>
      <c r="BR445" s="21" t="n"/>
      <c r="BS445" s="21" t="n"/>
      <c r="BT445" s="27">
        <f>SUM(BR445:BS445)</f>
        <v/>
      </c>
      <c r="BU445" s="28" t="n"/>
      <c r="BV445" s="31" t="n"/>
      <c r="BW445" s="29">
        <f>IF(AND(BT445=0,BU445=0,BV445=0),0,IF(AND(BT445=0,BU445=0),BV445/1,IF(AND(BT445=0,BV445=0),BU445/1,IF(AND(BU445=0,BV445=0),BT445/1,IF(BT445=0,FLOOR((BU445+BV445)/2,0.1),IF(BU445=0,(BT445+BV445)/2,IF(BV445=0,(BU445+BT445)/2,FLOOR(((BT445+BU445+BV445)/3),0.1))))))))</f>
        <v/>
      </c>
      <c r="BX445" s="21" t="n"/>
      <c r="BY445" s="21" t="n"/>
      <c r="BZ445" s="27">
        <f>SUM(BX445:BY445)</f>
        <v/>
      </c>
      <c r="CA445" s="28" t="n"/>
      <c r="CB445" s="31" t="n"/>
      <c r="CC445" s="29">
        <f>IF(AND(BZ445=0,CA445=0,CB445=0),0,IF(AND(BZ445=0,CA445=0),CB445/1,IF(AND(BZ445=0,CB445=0),CA445/1,IF(AND(CA445=0,CB445=0),BZ445/1,IF(BZ445=0,FLOOR((CA445+CB445)/2,0.1),IF(CA445=0,(BZ445+CB445)/2,IF(CB445=0,(CA445+BZ445)/2,FLOOR(((BZ445+CA445+CB445)/3),0.1))))))))</f>
        <v/>
      </c>
      <c r="CD445" s="21" t="n"/>
      <c r="CE445" s="21" t="n"/>
      <c r="CF445" s="27">
        <f>SUM(CD445:CE445)</f>
        <v/>
      </c>
      <c r="CG445" s="28" t="n"/>
      <c r="CH445" s="31" t="n"/>
      <c r="CI445" s="29">
        <f>IF(AND(CF445=0,CG445=0,CH445=0),0,IF(AND(CF445=0,CG445=0),CH445/1,IF(AND(CF445=0,CH445=0),CG445/1,IF(AND(CG445=0,CH445=0),CF445/1,IF(CF445=0,FLOOR((CG445+CH445)/2,0.1),IF(CG445=0,(CF445+CH445)/2,IF(CH445=0,(CG445+CF445)/2,FLOOR(((CF445+CG445+CH445)/3),0.1))))))))</f>
        <v/>
      </c>
      <c r="CJ445" s="21" t="n"/>
      <c r="CK445" s="21" t="n"/>
      <c r="CL445" s="27">
        <f>SUM(CJ445:CK445)</f>
        <v/>
      </c>
      <c r="CM445" s="28" t="n"/>
      <c r="CN445" s="31" t="n"/>
      <c r="CO445" s="29">
        <f>IF(AND(CL445=0,CM445=0,CN445=0),0,IF(AND(CL445=0,CM445=0),CN445/1,IF(AND(CL445=0,CN445=0),CM445/1,IF(AND(CM445=0,CN445=0),CL445/1,IF(CL445=0,FLOOR((CM445+CN445)/2,0.1),IF(CM445=0,(CL445+CN445)/2,IF(CN445=0,(CM445+CL445)/2,FLOOR(((CL445+CM445+CN445)/3),0.1))))))))</f>
        <v/>
      </c>
      <c r="CP445" s="21" t="n"/>
      <c r="CQ445" s="21" t="n"/>
      <c r="CR445" s="27">
        <f>SUM(CP445:CQ445)</f>
        <v/>
      </c>
      <c r="CS445" s="28" t="n"/>
      <c r="CT445" s="31" t="n"/>
      <c r="CU445" s="29">
        <f>IF(AND(CR445=0,CS445=0,CT445=0),0,IF(AND(CR445=0,CS445=0),CT445/1,IF(AND(CR445=0,CT445=0),CS445/1,IF(AND(CS445=0,CT445=0),CR445/1,IF(CR445=0,FLOOR((CS445+CT445)/2,0.1),IF(CS445=0,(CR445+CT445)/2,IF(CT445=0,(CS445+CR445)/2,FLOOR(((CR445+CS445+CT445)/3),0.1))))))))</f>
        <v/>
      </c>
      <c r="CV445" s="21" t="n"/>
      <c r="CW445" s="21" t="n"/>
      <c r="CX445" s="27">
        <f>SUM(CV445:CW445)</f>
        <v/>
      </c>
      <c r="CY445" s="28" t="n"/>
      <c r="CZ445" s="31" t="n"/>
      <c r="DA445" s="29">
        <f>IF(AND(CX445=0,CY445=0,CZ445=0),0,IF(AND(CX445=0,CY445=0),CZ445/1,IF(AND(CX445=0,CZ445=0),CY445/1,IF(AND(CY445=0,CZ445=0),CX445/1,IF(CX445=0,FLOOR((CY445+CZ445)/2,0.1),IF(CY445=0,(CX445+CZ445)/2,IF(CZ445=0,(CY445+CX445)/2,FLOOR(((CX445+CY445+CZ445)/3),0.1))))))))</f>
        <v/>
      </c>
      <c r="DB445" s="21" t="n"/>
      <c r="DC445" s="21" t="n"/>
      <c r="DD445" s="27">
        <f>SUM(DB445:DC445)</f>
        <v/>
      </c>
      <c r="DE445" s="28" t="n"/>
      <c r="DF445" s="31" t="n"/>
      <c r="DG445" s="29">
        <f>IF(AND(DD445=0,DE445=0,DF445=0),0,IF(AND(DD445=0,DE445=0),DF445/1,IF(AND(DD445=0,DF445=0),DE445/1,IF(AND(DE445=0,DF445=0),DD445/1,IF(DD445=0,FLOOR((DE445+DF445)/2,0.1),IF(DE445=0,(DD445+DF445)/2,IF(DF445=0,(DE445+DD445)/2,FLOOR(((DD445+DE445+DF445)/3),0.1))))))))</f>
        <v/>
      </c>
      <c r="DH445" s="34">
        <f>SUM(O445,U445,AA445,AG445,AM445,AS445,AY445,BE445,BK445,BQ445,BW445,CC445,CI445,CO445,CU445,DA445,DG445)</f>
        <v/>
      </c>
      <c r="DI445" s="39">
        <f>RANK(DH445,DH$4:DH$503)</f>
        <v/>
      </c>
      <c r="DJ445" s="40" t="inlineStr">
        <is>
          <t>CHOOSE RATING</t>
        </is>
      </c>
      <c r="DK445" s="40" t="inlineStr">
        <is>
          <t>CHOOSE RATING</t>
        </is>
      </c>
      <c r="DL445" s="40" t="inlineStr">
        <is>
          <t>CHOOSE RATING</t>
        </is>
      </c>
      <c r="DM445" s="40" t="inlineStr">
        <is>
          <t>CHOOSE RATING</t>
        </is>
      </c>
      <c r="DN445" s="40" t="inlineStr">
        <is>
          <t>CHOOSE RATING</t>
        </is>
      </c>
      <c r="DO445" s="40" t="inlineStr">
        <is>
          <t>CHOOSE RATING</t>
        </is>
      </c>
      <c r="DP445" s="40" t="inlineStr">
        <is>
          <t>CHOOSE RATING</t>
        </is>
      </c>
      <c r="DQ445" s="40" t="inlineStr">
        <is>
          <t>CHOOSE RATING</t>
        </is>
      </c>
      <c r="DR445" s="43" t="inlineStr">
        <is>
          <t>2024/2025</t>
        </is>
      </c>
      <c r="DS445" s="45" t="inlineStr">
        <is>
          <t>THIRD</t>
        </is>
      </c>
      <c r="DT445" s="40" t="inlineStr">
        <is>
          <t>CHOOSE RATING</t>
        </is>
      </c>
      <c r="DU445" s="40" t="inlineStr">
        <is>
          <t>CHOOSE RATING</t>
        </is>
      </c>
      <c r="DV445" s="40" t="inlineStr">
        <is>
          <t>CHOOSE RATING</t>
        </is>
      </c>
      <c r="DW445" s="40" t="inlineStr">
        <is>
          <t>CHOOSE RATING</t>
        </is>
      </c>
      <c r="DX445" s="40" t="inlineStr">
        <is>
          <t>CHOOSE RATING</t>
        </is>
      </c>
      <c r="DY445" s="40" t="inlineStr">
        <is>
          <t>CHOOSE RATING</t>
        </is>
      </c>
      <c r="DZ445" s="53" t="inlineStr">
        <is>
          <t>CHOOSE RATING</t>
        </is>
      </c>
      <c r="EA445" s="54" t="inlineStr">
        <is>
          <t>Add the Tutor's Comment . . .</t>
        </is>
      </c>
      <c r="EB445" s="55" t="inlineStr">
        <is>
          <t>Choose Principals comment</t>
        </is>
      </c>
      <c r="EC445" s="56" t="n"/>
      <c r="ED445" s="57" t="inlineStr">
        <is>
          <t>Next Term Begins on Monday, 22nd September, 2025</t>
        </is>
      </c>
    </row>
    <row r="446" ht="30.6" customHeight="1" s="6">
      <c r="A446" s="18" t="n">
        <v>443</v>
      </c>
      <c r="B446" s="19" t="n"/>
      <c r="C446" s="20" t="n"/>
      <c r="D446" s="128" t="n"/>
      <c r="E446" s="21" t="n"/>
      <c r="F446" s="22" t="n"/>
      <c r="G446" s="22" t="n"/>
      <c r="H446" s="22" t="n"/>
      <c r="I446" s="26">
        <f>G446-H446</f>
        <v/>
      </c>
      <c r="J446" s="21" t="n"/>
      <c r="K446" s="21" t="n"/>
      <c r="L446" s="27">
        <f>SUM(J446:K446)</f>
        <v/>
      </c>
      <c r="M446" s="28" t="n"/>
      <c r="N446" s="28" t="n"/>
      <c r="O446" s="29">
        <f>IF(AND(L446=0,M446=0,N446=0),0,IF(AND(L446=0,M446=0),N446/1,IF(AND(L446=0,N446=0),M446/1,IF(AND(M446=0,N446=0),L446/1,IF(L446=0,FLOOR((M446+N446)/2,0.1),IF(M446=0,(L446+N446)/2,IF(N446=0,(M446+L446)/2,FLOOR(((L446+M446+N446)/3),0.1))))))))</f>
        <v/>
      </c>
      <c r="P446" s="21" t="n"/>
      <c r="Q446" s="21" t="n"/>
      <c r="R446" s="27">
        <f>SUM(P446:Q446)</f>
        <v/>
      </c>
      <c r="S446" s="28" t="n"/>
      <c r="T446" s="28" t="n"/>
      <c r="U446" s="29">
        <f>IF(AND(R446=0,S446=0,T446=0),0,IF(AND(R446=0,S446=0),T446/1,IF(AND(R446=0,T446=0),S446/1,IF(AND(S446=0,T446=0),R446/1,IF(R446=0,FLOOR((S446+T446)/2,0.1),IF(S446=0,(R446+T446)/2,IF(T446=0,(S446+R446)/2,FLOOR(((R446+S446+T446)/3),0.1))))))))</f>
        <v/>
      </c>
      <c r="V446" s="21" t="n"/>
      <c r="W446" s="21" t="n"/>
      <c r="X446" s="27">
        <f>SUM(V446:W446)</f>
        <v/>
      </c>
      <c r="Y446" s="28" t="n"/>
      <c r="Z446" s="28" t="n"/>
      <c r="AA446" s="29">
        <f>IF(AND(X446=0,Y446=0,Z446=0),0,IF(AND(X446=0,Y446=0),Z446/1,IF(AND(X446=0,Z446=0),Y446/1,IF(AND(Y446=0,Z446=0),X446/1,IF(X446=0,FLOOR((Y446+Z446)/2,0.1),IF(Y446=0,(X446+Z446)/2,IF(Z446=0,(Y446+X446)/2,FLOOR(((X446+Y446+Z446)/3),0.1))))))))</f>
        <v/>
      </c>
      <c r="AB446" s="21" t="n"/>
      <c r="AC446" s="21" t="n"/>
      <c r="AD446" s="27">
        <f>SUM(AB446:AC446)</f>
        <v/>
      </c>
      <c r="AE446" s="28" t="n"/>
      <c r="AF446" s="28" t="n"/>
      <c r="AG446" s="29">
        <f>IF(AND(AD446=0,AE446=0,AF446=0),0,IF(AND(AD446=0,AE446=0),AF446/1,IF(AND(AD446=0,AF446=0),AE446/1,IF(AND(AE446=0,AF446=0),AD446/1,IF(AD446=0,FLOOR((AE446+AF446)/2,0.1),IF(AE446=0,(AD446+AF446)/2,IF(AF446=0,(AE446+AD446)/2,FLOOR(((AD446+AE446+AF446)/3),0.1))))))))</f>
        <v/>
      </c>
      <c r="AH446" s="21" t="n"/>
      <c r="AI446" s="21" t="n"/>
      <c r="AJ446" s="27">
        <f>SUM(AH446:AI446)</f>
        <v/>
      </c>
      <c r="AK446" s="28" t="n"/>
      <c r="AL446" s="28" t="n"/>
      <c r="AM446" s="29">
        <f>IF(AND(AJ446=0,AK446=0,AL446=0),0,IF(AND(AJ446=0,AK446=0),AL446/1,IF(AND(AJ446=0,AL446=0),AK446/1,IF(AND(AK446=0,AL446=0),AJ446/1,IF(AJ446=0,FLOOR((AK446+AL446)/2,0.1),IF(AK446=0,(AJ446+AL446)/2,IF(AL446=0,(AK446+AJ446)/2,FLOOR(((AJ446+AK446+AL446)/3),0.1))))))))</f>
        <v/>
      </c>
      <c r="AN446" s="21" t="n"/>
      <c r="AO446" s="21" t="n"/>
      <c r="AP446" s="27">
        <f>SUM(AN446:AO446)</f>
        <v/>
      </c>
      <c r="AQ446" s="28" t="n"/>
      <c r="AR446" s="30" t="n"/>
      <c r="AS446" s="29">
        <f>IF(AND(AP446=0,AQ446=0,AR446=0),0,IF(AND(AP446=0,AQ446=0),AR446/1,IF(AND(AP446=0,AR446=0),AQ446/1,IF(AND(AQ446=0,AR446=0),AP446/1,IF(AP446=0,FLOOR((AQ446+AR446)/2,0.1),IF(AQ446=0,(AP446+AR446)/2,IF(AR446=0,(AQ446+AP446)/2,FLOOR(((AP446+AQ446+AR446)/3),0.1))))))))</f>
        <v/>
      </c>
      <c r="AT446" s="21" t="n"/>
      <c r="AU446" s="21" t="n"/>
      <c r="AV446" s="27">
        <f>SUM(AT446:AU446)</f>
        <v/>
      </c>
      <c r="AW446" s="28" t="n"/>
      <c r="AX446" s="30" t="n"/>
      <c r="AY446" s="29">
        <f>IF(AND(AV446=0,AW446=0,AX446=0),0,IF(AND(AV446=0,AW446=0),AX446/1,IF(AND(AV446=0,AX446=0),AW446/1,IF(AND(AW446=0,AX446=0),AV446/1,IF(AV446=0,FLOOR((AW446+AX446)/2,0.1),IF(AW446=0,(AV446+AX446)/2,IF(AX446=0,(AW446+AV446)/2,FLOOR(((AV446+AW446+AX446)/3),0.1))))))))</f>
        <v/>
      </c>
      <c r="AZ446" s="21" t="n"/>
      <c r="BA446" s="21" t="n"/>
      <c r="BB446" s="27">
        <f>SUM(AZ446:BA446)</f>
        <v/>
      </c>
      <c r="BC446" s="28" t="n"/>
      <c r="BD446" s="28" t="n"/>
      <c r="BE446" s="29">
        <f>IF(AND(BB446=0,BC446=0,BD446=0),0,IF(AND(BB446=0,BC446=0),BD446/1,IF(AND(BB446=0,BD446=0),BC446/1,IF(AND(BC446=0,BD446=0),BB446/1,IF(BB446=0,FLOOR((BC446+BD446)/2,0.1),IF(BC446=0,(BB446+BD446)/2,IF(BD446=0,(BC446+BB446)/2,FLOOR(((BB446+BC446+BD446)/3),0.1))))))))</f>
        <v/>
      </c>
      <c r="BF446" s="21" t="n"/>
      <c r="BG446" s="21" t="n"/>
      <c r="BH446" s="27">
        <f>SUM(BF446:BG446)</f>
        <v/>
      </c>
      <c r="BI446" s="28" t="n"/>
      <c r="BJ446" s="28" t="n"/>
      <c r="BK446" s="29">
        <f>IF(AND(BH446=0,BI446=0,BJ446=0),0,IF(AND(BH446=0,BI446=0),BJ446/1,IF(AND(BH446=0,BJ446=0),BI446/1,IF(AND(BI446=0,BJ446=0),BH446/1,IF(BH446=0,FLOOR((BI446+BJ446)/2,0.1),IF(BI446=0,(BH446+BJ446)/2,IF(BJ446=0,(BI446+BH446)/2,FLOOR(((BH446+BI446+BJ446)/3),0.1))))))))</f>
        <v/>
      </c>
      <c r="BL446" s="21" t="n"/>
      <c r="BM446" s="21" t="n"/>
      <c r="BN446" s="27">
        <f>SUM(BL446:BM446)</f>
        <v/>
      </c>
      <c r="BO446" s="28" t="n"/>
      <c r="BP446" s="31" t="n"/>
      <c r="BQ446" s="29">
        <f>IF(AND(BN446=0,BO446=0,BP446=0),0,IF(AND(BN446=0,BO446=0),BP446/1,IF(AND(BN446=0,BP446=0),BO446/1,IF(AND(BO446=0,BP446=0),BN446/1,IF(BN446=0,FLOOR((BO446+BP446)/2,0.1),IF(BO446=0,(BN446+BP446)/2,IF(BP446=0,(BO446+BN446)/2,FLOOR(((BN446+BO446+BP446)/3),0.1))))))))</f>
        <v/>
      </c>
      <c r="BR446" s="21" t="n"/>
      <c r="BS446" s="21" t="n"/>
      <c r="BT446" s="27">
        <f>SUM(BR446:BS446)</f>
        <v/>
      </c>
      <c r="BU446" s="28" t="n"/>
      <c r="BV446" s="31" t="n"/>
      <c r="BW446" s="29">
        <f>IF(AND(BT446=0,BU446=0,BV446=0),0,IF(AND(BT446=0,BU446=0),BV446/1,IF(AND(BT446=0,BV446=0),BU446/1,IF(AND(BU446=0,BV446=0),BT446/1,IF(BT446=0,FLOOR((BU446+BV446)/2,0.1),IF(BU446=0,(BT446+BV446)/2,IF(BV446=0,(BU446+BT446)/2,FLOOR(((BT446+BU446+BV446)/3),0.1))))))))</f>
        <v/>
      </c>
      <c r="BX446" s="21" t="n"/>
      <c r="BY446" s="21" t="n"/>
      <c r="BZ446" s="27">
        <f>SUM(BX446:BY446)</f>
        <v/>
      </c>
      <c r="CA446" s="28" t="n"/>
      <c r="CB446" s="31" t="n"/>
      <c r="CC446" s="29">
        <f>IF(AND(BZ446=0,CA446=0,CB446=0),0,IF(AND(BZ446=0,CA446=0),CB446/1,IF(AND(BZ446=0,CB446=0),CA446/1,IF(AND(CA446=0,CB446=0),BZ446/1,IF(BZ446=0,FLOOR((CA446+CB446)/2,0.1),IF(CA446=0,(BZ446+CB446)/2,IF(CB446=0,(CA446+BZ446)/2,FLOOR(((BZ446+CA446+CB446)/3),0.1))))))))</f>
        <v/>
      </c>
      <c r="CD446" s="21" t="n"/>
      <c r="CE446" s="21" t="n"/>
      <c r="CF446" s="27">
        <f>SUM(CD446:CE446)</f>
        <v/>
      </c>
      <c r="CG446" s="28" t="n"/>
      <c r="CH446" s="31" t="n"/>
      <c r="CI446" s="29">
        <f>IF(AND(CF446=0,CG446=0,CH446=0),0,IF(AND(CF446=0,CG446=0),CH446/1,IF(AND(CF446=0,CH446=0),CG446/1,IF(AND(CG446=0,CH446=0),CF446/1,IF(CF446=0,FLOOR((CG446+CH446)/2,0.1),IF(CG446=0,(CF446+CH446)/2,IF(CH446=0,(CG446+CF446)/2,FLOOR(((CF446+CG446+CH446)/3),0.1))))))))</f>
        <v/>
      </c>
      <c r="CJ446" s="21" t="n"/>
      <c r="CK446" s="21" t="n"/>
      <c r="CL446" s="27">
        <f>SUM(CJ446:CK446)</f>
        <v/>
      </c>
      <c r="CM446" s="28" t="n"/>
      <c r="CN446" s="31" t="n"/>
      <c r="CO446" s="29">
        <f>IF(AND(CL446=0,CM446=0,CN446=0),0,IF(AND(CL446=0,CM446=0),CN446/1,IF(AND(CL446=0,CN446=0),CM446/1,IF(AND(CM446=0,CN446=0),CL446/1,IF(CL446=0,FLOOR((CM446+CN446)/2,0.1),IF(CM446=0,(CL446+CN446)/2,IF(CN446=0,(CM446+CL446)/2,FLOOR(((CL446+CM446+CN446)/3),0.1))))))))</f>
        <v/>
      </c>
      <c r="CP446" s="21" t="n"/>
      <c r="CQ446" s="21" t="n"/>
      <c r="CR446" s="27">
        <f>SUM(CP446:CQ446)</f>
        <v/>
      </c>
      <c r="CS446" s="28" t="n"/>
      <c r="CT446" s="31" t="n"/>
      <c r="CU446" s="29">
        <f>IF(AND(CR446=0,CS446=0,CT446=0),0,IF(AND(CR446=0,CS446=0),CT446/1,IF(AND(CR446=0,CT446=0),CS446/1,IF(AND(CS446=0,CT446=0),CR446/1,IF(CR446=0,FLOOR((CS446+CT446)/2,0.1),IF(CS446=0,(CR446+CT446)/2,IF(CT446=0,(CS446+CR446)/2,FLOOR(((CR446+CS446+CT446)/3),0.1))))))))</f>
        <v/>
      </c>
      <c r="CV446" s="21" t="n"/>
      <c r="CW446" s="21" t="n"/>
      <c r="CX446" s="27">
        <f>SUM(CV446:CW446)</f>
        <v/>
      </c>
      <c r="CY446" s="28" t="n"/>
      <c r="CZ446" s="31" t="n"/>
      <c r="DA446" s="29">
        <f>IF(AND(CX446=0,CY446=0,CZ446=0),0,IF(AND(CX446=0,CY446=0),CZ446/1,IF(AND(CX446=0,CZ446=0),CY446/1,IF(AND(CY446=0,CZ446=0),CX446/1,IF(CX446=0,FLOOR((CY446+CZ446)/2,0.1),IF(CY446=0,(CX446+CZ446)/2,IF(CZ446=0,(CY446+CX446)/2,FLOOR(((CX446+CY446+CZ446)/3),0.1))))))))</f>
        <v/>
      </c>
      <c r="DB446" s="21" t="n"/>
      <c r="DC446" s="21" t="n"/>
      <c r="DD446" s="27">
        <f>SUM(DB446:DC446)</f>
        <v/>
      </c>
      <c r="DE446" s="28" t="n"/>
      <c r="DF446" s="31" t="n"/>
      <c r="DG446" s="29">
        <f>IF(AND(DD446=0,DE446=0,DF446=0),0,IF(AND(DD446=0,DE446=0),DF446/1,IF(AND(DD446=0,DF446=0),DE446/1,IF(AND(DE446=0,DF446=0),DD446/1,IF(DD446=0,FLOOR((DE446+DF446)/2,0.1),IF(DE446=0,(DD446+DF446)/2,IF(DF446=0,(DE446+DD446)/2,FLOOR(((DD446+DE446+DF446)/3),0.1))))))))</f>
        <v/>
      </c>
      <c r="DH446" s="34">
        <f>SUM(O446,U446,AA446,AG446,AM446,AS446,AY446,BE446,BK446,BQ446,BW446,CC446,CI446,CO446,CU446,DA446,DG446)</f>
        <v/>
      </c>
      <c r="DI446" s="39">
        <f>RANK(DH446,DH$4:DH$503)</f>
        <v/>
      </c>
      <c r="DJ446" s="40" t="inlineStr">
        <is>
          <t>CHOOSE RATING</t>
        </is>
      </c>
      <c r="DK446" s="40" t="inlineStr">
        <is>
          <t>CHOOSE RATING</t>
        </is>
      </c>
      <c r="DL446" s="40" t="inlineStr">
        <is>
          <t>CHOOSE RATING</t>
        </is>
      </c>
      <c r="DM446" s="40" t="inlineStr">
        <is>
          <t>CHOOSE RATING</t>
        </is>
      </c>
      <c r="DN446" s="40" t="inlineStr">
        <is>
          <t>CHOOSE RATING</t>
        </is>
      </c>
      <c r="DO446" s="40" t="inlineStr">
        <is>
          <t>CHOOSE RATING</t>
        </is>
      </c>
      <c r="DP446" s="40" t="inlineStr">
        <is>
          <t>CHOOSE RATING</t>
        </is>
      </c>
      <c r="DQ446" s="40" t="inlineStr">
        <is>
          <t>CHOOSE RATING</t>
        </is>
      </c>
      <c r="DR446" s="43" t="inlineStr">
        <is>
          <t>2024/2025</t>
        </is>
      </c>
      <c r="DS446" s="45" t="inlineStr">
        <is>
          <t>THIRD</t>
        </is>
      </c>
      <c r="DT446" s="40" t="inlineStr">
        <is>
          <t>CHOOSE RATING</t>
        </is>
      </c>
      <c r="DU446" s="40" t="inlineStr">
        <is>
          <t>CHOOSE RATING</t>
        </is>
      </c>
      <c r="DV446" s="40" t="inlineStr">
        <is>
          <t>CHOOSE RATING</t>
        </is>
      </c>
      <c r="DW446" s="40" t="inlineStr">
        <is>
          <t>CHOOSE RATING</t>
        </is>
      </c>
      <c r="DX446" s="40" t="inlineStr">
        <is>
          <t>CHOOSE RATING</t>
        </is>
      </c>
      <c r="DY446" s="40" t="inlineStr">
        <is>
          <t>CHOOSE RATING</t>
        </is>
      </c>
      <c r="DZ446" s="53" t="inlineStr">
        <is>
          <t>CHOOSE RATING</t>
        </is>
      </c>
      <c r="EA446" s="54" t="inlineStr">
        <is>
          <t>Add the Tutor's Comment . . .</t>
        </is>
      </c>
      <c r="EB446" s="55" t="inlineStr">
        <is>
          <t>Choose Principals comment</t>
        </is>
      </c>
      <c r="EC446" s="56" t="n"/>
      <c r="ED446" s="57" t="inlineStr">
        <is>
          <t>Next Term Begins on Monday, 22nd September, 2025</t>
        </is>
      </c>
    </row>
    <row r="447" ht="30.6" customHeight="1" s="6">
      <c r="A447" s="18" t="n">
        <v>444</v>
      </c>
      <c r="B447" s="19" t="n"/>
      <c r="C447" s="20" t="n"/>
      <c r="D447" s="128" t="n"/>
      <c r="E447" s="21" t="n"/>
      <c r="F447" s="22" t="n"/>
      <c r="G447" s="22" t="n"/>
      <c r="H447" s="22" t="n"/>
      <c r="I447" s="26">
        <f>G447-H447</f>
        <v/>
      </c>
      <c r="J447" s="21" t="n"/>
      <c r="K447" s="21" t="n"/>
      <c r="L447" s="27">
        <f>SUM(J447:K447)</f>
        <v/>
      </c>
      <c r="M447" s="28" t="n"/>
      <c r="N447" s="28" t="n"/>
      <c r="O447" s="29">
        <f>IF(AND(L447=0,M447=0,N447=0),0,IF(AND(L447=0,M447=0),N447/1,IF(AND(L447=0,N447=0),M447/1,IF(AND(M447=0,N447=0),L447/1,IF(L447=0,FLOOR((M447+N447)/2,0.1),IF(M447=0,(L447+N447)/2,IF(N447=0,(M447+L447)/2,FLOOR(((L447+M447+N447)/3),0.1))))))))</f>
        <v/>
      </c>
      <c r="P447" s="21" t="n"/>
      <c r="Q447" s="21" t="n"/>
      <c r="R447" s="27">
        <f>SUM(P447:Q447)</f>
        <v/>
      </c>
      <c r="S447" s="28" t="n"/>
      <c r="T447" s="28" t="n"/>
      <c r="U447" s="29">
        <f>IF(AND(R447=0,S447=0,T447=0),0,IF(AND(R447=0,S447=0),T447/1,IF(AND(R447=0,T447=0),S447/1,IF(AND(S447=0,T447=0),R447/1,IF(R447=0,FLOOR((S447+T447)/2,0.1),IF(S447=0,(R447+T447)/2,IF(T447=0,(S447+R447)/2,FLOOR(((R447+S447+T447)/3),0.1))))))))</f>
        <v/>
      </c>
      <c r="V447" s="21" t="n"/>
      <c r="W447" s="21" t="n"/>
      <c r="X447" s="27">
        <f>SUM(V447:W447)</f>
        <v/>
      </c>
      <c r="Y447" s="28" t="n"/>
      <c r="Z447" s="28" t="n"/>
      <c r="AA447" s="29">
        <f>IF(AND(X447=0,Y447=0,Z447=0),0,IF(AND(X447=0,Y447=0),Z447/1,IF(AND(X447=0,Z447=0),Y447/1,IF(AND(Y447=0,Z447=0),X447/1,IF(X447=0,FLOOR((Y447+Z447)/2,0.1),IF(Y447=0,(X447+Z447)/2,IF(Z447=0,(Y447+X447)/2,FLOOR(((X447+Y447+Z447)/3),0.1))))))))</f>
        <v/>
      </c>
      <c r="AB447" s="21" t="n"/>
      <c r="AC447" s="21" t="n"/>
      <c r="AD447" s="27">
        <f>SUM(AB447:AC447)</f>
        <v/>
      </c>
      <c r="AE447" s="28" t="n"/>
      <c r="AF447" s="28" t="n"/>
      <c r="AG447" s="29">
        <f>IF(AND(AD447=0,AE447=0,AF447=0),0,IF(AND(AD447=0,AE447=0),AF447/1,IF(AND(AD447=0,AF447=0),AE447/1,IF(AND(AE447=0,AF447=0),AD447/1,IF(AD447=0,FLOOR((AE447+AF447)/2,0.1),IF(AE447=0,(AD447+AF447)/2,IF(AF447=0,(AE447+AD447)/2,FLOOR(((AD447+AE447+AF447)/3),0.1))))))))</f>
        <v/>
      </c>
      <c r="AH447" s="21" t="n"/>
      <c r="AI447" s="21" t="n"/>
      <c r="AJ447" s="27">
        <f>SUM(AH447:AI447)</f>
        <v/>
      </c>
      <c r="AK447" s="28" t="n"/>
      <c r="AL447" s="28" t="n"/>
      <c r="AM447" s="29">
        <f>IF(AND(AJ447=0,AK447=0,AL447=0),0,IF(AND(AJ447=0,AK447=0),AL447/1,IF(AND(AJ447=0,AL447=0),AK447/1,IF(AND(AK447=0,AL447=0),AJ447/1,IF(AJ447=0,FLOOR((AK447+AL447)/2,0.1),IF(AK447=0,(AJ447+AL447)/2,IF(AL447=0,(AK447+AJ447)/2,FLOOR(((AJ447+AK447+AL447)/3),0.1))))))))</f>
        <v/>
      </c>
      <c r="AN447" s="21" t="n"/>
      <c r="AO447" s="21" t="n"/>
      <c r="AP447" s="27">
        <f>SUM(AN447:AO447)</f>
        <v/>
      </c>
      <c r="AQ447" s="28" t="n"/>
      <c r="AR447" s="30" t="n"/>
      <c r="AS447" s="29">
        <f>IF(AND(AP447=0,AQ447=0,AR447=0),0,IF(AND(AP447=0,AQ447=0),AR447/1,IF(AND(AP447=0,AR447=0),AQ447/1,IF(AND(AQ447=0,AR447=0),AP447/1,IF(AP447=0,FLOOR((AQ447+AR447)/2,0.1),IF(AQ447=0,(AP447+AR447)/2,IF(AR447=0,(AQ447+AP447)/2,FLOOR(((AP447+AQ447+AR447)/3),0.1))))))))</f>
        <v/>
      </c>
      <c r="AT447" s="21" t="n"/>
      <c r="AU447" s="21" t="n"/>
      <c r="AV447" s="27">
        <f>SUM(AT447:AU447)</f>
        <v/>
      </c>
      <c r="AW447" s="28" t="n"/>
      <c r="AX447" s="30" t="n"/>
      <c r="AY447" s="29">
        <f>IF(AND(AV447=0,AW447=0,AX447=0),0,IF(AND(AV447=0,AW447=0),AX447/1,IF(AND(AV447=0,AX447=0),AW447/1,IF(AND(AW447=0,AX447=0),AV447/1,IF(AV447=0,FLOOR((AW447+AX447)/2,0.1),IF(AW447=0,(AV447+AX447)/2,IF(AX447=0,(AW447+AV447)/2,FLOOR(((AV447+AW447+AX447)/3),0.1))))))))</f>
        <v/>
      </c>
      <c r="AZ447" s="21" t="n"/>
      <c r="BA447" s="21" t="n"/>
      <c r="BB447" s="27">
        <f>SUM(AZ447:BA447)</f>
        <v/>
      </c>
      <c r="BC447" s="28" t="n"/>
      <c r="BD447" s="28" t="n"/>
      <c r="BE447" s="29">
        <f>IF(AND(BB447=0,BC447=0,BD447=0),0,IF(AND(BB447=0,BC447=0),BD447/1,IF(AND(BB447=0,BD447=0),BC447/1,IF(AND(BC447=0,BD447=0),BB447/1,IF(BB447=0,FLOOR((BC447+BD447)/2,0.1),IF(BC447=0,(BB447+BD447)/2,IF(BD447=0,(BC447+BB447)/2,FLOOR(((BB447+BC447+BD447)/3),0.1))))))))</f>
        <v/>
      </c>
      <c r="BF447" s="21" t="n"/>
      <c r="BG447" s="21" t="n"/>
      <c r="BH447" s="27">
        <f>SUM(BF447:BG447)</f>
        <v/>
      </c>
      <c r="BI447" s="28" t="n"/>
      <c r="BJ447" s="28" t="n"/>
      <c r="BK447" s="29">
        <f>IF(AND(BH447=0,BI447=0,BJ447=0),0,IF(AND(BH447=0,BI447=0),BJ447/1,IF(AND(BH447=0,BJ447=0),BI447/1,IF(AND(BI447=0,BJ447=0),BH447/1,IF(BH447=0,FLOOR((BI447+BJ447)/2,0.1),IF(BI447=0,(BH447+BJ447)/2,IF(BJ447=0,(BI447+BH447)/2,FLOOR(((BH447+BI447+BJ447)/3),0.1))))))))</f>
        <v/>
      </c>
      <c r="BL447" s="21" t="n"/>
      <c r="BM447" s="21" t="n"/>
      <c r="BN447" s="27">
        <f>SUM(BL447:BM447)</f>
        <v/>
      </c>
      <c r="BO447" s="28" t="n"/>
      <c r="BP447" s="31" t="n"/>
      <c r="BQ447" s="29">
        <f>IF(AND(BN447=0,BO447=0,BP447=0),0,IF(AND(BN447=0,BO447=0),BP447/1,IF(AND(BN447=0,BP447=0),BO447/1,IF(AND(BO447=0,BP447=0),BN447/1,IF(BN447=0,FLOOR((BO447+BP447)/2,0.1),IF(BO447=0,(BN447+BP447)/2,IF(BP447=0,(BO447+BN447)/2,FLOOR(((BN447+BO447+BP447)/3),0.1))))))))</f>
        <v/>
      </c>
      <c r="BR447" s="21" t="n"/>
      <c r="BS447" s="21" t="n"/>
      <c r="BT447" s="27">
        <f>SUM(BR447:BS447)</f>
        <v/>
      </c>
      <c r="BU447" s="28" t="n"/>
      <c r="BV447" s="31" t="n"/>
      <c r="BW447" s="29">
        <f>IF(AND(BT447=0,BU447=0,BV447=0),0,IF(AND(BT447=0,BU447=0),BV447/1,IF(AND(BT447=0,BV447=0),BU447/1,IF(AND(BU447=0,BV447=0),BT447/1,IF(BT447=0,FLOOR((BU447+BV447)/2,0.1),IF(BU447=0,(BT447+BV447)/2,IF(BV447=0,(BU447+BT447)/2,FLOOR(((BT447+BU447+BV447)/3),0.1))))))))</f>
        <v/>
      </c>
      <c r="BX447" s="21" t="n"/>
      <c r="BY447" s="21" t="n"/>
      <c r="BZ447" s="27">
        <f>SUM(BX447:BY447)</f>
        <v/>
      </c>
      <c r="CA447" s="28" t="n"/>
      <c r="CB447" s="31" t="n"/>
      <c r="CC447" s="29">
        <f>IF(AND(BZ447=0,CA447=0,CB447=0),0,IF(AND(BZ447=0,CA447=0),CB447/1,IF(AND(BZ447=0,CB447=0),CA447/1,IF(AND(CA447=0,CB447=0),BZ447/1,IF(BZ447=0,FLOOR((CA447+CB447)/2,0.1),IF(CA447=0,(BZ447+CB447)/2,IF(CB447=0,(CA447+BZ447)/2,FLOOR(((BZ447+CA447+CB447)/3),0.1))))))))</f>
        <v/>
      </c>
      <c r="CD447" s="21" t="n"/>
      <c r="CE447" s="21" t="n"/>
      <c r="CF447" s="27">
        <f>SUM(CD447:CE447)</f>
        <v/>
      </c>
      <c r="CG447" s="28" t="n"/>
      <c r="CH447" s="31" t="n"/>
      <c r="CI447" s="29">
        <f>IF(AND(CF447=0,CG447=0,CH447=0),0,IF(AND(CF447=0,CG447=0),CH447/1,IF(AND(CF447=0,CH447=0),CG447/1,IF(AND(CG447=0,CH447=0),CF447/1,IF(CF447=0,FLOOR((CG447+CH447)/2,0.1),IF(CG447=0,(CF447+CH447)/2,IF(CH447=0,(CG447+CF447)/2,FLOOR(((CF447+CG447+CH447)/3),0.1))))))))</f>
        <v/>
      </c>
      <c r="CJ447" s="21" t="n"/>
      <c r="CK447" s="21" t="n"/>
      <c r="CL447" s="27">
        <f>SUM(CJ447:CK447)</f>
        <v/>
      </c>
      <c r="CM447" s="28" t="n"/>
      <c r="CN447" s="31" t="n"/>
      <c r="CO447" s="29">
        <f>IF(AND(CL447=0,CM447=0,CN447=0),0,IF(AND(CL447=0,CM447=0),CN447/1,IF(AND(CL447=0,CN447=0),CM447/1,IF(AND(CM447=0,CN447=0),CL447/1,IF(CL447=0,FLOOR((CM447+CN447)/2,0.1),IF(CM447=0,(CL447+CN447)/2,IF(CN447=0,(CM447+CL447)/2,FLOOR(((CL447+CM447+CN447)/3),0.1))))))))</f>
        <v/>
      </c>
      <c r="CP447" s="21" t="n"/>
      <c r="CQ447" s="21" t="n"/>
      <c r="CR447" s="27">
        <f>SUM(CP447:CQ447)</f>
        <v/>
      </c>
      <c r="CS447" s="28" t="n"/>
      <c r="CT447" s="31" t="n"/>
      <c r="CU447" s="29">
        <f>IF(AND(CR447=0,CS447=0,CT447=0),0,IF(AND(CR447=0,CS447=0),CT447/1,IF(AND(CR447=0,CT447=0),CS447/1,IF(AND(CS447=0,CT447=0),CR447/1,IF(CR447=0,FLOOR((CS447+CT447)/2,0.1),IF(CS447=0,(CR447+CT447)/2,IF(CT447=0,(CS447+CR447)/2,FLOOR(((CR447+CS447+CT447)/3),0.1))))))))</f>
        <v/>
      </c>
      <c r="CV447" s="21" t="n"/>
      <c r="CW447" s="21" t="n"/>
      <c r="CX447" s="27">
        <f>SUM(CV447:CW447)</f>
        <v/>
      </c>
      <c r="CY447" s="28" t="n"/>
      <c r="CZ447" s="31" t="n"/>
      <c r="DA447" s="29">
        <f>IF(AND(CX447=0,CY447=0,CZ447=0),0,IF(AND(CX447=0,CY447=0),CZ447/1,IF(AND(CX447=0,CZ447=0),CY447/1,IF(AND(CY447=0,CZ447=0),CX447/1,IF(CX447=0,FLOOR((CY447+CZ447)/2,0.1),IF(CY447=0,(CX447+CZ447)/2,IF(CZ447=0,(CY447+CX447)/2,FLOOR(((CX447+CY447+CZ447)/3),0.1))))))))</f>
        <v/>
      </c>
      <c r="DB447" s="21" t="n"/>
      <c r="DC447" s="21" t="n"/>
      <c r="DD447" s="27">
        <f>SUM(DB447:DC447)</f>
        <v/>
      </c>
      <c r="DE447" s="28" t="n"/>
      <c r="DF447" s="31" t="n"/>
      <c r="DG447" s="29">
        <f>IF(AND(DD447=0,DE447=0,DF447=0),0,IF(AND(DD447=0,DE447=0),DF447/1,IF(AND(DD447=0,DF447=0),DE447/1,IF(AND(DE447=0,DF447=0),DD447/1,IF(DD447=0,FLOOR((DE447+DF447)/2,0.1),IF(DE447=0,(DD447+DF447)/2,IF(DF447=0,(DE447+DD447)/2,FLOOR(((DD447+DE447+DF447)/3),0.1))))))))</f>
        <v/>
      </c>
      <c r="DH447" s="34">
        <f>SUM(O447,U447,AA447,AG447,AM447,AS447,AY447,BE447,BK447,BQ447,BW447,CC447,CI447,CO447,CU447,DA447,DG447)</f>
        <v/>
      </c>
      <c r="DI447" s="39">
        <f>RANK(DH447,DH$4:DH$503)</f>
        <v/>
      </c>
      <c r="DJ447" s="40" t="inlineStr">
        <is>
          <t>CHOOSE RATING</t>
        </is>
      </c>
      <c r="DK447" s="40" t="inlineStr">
        <is>
          <t>CHOOSE RATING</t>
        </is>
      </c>
      <c r="DL447" s="40" t="inlineStr">
        <is>
          <t>CHOOSE RATING</t>
        </is>
      </c>
      <c r="DM447" s="40" t="inlineStr">
        <is>
          <t>CHOOSE RATING</t>
        </is>
      </c>
      <c r="DN447" s="40" t="inlineStr">
        <is>
          <t>CHOOSE RATING</t>
        </is>
      </c>
      <c r="DO447" s="40" t="inlineStr">
        <is>
          <t>CHOOSE RATING</t>
        </is>
      </c>
      <c r="DP447" s="40" t="inlineStr">
        <is>
          <t>CHOOSE RATING</t>
        </is>
      </c>
      <c r="DQ447" s="40" t="inlineStr">
        <is>
          <t>CHOOSE RATING</t>
        </is>
      </c>
      <c r="DR447" s="43" t="inlineStr">
        <is>
          <t>2024/2025</t>
        </is>
      </c>
      <c r="DS447" s="45" t="inlineStr">
        <is>
          <t>THIRD</t>
        </is>
      </c>
      <c r="DT447" s="40" t="inlineStr">
        <is>
          <t>CHOOSE RATING</t>
        </is>
      </c>
      <c r="DU447" s="40" t="inlineStr">
        <is>
          <t>CHOOSE RATING</t>
        </is>
      </c>
      <c r="DV447" s="40" t="inlineStr">
        <is>
          <t>CHOOSE RATING</t>
        </is>
      </c>
      <c r="DW447" s="40" t="inlineStr">
        <is>
          <t>CHOOSE RATING</t>
        </is>
      </c>
      <c r="DX447" s="40" t="inlineStr">
        <is>
          <t>CHOOSE RATING</t>
        </is>
      </c>
      <c r="DY447" s="40" t="inlineStr">
        <is>
          <t>CHOOSE RATING</t>
        </is>
      </c>
      <c r="DZ447" s="53" t="inlineStr">
        <is>
          <t>CHOOSE RATING</t>
        </is>
      </c>
      <c r="EA447" s="54" t="inlineStr">
        <is>
          <t>Add the Tutor's Comment . . .</t>
        </is>
      </c>
      <c r="EB447" s="55" t="inlineStr">
        <is>
          <t>Choose Principals comment</t>
        </is>
      </c>
      <c r="EC447" s="56" t="n"/>
      <c r="ED447" s="57" t="inlineStr">
        <is>
          <t>Next Term Begins on Monday, 22nd September, 2025</t>
        </is>
      </c>
    </row>
    <row r="448" ht="30.6" customHeight="1" s="6">
      <c r="A448" s="18" t="n">
        <v>445</v>
      </c>
      <c r="B448" s="19" t="n"/>
      <c r="C448" s="20" t="n"/>
      <c r="D448" s="128" t="n"/>
      <c r="E448" s="21" t="n"/>
      <c r="F448" s="22" t="n"/>
      <c r="G448" s="22" t="n"/>
      <c r="H448" s="22" t="n"/>
      <c r="I448" s="26">
        <f>G448-H448</f>
        <v/>
      </c>
      <c r="J448" s="21" t="n"/>
      <c r="K448" s="21" t="n"/>
      <c r="L448" s="27">
        <f>SUM(J448:K448)</f>
        <v/>
      </c>
      <c r="M448" s="28" t="n"/>
      <c r="N448" s="28" t="n"/>
      <c r="O448" s="29">
        <f>IF(AND(L448=0,M448=0,N448=0),0,IF(AND(L448=0,M448=0),N448/1,IF(AND(L448=0,N448=0),M448/1,IF(AND(M448=0,N448=0),L448/1,IF(L448=0,FLOOR((M448+N448)/2,0.1),IF(M448=0,(L448+N448)/2,IF(N448=0,(M448+L448)/2,FLOOR(((L448+M448+N448)/3),0.1))))))))</f>
        <v/>
      </c>
      <c r="P448" s="21" t="n"/>
      <c r="Q448" s="21" t="n"/>
      <c r="R448" s="27">
        <f>SUM(P448:Q448)</f>
        <v/>
      </c>
      <c r="S448" s="28" t="n"/>
      <c r="T448" s="28" t="n"/>
      <c r="U448" s="29">
        <f>IF(AND(R448=0,S448=0,T448=0),0,IF(AND(R448=0,S448=0),T448/1,IF(AND(R448=0,T448=0),S448/1,IF(AND(S448=0,T448=0),R448/1,IF(R448=0,FLOOR((S448+T448)/2,0.1),IF(S448=0,(R448+T448)/2,IF(T448=0,(S448+R448)/2,FLOOR(((R448+S448+T448)/3),0.1))))))))</f>
        <v/>
      </c>
      <c r="V448" s="21" t="n"/>
      <c r="W448" s="21" t="n"/>
      <c r="X448" s="27">
        <f>SUM(V448:W448)</f>
        <v/>
      </c>
      <c r="Y448" s="28" t="n"/>
      <c r="Z448" s="28" t="n"/>
      <c r="AA448" s="29">
        <f>IF(AND(X448=0,Y448=0,Z448=0),0,IF(AND(X448=0,Y448=0),Z448/1,IF(AND(X448=0,Z448=0),Y448/1,IF(AND(Y448=0,Z448=0),X448/1,IF(X448=0,FLOOR((Y448+Z448)/2,0.1),IF(Y448=0,(X448+Z448)/2,IF(Z448=0,(Y448+X448)/2,FLOOR(((X448+Y448+Z448)/3),0.1))))))))</f>
        <v/>
      </c>
      <c r="AB448" s="21" t="n"/>
      <c r="AC448" s="21" t="n"/>
      <c r="AD448" s="27">
        <f>SUM(AB448:AC448)</f>
        <v/>
      </c>
      <c r="AE448" s="28" t="n"/>
      <c r="AF448" s="28" t="n"/>
      <c r="AG448" s="29">
        <f>IF(AND(AD448=0,AE448=0,AF448=0),0,IF(AND(AD448=0,AE448=0),AF448/1,IF(AND(AD448=0,AF448=0),AE448/1,IF(AND(AE448=0,AF448=0),AD448/1,IF(AD448=0,FLOOR((AE448+AF448)/2,0.1),IF(AE448=0,(AD448+AF448)/2,IF(AF448=0,(AE448+AD448)/2,FLOOR(((AD448+AE448+AF448)/3),0.1))))))))</f>
        <v/>
      </c>
      <c r="AH448" s="21" t="n"/>
      <c r="AI448" s="21" t="n"/>
      <c r="AJ448" s="27">
        <f>SUM(AH448:AI448)</f>
        <v/>
      </c>
      <c r="AK448" s="28" t="n"/>
      <c r="AL448" s="28" t="n"/>
      <c r="AM448" s="29">
        <f>IF(AND(AJ448=0,AK448=0,AL448=0),0,IF(AND(AJ448=0,AK448=0),AL448/1,IF(AND(AJ448=0,AL448=0),AK448/1,IF(AND(AK448=0,AL448=0),AJ448/1,IF(AJ448=0,FLOOR((AK448+AL448)/2,0.1),IF(AK448=0,(AJ448+AL448)/2,IF(AL448=0,(AK448+AJ448)/2,FLOOR(((AJ448+AK448+AL448)/3),0.1))))))))</f>
        <v/>
      </c>
      <c r="AN448" s="21" t="n"/>
      <c r="AO448" s="21" t="n"/>
      <c r="AP448" s="27">
        <f>SUM(AN448:AO448)</f>
        <v/>
      </c>
      <c r="AQ448" s="28" t="n"/>
      <c r="AR448" s="30" t="n"/>
      <c r="AS448" s="29">
        <f>IF(AND(AP448=0,AQ448=0,AR448=0),0,IF(AND(AP448=0,AQ448=0),AR448/1,IF(AND(AP448=0,AR448=0),AQ448/1,IF(AND(AQ448=0,AR448=0),AP448/1,IF(AP448=0,FLOOR((AQ448+AR448)/2,0.1),IF(AQ448=0,(AP448+AR448)/2,IF(AR448=0,(AQ448+AP448)/2,FLOOR(((AP448+AQ448+AR448)/3),0.1))))))))</f>
        <v/>
      </c>
      <c r="AT448" s="21" t="n"/>
      <c r="AU448" s="21" t="n"/>
      <c r="AV448" s="27">
        <f>SUM(AT448:AU448)</f>
        <v/>
      </c>
      <c r="AW448" s="28" t="n"/>
      <c r="AX448" s="30" t="n"/>
      <c r="AY448" s="29">
        <f>IF(AND(AV448=0,AW448=0,AX448=0),0,IF(AND(AV448=0,AW448=0),AX448/1,IF(AND(AV448=0,AX448=0),AW448/1,IF(AND(AW448=0,AX448=0),AV448/1,IF(AV448=0,FLOOR((AW448+AX448)/2,0.1),IF(AW448=0,(AV448+AX448)/2,IF(AX448=0,(AW448+AV448)/2,FLOOR(((AV448+AW448+AX448)/3),0.1))))))))</f>
        <v/>
      </c>
      <c r="AZ448" s="21" t="n"/>
      <c r="BA448" s="21" t="n"/>
      <c r="BB448" s="27">
        <f>SUM(AZ448:BA448)</f>
        <v/>
      </c>
      <c r="BC448" s="28" t="n"/>
      <c r="BD448" s="28" t="n"/>
      <c r="BE448" s="29">
        <f>IF(AND(BB448=0,BC448=0,BD448=0),0,IF(AND(BB448=0,BC448=0),BD448/1,IF(AND(BB448=0,BD448=0),BC448/1,IF(AND(BC448=0,BD448=0),BB448/1,IF(BB448=0,FLOOR((BC448+BD448)/2,0.1),IF(BC448=0,(BB448+BD448)/2,IF(BD448=0,(BC448+BB448)/2,FLOOR(((BB448+BC448+BD448)/3),0.1))))))))</f>
        <v/>
      </c>
      <c r="BF448" s="21" t="n"/>
      <c r="BG448" s="21" t="n"/>
      <c r="BH448" s="27">
        <f>SUM(BF448:BG448)</f>
        <v/>
      </c>
      <c r="BI448" s="28" t="n"/>
      <c r="BJ448" s="28" t="n"/>
      <c r="BK448" s="29">
        <f>IF(AND(BH448=0,BI448=0,BJ448=0),0,IF(AND(BH448=0,BI448=0),BJ448/1,IF(AND(BH448=0,BJ448=0),BI448/1,IF(AND(BI448=0,BJ448=0),BH448/1,IF(BH448=0,FLOOR((BI448+BJ448)/2,0.1),IF(BI448=0,(BH448+BJ448)/2,IF(BJ448=0,(BI448+BH448)/2,FLOOR(((BH448+BI448+BJ448)/3),0.1))))))))</f>
        <v/>
      </c>
      <c r="BL448" s="21" t="n"/>
      <c r="BM448" s="21" t="n"/>
      <c r="BN448" s="27">
        <f>SUM(BL448:BM448)</f>
        <v/>
      </c>
      <c r="BO448" s="28" t="n"/>
      <c r="BP448" s="31" t="n"/>
      <c r="BQ448" s="29">
        <f>IF(AND(BN448=0,BO448=0,BP448=0),0,IF(AND(BN448=0,BO448=0),BP448/1,IF(AND(BN448=0,BP448=0),BO448/1,IF(AND(BO448=0,BP448=0),BN448/1,IF(BN448=0,FLOOR((BO448+BP448)/2,0.1),IF(BO448=0,(BN448+BP448)/2,IF(BP448=0,(BO448+BN448)/2,FLOOR(((BN448+BO448+BP448)/3),0.1))))))))</f>
        <v/>
      </c>
      <c r="BR448" s="21" t="n"/>
      <c r="BS448" s="21" t="n"/>
      <c r="BT448" s="27">
        <f>SUM(BR448:BS448)</f>
        <v/>
      </c>
      <c r="BU448" s="28" t="n"/>
      <c r="BV448" s="31" t="n"/>
      <c r="BW448" s="29">
        <f>IF(AND(BT448=0,BU448=0,BV448=0),0,IF(AND(BT448=0,BU448=0),BV448/1,IF(AND(BT448=0,BV448=0),BU448/1,IF(AND(BU448=0,BV448=0),BT448/1,IF(BT448=0,FLOOR((BU448+BV448)/2,0.1),IF(BU448=0,(BT448+BV448)/2,IF(BV448=0,(BU448+BT448)/2,FLOOR(((BT448+BU448+BV448)/3),0.1))))))))</f>
        <v/>
      </c>
      <c r="BX448" s="21" t="n"/>
      <c r="BY448" s="21" t="n"/>
      <c r="BZ448" s="27">
        <f>SUM(BX448:BY448)</f>
        <v/>
      </c>
      <c r="CA448" s="28" t="n"/>
      <c r="CB448" s="31" t="n"/>
      <c r="CC448" s="29">
        <f>IF(AND(BZ448=0,CA448=0,CB448=0),0,IF(AND(BZ448=0,CA448=0),CB448/1,IF(AND(BZ448=0,CB448=0),CA448/1,IF(AND(CA448=0,CB448=0),BZ448/1,IF(BZ448=0,FLOOR((CA448+CB448)/2,0.1),IF(CA448=0,(BZ448+CB448)/2,IF(CB448=0,(CA448+BZ448)/2,FLOOR(((BZ448+CA448+CB448)/3),0.1))))))))</f>
        <v/>
      </c>
      <c r="CD448" s="21" t="n"/>
      <c r="CE448" s="21" t="n"/>
      <c r="CF448" s="27">
        <f>SUM(CD448:CE448)</f>
        <v/>
      </c>
      <c r="CG448" s="28" t="n"/>
      <c r="CH448" s="31" t="n"/>
      <c r="CI448" s="29">
        <f>IF(AND(CF448=0,CG448=0,CH448=0),0,IF(AND(CF448=0,CG448=0),CH448/1,IF(AND(CF448=0,CH448=0),CG448/1,IF(AND(CG448=0,CH448=0),CF448/1,IF(CF448=0,FLOOR((CG448+CH448)/2,0.1),IF(CG448=0,(CF448+CH448)/2,IF(CH448=0,(CG448+CF448)/2,FLOOR(((CF448+CG448+CH448)/3),0.1))))))))</f>
        <v/>
      </c>
      <c r="CJ448" s="21" t="n"/>
      <c r="CK448" s="21" t="n"/>
      <c r="CL448" s="27">
        <f>SUM(CJ448:CK448)</f>
        <v/>
      </c>
      <c r="CM448" s="28" t="n"/>
      <c r="CN448" s="31" t="n"/>
      <c r="CO448" s="29">
        <f>IF(AND(CL448=0,CM448=0,CN448=0),0,IF(AND(CL448=0,CM448=0),CN448/1,IF(AND(CL448=0,CN448=0),CM448/1,IF(AND(CM448=0,CN448=0),CL448/1,IF(CL448=0,FLOOR((CM448+CN448)/2,0.1),IF(CM448=0,(CL448+CN448)/2,IF(CN448=0,(CM448+CL448)/2,FLOOR(((CL448+CM448+CN448)/3),0.1))))))))</f>
        <v/>
      </c>
      <c r="CP448" s="21" t="n"/>
      <c r="CQ448" s="21" t="n"/>
      <c r="CR448" s="27">
        <f>SUM(CP448:CQ448)</f>
        <v/>
      </c>
      <c r="CS448" s="28" t="n"/>
      <c r="CT448" s="31" t="n"/>
      <c r="CU448" s="29">
        <f>IF(AND(CR448=0,CS448=0,CT448=0),0,IF(AND(CR448=0,CS448=0),CT448/1,IF(AND(CR448=0,CT448=0),CS448/1,IF(AND(CS448=0,CT448=0),CR448/1,IF(CR448=0,FLOOR((CS448+CT448)/2,0.1),IF(CS448=0,(CR448+CT448)/2,IF(CT448=0,(CS448+CR448)/2,FLOOR(((CR448+CS448+CT448)/3),0.1))))))))</f>
        <v/>
      </c>
      <c r="CV448" s="21" t="n"/>
      <c r="CW448" s="21" t="n"/>
      <c r="CX448" s="27">
        <f>SUM(CV448:CW448)</f>
        <v/>
      </c>
      <c r="CY448" s="28" t="n"/>
      <c r="CZ448" s="31" t="n"/>
      <c r="DA448" s="29">
        <f>IF(AND(CX448=0,CY448=0,CZ448=0),0,IF(AND(CX448=0,CY448=0),CZ448/1,IF(AND(CX448=0,CZ448=0),CY448/1,IF(AND(CY448=0,CZ448=0),CX448/1,IF(CX448=0,FLOOR((CY448+CZ448)/2,0.1),IF(CY448=0,(CX448+CZ448)/2,IF(CZ448=0,(CY448+CX448)/2,FLOOR(((CX448+CY448+CZ448)/3),0.1))))))))</f>
        <v/>
      </c>
      <c r="DB448" s="21" t="n"/>
      <c r="DC448" s="21" t="n"/>
      <c r="DD448" s="27">
        <f>SUM(DB448:DC448)</f>
        <v/>
      </c>
      <c r="DE448" s="28" t="n"/>
      <c r="DF448" s="31" t="n"/>
      <c r="DG448" s="29">
        <f>IF(AND(DD448=0,DE448=0,DF448=0),0,IF(AND(DD448=0,DE448=0),DF448/1,IF(AND(DD448=0,DF448=0),DE448/1,IF(AND(DE448=0,DF448=0),DD448/1,IF(DD448=0,FLOOR((DE448+DF448)/2,0.1),IF(DE448=0,(DD448+DF448)/2,IF(DF448=0,(DE448+DD448)/2,FLOOR(((DD448+DE448+DF448)/3),0.1))))))))</f>
        <v/>
      </c>
      <c r="DH448" s="34">
        <f>SUM(O448,U448,AA448,AG448,AM448,AS448,AY448,BE448,BK448,BQ448,BW448,CC448,CI448,CO448,CU448,DA448,DG448)</f>
        <v/>
      </c>
      <c r="DI448" s="39">
        <f>RANK(DH448,DH$4:DH$503)</f>
        <v/>
      </c>
      <c r="DJ448" s="40" t="inlineStr">
        <is>
          <t>CHOOSE RATING</t>
        </is>
      </c>
      <c r="DK448" s="40" t="inlineStr">
        <is>
          <t>CHOOSE RATING</t>
        </is>
      </c>
      <c r="DL448" s="40" t="inlineStr">
        <is>
          <t>CHOOSE RATING</t>
        </is>
      </c>
      <c r="DM448" s="40" t="inlineStr">
        <is>
          <t>CHOOSE RATING</t>
        </is>
      </c>
      <c r="DN448" s="40" t="inlineStr">
        <is>
          <t>CHOOSE RATING</t>
        </is>
      </c>
      <c r="DO448" s="40" t="inlineStr">
        <is>
          <t>CHOOSE RATING</t>
        </is>
      </c>
      <c r="DP448" s="40" t="inlineStr">
        <is>
          <t>CHOOSE RATING</t>
        </is>
      </c>
      <c r="DQ448" s="40" t="inlineStr">
        <is>
          <t>CHOOSE RATING</t>
        </is>
      </c>
      <c r="DR448" s="43" t="inlineStr">
        <is>
          <t>2024/2025</t>
        </is>
      </c>
      <c r="DS448" s="45" t="inlineStr">
        <is>
          <t>THIRD</t>
        </is>
      </c>
      <c r="DT448" s="40" t="inlineStr">
        <is>
          <t>CHOOSE RATING</t>
        </is>
      </c>
      <c r="DU448" s="40" t="inlineStr">
        <is>
          <t>CHOOSE RATING</t>
        </is>
      </c>
      <c r="DV448" s="40" t="inlineStr">
        <is>
          <t>CHOOSE RATING</t>
        </is>
      </c>
      <c r="DW448" s="40" t="inlineStr">
        <is>
          <t>CHOOSE RATING</t>
        </is>
      </c>
      <c r="DX448" s="40" t="inlineStr">
        <is>
          <t>CHOOSE RATING</t>
        </is>
      </c>
      <c r="DY448" s="40" t="inlineStr">
        <is>
          <t>CHOOSE RATING</t>
        </is>
      </c>
      <c r="DZ448" s="53" t="inlineStr">
        <is>
          <t>CHOOSE RATING</t>
        </is>
      </c>
      <c r="EA448" s="54" t="inlineStr">
        <is>
          <t>Add the Tutor's Comment . . .</t>
        </is>
      </c>
      <c r="EB448" s="55" t="inlineStr">
        <is>
          <t>Choose Principals comment</t>
        </is>
      </c>
      <c r="EC448" s="56" t="n"/>
      <c r="ED448" s="57" t="inlineStr">
        <is>
          <t>Next Term Begins on Monday, 22nd September, 2025</t>
        </is>
      </c>
    </row>
    <row r="449" ht="30.6" customHeight="1" s="6">
      <c r="A449" s="18" t="n">
        <v>446</v>
      </c>
      <c r="B449" s="19" t="n"/>
      <c r="C449" s="20" t="n"/>
      <c r="D449" s="128" t="n"/>
      <c r="E449" s="21" t="n"/>
      <c r="F449" s="22" t="n"/>
      <c r="G449" s="22" t="n"/>
      <c r="H449" s="22" t="n"/>
      <c r="I449" s="26">
        <f>G449-H449</f>
        <v/>
      </c>
      <c r="J449" s="21" t="n"/>
      <c r="K449" s="21" t="n"/>
      <c r="L449" s="27">
        <f>SUM(J449:K449)</f>
        <v/>
      </c>
      <c r="M449" s="28" t="n"/>
      <c r="N449" s="28" t="n"/>
      <c r="O449" s="29">
        <f>IF(AND(L449=0,M449=0,N449=0),0,IF(AND(L449=0,M449=0),N449/1,IF(AND(L449=0,N449=0),M449/1,IF(AND(M449=0,N449=0),L449/1,IF(L449=0,FLOOR((M449+N449)/2,0.1),IF(M449=0,(L449+N449)/2,IF(N449=0,(M449+L449)/2,FLOOR(((L449+M449+N449)/3),0.1))))))))</f>
        <v/>
      </c>
      <c r="P449" s="21" t="n"/>
      <c r="Q449" s="21" t="n"/>
      <c r="R449" s="27">
        <f>SUM(P449:Q449)</f>
        <v/>
      </c>
      <c r="S449" s="28" t="n"/>
      <c r="T449" s="28" t="n"/>
      <c r="U449" s="29">
        <f>IF(AND(R449=0,S449=0,T449=0),0,IF(AND(R449=0,S449=0),T449/1,IF(AND(R449=0,T449=0),S449/1,IF(AND(S449=0,T449=0),R449/1,IF(R449=0,FLOOR((S449+T449)/2,0.1),IF(S449=0,(R449+T449)/2,IF(T449=0,(S449+R449)/2,FLOOR(((R449+S449+T449)/3),0.1))))))))</f>
        <v/>
      </c>
      <c r="V449" s="21" t="n"/>
      <c r="W449" s="21" t="n"/>
      <c r="X449" s="27">
        <f>SUM(V449:W449)</f>
        <v/>
      </c>
      <c r="Y449" s="28" t="n"/>
      <c r="Z449" s="28" t="n"/>
      <c r="AA449" s="29">
        <f>IF(AND(X449=0,Y449=0,Z449=0),0,IF(AND(X449=0,Y449=0),Z449/1,IF(AND(X449=0,Z449=0),Y449/1,IF(AND(Y449=0,Z449=0),X449/1,IF(X449=0,FLOOR((Y449+Z449)/2,0.1),IF(Y449=0,(X449+Z449)/2,IF(Z449=0,(Y449+X449)/2,FLOOR(((X449+Y449+Z449)/3),0.1))))))))</f>
        <v/>
      </c>
      <c r="AB449" s="21" t="n"/>
      <c r="AC449" s="21" t="n"/>
      <c r="AD449" s="27">
        <f>SUM(AB449:AC449)</f>
        <v/>
      </c>
      <c r="AE449" s="28" t="n"/>
      <c r="AF449" s="28" t="n"/>
      <c r="AG449" s="29">
        <f>IF(AND(AD449=0,AE449=0,AF449=0),0,IF(AND(AD449=0,AE449=0),AF449/1,IF(AND(AD449=0,AF449=0),AE449/1,IF(AND(AE449=0,AF449=0),AD449/1,IF(AD449=0,FLOOR((AE449+AF449)/2,0.1),IF(AE449=0,(AD449+AF449)/2,IF(AF449=0,(AE449+AD449)/2,FLOOR(((AD449+AE449+AF449)/3),0.1))))))))</f>
        <v/>
      </c>
      <c r="AH449" s="21" t="n"/>
      <c r="AI449" s="21" t="n"/>
      <c r="AJ449" s="27">
        <f>SUM(AH449:AI449)</f>
        <v/>
      </c>
      <c r="AK449" s="28" t="n"/>
      <c r="AL449" s="28" t="n"/>
      <c r="AM449" s="29">
        <f>IF(AND(AJ449=0,AK449=0,AL449=0),0,IF(AND(AJ449=0,AK449=0),AL449/1,IF(AND(AJ449=0,AL449=0),AK449/1,IF(AND(AK449=0,AL449=0),AJ449/1,IF(AJ449=0,FLOOR((AK449+AL449)/2,0.1),IF(AK449=0,(AJ449+AL449)/2,IF(AL449=0,(AK449+AJ449)/2,FLOOR(((AJ449+AK449+AL449)/3),0.1))))))))</f>
        <v/>
      </c>
      <c r="AN449" s="21" t="n"/>
      <c r="AO449" s="21" t="n"/>
      <c r="AP449" s="27">
        <f>SUM(AN449:AO449)</f>
        <v/>
      </c>
      <c r="AQ449" s="28" t="n"/>
      <c r="AR449" s="30" t="n"/>
      <c r="AS449" s="29">
        <f>IF(AND(AP449=0,AQ449=0,AR449=0),0,IF(AND(AP449=0,AQ449=0),AR449/1,IF(AND(AP449=0,AR449=0),AQ449/1,IF(AND(AQ449=0,AR449=0),AP449/1,IF(AP449=0,FLOOR((AQ449+AR449)/2,0.1),IF(AQ449=0,(AP449+AR449)/2,IF(AR449=0,(AQ449+AP449)/2,FLOOR(((AP449+AQ449+AR449)/3),0.1))))))))</f>
        <v/>
      </c>
      <c r="AT449" s="21" t="n"/>
      <c r="AU449" s="21" t="n"/>
      <c r="AV449" s="27">
        <f>SUM(AT449:AU449)</f>
        <v/>
      </c>
      <c r="AW449" s="28" t="n"/>
      <c r="AX449" s="30" t="n"/>
      <c r="AY449" s="29">
        <f>IF(AND(AV449=0,AW449=0,AX449=0),0,IF(AND(AV449=0,AW449=0),AX449/1,IF(AND(AV449=0,AX449=0),AW449/1,IF(AND(AW449=0,AX449=0),AV449/1,IF(AV449=0,FLOOR((AW449+AX449)/2,0.1),IF(AW449=0,(AV449+AX449)/2,IF(AX449=0,(AW449+AV449)/2,FLOOR(((AV449+AW449+AX449)/3),0.1))))))))</f>
        <v/>
      </c>
      <c r="AZ449" s="21" t="n"/>
      <c r="BA449" s="21" t="n"/>
      <c r="BB449" s="27">
        <f>SUM(AZ449:BA449)</f>
        <v/>
      </c>
      <c r="BC449" s="28" t="n"/>
      <c r="BD449" s="28" t="n"/>
      <c r="BE449" s="29">
        <f>IF(AND(BB449=0,BC449=0,BD449=0),0,IF(AND(BB449=0,BC449=0),BD449/1,IF(AND(BB449=0,BD449=0),BC449/1,IF(AND(BC449=0,BD449=0),BB449/1,IF(BB449=0,FLOOR((BC449+BD449)/2,0.1),IF(BC449=0,(BB449+BD449)/2,IF(BD449=0,(BC449+BB449)/2,FLOOR(((BB449+BC449+BD449)/3),0.1))))))))</f>
        <v/>
      </c>
      <c r="BF449" s="21" t="n"/>
      <c r="BG449" s="21" t="n"/>
      <c r="BH449" s="27">
        <f>SUM(BF449:BG449)</f>
        <v/>
      </c>
      <c r="BI449" s="28" t="n"/>
      <c r="BJ449" s="28" t="n"/>
      <c r="BK449" s="29">
        <f>IF(AND(BH449=0,BI449=0,BJ449=0),0,IF(AND(BH449=0,BI449=0),BJ449/1,IF(AND(BH449=0,BJ449=0),BI449/1,IF(AND(BI449=0,BJ449=0),BH449/1,IF(BH449=0,FLOOR((BI449+BJ449)/2,0.1),IF(BI449=0,(BH449+BJ449)/2,IF(BJ449=0,(BI449+BH449)/2,FLOOR(((BH449+BI449+BJ449)/3),0.1))))))))</f>
        <v/>
      </c>
      <c r="BL449" s="21" t="n"/>
      <c r="BM449" s="21" t="n"/>
      <c r="BN449" s="27">
        <f>SUM(BL449:BM449)</f>
        <v/>
      </c>
      <c r="BO449" s="28" t="n"/>
      <c r="BP449" s="31" t="n"/>
      <c r="BQ449" s="29">
        <f>IF(AND(BN449=0,BO449=0,BP449=0),0,IF(AND(BN449=0,BO449=0),BP449/1,IF(AND(BN449=0,BP449=0),BO449/1,IF(AND(BO449=0,BP449=0),BN449/1,IF(BN449=0,FLOOR((BO449+BP449)/2,0.1),IF(BO449=0,(BN449+BP449)/2,IF(BP449=0,(BO449+BN449)/2,FLOOR(((BN449+BO449+BP449)/3),0.1))))))))</f>
        <v/>
      </c>
      <c r="BR449" s="21" t="n"/>
      <c r="BS449" s="21" t="n"/>
      <c r="BT449" s="27">
        <f>SUM(BR449:BS449)</f>
        <v/>
      </c>
      <c r="BU449" s="28" t="n"/>
      <c r="BV449" s="31" t="n"/>
      <c r="BW449" s="29">
        <f>IF(AND(BT449=0,BU449=0,BV449=0),0,IF(AND(BT449=0,BU449=0),BV449/1,IF(AND(BT449=0,BV449=0),BU449/1,IF(AND(BU449=0,BV449=0),BT449/1,IF(BT449=0,FLOOR((BU449+BV449)/2,0.1),IF(BU449=0,(BT449+BV449)/2,IF(BV449=0,(BU449+BT449)/2,FLOOR(((BT449+BU449+BV449)/3),0.1))))))))</f>
        <v/>
      </c>
      <c r="BX449" s="21" t="n"/>
      <c r="BY449" s="21" t="n"/>
      <c r="BZ449" s="27">
        <f>SUM(BX449:BY449)</f>
        <v/>
      </c>
      <c r="CA449" s="28" t="n"/>
      <c r="CB449" s="31" t="n"/>
      <c r="CC449" s="29">
        <f>IF(AND(BZ449=0,CA449=0,CB449=0),0,IF(AND(BZ449=0,CA449=0),CB449/1,IF(AND(BZ449=0,CB449=0),CA449/1,IF(AND(CA449=0,CB449=0),BZ449/1,IF(BZ449=0,FLOOR((CA449+CB449)/2,0.1),IF(CA449=0,(BZ449+CB449)/2,IF(CB449=0,(CA449+BZ449)/2,FLOOR(((BZ449+CA449+CB449)/3),0.1))))))))</f>
        <v/>
      </c>
      <c r="CD449" s="21" t="n"/>
      <c r="CE449" s="21" t="n"/>
      <c r="CF449" s="27">
        <f>SUM(CD449:CE449)</f>
        <v/>
      </c>
      <c r="CG449" s="28" t="n"/>
      <c r="CH449" s="31" t="n"/>
      <c r="CI449" s="29">
        <f>IF(AND(CF449=0,CG449=0,CH449=0),0,IF(AND(CF449=0,CG449=0),CH449/1,IF(AND(CF449=0,CH449=0),CG449/1,IF(AND(CG449=0,CH449=0),CF449/1,IF(CF449=0,FLOOR((CG449+CH449)/2,0.1),IF(CG449=0,(CF449+CH449)/2,IF(CH449=0,(CG449+CF449)/2,FLOOR(((CF449+CG449+CH449)/3),0.1))))))))</f>
        <v/>
      </c>
      <c r="CJ449" s="21" t="n"/>
      <c r="CK449" s="21" t="n"/>
      <c r="CL449" s="27">
        <f>SUM(CJ449:CK449)</f>
        <v/>
      </c>
      <c r="CM449" s="28" t="n"/>
      <c r="CN449" s="31" t="n"/>
      <c r="CO449" s="29">
        <f>IF(AND(CL449=0,CM449=0,CN449=0),0,IF(AND(CL449=0,CM449=0),CN449/1,IF(AND(CL449=0,CN449=0),CM449/1,IF(AND(CM449=0,CN449=0),CL449/1,IF(CL449=0,FLOOR((CM449+CN449)/2,0.1),IF(CM449=0,(CL449+CN449)/2,IF(CN449=0,(CM449+CL449)/2,FLOOR(((CL449+CM449+CN449)/3),0.1))))))))</f>
        <v/>
      </c>
      <c r="CP449" s="21" t="n"/>
      <c r="CQ449" s="21" t="n"/>
      <c r="CR449" s="27">
        <f>SUM(CP449:CQ449)</f>
        <v/>
      </c>
      <c r="CS449" s="28" t="n"/>
      <c r="CT449" s="31" t="n"/>
      <c r="CU449" s="29">
        <f>IF(AND(CR449=0,CS449=0,CT449=0),0,IF(AND(CR449=0,CS449=0),CT449/1,IF(AND(CR449=0,CT449=0),CS449/1,IF(AND(CS449=0,CT449=0),CR449/1,IF(CR449=0,FLOOR((CS449+CT449)/2,0.1),IF(CS449=0,(CR449+CT449)/2,IF(CT449=0,(CS449+CR449)/2,FLOOR(((CR449+CS449+CT449)/3),0.1))))))))</f>
        <v/>
      </c>
      <c r="CV449" s="21" t="n"/>
      <c r="CW449" s="21" t="n"/>
      <c r="CX449" s="27">
        <f>SUM(CV449:CW449)</f>
        <v/>
      </c>
      <c r="CY449" s="28" t="n"/>
      <c r="CZ449" s="31" t="n"/>
      <c r="DA449" s="29">
        <f>IF(AND(CX449=0,CY449=0,CZ449=0),0,IF(AND(CX449=0,CY449=0),CZ449/1,IF(AND(CX449=0,CZ449=0),CY449/1,IF(AND(CY449=0,CZ449=0),CX449/1,IF(CX449=0,FLOOR((CY449+CZ449)/2,0.1),IF(CY449=0,(CX449+CZ449)/2,IF(CZ449=0,(CY449+CX449)/2,FLOOR(((CX449+CY449+CZ449)/3),0.1))))))))</f>
        <v/>
      </c>
      <c r="DB449" s="21" t="n"/>
      <c r="DC449" s="21" t="n"/>
      <c r="DD449" s="27">
        <f>SUM(DB449:DC449)</f>
        <v/>
      </c>
      <c r="DE449" s="28" t="n"/>
      <c r="DF449" s="31" t="n"/>
      <c r="DG449" s="29">
        <f>IF(AND(DD449=0,DE449=0,DF449=0),0,IF(AND(DD449=0,DE449=0),DF449/1,IF(AND(DD449=0,DF449=0),DE449/1,IF(AND(DE449=0,DF449=0),DD449/1,IF(DD449=0,FLOOR((DE449+DF449)/2,0.1),IF(DE449=0,(DD449+DF449)/2,IF(DF449=0,(DE449+DD449)/2,FLOOR(((DD449+DE449+DF449)/3),0.1))))))))</f>
        <v/>
      </c>
      <c r="DH449" s="34">
        <f>SUM(O449,U449,AA449,AG449,AM449,AS449,AY449,BE449,BK449,BQ449,BW449,CC449,CI449,CO449,CU449,DA449,DG449)</f>
        <v/>
      </c>
      <c r="DI449" s="39">
        <f>RANK(DH449,DH$4:DH$503)</f>
        <v/>
      </c>
      <c r="DJ449" s="40" t="inlineStr">
        <is>
          <t>CHOOSE RATING</t>
        </is>
      </c>
      <c r="DK449" s="40" t="inlineStr">
        <is>
          <t>CHOOSE RATING</t>
        </is>
      </c>
      <c r="DL449" s="40" t="inlineStr">
        <is>
          <t>CHOOSE RATING</t>
        </is>
      </c>
      <c r="DM449" s="40" t="inlineStr">
        <is>
          <t>CHOOSE RATING</t>
        </is>
      </c>
      <c r="DN449" s="40" t="inlineStr">
        <is>
          <t>CHOOSE RATING</t>
        </is>
      </c>
      <c r="DO449" s="40" t="inlineStr">
        <is>
          <t>CHOOSE RATING</t>
        </is>
      </c>
      <c r="DP449" s="40" t="inlineStr">
        <is>
          <t>CHOOSE RATING</t>
        </is>
      </c>
      <c r="DQ449" s="40" t="inlineStr">
        <is>
          <t>CHOOSE RATING</t>
        </is>
      </c>
      <c r="DR449" s="43" t="inlineStr">
        <is>
          <t>2024/2025</t>
        </is>
      </c>
      <c r="DS449" s="45" t="inlineStr">
        <is>
          <t>THIRD</t>
        </is>
      </c>
      <c r="DT449" s="40" t="inlineStr">
        <is>
          <t>CHOOSE RATING</t>
        </is>
      </c>
      <c r="DU449" s="40" t="inlineStr">
        <is>
          <t>CHOOSE RATING</t>
        </is>
      </c>
      <c r="DV449" s="40" t="inlineStr">
        <is>
          <t>CHOOSE RATING</t>
        </is>
      </c>
      <c r="DW449" s="40" t="inlineStr">
        <is>
          <t>CHOOSE RATING</t>
        </is>
      </c>
      <c r="DX449" s="40" t="inlineStr">
        <is>
          <t>CHOOSE RATING</t>
        </is>
      </c>
      <c r="DY449" s="40" t="inlineStr">
        <is>
          <t>CHOOSE RATING</t>
        </is>
      </c>
      <c r="DZ449" s="53" t="inlineStr">
        <is>
          <t>CHOOSE RATING</t>
        </is>
      </c>
      <c r="EA449" s="54" t="inlineStr">
        <is>
          <t>Add the Tutor's Comment . . .</t>
        </is>
      </c>
      <c r="EB449" s="55" t="inlineStr">
        <is>
          <t>Choose Principals comment</t>
        </is>
      </c>
      <c r="EC449" s="56" t="n"/>
      <c r="ED449" s="57" t="inlineStr">
        <is>
          <t>Next Term Begins on Monday, 22nd September, 2025</t>
        </is>
      </c>
    </row>
    <row r="450" ht="30.6" customHeight="1" s="6">
      <c r="A450" s="18" t="n">
        <v>447</v>
      </c>
      <c r="B450" s="19" t="n"/>
      <c r="C450" s="20" t="n"/>
      <c r="D450" s="128" t="n"/>
      <c r="E450" s="21" t="n"/>
      <c r="F450" s="22" t="n"/>
      <c r="G450" s="22" t="n"/>
      <c r="H450" s="22" t="n"/>
      <c r="I450" s="26">
        <f>G450-H450</f>
        <v/>
      </c>
      <c r="J450" s="21" t="n"/>
      <c r="K450" s="21" t="n"/>
      <c r="L450" s="27">
        <f>SUM(J450:K450)</f>
        <v/>
      </c>
      <c r="M450" s="28" t="n"/>
      <c r="N450" s="28" t="n"/>
      <c r="O450" s="29">
        <f>IF(AND(L450=0,M450=0,N450=0),0,IF(AND(L450=0,M450=0),N450/1,IF(AND(L450=0,N450=0),M450/1,IF(AND(M450=0,N450=0),L450/1,IF(L450=0,FLOOR((M450+N450)/2,0.1),IF(M450=0,(L450+N450)/2,IF(N450=0,(M450+L450)/2,FLOOR(((L450+M450+N450)/3),0.1))))))))</f>
        <v/>
      </c>
      <c r="P450" s="21" t="n"/>
      <c r="Q450" s="21" t="n"/>
      <c r="R450" s="27">
        <f>SUM(P450:Q450)</f>
        <v/>
      </c>
      <c r="S450" s="28" t="n"/>
      <c r="T450" s="28" t="n"/>
      <c r="U450" s="29">
        <f>IF(AND(R450=0,S450=0,T450=0),0,IF(AND(R450=0,S450=0),T450/1,IF(AND(R450=0,T450=0),S450/1,IF(AND(S450=0,T450=0),R450/1,IF(R450=0,FLOOR((S450+T450)/2,0.1),IF(S450=0,(R450+T450)/2,IF(T450=0,(S450+R450)/2,FLOOR(((R450+S450+T450)/3),0.1))))))))</f>
        <v/>
      </c>
      <c r="V450" s="21" t="n"/>
      <c r="W450" s="21" t="n"/>
      <c r="X450" s="27">
        <f>SUM(V450:W450)</f>
        <v/>
      </c>
      <c r="Y450" s="28" t="n"/>
      <c r="Z450" s="28" t="n"/>
      <c r="AA450" s="29">
        <f>IF(AND(X450=0,Y450=0,Z450=0),0,IF(AND(X450=0,Y450=0),Z450/1,IF(AND(X450=0,Z450=0),Y450/1,IF(AND(Y450=0,Z450=0),X450/1,IF(X450=0,FLOOR((Y450+Z450)/2,0.1),IF(Y450=0,(X450+Z450)/2,IF(Z450=0,(Y450+X450)/2,FLOOR(((X450+Y450+Z450)/3),0.1))))))))</f>
        <v/>
      </c>
      <c r="AB450" s="21" t="n"/>
      <c r="AC450" s="21" t="n"/>
      <c r="AD450" s="27">
        <f>SUM(AB450:AC450)</f>
        <v/>
      </c>
      <c r="AE450" s="28" t="n"/>
      <c r="AF450" s="28" t="n"/>
      <c r="AG450" s="29">
        <f>IF(AND(AD450=0,AE450=0,AF450=0),0,IF(AND(AD450=0,AE450=0),AF450/1,IF(AND(AD450=0,AF450=0),AE450/1,IF(AND(AE450=0,AF450=0),AD450/1,IF(AD450=0,FLOOR((AE450+AF450)/2,0.1),IF(AE450=0,(AD450+AF450)/2,IF(AF450=0,(AE450+AD450)/2,FLOOR(((AD450+AE450+AF450)/3),0.1))))))))</f>
        <v/>
      </c>
      <c r="AH450" s="21" t="n"/>
      <c r="AI450" s="21" t="n"/>
      <c r="AJ450" s="27">
        <f>SUM(AH450:AI450)</f>
        <v/>
      </c>
      <c r="AK450" s="28" t="n"/>
      <c r="AL450" s="28" t="n"/>
      <c r="AM450" s="29">
        <f>IF(AND(AJ450=0,AK450=0,AL450=0),0,IF(AND(AJ450=0,AK450=0),AL450/1,IF(AND(AJ450=0,AL450=0),AK450/1,IF(AND(AK450=0,AL450=0),AJ450/1,IF(AJ450=0,FLOOR((AK450+AL450)/2,0.1),IF(AK450=0,(AJ450+AL450)/2,IF(AL450=0,(AK450+AJ450)/2,FLOOR(((AJ450+AK450+AL450)/3),0.1))))))))</f>
        <v/>
      </c>
      <c r="AN450" s="21" t="n"/>
      <c r="AO450" s="21" t="n"/>
      <c r="AP450" s="27">
        <f>SUM(AN450:AO450)</f>
        <v/>
      </c>
      <c r="AQ450" s="28" t="n"/>
      <c r="AR450" s="30" t="n"/>
      <c r="AS450" s="29">
        <f>IF(AND(AP450=0,AQ450=0,AR450=0),0,IF(AND(AP450=0,AQ450=0),AR450/1,IF(AND(AP450=0,AR450=0),AQ450/1,IF(AND(AQ450=0,AR450=0),AP450/1,IF(AP450=0,FLOOR((AQ450+AR450)/2,0.1),IF(AQ450=0,(AP450+AR450)/2,IF(AR450=0,(AQ450+AP450)/2,FLOOR(((AP450+AQ450+AR450)/3),0.1))))))))</f>
        <v/>
      </c>
      <c r="AT450" s="21" t="n"/>
      <c r="AU450" s="21" t="n"/>
      <c r="AV450" s="27">
        <f>SUM(AT450:AU450)</f>
        <v/>
      </c>
      <c r="AW450" s="28" t="n"/>
      <c r="AX450" s="30" t="n"/>
      <c r="AY450" s="29">
        <f>IF(AND(AV450=0,AW450=0,AX450=0),0,IF(AND(AV450=0,AW450=0),AX450/1,IF(AND(AV450=0,AX450=0),AW450/1,IF(AND(AW450=0,AX450=0),AV450/1,IF(AV450=0,FLOOR((AW450+AX450)/2,0.1),IF(AW450=0,(AV450+AX450)/2,IF(AX450=0,(AW450+AV450)/2,FLOOR(((AV450+AW450+AX450)/3),0.1))))))))</f>
        <v/>
      </c>
      <c r="AZ450" s="21" t="n"/>
      <c r="BA450" s="21" t="n"/>
      <c r="BB450" s="27">
        <f>SUM(AZ450:BA450)</f>
        <v/>
      </c>
      <c r="BC450" s="28" t="n"/>
      <c r="BD450" s="28" t="n"/>
      <c r="BE450" s="29">
        <f>IF(AND(BB450=0,BC450=0,BD450=0),0,IF(AND(BB450=0,BC450=0),BD450/1,IF(AND(BB450=0,BD450=0),BC450/1,IF(AND(BC450=0,BD450=0),BB450/1,IF(BB450=0,FLOOR((BC450+BD450)/2,0.1),IF(BC450=0,(BB450+BD450)/2,IF(BD450=0,(BC450+BB450)/2,FLOOR(((BB450+BC450+BD450)/3),0.1))))))))</f>
        <v/>
      </c>
      <c r="BF450" s="21" t="n"/>
      <c r="BG450" s="21" t="n"/>
      <c r="BH450" s="27">
        <f>SUM(BF450:BG450)</f>
        <v/>
      </c>
      <c r="BI450" s="28" t="n"/>
      <c r="BJ450" s="28" t="n"/>
      <c r="BK450" s="29">
        <f>IF(AND(BH450=0,BI450=0,BJ450=0),0,IF(AND(BH450=0,BI450=0),BJ450/1,IF(AND(BH450=0,BJ450=0),BI450/1,IF(AND(BI450=0,BJ450=0),BH450/1,IF(BH450=0,FLOOR((BI450+BJ450)/2,0.1),IF(BI450=0,(BH450+BJ450)/2,IF(BJ450=0,(BI450+BH450)/2,FLOOR(((BH450+BI450+BJ450)/3),0.1))))))))</f>
        <v/>
      </c>
      <c r="BL450" s="21" t="n"/>
      <c r="BM450" s="21" t="n"/>
      <c r="BN450" s="27">
        <f>SUM(BL450:BM450)</f>
        <v/>
      </c>
      <c r="BO450" s="28" t="n"/>
      <c r="BP450" s="31" t="n"/>
      <c r="BQ450" s="29">
        <f>IF(AND(BN450=0,BO450=0,BP450=0),0,IF(AND(BN450=0,BO450=0),BP450/1,IF(AND(BN450=0,BP450=0),BO450/1,IF(AND(BO450=0,BP450=0),BN450/1,IF(BN450=0,FLOOR((BO450+BP450)/2,0.1),IF(BO450=0,(BN450+BP450)/2,IF(BP450=0,(BO450+BN450)/2,FLOOR(((BN450+BO450+BP450)/3),0.1))))))))</f>
        <v/>
      </c>
      <c r="BR450" s="21" t="n"/>
      <c r="BS450" s="21" t="n"/>
      <c r="BT450" s="27">
        <f>SUM(BR450:BS450)</f>
        <v/>
      </c>
      <c r="BU450" s="28" t="n"/>
      <c r="BV450" s="31" t="n"/>
      <c r="BW450" s="29">
        <f>IF(AND(BT450=0,BU450=0,BV450=0),0,IF(AND(BT450=0,BU450=0),BV450/1,IF(AND(BT450=0,BV450=0),BU450/1,IF(AND(BU450=0,BV450=0),BT450/1,IF(BT450=0,FLOOR((BU450+BV450)/2,0.1),IF(BU450=0,(BT450+BV450)/2,IF(BV450=0,(BU450+BT450)/2,FLOOR(((BT450+BU450+BV450)/3),0.1))))))))</f>
        <v/>
      </c>
      <c r="BX450" s="21" t="n"/>
      <c r="BY450" s="21" t="n"/>
      <c r="BZ450" s="27">
        <f>SUM(BX450:BY450)</f>
        <v/>
      </c>
      <c r="CA450" s="28" t="n"/>
      <c r="CB450" s="31" t="n"/>
      <c r="CC450" s="29">
        <f>IF(AND(BZ450=0,CA450=0,CB450=0),0,IF(AND(BZ450=0,CA450=0),CB450/1,IF(AND(BZ450=0,CB450=0),CA450/1,IF(AND(CA450=0,CB450=0),BZ450/1,IF(BZ450=0,FLOOR((CA450+CB450)/2,0.1),IF(CA450=0,(BZ450+CB450)/2,IF(CB450=0,(CA450+BZ450)/2,FLOOR(((BZ450+CA450+CB450)/3),0.1))))))))</f>
        <v/>
      </c>
      <c r="CD450" s="21" t="n"/>
      <c r="CE450" s="21" t="n"/>
      <c r="CF450" s="27">
        <f>SUM(CD450:CE450)</f>
        <v/>
      </c>
      <c r="CG450" s="28" t="n"/>
      <c r="CH450" s="31" t="n"/>
      <c r="CI450" s="29">
        <f>IF(AND(CF450=0,CG450=0,CH450=0),0,IF(AND(CF450=0,CG450=0),CH450/1,IF(AND(CF450=0,CH450=0),CG450/1,IF(AND(CG450=0,CH450=0),CF450/1,IF(CF450=0,FLOOR((CG450+CH450)/2,0.1),IF(CG450=0,(CF450+CH450)/2,IF(CH450=0,(CG450+CF450)/2,FLOOR(((CF450+CG450+CH450)/3),0.1))))))))</f>
        <v/>
      </c>
      <c r="CJ450" s="21" t="n"/>
      <c r="CK450" s="21" t="n"/>
      <c r="CL450" s="27">
        <f>SUM(CJ450:CK450)</f>
        <v/>
      </c>
      <c r="CM450" s="28" t="n"/>
      <c r="CN450" s="31" t="n"/>
      <c r="CO450" s="29">
        <f>IF(AND(CL450=0,CM450=0,CN450=0),0,IF(AND(CL450=0,CM450=0),CN450/1,IF(AND(CL450=0,CN450=0),CM450/1,IF(AND(CM450=0,CN450=0),CL450/1,IF(CL450=0,FLOOR((CM450+CN450)/2,0.1),IF(CM450=0,(CL450+CN450)/2,IF(CN450=0,(CM450+CL450)/2,FLOOR(((CL450+CM450+CN450)/3),0.1))))))))</f>
        <v/>
      </c>
      <c r="CP450" s="21" t="n"/>
      <c r="CQ450" s="21" t="n"/>
      <c r="CR450" s="27">
        <f>SUM(CP450:CQ450)</f>
        <v/>
      </c>
      <c r="CS450" s="28" t="n"/>
      <c r="CT450" s="31" t="n"/>
      <c r="CU450" s="29">
        <f>IF(AND(CR450=0,CS450=0,CT450=0),0,IF(AND(CR450=0,CS450=0),CT450/1,IF(AND(CR450=0,CT450=0),CS450/1,IF(AND(CS450=0,CT450=0),CR450/1,IF(CR450=0,FLOOR((CS450+CT450)/2,0.1),IF(CS450=0,(CR450+CT450)/2,IF(CT450=0,(CS450+CR450)/2,FLOOR(((CR450+CS450+CT450)/3),0.1))))))))</f>
        <v/>
      </c>
      <c r="CV450" s="21" t="n"/>
      <c r="CW450" s="21" t="n"/>
      <c r="CX450" s="27">
        <f>SUM(CV450:CW450)</f>
        <v/>
      </c>
      <c r="CY450" s="28" t="n"/>
      <c r="CZ450" s="31" t="n"/>
      <c r="DA450" s="29">
        <f>IF(AND(CX450=0,CY450=0,CZ450=0),0,IF(AND(CX450=0,CY450=0),CZ450/1,IF(AND(CX450=0,CZ450=0),CY450/1,IF(AND(CY450=0,CZ450=0),CX450/1,IF(CX450=0,FLOOR((CY450+CZ450)/2,0.1),IF(CY450=0,(CX450+CZ450)/2,IF(CZ450=0,(CY450+CX450)/2,FLOOR(((CX450+CY450+CZ450)/3),0.1))))))))</f>
        <v/>
      </c>
      <c r="DB450" s="21" t="n"/>
      <c r="DC450" s="21" t="n"/>
      <c r="DD450" s="27">
        <f>SUM(DB450:DC450)</f>
        <v/>
      </c>
      <c r="DE450" s="28" t="n"/>
      <c r="DF450" s="31" t="n"/>
      <c r="DG450" s="29">
        <f>IF(AND(DD450=0,DE450=0,DF450=0),0,IF(AND(DD450=0,DE450=0),DF450/1,IF(AND(DD450=0,DF450=0),DE450/1,IF(AND(DE450=0,DF450=0),DD450/1,IF(DD450=0,FLOOR((DE450+DF450)/2,0.1),IF(DE450=0,(DD450+DF450)/2,IF(DF450=0,(DE450+DD450)/2,FLOOR(((DD450+DE450+DF450)/3),0.1))))))))</f>
        <v/>
      </c>
      <c r="DH450" s="34">
        <f>SUM(O450,U450,AA450,AG450,AM450,AS450,AY450,BE450,BK450,BQ450,BW450,CC450,CI450,CO450,CU450,DA450,DG450)</f>
        <v/>
      </c>
      <c r="DI450" s="39">
        <f>RANK(DH450,DH$4:DH$503)</f>
        <v/>
      </c>
      <c r="DJ450" s="40" t="inlineStr">
        <is>
          <t>CHOOSE RATING</t>
        </is>
      </c>
      <c r="DK450" s="40" t="inlineStr">
        <is>
          <t>CHOOSE RATING</t>
        </is>
      </c>
      <c r="DL450" s="40" t="inlineStr">
        <is>
          <t>CHOOSE RATING</t>
        </is>
      </c>
      <c r="DM450" s="40" t="inlineStr">
        <is>
          <t>CHOOSE RATING</t>
        </is>
      </c>
      <c r="DN450" s="40" t="inlineStr">
        <is>
          <t>CHOOSE RATING</t>
        </is>
      </c>
      <c r="DO450" s="40" t="inlineStr">
        <is>
          <t>CHOOSE RATING</t>
        </is>
      </c>
      <c r="DP450" s="40" t="inlineStr">
        <is>
          <t>CHOOSE RATING</t>
        </is>
      </c>
      <c r="DQ450" s="40" t="inlineStr">
        <is>
          <t>CHOOSE RATING</t>
        </is>
      </c>
      <c r="DR450" s="43" t="inlineStr">
        <is>
          <t>2024/2025</t>
        </is>
      </c>
      <c r="DS450" s="45" t="inlineStr">
        <is>
          <t>THIRD</t>
        </is>
      </c>
      <c r="DT450" s="40" t="inlineStr">
        <is>
          <t>CHOOSE RATING</t>
        </is>
      </c>
      <c r="DU450" s="40" t="inlineStr">
        <is>
          <t>CHOOSE RATING</t>
        </is>
      </c>
      <c r="DV450" s="40" t="inlineStr">
        <is>
          <t>CHOOSE RATING</t>
        </is>
      </c>
      <c r="DW450" s="40" t="inlineStr">
        <is>
          <t>CHOOSE RATING</t>
        </is>
      </c>
      <c r="DX450" s="40" t="inlineStr">
        <is>
          <t>CHOOSE RATING</t>
        </is>
      </c>
      <c r="DY450" s="40" t="inlineStr">
        <is>
          <t>CHOOSE RATING</t>
        </is>
      </c>
      <c r="DZ450" s="53" t="inlineStr">
        <is>
          <t>CHOOSE RATING</t>
        </is>
      </c>
      <c r="EA450" s="54" t="inlineStr">
        <is>
          <t>Add the Tutor's Comment . . .</t>
        </is>
      </c>
      <c r="EB450" s="55" t="inlineStr">
        <is>
          <t>Choose Principals comment</t>
        </is>
      </c>
      <c r="EC450" s="56" t="n"/>
      <c r="ED450" s="57" t="inlineStr">
        <is>
          <t>Next Term Begins on Monday, 22nd September, 2025</t>
        </is>
      </c>
    </row>
    <row r="451" ht="30.6" customHeight="1" s="6">
      <c r="A451" s="18" t="n">
        <v>448</v>
      </c>
      <c r="B451" s="19" t="n"/>
      <c r="C451" s="20" t="n"/>
      <c r="D451" s="128" t="n"/>
      <c r="E451" s="21" t="n"/>
      <c r="F451" s="22" t="n"/>
      <c r="G451" s="22" t="n"/>
      <c r="H451" s="22" t="n"/>
      <c r="I451" s="26">
        <f>G451-H451</f>
        <v/>
      </c>
      <c r="J451" s="21" t="n"/>
      <c r="K451" s="21" t="n"/>
      <c r="L451" s="27">
        <f>SUM(J451:K451)</f>
        <v/>
      </c>
      <c r="M451" s="28" t="n"/>
      <c r="N451" s="28" t="n"/>
      <c r="O451" s="29">
        <f>IF(AND(L451=0,M451=0,N451=0),0,IF(AND(L451=0,M451=0),N451/1,IF(AND(L451=0,N451=0),M451/1,IF(AND(M451=0,N451=0),L451/1,IF(L451=0,FLOOR((M451+N451)/2,0.1),IF(M451=0,(L451+N451)/2,IF(N451=0,(M451+L451)/2,FLOOR(((L451+M451+N451)/3),0.1))))))))</f>
        <v/>
      </c>
      <c r="P451" s="21" t="n"/>
      <c r="Q451" s="21" t="n"/>
      <c r="R451" s="27">
        <f>SUM(P451:Q451)</f>
        <v/>
      </c>
      <c r="S451" s="28" t="n"/>
      <c r="T451" s="28" t="n"/>
      <c r="U451" s="29">
        <f>IF(AND(R451=0,S451=0,T451=0),0,IF(AND(R451=0,S451=0),T451/1,IF(AND(R451=0,T451=0),S451/1,IF(AND(S451=0,T451=0),R451/1,IF(R451=0,FLOOR((S451+T451)/2,0.1),IF(S451=0,(R451+T451)/2,IF(T451=0,(S451+R451)/2,FLOOR(((R451+S451+T451)/3),0.1))))))))</f>
        <v/>
      </c>
      <c r="V451" s="21" t="n"/>
      <c r="W451" s="21" t="n"/>
      <c r="X451" s="27">
        <f>SUM(V451:W451)</f>
        <v/>
      </c>
      <c r="Y451" s="28" t="n"/>
      <c r="Z451" s="28" t="n"/>
      <c r="AA451" s="29">
        <f>IF(AND(X451=0,Y451=0,Z451=0),0,IF(AND(X451=0,Y451=0),Z451/1,IF(AND(X451=0,Z451=0),Y451/1,IF(AND(Y451=0,Z451=0),X451/1,IF(X451=0,FLOOR((Y451+Z451)/2,0.1),IF(Y451=0,(X451+Z451)/2,IF(Z451=0,(Y451+X451)/2,FLOOR(((X451+Y451+Z451)/3),0.1))))))))</f>
        <v/>
      </c>
      <c r="AB451" s="21" t="n"/>
      <c r="AC451" s="21" t="n"/>
      <c r="AD451" s="27">
        <f>SUM(AB451:AC451)</f>
        <v/>
      </c>
      <c r="AE451" s="28" t="n"/>
      <c r="AF451" s="28" t="n"/>
      <c r="AG451" s="29">
        <f>IF(AND(AD451=0,AE451=0,AF451=0),0,IF(AND(AD451=0,AE451=0),AF451/1,IF(AND(AD451=0,AF451=0),AE451/1,IF(AND(AE451=0,AF451=0),AD451/1,IF(AD451=0,FLOOR((AE451+AF451)/2,0.1),IF(AE451=0,(AD451+AF451)/2,IF(AF451=0,(AE451+AD451)/2,FLOOR(((AD451+AE451+AF451)/3),0.1))))))))</f>
        <v/>
      </c>
      <c r="AH451" s="21" t="n"/>
      <c r="AI451" s="21" t="n"/>
      <c r="AJ451" s="27">
        <f>SUM(AH451:AI451)</f>
        <v/>
      </c>
      <c r="AK451" s="28" t="n"/>
      <c r="AL451" s="28" t="n"/>
      <c r="AM451" s="29">
        <f>IF(AND(AJ451=0,AK451=0,AL451=0),0,IF(AND(AJ451=0,AK451=0),AL451/1,IF(AND(AJ451=0,AL451=0),AK451/1,IF(AND(AK451=0,AL451=0),AJ451/1,IF(AJ451=0,FLOOR((AK451+AL451)/2,0.1),IF(AK451=0,(AJ451+AL451)/2,IF(AL451=0,(AK451+AJ451)/2,FLOOR(((AJ451+AK451+AL451)/3),0.1))))))))</f>
        <v/>
      </c>
      <c r="AN451" s="21" t="n"/>
      <c r="AO451" s="21" t="n"/>
      <c r="AP451" s="27">
        <f>SUM(AN451:AO451)</f>
        <v/>
      </c>
      <c r="AQ451" s="28" t="n"/>
      <c r="AR451" s="30" t="n"/>
      <c r="AS451" s="29">
        <f>IF(AND(AP451=0,AQ451=0,AR451=0),0,IF(AND(AP451=0,AQ451=0),AR451/1,IF(AND(AP451=0,AR451=0),AQ451/1,IF(AND(AQ451=0,AR451=0),AP451/1,IF(AP451=0,FLOOR((AQ451+AR451)/2,0.1),IF(AQ451=0,(AP451+AR451)/2,IF(AR451=0,(AQ451+AP451)/2,FLOOR(((AP451+AQ451+AR451)/3),0.1))))))))</f>
        <v/>
      </c>
      <c r="AT451" s="21" t="n"/>
      <c r="AU451" s="21" t="n"/>
      <c r="AV451" s="27">
        <f>SUM(AT451:AU451)</f>
        <v/>
      </c>
      <c r="AW451" s="28" t="n"/>
      <c r="AX451" s="30" t="n"/>
      <c r="AY451" s="29">
        <f>IF(AND(AV451=0,AW451=0,AX451=0),0,IF(AND(AV451=0,AW451=0),AX451/1,IF(AND(AV451=0,AX451=0),AW451/1,IF(AND(AW451=0,AX451=0),AV451/1,IF(AV451=0,FLOOR((AW451+AX451)/2,0.1),IF(AW451=0,(AV451+AX451)/2,IF(AX451=0,(AW451+AV451)/2,FLOOR(((AV451+AW451+AX451)/3),0.1))))))))</f>
        <v/>
      </c>
      <c r="AZ451" s="21" t="n"/>
      <c r="BA451" s="21" t="n"/>
      <c r="BB451" s="27">
        <f>SUM(AZ451:BA451)</f>
        <v/>
      </c>
      <c r="BC451" s="28" t="n"/>
      <c r="BD451" s="28" t="n"/>
      <c r="BE451" s="29">
        <f>IF(AND(BB451=0,BC451=0,BD451=0),0,IF(AND(BB451=0,BC451=0),BD451/1,IF(AND(BB451=0,BD451=0),BC451/1,IF(AND(BC451=0,BD451=0),BB451/1,IF(BB451=0,FLOOR((BC451+BD451)/2,0.1),IF(BC451=0,(BB451+BD451)/2,IF(BD451=0,(BC451+BB451)/2,FLOOR(((BB451+BC451+BD451)/3),0.1))))))))</f>
        <v/>
      </c>
      <c r="BF451" s="21" t="n"/>
      <c r="BG451" s="21" t="n"/>
      <c r="BH451" s="27">
        <f>SUM(BF451:BG451)</f>
        <v/>
      </c>
      <c r="BI451" s="28" t="n"/>
      <c r="BJ451" s="28" t="n"/>
      <c r="BK451" s="29">
        <f>IF(AND(BH451=0,BI451=0,BJ451=0),0,IF(AND(BH451=0,BI451=0),BJ451/1,IF(AND(BH451=0,BJ451=0),BI451/1,IF(AND(BI451=0,BJ451=0),BH451/1,IF(BH451=0,FLOOR((BI451+BJ451)/2,0.1),IF(BI451=0,(BH451+BJ451)/2,IF(BJ451=0,(BI451+BH451)/2,FLOOR(((BH451+BI451+BJ451)/3),0.1))))))))</f>
        <v/>
      </c>
      <c r="BL451" s="21" t="n"/>
      <c r="BM451" s="21" t="n"/>
      <c r="BN451" s="27">
        <f>SUM(BL451:BM451)</f>
        <v/>
      </c>
      <c r="BO451" s="28" t="n"/>
      <c r="BP451" s="31" t="n"/>
      <c r="BQ451" s="29">
        <f>IF(AND(BN451=0,BO451=0,BP451=0),0,IF(AND(BN451=0,BO451=0),BP451/1,IF(AND(BN451=0,BP451=0),BO451/1,IF(AND(BO451=0,BP451=0),BN451/1,IF(BN451=0,FLOOR((BO451+BP451)/2,0.1),IF(BO451=0,(BN451+BP451)/2,IF(BP451=0,(BO451+BN451)/2,FLOOR(((BN451+BO451+BP451)/3),0.1))))))))</f>
        <v/>
      </c>
      <c r="BR451" s="21" t="n"/>
      <c r="BS451" s="21" t="n"/>
      <c r="BT451" s="27">
        <f>SUM(BR451:BS451)</f>
        <v/>
      </c>
      <c r="BU451" s="28" t="n"/>
      <c r="BV451" s="31" t="n"/>
      <c r="BW451" s="29">
        <f>IF(AND(BT451=0,BU451=0,BV451=0),0,IF(AND(BT451=0,BU451=0),BV451/1,IF(AND(BT451=0,BV451=0),BU451/1,IF(AND(BU451=0,BV451=0),BT451/1,IF(BT451=0,FLOOR((BU451+BV451)/2,0.1),IF(BU451=0,(BT451+BV451)/2,IF(BV451=0,(BU451+BT451)/2,FLOOR(((BT451+BU451+BV451)/3),0.1))))))))</f>
        <v/>
      </c>
      <c r="BX451" s="21" t="n"/>
      <c r="BY451" s="21" t="n"/>
      <c r="BZ451" s="27">
        <f>SUM(BX451:BY451)</f>
        <v/>
      </c>
      <c r="CA451" s="28" t="n"/>
      <c r="CB451" s="31" t="n"/>
      <c r="CC451" s="29">
        <f>IF(AND(BZ451=0,CA451=0,CB451=0),0,IF(AND(BZ451=0,CA451=0),CB451/1,IF(AND(BZ451=0,CB451=0),CA451/1,IF(AND(CA451=0,CB451=0),BZ451/1,IF(BZ451=0,FLOOR((CA451+CB451)/2,0.1),IF(CA451=0,(BZ451+CB451)/2,IF(CB451=0,(CA451+BZ451)/2,FLOOR(((BZ451+CA451+CB451)/3),0.1))))))))</f>
        <v/>
      </c>
      <c r="CD451" s="21" t="n"/>
      <c r="CE451" s="21" t="n"/>
      <c r="CF451" s="27">
        <f>SUM(CD451:CE451)</f>
        <v/>
      </c>
      <c r="CG451" s="28" t="n"/>
      <c r="CH451" s="31" t="n"/>
      <c r="CI451" s="29">
        <f>IF(AND(CF451=0,CG451=0,CH451=0),0,IF(AND(CF451=0,CG451=0),CH451/1,IF(AND(CF451=0,CH451=0),CG451/1,IF(AND(CG451=0,CH451=0),CF451/1,IF(CF451=0,FLOOR((CG451+CH451)/2,0.1),IF(CG451=0,(CF451+CH451)/2,IF(CH451=0,(CG451+CF451)/2,FLOOR(((CF451+CG451+CH451)/3),0.1))))))))</f>
        <v/>
      </c>
      <c r="CJ451" s="21" t="n"/>
      <c r="CK451" s="21" t="n"/>
      <c r="CL451" s="27">
        <f>SUM(CJ451:CK451)</f>
        <v/>
      </c>
      <c r="CM451" s="28" t="n"/>
      <c r="CN451" s="31" t="n"/>
      <c r="CO451" s="29">
        <f>IF(AND(CL451=0,CM451=0,CN451=0),0,IF(AND(CL451=0,CM451=0),CN451/1,IF(AND(CL451=0,CN451=0),CM451/1,IF(AND(CM451=0,CN451=0),CL451/1,IF(CL451=0,FLOOR((CM451+CN451)/2,0.1),IF(CM451=0,(CL451+CN451)/2,IF(CN451=0,(CM451+CL451)/2,FLOOR(((CL451+CM451+CN451)/3),0.1))))))))</f>
        <v/>
      </c>
      <c r="CP451" s="21" t="n"/>
      <c r="CQ451" s="21" t="n"/>
      <c r="CR451" s="27">
        <f>SUM(CP451:CQ451)</f>
        <v/>
      </c>
      <c r="CS451" s="28" t="n"/>
      <c r="CT451" s="31" t="n"/>
      <c r="CU451" s="29">
        <f>IF(AND(CR451=0,CS451=0,CT451=0),0,IF(AND(CR451=0,CS451=0),CT451/1,IF(AND(CR451=0,CT451=0),CS451/1,IF(AND(CS451=0,CT451=0),CR451/1,IF(CR451=0,FLOOR((CS451+CT451)/2,0.1),IF(CS451=0,(CR451+CT451)/2,IF(CT451=0,(CS451+CR451)/2,FLOOR(((CR451+CS451+CT451)/3),0.1))))))))</f>
        <v/>
      </c>
      <c r="CV451" s="21" t="n"/>
      <c r="CW451" s="21" t="n"/>
      <c r="CX451" s="27">
        <f>SUM(CV451:CW451)</f>
        <v/>
      </c>
      <c r="CY451" s="28" t="n"/>
      <c r="CZ451" s="31" t="n"/>
      <c r="DA451" s="29">
        <f>IF(AND(CX451=0,CY451=0,CZ451=0),0,IF(AND(CX451=0,CY451=0),CZ451/1,IF(AND(CX451=0,CZ451=0),CY451/1,IF(AND(CY451=0,CZ451=0),CX451/1,IF(CX451=0,FLOOR((CY451+CZ451)/2,0.1),IF(CY451=0,(CX451+CZ451)/2,IF(CZ451=0,(CY451+CX451)/2,FLOOR(((CX451+CY451+CZ451)/3),0.1))))))))</f>
        <v/>
      </c>
      <c r="DB451" s="21" t="n"/>
      <c r="DC451" s="21" t="n"/>
      <c r="DD451" s="27">
        <f>SUM(DB451:DC451)</f>
        <v/>
      </c>
      <c r="DE451" s="28" t="n"/>
      <c r="DF451" s="31" t="n"/>
      <c r="DG451" s="29">
        <f>IF(AND(DD451=0,DE451=0,DF451=0),0,IF(AND(DD451=0,DE451=0),DF451/1,IF(AND(DD451=0,DF451=0),DE451/1,IF(AND(DE451=0,DF451=0),DD451/1,IF(DD451=0,FLOOR((DE451+DF451)/2,0.1),IF(DE451=0,(DD451+DF451)/2,IF(DF451=0,(DE451+DD451)/2,FLOOR(((DD451+DE451+DF451)/3),0.1))))))))</f>
        <v/>
      </c>
      <c r="DH451" s="34">
        <f>SUM(O451,U451,AA451,AG451,AM451,AS451,AY451,BE451,BK451,BQ451,BW451,CC451,CI451,CO451,CU451,DA451,DG451)</f>
        <v/>
      </c>
      <c r="DI451" s="39">
        <f>RANK(DH451,DH$4:DH$503)</f>
        <v/>
      </c>
      <c r="DJ451" s="40" t="inlineStr">
        <is>
          <t>CHOOSE RATING</t>
        </is>
      </c>
      <c r="DK451" s="40" t="inlineStr">
        <is>
          <t>CHOOSE RATING</t>
        </is>
      </c>
      <c r="DL451" s="40" t="inlineStr">
        <is>
          <t>CHOOSE RATING</t>
        </is>
      </c>
      <c r="DM451" s="40" t="inlineStr">
        <is>
          <t>CHOOSE RATING</t>
        </is>
      </c>
      <c r="DN451" s="40" t="inlineStr">
        <is>
          <t>CHOOSE RATING</t>
        </is>
      </c>
      <c r="DO451" s="40" t="inlineStr">
        <is>
          <t>CHOOSE RATING</t>
        </is>
      </c>
      <c r="DP451" s="40" t="inlineStr">
        <is>
          <t>CHOOSE RATING</t>
        </is>
      </c>
      <c r="DQ451" s="40" t="inlineStr">
        <is>
          <t>CHOOSE RATING</t>
        </is>
      </c>
      <c r="DR451" s="43" t="inlineStr">
        <is>
          <t>2024/2025</t>
        </is>
      </c>
      <c r="DS451" s="45" t="inlineStr">
        <is>
          <t>THIRD</t>
        </is>
      </c>
      <c r="DT451" s="40" t="inlineStr">
        <is>
          <t>CHOOSE RATING</t>
        </is>
      </c>
      <c r="DU451" s="40" t="inlineStr">
        <is>
          <t>CHOOSE RATING</t>
        </is>
      </c>
      <c r="DV451" s="40" t="inlineStr">
        <is>
          <t>CHOOSE RATING</t>
        </is>
      </c>
      <c r="DW451" s="40" t="inlineStr">
        <is>
          <t>CHOOSE RATING</t>
        </is>
      </c>
      <c r="DX451" s="40" t="inlineStr">
        <is>
          <t>CHOOSE RATING</t>
        </is>
      </c>
      <c r="DY451" s="40" t="inlineStr">
        <is>
          <t>CHOOSE RATING</t>
        </is>
      </c>
      <c r="DZ451" s="53" t="inlineStr">
        <is>
          <t>CHOOSE RATING</t>
        </is>
      </c>
      <c r="EA451" s="54" t="inlineStr">
        <is>
          <t>Add the Tutor's Comment . . .</t>
        </is>
      </c>
      <c r="EB451" s="55" t="inlineStr">
        <is>
          <t>Choose Principals comment</t>
        </is>
      </c>
      <c r="EC451" s="56" t="n"/>
      <c r="ED451" s="57" t="inlineStr">
        <is>
          <t>Next Term Begins on Monday, 22nd September, 2025</t>
        </is>
      </c>
    </row>
    <row r="452" ht="30.6" customHeight="1" s="6">
      <c r="A452" s="18" t="n">
        <v>449</v>
      </c>
      <c r="B452" s="19" t="n"/>
      <c r="C452" s="20" t="n"/>
      <c r="D452" s="128" t="n"/>
      <c r="E452" s="21" t="n"/>
      <c r="F452" s="22" t="n"/>
      <c r="G452" s="22" t="n"/>
      <c r="H452" s="22" t="n"/>
      <c r="I452" s="26">
        <f>G452-H452</f>
        <v/>
      </c>
      <c r="J452" s="21" t="n"/>
      <c r="K452" s="21" t="n"/>
      <c r="L452" s="27">
        <f>SUM(J452:K452)</f>
        <v/>
      </c>
      <c r="M452" s="28" t="n"/>
      <c r="N452" s="28" t="n"/>
      <c r="O452" s="29">
        <f>IF(AND(L452=0,M452=0,N452=0),0,IF(AND(L452=0,M452=0),N452/1,IF(AND(L452=0,N452=0),M452/1,IF(AND(M452=0,N452=0),L452/1,IF(L452=0,FLOOR((M452+N452)/2,0.1),IF(M452=0,(L452+N452)/2,IF(N452=0,(M452+L452)/2,FLOOR(((L452+M452+N452)/3),0.1))))))))</f>
        <v/>
      </c>
      <c r="P452" s="21" t="n"/>
      <c r="Q452" s="21" t="n"/>
      <c r="R452" s="27">
        <f>SUM(P452:Q452)</f>
        <v/>
      </c>
      <c r="S452" s="28" t="n"/>
      <c r="T452" s="28" t="n"/>
      <c r="U452" s="29">
        <f>IF(AND(R452=0,S452=0,T452=0),0,IF(AND(R452=0,S452=0),T452/1,IF(AND(R452=0,T452=0),S452/1,IF(AND(S452=0,T452=0),R452/1,IF(R452=0,FLOOR((S452+T452)/2,0.1),IF(S452=0,(R452+T452)/2,IF(T452=0,(S452+R452)/2,FLOOR(((R452+S452+T452)/3),0.1))))))))</f>
        <v/>
      </c>
      <c r="V452" s="21" t="n"/>
      <c r="W452" s="21" t="n"/>
      <c r="X452" s="27">
        <f>SUM(V452:W452)</f>
        <v/>
      </c>
      <c r="Y452" s="28" t="n"/>
      <c r="Z452" s="28" t="n"/>
      <c r="AA452" s="29">
        <f>IF(AND(X452=0,Y452=0,Z452=0),0,IF(AND(X452=0,Y452=0),Z452/1,IF(AND(X452=0,Z452=0),Y452/1,IF(AND(Y452=0,Z452=0),X452/1,IF(X452=0,FLOOR((Y452+Z452)/2,0.1),IF(Y452=0,(X452+Z452)/2,IF(Z452=0,(Y452+X452)/2,FLOOR(((X452+Y452+Z452)/3),0.1))))))))</f>
        <v/>
      </c>
      <c r="AB452" s="21" t="n"/>
      <c r="AC452" s="21" t="n"/>
      <c r="AD452" s="27">
        <f>SUM(AB452:AC452)</f>
        <v/>
      </c>
      <c r="AE452" s="28" t="n"/>
      <c r="AF452" s="28" t="n"/>
      <c r="AG452" s="29">
        <f>IF(AND(AD452=0,AE452=0,AF452=0),0,IF(AND(AD452=0,AE452=0),AF452/1,IF(AND(AD452=0,AF452=0),AE452/1,IF(AND(AE452=0,AF452=0),AD452/1,IF(AD452=0,FLOOR((AE452+AF452)/2,0.1),IF(AE452=0,(AD452+AF452)/2,IF(AF452=0,(AE452+AD452)/2,FLOOR(((AD452+AE452+AF452)/3),0.1))))))))</f>
        <v/>
      </c>
      <c r="AH452" s="21" t="n"/>
      <c r="AI452" s="21" t="n"/>
      <c r="AJ452" s="27">
        <f>SUM(AH452:AI452)</f>
        <v/>
      </c>
      <c r="AK452" s="28" t="n"/>
      <c r="AL452" s="28" t="n"/>
      <c r="AM452" s="29">
        <f>IF(AND(AJ452=0,AK452=0,AL452=0),0,IF(AND(AJ452=0,AK452=0),AL452/1,IF(AND(AJ452=0,AL452=0),AK452/1,IF(AND(AK452=0,AL452=0),AJ452/1,IF(AJ452=0,FLOOR((AK452+AL452)/2,0.1),IF(AK452=0,(AJ452+AL452)/2,IF(AL452=0,(AK452+AJ452)/2,FLOOR(((AJ452+AK452+AL452)/3),0.1))))))))</f>
        <v/>
      </c>
      <c r="AN452" s="21" t="n"/>
      <c r="AO452" s="21" t="n"/>
      <c r="AP452" s="27">
        <f>SUM(AN452:AO452)</f>
        <v/>
      </c>
      <c r="AQ452" s="28" t="n"/>
      <c r="AR452" s="30" t="n"/>
      <c r="AS452" s="29">
        <f>IF(AND(AP452=0,AQ452=0,AR452=0),0,IF(AND(AP452=0,AQ452=0),AR452/1,IF(AND(AP452=0,AR452=0),AQ452/1,IF(AND(AQ452=0,AR452=0),AP452/1,IF(AP452=0,FLOOR((AQ452+AR452)/2,0.1),IF(AQ452=0,(AP452+AR452)/2,IF(AR452=0,(AQ452+AP452)/2,FLOOR(((AP452+AQ452+AR452)/3),0.1))))))))</f>
        <v/>
      </c>
      <c r="AT452" s="21" t="n"/>
      <c r="AU452" s="21" t="n"/>
      <c r="AV452" s="27">
        <f>SUM(AT452:AU452)</f>
        <v/>
      </c>
      <c r="AW452" s="28" t="n"/>
      <c r="AX452" s="30" t="n"/>
      <c r="AY452" s="29">
        <f>IF(AND(AV452=0,AW452=0,AX452=0),0,IF(AND(AV452=0,AW452=0),AX452/1,IF(AND(AV452=0,AX452=0),AW452/1,IF(AND(AW452=0,AX452=0),AV452/1,IF(AV452=0,FLOOR((AW452+AX452)/2,0.1),IF(AW452=0,(AV452+AX452)/2,IF(AX452=0,(AW452+AV452)/2,FLOOR(((AV452+AW452+AX452)/3),0.1))))))))</f>
        <v/>
      </c>
      <c r="AZ452" s="21" t="n"/>
      <c r="BA452" s="21" t="n"/>
      <c r="BB452" s="27">
        <f>SUM(AZ452:BA452)</f>
        <v/>
      </c>
      <c r="BC452" s="28" t="n"/>
      <c r="BD452" s="28" t="n"/>
      <c r="BE452" s="29">
        <f>IF(AND(BB452=0,BC452=0,BD452=0),0,IF(AND(BB452=0,BC452=0),BD452/1,IF(AND(BB452=0,BD452=0),BC452/1,IF(AND(BC452=0,BD452=0),BB452/1,IF(BB452=0,FLOOR((BC452+BD452)/2,0.1),IF(BC452=0,(BB452+BD452)/2,IF(BD452=0,(BC452+BB452)/2,FLOOR(((BB452+BC452+BD452)/3),0.1))))))))</f>
        <v/>
      </c>
      <c r="BF452" s="21" t="n"/>
      <c r="BG452" s="21" t="n"/>
      <c r="BH452" s="27">
        <f>SUM(BF452:BG452)</f>
        <v/>
      </c>
      <c r="BI452" s="28" t="n"/>
      <c r="BJ452" s="28" t="n"/>
      <c r="BK452" s="29">
        <f>IF(AND(BH452=0,BI452=0,BJ452=0),0,IF(AND(BH452=0,BI452=0),BJ452/1,IF(AND(BH452=0,BJ452=0),BI452/1,IF(AND(BI452=0,BJ452=0),BH452/1,IF(BH452=0,FLOOR((BI452+BJ452)/2,0.1),IF(BI452=0,(BH452+BJ452)/2,IF(BJ452=0,(BI452+BH452)/2,FLOOR(((BH452+BI452+BJ452)/3),0.1))))))))</f>
        <v/>
      </c>
      <c r="BL452" s="21" t="n"/>
      <c r="BM452" s="21" t="n"/>
      <c r="BN452" s="27">
        <f>SUM(BL452:BM452)</f>
        <v/>
      </c>
      <c r="BO452" s="28" t="n"/>
      <c r="BP452" s="31" t="n"/>
      <c r="BQ452" s="29">
        <f>IF(AND(BN452=0,BO452=0,BP452=0),0,IF(AND(BN452=0,BO452=0),BP452/1,IF(AND(BN452=0,BP452=0),BO452/1,IF(AND(BO452=0,BP452=0),BN452/1,IF(BN452=0,FLOOR((BO452+BP452)/2,0.1),IF(BO452=0,(BN452+BP452)/2,IF(BP452=0,(BO452+BN452)/2,FLOOR(((BN452+BO452+BP452)/3),0.1))))))))</f>
        <v/>
      </c>
      <c r="BR452" s="21" t="n"/>
      <c r="BS452" s="21" t="n"/>
      <c r="BT452" s="27">
        <f>SUM(BR452:BS452)</f>
        <v/>
      </c>
      <c r="BU452" s="28" t="n"/>
      <c r="BV452" s="31" t="n"/>
      <c r="BW452" s="29">
        <f>IF(AND(BT452=0,BU452=0,BV452=0),0,IF(AND(BT452=0,BU452=0),BV452/1,IF(AND(BT452=0,BV452=0),BU452/1,IF(AND(BU452=0,BV452=0),BT452/1,IF(BT452=0,FLOOR((BU452+BV452)/2,0.1),IF(BU452=0,(BT452+BV452)/2,IF(BV452=0,(BU452+BT452)/2,FLOOR(((BT452+BU452+BV452)/3),0.1))))))))</f>
        <v/>
      </c>
      <c r="BX452" s="21" t="n"/>
      <c r="BY452" s="21" t="n"/>
      <c r="BZ452" s="27">
        <f>SUM(BX452:BY452)</f>
        <v/>
      </c>
      <c r="CA452" s="28" t="n"/>
      <c r="CB452" s="31" t="n"/>
      <c r="CC452" s="29">
        <f>IF(AND(BZ452=0,CA452=0,CB452=0),0,IF(AND(BZ452=0,CA452=0),CB452/1,IF(AND(BZ452=0,CB452=0),CA452/1,IF(AND(CA452=0,CB452=0),BZ452/1,IF(BZ452=0,FLOOR((CA452+CB452)/2,0.1),IF(CA452=0,(BZ452+CB452)/2,IF(CB452=0,(CA452+BZ452)/2,FLOOR(((BZ452+CA452+CB452)/3),0.1))))))))</f>
        <v/>
      </c>
      <c r="CD452" s="21" t="n"/>
      <c r="CE452" s="21" t="n"/>
      <c r="CF452" s="27">
        <f>SUM(CD452:CE452)</f>
        <v/>
      </c>
      <c r="CG452" s="28" t="n"/>
      <c r="CH452" s="31" t="n"/>
      <c r="CI452" s="29">
        <f>IF(AND(CF452=0,CG452=0,CH452=0),0,IF(AND(CF452=0,CG452=0),CH452/1,IF(AND(CF452=0,CH452=0),CG452/1,IF(AND(CG452=0,CH452=0),CF452/1,IF(CF452=0,FLOOR((CG452+CH452)/2,0.1),IF(CG452=0,(CF452+CH452)/2,IF(CH452=0,(CG452+CF452)/2,FLOOR(((CF452+CG452+CH452)/3),0.1))))))))</f>
        <v/>
      </c>
      <c r="CJ452" s="21" t="n"/>
      <c r="CK452" s="21" t="n"/>
      <c r="CL452" s="27">
        <f>SUM(CJ452:CK452)</f>
        <v/>
      </c>
      <c r="CM452" s="28" t="n"/>
      <c r="CN452" s="31" t="n"/>
      <c r="CO452" s="29">
        <f>IF(AND(CL452=0,CM452=0,CN452=0),0,IF(AND(CL452=0,CM452=0),CN452/1,IF(AND(CL452=0,CN452=0),CM452/1,IF(AND(CM452=0,CN452=0),CL452/1,IF(CL452=0,FLOOR((CM452+CN452)/2,0.1),IF(CM452=0,(CL452+CN452)/2,IF(CN452=0,(CM452+CL452)/2,FLOOR(((CL452+CM452+CN452)/3),0.1))))))))</f>
        <v/>
      </c>
      <c r="CP452" s="21" t="n"/>
      <c r="CQ452" s="21" t="n"/>
      <c r="CR452" s="27">
        <f>SUM(CP452:CQ452)</f>
        <v/>
      </c>
      <c r="CS452" s="28" t="n"/>
      <c r="CT452" s="31" t="n"/>
      <c r="CU452" s="29">
        <f>IF(AND(CR452=0,CS452=0,CT452=0),0,IF(AND(CR452=0,CS452=0),CT452/1,IF(AND(CR452=0,CT452=0),CS452/1,IF(AND(CS452=0,CT452=0),CR452/1,IF(CR452=0,FLOOR((CS452+CT452)/2,0.1),IF(CS452=0,(CR452+CT452)/2,IF(CT452=0,(CS452+CR452)/2,FLOOR(((CR452+CS452+CT452)/3),0.1))))))))</f>
        <v/>
      </c>
      <c r="CV452" s="21" t="n"/>
      <c r="CW452" s="21" t="n"/>
      <c r="CX452" s="27">
        <f>SUM(CV452:CW452)</f>
        <v/>
      </c>
      <c r="CY452" s="28" t="n"/>
      <c r="CZ452" s="31" t="n"/>
      <c r="DA452" s="29">
        <f>IF(AND(CX452=0,CY452=0,CZ452=0),0,IF(AND(CX452=0,CY452=0),CZ452/1,IF(AND(CX452=0,CZ452=0),CY452/1,IF(AND(CY452=0,CZ452=0),CX452/1,IF(CX452=0,FLOOR((CY452+CZ452)/2,0.1),IF(CY452=0,(CX452+CZ452)/2,IF(CZ452=0,(CY452+CX452)/2,FLOOR(((CX452+CY452+CZ452)/3),0.1))))))))</f>
        <v/>
      </c>
      <c r="DB452" s="21" t="n"/>
      <c r="DC452" s="21" t="n"/>
      <c r="DD452" s="27">
        <f>SUM(DB452:DC452)</f>
        <v/>
      </c>
      <c r="DE452" s="28" t="n"/>
      <c r="DF452" s="31" t="n"/>
      <c r="DG452" s="29">
        <f>IF(AND(DD452=0,DE452=0,DF452=0),0,IF(AND(DD452=0,DE452=0),DF452/1,IF(AND(DD452=0,DF452=0),DE452/1,IF(AND(DE452=0,DF452=0),DD452/1,IF(DD452=0,FLOOR((DE452+DF452)/2,0.1),IF(DE452=0,(DD452+DF452)/2,IF(DF452=0,(DE452+DD452)/2,FLOOR(((DD452+DE452+DF452)/3),0.1))))))))</f>
        <v/>
      </c>
      <c r="DH452" s="34">
        <f>SUM(O452,U452,AA452,AG452,AM452,AS452,AY452,BE452,BK452,BQ452,BW452,CC452,CI452,CO452,CU452,DA452,DG452)</f>
        <v/>
      </c>
      <c r="DI452" s="39">
        <f>RANK(DH452,DH$4:DH$503)</f>
        <v/>
      </c>
      <c r="DJ452" s="40" t="inlineStr">
        <is>
          <t>CHOOSE RATING</t>
        </is>
      </c>
      <c r="DK452" s="40" t="inlineStr">
        <is>
          <t>CHOOSE RATING</t>
        </is>
      </c>
      <c r="DL452" s="40" t="inlineStr">
        <is>
          <t>CHOOSE RATING</t>
        </is>
      </c>
      <c r="DM452" s="40" t="inlineStr">
        <is>
          <t>CHOOSE RATING</t>
        </is>
      </c>
      <c r="DN452" s="40" t="inlineStr">
        <is>
          <t>CHOOSE RATING</t>
        </is>
      </c>
      <c r="DO452" s="40" t="inlineStr">
        <is>
          <t>CHOOSE RATING</t>
        </is>
      </c>
      <c r="DP452" s="40" t="inlineStr">
        <is>
          <t>CHOOSE RATING</t>
        </is>
      </c>
      <c r="DQ452" s="40" t="inlineStr">
        <is>
          <t>CHOOSE RATING</t>
        </is>
      </c>
      <c r="DR452" s="43" t="inlineStr">
        <is>
          <t>2024/2025</t>
        </is>
      </c>
      <c r="DS452" s="45" t="inlineStr">
        <is>
          <t>THIRD</t>
        </is>
      </c>
      <c r="DT452" s="40" t="inlineStr">
        <is>
          <t>CHOOSE RATING</t>
        </is>
      </c>
      <c r="DU452" s="40" t="inlineStr">
        <is>
          <t>CHOOSE RATING</t>
        </is>
      </c>
      <c r="DV452" s="40" t="inlineStr">
        <is>
          <t>CHOOSE RATING</t>
        </is>
      </c>
      <c r="DW452" s="40" t="inlineStr">
        <is>
          <t>CHOOSE RATING</t>
        </is>
      </c>
      <c r="DX452" s="40" t="inlineStr">
        <is>
          <t>CHOOSE RATING</t>
        </is>
      </c>
      <c r="DY452" s="40" t="inlineStr">
        <is>
          <t>CHOOSE RATING</t>
        </is>
      </c>
      <c r="DZ452" s="53" t="inlineStr">
        <is>
          <t>CHOOSE RATING</t>
        </is>
      </c>
      <c r="EA452" s="54" t="inlineStr">
        <is>
          <t>Add the Tutor's Comment . . .</t>
        </is>
      </c>
      <c r="EB452" s="55" t="inlineStr">
        <is>
          <t>Choose Principals comment</t>
        </is>
      </c>
      <c r="EC452" s="56" t="n"/>
      <c r="ED452" s="57" t="inlineStr">
        <is>
          <t>Next Term Begins on Monday, 22nd September, 2025</t>
        </is>
      </c>
    </row>
    <row r="453" ht="30.6" customHeight="1" s="6">
      <c r="A453" s="18" t="n">
        <v>450</v>
      </c>
      <c r="B453" s="19" t="n"/>
      <c r="C453" s="20" t="n"/>
      <c r="D453" s="128" t="n"/>
      <c r="E453" s="21" t="n"/>
      <c r="F453" s="22" t="n"/>
      <c r="G453" s="22" t="n"/>
      <c r="H453" s="22" t="n"/>
      <c r="I453" s="26">
        <f>G453-H453</f>
        <v/>
      </c>
      <c r="J453" s="21" t="n"/>
      <c r="K453" s="21" t="n"/>
      <c r="L453" s="27">
        <f>SUM(J453:K453)</f>
        <v/>
      </c>
      <c r="M453" s="28" t="n"/>
      <c r="N453" s="28" t="n"/>
      <c r="O453" s="29">
        <f>IF(AND(L453=0,M453=0,N453=0),0,IF(AND(L453=0,M453=0),N453/1,IF(AND(L453=0,N453=0),M453/1,IF(AND(M453=0,N453=0),L453/1,IF(L453=0,FLOOR((M453+N453)/2,0.1),IF(M453=0,(L453+N453)/2,IF(N453=0,(M453+L453)/2,FLOOR(((L453+M453+N453)/3),0.1))))))))</f>
        <v/>
      </c>
      <c r="P453" s="21" t="n"/>
      <c r="Q453" s="21" t="n"/>
      <c r="R453" s="27">
        <f>SUM(P453:Q453)</f>
        <v/>
      </c>
      <c r="S453" s="28" t="n"/>
      <c r="T453" s="28" t="n"/>
      <c r="U453" s="29">
        <f>IF(AND(R453=0,S453=0,T453=0),0,IF(AND(R453=0,S453=0),T453/1,IF(AND(R453=0,T453=0),S453/1,IF(AND(S453=0,T453=0),R453/1,IF(R453=0,FLOOR((S453+T453)/2,0.1),IF(S453=0,(R453+T453)/2,IF(T453=0,(S453+R453)/2,FLOOR(((R453+S453+T453)/3),0.1))))))))</f>
        <v/>
      </c>
      <c r="V453" s="21" t="n"/>
      <c r="W453" s="21" t="n"/>
      <c r="X453" s="27">
        <f>SUM(V453:W453)</f>
        <v/>
      </c>
      <c r="Y453" s="28" t="n"/>
      <c r="Z453" s="28" t="n"/>
      <c r="AA453" s="29">
        <f>IF(AND(X453=0,Y453=0,Z453=0),0,IF(AND(X453=0,Y453=0),Z453/1,IF(AND(X453=0,Z453=0),Y453/1,IF(AND(Y453=0,Z453=0),X453/1,IF(X453=0,FLOOR((Y453+Z453)/2,0.1),IF(Y453=0,(X453+Z453)/2,IF(Z453=0,(Y453+X453)/2,FLOOR(((X453+Y453+Z453)/3),0.1))))))))</f>
        <v/>
      </c>
      <c r="AB453" s="21" t="n"/>
      <c r="AC453" s="21" t="n"/>
      <c r="AD453" s="27">
        <f>SUM(AB453:AC453)</f>
        <v/>
      </c>
      <c r="AE453" s="28" t="n"/>
      <c r="AF453" s="28" t="n"/>
      <c r="AG453" s="29">
        <f>IF(AND(AD453=0,AE453=0,AF453=0),0,IF(AND(AD453=0,AE453=0),AF453/1,IF(AND(AD453=0,AF453=0),AE453/1,IF(AND(AE453=0,AF453=0),AD453/1,IF(AD453=0,FLOOR((AE453+AF453)/2,0.1),IF(AE453=0,(AD453+AF453)/2,IF(AF453=0,(AE453+AD453)/2,FLOOR(((AD453+AE453+AF453)/3),0.1))))))))</f>
        <v/>
      </c>
      <c r="AH453" s="21" t="n"/>
      <c r="AI453" s="21" t="n"/>
      <c r="AJ453" s="27">
        <f>SUM(AH453:AI453)</f>
        <v/>
      </c>
      <c r="AK453" s="28" t="n"/>
      <c r="AL453" s="28" t="n"/>
      <c r="AM453" s="29">
        <f>IF(AND(AJ453=0,AK453=0,AL453=0),0,IF(AND(AJ453=0,AK453=0),AL453/1,IF(AND(AJ453=0,AL453=0),AK453/1,IF(AND(AK453=0,AL453=0),AJ453/1,IF(AJ453=0,FLOOR((AK453+AL453)/2,0.1),IF(AK453=0,(AJ453+AL453)/2,IF(AL453=0,(AK453+AJ453)/2,FLOOR(((AJ453+AK453+AL453)/3),0.1))))))))</f>
        <v/>
      </c>
      <c r="AN453" s="21" t="n"/>
      <c r="AO453" s="21" t="n"/>
      <c r="AP453" s="27">
        <f>SUM(AN453:AO453)</f>
        <v/>
      </c>
      <c r="AQ453" s="28" t="n"/>
      <c r="AR453" s="30" t="n"/>
      <c r="AS453" s="29">
        <f>IF(AND(AP453=0,AQ453=0,AR453=0),0,IF(AND(AP453=0,AQ453=0),AR453/1,IF(AND(AP453=0,AR453=0),AQ453/1,IF(AND(AQ453=0,AR453=0),AP453/1,IF(AP453=0,FLOOR((AQ453+AR453)/2,0.1),IF(AQ453=0,(AP453+AR453)/2,IF(AR453=0,(AQ453+AP453)/2,FLOOR(((AP453+AQ453+AR453)/3),0.1))))))))</f>
        <v/>
      </c>
      <c r="AT453" s="21" t="n"/>
      <c r="AU453" s="21" t="n"/>
      <c r="AV453" s="27">
        <f>SUM(AT453:AU453)</f>
        <v/>
      </c>
      <c r="AW453" s="28" t="n"/>
      <c r="AX453" s="30" t="n"/>
      <c r="AY453" s="29">
        <f>IF(AND(AV453=0,AW453=0,AX453=0),0,IF(AND(AV453=0,AW453=0),AX453/1,IF(AND(AV453=0,AX453=0),AW453/1,IF(AND(AW453=0,AX453=0),AV453/1,IF(AV453=0,FLOOR((AW453+AX453)/2,0.1),IF(AW453=0,(AV453+AX453)/2,IF(AX453=0,(AW453+AV453)/2,FLOOR(((AV453+AW453+AX453)/3),0.1))))))))</f>
        <v/>
      </c>
      <c r="AZ453" s="21" t="n"/>
      <c r="BA453" s="21" t="n"/>
      <c r="BB453" s="27">
        <f>SUM(AZ453:BA453)</f>
        <v/>
      </c>
      <c r="BC453" s="28" t="n"/>
      <c r="BD453" s="28" t="n"/>
      <c r="BE453" s="29">
        <f>IF(AND(BB453=0,BC453=0,BD453=0),0,IF(AND(BB453=0,BC453=0),BD453/1,IF(AND(BB453=0,BD453=0),BC453/1,IF(AND(BC453=0,BD453=0),BB453/1,IF(BB453=0,FLOOR((BC453+BD453)/2,0.1),IF(BC453=0,(BB453+BD453)/2,IF(BD453=0,(BC453+BB453)/2,FLOOR(((BB453+BC453+BD453)/3),0.1))))))))</f>
        <v/>
      </c>
      <c r="BF453" s="21" t="n"/>
      <c r="BG453" s="21" t="n"/>
      <c r="BH453" s="27">
        <f>SUM(BF453:BG453)</f>
        <v/>
      </c>
      <c r="BI453" s="28" t="n"/>
      <c r="BJ453" s="28" t="n"/>
      <c r="BK453" s="29">
        <f>IF(AND(BH453=0,BI453=0,BJ453=0),0,IF(AND(BH453=0,BI453=0),BJ453/1,IF(AND(BH453=0,BJ453=0),BI453/1,IF(AND(BI453=0,BJ453=0),BH453/1,IF(BH453=0,FLOOR((BI453+BJ453)/2,0.1),IF(BI453=0,(BH453+BJ453)/2,IF(BJ453=0,(BI453+BH453)/2,FLOOR(((BH453+BI453+BJ453)/3),0.1))))))))</f>
        <v/>
      </c>
      <c r="BL453" s="21" t="n"/>
      <c r="BM453" s="21" t="n"/>
      <c r="BN453" s="27">
        <f>SUM(BL453:BM453)</f>
        <v/>
      </c>
      <c r="BO453" s="28" t="n"/>
      <c r="BP453" s="31" t="n"/>
      <c r="BQ453" s="29">
        <f>IF(AND(BN453=0,BO453=0,BP453=0),0,IF(AND(BN453=0,BO453=0),BP453/1,IF(AND(BN453=0,BP453=0),BO453/1,IF(AND(BO453=0,BP453=0),BN453/1,IF(BN453=0,FLOOR((BO453+BP453)/2,0.1),IF(BO453=0,(BN453+BP453)/2,IF(BP453=0,(BO453+BN453)/2,FLOOR(((BN453+BO453+BP453)/3),0.1))))))))</f>
        <v/>
      </c>
      <c r="BR453" s="21" t="n"/>
      <c r="BS453" s="21" t="n"/>
      <c r="BT453" s="27">
        <f>SUM(BR453:BS453)</f>
        <v/>
      </c>
      <c r="BU453" s="28" t="n"/>
      <c r="BV453" s="31" t="n"/>
      <c r="BW453" s="29">
        <f>IF(AND(BT453=0,BU453=0,BV453=0),0,IF(AND(BT453=0,BU453=0),BV453/1,IF(AND(BT453=0,BV453=0),BU453/1,IF(AND(BU453=0,BV453=0),BT453/1,IF(BT453=0,FLOOR((BU453+BV453)/2,0.1),IF(BU453=0,(BT453+BV453)/2,IF(BV453=0,(BU453+BT453)/2,FLOOR(((BT453+BU453+BV453)/3),0.1))))))))</f>
        <v/>
      </c>
      <c r="BX453" s="21" t="n"/>
      <c r="BY453" s="21" t="n"/>
      <c r="BZ453" s="27">
        <f>SUM(BX453:BY453)</f>
        <v/>
      </c>
      <c r="CA453" s="28" t="n"/>
      <c r="CB453" s="31" t="n"/>
      <c r="CC453" s="29">
        <f>IF(AND(BZ453=0,CA453=0,CB453=0),0,IF(AND(BZ453=0,CA453=0),CB453/1,IF(AND(BZ453=0,CB453=0),CA453/1,IF(AND(CA453=0,CB453=0),BZ453/1,IF(BZ453=0,FLOOR((CA453+CB453)/2,0.1),IF(CA453=0,(BZ453+CB453)/2,IF(CB453=0,(CA453+BZ453)/2,FLOOR(((BZ453+CA453+CB453)/3),0.1))))))))</f>
        <v/>
      </c>
      <c r="CD453" s="21" t="n"/>
      <c r="CE453" s="21" t="n"/>
      <c r="CF453" s="27">
        <f>SUM(CD453:CE453)</f>
        <v/>
      </c>
      <c r="CG453" s="28" t="n"/>
      <c r="CH453" s="31" t="n"/>
      <c r="CI453" s="29">
        <f>IF(AND(CF453=0,CG453=0,CH453=0),0,IF(AND(CF453=0,CG453=0),CH453/1,IF(AND(CF453=0,CH453=0),CG453/1,IF(AND(CG453=0,CH453=0),CF453/1,IF(CF453=0,FLOOR((CG453+CH453)/2,0.1),IF(CG453=0,(CF453+CH453)/2,IF(CH453=0,(CG453+CF453)/2,FLOOR(((CF453+CG453+CH453)/3),0.1))))))))</f>
        <v/>
      </c>
      <c r="CJ453" s="21" t="n"/>
      <c r="CK453" s="21" t="n"/>
      <c r="CL453" s="27">
        <f>SUM(CJ453:CK453)</f>
        <v/>
      </c>
      <c r="CM453" s="28" t="n"/>
      <c r="CN453" s="31" t="n"/>
      <c r="CO453" s="29">
        <f>IF(AND(CL453=0,CM453=0,CN453=0),0,IF(AND(CL453=0,CM453=0),CN453/1,IF(AND(CL453=0,CN453=0),CM453/1,IF(AND(CM453=0,CN453=0),CL453/1,IF(CL453=0,FLOOR((CM453+CN453)/2,0.1),IF(CM453=0,(CL453+CN453)/2,IF(CN453=0,(CM453+CL453)/2,FLOOR(((CL453+CM453+CN453)/3),0.1))))))))</f>
        <v/>
      </c>
      <c r="CP453" s="21" t="n"/>
      <c r="CQ453" s="21" t="n"/>
      <c r="CR453" s="27">
        <f>SUM(CP453:CQ453)</f>
        <v/>
      </c>
      <c r="CS453" s="28" t="n"/>
      <c r="CT453" s="31" t="n"/>
      <c r="CU453" s="29">
        <f>IF(AND(CR453=0,CS453=0,CT453=0),0,IF(AND(CR453=0,CS453=0),CT453/1,IF(AND(CR453=0,CT453=0),CS453/1,IF(AND(CS453=0,CT453=0),CR453/1,IF(CR453=0,FLOOR((CS453+CT453)/2,0.1),IF(CS453=0,(CR453+CT453)/2,IF(CT453=0,(CS453+CR453)/2,FLOOR(((CR453+CS453+CT453)/3),0.1))))))))</f>
        <v/>
      </c>
      <c r="CV453" s="21" t="n"/>
      <c r="CW453" s="21" t="n"/>
      <c r="CX453" s="27">
        <f>SUM(CV453:CW453)</f>
        <v/>
      </c>
      <c r="CY453" s="28" t="n"/>
      <c r="CZ453" s="31" t="n"/>
      <c r="DA453" s="29">
        <f>IF(AND(CX453=0,CY453=0,CZ453=0),0,IF(AND(CX453=0,CY453=0),CZ453/1,IF(AND(CX453=0,CZ453=0),CY453/1,IF(AND(CY453=0,CZ453=0),CX453/1,IF(CX453=0,FLOOR((CY453+CZ453)/2,0.1),IF(CY453=0,(CX453+CZ453)/2,IF(CZ453=0,(CY453+CX453)/2,FLOOR(((CX453+CY453+CZ453)/3),0.1))))))))</f>
        <v/>
      </c>
      <c r="DB453" s="21" t="n"/>
      <c r="DC453" s="21" t="n"/>
      <c r="DD453" s="27">
        <f>SUM(DB453:DC453)</f>
        <v/>
      </c>
      <c r="DE453" s="28" t="n"/>
      <c r="DF453" s="31" t="n"/>
      <c r="DG453" s="29">
        <f>IF(AND(DD453=0,DE453=0,DF453=0),0,IF(AND(DD453=0,DE453=0),DF453/1,IF(AND(DD453=0,DF453=0),DE453/1,IF(AND(DE453=0,DF453=0),DD453/1,IF(DD453=0,FLOOR((DE453+DF453)/2,0.1),IF(DE453=0,(DD453+DF453)/2,IF(DF453=0,(DE453+DD453)/2,FLOOR(((DD453+DE453+DF453)/3),0.1))))))))</f>
        <v/>
      </c>
      <c r="DH453" s="34">
        <f>SUM(O453,U453,AA453,AG453,AM453,AS453,AY453,BE453,BK453,BQ453,BW453,CC453,CI453,CO453,CU453,DA453,DG453)</f>
        <v/>
      </c>
      <c r="DI453" s="39">
        <f>RANK(DH453,DH$4:DH$503)</f>
        <v/>
      </c>
      <c r="DJ453" s="40" t="inlineStr">
        <is>
          <t>CHOOSE RATING</t>
        </is>
      </c>
      <c r="DK453" s="40" t="inlineStr">
        <is>
          <t>CHOOSE RATING</t>
        </is>
      </c>
      <c r="DL453" s="40" t="inlineStr">
        <is>
          <t>CHOOSE RATING</t>
        </is>
      </c>
      <c r="DM453" s="40" t="inlineStr">
        <is>
          <t>CHOOSE RATING</t>
        </is>
      </c>
      <c r="DN453" s="40" t="inlineStr">
        <is>
          <t>CHOOSE RATING</t>
        </is>
      </c>
      <c r="DO453" s="40" t="inlineStr">
        <is>
          <t>CHOOSE RATING</t>
        </is>
      </c>
      <c r="DP453" s="40" t="inlineStr">
        <is>
          <t>CHOOSE RATING</t>
        </is>
      </c>
      <c r="DQ453" s="40" t="inlineStr">
        <is>
          <t>CHOOSE RATING</t>
        </is>
      </c>
      <c r="DR453" s="43" t="inlineStr">
        <is>
          <t>2024/2025</t>
        </is>
      </c>
      <c r="DS453" s="45" t="inlineStr">
        <is>
          <t>THIRD</t>
        </is>
      </c>
      <c r="DT453" s="40" t="inlineStr">
        <is>
          <t>CHOOSE RATING</t>
        </is>
      </c>
      <c r="DU453" s="40" t="inlineStr">
        <is>
          <t>CHOOSE RATING</t>
        </is>
      </c>
      <c r="DV453" s="40" t="inlineStr">
        <is>
          <t>CHOOSE RATING</t>
        </is>
      </c>
      <c r="DW453" s="40" t="inlineStr">
        <is>
          <t>CHOOSE RATING</t>
        </is>
      </c>
      <c r="DX453" s="40" t="inlineStr">
        <is>
          <t>CHOOSE RATING</t>
        </is>
      </c>
      <c r="DY453" s="40" t="inlineStr">
        <is>
          <t>CHOOSE RATING</t>
        </is>
      </c>
      <c r="DZ453" s="53" t="inlineStr">
        <is>
          <t>CHOOSE RATING</t>
        </is>
      </c>
      <c r="EA453" s="54" t="inlineStr">
        <is>
          <t>Add the Tutor's Comment . . .</t>
        </is>
      </c>
      <c r="EB453" s="55" t="inlineStr">
        <is>
          <t>Choose Principals comment</t>
        </is>
      </c>
      <c r="EC453" s="56" t="n"/>
      <c r="ED453" s="57" t="inlineStr">
        <is>
          <t>Next Term Begins on Monday, 22nd September, 2025</t>
        </is>
      </c>
    </row>
    <row r="454" ht="30.6" customHeight="1" s="6">
      <c r="A454" s="18" t="n">
        <v>451</v>
      </c>
      <c r="B454" s="19" t="n"/>
      <c r="C454" s="20" t="n"/>
      <c r="D454" s="128" t="n"/>
      <c r="E454" s="21" t="n"/>
      <c r="F454" s="22" t="n"/>
      <c r="G454" s="22" t="n"/>
      <c r="H454" s="22" t="n"/>
      <c r="I454" s="26">
        <f>G454-H454</f>
        <v/>
      </c>
      <c r="J454" s="21" t="n"/>
      <c r="K454" s="21" t="n"/>
      <c r="L454" s="27">
        <f>SUM(J454:K454)</f>
        <v/>
      </c>
      <c r="M454" s="28" t="n"/>
      <c r="N454" s="28" t="n"/>
      <c r="O454" s="29">
        <f>IF(AND(L454=0,M454=0,N454=0),0,IF(AND(L454=0,M454=0),N454/1,IF(AND(L454=0,N454=0),M454/1,IF(AND(M454=0,N454=0),L454/1,IF(L454=0,FLOOR((M454+N454)/2,0.1),IF(M454=0,(L454+N454)/2,IF(N454=0,(M454+L454)/2,FLOOR(((L454+M454+N454)/3),0.1))))))))</f>
        <v/>
      </c>
      <c r="P454" s="21" t="n"/>
      <c r="Q454" s="21" t="n"/>
      <c r="R454" s="27">
        <f>SUM(P454:Q454)</f>
        <v/>
      </c>
      <c r="S454" s="28" t="n"/>
      <c r="T454" s="28" t="n"/>
      <c r="U454" s="29">
        <f>IF(AND(R454=0,S454=0,T454=0),0,IF(AND(R454=0,S454=0),T454/1,IF(AND(R454=0,T454=0),S454/1,IF(AND(S454=0,T454=0),R454/1,IF(R454=0,FLOOR((S454+T454)/2,0.1),IF(S454=0,(R454+T454)/2,IF(T454=0,(S454+R454)/2,FLOOR(((R454+S454+T454)/3),0.1))))))))</f>
        <v/>
      </c>
      <c r="V454" s="21" t="n"/>
      <c r="W454" s="21" t="n"/>
      <c r="X454" s="27">
        <f>SUM(V454:W454)</f>
        <v/>
      </c>
      <c r="Y454" s="28" t="n"/>
      <c r="Z454" s="28" t="n"/>
      <c r="AA454" s="29">
        <f>IF(AND(X454=0,Y454=0,Z454=0),0,IF(AND(X454=0,Y454=0),Z454/1,IF(AND(X454=0,Z454=0),Y454/1,IF(AND(Y454=0,Z454=0),X454/1,IF(X454=0,FLOOR((Y454+Z454)/2,0.1),IF(Y454=0,(X454+Z454)/2,IF(Z454=0,(Y454+X454)/2,FLOOR(((X454+Y454+Z454)/3),0.1))))))))</f>
        <v/>
      </c>
      <c r="AB454" s="21" t="n"/>
      <c r="AC454" s="21" t="n"/>
      <c r="AD454" s="27">
        <f>SUM(AB454:AC454)</f>
        <v/>
      </c>
      <c r="AE454" s="28" t="n"/>
      <c r="AF454" s="28" t="n"/>
      <c r="AG454" s="29">
        <f>IF(AND(AD454=0,AE454=0,AF454=0),0,IF(AND(AD454=0,AE454=0),AF454/1,IF(AND(AD454=0,AF454=0),AE454/1,IF(AND(AE454=0,AF454=0),AD454/1,IF(AD454=0,FLOOR((AE454+AF454)/2,0.1),IF(AE454=0,(AD454+AF454)/2,IF(AF454=0,(AE454+AD454)/2,FLOOR(((AD454+AE454+AF454)/3),0.1))))))))</f>
        <v/>
      </c>
      <c r="AH454" s="21" t="n"/>
      <c r="AI454" s="21" t="n"/>
      <c r="AJ454" s="27">
        <f>SUM(AH454:AI454)</f>
        <v/>
      </c>
      <c r="AK454" s="28" t="n"/>
      <c r="AL454" s="28" t="n"/>
      <c r="AM454" s="29">
        <f>IF(AND(AJ454=0,AK454=0,AL454=0),0,IF(AND(AJ454=0,AK454=0),AL454/1,IF(AND(AJ454=0,AL454=0),AK454/1,IF(AND(AK454=0,AL454=0),AJ454/1,IF(AJ454=0,FLOOR((AK454+AL454)/2,0.1),IF(AK454=0,(AJ454+AL454)/2,IF(AL454=0,(AK454+AJ454)/2,FLOOR(((AJ454+AK454+AL454)/3),0.1))))))))</f>
        <v/>
      </c>
      <c r="AN454" s="21" t="n"/>
      <c r="AO454" s="21" t="n"/>
      <c r="AP454" s="27">
        <f>SUM(AN454:AO454)</f>
        <v/>
      </c>
      <c r="AQ454" s="28" t="n"/>
      <c r="AR454" s="30" t="n"/>
      <c r="AS454" s="29">
        <f>IF(AND(AP454=0,AQ454=0,AR454=0),0,IF(AND(AP454=0,AQ454=0),AR454/1,IF(AND(AP454=0,AR454=0),AQ454/1,IF(AND(AQ454=0,AR454=0),AP454/1,IF(AP454=0,FLOOR((AQ454+AR454)/2,0.1),IF(AQ454=0,(AP454+AR454)/2,IF(AR454=0,(AQ454+AP454)/2,FLOOR(((AP454+AQ454+AR454)/3),0.1))))))))</f>
        <v/>
      </c>
      <c r="AT454" s="21" t="n"/>
      <c r="AU454" s="21" t="n"/>
      <c r="AV454" s="27">
        <f>SUM(AT454:AU454)</f>
        <v/>
      </c>
      <c r="AW454" s="28" t="n"/>
      <c r="AX454" s="30" t="n"/>
      <c r="AY454" s="29">
        <f>IF(AND(AV454=0,AW454=0,AX454=0),0,IF(AND(AV454=0,AW454=0),AX454/1,IF(AND(AV454=0,AX454=0),AW454/1,IF(AND(AW454=0,AX454=0),AV454/1,IF(AV454=0,FLOOR((AW454+AX454)/2,0.1),IF(AW454=0,(AV454+AX454)/2,IF(AX454=0,(AW454+AV454)/2,FLOOR(((AV454+AW454+AX454)/3),0.1))))))))</f>
        <v/>
      </c>
      <c r="AZ454" s="21" t="n"/>
      <c r="BA454" s="21" t="n"/>
      <c r="BB454" s="27">
        <f>SUM(AZ454:BA454)</f>
        <v/>
      </c>
      <c r="BC454" s="28" t="n"/>
      <c r="BD454" s="28" t="n"/>
      <c r="BE454" s="29">
        <f>IF(AND(BB454=0,BC454=0,BD454=0),0,IF(AND(BB454=0,BC454=0),BD454/1,IF(AND(BB454=0,BD454=0),BC454/1,IF(AND(BC454=0,BD454=0),BB454/1,IF(BB454=0,FLOOR((BC454+BD454)/2,0.1),IF(BC454=0,(BB454+BD454)/2,IF(BD454=0,(BC454+BB454)/2,FLOOR(((BB454+BC454+BD454)/3),0.1))))))))</f>
        <v/>
      </c>
      <c r="BF454" s="21" t="n"/>
      <c r="BG454" s="21" t="n"/>
      <c r="BH454" s="27">
        <f>SUM(BF454:BG454)</f>
        <v/>
      </c>
      <c r="BI454" s="28" t="n"/>
      <c r="BJ454" s="28" t="n"/>
      <c r="BK454" s="29">
        <f>IF(AND(BH454=0,BI454=0,BJ454=0),0,IF(AND(BH454=0,BI454=0),BJ454/1,IF(AND(BH454=0,BJ454=0),BI454/1,IF(AND(BI454=0,BJ454=0),BH454/1,IF(BH454=0,FLOOR((BI454+BJ454)/2,0.1),IF(BI454=0,(BH454+BJ454)/2,IF(BJ454=0,(BI454+BH454)/2,FLOOR(((BH454+BI454+BJ454)/3),0.1))))))))</f>
        <v/>
      </c>
      <c r="BL454" s="21" t="n"/>
      <c r="BM454" s="21" t="n"/>
      <c r="BN454" s="27">
        <f>SUM(BL454:BM454)</f>
        <v/>
      </c>
      <c r="BO454" s="28" t="n"/>
      <c r="BP454" s="31" t="n"/>
      <c r="BQ454" s="29">
        <f>IF(AND(BN454=0,BO454=0,BP454=0),0,IF(AND(BN454=0,BO454=0),BP454/1,IF(AND(BN454=0,BP454=0),BO454/1,IF(AND(BO454=0,BP454=0),BN454/1,IF(BN454=0,FLOOR((BO454+BP454)/2,0.1),IF(BO454=0,(BN454+BP454)/2,IF(BP454=0,(BO454+BN454)/2,FLOOR(((BN454+BO454+BP454)/3),0.1))))))))</f>
        <v/>
      </c>
      <c r="BR454" s="21" t="n"/>
      <c r="BS454" s="21" t="n"/>
      <c r="BT454" s="27">
        <f>SUM(BR454:BS454)</f>
        <v/>
      </c>
      <c r="BU454" s="28" t="n"/>
      <c r="BV454" s="31" t="n"/>
      <c r="BW454" s="29">
        <f>IF(AND(BT454=0,BU454=0,BV454=0),0,IF(AND(BT454=0,BU454=0),BV454/1,IF(AND(BT454=0,BV454=0),BU454/1,IF(AND(BU454=0,BV454=0),BT454/1,IF(BT454=0,FLOOR((BU454+BV454)/2,0.1),IF(BU454=0,(BT454+BV454)/2,IF(BV454=0,(BU454+BT454)/2,FLOOR(((BT454+BU454+BV454)/3),0.1))))))))</f>
        <v/>
      </c>
      <c r="BX454" s="21" t="n"/>
      <c r="BY454" s="21" t="n"/>
      <c r="BZ454" s="27">
        <f>SUM(BX454:BY454)</f>
        <v/>
      </c>
      <c r="CA454" s="28" t="n"/>
      <c r="CB454" s="31" t="n"/>
      <c r="CC454" s="29">
        <f>IF(AND(BZ454=0,CA454=0,CB454=0),0,IF(AND(BZ454=0,CA454=0),CB454/1,IF(AND(BZ454=0,CB454=0),CA454/1,IF(AND(CA454=0,CB454=0),BZ454/1,IF(BZ454=0,FLOOR((CA454+CB454)/2,0.1),IF(CA454=0,(BZ454+CB454)/2,IF(CB454=0,(CA454+BZ454)/2,FLOOR(((BZ454+CA454+CB454)/3),0.1))))))))</f>
        <v/>
      </c>
      <c r="CD454" s="21" t="n"/>
      <c r="CE454" s="21" t="n"/>
      <c r="CF454" s="27">
        <f>SUM(CD454:CE454)</f>
        <v/>
      </c>
      <c r="CG454" s="28" t="n"/>
      <c r="CH454" s="31" t="n"/>
      <c r="CI454" s="29">
        <f>IF(AND(CF454=0,CG454=0,CH454=0),0,IF(AND(CF454=0,CG454=0),CH454/1,IF(AND(CF454=0,CH454=0),CG454/1,IF(AND(CG454=0,CH454=0),CF454/1,IF(CF454=0,FLOOR((CG454+CH454)/2,0.1),IF(CG454=0,(CF454+CH454)/2,IF(CH454=0,(CG454+CF454)/2,FLOOR(((CF454+CG454+CH454)/3),0.1))))))))</f>
        <v/>
      </c>
      <c r="CJ454" s="21" t="n"/>
      <c r="CK454" s="21" t="n"/>
      <c r="CL454" s="27">
        <f>SUM(CJ454:CK454)</f>
        <v/>
      </c>
      <c r="CM454" s="28" t="n"/>
      <c r="CN454" s="31" t="n"/>
      <c r="CO454" s="29">
        <f>IF(AND(CL454=0,CM454=0,CN454=0),0,IF(AND(CL454=0,CM454=0),CN454/1,IF(AND(CL454=0,CN454=0),CM454/1,IF(AND(CM454=0,CN454=0),CL454/1,IF(CL454=0,FLOOR((CM454+CN454)/2,0.1),IF(CM454=0,(CL454+CN454)/2,IF(CN454=0,(CM454+CL454)/2,FLOOR(((CL454+CM454+CN454)/3),0.1))))))))</f>
        <v/>
      </c>
      <c r="CP454" s="21" t="n"/>
      <c r="CQ454" s="21" t="n"/>
      <c r="CR454" s="27">
        <f>SUM(CP454:CQ454)</f>
        <v/>
      </c>
      <c r="CS454" s="28" t="n"/>
      <c r="CT454" s="31" t="n"/>
      <c r="CU454" s="29">
        <f>IF(AND(CR454=0,CS454=0,CT454=0),0,IF(AND(CR454=0,CS454=0),CT454/1,IF(AND(CR454=0,CT454=0),CS454/1,IF(AND(CS454=0,CT454=0),CR454/1,IF(CR454=0,FLOOR((CS454+CT454)/2,0.1),IF(CS454=0,(CR454+CT454)/2,IF(CT454=0,(CS454+CR454)/2,FLOOR(((CR454+CS454+CT454)/3),0.1))))))))</f>
        <v/>
      </c>
      <c r="CV454" s="21" t="n"/>
      <c r="CW454" s="21" t="n"/>
      <c r="CX454" s="27">
        <f>SUM(CV454:CW454)</f>
        <v/>
      </c>
      <c r="CY454" s="28" t="n"/>
      <c r="CZ454" s="31" t="n"/>
      <c r="DA454" s="29">
        <f>IF(AND(CX454=0,CY454=0,CZ454=0),0,IF(AND(CX454=0,CY454=0),CZ454/1,IF(AND(CX454=0,CZ454=0),CY454/1,IF(AND(CY454=0,CZ454=0),CX454/1,IF(CX454=0,FLOOR((CY454+CZ454)/2,0.1),IF(CY454=0,(CX454+CZ454)/2,IF(CZ454=0,(CY454+CX454)/2,FLOOR(((CX454+CY454+CZ454)/3),0.1))))))))</f>
        <v/>
      </c>
      <c r="DB454" s="21" t="n"/>
      <c r="DC454" s="21" t="n"/>
      <c r="DD454" s="27">
        <f>SUM(DB454:DC454)</f>
        <v/>
      </c>
      <c r="DE454" s="28" t="n"/>
      <c r="DF454" s="31" t="n"/>
      <c r="DG454" s="29">
        <f>IF(AND(DD454=0,DE454=0,DF454=0),0,IF(AND(DD454=0,DE454=0),DF454/1,IF(AND(DD454=0,DF454=0),DE454/1,IF(AND(DE454=0,DF454=0),DD454/1,IF(DD454=0,FLOOR((DE454+DF454)/2,0.1),IF(DE454=0,(DD454+DF454)/2,IF(DF454=0,(DE454+DD454)/2,FLOOR(((DD454+DE454+DF454)/3),0.1))))))))</f>
        <v/>
      </c>
      <c r="DH454" s="34">
        <f>SUM(O454,U454,AA454,AG454,AM454,AS454,AY454,BE454,BK454,BQ454,BW454,CC454,CI454,CO454,CU454,DA454,DG454)</f>
        <v/>
      </c>
      <c r="DI454" s="39">
        <f>RANK(DH454,DH$4:DH$503)</f>
        <v/>
      </c>
      <c r="DJ454" s="40" t="inlineStr">
        <is>
          <t>CHOOSE RATING</t>
        </is>
      </c>
      <c r="DK454" s="40" t="inlineStr">
        <is>
          <t>CHOOSE RATING</t>
        </is>
      </c>
      <c r="DL454" s="40" t="inlineStr">
        <is>
          <t>CHOOSE RATING</t>
        </is>
      </c>
      <c r="DM454" s="40" t="inlineStr">
        <is>
          <t>CHOOSE RATING</t>
        </is>
      </c>
      <c r="DN454" s="40" t="inlineStr">
        <is>
          <t>CHOOSE RATING</t>
        </is>
      </c>
      <c r="DO454" s="40" t="inlineStr">
        <is>
          <t>CHOOSE RATING</t>
        </is>
      </c>
      <c r="DP454" s="40" t="inlineStr">
        <is>
          <t>CHOOSE RATING</t>
        </is>
      </c>
      <c r="DQ454" s="40" t="inlineStr">
        <is>
          <t>CHOOSE RATING</t>
        </is>
      </c>
      <c r="DR454" s="43" t="inlineStr">
        <is>
          <t>2024/2025</t>
        </is>
      </c>
      <c r="DS454" s="45" t="inlineStr">
        <is>
          <t>THIRD</t>
        </is>
      </c>
      <c r="DT454" s="40" t="inlineStr">
        <is>
          <t>CHOOSE RATING</t>
        </is>
      </c>
      <c r="DU454" s="40" t="inlineStr">
        <is>
          <t>CHOOSE RATING</t>
        </is>
      </c>
      <c r="DV454" s="40" t="inlineStr">
        <is>
          <t>CHOOSE RATING</t>
        </is>
      </c>
      <c r="DW454" s="40" t="inlineStr">
        <is>
          <t>CHOOSE RATING</t>
        </is>
      </c>
      <c r="DX454" s="40" t="inlineStr">
        <is>
          <t>CHOOSE RATING</t>
        </is>
      </c>
      <c r="DY454" s="40" t="inlineStr">
        <is>
          <t>CHOOSE RATING</t>
        </is>
      </c>
      <c r="DZ454" s="53" t="inlineStr">
        <is>
          <t>CHOOSE RATING</t>
        </is>
      </c>
      <c r="EA454" s="54" t="inlineStr">
        <is>
          <t>Add the Tutor's Comment . . .</t>
        </is>
      </c>
      <c r="EB454" s="55" t="inlineStr">
        <is>
          <t>Choose Principals comment</t>
        </is>
      </c>
      <c r="EC454" s="56" t="n"/>
      <c r="ED454" s="57" t="inlineStr">
        <is>
          <t>Next Term Begins on Monday, 22nd September, 2025</t>
        </is>
      </c>
    </row>
    <row r="455" ht="30.6" customHeight="1" s="6">
      <c r="A455" s="18" t="n">
        <v>452</v>
      </c>
      <c r="B455" s="19" t="n"/>
      <c r="C455" s="20" t="n"/>
      <c r="D455" s="128" t="n"/>
      <c r="E455" s="21" t="n"/>
      <c r="F455" s="22" t="n"/>
      <c r="G455" s="22" t="n"/>
      <c r="H455" s="22" t="n"/>
      <c r="I455" s="26">
        <f>G455-H455</f>
        <v/>
      </c>
      <c r="J455" s="21" t="n"/>
      <c r="K455" s="21" t="n"/>
      <c r="L455" s="27">
        <f>SUM(J455:K455)</f>
        <v/>
      </c>
      <c r="M455" s="28" t="n"/>
      <c r="N455" s="28" t="n"/>
      <c r="O455" s="29">
        <f>IF(AND(L455=0,M455=0,N455=0),0,IF(AND(L455=0,M455=0),N455/1,IF(AND(L455=0,N455=0),M455/1,IF(AND(M455=0,N455=0),L455/1,IF(L455=0,FLOOR((M455+N455)/2,0.1),IF(M455=0,(L455+N455)/2,IF(N455=0,(M455+L455)/2,FLOOR(((L455+M455+N455)/3),0.1))))))))</f>
        <v/>
      </c>
      <c r="P455" s="21" t="n"/>
      <c r="Q455" s="21" t="n"/>
      <c r="R455" s="27">
        <f>SUM(P455:Q455)</f>
        <v/>
      </c>
      <c r="S455" s="28" t="n"/>
      <c r="T455" s="28" t="n"/>
      <c r="U455" s="29">
        <f>IF(AND(R455=0,S455=0,T455=0),0,IF(AND(R455=0,S455=0),T455/1,IF(AND(R455=0,T455=0),S455/1,IF(AND(S455=0,T455=0),R455/1,IF(R455=0,FLOOR((S455+T455)/2,0.1),IF(S455=0,(R455+T455)/2,IF(T455=0,(S455+R455)/2,FLOOR(((R455+S455+T455)/3),0.1))))))))</f>
        <v/>
      </c>
      <c r="V455" s="21" t="n"/>
      <c r="W455" s="21" t="n"/>
      <c r="X455" s="27">
        <f>SUM(V455:W455)</f>
        <v/>
      </c>
      <c r="Y455" s="28" t="n"/>
      <c r="Z455" s="28" t="n"/>
      <c r="AA455" s="29">
        <f>IF(AND(X455=0,Y455=0,Z455=0),0,IF(AND(X455=0,Y455=0),Z455/1,IF(AND(X455=0,Z455=0),Y455/1,IF(AND(Y455=0,Z455=0),X455/1,IF(X455=0,FLOOR((Y455+Z455)/2,0.1),IF(Y455=0,(X455+Z455)/2,IF(Z455=0,(Y455+X455)/2,FLOOR(((X455+Y455+Z455)/3),0.1))))))))</f>
        <v/>
      </c>
      <c r="AB455" s="21" t="n"/>
      <c r="AC455" s="21" t="n"/>
      <c r="AD455" s="27">
        <f>SUM(AB455:AC455)</f>
        <v/>
      </c>
      <c r="AE455" s="28" t="n"/>
      <c r="AF455" s="28" t="n"/>
      <c r="AG455" s="29">
        <f>IF(AND(AD455=0,AE455=0,AF455=0),0,IF(AND(AD455=0,AE455=0),AF455/1,IF(AND(AD455=0,AF455=0),AE455/1,IF(AND(AE455=0,AF455=0),AD455/1,IF(AD455=0,FLOOR((AE455+AF455)/2,0.1),IF(AE455=0,(AD455+AF455)/2,IF(AF455=0,(AE455+AD455)/2,FLOOR(((AD455+AE455+AF455)/3),0.1))))))))</f>
        <v/>
      </c>
      <c r="AH455" s="21" t="n"/>
      <c r="AI455" s="21" t="n"/>
      <c r="AJ455" s="27">
        <f>SUM(AH455:AI455)</f>
        <v/>
      </c>
      <c r="AK455" s="28" t="n"/>
      <c r="AL455" s="28" t="n"/>
      <c r="AM455" s="29">
        <f>IF(AND(AJ455=0,AK455=0,AL455=0),0,IF(AND(AJ455=0,AK455=0),AL455/1,IF(AND(AJ455=0,AL455=0),AK455/1,IF(AND(AK455=0,AL455=0),AJ455/1,IF(AJ455=0,FLOOR((AK455+AL455)/2,0.1),IF(AK455=0,(AJ455+AL455)/2,IF(AL455=0,(AK455+AJ455)/2,FLOOR(((AJ455+AK455+AL455)/3),0.1))))))))</f>
        <v/>
      </c>
      <c r="AN455" s="21" t="n"/>
      <c r="AO455" s="21" t="n"/>
      <c r="AP455" s="27">
        <f>SUM(AN455:AO455)</f>
        <v/>
      </c>
      <c r="AQ455" s="28" t="n"/>
      <c r="AR455" s="30" t="n"/>
      <c r="AS455" s="29">
        <f>IF(AND(AP455=0,AQ455=0,AR455=0),0,IF(AND(AP455=0,AQ455=0),AR455/1,IF(AND(AP455=0,AR455=0),AQ455/1,IF(AND(AQ455=0,AR455=0),AP455/1,IF(AP455=0,FLOOR((AQ455+AR455)/2,0.1),IF(AQ455=0,(AP455+AR455)/2,IF(AR455=0,(AQ455+AP455)/2,FLOOR(((AP455+AQ455+AR455)/3),0.1))))))))</f>
        <v/>
      </c>
      <c r="AT455" s="21" t="n"/>
      <c r="AU455" s="21" t="n"/>
      <c r="AV455" s="27">
        <f>SUM(AT455:AU455)</f>
        <v/>
      </c>
      <c r="AW455" s="28" t="n"/>
      <c r="AX455" s="30" t="n"/>
      <c r="AY455" s="29">
        <f>IF(AND(AV455=0,AW455=0,AX455=0),0,IF(AND(AV455=0,AW455=0),AX455/1,IF(AND(AV455=0,AX455=0),AW455/1,IF(AND(AW455=0,AX455=0),AV455/1,IF(AV455=0,FLOOR((AW455+AX455)/2,0.1),IF(AW455=0,(AV455+AX455)/2,IF(AX455=0,(AW455+AV455)/2,FLOOR(((AV455+AW455+AX455)/3),0.1))))))))</f>
        <v/>
      </c>
      <c r="AZ455" s="21" t="n"/>
      <c r="BA455" s="21" t="n"/>
      <c r="BB455" s="27">
        <f>SUM(AZ455:BA455)</f>
        <v/>
      </c>
      <c r="BC455" s="28" t="n"/>
      <c r="BD455" s="28" t="n"/>
      <c r="BE455" s="29">
        <f>IF(AND(BB455=0,BC455=0,BD455=0),0,IF(AND(BB455=0,BC455=0),BD455/1,IF(AND(BB455=0,BD455=0),BC455/1,IF(AND(BC455=0,BD455=0),BB455/1,IF(BB455=0,FLOOR((BC455+BD455)/2,0.1),IF(BC455=0,(BB455+BD455)/2,IF(BD455=0,(BC455+BB455)/2,FLOOR(((BB455+BC455+BD455)/3),0.1))))))))</f>
        <v/>
      </c>
      <c r="BF455" s="21" t="n"/>
      <c r="BG455" s="21" t="n"/>
      <c r="BH455" s="27">
        <f>SUM(BF455:BG455)</f>
        <v/>
      </c>
      <c r="BI455" s="28" t="n"/>
      <c r="BJ455" s="28" t="n"/>
      <c r="BK455" s="29">
        <f>IF(AND(BH455=0,BI455=0,BJ455=0),0,IF(AND(BH455=0,BI455=0),BJ455/1,IF(AND(BH455=0,BJ455=0),BI455/1,IF(AND(BI455=0,BJ455=0),BH455/1,IF(BH455=0,FLOOR((BI455+BJ455)/2,0.1),IF(BI455=0,(BH455+BJ455)/2,IF(BJ455=0,(BI455+BH455)/2,FLOOR(((BH455+BI455+BJ455)/3),0.1))))))))</f>
        <v/>
      </c>
      <c r="BL455" s="21" t="n"/>
      <c r="BM455" s="21" t="n"/>
      <c r="BN455" s="27">
        <f>SUM(BL455:BM455)</f>
        <v/>
      </c>
      <c r="BO455" s="28" t="n"/>
      <c r="BP455" s="31" t="n"/>
      <c r="BQ455" s="29">
        <f>IF(AND(BN455=0,BO455=0,BP455=0),0,IF(AND(BN455=0,BO455=0),BP455/1,IF(AND(BN455=0,BP455=0),BO455/1,IF(AND(BO455=0,BP455=0),BN455/1,IF(BN455=0,FLOOR((BO455+BP455)/2,0.1),IF(BO455=0,(BN455+BP455)/2,IF(BP455=0,(BO455+BN455)/2,FLOOR(((BN455+BO455+BP455)/3),0.1))))))))</f>
        <v/>
      </c>
      <c r="BR455" s="21" t="n"/>
      <c r="BS455" s="21" t="n"/>
      <c r="BT455" s="27">
        <f>SUM(BR455:BS455)</f>
        <v/>
      </c>
      <c r="BU455" s="28" t="n"/>
      <c r="BV455" s="31" t="n"/>
      <c r="BW455" s="29">
        <f>IF(AND(BT455=0,BU455=0,BV455=0),0,IF(AND(BT455=0,BU455=0),BV455/1,IF(AND(BT455=0,BV455=0),BU455/1,IF(AND(BU455=0,BV455=0),BT455/1,IF(BT455=0,FLOOR((BU455+BV455)/2,0.1),IF(BU455=0,(BT455+BV455)/2,IF(BV455=0,(BU455+BT455)/2,FLOOR(((BT455+BU455+BV455)/3),0.1))))))))</f>
        <v/>
      </c>
      <c r="BX455" s="21" t="n"/>
      <c r="BY455" s="21" t="n"/>
      <c r="BZ455" s="27">
        <f>SUM(BX455:BY455)</f>
        <v/>
      </c>
      <c r="CA455" s="28" t="n"/>
      <c r="CB455" s="31" t="n"/>
      <c r="CC455" s="29">
        <f>IF(AND(BZ455=0,CA455=0,CB455=0),0,IF(AND(BZ455=0,CA455=0),CB455/1,IF(AND(BZ455=0,CB455=0),CA455/1,IF(AND(CA455=0,CB455=0),BZ455/1,IF(BZ455=0,FLOOR((CA455+CB455)/2,0.1),IF(CA455=0,(BZ455+CB455)/2,IF(CB455=0,(CA455+BZ455)/2,FLOOR(((BZ455+CA455+CB455)/3),0.1))))))))</f>
        <v/>
      </c>
      <c r="CD455" s="21" t="n"/>
      <c r="CE455" s="21" t="n"/>
      <c r="CF455" s="27">
        <f>SUM(CD455:CE455)</f>
        <v/>
      </c>
      <c r="CG455" s="28" t="n"/>
      <c r="CH455" s="31" t="n"/>
      <c r="CI455" s="29">
        <f>IF(AND(CF455=0,CG455=0,CH455=0),0,IF(AND(CF455=0,CG455=0),CH455/1,IF(AND(CF455=0,CH455=0),CG455/1,IF(AND(CG455=0,CH455=0),CF455/1,IF(CF455=0,FLOOR((CG455+CH455)/2,0.1),IF(CG455=0,(CF455+CH455)/2,IF(CH455=0,(CG455+CF455)/2,FLOOR(((CF455+CG455+CH455)/3),0.1))))))))</f>
        <v/>
      </c>
      <c r="CJ455" s="21" t="n"/>
      <c r="CK455" s="21" t="n"/>
      <c r="CL455" s="27">
        <f>SUM(CJ455:CK455)</f>
        <v/>
      </c>
      <c r="CM455" s="28" t="n"/>
      <c r="CN455" s="31" t="n"/>
      <c r="CO455" s="29">
        <f>IF(AND(CL455=0,CM455=0,CN455=0),0,IF(AND(CL455=0,CM455=0),CN455/1,IF(AND(CL455=0,CN455=0),CM455/1,IF(AND(CM455=0,CN455=0),CL455/1,IF(CL455=0,FLOOR((CM455+CN455)/2,0.1),IF(CM455=0,(CL455+CN455)/2,IF(CN455=0,(CM455+CL455)/2,FLOOR(((CL455+CM455+CN455)/3),0.1))))))))</f>
        <v/>
      </c>
      <c r="CP455" s="21" t="n"/>
      <c r="CQ455" s="21" t="n"/>
      <c r="CR455" s="27">
        <f>SUM(CP455:CQ455)</f>
        <v/>
      </c>
      <c r="CS455" s="28" t="n"/>
      <c r="CT455" s="31" t="n"/>
      <c r="CU455" s="29">
        <f>IF(AND(CR455=0,CS455=0,CT455=0),0,IF(AND(CR455=0,CS455=0),CT455/1,IF(AND(CR455=0,CT455=0),CS455/1,IF(AND(CS455=0,CT455=0),CR455/1,IF(CR455=0,FLOOR((CS455+CT455)/2,0.1),IF(CS455=0,(CR455+CT455)/2,IF(CT455=0,(CS455+CR455)/2,FLOOR(((CR455+CS455+CT455)/3),0.1))))))))</f>
        <v/>
      </c>
      <c r="CV455" s="21" t="n"/>
      <c r="CW455" s="21" t="n"/>
      <c r="CX455" s="27">
        <f>SUM(CV455:CW455)</f>
        <v/>
      </c>
      <c r="CY455" s="28" t="n"/>
      <c r="CZ455" s="31" t="n"/>
      <c r="DA455" s="29">
        <f>IF(AND(CX455=0,CY455=0,CZ455=0),0,IF(AND(CX455=0,CY455=0),CZ455/1,IF(AND(CX455=0,CZ455=0),CY455/1,IF(AND(CY455=0,CZ455=0),CX455/1,IF(CX455=0,FLOOR((CY455+CZ455)/2,0.1),IF(CY455=0,(CX455+CZ455)/2,IF(CZ455=0,(CY455+CX455)/2,FLOOR(((CX455+CY455+CZ455)/3),0.1))))))))</f>
        <v/>
      </c>
      <c r="DB455" s="21" t="n"/>
      <c r="DC455" s="21" t="n"/>
      <c r="DD455" s="27">
        <f>SUM(DB455:DC455)</f>
        <v/>
      </c>
      <c r="DE455" s="28" t="n"/>
      <c r="DF455" s="31" t="n"/>
      <c r="DG455" s="29">
        <f>IF(AND(DD455=0,DE455=0,DF455=0),0,IF(AND(DD455=0,DE455=0),DF455/1,IF(AND(DD455=0,DF455=0),DE455/1,IF(AND(DE455=0,DF455=0),DD455/1,IF(DD455=0,FLOOR((DE455+DF455)/2,0.1),IF(DE455=0,(DD455+DF455)/2,IF(DF455=0,(DE455+DD455)/2,FLOOR(((DD455+DE455+DF455)/3),0.1))))))))</f>
        <v/>
      </c>
      <c r="DH455" s="34">
        <f>SUM(O455,U455,AA455,AG455,AM455,AS455,AY455,BE455,BK455,BQ455,BW455,CC455,CI455,CO455,CU455,DA455,DG455)</f>
        <v/>
      </c>
      <c r="DI455" s="39">
        <f>RANK(DH455,DH$4:DH$503)</f>
        <v/>
      </c>
      <c r="DJ455" s="40" t="inlineStr">
        <is>
          <t>CHOOSE RATING</t>
        </is>
      </c>
      <c r="DK455" s="40" t="inlineStr">
        <is>
          <t>CHOOSE RATING</t>
        </is>
      </c>
      <c r="DL455" s="40" t="inlineStr">
        <is>
          <t>CHOOSE RATING</t>
        </is>
      </c>
      <c r="DM455" s="40" t="inlineStr">
        <is>
          <t>CHOOSE RATING</t>
        </is>
      </c>
      <c r="DN455" s="40" t="inlineStr">
        <is>
          <t>CHOOSE RATING</t>
        </is>
      </c>
      <c r="DO455" s="40" t="inlineStr">
        <is>
          <t>CHOOSE RATING</t>
        </is>
      </c>
      <c r="DP455" s="40" t="inlineStr">
        <is>
          <t>CHOOSE RATING</t>
        </is>
      </c>
      <c r="DQ455" s="40" t="inlineStr">
        <is>
          <t>CHOOSE RATING</t>
        </is>
      </c>
      <c r="DR455" s="43" t="inlineStr">
        <is>
          <t>2024/2025</t>
        </is>
      </c>
      <c r="DS455" s="45" t="inlineStr">
        <is>
          <t>THIRD</t>
        </is>
      </c>
      <c r="DT455" s="40" t="inlineStr">
        <is>
          <t>CHOOSE RATING</t>
        </is>
      </c>
      <c r="DU455" s="40" t="inlineStr">
        <is>
          <t>CHOOSE RATING</t>
        </is>
      </c>
      <c r="DV455" s="40" t="inlineStr">
        <is>
          <t>CHOOSE RATING</t>
        </is>
      </c>
      <c r="DW455" s="40" t="inlineStr">
        <is>
          <t>CHOOSE RATING</t>
        </is>
      </c>
      <c r="DX455" s="40" t="inlineStr">
        <is>
          <t>CHOOSE RATING</t>
        </is>
      </c>
      <c r="DY455" s="40" t="inlineStr">
        <is>
          <t>CHOOSE RATING</t>
        </is>
      </c>
      <c r="DZ455" s="53" t="inlineStr">
        <is>
          <t>CHOOSE RATING</t>
        </is>
      </c>
      <c r="EA455" s="54" t="inlineStr">
        <is>
          <t>Add the Tutor's Comment . . .</t>
        </is>
      </c>
      <c r="EB455" s="55" t="inlineStr">
        <is>
          <t>Choose Principals comment</t>
        </is>
      </c>
      <c r="EC455" s="56" t="n"/>
      <c r="ED455" s="57" t="inlineStr">
        <is>
          <t>Next Term Begins on Monday, 22nd September, 2025</t>
        </is>
      </c>
    </row>
    <row r="456" ht="30.6" customHeight="1" s="6">
      <c r="A456" s="18" t="n">
        <v>453</v>
      </c>
      <c r="B456" s="19" t="n"/>
      <c r="C456" s="20" t="n"/>
      <c r="D456" s="128" t="n"/>
      <c r="E456" s="21" t="n"/>
      <c r="F456" s="22" t="n"/>
      <c r="G456" s="22" t="n"/>
      <c r="H456" s="22" t="n"/>
      <c r="I456" s="26">
        <f>G456-H456</f>
        <v/>
      </c>
      <c r="J456" s="21" t="n"/>
      <c r="K456" s="21" t="n"/>
      <c r="L456" s="27">
        <f>SUM(J456:K456)</f>
        <v/>
      </c>
      <c r="M456" s="28" t="n"/>
      <c r="N456" s="28" t="n"/>
      <c r="O456" s="29">
        <f>IF(AND(L456=0,M456=0,N456=0),0,IF(AND(L456=0,M456=0),N456/1,IF(AND(L456=0,N456=0),M456/1,IF(AND(M456=0,N456=0),L456/1,IF(L456=0,FLOOR((M456+N456)/2,0.1),IF(M456=0,(L456+N456)/2,IF(N456=0,(M456+L456)/2,FLOOR(((L456+M456+N456)/3),0.1))))))))</f>
        <v/>
      </c>
      <c r="P456" s="21" t="n"/>
      <c r="Q456" s="21" t="n"/>
      <c r="R456" s="27">
        <f>SUM(P456:Q456)</f>
        <v/>
      </c>
      <c r="S456" s="28" t="n"/>
      <c r="T456" s="28" t="n"/>
      <c r="U456" s="29">
        <f>IF(AND(R456=0,S456=0,T456=0),0,IF(AND(R456=0,S456=0),T456/1,IF(AND(R456=0,T456=0),S456/1,IF(AND(S456=0,T456=0),R456/1,IF(R456=0,FLOOR((S456+T456)/2,0.1),IF(S456=0,(R456+T456)/2,IF(T456=0,(S456+R456)/2,FLOOR(((R456+S456+T456)/3),0.1))))))))</f>
        <v/>
      </c>
      <c r="V456" s="21" t="n"/>
      <c r="W456" s="21" t="n"/>
      <c r="X456" s="27">
        <f>SUM(V456:W456)</f>
        <v/>
      </c>
      <c r="Y456" s="28" t="n"/>
      <c r="Z456" s="28" t="n"/>
      <c r="AA456" s="29">
        <f>IF(AND(X456=0,Y456=0,Z456=0),0,IF(AND(X456=0,Y456=0),Z456/1,IF(AND(X456=0,Z456=0),Y456/1,IF(AND(Y456=0,Z456=0),X456/1,IF(X456=0,FLOOR((Y456+Z456)/2,0.1),IF(Y456=0,(X456+Z456)/2,IF(Z456=0,(Y456+X456)/2,FLOOR(((X456+Y456+Z456)/3),0.1))))))))</f>
        <v/>
      </c>
      <c r="AB456" s="21" t="n"/>
      <c r="AC456" s="21" t="n"/>
      <c r="AD456" s="27">
        <f>SUM(AB456:AC456)</f>
        <v/>
      </c>
      <c r="AE456" s="28" t="n"/>
      <c r="AF456" s="28" t="n"/>
      <c r="AG456" s="29">
        <f>IF(AND(AD456=0,AE456=0,AF456=0),0,IF(AND(AD456=0,AE456=0),AF456/1,IF(AND(AD456=0,AF456=0),AE456/1,IF(AND(AE456=0,AF456=0),AD456/1,IF(AD456=0,FLOOR((AE456+AF456)/2,0.1),IF(AE456=0,(AD456+AF456)/2,IF(AF456=0,(AE456+AD456)/2,FLOOR(((AD456+AE456+AF456)/3),0.1))))))))</f>
        <v/>
      </c>
      <c r="AH456" s="21" t="n"/>
      <c r="AI456" s="21" t="n"/>
      <c r="AJ456" s="27">
        <f>SUM(AH456:AI456)</f>
        <v/>
      </c>
      <c r="AK456" s="28" t="n"/>
      <c r="AL456" s="28" t="n"/>
      <c r="AM456" s="29">
        <f>IF(AND(AJ456=0,AK456=0,AL456=0),0,IF(AND(AJ456=0,AK456=0),AL456/1,IF(AND(AJ456=0,AL456=0),AK456/1,IF(AND(AK456=0,AL456=0),AJ456/1,IF(AJ456=0,FLOOR((AK456+AL456)/2,0.1),IF(AK456=0,(AJ456+AL456)/2,IF(AL456=0,(AK456+AJ456)/2,FLOOR(((AJ456+AK456+AL456)/3),0.1))))))))</f>
        <v/>
      </c>
      <c r="AN456" s="21" t="n"/>
      <c r="AO456" s="21" t="n"/>
      <c r="AP456" s="27">
        <f>SUM(AN456:AO456)</f>
        <v/>
      </c>
      <c r="AQ456" s="28" t="n"/>
      <c r="AR456" s="30" t="n"/>
      <c r="AS456" s="29">
        <f>IF(AND(AP456=0,AQ456=0,AR456=0),0,IF(AND(AP456=0,AQ456=0),AR456/1,IF(AND(AP456=0,AR456=0),AQ456/1,IF(AND(AQ456=0,AR456=0),AP456/1,IF(AP456=0,FLOOR((AQ456+AR456)/2,0.1),IF(AQ456=0,(AP456+AR456)/2,IF(AR456=0,(AQ456+AP456)/2,FLOOR(((AP456+AQ456+AR456)/3),0.1))))))))</f>
        <v/>
      </c>
      <c r="AT456" s="21" t="n"/>
      <c r="AU456" s="21" t="n"/>
      <c r="AV456" s="27">
        <f>SUM(AT456:AU456)</f>
        <v/>
      </c>
      <c r="AW456" s="28" t="n"/>
      <c r="AX456" s="30" t="n"/>
      <c r="AY456" s="29">
        <f>IF(AND(AV456=0,AW456=0,AX456=0),0,IF(AND(AV456=0,AW456=0),AX456/1,IF(AND(AV456=0,AX456=0),AW456/1,IF(AND(AW456=0,AX456=0),AV456/1,IF(AV456=0,FLOOR((AW456+AX456)/2,0.1),IF(AW456=0,(AV456+AX456)/2,IF(AX456=0,(AW456+AV456)/2,FLOOR(((AV456+AW456+AX456)/3),0.1))))))))</f>
        <v/>
      </c>
      <c r="AZ456" s="21" t="n"/>
      <c r="BA456" s="21" t="n"/>
      <c r="BB456" s="27">
        <f>SUM(AZ456:BA456)</f>
        <v/>
      </c>
      <c r="BC456" s="28" t="n"/>
      <c r="BD456" s="28" t="n"/>
      <c r="BE456" s="29">
        <f>IF(AND(BB456=0,BC456=0,BD456=0),0,IF(AND(BB456=0,BC456=0),BD456/1,IF(AND(BB456=0,BD456=0),BC456/1,IF(AND(BC456=0,BD456=0),BB456/1,IF(BB456=0,FLOOR((BC456+BD456)/2,0.1),IF(BC456=0,(BB456+BD456)/2,IF(BD456=0,(BC456+BB456)/2,FLOOR(((BB456+BC456+BD456)/3),0.1))))))))</f>
        <v/>
      </c>
      <c r="BF456" s="21" t="n"/>
      <c r="BG456" s="21" t="n"/>
      <c r="BH456" s="27">
        <f>SUM(BF456:BG456)</f>
        <v/>
      </c>
      <c r="BI456" s="28" t="n"/>
      <c r="BJ456" s="28" t="n"/>
      <c r="BK456" s="29">
        <f>IF(AND(BH456=0,BI456=0,BJ456=0),0,IF(AND(BH456=0,BI456=0),BJ456/1,IF(AND(BH456=0,BJ456=0),BI456/1,IF(AND(BI456=0,BJ456=0),BH456/1,IF(BH456=0,FLOOR((BI456+BJ456)/2,0.1),IF(BI456=0,(BH456+BJ456)/2,IF(BJ456=0,(BI456+BH456)/2,FLOOR(((BH456+BI456+BJ456)/3),0.1))))))))</f>
        <v/>
      </c>
      <c r="BL456" s="21" t="n"/>
      <c r="BM456" s="21" t="n"/>
      <c r="BN456" s="27">
        <f>SUM(BL456:BM456)</f>
        <v/>
      </c>
      <c r="BO456" s="28" t="n"/>
      <c r="BP456" s="31" t="n"/>
      <c r="BQ456" s="29">
        <f>IF(AND(BN456=0,BO456=0,BP456=0),0,IF(AND(BN456=0,BO456=0),BP456/1,IF(AND(BN456=0,BP456=0),BO456/1,IF(AND(BO456=0,BP456=0),BN456/1,IF(BN456=0,FLOOR((BO456+BP456)/2,0.1),IF(BO456=0,(BN456+BP456)/2,IF(BP456=0,(BO456+BN456)/2,FLOOR(((BN456+BO456+BP456)/3),0.1))))))))</f>
        <v/>
      </c>
      <c r="BR456" s="21" t="n"/>
      <c r="BS456" s="21" t="n"/>
      <c r="BT456" s="27">
        <f>SUM(BR456:BS456)</f>
        <v/>
      </c>
      <c r="BU456" s="28" t="n"/>
      <c r="BV456" s="31" t="n"/>
      <c r="BW456" s="29">
        <f>IF(AND(BT456=0,BU456=0,BV456=0),0,IF(AND(BT456=0,BU456=0),BV456/1,IF(AND(BT456=0,BV456=0),BU456/1,IF(AND(BU456=0,BV456=0),BT456/1,IF(BT456=0,FLOOR((BU456+BV456)/2,0.1),IF(BU456=0,(BT456+BV456)/2,IF(BV456=0,(BU456+BT456)/2,FLOOR(((BT456+BU456+BV456)/3),0.1))))))))</f>
        <v/>
      </c>
      <c r="BX456" s="21" t="n"/>
      <c r="BY456" s="21" t="n"/>
      <c r="BZ456" s="27">
        <f>SUM(BX456:BY456)</f>
        <v/>
      </c>
      <c r="CA456" s="28" t="n"/>
      <c r="CB456" s="31" t="n"/>
      <c r="CC456" s="29">
        <f>IF(AND(BZ456=0,CA456=0,CB456=0),0,IF(AND(BZ456=0,CA456=0),CB456/1,IF(AND(BZ456=0,CB456=0),CA456/1,IF(AND(CA456=0,CB456=0),BZ456/1,IF(BZ456=0,FLOOR((CA456+CB456)/2,0.1),IF(CA456=0,(BZ456+CB456)/2,IF(CB456=0,(CA456+BZ456)/2,FLOOR(((BZ456+CA456+CB456)/3),0.1))))))))</f>
        <v/>
      </c>
      <c r="CD456" s="21" t="n"/>
      <c r="CE456" s="21" t="n"/>
      <c r="CF456" s="27">
        <f>SUM(CD456:CE456)</f>
        <v/>
      </c>
      <c r="CG456" s="28" t="n"/>
      <c r="CH456" s="31" t="n"/>
      <c r="CI456" s="29">
        <f>IF(AND(CF456=0,CG456=0,CH456=0),0,IF(AND(CF456=0,CG456=0),CH456/1,IF(AND(CF456=0,CH456=0),CG456/1,IF(AND(CG456=0,CH456=0),CF456/1,IF(CF456=0,FLOOR((CG456+CH456)/2,0.1),IF(CG456=0,(CF456+CH456)/2,IF(CH456=0,(CG456+CF456)/2,FLOOR(((CF456+CG456+CH456)/3),0.1))))))))</f>
        <v/>
      </c>
      <c r="CJ456" s="21" t="n"/>
      <c r="CK456" s="21" t="n"/>
      <c r="CL456" s="27">
        <f>SUM(CJ456:CK456)</f>
        <v/>
      </c>
      <c r="CM456" s="28" t="n"/>
      <c r="CN456" s="31" t="n"/>
      <c r="CO456" s="29">
        <f>IF(AND(CL456=0,CM456=0,CN456=0),0,IF(AND(CL456=0,CM456=0),CN456/1,IF(AND(CL456=0,CN456=0),CM456/1,IF(AND(CM456=0,CN456=0),CL456/1,IF(CL456=0,FLOOR((CM456+CN456)/2,0.1),IF(CM456=0,(CL456+CN456)/2,IF(CN456=0,(CM456+CL456)/2,FLOOR(((CL456+CM456+CN456)/3),0.1))))))))</f>
        <v/>
      </c>
      <c r="CP456" s="21" t="n"/>
      <c r="CQ456" s="21" t="n"/>
      <c r="CR456" s="27">
        <f>SUM(CP456:CQ456)</f>
        <v/>
      </c>
      <c r="CS456" s="28" t="n"/>
      <c r="CT456" s="31" t="n"/>
      <c r="CU456" s="29">
        <f>IF(AND(CR456=0,CS456=0,CT456=0),0,IF(AND(CR456=0,CS456=0),CT456/1,IF(AND(CR456=0,CT456=0),CS456/1,IF(AND(CS456=0,CT456=0),CR456/1,IF(CR456=0,FLOOR((CS456+CT456)/2,0.1),IF(CS456=0,(CR456+CT456)/2,IF(CT456=0,(CS456+CR456)/2,FLOOR(((CR456+CS456+CT456)/3),0.1))))))))</f>
        <v/>
      </c>
      <c r="CV456" s="21" t="n"/>
      <c r="CW456" s="21" t="n"/>
      <c r="CX456" s="27">
        <f>SUM(CV456:CW456)</f>
        <v/>
      </c>
      <c r="CY456" s="28" t="n"/>
      <c r="CZ456" s="31" t="n"/>
      <c r="DA456" s="29">
        <f>IF(AND(CX456=0,CY456=0,CZ456=0),0,IF(AND(CX456=0,CY456=0),CZ456/1,IF(AND(CX456=0,CZ456=0),CY456/1,IF(AND(CY456=0,CZ456=0),CX456/1,IF(CX456=0,FLOOR((CY456+CZ456)/2,0.1),IF(CY456=0,(CX456+CZ456)/2,IF(CZ456=0,(CY456+CX456)/2,FLOOR(((CX456+CY456+CZ456)/3),0.1))))))))</f>
        <v/>
      </c>
      <c r="DB456" s="21" t="n"/>
      <c r="DC456" s="21" t="n"/>
      <c r="DD456" s="27">
        <f>SUM(DB456:DC456)</f>
        <v/>
      </c>
      <c r="DE456" s="28" t="n"/>
      <c r="DF456" s="31" t="n"/>
      <c r="DG456" s="29">
        <f>IF(AND(DD456=0,DE456=0,DF456=0),0,IF(AND(DD456=0,DE456=0),DF456/1,IF(AND(DD456=0,DF456=0),DE456/1,IF(AND(DE456=0,DF456=0),DD456/1,IF(DD456=0,FLOOR((DE456+DF456)/2,0.1),IF(DE456=0,(DD456+DF456)/2,IF(DF456=0,(DE456+DD456)/2,FLOOR(((DD456+DE456+DF456)/3),0.1))))))))</f>
        <v/>
      </c>
      <c r="DH456" s="34">
        <f>SUM(O456,U456,AA456,AG456,AM456,AS456,AY456,BE456,BK456,BQ456,BW456,CC456,CI456,CO456,CU456,DA456,DG456)</f>
        <v/>
      </c>
      <c r="DI456" s="39">
        <f>RANK(DH456,DH$4:DH$503)</f>
        <v/>
      </c>
      <c r="DJ456" s="40" t="inlineStr">
        <is>
          <t>CHOOSE RATING</t>
        </is>
      </c>
      <c r="DK456" s="40" t="inlineStr">
        <is>
          <t>CHOOSE RATING</t>
        </is>
      </c>
      <c r="DL456" s="40" t="inlineStr">
        <is>
          <t>CHOOSE RATING</t>
        </is>
      </c>
      <c r="DM456" s="40" t="inlineStr">
        <is>
          <t>CHOOSE RATING</t>
        </is>
      </c>
      <c r="DN456" s="40" t="inlineStr">
        <is>
          <t>CHOOSE RATING</t>
        </is>
      </c>
      <c r="DO456" s="40" t="inlineStr">
        <is>
          <t>CHOOSE RATING</t>
        </is>
      </c>
      <c r="DP456" s="40" t="inlineStr">
        <is>
          <t>CHOOSE RATING</t>
        </is>
      </c>
      <c r="DQ456" s="40" t="inlineStr">
        <is>
          <t>CHOOSE RATING</t>
        </is>
      </c>
      <c r="DR456" s="43" t="inlineStr">
        <is>
          <t>2024/2025</t>
        </is>
      </c>
      <c r="DS456" s="45" t="inlineStr">
        <is>
          <t>THIRD</t>
        </is>
      </c>
      <c r="DT456" s="40" t="inlineStr">
        <is>
          <t>CHOOSE RATING</t>
        </is>
      </c>
      <c r="DU456" s="40" t="inlineStr">
        <is>
          <t>CHOOSE RATING</t>
        </is>
      </c>
      <c r="DV456" s="40" t="inlineStr">
        <is>
          <t>CHOOSE RATING</t>
        </is>
      </c>
      <c r="DW456" s="40" t="inlineStr">
        <is>
          <t>CHOOSE RATING</t>
        </is>
      </c>
      <c r="DX456" s="40" t="inlineStr">
        <is>
          <t>CHOOSE RATING</t>
        </is>
      </c>
      <c r="DY456" s="40" t="inlineStr">
        <is>
          <t>CHOOSE RATING</t>
        </is>
      </c>
      <c r="DZ456" s="53" t="inlineStr">
        <is>
          <t>CHOOSE RATING</t>
        </is>
      </c>
      <c r="EA456" s="54" t="inlineStr">
        <is>
          <t>Add the Tutor's Comment . . .</t>
        </is>
      </c>
      <c r="EB456" s="55" t="inlineStr">
        <is>
          <t>Choose Principals comment</t>
        </is>
      </c>
      <c r="EC456" s="56" t="n"/>
      <c r="ED456" s="57" t="inlineStr">
        <is>
          <t>Next Term Begins on Monday, 22nd September, 2025</t>
        </is>
      </c>
    </row>
    <row r="457" ht="30.6" customHeight="1" s="6">
      <c r="A457" s="18" t="n">
        <v>454</v>
      </c>
      <c r="B457" s="19" t="n"/>
      <c r="C457" s="20" t="n"/>
      <c r="D457" s="128" t="n"/>
      <c r="E457" s="21" t="n"/>
      <c r="F457" s="22" t="n"/>
      <c r="G457" s="22" t="n"/>
      <c r="H457" s="22" t="n"/>
      <c r="I457" s="26">
        <f>G457-H457</f>
        <v/>
      </c>
      <c r="J457" s="21" t="n"/>
      <c r="K457" s="21" t="n"/>
      <c r="L457" s="27">
        <f>SUM(J457:K457)</f>
        <v/>
      </c>
      <c r="M457" s="28" t="n"/>
      <c r="N457" s="28" t="n"/>
      <c r="O457" s="29">
        <f>IF(AND(L457=0,M457=0,N457=0),0,IF(AND(L457=0,M457=0),N457/1,IF(AND(L457=0,N457=0),M457/1,IF(AND(M457=0,N457=0),L457/1,IF(L457=0,FLOOR((M457+N457)/2,0.1),IF(M457=0,(L457+N457)/2,IF(N457=0,(M457+L457)/2,FLOOR(((L457+M457+N457)/3),0.1))))))))</f>
        <v/>
      </c>
      <c r="P457" s="21" t="n"/>
      <c r="Q457" s="21" t="n"/>
      <c r="R457" s="27">
        <f>SUM(P457:Q457)</f>
        <v/>
      </c>
      <c r="S457" s="28" t="n"/>
      <c r="T457" s="28" t="n"/>
      <c r="U457" s="29">
        <f>IF(AND(R457=0,S457=0,T457=0),0,IF(AND(R457=0,S457=0),T457/1,IF(AND(R457=0,T457=0),S457/1,IF(AND(S457=0,T457=0),R457/1,IF(R457=0,FLOOR((S457+T457)/2,0.1),IF(S457=0,(R457+T457)/2,IF(T457=0,(S457+R457)/2,FLOOR(((R457+S457+T457)/3),0.1))))))))</f>
        <v/>
      </c>
      <c r="V457" s="21" t="n"/>
      <c r="W457" s="21" t="n"/>
      <c r="X457" s="27">
        <f>SUM(V457:W457)</f>
        <v/>
      </c>
      <c r="Y457" s="28" t="n"/>
      <c r="Z457" s="28" t="n"/>
      <c r="AA457" s="29">
        <f>IF(AND(X457=0,Y457=0,Z457=0),0,IF(AND(X457=0,Y457=0),Z457/1,IF(AND(X457=0,Z457=0),Y457/1,IF(AND(Y457=0,Z457=0),X457/1,IF(X457=0,FLOOR((Y457+Z457)/2,0.1),IF(Y457=0,(X457+Z457)/2,IF(Z457=0,(Y457+X457)/2,FLOOR(((X457+Y457+Z457)/3),0.1))))))))</f>
        <v/>
      </c>
      <c r="AB457" s="21" t="n"/>
      <c r="AC457" s="21" t="n"/>
      <c r="AD457" s="27">
        <f>SUM(AB457:AC457)</f>
        <v/>
      </c>
      <c r="AE457" s="28" t="n"/>
      <c r="AF457" s="28" t="n"/>
      <c r="AG457" s="29">
        <f>IF(AND(AD457=0,AE457=0,AF457=0),0,IF(AND(AD457=0,AE457=0),AF457/1,IF(AND(AD457=0,AF457=0),AE457/1,IF(AND(AE457=0,AF457=0),AD457/1,IF(AD457=0,FLOOR((AE457+AF457)/2,0.1),IF(AE457=0,(AD457+AF457)/2,IF(AF457=0,(AE457+AD457)/2,FLOOR(((AD457+AE457+AF457)/3),0.1))))))))</f>
        <v/>
      </c>
      <c r="AH457" s="21" t="n"/>
      <c r="AI457" s="21" t="n"/>
      <c r="AJ457" s="27">
        <f>SUM(AH457:AI457)</f>
        <v/>
      </c>
      <c r="AK457" s="28" t="n"/>
      <c r="AL457" s="28" t="n"/>
      <c r="AM457" s="29">
        <f>IF(AND(AJ457=0,AK457=0,AL457=0),0,IF(AND(AJ457=0,AK457=0),AL457/1,IF(AND(AJ457=0,AL457=0),AK457/1,IF(AND(AK457=0,AL457=0),AJ457/1,IF(AJ457=0,FLOOR((AK457+AL457)/2,0.1),IF(AK457=0,(AJ457+AL457)/2,IF(AL457=0,(AK457+AJ457)/2,FLOOR(((AJ457+AK457+AL457)/3),0.1))))))))</f>
        <v/>
      </c>
      <c r="AN457" s="21" t="n"/>
      <c r="AO457" s="21" t="n"/>
      <c r="AP457" s="27">
        <f>SUM(AN457:AO457)</f>
        <v/>
      </c>
      <c r="AQ457" s="28" t="n"/>
      <c r="AR457" s="30" t="n"/>
      <c r="AS457" s="29">
        <f>IF(AND(AP457=0,AQ457=0,AR457=0),0,IF(AND(AP457=0,AQ457=0),AR457/1,IF(AND(AP457=0,AR457=0),AQ457/1,IF(AND(AQ457=0,AR457=0),AP457/1,IF(AP457=0,FLOOR((AQ457+AR457)/2,0.1),IF(AQ457=0,(AP457+AR457)/2,IF(AR457=0,(AQ457+AP457)/2,FLOOR(((AP457+AQ457+AR457)/3),0.1))))))))</f>
        <v/>
      </c>
      <c r="AT457" s="21" t="n"/>
      <c r="AU457" s="21" t="n"/>
      <c r="AV457" s="27">
        <f>SUM(AT457:AU457)</f>
        <v/>
      </c>
      <c r="AW457" s="28" t="n"/>
      <c r="AX457" s="30" t="n"/>
      <c r="AY457" s="29">
        <f>IF(AND(AV457=0,AW457=0,AX457=0),0,IF(AND(AV457=0,AW457=0),AX457/1,IF(AND(AV457=0,AX457=0),AW457/1,IF(AND(AW457=0,AX457=0),AV457/1,IF(AV457=0,FLOOR((AW457+AX457)/2,0.1),IF(AW457=0,(AV457+AX457)/2,IF(AX457=0,(AW457+AV457)/2,FLOOR(((AV457+AW457+AX457)/3),0.1))))))))</f>
        <v/>
      </c>
      <c r="AZ457" s="21" t="n"/>
      <c r="BA457" s="21" t="n"/>
      <c r="BB457" s="27">
        <f>SUM(AZ457:BA457)</f>
        <v/>
      </c>
      <c r="BC457" s="28" t="n"/>
      <c r="BD457" s="28" t="n"/>
      <c r="BE457" s="29">
        <f>IF(AND(BB457=0,BC457=0,BD457=0),0,IF(AND(BB457=0,BC457=0),BD457/1,IF(AND(BB457=0,BD457=0),BC457/1,IF(AND(BC457=0,BD457=0),BB457/1,IF(BB457=0,FLOOR((BC457+BD457)/2,0.1),IF(BC457=0,(BB457+BD457)/2,IF(BD457=0,(BC457+BB457)/2,FLOOR(((BB457+BC457+BD457)/3),0.1))))))))</f>
        <v/>
      </c>
      <c r="BF457" s="21" t="n"/>
      <c r="BG457" s="21" t="n"/>
      <c r="BH457" s="27">
        <f>SUM(BF457:BG457)</f>
        <v/>
      </c>
      <c r="BI457" s="28" t="n"/>
      <c r="BJ457" s="28" t="n"/>
      <c r="BK457" s="29">
        <f>IF(AND(BH457=0,BI457=0,BJ457=0),0,IF(AND(BH457=0,BI457=0),BJ457/1,IF(AND(BH457=0,BJ457=0),BI457/1,IF(AND(BI457=0,BJ457=0),BH457/1,IF(BH457=0,FLOOR((BI457+BJ457)/2,0.1),IF(BI457=0,(BH457+BJ457)/2,IF(BJ457=0,(BI457+BH457)/2,FLOOR(((BH457+BI457+BJ457)/3),0.1))))))))</f>
        <v/>
      </c>
      <c r="BL457" s="21" t="n"/>
      <c r="BM457" s="21" t="n"/>
      <c r="BN457" s="27">
        <f>SUM(BL457:BM457)</f>
        <v/>
      </c>
      <c r="BO457" s="28" t="n"/>
      <c r="BP457" s="31" t="n"/>
      <c r="BQ457" s="29">
        <f>IF(AND(BN457=0,BO457=0,BP457=0),0,IF(AND(BN457=0,BO457=0),BP457/1,IF(AND(BN457=0,BP457=0),BO457/1,IF(AND(BO457=0,BP457=0),BN457/1,IF(BN457=0,FLOOR((BO457+BP457)/2,0.1),IF(BO457=0,(BN457+BP457)/2,IF(BP457=0,(BO457+BN457)/2,FLOOR(((BN457+BO457+BP457)/3),0.1))))))))</f>
        <v/>
      </c>
      <c r="BR457" s="21" t="n"/>
      <c r="BS457" s="21" t="n"/>
      <c r="BT457" s="27">
        <f>SUM(BR457:BS457)</f>
        <v/>
      </c>
      <c r="BU457" s="28" t="n"/>
      <c r="BV457" s="31" t="n"/>
      <c r="BW457" s="29">
        <f>IF(AND(BT457=0,BU457=0,BV457=0),0,IF(AND(BT457=0,BU457=0),BV457/1,IF(AND(BT457=0,BV457=0),BU457/1,IF(AND(BU457=0,BV457=0),BT457/1,IF(BT457=0,FLOOR((BU457+BV457)/2,0.1),IF(BU457=0,(BT457+BV457)/2,IF(BV457=0,(BU457+BT457)/2,FLOOR(((BT457+BU457+BV457)/3),0.1))))))))</f>
        <v/>
      </c>
      <c r="BX457" s="21" t="n"/>
      <c r="BY457" s="21" t="n"/>
      <c r="BZ457" s="27">
        <f>SUM(BX457:BY457)</f>
        <v/>
      </c>
      <c r="CA457" s="28" t="n"/>
      <c r="CB457" s="31" t="n"/>
      <c r="CC457" s="29">
        <f>IF(AND(BZ457=0,CA457=0,CB457=0),0,IF(AND(BZ457=0,CA457=0),CB457/1,IF(AND(BZ457=0,CB457=0),CA457/1,IF(AND(CA457=0,CB457=0),BZ457/1,IF(BZ457=0,FLOOR((CA457+CB457)/2,0.1),IF(CA457=0,(BZ457+CB457)/2,IF(CB457=0,(CA457+BZ457)/2,FLOOR(((BZ457+CA457+CB457)/3),0.1))))))))</f>
        <v/>
      </c>
      <c r="CD457" s="21" t="n"/>
      <c r="CE457" s="21" t="n"/>
      <c r="CF457" s="27">
        <f>SUM(CD457:CE457)</f>
        <v/>
      </c>
      <c r="CG457" s="28" t="n"/>
      <c r="CH457" s="31" t="n"/>
      <c r="CI457" s="29">
        <f>IF(AND(CF457=0,CG457=0,CH457=0),0,IF(AND(CF457=0,CG457=0),CH457/1,IF(AND(CF457=0,CH457=0),CG457/1,IF(AND(CG457=0,CH457=0),CF457/1,IF(CF457=0,FLOOR((CG457+CH457)/2,0.1),IF(CG457=0,(CF457+CH457)/2,IF(CH457=0,(CG457+CF457)/2,FLOOR(((CF457+CG457+CH457)/3),0.1))))))))</f>
        <v/>
      </c>
      <c r="CJ457" s="21" t="n"/>
      <c r="CK457" s="21" t="n"/>
      <c r="CL457" s="27">
        <f>SUM(CJ457:CK457)</f>
        <v/>
      </c>
      <c r="CM457" s="28" t="n"/>
      <c r="CN457" s="31" t="n"/>
      <c r="CO457" s="29">
        <f>IF(AND(CL457=0,CM457=0,CN457=0),0,IF(AND(CL457=0,CM457=0),CN457/1,IF(AND(CL457=0,CN457=0),CM457/1,IF(AND(CM457=0,CN457=0),CL457/1,IF(CL457=0,FLOOR((CM457+CN457)/2,0.1),IF(CM457=0,(CL457+CN457)/2,IF(CN457=0,(CM457+CL457)/2,FLOOR(((CL457+CM457+CN457)/3),0.1))))))))</f>
        <v/>
      </c>
      <c r="CP457" s="21" t="n"/>
      <c r="CQ457" s="21" t="n"/>
      <c r="CR457" s="27">
        <f>SUM(CP457:CQ457)</f>
        <v/>
      </c>
      <c r="CS457" s="28" t="n"/>
      <c r="CT457" s="31" t="n"/>
      <c r="CU457" s="29">
        <f>IF(AND(CR457=0,CS457=0,CT457=0),0,IF(AND(CR457=0,CS457=0),CT457/1,IF(AND(CR457=0,CT457=0),CS457/1,IF(AND(CS457=0,CT457=0),CR457/1,IF(CR457=0,FLOOR((CS457+CT457)/2,0.1),IF(CS457=0,(CR457+CT457)/2,IF(CT457=0,(CS457+CR457)/2,FLOOR(((CR457+CS457+CT457)/3),0.1))))))))</f>
        <v/>
      </c>
      <c r="CV457" s="21" t="n"/>
      <c r="CW457" s="21" t="n"/>
      <c r="CX457" s="27">
        <f>SUM(CV457:CW457)</f>
        <v/>
      </c>
      <c r="CY457" s="28" t="n"/>
      <c r="CZ457" s="31" t="n"/>
      <c r="DA457" s="29">
        <f>IF(AND(CX457=0,CY457=0,CZ457=0),0,IF(AND(CX457=0,CY457=0),CZ457/1,IF(AND(CX457=0,CZ457=0),CY457/1,IF(AND(CY457=0,CZ457=0),CX457/1,IF(CX457=0,FLOOR((CY457+CZ457)/2,0.1),IF(CY457=0,(CX457+CZ457)/2,IF(CZ457=0,(CY457+CX457)/2,FLOOR(((CX457+CY457+CZ457)/3),0.1))))))))</f>
        <v/>
      </c>
      <c r="DB457" s="21" t="n"/>
      <c r="DC457" s="21" t="n"/>
      <c r="DD457" s="27">
        <f>SUM(DB457:DC457)</f>
        <v/>
      </c>
      <c r="DE457" s="28" t="n"/>
      <c r="DF457" s="31" t="n"/>
      <c r="DG457" s="29">
        <f>IF(AND(DD457=0,DE457=0,DF457=0),0,IF(AND(DD457=0,DE457=0),DF457/1,IF(AND(DD457=0,DF457=0),DE457/1,IF(AND(DE457=0,DF457=0),DD457/1,IF(DD457=0,FLOOR((DE457+DF457)/2,0.1),IF(DE457=0,(DD457+DF457)/2,IF(DF457=0,(DE457+DD457)/2,FLOOR(((DD457+DE457+DF457)/3),0.1))))))))</f>
        <v/>
      </c>
      <c r="DH457" s="34">
        <f>SUM(O457,U457,AA457,AG457,AM457,AS457,AY457,BE457,BK457,BQ457,BW457,CC457,CI457,CO457,CU457,DA457,DG457)</f>
        <v/>
      </c>
      <c r="DI457" s="39">
        <f>RANK(DH457,DH$4:DH$503)</f>
        <v/>
      </c>
      <c r="DJ457" s="40" t="inlineStr">
        <is>
          <t>CHOOSE RATING</t>
        </is>
      </c>
      <c r="DK457" s="40" t="inlineStr">
        <is>
          <t>CHOOSE RATING</t>
        </is>
      </c>
      <c r="DL457" s="40" t="inlineStr">
        <is>
          <t>CHOOSE RATING</t>
        </is>
      </c>
      <c r="DM457" s="40" t="inlineStr">
        <is>
          <t>CHOOSE RATING</t>
        </is>
      </c>
      <c r="DN457" s="40" t="inlineStr">
        <is>
          <t>CHOOSE RATING</t>
        </is>
      </c>
      <c r="DO457" s="40" t="inlineStr">
        <is>
          <t>CHOOSE RATING</t>
        </is>
      </c>
      <c r="DP457" s="40" t="inlineStr">
        <is>
          <t>CHOOSE RATING</t>
        </is>
      </c>
      <c r="DQ457" s="40" t="inlineStr">
        <is>
          <t>CHOOSE RATING</t>
        </is>
      </c>
      <c r="DR457" s="43" t="inlineStr">
        <is>
          <t>2024/2025</t>
        </is>
      </c>
      <c r="DS457" s="45" t="inlineStr">
        <is>
          <t>THIRD</t>
        </is>
      </c>
      <c r="DT457" s="40" t="inlineStr">
        <is>
          <t>CHOOSE RATING</t>
        </is>
      </c>
      <c r="DU457" s="40" t="inlineStr">
        <is>
          <t>CHOOSE RATING</t>
        </is>
      </c>
      <c r="DV457" s="40" t="inlineStr">
        <is>
          <t>CHOOSE RATING</t>
        </is>
      </c>
      <c r="DW457" s="40" t="inlineStr">
        <is>
          <t>CHOOSE RATING</t>
        </is>
      </c>
      <c r="DX457" s="40" t="inlineStr">
        <is>
          <t>CHOOSE RATING</t>
        </is>
      </c>
      <c r="DY457" s="40" t="inlineStr">
        <is>
          <t>CHOOSE RATING</t>
        </is>
      </c>
      <c r="DZ457" s="53" t="inlineStr">
        <is>
          <t>CHOOSE RATING</t>
        </is>
      </c>
      <c r="EA457" s="54" t="inlineStr">
        <is>
          <t>Add the Tutor's Comment . . .</t>
        </is>
      </c>
      <c r="EB457" s="55" t="inlineStr">
        <is>
          <t>Choose Principals comment</t>
        </is>
      </c>
      <c r="EC457" s="56" t="n"/>
      <c r="ED457" s="57" t="inlineStr">
        <is>
          <t>Next Term Begins on Monday, 22nd September, 2025</t>
        </is>
      </c>
    </row>
    <row r="458" ht="30.6" customHeight="1" s="6">
      <c r="A458" s="18" t="n">
        <v>455</v>
      </c>
      <c r="B458" s="19" t="n"/>
      <c r="C458" s="20" t="n"/>
      <c r="D458" s="128" t="n"/>
      <c r="E458" s="21" t="n"/>
      <c r="F458" s="22" t="n"/>
      <c r="G458" s="22" t="n"/>
      <c r="H458" s="22" t="n"/>
      <c r="I458" s="26">
        <f>G458-H458</f>
        <v/>
      </c>
      <c r="J458" s="21" t="n"/>
      <c r="K458" s="21" t="n"/>
      <c r="L458" s="27">
        <f>SUM(J458:K458)</f>
        <v/>
      </c>
      <c r="M458" s="28" t="n"/>
      <c r="N458" s="28" t="n"/>
      <c r="O458" s="29">
        <f>IF(AND(L458=0,M458=0,N458=0),0,IF(AND(L458=0,M458=0),N458/1,IF(AND(L458=0,N458=0),M458/1,IF(AND(M458=0,N458=0),L458/1,IF(L458=0,FLOOR((M458+N458)/2,0.1),IF(M458=0,(L458+N458)/2,IF(N458=0,(M458+L458)/2,FLOOR(((L458+M458+N458)/3),0.1))))))))</f>
        <v/>
      </c>
      <c r="P458" s="21" t="n"/>
      <c r="Q458" s="21" t="n"/>
      <c r="R458" s="27">
        <f>SUM(P458:Q458)</f>
        <v/>
      </c>
      <c r="S458" s="28" t="n"/>
      <c r="T458" s="28" t="n"/>
      <c r="U458" s="29">
        <f>IF(AND(R458=0,S458=0,T458=0),0,IF(AND(R458=0,S458=0),T458/1,IF(AND(R458=0,T458=0),S458/1,IF(AND(S458=0,T458=0),R458/1,IF(R458=0,FLOOR((S458+T458)/2,0.1),IF(S458=0,(R458+T458)/2,IF(T458=0,(S458+R458)/2,FLOOR(((R458+S458+T458)/3),0.1))))))))</f>
        <v/>
      </c>
      <c r="V458" s="21" t="n"/>
      <c r="W458" s="21" t="n"/>
      <c r="X458" s="27">
        <f>SUM(V458:W458)</f>
        <v/>
      </c>
      <c r="Y458" s="28" t="n"/>
      <c r="Z458" s="28" t="n"/>
      <c r="AA458" s="29">
        <f>IF(AND(X458=0,Y458=0,Z458=0),0,IF(AND(X458=0,Y458=0),Z458/1,IF(AND(X458=0,Z458=0),Y458/1,IF(AND(Y458=0,Z458=0),X458/1,IF(X458=0,FLOOR((Y458+Z458)/2,0.1),IF(Y458=0,(X458+Z458)/2,IF(Z458=0,(Y458+X458)/2,FLOOR(((X458+Y458+Z458)/3),0.1))))))))</f>
        <v/>
      </c>
      <c r="AB458" s="21" t="n"/>
      <c r="AC458" s="21" t="n"/>
      <c r="AD458" s="27">
        <f>SUM(AB458:AC458)</f>
        <v/>
      </c>
      <c r="AE458" s="28" t="n"/>
      <c r="AF458" s="28" t="n"/>
      <c r="AG458" s="29">
        <f>IF(AND(AD458=0,AE458=0,AF458=0),0,IF(AND(AD458=0,AE458=0),AF458/1,IF(AND(AD458=0,AF458=0),AE458/1,IF(AND(AE458=0,AF458=0),AD458/1,IF(AD458=0,FLOOR((AE458+AF458)/2,0.1),IF(AE458=0,(AD458+AF458)/2,IF(AF458=0,(AE458+AD458)/2,FLOOR(((AD458+AE458+AF458)/3),0.1))))))))</f>
        <v/>
      </c>
      <c r="AH458" s="21" t="n"/>
      <c r="AI458" s="21" t="n"/>
      <c r="AJ458" s="27">
        <f>SUM(AH458:AI458)</f>
        <v/>
      </c>
      <c r="AK458" s="28" t="n"/>
      <c r="AL458" s="28" t="n"/>
      <c r="AM458" s="29">
        <f>IF(AND(AJ458=0,AK458=0,AL458=0),0,IF(AND(AJ458=0,AK458=0),AL458/1,IF(AND(AJ458=0,AL458=0),AK458/1,IF(AND(AK458=0,AL458=0),AJ458/1,IF(AJ458=0,FLOOR((AK458+AL458)/2,0.1),IF(AK458=0,(AJ458+AL458)/2,IF(AL458=0,(AK458+AJ458)/2,FLOOR(((AJ458+AK458+AL458)/3),0.1))))))))</f>
        <v/>
      </c>
      <c r="AN458" s="21" t="n"/>
      <c r="AO458" s="21" t="n"/>
      <c r="AP458" s="27">
        <f>SUM(AN458:AO458)</f>
        <v/>
      </c>
      <c r="AQ458" s="28" t="n"/>
      <c r="AR458" s="30" t="n"/>
      <c r="AS458" s="29">
        <f>IF(AND(AP458=0,AQ458=0,AR458=0),0,IF(AND(AP458=0,AQ458=0),AR458/1,IF(AND(AP458=0,AR458=0),AQ458/1,IF(AND(AQ458=0,AR458=0),AP458/1,IF(AP458=0,FLOOR((AQ458+AR458)/2,0.1),IF(AQ458=0,(AP458+AR458)/2,IF(AR458=0,(AQ458+AP458)/2,FLOOR(((AP458+AQ458+AR458)/3),0.1))))))))</f>
        <v/>
      </c>
      <c r="AT458" s="21" t="n"/>
      <c r="AU458" s="21" t="n"/>
      <c r="AV458" s="27">
        <f>SUM(AT458:AU458)</f>
        <v/>
      </c>
      <c r="AW458" s="28" t="n"/>
      <c r="AX458" s="30" t="n"/>
      <c r="AY458" s="29">
        <f>IF(AND(AV458=0,AW458=0,AX458=0),0,IF(AND(AV458=0,AW458=0),AX458/1,IF(AND(AV458=0,AX458=0),AW458/1,IF(AND(AW458=0,AX458=0),AV458/1,IF(AV458=0,FLOOR((AW458+AX458)/2,0.1),IF(AW458=0,(AV458+AX458)/2,IF(AX458=0,(AW458+AV458)/2,FLOOR(((AV458+AW458+AX458)/3),0.1))))))))</f>
        <v/>
      </c>
      <c r="AZ458" s="21" t="n"/>
      <c r="BA458" s="21" t="n"/>
      <c r="BB458" s="27">
        <f>SUM(AZ458:BA458)</f>
        <v/>
      </c>
      <c r="BC458" s="28" t="n"/>
      <c r="BD458" s="28" t="n"/>
      <c r="BE458" s="29">
        <f>IF(AND(BB458=0,BC458=0,BD458=0),0,IF(AND(BB458=0,BC458=0),BD458/1,IF(AND(BB458=0,BD458=0),BC458/1,IF(AND(BC458=0,BD458=0),BB458/1,IF(BB458=0,FLOOR((BC458+BD458)/2,0.1),IF(BC458=0,(BB458+BD458)/2,IF(BD458=0,(BC458+BB458)/2,FLOOR(((BB458+BC458+BD458)/3),0.1))))))))</f>
        <v/>
      </c>
      <c r="BF458" s="21" t="n"/>
      <c r="BG458" s="21" t="n"/>
      <c r="BH458" s="27">
        <f>SUM(BF458:BG458)</f>
        <v/>
      </c>
      <c r="BI458" s="28" t="n"/>
      <c r="BJ458" s="28" t="n"/>
      <c r="BK458" s="29">
        <f>IF(AND(BH458=0,BI458=0,BJ458=0),0,IF(AND(BH458=0,BI458=0),BJ458/1,IF(AND(BH458=0,BJ458=0),BI458/1,IF(AND(BI458=0,BJ458=0),BH458/1,IF(BH458=0,FLOOR((BI458+BJ458)/2,0.1),IF(BI458=0,(BH458+BJ458)/2,IF(BJ458=0,(BI458+BH458)/2,FLOOR(((BH458+BI458+BJ458)/3),0.1))))))))</f>
        <v/>
      </c>
      <c r="BL458" s="21" t="n"/>
      <c r="BM458" s="21" t="n"/>
      <c r="BN458" s="27">
        <f>SUM(BL458:BM458)</f>
        <v/>
      </c>
      <c r="BO458" s="28" t="n"/>
      <c r="BP458" s="31" t="n"/>
      <c r="BQ458" s="29">
        <f>IF(AND(BN458=0,BO458=0,BP458=0),0,IF(AND(BN458=0,BO458=0),BP458/1,IF(AND(BN458=0,BP458=0),BO458/1,IF(AND(BO458=0,BP458=0),BN458/1,IF(BN458=0,FLOOR((BO458+BP458)/2,0.1),IF(BO458=0,(BN458+BP458)/2,IF(BP458=0,(BO458+BN458)/2,FLOOR(((BN458+BO458+BP458)/3),0.1))))))))</f>
        <v/>
      </c>
      <c r="BR458" s="21" t="n"/>
      <c r="BS458" s="21" t="n"/>
      <c r="BT458" s="27">
        <f>SUM(BR458:BS458)</f>
        <v/>
      </c>
      <c r="BU458" s="28" t="n"/>
      <c r="BV458" s="31" t="n"/>
      <c r="BW458" s="29">
        <f>IF(AND(BT458=0,BU458=0,BV458=0),0,IF(AND(BT458=0,BU458=0),BV458/1,IF(AND(BT458=0,BV458=0),BU458/1,IF(AND(BU458=0,BV458=0),BT458/1,IF(BT458=0,FLOOR((BU458+BV458)/2,0.1),IF(BU458=0,(BT458+BV458)/2,IF(BV458=0,(BU458+BT458)/2,FLOOR(((BT458+BU458+BV458)/3),0.1))))))))</f>
        <v/>
      </c>
      <c r="BX458" s="21" t="n"/>
      <c r="BY458" s="21" t="n"/>
      <c r="BZ458" s="27">
        <f>SUM(BX458:BY458)</f>
        <v/>
      </c>
      <c r="CA458" s="28" t="n"/>
      <c r="CB458" s="31" t="n"/>
      <c r="CC458" s="29">
        <f>IF(AND(BZ458=0,CA458=0,CB458=0),0,IF(AND(BZ458=0,CA458=0),CB458/1,IF(AND(BZ458=0,CB458=0),CA458/1,IF(AND(CA458=0,CB458=0),BZ458/1,IF(BZ458=0,FLOOR((CA458+CB458)/2,0.1),IF(CA458=0,(BZ458+CB458)/2,IF(CB458=0,(CA458+BZ458)/2,FLOOR(((BZ458+CA458+CB458)/3),0.1))))))))</f>
        <v/>
      </c>
      <c r="CD458" s="21" t="n"/>
      <c r="CE458" s="21" t="n"/>
      <c r="CF458" s="27">
        <f>SUM(CD458:CE458)</f>
        <v/>
      </c>
      <c r="CG458" s="28" t="n"/>
      <c r="CH458" s="31" t="n"/>
      <c r="CI458" s="29">
        <f>IF(AND(CF458=0,CG458=0,CH458=0),0,IF(AND(CF458=0,CG458=0),CH458/1,IF(AND(CF458=0,CH458=0),CG458/1,IF(AND(CG458=0,CH458=0),CF458/1,IF(CF458=0,FLOOR((CG458+CH458)/2,0.1),IF(CG458=0,(CF458+CH458)/2,IF(CH458=0,(CG458+CF458)/2,FLOOR(((CF458+CG458+CH458)/3),0.1))))))))</f>
        <v/>
      </c>
      <c r="CJ458" s="21" t="n"/>
      <c r="CK458" s="21" t="n"/>
      <c r="CL458" s="27">
        <f>SUM(CJ458:CK458)</f>
        <v/>
      </c>
      <c r="CM458" s="28" t="n"/>
      <c r="CN458" s="31" t="n"/>
      <c r="CO458" s="29">
        <f>IF(AND(CL458=0,CM458=0,CN458=0),0,IF(AND(CL458=0,CM458=0),CN458/1,IF(AND(CL458=0,CN458=0),CM458/1,IF(AND(CM458=0,CN458=0),CL458/1,IF(CL458=0,FLOOR((CM458+CN458)/2,0.1),IF(CM458=0,(CL458+CN458)/2,IF(CN458=0,(CM458+CL458)/2,FLOOR(((CL458+CM458+CN458)/3),0.1))))))))</f>
        <v/>
      </c>
      <c r="CP458" s="21" t="n"/>
      <c r="CQ458" s="21" t="n"/>
      <c r="CR458" s="27">
        <f>SUM(CP458:CQ458)</f>
        <v/>
      </c>
      <c r="CS458" s="28" t="n"/>
      <c r="CT458" s="31" t="n"/>
      <c r="CU458" s="29">
        <f>IF(AND(CR458=0,CS458=0,CT458=0),0,IF(AND(CR458=0,CS458=0),CT458/1,IF(AND(CR458=0,CT458=0),CS458/1,IF(AND(CS458=0,CT458=0),CR458/1,IF(CR458=0,FLOOR((CS458+CT458)/2,0.1),IF(CS458=0,(CR458+CT458)/2,IF(CT458=0,(CS458+CR458)/2,FLOOR(((CR458+CS458+CT458)/3),0.1))))))))</f>
        <v/>
      </c>
      <c r="CV458" s="21" t="n"/>
      <c r="CW458" s="21" t="n"/>
      <c r="CX458" s="27">
        <f>SUM(CV458:CW458)</f>
        <v/>
      </c>
      <c r="CY458" s="28" t="n"/>
      <c r="CZ458" s="31" t="n"/>
      <c r="DA458" s="29">
        <f>IF(AND(CX458=0,CY458=0,CZ458=0),0,IF(AND(CX458=0,CY458=0),CZ458/1,IF(AND(CX458=0,CZ458=0),CY458/1,IF(AND(CY458=0,CZ458=0),CX458/1,IF(CX458=0,FLOOR((CY458+CZ458)/2,0.1),IF(CY458=0,(CX458+CZ458)/2,IF(CZ458=0,(CY458+CX458)/2,FLOOR(((CX458+CY458+CZ458)/3),0.1))))))))</f>
        <v/>
      </c>
      <c r="DB458" s="21" t="n"/>
      <c r="DC458" s="21" t="n"/>
      <c r="DD458" s="27">
        <f>SUM(DB458:DC458)</f>
        <v/>
      </c>
      <c r="DE458" s="28" t="n"/>
      <c r="DF458" s="31" t="n"/>
      <c r="DG458" s="29">
        <f>IF(AND(DD458=0,DE458=0,DF458=0),0,IF(AND(DD458=0,DE458=0),DF458/1,IF(AND(DD458=0,DF458=0),DE458/1,IF(AND(DE458=0,DF458=0),DD458/1,IF(DD458=0,FLOOR((DE458+DF458)/2,0.1),IF(DE458=0,(DD458+DF458)/2,IF(DF458=0,(DE458+DD458)/2,FLOOR(((DD458+DE458+DF458)/3),0.1))))))))</f>
        <v/>
      </c>
      <c r="DH458" s="34">
        <f>SUM(O458,U458,AA458,AG458,AM458,AS458,AY458,BE458,BK458,BQ458,BW458,CC458,CI458,CO458,CU458,DA458,DG458)</f>
        <v/>
      </c>
      <c r="DI458" s="39">
        <f>RANK(DH458,DH$4:DH$503)</f>
        <v/>
      </c>
      <c r="DJ458" s="40" t="inlineStr">
        <is>
          <t>CHOOSE RATING</t>
        </is>
      </c>
      <c r="DK458" s="40" t="inlineStr">
        <is>
          <t>CHOOSE RATING</t>
        </is>
      </c>
      <c r="DL458" s="40" t="inlineStr">
        <is>
          <t>CHOOSE RATING</t>
        </is>
      </c>
      <c r="DM458" s="40" t="inlineStr">
        <is>
          <t>CHOOSE RATING</t>
        </is>
      </c>
      <c r="DN458" s="40" t="inlineStr">
        <is>
          <t>CHOOSE RATING</t>
        </is>
      </c>
      <c r="DO458" s="40" t="inlineStr">
        <is>
          <t>CHOOSE RATING</t>
        </is>
      </c>
      <c r="DP458" s="40" t="inlineStr">
        <is>
          <t>CHOOSE RATING</t>
        </is>
      </c>
      <c r="DQ458" s="40" t="inlineStr">
        <is>
          <t>CHOOSE RATING</t>
        </is>
      </c>
      <c r="DR458" s="43" t="inlineStr">
        <is>
          <t>2024/2025</t>
        </is>
      </c>
      <c r="DS458" s="45" t="inlineStr">
        <is>
          <t>THIRD</t>
        </is>
      </c>
      <c r="DT458" s="40" t="inlineStr">
        <is>
          <t>CHOOSE RATING</t>
        </is>
      </c>
      <c r="DU458" s="40" t="inlineStr">
        <is>
          <t>CHOOSE RATING</t>
        </is>
      </c>
      <c r="DV458" s="40" t="inlineStr">
        <is>
          <t>CHOOSE RATING</t>
        </is>
      </c>
      <c r="DW458" s="40" t="inlineStr">
        <is>
          <t>CHOOSE RATING</t>
        </is>
      </c>
      <c r="DX458" s="40" t="inlineStr">
        <is>
          <t>CHOOSE RATING</t>
        </is>
      </c>
      <c r="DY458" s="40" t="inlineStr">
        <is>
          <t>CHOOSE RATING</t>
        </is>
      </c>
      <c r="DZ458" s="53" t="inlineStr">
        <is>
          <t>CHOOSE RATING</t>
        </is>
      </c>
      <c r="EA458" s="54" t="inlineStr">
        <is>
          <t>Add the Tutor's Comment . . .</t>
        </is>
      </c>
      <c r="EB458" s="55" t="inlineStr">
        <is>
          <t>Choose Principals comment</t>
        </is>
      </c>
      <c r="EC458" s="56" t="n"/>
      <c r="ED458" s="57" t="inlineStr">
        <is>
          <t>Next Term Begins on Monday, 22nd September, 2025</t>
        </is>
      </c>
    </row>
    <row r="459" ht="30.6" customHeight="1" s="6">
      <c r="A459" s="18" t="n">
        <v>456</v>
      </c>
      <c r="B459" s="19" t="n"/>
      <c r="C459" s="20" t="n"/>
      <c r="D459" s="128" t="n"/>
      <c r="E459" s="21" t="n"/>
      <c r="F459" s="22" t="n"/>
      <c r="G459" s="22" t="n"/>
      <c r="H459" s="22" t="n"/>
      <c r="I459" s="26">
        <f>G459-H459</f>
        <v/>
      </c>
      <c r="J459" s="21" t="n"/>
      <c r="K459" s="21" t="n"/>
      <c r="L459" s="27">
        <f>SUM(J459:K459)</f>
        <v/>
      </c>
      <c r="M459" s="28" t="n"/>
      <c r="N459" s="28" t="n"/>
      <c r="O459" s="29">
        <f>IF(AND(L459=0,M459=0,N459=0),0,IF(AND(L459=0,M459=0),N459/1,IF(AND(L459=0,N459=0),M459/1,IF(AND(M459=0,N459=0),L459/1,IF(L459=0,FLOOR((M459+N459)/2,0.1),IF(M459=0,(L459+N459)/2,IF(N459=0,(M459+L459)/2,FLOOR(((L459+M459+N459)/3),0.1))))))))</f>
        <v/>
      </c>
      <c r="P459" s="21" t="n"/>
      <c r="Q459" s="21" t="n"/>
      <c r="R459" s="27">
        <f>SUM(P459:Q459)</f>
        <v/>
      </c>
      <c r="S459" s="28" t="n"/>
      <c r="T459" s="28" t="n"/>
      <c r="U459" s="29">
        <f>IF(AND(R459=0,S459=0,T459=0),0,IF(AND(R459=0,S459=0),T459/1,IF(AND(R459=0,T459=0),S459/1,IF(AND(S459=0,T459=0),R459/1,IF(R459=0,FLOOR((S459+T459)/2,0.1),IF(S459=0,(R459+T459)/2,IF(T459=0,(S459+R459)/2,FLOOR(((R459+S459+T459)/3),0.1))))))))</f>
        <v/>
      </c>
      <c r="V459" s="21" t="n"/>
      <c r="W459" s="21" t="n"/>
      <c r="X459" s="27">
        <f>SUM(V459:W459)</f>
        <v/>
      </c>
      <c r="Y459" s="28" t="n"/>
      <c r="Z459" s="28" t="n"/>
      <c r="AA459" s="29">
        <f>IF(AND(X459=0,Y459=0,Z459=0),0,IF(AND(X459=0,Y459=0),Z459/1,IF(AND(X459=0,Z459=0),Y459/1,IF(AND(Y459=0,Z459=0),X459/1,IF(X459=0,FLOOR((Y459+Z459)/2,0.1),IF(Y459=0,(X459+Z459)/2,IF(Z459=0,(Y459+X459)/2,FLOOR(((X459+Y459+Z459)/3),0.1))))))))</f>
        <v/>
      </c>
      <c r="AB459" s="21" t="n"/>
      <c r="AC459" s="21" t="n"/>
      <c r="AD459" s="27">
        <f>SUM(AB459:AC459)</f>
        <v/>
      </c>
      <c r="AE459" s="28" t="n"/>
      <c r="AF459" s="28" t="n"/>
      <c r="AG459" s="29">
        <f>IF(AND(AD459=0,AE459=0,AF459=0),0,IF(AND(AD459=0,AE459=0),AF459/1,IF(AND(AD459=0,AF459=0),AE459/1,IF(AND(AE459=0,AF459=0),AD459/1,IF(AD459=0,FLOOR((AE459+AF459)/2,0.1),IF(AE459=0,(AD459+AF459)/2,IF(AF459=0,(AE459+AD459)/2,FLOOR(((AD459+AE459+AF459)/3),0.1))))))))</f>
        <v/>
      </c>
      <c r="AH459" s="21" t="n"/>
      <c r="AI459" s="21" t="n"/>
      <c r="AJ459" s="27">
        <f>SUM(AH459:AI459)</f>
        <v/>
      </c>
      <c r="AK459" s="28" t="n"/>
      <c r="AL459" s="28" t="n"/>
      <c r="AM459" s="29">
        <f>IF(AND(AJ459=0,AK459=0,AL459=0),0,IF(AND(AJ459=0,AK459=0),AL459/1,IF(AND(AJ459=0,AL459=0),AK459/1,IF(AND(AK459=0,AL459=0),AJ459/1,IF(AJ459=0,FLOOR((AK459+AL459)/2,0.1),IF(AK459=0,(AJ459+AL459)/2,IF(AL459=0,(AK459+AJ459)/2,FLOOR(((AJ459+AK459+AL459)/3),0.1))))))))</f>
        <v/>
      </c>
      <c r="AN459" s="21" t="n"/>
      <c r="AO459" s="21" t="n"/>
      <c r="AP459" s="27">
        <f>SUM(AN459:AO459)</f>
        <v/>
      </c>
      <c r="AQ459" s="28" t="n"/>
      <c r="AR459" s="30" t="n"/>
      <c r="AS459" s="29">
        <f>IF(AND(AP459=0,AQ459=0,AR459=0),0,IF(AND(AP459=0,AQ459=0),AR459/1,IF(AND(AP459=0,AR459=0),AQ459/1,IF(AND(AQ459=0,AR459=0),AP459/1,IF(AP459=0,FLOOR((AQ459+AR459)/2,0.1),IF(AQ459=0,(AP459+AR459)/2,IF(AR459=0,(AQ459+AP459)/2,FLOOR(((AP459+AQ459+AR459)/3),0.1))))))))</f>
        <v/>
      </c>
      <c r="AT459" s="21" t="n"/>
      <c r="AU459" s="21" t="n"/>
      <c r="AV459" s="27">
        <f>SUM(AT459:AU459)</f>
        <v/>
      </c>
      <c r="AW459" s="28" t="n"/>
      <c r="AX459" s="30" t="n"/>
      <c r="AY459" s="29">
        <f>IF(AND(AV459=0,AW459=0,AX459=0),0,IF(AND(AV459=0,AW459=0),AX459/1,IF(AND(AV459=0,AX459=0),AW459/1,IF(AND(AW459=0,AX459=0),AV459/1,IF(AV459=0,FLOOR((AW459+AX459)/2,0.1),IF(AW459=0,(AV459+AX459)/2,IF(AX459=0,(AW459+AV459)/2,FLOOR(((AV459+AW459+AX459)/3),0.1))))))))</f>
        <v/>
      </c>
      <c r="AZ459" s="21" t="n"/>
      <c r="BA459" s="21" t="n"/>
      <c r="BB459" s="27">
        <f>SUM(AZ459:BA459)</f>
        <v/>
      </c>
      <c r="BC459" s="28" t="n"/>
      <c r="BD459" s="28" t="n"/>
      <c r="BE459" s="29">
        <f>IF(AND(BB459=0,BC459=0,BD459=0),0,IF(AND(BB459=0,BC459=0),BD459/1,IF(AND(BB459=0,BD459=0),BC459/1,IF(AND(BC459=0,BD459=0),BB459/1,IF(BB459=0,FLOOR((BC459+BD459)/2,0.1),IF(BC459=0,(BB459+BD459)/2,IF(BD459=0,(BC459+BB459)/2,FLOOR(((BB459+BC459+BD459)/3),0.1))))))))</f>
        <v/>
      </c>
      <c r="BF459" s="21" t="n"/>
      <c r="BG459" s="21" t="n"/>
      <c r="BH459" s="27">
        <f>SUM(BF459:BG459)</f>
        <v/>
      </c>
      <c r="BI459" s="28" t="n"/>
      <c r="BJ459" s="28" t="n"/>
      <c r="BK459" s="29">
        <f>IF(AND(BH459=0,BI459=0,BJ459=0),0,IF(AND(BH459=0,BI459=0),BJ459/1,IF(AND(BH459=0,BJ459=0),BI459/1,IF(AND(BI459=0,BJ459=0),BH459/1,IF(BH459=0,FLOOR((BI459+BJ459)/2,0.1),IF(BI459=0,(BH459+BJ459)/2,IF(BJ459=0,(BI459+BH459)/2,FLOOR(((BH459+BI459+BJ459)/3),0.1))))))))</f>
        <v/>
      </c>
      <c r="BL459" s="21" t="n"/>
      <c r="BM459" s="21" t="n"/>
      <c r="BN459" s="27">
        <f>SUM(BL459:BM459)</f>
        <v/>
      </c>
      <c r="BO459" s="28" t="n"/>
      <c r="BP459" s="31" t="n"/>
      <c r="BQ459" s="29">
        <f>IF(AND(BN459=0,BO459=0,BP459=0),0,IF(AND(BN459=0,BO459=0),BP459/1,IF(AND(BN459=0,BP459=0),BO459/1,IF(AND(BO459=0,BP459=0),BN459/1,IF(BN459=0,FLOOR((BO459+BP459)/2,0.1),IF(BO459=0,(BN459+BP459)/2,IF(BP459=0,(BO459+BN459)/2,FLOOR(((BN459+BO459+BP459)/3),0.1))))))))</f>
        <v/>
      </c>
      <c r="BR459" s="21" t="n"/>
      <c r="BS459" s="21" t="n"/>
      <c r="BT459" s="27">
        <f>SUM(BR459:BS459)</f>
        <v/>
      </c>
      <c r="BU459" s="28" t="n"/>
      <c r="BV459" s="31" t="n"/>
      <c r="BW459" s="29">
        <f>IF(AND(BT459=0,BU459=0,BV459=0),0,IF(AND(BT459=0,BU459=0),BV459/1,IF(AND(BT459=0,BV459=0),BU459/1,IF(AND(BU459=0,BV459=0),BT459/1,IF(BT459=0,FLOOR((BU459+BV459)/2,0.1),IF(BU459=0,(BT459+BV459)/2,IF(BV459=0,(BU459+BT459)/2,FLOOR(((BT459+BU459+BV459)/3),0.1))))))))</f>
        <v/>
      </c>
      <c r="BX459" s="21" t="n"/>
      <c r="BY459" s="21" t="n"/>
      <c r="BZ459" s="27">
        <f>SUM(BX459:BY459)</f>
        <v/>
      </c>
      <c r="CA459" s="28" t="n"/>
      <c r="CB459" s="31" t="n"/>
      <c r="CC459" s="29">
        <f>IF(AND(BZ459=0,CA459=0,CB459=0),0,IF(AND(BZ459=0,CA459=0),CB459/1,IF(AND(BZ459=0,CB459=0),CA459/1,IF(AND(CA459=0,CB459=0),BZ459/1,IF(BZ459=0,FLOOR((CA459+CB459)/2,0.1),IF(CA459=0,(BZ459+CB459)/2,IF(CB459=0,(CA459+BZ459)/2,FLOOR(((BZ459+CA459+CB459)/3),0.1))))))))</f>
        <v/>
      </c>
      <c r="CD459" s="21" t="n"/>
      <c r="CE459" s="21" t="n"/>
      <c r="CF459" s="27">
        <f>SUM(CD459:CE459)</f>
        <v/>
      </c>
      <c r="CG459" s="28" t="n"/>
      <c r="CH459" s="31" t="n"/>
      <c r="CI459" s="29">
        <f>IF(AND(CF459=0,CG459=0,CH459=0),0,IF(AND(CF459=0,CG459=0),CH459/1,IF(AND(CF459=0,CH459=0),CG459/1,IF(AND(CG459=0,CH459=0),CF459/1,IF(CF459=0,FLOOR((CG459+CH459)/2,0.1),IF(CG459=0,(CF459+CH459)/2,IF(CH459=0,(CG459+CF459)/2,FLOOR(((CF459+CG459+CH459)/3),0.1))))))))</f>
        <v/>
      </c>
      <c r="CJ459" s="21" t="n"/>
      <c r="CK459" s="21" t="n"/>
      <c r="CL459" s="27">
        <f>SUM(CJ459:CK459)</f>
        <v/>
      </c>
      <c r="CM459" s="28" t="n"/>
      <c r="CN459" s="31" t="n"/>
      <c r="CO459" s="29">
        <f>IF(AND(CL459=0,CM459=0,CN459=0),0,IF(AND(CL459=0,CM459=0),CN459/1,IF(AND(CL459=0,CN459=0),CM459/1,IF(AND(CM459=0,CN459=0),CL459/1,IF(CL459=0,FLOOR((CM459+CN459)/2,0.1),IF(CM459=0,(CL459+CN459)/2,IF(CN459=0,(CM459+CL459)/2,FLOOR(((CL459+CM459+CN459)/3),0.1))))))))</f>
        <v/>
      </c>
      <c r="CP459" s="21" t="n"/>
      <c r="CQ459" s="21" t="n"/>
      <c r="CR459" s="27">
        <f>SUM(CP459:CQ459)</f>
        <v/>
      </c>
      <c r="CS459" s="28" t="n"/>
      <c r="CT459" s="31" t="n"/>
      <c r="CU459" s="29">
        <f>IF(AND(CR459=0,CS459=0,CT459=0),0,IF(AND(CR459=0,CS459=0),CT459/1,IF(AND(CR459=0,CT459=0),CS459/1,IF(AND(CS459=0,CT459=0),CR459/1,IF(CR459=0,FLOOR((CS459+CT459)/2,0.1),IF(CS459=0,(CR459+CT459)/2,IF(CT459=0,(CS459+CR459)/2,FLOOR(((CR459+CS459+CT459)/3),0.1))))))))</f>
        <v/>
      </c>
      <c r="CV459" s="21" t="n"/>
      <c r="CW459" s="21" t="n"/>
      <c r="CX459" s="27">
        <f>SUM(CV459:CW459)</f>
        <v/>
      </c>
      <c r="CY459" s="28" t="n"/>
      <c r="CZ459" s="31" t="n"/>
      <c r="DA459" s="29">
        <f>IF(AND(CX459=0,CY459=0,CZ459=0),0,IF(AND(CX459=0,CY459=0),CZ459/1,IF(AND(CX459=0,CZ459=0),CY459/1,IF(AND(CY459=0,CZ459=0),CX459/1,IF(CX459=0,FLOOR((CY459+CZ459)/2,0.1),IF(CY459=0,(CX459+CZ459)/2,IF(CZ459=0,(CY459+CX459)/2,FLOOR(((CX459+CY459+CZ459)/3),0.1))))))))</f>
        <v/>
      </c>
      <c r="DB459" s="21" t="n"/>
      <c r="DC459" s="21" t="n"/>
      <c r="DD459" s="27">
        <f>SUM(DB459:DC459)</f>
        <v/>
      </c>
      <c r="DE459" s="28" t="n"/>
      <c r="DF459" s="31" t="n"/>
      <c r="DG459" s="29">
        <f>IF(AND(DD459=0,DE459=0,DF459=0),0,IF(AND(DD459=0,DE459=0),DF459/1,IF(AND(DD459=0,DF459=0),DE459/1,IF(AND(DE459=0,DF459=0),DD459/1,IF(DD459=0,FLOOR((DE459+DF459)/2,0.1),IF(DE459=0,(DD459+DF459)/2,IF(DF459=0,(DE459+DD459)/2,FLOOR(((DD459+DE459+DF459)/3),0.1))))))))</f>
        <v/>
      </c>
      <c r="DH459" s="34">
        <f>SUM(O459,U459,AA459,AG459,AM459,AS459,AY459,BE459,BK459,BQ459,BW459,CC459,CI459,CO459,CU459,DA459,DG459)</f>
        <v/>
      </c>
      <c r="DI459" s="39">
        <f>RANK(DH459,DH$4:DH$503)</f>
        <v/>
      </c>
      <c r="DJ459" s="40" t="inlineStr">
        <is>
          <t>CHOOSE RATING</t>
        </is>
      </c>
      <c r="DK459" s="40" t="inlineStr">
        <is>
          <t>CHOOSE RATING</t>
        </is>
      </c>
      <c r="DL459" s="40" t="inlineStr">
        <is>
          <t>CHOOSE RATING</t>
        </is>
      </c>
      <c r="DM459" s="40" t="inlineStr">
        <is>
          <t>CHOOSE RATING</t>
        </is>
      </c>
      <c r="DN459" s="40" t="inlineStr">
        <is>
          <t>CHOOSE RATING</t>
        </is>
      </c>
      <c r="DO459" s="40" t="inlineStr">
        <is>
          <t>CHOOSE RATING</t>
        </is>
      </c>
      <c r="DP459" s="40" t="inlineStr">
        <is>
          <t>CHOOSE RATING</t>
        </is>
      </c>
      <c r="DQ459" s="40" t="inlineStr">
        <is>
          <t>CHOOSE RATING</t>
        </is>
      </c>
      <c r="DR459" s="43" t="inlineStr">
        <is>
          <t>2024/2025</t>
        </is>
      </c>
      <c r="DS459" s="45" t="inlineStr">
        <is>
          <t>THIRD</t>
        </is>
      </c>
      <c r="DT459" s="40" t="inlineStr">
        <is>
          <t>CHOOSE RATING</t>
        </is>
      </c>
      <c r="DU459" s="40" t="inlineStr">
        <is>
          <t>CHOOSE RATING</t>
        </is>
      </c>
      <c r="DV459" s="40" t="inlineStr">
        <is>
          <t>CHOOSE RATING</t>
        </is>
      </c>
      <c r="DW459" s="40" t="inlineStr">
        <is>
          <t>CHOOSE RATING</t>
        </is>
      </c>
      <c r="DX459" s="40" t="inlineStr">
        <is>
          <t>CHOOSE RATING</t>
        </is>
      </c>
      <c r="DY459" s="40" t="inlineStr">
        <is>
          <t>CHOOSE RATING</t>
        </is>
      </c>
      <c r="DZ459" s="53" t="inlineStr">
        <is>
          <t>CHOOSE RATING</t>
        </is>
      </c>
      <c r="EA459" s="54" t="inlineStr">
        <is>
          <t>Add the Tutor's Comment . . .</t>
        </is>
      </c>
      <c r="EB459" s="55" t="inlineStr">
        <is>
          <t>Choose Principals comment</t>
        </is>
      </c>
      <c r="EC459" s="56" t="n"/>
      <c r="ED459" s="57" t="inlineStr">
        <is>
          <t>Next Term Begins on Monday, 22nd September, 2025</t>
        </is>
      </c>
    </row>
    <row r="460" ht="30.6" customHeight="1" s="6">
      <c r="A460" s="18" t="n">
        <v>457</v>
      </c>
      <c r="B460" s="19" t="n"/>
      <c r="C460" s="20" t="n"/>
      <c r="D460" s="128" t="n"/>
      <c r="E460" s="21" t="n"/>
      <c r="F460" s="22" t="n"/>
      <c r="G460" s="22" t="n"/>
      <c r="H460" s="22" t="n"/>
      <c r="I460" s="26">
        <f>G460-H460</f>
        <v/>
      </c>
      <c r="J460" s="21" t="n"/>
      <c r="K460" s="21" t="n"/>
      <c r="L460" s="27">
        <f>SUM(J460:K460)</f>
        <v/>
      </c>
      <c r="M460" s="28" t="n"/>
      <c r="N460" s="28" t="n"/>
      <c r="O460" s="29">
        <f>IF(AND(L460=0,M460=0,N460=0),0,IF(AND(L460=0,M460=0),N460/1,IF(AND(L460=0,N460=0),M460/1,IF(AND(M460=0,N460=0),L460/1,IF(L460=0,FLOOR((M460+N460)/2,0.1),IF(M460=0,(L460+N460)/2,IF(N460=0,(M460+L460)/2,FLOOR(((L460+M460+N460)/3),0.1))))))))</f>
        <v/>
      </c>
      <c r="P460" s="21" t="n"/>
      <c r="Q460" s="21" t="n"/>
      <c r="R460" s="27">
        <f>SUM(P460:Q460)</f>
        <v/>
      </c>
      <c r="S460" s="28" t="n"/>
      <c r="T460" s="28" t="n"/>
      <c r="U460" s="29">
        <f>IF(AND(R460=0,S460=0,T460=0),0,IF(AND(R460=0,S460=0),T460/1,IF(AND(R460=0,T460=0),S460/1,IF(AND(S460=0,T460=0),R460/1,IF(R460=0,FLOOR((S460+T460)/2,0.1),IF(S460=0,(R460+T460)/2,IF(T460=0,(S460+R460)/2,FLOOR(((R460+S460+T460)/3),0.1))))))))</f>
        <v/>
      </c>
      <c r="V460" s="21" t="n"/>
      <c r="W460" s="21" t="n"/>
      <c r="X460" s="27">
        <f>SUM(V460:W460)</f>
        <v/>
      </c>
      <c r="Y460" s="28" t="n"/>
      <c r="Z460" s="28" t="n"/>
      <c r="AA460" s="29">
        <f>IF(AND(X460=0,Y460=0,Z460=0),0,IF(AND(X460=0,Y460=0),Z460/1,IF(AND(X460=0,Z460=0),Y460/1,IF(AND(Y460=0,Z460=0),X460/1,IF(X460=0,FLOOR((Y460+Z460)/2,0.1),IF(Y460=0,(X460+Z460)/2,IF(Z460=0,(Y460+X460)/2,FLOOR(((X460+Y460+Z460)/3),0.1))))))))</f>
        <v/>
      </c>
      <c r="AB460" s="21" t="n"/>
      <c r="AC460" s="21" t="n"/>
      <c r="AD460" s="27">
        <f>SUM(AB460:AC460)</f>
        <v/>
      </c>
      <c r="AE460" s="28" t="n"/>
      <c r="AF460" s="28" t="n"/>
      <c r="AG460" s="29">
        <f>IF(AND(AD460=0,AE460=0,AF460=0),0,IF(AND(AD460=0,AE460=0),AF460/1,IF(AND(AD460=0,AF460=0),AE460/1,IF(AND(AE460=0,AF460=0),AD460/1,IF(AD460=0,FLOOR((AE460+AF460)/2,0.1),IF(AE460=0,(AD460+AF460)/2,IF(AF460=0,(AE460+AD460)/2,FLOOR(((AD460+AE460+AF460)/3),0.1))))))))</f>
        <v/>
      </c>
      <c r="AH460" s="21" t="n"/>
      <c r="AI460" s="21" t="n"/>
      <c r="AJ460" s="27">
        <f>SUM(AH460:AI460)</f>
        <v/>
      </c>
      <c r="AK460" s="28" t="n"/>
      <c r="AL460" s="28" t="n"/>
      <c r="AM460" s="29">
        <f>IF(AND(AJ460=0,AK460=0,AL460=0),0,IF(AND(AJ460=0,AK460=0),AL460/1,IF(AND(AJ460=0,AL460=0),AK460/1,IF(AND(AK460=0,AL460=0),AJ460/1,IF(AJ460=0,FLOOR((AK460+AL460)/2,0.1),IF(AK460=0,(AJ460+AL460)/2,IF(AL460=0,(AK460+AJ460)/2,FLOOR(((AJ460+AK460+AL460)/3),0.1))))))))</f>
        <v/>
      </c>
      <c r="AN460" s="21" t="n"/>
      <c r="AO460" s="21" t="n"/>
      <c r="AP460" s="27">
        <f>SUM(AN460:AO460)</f>
        <v/>
      </c>
      <c r="AQ460" s="28" t="n"/>
      <c r="AR460" s="30" t="n"/>
      <c r="AS460" s="29">
        <f>IF(AND(AP460=0,AQ460=0,AR460=0),0,IF(AND(AP460=0,AQ460=0),AR460/1,IF(AND(AP460=0,AR460=0),AQ460/1,IF(AND(AQ460=0,AR460=0),AP460/1,IF(AP460=0,FLOOR((AQ460+AR460)/2,0.1),IF(AQ460=0,(AP460+AR460)/2,IF(AR460=0,(AQ460+AP460)/2,FLOOR(((AP460+AQ460+AR460)/3),0.1))))))))</f>
        <v/>
      </c>
      <c r="AT460" s="21" t="n"/>
      <c r="AU460" s="21" t="n"/>
      <c r="AV460" s="27">
        <f>SUM(AT460:AU460)</f>
        <v/>
      </c>
      <c r="AW460" s="28" t="n"/>
      <c r="AX460" s="30" t="n"/>
      <c r="AY460" s="29">
        <f>IF(AND(AV460=0,AW460=0,AX460=0),0,IF(AND(AV460=0,AW460=0),AX460/1,IF(AND(AV460=0,AX460=0),AW460/1,IF(AND(AW460=0,AX460=0),AV460/1,IF(AV460=0,FLOOR((AW460+AX460)/2,0.1),IF(AW460=0,(AV460+AX460)/2,IF(AX460=0,(AW460+AV460)/2,FLOOR(((AV460+AW460+AX460)/3),0.1))))))))</f>
        <v/>
      </c>
      <c r="AZ460" s="21" t="n"/>
      <c r="BA460" s="21" t="n"/>
      <c r="BB460" s="27">
        <f>SUM(AZ460:BA460)</f>
        <v/>
      </c>
      <c r="BC460" s="28" t="n"/>
      <c r="BD460" s="28" t="n"/>
      <c r="BE460" s="29">
        <f>IF(AND(BB460=0,BC460=0,BD460=0),0,IF(AND(BB460=0,BC460=0),BD460/1,IF(AND(BB460=0,BD460=0),BC460/1,IF(AND(BC460=0,BD460=0),BB460/1,IF(BB460=0,FLOOR((BC460+BD460)/2,0.1),IF(BC460=0,(BB460+BD460)/2,IF(BD460=0,(BC460+BB460)/2,FLOOR(((BB460+BC460+BD460)/3),0.1))))))))</f>
        <v/>
      </c>
      <c r="BF460" s="21" t="n"/>
      <c r="BG460" s="21" t="n"/>
      <c r="BH460" s="27">
        <f>SUM(BF460:BG460)</f>
        <v/>
      </c>
      <c r="BI460" s="28" t="n"/>
      <c r="BJ460" s="28" t="n"/>
      <c r="BK460" s="29">
        <f>IF(AND(BH460=0,BI460=0,BJ460=0),0,IF(AND(BH460=0,BI460=0),BJ460/1,IF(AND(BH460=0,BJ460=0),BI460/1,IF(AND(BI460=0,BJ460=0),BH460/1,IF(BH460=0,FLOOR((BI460+BJ460)/2,0.1),IF(BI460=0,(BH460+BJ460)/2,IF(BJ460=0,(BI460+BH460)/2,FLOOR(((BH460+BI460+BJ460)/3),0.1))))))))</f>
        <v/>
      </c>
      <c r="BL460" s="21" t="n"/>
      <c r="BM460" s="21" t="n"/>
      <c r="BN460" s="27">
        <f>SUM(BL460:BM460)</f>
        <v/>
      </c>
      <c r="BO460" s="28" t="n"/>
      <c r="BP460" s="31" t="n"/>
      <c r="BQ460" s="29">
        <f>IF(AND(BN460=0,BO460=0,BP460=0),0,IF(AND(BN460=0,BO460=0),BP460/1,IF(AND(BN460=0,BP460=0),BO460/1,IF(AND(BO460=0,BP460=0),BN460/1,IF(BN460=0,FLOOR((BO460+BP460)/2,0.1),IF(BO460=0,(BN460+BP460)/2,IF(BP460=0,(BO460+BN460)/2,FLOOR(((BN460+BO460+BP460)/3),0.1))))))))</f>
        <v/>
      </c>
      <c r="BR460" s="21" t="n"/>
      <c r="BS460" s="21" t="n"/>
      <c r="BT460" s="27">
        <f>SUM(BR460:BS460)</f>
        <v/>
      </c>
      <c r="BU460" s="28" t="n"/>
      <c r="BV460" s="31" t="n"/>
      <c r="BW460" s="29">
        <f>IF(AND(BT460=0,BU460=0,BV460=0),0,IF(AND(BT460=0,BU460=0),BV460/1,IF(AND(BT460=0,BV460=0),BU460/1,IF(AND(BU460=0,BV460=0),BT460/1,IF(BT460=0,FLOOR((BU460+BV460)/2,0.1),IF(BU460=0,(BT460+BV460)/2,IF(BV460=0,(BU460+BT460)/2,FLOOR(((BT460+BU460+BV460)/3),0.1))))))))</f>
        <v/>
      </c>
      <c r="BX460" s="21" t="n"/>
      <c r="BY460" s="21" t="n"/>
      <c r="BZ460" s="27">
        <f>SUM(BX460:BY460)</f>
        <v/>
      </c>
      <c r="CA460" s="28" t="n"/>
      <c r="CB460" s="31" t="n"/>
      <c r="CC460" s="29">
        <f>IF(AND(BZ460=0,CA460=0,CB460=0),0,IF(AND(BZ460=0,CA460=0),CB460/1,IF(AND(BZ460=0,CB460=0),CA460/1,IF(AND(CA460=0,CB460=0),BZ460/1,IF(BZ460=0,FLOOR((CA460+CB460)/2,0.1),IF(CA460=0,(BZ460+CB460)/2,IF(CB460=0,(CA460+BZ460)/2,FLOOR(((BZ460+CA460+CB460)/3),0.1))))))))</f>
        <v/>
      </c>
      <c r="CD460" s="21" t="n"/>
      <c r="CE460" s="21" t="n"/>
      <c r="CF460" s="27">
        <f>SUM(CD460:CE460)</f>
        <v/>
      </c>
      <c r="CG460" s="28" t="n"/>
      <c r="CH460" s="31" t="n"/>
      <c r="CI460" s="29">
        <f>IF(AND(CF460=0,CG460=0,CH460=0),0,IF(AND(CF460=0,CG460=0),CH460/1,IF(AND(CF460=0,CH460=0),CG460/1,IF(AND(CG460=0,CH460=0),CF460/1,IF(CF460=0,FLOOR((CG460+CH460)/2,0.1),IF(CG460=0,(CF460+CH460)/2,IF(CH460=0,(CG460+CF460)/2,FLOOR(((CF460+CG460+CH460)/3),0.1))))))))</f>
        <v/>
      </c>
      <c r="CJ460" s="21" t="n"/>
      <c r="CK460" s="21" t="n"/>
      <c r="CL460" s="27">
        <f>SUM(CJ460:CK460)</f>
        <v/>
      </c>
      <c r="CM460" s="28" t="n"/>
      <c r="CN460" s="31" t="n"/>
      <c r="CO460" s="29">
        <f>IF(AND(CL460=0,CM460=0,CN460=0),0,IF(AND(CL460=0,CM460=0),CN460/1,IF(AND(CL460=0,CN460=0),CM460/1,IF(AND(CM460=0,CN460=0),CL460/1,IF(CL460=0,FLOOR((CM460+CN460)/2,0.1),IF(CM460=0,(CL460+CN460)/2,IF(CN460=0,(CM460+CL460)/2,FLOOR(((CL460+CM460+CN460)/3),0.1))))))))</f>
        <v/>
      </c>
      <c r="CP460" s="21" t="n"/>
      <c r="CQ460" s="21" t="n"/>
      <c r="CR460" s="27">
        <f>SUM(CP460:CQ460)</f>
        <v/>
      </c>
      <c r="CS460" s="28" t="n"/>
      <c r="CT460" s="31" t="n"/>
      <c r="CU460" s="29">
        <f>IF(AND(CR460=0,CS460=0,CT460=0),0,IF(AND(CR460=0,CS460=0),CT460/1,IF(AND(CR460=0,CT460=0),CS460/1,IF(AND(CS460=0,CT460=0),CR460/1,IF(CR460=0,FLOOR((CS460+CT460)/2,0.1),IF(CS460=0,(CR460+CT460)/2,IF(CT460=0,(CS460+CR460)/2,FLOOR(((CR460+CS460+CT460)/3),0.1))))))))</f>
        <v/>
      </c>
      <c r="CV460" s="21" t="n"/>
      <c r="CW460" s="21" t="n"/>
      <c r="CX460" s="27">
        <f>SUM(CV460:CW460)</f>
        <v/>
      </c>
      <c r="CY460" s="28" t="n"/>
      <c r="CZ460" s="31" t="n"/>
      <c r="DA460" s="29">
        <f>IF(AND(CX460=0,CY460=0,CZ460=0),0,IF(AND(CX460=0,CY460=0),CZ460/1,IF(AND(CX460=0,CZ460=0),CY460/1,IF(AND(CY460=0,CZ460=0),CX460/1,IF(CX460=0,FLOOR((CY460+CZ460)/2,0.1),IF(CY460=0,(CX460+CZ460)/2,IF(CZ460=0,(CY460+CX460)/2,FLOOR(((CX460+CY460+CZ460)/3),0.1))))))))</f>
        <v/>
      </c>
      <c r="DB460" s="21" t="n"/>
      <c r="DC460" s="21" t="n"/>
      <c r="DD460" s="27">
        <f>SUM(DB460:DC460)</f>
        <v/>
      </c>
      <c r="DE460" s="28" t="n"/>
      <c r="DF460" s="31" t="n"/>
      <c r="DG460" s="29">
        <f>IF(AND(DD460=0,DE460=0,DF460=0),0,IF(AND(DD460=0,DE460=0),DF460/1,IF(AND(DD460=0,DF460=0),DE460/1,IF(AND(DE460=0,DF460=0),DD460/1,IF(DD460=0,FLOOR((DE460+DF460)/2,0.1),IF(DE460=0,(DD460+DF460)/2,IF(DF460=0,(DE460+DD460)/2,FLOOR(((DD460+DE460+DF460)/3),0.1))))))))</f>
        <v/>
      </c>
      <c r="DH460" s="34">
        <f>SUM(O460,U460,AA460,AG460,AM460,AS460,AY460,BE460,BK460,BQ460,BW460,CC460,CI460,CO460,CU460,DA460,DG460)</f>
        <v/>
      </c>
      <c r="DI460" s="39">
        <f>RANK(DH460,DH$4:DH$503)</f>
        <v/>
      </c>
      <c r="DJ460" s="40" t="inlineStr">
        <is>
          <t>CHOOSE RATING</t>
        </is>
      </c>
      <c r="DK460" s="40" t="inlineStr">
        <is>
          <t>CHOOSE RATING</t>
        </is>
      </c>
      <c r="DL460" s="40" t="inlineStr">
        <is>
          <t>CHOOSE RATING</t>
        </is>
      </c>
      <c r="DM460" s="40" t="inlineStr">
        <is>
          <t>CHOOSE RATING</t>
        </is>
      </c>
      <c r="DN460" s="40" t="inlineStr">
        <is>
          <t>CHOOSE RATING</t>
        </is>
      </c>
      <c r="DO460" s="40" t="inlineStr">
        <is>
          <t>CHOOSE RATING</t>
        </is>
      </c>
      <c r="DP460" s="40" t="inlineStr">
        <is>
          <t>CHOOSE RATING</t>
        </is>
      </c>
      <c r="DQ460" s="40" t="inlineStr">
        <is>
          <t>CHOOSE RATING</t>
        </is>
      </c>
      <c r="DR460" s="43" t="inlineStr">
        <is>
          <t>2024/2025</t>
        </is>
      </c>
      <c r="DS460" s="45" t="inlineStr">
        <is>
          <t>THIRD</t>
        </is>
      </c>
      <c r="DT460" s="40" t="inlineStr">
        <is>
          <t>CHOOSE RATING</t>
        </is>
      </c>
      <c r="DU460" s="40" t="inlineStr">
        <is>
          <t>CHOOSE RATING</t>
        </is>
      </c>
      <c r="DV460" s="40" t="inlineStr">
        <is>
          <t>CHOOSE RATING</t>
        </is>
      </c>
      <c r="DW460" s="40" t="inlineStr">
        <is>
          <t>CHOOSE RATING</t>
        </is>
      </c>
      <c r="DX460" s="40" t="inlineStr">
        <is>
          <t>CHOOSE RATING</t>
        </is>
      </c>
      <c r="DY460" s="40" t="inlineStr">
        <is>
          <t>CHOOSE RATING</t>
        </is>
      </c>
      <c r="DZ460" s="53" t="inlineStr">
        <is>
          <t>CHOOSE RATING</t>
        </is>
      </c>
      <c r="EA460" s="54" t="inlineStr">
        <is>
          <t>Add the Tutor's Comment . . .</t>
        </is>
      </c>
      <c r="EB460" s="55" t="inlineStr">
        <is>
          <t>Choose Principals comment</t>
        </is>
      </c>
      <c r="EC460" s="56" t="n"/>
      <c r="ED460" s="57" t="inlineStr">
        <is>
          <t>Next Term Begins on Monday, 22nd September, 2025</t>
        </is>
      </c>
    </row>
    <row r="461" ht="30.6" customHeight="1" s="6">
      <c r="A461" s="18" t="n">
        <v>458</v>
      </c>
      <c r="B461" s="19" t="n"/>
      <c r="C461" s="20" t="n"/>
      <c r="D461" s="128" t="n"/>
      <c r="E461" s="21" t="n"/>
      <c r="F461" s="22" t="n"/>
      <c r="G461" s="22" t="n"/>
      <c r="H461" s="22" t="n"/>
      <c r="I461" s="26">
        <f>G461-H461</f>
        <v/>
      </c>
      <c r="J461" s="21" t="n"/>
      <c r="K461" s="21" t="n"/>
      <c r="L461" s="27">
        <f>SUM(J461:K461)</f>
        <v/>
      </c>
      <c r="M461" s="28" t="n"/>
      <c r="N461" s="28" t="n"/>
      <c r="O461" s="29">
        <f>IF(AND(L461=0,M461=0,N461=0),0,IF(AND(L461=0,M461=0),N461/1,IF(AND(L461=0,N461=0),M461/1,IF(AND(M461=0,N461=0),L461/1,IF(L461=0,FLOOR((M461+N461)/2,0.1),IF(M461=0,(L461+N461)/2,IF(N461=0,(M461+L461)/2,FLOOR(((L461+M461+N461)/3),0.1))))))))</f>
        <v/>
      </c>
      <c r="P461" s="21" t="n"/>
      <c r="Q461" s="21" t="n"/>
      <c r="R461" s="27">
        <f>SUM(P461:Q461)</f>
        <v/>
      </c>
      <c r="S461" s="28" t="n"/>
      <c r="T461" s="28" t="n"/>
      <c r="U461" s="29">
        <f>IF(AND(R461=0,S461=0,T461=0),0,IF(AND(R461=0,S461=0),T461/1,IF(AND(R461=0,T461=0),S461/1,IF(AND(S461=0,T461=0),R461/1,IF(R461=0,FLOOR((S461+T461)/2,0.1),IF(S461=0,(R461+T461)/2,IF(T461=0,(S461+R461)/2,FLOOR(((R461+S461+T461)/3),0.1))))))))</f>
        <v/>
      </c>
      <c r="V461" s="21" t="n"/>
      <c r="W461" s="21" t="n"/>
      <c r="X461" s="27">
        <f>SUM(V461:W461)</f>
        <v/>
      </c>
      <c r="Y461" s="28" t="n"/>
      <c r="Z461" s="28" t="n"/>
      <c r="AA461" s="29">
        <f>IF(AND(X461=0,Y461=0,Z461=0),0,IF(AND(X461=0,Y461=0),Z461/1,IF(AND(X461=0,Z461=0),Y461/1,IF(AND(Y461=0,Z461=0),X461/1,IF(X461=0,FLOOR((Y461+Z461)/2,0.1),IF(Y461=0,(X461+Z461)/2,IF(Z461=0,(Y461+X461)/2,FLOOR(((X461+Y461+Z461)/3),0.1))))))))</f>
        <v/>
      </c>
      <c r="AB461" s="21" t="n"/>
      <c r="AC461" s="21" t="n"/>
      <c r="AD461" s="27">
        <f>SUM(AB461:AC461)</f>
        <v/>
      </c>
      <c r="AE461" s="28" t="n"/>
      <c r="AF461" s="28" t="n"/>
      <c r="AG461" s="29">
        <f>IF(AND(AD461=0,AE461=0,AF461=0),0,IF(AND(AD461=0,AE461=0),AF461/1,IF(AND(AD461=0,AF461=0),AE461/1,IF(AND(AE461=0,AF461=0),AD461/1,IF(AD461=0,FLOOR((AE461+AF461)/2,0.1),IF(AE461=0,(AD461+AF461)/2,IF(AF461=0,(AE461+AD461)/2,FLOOR(((AD461+AE461+AF461)/3),0.1))))))))</f>
        <v/>
      </c>
      <c r="AH461" s="21" t="n"/>
      <c r="AI461" s="21" t="n"/>
      <c r="AJ461" s="27">
        <f>SUM(AH461:AI461)</f>
        <v/>
      </c>
      <c r="AK461" s="28" t="n"/>
      <c r="AL461" s="28" t="n"/>
      <c r="AM461" s="29">
        <f>IF(AND(AJ461=0,AK461=0,AL461=0),0,IF(AND(AJ461=0,AK461=0),AL461/1,IF(AND(AJ461=0,AL461=0),AK461/1,IF(AND(AK461=0,AL461=0),AJ461/1,IF(AJ461=0,FLOOR((AK461+AL461)/2,0.1),IF(AK461=0,(AJ461+AL461)/2,IF(AL461=0,(AK461+AJ461)/2,FLOOR(((AJ461+AK461+AL461)/3),0.1))))))))</f>
        <v/>
      </c>
      <c r="AN461" s="21" t="n"/>
      <c r="AO461" s="21" t="n"/>
      <c r="AP461" s="27">
        <f>SUM(AN461:AO461)</f>
        <v/>
      </c>
      <c r="AQ461" s="28" t="n"/>
      <c r="AR461" s="30" t="n"/>
      <c r="AS461" s="29">
        <f>IF(AND(AP461=0,AQ461=0,AR461=0),0,IF(AND(AP461=0,AQ461=0),AR461/1,IF(AND(AP461=0,AR461=0),AQ461/1,IF(AND(AQ461=0,AR461=0),AP461/1,IF(AP461=0,FLOOR((AQ461+AR461)/2,0.1),IF(AQ461=0,(AP461+AR461)/2,IF(AR461=0,(AQ461+AP461)/2,FLOOR(((AP461+AQ461+AR461)/3),0.1))))))))</f>
        <v/>
      </c>
      <c r="AT461" s="21" t="n"/>
      <c r="AU461" s="21" t="n"/>
      <c r="AV461" s="27">
        <f>SUM(AT461:AU461)</f>
        <v/>
      </c>
      <c r="AW461" s="28" t="n"/>
      <c r="AX461" s="30" t="n"/>
      <c r="AY461" s="29">
        <f>IF(AND(AV461=0,AW461=0,AX461=0),0,IF(AND(AV461=0,AW461=0),AX461/1,IF(AND(AV461=0,AX461=0),AW461/1,IF(AND(AW461=0,AX461=0),AV461/1,IF(AV461=0,FLOOR((AW461+AX461)/2,0.1),IF(AW461=0,(AV461+AX461)/2,IF(AX461=0,(AW461+AV461)/2,FLOOR(((AV461+AW461+AX461)/3),0.1))))))))</f>
        <v/>
      </c>
      <c r="AZ461" s="21" t="n"/>
      <c r="BA461" s="21" t="n"/>
      <c r="BB461" s="27">
        <f>SUM(AZ461:BA461)</f>
        <v/>
      </c>
      <c r="BC461" s="28" t="n"/>
      <c r="BD461" s="28" t="n"/>
      <c r="BE461" s="29">
        <f>IF(AND(BB461=0,BC461=0,BD461=0),0,IF(AND(BB461=0,BC461=0),BD461/1,IF(AND(BB461=0,BD461=0),BC461/1,IF(AND(BC461=0,BD461=0),BB461/1,IF(BB461=0,FLOOR((BC461+BD461)/2,0.1),IF(BC461=0,(BB461+BD461)/2,IF(BD461=0,(BC461+BB461)/2,FLOOR(((BB461+BC461+BD461)/3),0.1))))))))</f>
        <v/>
      </c>
      <c r="BF461" s="21" t="n"/>
      <c r="BG461" s="21" t="n"/>
      <c r="BH461" s="27">
        <f>SUM(BF461:BG461)</f>
        <v/>
      </c>
      <c r="BI461" s="28" t="n"/>
      <c r="BJ461" s="28" t="n"/>
      <c r="BK461" s="29">
        <f>IF(AND(BH461=0,BI461=0,BJ461=0),0,IF(AND(BH461=0,BI461=0),BJ461/1,IF(AND(BH461=0,BJ461=0),BI461/1,IF(AND(BI461=0,BJ461=0),BH461/1,IF(BH461=0,FLOOR((BI461+BJ461)/2,0.1),IF(BI461=0,(BH461+BJ461)/2,IF(BJ461=0,(BI461+BH461)/2,FLOOR(((BH461+BI461+BJ461)/3),0.1))))))))</f>
        <v/>
      </c>
      <c r="BL461" s="21" t="n"/>
      <c r="BM461" s="21" t="n"/>
      <c r="BN461" s="27">
        <f>SUM(BL461:BM461)</f>
        <v/>
      </c>
      <c r="BO461" s="28" t="n"/>
      <c r="BP461" s="31" t="n"/>
      <c r="BQ461" s="29">
        <f>IF(AND(BN461=0,BO461=0,BP461=0),0,IF(AND(BN461=0,BO461=0),BP461/1,IF(AND(BN461=0,BP461=0),BO461/1,IF(AND(BO461=0,BP461=0),BN461/1,IF(BN461=0,FLOOR((BO461+BP461)/2,0.1),IF(BO461=0,(BN461+BP461)/2,IF(BP461=0,(BO461+BN461)/2,FLOOR(((BN461+BO461+BP461)/3),0.1))))))))</f>
        <v/>
      </c>
      <c r="BR461" s="21" t="n"/>
      <c r="BS461" s="21" t="n"/>
      <c r="BT461" s="27">
        <f>SUM(BR461:BS461)</f>
        <v/>
      </c>
      <c r="BU461" s="28" t="n"/>
      <c r="BV461" s="31" t="n"/>
      <c r="BW461" s="29">
        <f>IF(AND(BT461=0,BU461=0,BV461=0),0,IF(AND(BT461=0,BU461=0),BV461/1,IF(AND(BT461=0,BV461=0),BU461/1,IF(AND(BU461=0,BV461=0),BT461/1,IF(BT461=0,FLOOR((BU461+BV461)/2,0.1),IF(BU461=0,(BT461+BV461)/2,IF(BV461=0,(BU461+BT461)/2,FLOOR(((BT461+BU461+BV461)/3),0.1))))))))</f>
        <v/>
      </c>
      <c r="BX461" s="21" t="n"/>
      <c r="BY461" s="21" t="n"/>
      <c r="BZ461" s="27">
        <f>SUM(BX461:BY461)</f>
        <v/>
      </c>
      <c r="CA461" s="28" t="n"/>
      <c r="CB461" s="31" t="n"/>
      <c r="CC461" s="29">
        <f>IF(AND(BZ461=0,CA461=0,CB461=0),0,IF(AND(BZ461=0,CA461=0),CB461/1,IF(AND(BZ461=0,CB461=0),CA461/1,IF(AND(CA461=0,CB461=0),BZ461/1,IF(BZ461=0,FLOOR((CA461+CB461)/2,0.1),IF(CA461=0,(BZ461+CB461)/2,IF(CB461=0,(CA461+BZ461)/2,FLOOR(((BZ461+CA461+CB461)/3),0.1))))))))</f>
        <v/>
      </c>
      <c r="CD461" s="21" t="n"/>
      <c r="CE461" s="21" t="n"/>
      <c r="CF461" s="27">
        <f>SUM(CD461:CE461)</f>
        <v/>
      </c>
      <c r="CG461" s="28" t="n"/>
      <c r="CH461" s="31" t="n"/>
      <c r="CI461" s="29">
        <f>IF(AND(CF461=0,CG461=0,CH461=0),0,IF(AND(CF461=0,CG461=0),CH461/1,IF(AND(CF461=0,CH461=0),CG461/1,IF(AND(CG461=0,CH461=0),CF461/1,IF(CF461=0,FLOOR((CG461+CH461)/2,0.1),IF(CG461=0,(CF461+CH461)/2,IF(CH461=0,(CG461+CF461)/2,FLOOR(((CF461+CG461+CH461)/3),0.1))))))))</f>
        <v/>
      </c>
      <c r="CJ461" s="21" t="n"/>
      <c r="CK461" s="21" t="n"/>
      <c r="CL461" s="27">
        <f>SUM(CJ461:CK461)</f>
        <v/>
      </c>
      <c r="CM461" s="28" t="n"/>
      <c r="CN461" s="31" t="n"/>
      <c r="CO461" s="29">
        <f>IF(AND(CL461=0,CM461=0,CN461=0),0,IF(AND(CL461=0,CM461=0),CN461/1,IF(AND(CL461=0,CN461=0),CM461/1,IF(AND(CM461=0,CN461=0),CL461/1,IF(CL461=0,FLOOR((CM461+CN461)/2,0.1),IF(CM461=0,(CL461+CN461)/2,IF(CN461=0,(CM461+CL461)/2,FLOOR(((CL461+CM461+CN461)/3),0.1))))))))</f>
        <v/>
      </c>
      <c r="CP461" s="21" t="n"/>
      <c r="CQ461" s="21" t="n"/>
      <c r="CR461" s="27">
        <f>SUM(CP461:CQ461)</f>
        <v/>
      </c>
      <c r="CS461" s="28" t="n"/>
      <c r="CT461" s="31" t="n"/>
      <c r="CU461" s="29">
        <f>IF(AND(CR461=0,CS461=0,CT461=0),0,IF(AND(CR461=0,CS461=0),CT461/1,IF(AND(CR461=0,CT461=0),CS461/1,IF(AND(CS461=0,CT461=0),CR461/1,IF(CR461=0,FLOOR((CS461+CT461)/2,0.1),IF(CS461=0,(CR461+CT461)/2,IF(CT461=0,(CS461+CR461)/2,FLOOR(((CR461+CS461+CT461)/3),0.1))))))))</f>
        <v/>
      </c>
      <c r="CV461" s="21" t="n"/>
      <c r="CW461" s="21" t="n"/>
      <c r="CX461" s="27">
        <f>SUM(CV461:CW461)</f>
        <v/>
      </c>
      <c r="CY461" s="28" t="n"/>
      <c r="CZ461" s="31" t="n"/>
      <c r="DA461" s="29">
        <f>IF(AND(CX461=0,CY461=0,CZ461=0),0,IF(AND(CX461=0,CY461=0),CZ461/1,IF(AND(CX461=0,CZ461=0),CY461/1,IF(AND(CY461=0,CZ461=0),CX461/1,IF(CX461=0,FLOOR((CY461+CZ461)/2,0.1),IF(CY461=0,(CX461+CZ461)/2,IF(CZ461=0,(CY461+CX461)/2,FLOOR(((CX461+CY461+CZ461)/3),0.1))))))))</f>
        <v/>
      </c>
      <c r="DB461" s="21" t="n"/>
      <c r="DC461" s="21" t="n"/>
      <c r="DD461" s="27">
        <f>SUM(DB461:DC461)</f>
        <v/>
      </c>
      <c r="DE461" s="28" t="n"/>
      <c r="DF461" s="31" t="n"/>
      <c r="DG461" s="29">
        <f>IF(AND(DD461=0,DE461=0,DF461=0),0,IF(AND(DD461=0,DE461=0),DF461/1,IF(AND(DD461=0,DF461=0),DE461/1,IF(AND(DE461=0,DF461=0),DD461/1,IF(DD461=0,FLOOR((DE461+DF461)/2,0.1),IF(DE461=0,(DD461+DF461)/2,IF(DF461=0,(DE461+DD461)/2,FLOOR(((DD461+DE461+DF461)/3),0.1))))))))</f>
        <v/>
      </c>
      <c r="DH461" s="34">
        <f>SUM(O461,U461,AA461,AG461,AM461,AS461,AY461,BE461,BK461,BQ461,BW461,CC461,CI461,CO461,CU461,DA461,DG461)</f>
        <v/>
      </c>
      <c r="DI461" s="39">
        <f>RANK(DH461,DH$4:DH$503)</f>
        <v/>
      </c>
      <c r="DJ461" s="40" t="inlineStr">
        <is>
          <t>CHOOSE RATING</t>
        </is>
      </c>
      <c r="DK461" s="40" t="inlineStr">
        <is>
          <t>CHOOSE RATING</t>
        </is>
      </c>
      <c r="DL461" s="40" t="inlineStr">
        <is>
          <t>CHOOSE RATING</t>
        </is>
      </c>
      <c r="DM461" s="40" t="inlineStr">
        <is>
          <t>CHOOSE RATING</t>
        </is>
      </c>
      <c r="DN461" s="40" t="inlineStr">
        <is>
          <t>CHOOSE RATING</t>
        </is>
      </c>
      <c r="DO461" s="40" t="inlineStr">
        <is>
          <t>CHOOSE RATING</t>
        </is>
      </c>
      <c r="DP461" s="40" t="inlineStr">
        <is>
          <t>CHOOSE RATING</t>
        </is>
      </c>
      <c r="DQ461" s="40" t="inlineStr">
        <is>
          <t>CHOOSE RATING</t>
        </is>
      </c>
      <c r="DR461" s="43" t="inlineStr">
        <is>
          <t>2024/2025</t>
        </is>
      </c>
      <c r="DS461" s="45" t="inlineStr">
        <is>
          <t>THIRD</t>
        </is>
      </c>
      <c r="DT461" s="40" t="inlineStr">
        <is>
          <t>CHOOSE RATING</t>
        </is>
      </c>
      <c r="DU461" s="40" t="inlineStr">
        <is>
          <t>CHOOSE RATING</t>
        </is>
      </c>
      <c r="DV461" s="40" t="inlineStr">
        <is>
          <t>CHOOSE RATING</t>
        </is>
      </c>
      <c r="DW461" s="40" t="inlineStr">
        <is>
          <t>CHOOSE RATING</t>
        </is>
      </c>
      <c r="DX461" s="40" t="inlineStr">
        <is>
          <t>CHOOSE RATING</t>
        </is>
      </c>
      <c r="DY461" s="40" t="inlineStr">
        <is>
          <t>CHOOSE RATING</t>
        </is>
      </c>
      <c r="DZ461" s="53" t="inlineStr">
        <is>
          <t>CHOOSE RATING</t>
        </is>
      </c>
      <c r="EA461" s="54" t="inlineStr">
        <is>
          <t>Add the Tutor's Comment . . .</t>
        </is>
      </c>
      <c r="EB461" s="55" t="inlineStr">
        <is>
          <t>Choose Principals comment</t>
        </is>
      </c>
      <c r="EC461" s="56" t="n"/>
      <c r="ED461" s="57" t="inlineStr">
        <is>
          <t>Next Term Begins on Monday, 22nd September, 2025</t>
        </is>
      </c>
    </row>
    <row r="462" ht="30.6" customHeight="1" s="6">
      <c r="A462" s="18" t="n">
        <v>459</v>
      </c>
      <c r="B462" s="19" t="n"/>
      <c r="C462" s="20" t="n"/>
      <c r="D462" s="128" t="n"/>
      <c r="E462" s="21" t="n"/>
      <c r="F462" s="22" t="n"/>
      <c r="G462" s="22" t="n"/>
      <c r="H462" s="22" t="n"/>
      <c r="I462" s="26">
        <f>G462-H462</f>
        <v/>
      </c>
      <c r="J462" s="21" t="n"/>
      <c r="K462" s="21" t="n"/>
      <c r="L462" s="27">
        <f>SUM(J462:K462)</f>
        <v/>
      </c>
      <c r="M462" s="28" t="n"/>
      <c r="N462" s="28" t="n"/>
      <c r="O462" s="29">
        <f>IF(AND(L462=0,M462=0,N462=0),0,IF(AND(L462=0,M462=0),N462/1,IF(AND(L462=0,N462=0),M462/1,IF(AND(M462=0,N462=0),L462/1,IF(L462=0,FLOOR((M462+N462)/2,0.1),IF(M462=0,(L462+N462)/2,IF(N462=0,(M462+L462)/2,FLOOR(((L462+M462+N462)/3),0.1))))))))</f>
        <v/>
      </c>
      <c r="P462" s="21" t="n"/>
      <c r="Q462" s="21" t="n"/>
      <c r="R462" s="27">
        <f>SUM(P462:Q462)</f>
        <v/>
      </c>
      <c r="S462" s="28" t="n"/>
      <c r="T462" s="28" t="n"/>
      <c r="U462" s="29">
        <f>IF(AND(R462=0,S462=0,T462=0),0,IF(AND(R462=0,S462=0),T462/1,IF(AND(R462=0,T462=0),S462/1,IF(AND(S462=0,T462=0),R462/1,IF(R462=0,FLOOR((S462+T462)/2,0.1),IF(S462=0,(R462+T462)/2,IF(T462=0,(S462+R462)/2,FLOOR(((R462+S462+T462)/3),0.1))))))))</f>
        <v/>
      </c>
      <c r="V462" s="21" t="n"/>
      <c r="W462" s="21" t="n"/>
      <c r="X462" s="27">
        <f>SUM(V462:W462)</f>
        <v/>
      </c>
      <c r="Y462" s="28" t="n"/>
      <c r="Z462" s="28" t="n"/>
      <c r="AA462" s="29">
        <f>IF(AND(X462=0,Y462=0,Z462=0),0,IF(AND(X462=0,Y462=0),Z462/1,IF(AND(X462=0,Z462=0),Y462/1,IF(AND(Y462=0,Z462=0),X462/1,IF(X462=0,FLOOR((Y462+Z462)/2,0.1),IF(Y462=0,(X462+Z462)/2,IF(Z462=0,(Y462+X462)/2,FLOOR(((X462+Y462+Z462)/3),0.1))))))))</f>
        <v/>
      </c>
      <c r="AB462" s="21" t="n"/>
      <c r="AC462" s="21" t="n"/>
      <c r="AD462" s="27">
        <f>SUM(AB462:AC462)</f>
        <v/>
      </c>
      <c r="AE462" s="28" t="n"/>
      <c r="AF462" s="28" t="n"/>
      <c r="AG462" s="29">
        <f>IF(AND(AD462=0,AE462=0,AF462=0),0,IF(AND(AD462=0,AE462=0),AF462/1,IF(AND(AD462=0,AF462=0),AE462/1,IF(AND(AE462=0,AF462=0),AD462/1,IF(AD462=0,FLOOR((AE462+AF462)/2,0.1),IF(AE462=0,(AD462+AF462)/2,IF(AF462=0,(AE462+AD462)/2,FLOOR(((AD462+AE462+AF462)/3),0.1))))))))</f>
        <v/>
      </c>
      <c r="AH462" s="21" t="n"/>
      <c r="AI462" s="21" t="n"/>
      <c r="AJ462" s="27">
        <f>SUM(AH462:AI462)</f>
        <v/>
      </c>
      <c r="AK462" s="28" t="n"/>
      <c r="AL462" s="28" t="n"/>
      <c r="AM462" s="29">
        <f>IF(AND(AJ462=0,AK462=0,AL462=0),0,IF(AND(AJ462=0,AK462=0),AL462/1,IF(AND(AJ462=0,AL462=0),AK462/1,IF(AND(AK462=0,AL462=0),AJ462/1,IF(AJ462=0,FLOOR((AK462+AL462)/2,0.1),IF(AK462=0,(AJ462+AL462)/2,IF(AL462=0,(AK462+AJ462)/2,FLOOR(((AJ462+AK462+AL462)/3),0.1))))))))</f>
        <v/>
      </c>
      <c r="AN462" s="21" t="n"/>
      <c r="AO462" s="21" t="n"/>
      <c r="AP462" s="27">
        <f>SUM(AN462:AO462)</f>
        <v/>
      </c>
      <c r="AQ462" s="28" t="n"/>
      <c r="AR462" s="30" t="n"/>
      <c r="AS462" s="29">
        <f>IF(AND(AP462=0,AQ462=0,AR462=0),0,IF(AND(AP462=0,AQ462=0),AR462/1,IF(AND(AP462=0,AR462=0),AQ462/1,IF(AND(AQ462=0,AR462=0),AP462/1,IF(AP462=0,FLOOR((AQ462+AR462)/2,0.1),IF(AQ462=0,(AP462+AR462)/2,IF(AR462=0,(AQ462+AP462)/2,FLOOR(((AP462+AQ462+AR462)/3),0.1))))))))</f>
        <v/>
      </c>
      <c r="AT462" s="21" t="n"/>
      <c r="AU462" s="21" t="n"/>
      <c r="AV462" s="27">
        <f>SUM(AT462:AU462)</f>
        <v/>
      </c>
      <c r="AW462" s="28" t="n"/>
      <c r="AX462" s="30" t="n"/>
      <c r="AY462" s="29">
        <f>IF(AND(AV462=0,AW462=0,AX462=0),0,IF(AND(AV462=0,AW462=0),AX462/1,IF(AND(AV462=0,AX462=0),AW462/1,IF(AND(AW462=0,AX462=0),AV462/1,IF(AV462=0,FLOOR((AW462+AX462)/2,0.1),IF(AW462=0,(AV462+AX462)/2,IF(AX462=0,(AW462+AV462)/2,FLOOR(((AV462+AW462+AX462)/3),0.1))))))))</f>
        <v/>
      </c>
      <c r="AZ462" s="21" t="n"/>
      <c r="BA462" s="21" t="n"/>
      <c r="BB462" s="27">
        <f>SUM(AZ462:BA462)</f>
        <v/>
      </c>
      <c r="BC462" s="28" t="n"/>
      <c r="BD462" s="28" t="n"/>
      <c r="BE462" s="29">
        <f>IF(AND(BB462=0,BC462=0,BD462=0),0,IF(AND(BB462=0,BC462=0),BD462/1,IF(AND(BB462=0,BD462=0),BC462/1,IF(AND(BC462=0,BD462=0),BB462/1,IF(BB462=0,FLOOR((BC462+BD462)/2,0.1),IF(BC462=0,(BB462+BD462)/2,IF(BD462=0,(BC462+BB462)/2,FLOOR(((BB462+BC462+BD462)/3),0.1))))))))</f>
        <v/>
      </c>
      <c r="BF462" s="21" t="n"/>
      <c r="BG462" s="21" t="n"/>
      <c r="BH462" s="27">
        <f>SUM(BF462:BG462)</f>
        <v/>
      </c>
      <c r="BI462" s="28" t="n"/>
      <c r="BJ462" s="28" t="n"/>
      <c r="BK462" s="29">
        <f>IF(AND(BH462=0,BI462=0,BJ462=0),0,IF(AND(BH462=0,BI462=0),BJ462/1,IF(AND(BH462=0,BJ462=0),BI462/1,IF(AND(BI462=0,BJ462=0),BH462/1,IF(BH462=0,FLOOR((BI462+BJ462)/2,0.1),IF(BI462=0,(BH462+BJ462)/2,IF(BJ462=0,(BI462+BH462)/2,FLOOR(((BH462+BI462+BJ462)/3),0.1))))))))</f>
        <v/>
      </c>
      <c r="BL462" s="21" t="n"/>
      <c r="BM462" s="21" t="n"/>
      <c r="BN462" s="27">
        <f>SUM(BL462:BM462)</f>
        <v/>
      </c>
      <c r="BO462" s="28" t="n"/>
      <c r="BP462" s="31" t="n"/>
      <c r="BQ462" s="29">
        <f>IF(AND(BN462=0,BO462=0,BP462=0),0,IF(AND(BN462=0,BO462=0),BP462/1,IF(AND(BN462=0,BP462=0),BO462/1,IF(AND(BO462=0,BP462=0),BN462/1,IF(BN462=0,FLOOR((BO462+BP462)/2,0.1),IF(BO462=0,(BN462+BP462)/2,IF(BP462=0,(BO462+BN462)/2,FLOOR(((BN462+BO462+BP462)/3),0.1))))))))</f>
        <v/>
      </c>
      <c r="BR462" s="21" t="n"/>
      <c r="BS462" s="21" t="n"/>
      <c r="BT462" s="27">
        <f>SUM(BR462:BS462)</f>
        <v/>
      </c>
      <c r="BU462" s="28" t="n"/>
      <c r="BV462" s="31" t="n"/>
      <c r="BW462" s="29">
        <f>IF(AND(BT462=0,BU462=0,BV462=0),0,IF(AND(BT462=0,BU462=0),BV462/1,IF(AND(BT462=0,BV462=0),BU462/1,IF(AND(BU462=0,BV462=0),BT462/1,IF(BT462=0,FLOOR((BU462+BV462)/2,0.1),IF(BU462=0,(BT462+BV462)/2,IF(BV462=0,(BU462+BT462)/2,FLOOR(((BT462+BU462+BV462)/3),0.1))))))))</f>
        <v/>
      </c>
      <c r="BX462" s="21" t="n"/>
      <c r="BY462" s="21" t="n"/>
      <c r="BZ462" s="27">
        <f>SUM(BX462:BY462)</f>
        <v/>
      </c>
      <c r="CA462" s="28" t="n"/>
      <c r="CB462" s="31" t="n"/>
      <c r="CC462" s="29">
        <f>IF(AND(BZ462=0,CA462=0,CB462=0),0,IF(AND(BZ462=0,CA462=0),CB462/1,IF(AND(BZ462=0,CB462=0),CA462/1,IF(AND(CA462=0,CB462=0),BZ462/1,IF(BZ462=0,FLOOR((CA462+CB462)/2,0.1),IF(CA462=0,(BZ462+CB462)/2,IF(CB462=0,(CA462+BZ462)/2,FLOOR(((BZ462+CA462+CB462)/3),0.1))))))))</f>
        <v/>
      </c>
      <c r="CD462" s="21" t="n"/>
      <c r="CE462" s="21" t="n"/>
      <c r="CF462" s="27">
        <f>SUM(CD462:CE462)</f>
        <v/>
      </c>
      <c r="CG462" s="28" t="n"/>
      <c r="CH462" s="31" t="n"/>
      <c r="CI462" s="29">
        <f>IF(AND(CF462=0,CG462=0,CH462=0),0,IF(AND(CF462=0,CG462=0),CH462/1,IF(AND(CF462=0,CH462=0),CG462/1,IF(AND(CG462=0,CH462=0),CF462/1,IF(CF462=0,FLOOR((CG462+CH462)/2,0.1),IF(CG462=0,(CF462+CH462)/2,IF(CH462=0,(CG462+CF462)/2,FLOOR(((CF462+CG462+CH462)/3),0.1))))))))</f>
        <v/>
      </c>
      <c r="CJ462" s="21" t="n"/>
      <c r="CK462" s="21" t="n"/>
      <c r="CL462" s="27">
        <f>SUM(CJ462:CK462)</f>
        <v/>
      </c>
      <c r="CM462" s="28" t="n"/>
      <c r="CN462" s="31" t="n"/>
      <c r="CO462" s="29">
        <f>IF(AND(CL462=0,CM462=0,CN462=0),0,IF(AND(CL462=0,CM462=0),CN462/1,IF(AND(CL462=0,CN462=0),CM462/1,IF(AND(CM462=0,CN462=0),CL462/1,IF(CL462=0,FLOOR((CM462+CN462)/2,0.1),IF(CM462=0,(CL462+CN462)/2,IF(CN462=0,(CM462+CL462)/2,FLOOR(((CL462+CM462+CN462)/3),0.1))))))))</f>
        <v/>
      </c>
      <c r="CP462" s="21" t="n"/>
      <c r="CQ462" s="21" t="n"/>
      <c r="CR462" s="27">
        <f>SUM(CP462:CQ462)</f>
        <v/>
      </c>
      <c r="CS462" s="28" t="n"/>
      <c r="CT462" s="31" t="n"/>
      <c r="CU462" s="29">
        <f>IF(AND(CR462=0,CS462=0,CT462=0),0,IF(AND(CR462=0,CS462=0),CT462/1,IF(AND(CR462=0,CT462=0),CS462/1,IF(AND(CS462=0,CT462=0),CR462/1,IF(CR462=0,FLOOR((CS462+CT462)/2,0.1),IF(CS462=0,(CR462+CT462)/2,IF(CT462=0,(CS462+CR462)/2,FLOOR(((CR462+CS462+CT462)/3),0.1))))))))</f>
        <v/>
      </c>
      <c r="CV462" s="21" t="n"/>
      <c r="CW462" s="21" t="n"/>
      <c r="CX462" s="27">
        <f>SUM(CV462:CW462)</f>
        <v/>
      </c>
      <c r="CY462" s="28" t="n"/>
      <c r="CZ462" s="31" t="n"/>
      <c r="DA462" s="29">
        <f>IF(AND(CX462=0,CY462=0,CZ462=0),0,IF(AND(CX462=0,CY462=0),CZ462/1,IF(AND(CX462=0,CZ462=0),CY462/1,IF(AND(CY462=0,CZ462=0),CX462/1,IF(CX462=0,FLOOR((CY462+CZ462)/2,0.1),IF(CY462=0,(CX462+CZ462)/2,IF(CZ462=0,(CY462+CX462)/2,FLOOR(((CX462+CY462+CZ462)/3),0.1))))))))</f>
        <v/>
      </c>
      <c r="DB462" s="21" t="n"/>
      <c r="DC462" s="21" t="n"/>
      <c r="DD462" s="27">
        <f>SUM(DB462:DC462)</f>
        <v/>
      </c>
      <c r="DE462" s="28" t="n"/>
      <c r="DF462" s="31" t="n"/>
      <c r="DG462" s="29">
        <f>IF(AND(DD462=0,DE462=0,DF462=0),0,IF(AND(DD462=0,DE462=0),DF462/1,IF(AND(DD462=0,DF462=0),DE462/1,IF(AND(DE462=0,DF462=0),DD462/1,IF(DD462=0,FLOOR((DE462+DF462)/2,0.1),IF(DE462=0,(DD462+DF462)/2,IF(DF462=0,(DE462+DD462)/2,FLOOR(((DD462+DE462+DF462)/3),0.1))))))))</f>
        <v/>
      </c>
      <c r="DH462" s="34">
        <f>SUM(O462,U462,AA462,AG462,AM462,AS462,AY462,BE462,BK462,BQ462,BW462,CC462,CI462,CO462,CU462,DA462,DG462)</f>
        <v/>
      </c>
      <c r="DI462" s="39">
        <f>RANK(DH462,DH$4:DH$503)</f>
        <v/>
      </c>
      <c r="DJ462" s="40" t="inlineStr">
        <is>
          <t>CHOOSE RATING</t>
        </is>
      </c>
      <c r="DK462" s="40" t="inlineStr">
        <is>
          <t>CHOOSE RATING</t>
        </is>
      </c>
      <c r="DL462" s="40" t="inlineStr">
        <is>
          <t>CHOOSE RATING</t>
        </is>
      </c>
      <c r="DM462" s="40" t="inlineStr">
        <is>
          <t>CHOOSE RATING</t>
        </is>
      </c>
      <c r="DN462" s="40" t="inlineStr">
        <is>
          <t>CHOOSE RATING</t>
        </is>
      </c>
      <c r="DO462" s="40" t="inlineStr">
        <is>
          <t>CHOOSE RATING</t>
        </is>
      </c>
      <c r="DP462" s="40" t="inlineStr">
        <is>
          <t>CHOOSE RATING</t>
        </is>
      </c>
      <c r="DQ462" s="40" t="inlineStr">
        <is>
          <t>CHOOSE RATING</t>
        </is>
      </c>
      <c r="DR462" s="43" t="inlineStr">
        <is>
          <t>2024/2025</t>
        </is>
      </c>
      <c r="DS462" s="45" t="inlineStr">
        <is>
          <t>THIRD</t>
        </is>
      </c>
      <c r="DT462" s="40" t="inlineStr">
        <is>
          <t>CHOOSE RATING</t>
        </is>
      </c>
      <c r="DU462" s="40" t="inlineStr">
        <is>
          <t>CHOOSE RATING</t>
        </is>
      </c>
      <c r="DV462" s="40" t="inlineStr">
        <is>
          <t>CHOOSE RATING</t>
        </is>
      </c>
      <c r="DW462" s="40" t="inlineStr">
        <is>
          <t>CHOOSE RATING</t>
        </is>
      </c>
      <c r="DX462" s="40" t="inlineStr">
        <is>
          <t>CHOOSE RATING</t>
        </is>
      </c>
      <c r="DY462" s="40" t="inlineStr">
        <is>
          <t>CHOOSE RATING</t>
        </is>
      </c>
      <c r="DZ462" s="53" t="inlineStr">
        <is>
          <t>CHOOSE RATING</t>
        </is>
      </c>
      <c r="EA462" s="54" t="inlineStr">
        <is>
          <t>Add the Tutor's Comment . . .</t>
        </is>
      </c>
      <c r="EB462" s="55" t="inlineStr">
        <is>
          <t>Choose Principals comment</t>
        </is>
      </c>
      <c r="EC462" s="56" t="n"/>
      <c r="ED462" s="57" t="inlineStr">
        <is>
          <t>Next Term Begins on Monday, 22nd September, 2025</t>
        </is>
      </c>
    </row>
    <row r="463" ht="30.6" customHeight="1" s="6">
      <c r="A463" s="18" t="n">
        <v>460</v>
      </c>
      <c r="B463" s="19" t="n"/>
      <c r="C463" s="20" t="n"/>
      <c r="D463" s="128" t="n"/>
      <c r="E463" s="21" t="n"/>
      <c r="F463" s="22" t="n"/>
      <c r="G463" s="22" t="n"/>
      <c r="H463" s="22" t="n"/>
      <c r="I463" s="26">
        <f>G463-H463</f>
        <v/>
      </c>
      <c r="J463" s="21" t="n"/>
      <c r="K463" s="21" t="n"/>
      <c r="L463" s="27">
        <f>SUM(J463:K463)</f>
        <v/>
      </c>
      <c r="M463" s="28" t="n"/>
      <c r="N463" s="28" t="n"/>
      <c r="O463" s="29">
        <f>IF(AND(L463=0,M463=0,N463=0),0,IF(AND(L463=0,M463=0),N463/1,IF(AND(L463=0,N463=0),M463/1,IF(AND(M463=0,N463=0),L463/1,IF(L463=0,FLOOR((M463+N463)/2,0.1),IF(M463=0,(L463+N463)/2,IF(N463=0,(M463+L463)/2,FLOOR(((L463+M463+N463)/3),0.1))))))))</f>
        <v/>
      </c>
      <c r="P463" s="21" t="n"/>
      <c r="Q463" s="21" t="n"/>
      <c r="R463" s="27">
        <f>SUM(P463:Q463)</f>
        <v/>
      </c>
      <c r="S463" s="28" t="n"/>
      <c r="T463" s="28" t="n"/>
      <c r="U463" s="29">
        <f>IF(AND(R463=0,S463=0,T463=0),0,IF(AND(R463=0,S463=0),T463/1,IF(AND(R463=0,T463=0),S463/1,IF(AND(S463=0,T463=0),R463/1,IF(R463=0,FLOOR((S463+T463)/2,0.1),IF(S463=0,(R463+T463)/2,IF(T463=0,(S463+R463)/2,FLOOR(((R463+S463+T463)/3),0.1))))))))</f>
        <v/>
      </c>
      <c r="V463" s="21" t="n"/>
      <c r="W463" s="21" t="n"/>
      <c r="X463" s="27">
        <f>SUM(V463:W463)</f>
        <v/>
      </c>
      <c r="Y463" s="28" t="n"/>
      <c r="Z463" s="28" t="n"/>
      <c r="AA463" s="29">
        <f>IF(AND(X463=0,Y463=0,Z463=0),0,IF(AND(X463=0,Y463=0),Z463/1,IF(AND(X463=0,Z463=0),Y463/1,IF(AND(Y463=0,Z463=0),X463/1,IF(X463=0,FLOOR((Y463+Z463)/2,0.1),IF(Y463=0,(X463+Z463)/2,IF(Z463=0,(Y463+X463)/2,FLOOR(((X463+Y463+Z463)/3),0.1))))))))</f>
        <v/>
      </c>
      <c r="AB463" s="21" t="n"/>
      <c r="AC463" s="21" t="n"/>
      <c r="AD463" s="27">
        <f>SUM(AB463:AC463)</f>
        <v/>
      </c>
      <c r="AE463" s="28" t="n"/>
      <c r="AF463" s="28" t="n"/>
      <c r="AG463" s="29">
        <f>IF(AND(AD463=0,AE463=0,AF463=0),0,IF(AND(AD463=0,AE463=0),AF463/1,IF(AND(AD463=0,AF463=0),AE463/1,IF(AND(AE463=0,AF463=0),AD463/1,IF(AD463=0,FLOOR((AE463+AF463)/2,0.1),IF(AE463=0,(AD463+AF463)/2,IF(AF463=0,(AE463+AD463)/2,FLOOR(((AD463+AE463+AF463)/3),0.1))))))))</f>
        <v/>
      </c>
      <c r="AH463" s="21" t="n"/>
      <c r="AI463" s="21" t="n"/>
      <c r="AJ463" s="27">
        <f>SUM(AH463:AI463)</f>
        <v/>
      </c>
      <c r="AK463" s="28" t="n"/>
      <c r="AL463" s="28" t="n"/>
      <c r="AM463" s="29">
        <f>IF(AND(AJ463=0,AK463=0,AL463=0),0,IF(AND(AJ463=0,AK463=0),AL463/1,IF(AND(AJ463=0,AL463=0),AK463/1,IF(AND(AK463=0,AL463=0),AJ463/1,IF(AJ463=0,FLOOR((AK463+AL463)/2,0.1),IF(AK463=0,(AJ463+AL463)/2,IF(AL463=0,(AK463+AJ463)/2,FLOOR(((AJ463+AK463+AL463)/3),0.1))))))))</f>
        <v/>
      </c>
      <c r="AN463" s="21" t="n"/>
      <c r="AO463" s="21" t="n"/>
      <c r="AP463" s="27">
        <f>SUM(AN463:AO463)</f>
        <v/>
      </c>
      <c r="AQ463" s="28" t="n"/>
      <c r="AR463" s="30" t="n"/>
      <c r="AS463" s="29">
        <f>IF(AND(AP463=0,AQ463=0,AR463=0),0,IF(AND(AP463=0,AQ463=0),AR463/1,IF(AND(AP463=0,AR463=0),AQ463/1,IF(AND(AQ463=0,AR463=0),AP463/1,IF(AP463=0,FLOOR((AQ463+AR463)/2,0.1),IF(AQ463=0,(AP463+AR463)/2,IF(AR463=0,(AQ463+AP463)/2,FLOOR(((AP463+AQ463+AR463)/3),0.1))))))))</f>
        <v/>
      </c>
      <c r="AT463" s="21" t="n"/>
      <c r="AU463" s="21" t="n"/>
      <c r="AV463" s="27">
        <f>SUM(AT463:AU463)</f>
        <v/>
      </c>
      <c r="AW463" s="28" t="n"/>
      <c r="AX463" s="30" t="n"/>
      <c r="AY463" s="29">
        <f>IF(AND(AV463=0,AW463=0,AX463=0),0,IF(AND(AV463=0,AW463=0),AX463/1,IF(AND(AV463=0,AX463=0),AW463/1,IF(AND(AW463=0,AX463=0),AV463/1,IF(AV463=0,FLOOR((AW463+AX463)/2,0.1),IF(AW463=0,(AV463+AX463)/2,IF(AX463=0,(AW463+AV463)/2,FLOOR(((AV463+AW463+AX463)/3),0.1))))))))</f>
        <v/>
      </c>
      <c r="AZ463" s="21" t="n"/>
      <c r="BA463" s="21" t="n"/>
      <c r="BB463" s="27">
        <f>SUM(AZ463:BA463)</f>
        <v/>
      </c>
      <c r="BC463" s="28" t="n"/>
      <c r="BD463" s="28" t="n"/>
      <c r="BE463" s="29">
        <f>IF(AND(BB463=0,BC463=0,BD463=0),0,IF(AND(BB463=0,BC463=0),BD463/1,IF(AND(BB463=0,BD463=0),BC463/1,IF(AND(BC463=0,BD463=0),BB463/1,IF(BB463=0,FLOOR((BC463+BD463)/2,0.1),IF(BC463=0,(BB463+BD463)/2,IF(BD463=0,(BC463+BB463)/2,FLOOR(((BB463+BC463+BD463)/3),0.1))))))))</f>
        <v/>
      </c>
      <c r="BF463" s="21" t="n"/>
      <c r="BG463" s="21" t="n"/>
      <c r="BH463" s="27">
        <f>SUM(BF463:BG463)</f>
        <v/>
      </c>
      <c r="BI463" s="28" t="n"/>
      <c r="BJ463" s="28" t="n"/>
      <c r="BK463" s="29">
        <f>IF(AND(BH463=0,BI463=0,BJ463=0),0,IF(AND(BH463=0,BI463=0),BJ463/1,IF(AND(BH463=0,BJ463=0),BI463/1,IF(AND(BI463=0,BJ463=0),BH463/1,IF(BH463=0,FLOOR((BI463+BJ463)/2,0.1),IF(BI463=0,(BH463+BJ463)/2,IF(BJ463=0,(BI463+BH463)/2,FLOOR(((BH463+BI463+BJ463)/3),0.1))))))))</f>
        <v/>
      </c>
      <c r="BL463" s="21" t="n"/>
      <c r="BM463" s="21" t="n"/>
      <c r="BN463" s="27">
        <f>SUM(BL463:BM463)</f>
        <v/>
      </c>
      <c r="BO463" s="28" t="n"/>
      <c r="BP463" s="31" t="n"/>
      <c r="BQ463" s="29">
        <f>IF(AND(BN463=0,BO463=0,BP463=0),0,IF(AND(BN463=0,BO463=0),BP463/1,IF(AND(BN463=0,BP463=0),BO463/1,IF(AND(BO463=0,BP463=0),BN463/1,IF(BN463=0,FLOOR((BO463+BP463)/2,0.1),IF(BO463=0,(BN463+BP463)/2,IF(BP463=0,(BO463+BN463)/2,FLOOR(((BN463+BO463+BP463)/3),0.1))))))))</f>
        <v/>
      </c>
      <c r="BR463" s="21" t="n"/>
      <c r="BS463" s="21" t="n"/>
      <c r="BT463" s="27">
        <f>SUM(BR463:BS463)</f>
        <v/>
      </c>
      <c r="BU463" s="28" t="n"/>
      <c r="BV463" s="31" t="n"/>
      <c r="BW463" s="29">
        <f>IF(AND(BT463=0,BU463=0,BV463=0),0,IF(AND(BT463=0,BU463=0),BV463/1,IF(AND(BT463=0,BV463=0),BU463/1,IF(AND(BU463=0,BV463=0),BT463/1,IF(BT463=0,FLOOR((BU463+BV463)/2,0.1),IF(BU463=0,(BT463+BV463)/2,IF(BV463=0,(BU463+BT463)/2,FLOOR(((BT463+BU463+BV463)/3),0.1))))))))</f>
        <v/>
      </c>
      <c r="BX463" s="21" t="n"/>
      <c r="BY463" s="21" t="n"/>
      <c r="BZ463" s="27">
        <f>SUM(BX463:BY463)</f>
        <v/>
      </c>
      <c r="CA463" s="28" t="n"/>
      <c r="CB463" s="31" t="n"/>
      <c r="CC463" s="29">
        <f>IF(AND(BZ463=0,CA463=0,CB463=0),0,IF(AND(BZ463=0,CA463=0),CB463/1,IF(AND(BZ463=0,CB463=0),CA463/1,IF(AND(CA463=0,CB463=0),BZ463/1,IF(BZ463=0,FLOOR((CA463+CB463)/2,0.1),IF(CA463=0,(BZ463+CB463)/2,IF(CB463=0,(CA463+BZ463)/2,FLOOR(((BZ463+CA463+CB463)/3),0.1))))))))</f>
        <v/>
      </c>
      <c r="CD463" s="21" t="n"/>
      <c r="CE463" s="21" t="n"/>
      <c r="CF463" s="27">
        <f>SUM(CD463:CE463)</f>
        <v/>
      </c>
      <c r="CG463" s="28" t="n"/>
      <c r="CH463" s="31" t="n"/>
      <c r="CI463" s="29">
        <f>IF(AND(CF463=0,CG463=0,CH463=0),0,IF(AND(CF463=0,CG463=0),CH463/1,IF(AND(CF463=0,CH463=0),CG463/1,IF(AND(CG463=0,CH463=0),CF463/1,IF(CF463=0,FLOOR((CG463+CH463)/2,0.1),IF(CG463=0,(CF463+CH463)/2,IF(CH463=0,(CG463+CF463)/2,FLOOR(((CF463+CG463+CH463)/3),0.1))))))))</f>
        <v/>
      </c>
      <c r="CJ463" s="21" t="n"/>
      <c r="CK463" s="21" t="n"/>
      <c r="CL463" s="27">
        <f>SUM(CJ463:CK463)</f>
        <v/>
      </c>
      <c r="CM463" s="28" t="n"/>
      <c r="CN463" s="31" t="n"/>
      <c r="CO463" s="29">
        <f>IF(AND(CL463=0,CM463=0,CN463=0),0,IF(AND(CL463=0,CM463=0),CN463/1,IF(AND(CL463=0,CN463=0),CM463/1,IF(AND(CM463=0,CN463=0),CL463/1,IF(CL463=0,FLOOR((CM463+CN463)/2,0.1),IF(CM463=0,(CL463+CN463)/2,IF(CN463=0,(CM463+CL463)/2,FLOOR(((CL463+CM463+CN463)/3),0.1))))))))</f>
        <v/>
      </c>
      <c r="CP463" s="21" t="n"/>
      <c r="CQ463" s="21" t="n"/>
      <c r="CR463" s="27">
        <f>SUM(CP463:CQ463)</f>
        <v/>
      </c>
      <c r="CS463" s="28" t="n"/>
      <c r="CT463" s="31" t="n"/>
      <c r="CU463" s="29">
        <f>IF(AND(CR463=0,CS463=0,CT463=0),0,IF(AND(CR463=0,CS463=0),CT463/1,IF(AND(CR463=0,CT463=0),CS463/1,IF(AND(CS463=0,CT463=0),CR463/1,IF(CR463=0,FLOOR((CS463+CT463)/2,0.1),IF(CS463=0,(CR463+CT463)/2,IF(CT463=0,(CS463+CR463)/2,FLOOR(((CR463+CS463+CT463)/3),0.1))))))))</f>
        <v/>
      </c>
      <c r="CV463" s="21" t="n"/>
      <c r="CW463" s="21" t="n"/>
      <c r="CX463" s="27">
        <f>SUM(CV463:CW463)</f>
        <v/>
      </c>
      <c r="CY463" s="28" t="n"/>
      <c r="CZ463" s="31" t="n"/>
      <c r="DA463" s="29">
        <f>IF(AND(CX463=0,CY463=0,CZ463=0),0,IF(AND(CX463=0,CY463=0),CZ463/1,IF(AND(CX463=0,CZ463=0),CY463/1,IF(AND(CY463=0,CZ463=0),CX463/1,IF(CX463=0,FLOOR((CY463+CZ463)/2,0.1),IF(CY463=0,(CX463+CZ463)/2,IF(CZ463=0,(CY463+CX463)/2,FLOOR(((CX463+CY463+CZ463)/3),0.1))))))))</f>
        <v/>
      </c>
      <c r="DB463" s="21" t="n"/>
      <c r="DC463" s="21" t="n"/>
      <c r="DD463" s="27">
        <f>SUM(DB463:DC463)</f>
        <v/>
      </c>
      <c r="DE463" s="28" t="n"/>
      <c r="DF463" s="31" t="n"/>
      <c r="DG463" s="29">
        <f>IF(AND(DD463=0,DE463=0,DF463=0),0,IF(AND(DD463=0,DE463=0),DF463/1,IF(AND(DD463=0,DF463=0),DE463/1,IF(AND(DE463=0,DF463=0),DD463/1,IF(DD463=0,FLOOR((DE463+DF463)/2,0.1),IF(DE463=0,(DD463+DF463)/2,IF(DF463=0,(DE463+DD463)/2,FLOOR(((DD463+DE463+DF463)/3),0.1))))))))</f>
        <v/>
      </c>
      <c r="DH463" s="34">
        <f>SUM(O463,U463,AA463,AG463,AM463,AS463,AY463,BE463,BK463,BQ463,BW463,CC463,CI463,CO463,CU463,DA463,DG463)</f>
        <v/>
      </c>
      <c r="DI463" s="39">
        <f>RANK(DH463,DH$4:DH$503)</f>
        <v/>
      </c>
      <c r="DJ463" s="40" t="inlineStr">
        <is>
          <t>CHOOSE RATING</t>
        </is>
      </c>
      <c r="DK463" s="40" t="inlineStr">
        <is>
          <t>CHOOSE RATING</t>
        </is>
      </c>
      <c r="DL463" s="40" t="inlineStr">
        <is>
          <t>CHOOSE RATING</t>
        </is>
      </c>
      <c r="DM463" s="40" t="inlineStr">
        <is>
          <t>CHOOSE RATING</t>
        </is>
      </c>
      <c r="DN463" s="40" t="inlineStr">
        <is>
          <t>CHOOSE RATING</t>
        </is>
      </c>
      <c r="DO463" s="40" t="inlineStr">
        <is>
          <t>CHOOSE RATING</t>
        </is>
      </c>
      <c r="DP463" s="40" t="inlineStr">
        <is>
          <t>CHOOSE RATING</t>
        </is>
      </c>
      <c r="DQ463" s="40" t="inlineStr">
        <is>
          <t>CHOOSE RATING</t>
        </is>
      </c>
      <c r="DR463" s="43" t="inlineStr">
        <is>
          <t>2024/2025</t>
        </is>
      </c>
      <c r="DS463" s="45" t="inlineStr">
        <is>
          <t>THIRD</t>
        </is>
      </c>
      <c r="DT463" s="40" t="inlineStr">
        <is>
          <t>CHOOSE RATING</t>
        </is>
      </c>
      <c r="DU463" s="40" t="inlineStr">
        <is>
          <t>CHOOSE RATING</t>
        </is>
      </c>
      <c r="DV463" s="40" t="inlineStr">
        <is>
          <t>CHOOSE RATING</t>
        </is>
      </c>
      <c r="DW463" s="40" t="inlineStr">
        <is>
          <t>CHOOSE RATING</t>
        </is>
      </c>
      <c r="DX463" s="40" t="inlineStr">
        <is>
          <t>CHOOSE RATING</t>
        </is>
      </c>
      <c r="DY463" s="40" t="inlineStr">
        <is>
          <t>CHOOSE RATING</t>
        </is>
      </c>
      <c r="DZ463" s="53" t="inlineStr">
        <is>
          <t>CHOOSE RATING</t>
        </is>
      </c>
      <c r="EA463" s="54" t="inlineStr">
        <is>
          <t>Add the Tutor's Comment . . .</t>
        </is>
      </c>
      <c r="EB463" s="55" t="inlineStr">
        <is>
          <t>Choose Principals comment</t>
        </is>
      </c>
      <c r="EC463" s="56" t="n"/>
      <c r="ED463" s="57" t="inlineStr">
        <is>
          <t>Next Term Begins on Monday, 22nd September, 2025</t>
        </is>
      </c>
    </row>
    <row r="464" ht="30.6" customHeight="1" s="6">
      <c r="A464" s="18" t="n">
        <v>461</v>
      </c>
      <c r="B464" s="19" t="n"/>
      <c r="C464" s="20" t="n"/>
      <c r="D464" s="128" t="n"/>
      <c r="E464" s="21" t="n"/>
      <c r="F464" s="22" t="n"/>
      <c r="G464" s="22" t="n"/>
      <c r="H464" s="22" t="n"/>
      <c r="I464" s="26">
        <f>G464-H464</f>
        <v/>
      </c>
      <c r="J464" s="21" t="n"/>
      <c r="K464" s="21" t="n"/>
      <c r="L464" s="27">
        <f>SUM(J464:K464)</f>
        <v/>
      </c>
      <c r="M464" s="28" t="n"/>
      <c r="N464" s="28" t="n"/>
      <c r="O464" s="29">
        <f>IF(AND(L464=0,M464=0,N464=0),0,IF(AND(L464=0,M464=0),N464/1,IF(AND(L464=0,N464=0),M464/1,IF(AND(M464=0,N464=0),L464/1,IF(L464=0,FLOOR((M464+N464)/2,0.1),IF(M464=0,(L464+N464)/2,IF(N464=0,(M464+L464)/2,FLOOR(((L464+M464+N464)/3),0.1))))))))</f>
        <v/>
      </c>
      <c r="P464" s="21" t="n"/>
      <c r="Q464" s="21" t="n"/>
      <c r="R464" s="27">
        <f>SUM(P464:Q464)</f>
        <v/>
      </c>
      <c r="S464" s="28" t="n"/>
      <c r="T464" s="28" t="n"/>
      <c r="U464" s="29">
        <f>IF(AND(R464=0,S464=0,T464=0),0,IF(AND(R464=0,S464=0),T464/1,IF(AND(R464=0,T464=0),S464/1,IF(AND(S464=0,T464=0),R464/1,IF(R464=0,FLOOR((S464+T464)/2,0.1),IF(S464=0,(R464+T464)/2,IF(T464=0,(S464+R464)/2,FLOOR(((R464+S464+T464)/3),0.1))))))))</f>
        <v/>
      </c>
      <c r="V464" s="21" t="n"/>
      <c r="W464" s="21" t="n"/>
      <c r="X464" s="27">
        <f>SUM(V464:W464)</f>
        <v/>
      </c>
      <c r="Y464" s="28" t="n"/>
      <c r="Z464" s="28" t="n"/>
      <c r="AA464" s="29">
        <f>IF(AND(X464=0,Y464=0,Z464=0),0,IF(AND(X464=0,Y464=0),Z464/1,IF(AND(X464=0,Z464=0),Y464/1,IF(AND(Y464=0,Z464=0),X464/1,IF(X464=0,FLOOR((Y464+Z464)/2,0.1),IF(Y464=0,(X464+Z464)/2,IF(Z464=0,(Y464+X464)/2,FLOOR(((X464+Y464+Z464)/3),0.1))))))))</f>
        <v/>
      </c>
      <c r="AB464" s="21" t="n"/>
      <c r="AC464" s="21" t="n"/>
      <c r="AD464" s="27">
        <f>SUM(AB464:AC464)</f>
        <v/>
      </c>
      <c r="AE464" s="28" t="n"/>
      <c r="AF464" s="28" t="n"/>
      <c r="AG464" s="29">
        <f>IF(AND(AD464=0,AE464=0,AF464=0),0,IF(AND(AD464=0,AE464=0),AF464/1,IF(AND(AD464=0,AF464=0),AE464/1,IF(AND(AE464=0,AF464=0),AD464/1,IF(AD464=0,FLOOR((AE464+AF464)/2,0.1),IF(AE464=0,(AD464+AF464)/2,IF(AF464=0,(AE464+AD464)/2,FLOOR(((AD464+AE464+AF464)/3),0.1))))))))</f>
        <v/>
      </c>
      <c r="AH464" s="21" t="n"/>
      <c r="AI464" s="21" t="n"/>
      <c r="AJ464" s="27">
        <f>SUM(AH464:AI464)</f>
        <v/>
      </c>
      <c r="AK464" s="28" t="n"/>
      <c r="AL464" s="28" t="n"/>
      <c r="AM464" s="29">
        <f>IF(AND(AJ464=0,AK464=0,AL464=0),0,IF(AND(AJ464=0,AK464=0),AL464/1,IF(AND(AJ464=0,AL464=0),AK464/1,IF(AND(AK464=0,AL464=0),AJ464/1,IF(AJ464=0,FLOOR((AK464+AL464)/2,0.1),IF(AK464=0,(AJ464+AL464)/2,IF(AL464=0,(AK464+AJ464)/2,FLOOR(((AJ464+AK464+AL464)/3),0.1))))))))</f>
        <v/>
      </c>
      <c r="AN464" s="21" t="n"/>
      <c r="AO464" s="21" t="n"/>
      <c r="AP464" s="27">
        <f>SUM(AN464:AO464)</f>
        <v/>
      </c>
      <c r="AQ464" s="28" t="n"/>
      <c r="AR464" s="30" t="n"/>
      <c r="AS464" s="29">
        <f>IF(AND(AP464=0,AQ464=0,AR464=0),0,IF(AND(AP464=0,AQ464=0),AR464/1,IF(AND(AP464=0,AR464=0),AQ464/1,IF(AND(AQ464=0,AR464=0),AP464/1,IF(AP464=0,FLOOR((AQ464+AR464)/2,0.1),IF(AQ464=0,(AP464+AR464)/2,IF(AR464=0,(AQ464+AP464)/2,FLOOR(((AP464+AQ464+AR464)/3),0.1))))))))</f>
        <v/>
      </c>
      <c r="AT464" s="21" t="n"/>
      <c r="AU464" s="21" t="n"/>
      <c r="AV464" s="27">
        <f>SUM(AT464:AU464)</f>
        <v/>
      </c>
      <c r="AW464" s="28" t="n"/>
      <c r="AX464" s="30" t="n"/>
      <c r="AY464" s="29">
        <f>IF(AND(AV464=0,AW464=0,AX464=0),0,IF(AND(AV464=0,AW464=0),AX464/1,IF(AND(AV464=0,AX464=0),AW464/1,IF(AND(AW464=0,AX464=0),AV464/1,IF(AV464=0,FLOOR((AW464+AX464)/2,0.1),IF(AW464=0,(AV464+AX464)/2,IF(AX464=0,(AW464+AV464)/2,FLOOR(((AV464+AW464+AX464)/3),0.1))))))))</f>
        <v/>
      </c>
      <c r="AZ464" s="21" t="n"/>
      <c r="BA464" s="21" t="n"/>
      <c r="BB464" s="27">
        <f>SUM(AZ464:BA464)</f>
        <v/>
      </c>
      <c r="BC464" s="28" t="n"/>
      <c r="BD464" s="28" t="n"/>
      <c r="BE464" s="29">
        <f>IF(AND(BB464=0,BC464=0,BD464=0),0,IF(AND(BB464=0,BC464=0),BD464/1,IF(AND(BB464=0,BD464=0),BC464/1,IF(AND(BC464=0,BD464=0),BB464/1,IF(BB464=0,FLOOR((BC464+BD464)/2,0.1),IF(BC464=0,(BB464+BD464)/2,IF(BD464=0,(BC464+BB464)/2,FLOOR(((BB464+BC464+BD464)/3),0.1))))))))</f>
        <v/>
      </c>
      <c r="BF464" s="21" t="n"/>
      <c r="BG464" s="21" t="n"/>
      <c r="BH464" s="27">
        <f>SUM(BF464:BG464)</f>
        <v/>
      </c>
      <c r="BI464" s="28" t="n"/>
      <c r="BJ464" s="28" t="n"/>
      <c r="BK464" s="29">
        <f>IF(AND(BH464=0,BI464=0,BJ464=0),0,IF(AND(BH464=0,BI464=0),BJ464/1,IF(AND(BH464=0,BJ464=0),BI464/1,IF(AND(BI464=0,BJ464=0),BH464/1,IF(BH464=0,FLOOR((BI464+BJ464)/2,0.1),IF(BI464=0,(BH464+BJ464)/2,IF(BJ464=0,(BI464+BH464)/2,FLOOR(((BH464+BI464+BJ464)/3),0.1))))))))</f>
        <v/>
      </c>
      <c r="BL464" s="21" t="n"/>
      <c r="BM464" s="21" t="n"/>
      <c r="BN464" s="27">
        <f>SUM(BL464:BM464)</f>
        <v/>
      </c>
      <c r="BO464" s="28" t="n"/>
      <c r="BP464" s="31" t="n"/>
      <c r="BQ464" s="29">
        <f>IF(AND(BN464=0,BO464=0,BP464=0),0,IF(AND(BN464=0,BO464=0),BP464/1,IF(AND(BN464=0,BP464=0),BO464/1,IF(AND(BO464=0,BP464=0),BN464/1,IF(BN464=0,FLOOR((BO464+BP464)/2,0.1),IF(BO464=0,(BN464+BP464)/2,IF(BP464=0,(BO464+BN464)/2,FLOOR(((BN464+BO464+BP464)/3),0.1))))))))</f>
        <v/>
      </c>
      <c r="BR464" s="21" t="n"/>
      <c r="BS464" s="21" t="n"/>
      <c r="BT464" s="27">
        <f>SUM(BR464:BS464)</f>
        <v/>
      </c>
      <c r="BU464" s="28" t="n"/>
      <c r="BV464" s="31" t="n"/>
      <c r="BW464" s="29">
        <f>IF(AND(BT464=0,BU464=0,BV464=0),0,IF(AND(BT464=0,BU464=0),BV464/1,IF(AND(BT464=0,BV464=0),BU464/1,IF(AND(BU464=0,BV464=0),BT464/1,IF(BT464=0,FLOOR((BU464+BV464)/2,0.1),IF(BU464=0,(BT464+BV464)/2,IF(BV464=0,(BU464+BT464)/2,FLOOR(((BT464+BU464+BV464)/3),0.1))))))))</f>
        <v/>
      </c>
      <c r="BX464" s="21" t="n"/>
      <c r="BY464" s="21" t="n"/>
      <c r="BZ464" s="27">
        <f>SUM(BX464:BY464)</f>
        <v/>
      </c>
      <c r="CA464" s="28" t="n"/>
      <c r="CB464" s="31" t="n"/>
      <c r="CC464" s="29">
        <f>IF(AND(BZ464=0,CA464=0,CB464=0),0,IF(AND(BZ464=0,CA464=0),CB464/1,IF(AND(BZ464=0,CB464=0),CA464/1,IF(AND(CA464=0,CB464=0),BZ464/1,IF(BZ464=0,FLOOR((CA464+CB464)/2,0.1),IF(CA464=0,(BZ464+CB464)/2,IF(CB464=0,(CA464+BZ464)/2,FLOOR(((BZ464+CA464+CB464)/3),0.1))))))))</f>
        <v/>
      </c>
      <c r="CD464" s="21" t="n"/>
      <c r="CE464" s="21" t="n"/>
      <c r="CF464" s="27">
        <f>SUM(CD464:CE464)</f>
        <v/>
      </c>
      <c r="CG464" s="28" t="n"/>
      <c r="CH464" s="31" t="n"/>
      <c r="CI464" s="29">
        <f>IF(AND(CF464=0,CG464=0,CH464=0),0,IF(AND(CF464=0,CG464=0),CH464/1,IF(AND(CF464=0,CH464=0),CG464/1,IF(AND(CG464=0,CH464=0),CF464/1,IF(CF464=0,FLOOR((CG464+CH464)/2,0.1),IF(CG464=0,(CF464+CH464)/2,IF(CH464=0,(CG464+CF464)/2,FLOOR(((CF464+CG464+CH464)/3),0.1))))))))</f>
        <v/>
      </c>
      <c r="CJ464" s="21" t="n"/>
      <c r="CK464" s="21" t="n"/>
      <c r="CL464" s="27">
        <f>SUM(CJ464:CK464)</f>
        <v/>
      </c>
      <c r="CM464" s="28" t="n"/>
      <c r="CN464" s="31" t="n"/>
      <c r="CO464" s="29">
        <f>IF(AND(CL464=0,CM464=0,CN464=0),0,IF(AND(CL464=0,CM464=0),CN464/1,IF(AND(CL464=0,CN464=0),CM464/1,IF(AND(CM464=0,CN464=0),CL464/1,IF(CL464=0,FLOOR((CM464+CN464)/2,0.1),IF(CM464=0,(CL464+CN464)/2,IF(CN464=0,(CM464+CL464)/2,FLOOR(((CL464+CM464+CN464)/3),0.1))))))))</f>
        <v/>
      </c>
      <c r="CP464" s="21" t="n"/>
      <c r="CQ464" s="21" t="n"/>
      <c r="CR464" s="27">
        <f>SUM(CP464:CQ464)</f>
        <v/>
      </c>
      <c r="CS464" s="28" t="n"/>
      <c r="CT464" s="31" t="n"/>
      <c r="CU464" s="29">
        <f>IF(AND(CR464=0,CS464=0,CT464=0),0,IF(AND(CR464=0,CS464=0),CT464/1,IF(AND(CR464=0,CT464=0),CS464/1,IF(AND(CS464=0,CT464=0),CR464/1,IF(CR464=0,FLOOR((CS464+CT464)/2,0.1),IF(CS464=0,(CR464+CT464)/2,IF(CT464=0,(CS464+CR464)/2,FLOOR(((CR464+CS464+CT464)/3),0.1))))))))</f>
        <v/>
      </c>
      <c r="CV464" s="21" t="n"/>
      <c r="CW464" s="21" t="n"/>
      <c r="CX464" s="27">
        <f>SUM(CV464:CW464)</f>
        <v/>
      </c>
      <c r="CY464" s="28" t="n"/>
      <c r="CZ464" s="31" t="n"/>
      <c r="DA464" s="29">
        <f>IF(AND(CX464=0,CY464=0,CZ464=0),0,IF(AND(CX464=0,CY464=0),CZ464/1,IF(AND(CX464=0,CZ464=0),CY464/1,IF(AND(CY464=0,CZ464=0),CX464/1,IF(CX464=0,FLOOR((CY464+CZ464)/2,0.1),IF(CY464=0,(CX464+CZ464)/2,IF(CZ464=0,(CY464+CX464)/2,FLOOR(((CX464+CY464+CZ464)/3),0.1))))))))</f>
        <v/>
      </c>
      <c r="DB464" s="21" t="n"/>
      <c r="DC464" s="21" t="n"/>
      <c r="DD464" s="27">
        <f>SUM(DB464:DC464)</f>
        <v/>
      </c>
      <c r="DE464" s="28" t="n"/>
      <c r="DF464" s="31" t="n"/>
      <c r="DG464" s="29">
        <f>IF(AND(DD464=0,DE464=0,DF464=0),0,IF(AND(DD464=0,DE464=0),DF464/1,IF(AND(DD464=0,DF464=0),DE464/1,IF(AND(DE464=0,DF464=0),DD464/1,IF(DD464=0,FLOOR((DE464+DF464)/2,0.1),IF(DE464=0,(DD464+DF464)/2,IF(DF464=0,(DE464+DD464)/2,FLOOR(((DD464+DE464+DF464)/3),0.1))))))))</f>
        <v/>
      </c>
      <c r="DH464" s="34">
        <f>SUM(O464,U464,AA464,AG464,AM464,AS464,AY464,BE464,BK464,BQ464,BW464,CC464,CI464,CO464,CU464,DA464,DG464)</f>
        <v/>
      </c>
      <c r="DI464" s="39">
        <f>RANK(DH464,DH$4:DH$503)</f>
        <v/>
      </c>
      <c r="DJ464" s="40" t="inlineStr">
        <is>
          <t>CHOOSE RATING</t>
        </is>
      </c>
      <c r="DK464" s="40" t="inlineStr">
        <is>
          <t>CHOOSE RATING</t>
        </is>
      </c>
      <c r="DL464" s="40" t="inlineStr">
        <is>
          <t>CHOOSE RATING</t>
        </is>
      </c>
      <c r="DM464" s="40" t="inlineStr">
        <is>
          <t>CHOOSE RATING</t>
        </is>
      </c>
      <c r="DN464" s="40" t="inlineStr">
        <is>
          <t>CHOOSE RATING</t>
        </is>
      </c>
      <c r="DO464" s="40" t="inlineStr">
        <is>
          <t>CHOOSE RATING</t>
        </is>
      </c>
      <c r="DP464" s="40" t="inlineStr">
        <is>
          <t>CHOOSE RATING</t>
        </is>
      </c>
      <c r="DQ464" s="40" t="inlineStr">
        <is>
          <t>CHOOSE RATING</t>
        </is>
      </c>
      <c r="DR464" s="43" t="inlineStr">
        <is>
          <t>2024/2025</t>
        </is>
      </c>
      <c r="DS464" s="45" t="inlineStr">
        <is>
          <t>THIRD</t>
        </is>
      </c>
      <c r="DT464" s="40" t="inlineStr">
        <is>
          <t>CHOOSE RATING</t>
        </is>
      </c>
      <c r="DU464" s="40" t="inlineStr">
        <is>
          <t>CHOOSE RATING</t>
        </is>
      </c>
      <c r="DV464" s="40" t="inlineStr">
        <is>
          <t>CHOOSE RATING</t>
        </is>
      </c>
      <c r="DW464" s="40" t="inlineStr">
        <is>
          <t>CHOOSE RATING</t>
        </is>
      </c>
      <c r="DX464" s="40" t="inlineStr">
        <is>
          <t>CHOOSE RATING</t>
        </is>
      </c>
      <c r="DY464" s="40" t="inlineStr">
        <is>
          <t>CHOOSE RATING</t>
        </is>
      </c>
      <c r="DZ464" s="53" t="inlineStr">
        <is>
          <t>CHOOSE RATING</t>
        </is>
      </c>
      <c r="EA464" s="54" t="inlineStr">
        <is>
          <t>Add the Tutor's Comment . . .</t>
        </is>
      </c>
      <c r="EB464" s="55" t="inlineStr">
        <is>
          <t>Choose Principals comment</t>
        </is>
      </c>
      <c r="EC464" s="56" t="n"/>
      <c r="ED464" s="57" t="inlineStr">
        <is>
          <t>Next Term Begins on Monday, 22nd September, 2025</t>
        </is>
      </c>
    </row>
    <row r="465" ht="30.6" customHeight="1" s="6">
      <c r="A465" s="18" t="n">
        <v>462</v>
      </c>
      <c r="B465" s="19" t="n"/>
      <c r="C465" s="20" t="n"/>
      <c r="D465" s="128" t="n"/>
      <c r="E465" s="21" t="n"/>
      <c r="F465" s="22" t="n"/>
      <c r="G465" s="22" t="n"/>
      <c r="H465" s="22" t="n"/>
      <c r="I465" s="26">
        <f>G465-H465</f>
        <v/>
      </c>
      <c r="J465" s="21" t="n"/>
      <c r="K465" s="21" t="n"/>
      <c r="L465" s="27">
        <f>SUM(J465:K465)</f>
        <v/>
      </c>
      <c r="M465" s="28" t="n"/>
      <c r="N465" s="28" t="n"/>
      <c r="O465" s="29">
        <f>IF(AND(L465=0,M465=0,N465=0),0,IF(AND(L465=0,M465=0),N465/1,IF(AND(L465=0,N465=0),M465/1,IF(AND(M465=0,N465=0),L465/1,IF(L465=0,FLOOR((M465+N465)/2,0.1),IF(M465=0,(L465+N465)/2,IF(N465=0,(M465+L465)/2,FLOOR(((L465+M465+N465)/3),0.1))))))))</f>
        <v/>
      </c>
      <c r="P465" s="21" t="n"/>
      <c r="Q465" s="21" t="n"/>
      <c r="R465" s="27">
        <f>SUM(P465:Q465)</f>
        <v/>
      </c>
      <c r="S465" s="28" t="n"/>
      <c r="T465" s="28" t="n"/>
      <c r="U465" s="29">
        <f>IF(AND(R465=0,S465=0,T465=0),0,IF(AND(R465=0,S465=0),T465/1,IF(AND(R465=0,T465=0),S465/1,IF(AND(S465=0,T465=0),R465/1,IF(R465=0,FLOOR((S465+T465)/2,0.1),IF(S465=0,(R465+T465)/2,IF(T465=0,(S465+R465)/2,FLOOR(((R465+S465+T465)/3),0.1))))))))</f>
        <v/>
      </c>
      <c r="V465" s="21" t="n"/>
      <c r="W465" s="21" t="n"/>
      <c r="X465" s="27">
        <f>SUM(V465:W465)</f>
        <v/>
      </c>
      <c r="Y465" s="28" t="n"/>
      <c r="Z465" s="28" t="n"/>
      <c r="AA465" s="29">
        <f>IF(AND(X465=0,Y465=0,Z465=0),0,IF(AND(X465=0,Y465=0),Z465/1,IF(AND(X465=0,Z465=0),Y465/1,IF(AND(Y465=0,Z465=0),X465/1,IF(X465=0,FLOOR((Y465+Z465)/2,0.1),IF(Y465=0,(X465+Z465)/2,IF(Z465=0,(Y465+X465)/2,FLOOR(((X465+Y465+Z465)/3),0.1))))))))</f>
        <v/>
      </c>
      <c r="AB465" s="21" t="n"/>
      <c r="AC465" s="21" t="n"/>
      <c r="AD465" s="27">
        <f>SUM(AB465:AC465)</f>
        <v/>
      </c>
      <c r="AE465" s="28" t="n"/>
      <c r="AF465" s="28" t="n"/>
      <c r="AG465" s="29">
        <f>IF(AND(AD465=0,AE465=0,AF465=0),0,IF(AND(AD465=0,AE465=0),AF465/1,IF(AND(AD465=0,AF465=0),AE465/1,IF(AND(AE465=0,AF465=0),AD465/1,IF(AD465=0,FLOOR((AE465+AF465)/2,0.1),IF(AE465=0,(AD465+AF465)/2,IF(AF465=0,(AE465+AD465)/2,FLOOR(((AD465+AE465+AF465)/3),0.1))))))))</f>
        <v/>
      </c>
      <c r="AH465" s="21" t="n"/>
      <c r="AI465" s="21" t="n"/>
      <c r="AJ465" s="27">
        <f>SUM(AH465:AI465)</f>
        <v/>
      </c>
      <c r="AK465" s="28" t="n"/>
      <c r="AL465" s="28" t="n"/>
      <c r="AM465" s="29">
        <f>IF(AND(AJ465=0,AK465=0,AL465=0),0,IF(AND(AJ465=0,AK465=0),AL465/1,IF(AND(AJ465=0,AL465=0),AK465/1,IF(AND(AK465=0,AL465=0),AJ465/1,IF(AJ465=0,FLOOR((AK465+AL465)/2,0.1),IF(AK465=0,(AJ465+AL465)/2,IF(AL465=0,(AK465+AJ465)/2,FLOOR(((AJ465+AK465+AL465)/3),0.1))))))))</f>
        <v/>
      </c>
      <c r="AN465" s="21" t="n"/>
      <c r="AO465" s="21" t="n"/>
      <c r="AP465" s="27">
        <f>SUM(AN465:AO465)</f>
        <v/>
      </c>
      <c r="AQ465" s="28" t="n"/>
      <c r="AR465" s="30" t="n"/>
      <c r="AS465" s="29">
        <f>IF(AND(AP465=0,AQ465=0,AR465=0),0,IF(AND(AP465=0,AQ465=0),AR465/1,IF(AND(AP465=0,AR465=0),AQ465/1,IF(AND(AQ465=0,AR465=0),AP465/1,IF(AP465=0,FLOOR((AQ465+AR465)/2,0.1),IF(AQ465=0,(AP465+AR465)/2,IF(AR465=0,(AQ465+AP465)/2,FLOOR(((AP465+AQ465+AR465)/3),0.1))))))))</f>
        <v/>
      </c>
      <c r="AT465" s="21" t="n"/>
      <c r="AU465" s="21" t="n"/>
      <c r="AV465" s="27">
        <f>SUM(AT465:AU465)</f>
        <v/>
      </c>
      <c r="AW465" s="28" t="n"/>
      <c r="AX465" s="30" t="n"/>
      <c r="AY465" s="29">
        <f>IF(AND(AV465=0,AW465=0,AX465=0),0,IF(AND(AV465=0,AW465=0),AX465/1,IF(AND(AV465=0,AX465=0),AW465/1,IF(AND(AW465=0,AX465=0),AV465/1,IF(AV465=0,FLOOR((AW465+AX465)/2,0.1),IF(AW465=0,(AV465+AX465)/2,IF(AX465=0,(AW465+AV465)/2,FLOOR(((AV465+AW465+AX465)/3),0.1))))))))</f>
        <v/>
      </c>
      <c r="AZ465" s="21" t="n"/>
      <c r="BA465" s="21" t="n"/>
      <c r="BB465" s="27">
        <f>SUM(AZ465:BA465)</f>
        <v/>
      </c>
      <c r="BC465" s="28" t="n"/>
      <c r="BD465" s="28" t="n"/>
      <c r="BE465" s="29">
        <f>IF(AND(BB465=0,BC465=0,BD465=0),0,IF(AND(BB465=0,BC465=0),BD465/1,IF(AND(BB465=0,BD465=0),BC465/1,IF(AND(BC465=0,BD465=0),BB465/1,IF(BB465=0,FLOOR((BC465+BD465)/2,0.1),IF(BC465=0,(BB465+BD465)/2,IF(BD465=0,(BC465+BB465)/2,FLOOR(((BB465+BC465+BD465)/3),0.1))))))))</f>
        <v/>
      </c>
      <c r="BF465" s="21" t="n"/>
      <c r="BG465" s="21" t="n"/>
      <c r="BH465" s="27">
        <f>SUM(BF465:BG465)</f>
        <v/>
      </c>
      <c r="BI465" s="28" t="n"/>
      <c r="BJ465" s="28" t="n"/>
      <c r="BK465" s="29">
        <f>IF(AND(BH465=0,BI465=0,BJ465=0),0,IF(AND(BH465=0,BI465=0),BJ465/1,IF(AND(BH465=0,BJ465=0),BI465/1,IF(AND(BI465=0,BJ465=0),BH465/1,IF(BH465=0,FLOOR((BI465+BJ465)/2,0.1),IF(BI465=0,(BH465+BJ465)/2,IF(BJ465=0,(BI465+BH465)/2,FLOOR(((BH465+BI465+BJ465)/3),0.1))))))))</f>
        <v/>
      </c>
      <c r="BL465" s="21" t="n"/>
      <c r="BM465" s="21" t="n"/>
      <c r="BN465" s="27">
        <f>SUM(BL465:BM465)</f>
        <v/>
      </c>
      <c r="BO465" s="28" t="n"/>
      <c r="BP465" s="31" t="n"/>
      <c r="BQ465" s="29">
        <f>IF(AND(BN465=0,BO465=0,BP465=0),0,IF(AND(BN465=0,BO465=0),BP465/1,IF(AND(BN465=0,BP465=0),BO465/1,IF(AND(BO465=0,BP465=0),BN465/1,IF(BN465=0,FLOOR((BO465+BP465)/2,0.1),IF(BO465=0,(BN465+BP465)/2,IF(BP465=0,(BO465+BN465)/2,FLOOR(((BN465+BO465+BP465)/3),0.1))))))))</f>
        <v/>
      </c>
      <c r="BR465" s="21" t="n"/>
      <c r="BS465" s="21" t="n"/>
      <c r="BT465" s="27">
        <f>SUM(BR465:BS465)</f>
        <v/>
      </c>
      <c r="BU465" s="28" t="n"/>
      <c r="BV465" s="31" t="n"/>
      <c r="BW465" s="29">
        <f>IF(AND(BT465=0,BU465=0,BV465=0),0,IF(AND(BT465=0,BU465=0),BV465/1,IF(AND(BT465=0,BV465=0),BU465/1,IF(AND(BU465=0,BV465=0),BT465/1,IF(BT465=0,FLOOR((BU465+BV465)/2,0.1),IF(BU465=0,(BT465+BV465)/2,IF(BV465=0,(BU465+BT465)/2,FLOOR(((BT465+BU465+BV465)/3),0.1))))))))</f>
        <v/>
      </c>
      <c r="BX465" s="21" t="n"/>
      <c r="BY465" s="21" t="n"/>
      <c r="BZ465" s="27">
        <f>SUM(BX465:BY465)</f>
        <v/>
      </c>
      <c r="CA465" s="28" t="n"/>
      <c r="CB465" s="31" t="n"/>
      <c r="CC465" s="29">
        <f>IF(AND(BZ465=0,CA465=0,CB465=0),0,IF(AND(BZ465=0,CA465=0),CB465/1,IF(AND(BZ465=0,CB465=0),CA465/1,IF(AND(CA465=0,CB465=0),BZ465/1,IF(BZ465=0,FLOOR((CA465+CB465)/2,0.1),IF(CA465=0,(BZ465+CB465)/2,IF(CB465=0,(CA465+BZ465)/2,FLOOR(((BZ465+CA465+CB465)/3),0.1))))))))</f>
        <v/>
      </c>
      <c r="CD465" s="21" t="n"/>
      <c r="CE465" s="21" t="n"/>
      <c r="CF465" s="27">
        <f>SUM(CD465:CE465)</f>
        <v/>
      </c>
      <c r="CG465" s="28" t="n"/>
      <c r="CH465" s="31" t="n"/>
      <c r="CI465" s="29">
        <f>IF(AND(CF465=0,CG465=0,CH465=0),0,IF(AND(CF465=0,CG465=0),CH465/1,IF(AND(CF465=0,CH465=0),CG465/1,IF(AND(CG465=0,CH465=0),CF465/1,IF(CF465=0,FLOOR((CG465+CH465)/2,0.1),IF(CG465=0,(CF465+CH465)/2,IF(CH465=0,(CG465+CF465)/2,FLOOR(((CF465+CG465+CH465)/3),0.1))))))))</f>
        <v/>
      </c>
      <c r="CJ465" s="21" t="n"/>
      <c r="CK465" s="21" t="n"/>
      <c r="CL465" s="27">
        <f>SUM(CJ465:CK465)</f>
        <v/>
      </c>
      <c r="CM465" s="28" t="n"/>
      <c r="CN465" s="31" t="n"/>
      <c r="CO465" s="29">
        <f>IF(AND(CL465=0,CM465=0,CN465=0),0,IF(AND(CL465=0,CM465=0),CN465/1,IF(AND(CL465=0,CN465=0),CM465/1,IF(AND(CM465=0,CN465=0),CL465/1,IF(CL465=0,FLOOR((CM465+CN465)/2,0.1),IF(CM465=0,(CL465+CN465)/2,IF(CN465=0,(CM465+CL465)/2,FLOOR(((CL465+CM465+CN465)/3),0.1))))))))</f>
        <v/>
      </c>
      <c r="CP465" s="21" t="n"/>
      <c r="CQ465" s="21" t="n"/>
      <c r="CR465" s="27">
        <f>SUM(CP465:CQ465)</f>
        <v/>
      </c>
      <c r="CS465" s="28" t="n"/>
      <c r="CT465" s="31" t="n"/>
      <c r="CU465" s="29">
        <f>IF(AND(CR465=0,CS465=0,CT465=0),0,IF(AND(CR465=0,CS465=0),CT465/1,IF(AND(CR465=0,CT465=0),CS465/1,IF(AND(CS465=0,CT465=0),CR465/1,IF(CR465=0,FLOOR((CS465+CT465)/2,0.1),IF(CS465=0,(CR465+CT465)/2,IF(CT465=0,(CS465+CR465)/2,FLOOR(((CR465+CS465+CT465)/3),0.1))))))))</f>
        <v/>
      </c>
      <c r="CV465" s="21" t="n"/>
      <c r="CW465" s="21" t="n"/>
      <c r="CX465" s="27">
        <f>SUM(CV465:CW465)</f>
        <v/>
      </c>
      <c r="CY465" s="28" t="n"/>
      <c r="CZ465" s="31" t="n"/>
      <c r="DA465" s="29">
        <f>IF(AND(CX465=0,CY465=0,CZ465=0),0,IF(AND(CX465=0,CY465=0),CZ465/1,IF(AND(CX465=0,CZ465=0),CY465/1,IF(AND(CY465=0,CZ465=0),CX465/1,IF(CX465=0,FLOOR((CY465+CZ465)/2,0.1),IF(CY465=0,(CX465+CZ465)/2,IF(CZ465=0,(CY465+CX465)/2,FLOOR(((CX465+CY465+CZ465)/3),0.1))))))))</f>
        <v/>
      </c>
      <c r="DB465" s="21" t="n"/>
      <c r="DC465" s="21" t="n"/>
      <c r="DD465" s="27">
        <f>SUM(DB465:DC465)</f>
        <v/>
      </c>
      <c r="DE465" s="28" t="n"/>
      <c r="DF465" s="31" t="n"/>
      <c r="DG465" s="29">
        <f>IF(AND(DD465=0,DE465=0,DF465=0),0,IF(AND(DD465=0,DE465=0),DF465/1,IF(AND(DD465=0,DF465=0),DE465/1,IF(AND(DE465=0,DF465=0),DD465/1,IF(DD465=0,FLOOR((DE465+DF465)/2,0.1),IF(DE465=0,(DD465+DF465)/2,IF(DF465=0,(DE465+DD465)/2,FLOOR(((DD465+DE465+DF465)/3),0.1))))))))</f>
        <v/>
      </c>
      <c r="DH465" s="34">
        <f>SUM(O465,U465,AA465,AG465,AM465,AS465,AY465,BE465,BK465,BQ465,BW465,CC465,CI465,CO465,CU465,DA465,DG465)</f>
        <v/>
      </c>
      <c r="DI465" s="39">
        <f>RANK(DH465,DH$4:DH$503)</f>
        <v/>
      </c>
      <c r="DJ465" s="40" t="inlineStr">
        <is>
          <t>CHOOSE RATING</t>
        </is>
      </c>
      <c r="DK465" s="40" t="inlineStr">
        <is>
          <t>CHOOSE RATING</t>
        </is>
      </c>
      <c r="DL465" s="40" t="inlineStr">
        <is>
          <t>CHOOSE RATING</t>
        </is>
      </c>
      <c r="DM465" s="40" t="inlineStr">
        <is>
          <t>CHOOSE RATING</t>
        </is>
      </c>
      <c r="DN465" s="40" t="inlineStr">
        <is>
          <t>CHOOSE RATING</t>
        </is>
      </c>
      <c r="DO465" s="40" t="inlineStr">
        <is>
          <t>CHOOSE RATING</t>
        </is>
      </c>
      <c r="DP465" s="40" t="inlineStr">
        <is>
          <t>CHOOSE RATING</t>
        </is>
      </c>
      <c r="DQ465" s="40" t="inlineStr">
        <is>
          <t>CHOOSE RATING</t>
        </is>
      </c>
      <c r="DR465" s="43" t="inlineStr">
        <is>
          <t>2024/2025</t>
        </is>
      </c>
      <c r="DS465" s="45" t="inlineStr">
        <is>
          <t>THIRD</t>
        </is>
      </c>
      <c r="DT465" s="40" t="inlineStr">
        <is>
          <t>CHOOSE RATING</t>
        </is>
      </c>
      <c r="DU465" s="40" t="inlineStr">
        <is>
          <t>CHOOSE RATING</t>
        </is>
      </c>
      <c r="DV465" s="40" t="inlineStr">
        <is>
          <t>CHOOSE RATING</t>
        </is>
      </c>
      <c r="DW465" s="40" t="inlineStr">
        <is>
          <t>CHOOSE RATING</t>
        </is>
      </c>
      <c r="DX465" s="40" t="inlineStr">
        <is>
          <t>CHOOSE RATING</t>
        </is>
      </c>
      <c r="DY465" s="40" t="inlineStr">
        <is>
          <t>CHOOSE RATING</t>
        </is>
      </c>
      <c r="DZ465" s="53" t="inlineStr">
        <is>
          <t>CHOOSE RATING</t>
        </is>
      </c>
      <c r="EA465" s="54" t="inlineStr">
        <is>
          <t>Add the Tutor's Comment . . .</t>
        </is>
      </c>
      <c r="EB465" s="55" t="inlineStr">
        <is>
          <t>Choose Principals comment</t>
        </is>
      </c>
      <c r="EC465" s="56" t="n"/>
      <c r="ED465" s="57" t="inlineStr">
        <is>
          <t>Next Term Begins on Monday, 22nd September, 2025</t>
        </is>
      </c>
    </row>
    <row r="466" ht="30.6" customHeight="1" s="6">
      <c r="A466" s="18" t="n">
        <v>463</v>
      </c>
      <c r="B466" s="19" t="n"/>
      <c r="C466" s="20" t="n"/>
      <c r="D466" s="128" t="n"/>
      <c r="E466" s="21" t="n"/>
      <c r="F466" s="22" t="n"/>
      <c r="G466" s="22" t="n"/>
      <c r="H466" s="22" t="n"/>
      <c r="I466" s="26">
        <f>G466-H466</f>
        <v/>
      </c>
      <c r="J466" s="21" t="n"/>
      <c r="K466" s="21" t="n"/>
      <c r="L466" s="27">
        <f>SUM(J466:K466)</f>
        <v/>
      </c>
      <c r="M466" s="28" t="n"/>
      <c r="N466" s="28" t="n"/>
      <c r="O466" s="29">
        <f>IF(AND(L466=0,M466=0,N466=0),0,IF(AND(L466=0,M466=0),N466/1,IF(AND(L466=0,N466=0),M466/1,IF(AND(M466=0,N466=0),L466/1,IF(L466=0,FLOOR((M466+N466)/2,0.1),IF(M466=0,(L466+N466)/2,IF(N466=0,(M466+L466)/2,FLOOR(((L466+M466+N466)/3),0.1))))))))</f>
        <v/>
      </c>
      <c r="P466" s="21" t="n"/>
      <c r="Q466" s="21" t="n"/>
      <c r="R466" s="27">
        <f>SUM(P466:Q466)</f>
        <v/>
      </c>
      <c r="S466" s="28" t="n"/>
      <c r="T466" s="28" t="n"/>
      <c r="U466" s="29">
        <f>IF(AND(R466=0,S466=0,T466=0),0,IF(AND(R466=0,S466=0),T466/1,IF(AND(R466=0,T466=0),S466/1,IF(AND(S466=0,T466=0),R466/1,IF(R466=0,FLOOR((S466+T466)/2,0.1),IF(S466=0,(R466+T466)/2,IF(T466=0,(S466+R466)/2,FLOOR(((R466+S466+T466)/3),0.1))))))))</f>
        <v/>
      </c>
      <c r="V466" s="21" t="n"/>
      <c r="W466" s="21" t="n"/>
      <c r="X466" s="27">
        <f>SUM(V466:W466)</f>
        <v/>
      </c>
      <c r="Y466" s="28" t="n"/>
      <c r="Z466" s="28" t="n"/>
      <c r="AA466" s="29">
        <f>IF(AND(X466=0,Y466=0,Z466=0),0,IF(AND(X466=0,Y466=0),Z466/1,IF(AND(X466=0,Z466=0),Y466/1,IF(AND(Y466=0,Z466=0),X466/1,IF(X466=0,FLOOR((Y466+Z466)/2,0.1),IF(Y466=0,(X466+Z466)/2,IF(Z466=0,(Y466+X466)/2,FLOOR(((X466+Y466+Z466)/3),0.1))))))))</f>
        <v/>
      </c>
      <c r="AB466" s="21" t="n"/>
      <c r="AC466" s="21" t="n"/>
      <c r="AD466" s="27">
        <f>SUM(AB466:AC466)</f>
        <v/>
      </c>
      <c r="AE466" s="28" t="n"/>
      <c r="AF466" s="28" t="n"/>
      <c r="AG466" s="29">
        <f>IF(AND(AD466=0,AE466=0,AF466=0),0,IF(AND(AD466=0,AE466=0),AF466/1,IF(AND(AD466=0,AF466=0),AE466/1,IF(AND(AE466=0,AF466=0),AD466/1,IF(AD466=0,FLOOR((AE466+AF466)/2,0.1),IF(AE466=0,(AD466+AF466)/2,IF(AF466=0,(AE466+AD466)/2,FLOOR(((AD466+AE466+AF466)/3),0.1))))))))</f>
        <v/>
      </c>
      <c r="AH466" s="21" t="n"/>
      <c r="AI466" s="21" t="n"/>
      <c r="AJ466" s="27">
        <f>SUM(AH466:AI466)</f>
        <v/>
      </c>
      <c r="AK466" s="28" t="n"/>
      <c r="AL466" s="28" t="n"/>
      <c r="AM466" s="29">
        <f>IF(AND(AJ466=0,AK466=0,AL466=0),0,IF(AND(AJ466=0,AK466=0),AL466/1,IF(AND(AJ466=0,AL466=0),AK466/1,IF(AND(AK466=0,AL466=0),AJ466/1,IF(AJ466=0,FLOOR((AK466+AL466)/2,0.1),IF(AK466=0,(AJ466+AL466)/2,IF(AL466=0,(AK466+AJ466)/2,FLOOR(((AJ466+AK466+AL466)/3),0.1))))))))</f>
        <v/>
      </c>
      <c r="AN466" s="21" t="n"/>
      <c r="AO466" s="21" t="n"/>
      <c r="AP466" s="27">
        <f>SUM(AN466:AO466)</f>
        <v/>
      </c>
      <c r="AQ466" s="28" t="n"/>
      <c r="AR466" s="30" t="n"/>
      <c r="AS466" s="29">
        <f>IF(AND(AP466=0,AQ466=0,AR466=0),0,IF(AND(AP466=0,AQ466=0),AR466/1,IF(AND(AP466=0,AR466=0),AQ466/1,IF(AND(AQ466=0,AR466=0),AP466/1,IF(AP466=0,FLOOR((AQ466+AR466)/2,0.1),IF(AQ466=0,(AP466+AR466)/2,IF(AR466=0,(AQ466+AP466)/2,FLOOR(((AP466+AQ466+AR466)/3),0.1))))))))</f>
        <v/>
      </c>
      <c r="AT466" s="21" t="n"/>
      <c r="AU466" s="21" t="n"/>
      <c r="AV466" s="27">
        <f>SUM(AT466:AU466)</f>
        <v/>
      </c>
      <c r="AW466" s="28" t="n"/>
      <c r="AX466" s="30" t="n"/>
      <c r="AY466" s="29">
        <f>IF(AND(AV466=0,AW466=0,AX466=0),0,IF(AND(AV466=0,AW466=0),AX466/1,IF(AND(AV466=0,AX466=0),AW466/1,IF(AND(AW466=0,AX466=0),AV466/1,IF(AV466=0,FLOOR((AW466+AX466)/2,0.1),IF(AW466=0,(AV466+AX466)/2,IF(AX466=0,(AW466+AV466)/2,FLOOR(((AV466+AW466+AX466)/3),0.1))))))))</f>
        <v/>
      </c>
      <c r="AZ466" s="21" t="n"/>
      <c r="BA466" s="21" t="n"/>
      <c r="BB466" s="27">
        <f>SUM(AZ466:BA466)</f>
        <v/>
      </c>
      <c r="BC466" s="28" t="n"/>
      <c r="BD466" s="28" t="n"/>
      <c r="BE466" s="29">
        <f>IF(AND(BB466=0,BC466=0,BD466=0),0,IF(AND(BB466=0,BC466=0),BD466/1,IF(AND(BB466=0,BD466=0),BC466/1,IF(AND(BC466=0,BD466=0),BB466/1,IF(BB466=0,FLOOR((BC466+BD466)/2,0.1),IF(BC466=0,(BB466+BD466)/2,IF(BD466=0,(BC466+BB466)/2,FLOOR(((BB466+BC466+BD466)/3),0.1))))))))</f>
        <v/>
      </c>
      <c r="BF466" s="21" t="n"/>
      <c r="BG466" s="21" t="n"/>
      <c r="BH466" s="27">
        <f>SUM(BF466:BG466)</f>
        <v/>
      </c>
      <c r="BI466" s="28" t="n"/>
      <c r="BJ466" s="28" t="n"/>
      <c r="BK466" s="29">
        <f>IF(AND(BH466=0,BI466=0,BJ466=0),0,IF(AND(BH466=0,BI466=0),BJ466/1,IF(AND(BH466=0,BJ466=0),BI466/1,IF(AND(BI466=0,BJ466=0),BH466/1,IF(BH466=0,FLOOR((BI466+BJ466)/2,0.1),IF(BI466=0,(BH466+BJ466)/2,IF(BJ466=0,(BI466+BH466)/2,FLOOR(((BH466+BI466+BJ466)/3),0.1))))))))</f>
        <v/>
      </c>
      <c r="BL466" s="21" t="n"/>
      <c r="BM466" s="21" t="n"/>
      <c r="BN466" s="27">
        <f>SUM(BL466:BM466)</f>
        <v/>
      </c>
      <c r="BO466" s="28" t="n"/>
      <c r="BP466" s="31" t="n"/>
      <c r="BQ466" s="29">
        <f>IF(AND(BN466=0,BO466=0,BP466=0),0,IF(AND(BN466=0,BO466=0),BP466/1,IF(AND(BN466=0,BP466=0),BO466/1,IF(AND(BO466=0,BP466=0),BN466/1,IF(BN466=0,FLOOR((BO466+BP466)/2,0.1),IF(BO466=0,(BN466+BP466)/2,IF(BP466=0,(BO466+BN466)/2,FLOOR(((BN466+BO466+BP466)/3),0.1))))))))</f>
        <v/>
      </c>
      <c r="BR466" s="21" t="n"/>
      <c r="BS466" s="21" t="n"/>
      <c r="BT466" s="27">
        <f>SUM(BR466:BS466)</f>
        <v/>
      </c>
      <c r="BU466" s="28" t="n"/>
      <c r="BV466" s="31" t="n"/>
      <c r="BW466" s="29">
        <f>IF(AND(BT466=0,BU466=0,BV466=0),0,IF(AND(BT466=0,BU466=0),BV466/1,IF(AND(BT466=0,BV466=0),BU466/1,IF(AND(BU466=0,BV466=0),BT466/1,IF(BT466=0,FLOOR((BU466+BV466)/2,0.1),IF(BU466=0,(BT466+BV466)/2,IF(BV466=0,(BU466+BT466)/2,FLOOR(((BT466+BU466+BV466)/3),0.1))))))))</f>
        <v/>
      </c>
      <c r="BX466" s="21" t="n"/>
      <c r="BY466" s="21" t="n"/>
      <c r="BZ466" s="27">
        <f>SUM(BX466:BY466)</f>
        <v/>
      </c>
      <c r="CA466" s="28" t="n"/>
      <c r="CB466" s="31" t="n"/>
      <c r="CC466" s="29">
        <f>IF(AND(BZ466=0,CA466=0,CB466=0),0,IF(AND(BZ466=0,CA466=0),CB466/1,IF(AND(BZ466=0,CB466=0),CA466/1,IF(AND(CA466=0,CB466=0),BZ466/1,IF(BZ466=0,FLOOR((CA466+CB466)/2,0.1),IF(CA466=0,(BZ466+CB466)/2,IF(CB466=0,(CA466+BZ466)/2,FLOOR(((BZ466+CA466+CB466)/3),0.1))))))))</f>
        <v/>
      </c>
      <c r="CD466" s="21" t="n"/>
      <c r="CE466" s="21" t="n"/>
      <c r="CF466" s="27">
        <f>SUM(CD466:CE466)</f>
        <v/>
      </c>
      <c r="CG466" s="28" t="n"/>
      <c r="CH466" s="31" t="n"/>
      <c r="CI466" s="29">
        <f>IF(AND(CF466=0,CG466=0,CH466=0),0,IF(AND(CF466=0,CG466=0),CH466/1,IF(AND(CF466=0,CH466=0),CG466/1,IF(AND(CG466=0,CH466=0),CF466/1,IF(CF466=0,FLOOR((CG466+CH466)/2,0.1),IF(CG466=0,(CF466+CH466)/2,IF(CH466=0,(CG466+CF466)/2,FLOOR(((CF466+CG466+CH466)/3),0.1))))))))</f>
        <v/>
      </c>
      <c r="CJ466" s="21" t="n"/>
      <c r="CK466" s="21" t="n"/>
      <c r="CL466" s="27">
        <f>SUM(CJ466:CK466)</f>
        <v/>
      </c>
      <c r="CM466" s="28" t="n"/>
      <c r="CN466" s="31" t="n"/>
      <c r="CO466" s="29">
        <f>IF(AND(CL466=0,CM466=0,CN466=0),0,IF(AND(CL466=0,CM466=0),CN466/1,IF(AND(CL466=0,CN466=0),CM466/1,IF(AND(CM466=0,CN466=0),CL466/1,IF(CL466=0,FLOOR((CM466+CN466)/2,0.1),IF(CM466=0,(CL466+CN466)/2,IF(CN466=0,(CM466+CL466)/2,FLOOR(((CL466+CM466+CN466)/3),0.1))))))))</f>
        <v/>
      </c>
      <c r="CP466" s="21" t="n"/>
      <c r="CQ466" s="21" t="n"/>
      <c r="CR466" s="27">
        <f>SUM(CP466:CQ466)</f>
        <v/>
      </c>
      <c r="CS466" s="28" t="n"/>
      <c r="CT466" s="31" t="n"/>
      <c r="CU466" s="29">
        <f>IF(AND(CR466=0,CS466=0,CT466=0),0,IF(AND(CR466=0,CS466=0),CT466/1,IF(AND(CR466=0,CT466=0),CS466/1,IF(AND(CS466=0,CT466=0),CR466/1,IF(CR466=0,FLOOR((CS466+CT466)/2,0.1),IF(CS466=0,(CR466+CT466)/2,IF(CT466=0,(CS466+CR466)/2,FLOOR(((CR466+CS466+CT466)/3),0.1))))))))</f>
        <v/>
      </c>
      <c r="CV466" s="21" t="n"/>
      <c r="CW466" s="21" t="n"/>
      <c r="CX466" s="27">
        <f>SUM(CV466:CW466)</f>
        <v/>
      </c>
      <c r="CY466" s="28" t="n"/>
      <c r="CZ466" s="31" t="n"/>
      <c r="DA466" s="29">
        <f>IF(AND(CX466=0,CY466=0,CZ466=0),0,IF(AND(CX466=0,CY466=0),CZ466/1,IF(AND(CX466=0,CZ466=0),CY466/1,IF(AND(CY466=0,CZ466=0),CX466/1,IF(CX466=0,FLOOR((CY466+CZ466)/2,0.1),IF(CY466=0,(CX466+CZ466)/2,IF(CZ466=0,(CY466+CX466)/2,FLOOR(((CX466+CY466+CZ466)/3),0.1))))))))</f>
        <v/>
      </c>
      <c r="DB466" s="21" t="n"/>
      <c r="DC466" s="21" t="n"/>
      <c r="DD466" s="27">
        <f>SUM(DB466:DC466)</f>
        <v/>
      </c>
      <c r="DE466" s="28" t="n"/>
      <c r="DF466" s="31" t="n"/>
      <c r="DG466" s="29">
        <f>IF(AND(DD466=0,DE466=0,DF466=0),0,IF(AND(DD466=0,DE466=0),DF466/1,IF(AND(DD466=0,DF466=0),DE466/1,IF(AND(DE466=0,DF466=0),DD466/1,IF(DD466=0,FLOOR((DE466+DF466)/2,0.1),IF(DE466=0,(DD466+DF466)/2,IF(DF466=0,(DE466+DD466)/2,FLOOR(((DD466+DE466+DF466)/3),0.1))))))))</f>
        <v/>
      </c>
      <c r="DH466" s="34">
        <f>SUM(O466,U466,AA466,AG466,AM466,AS466,AY466,BE466,BK466,BQ466,BW466,CC466,CI466,CO466,CU466,DA466,DG466)</f>
        <v/>
      </c>
      <c r="DI466" s="39">
        <f>RANK(DH466,DH$4:DH$503)</f>
        <v/>
      </c>
      <c r="DJ466" s="40" t="inlineStr">
        <is>
          <t>CHOOSE RATING</t>
        </is>
      </c>
      <c r="DK466" s="40" t="inlineStr">
        <is>
          <t>CHOOSE RATING</t>
        </is>
      </c>
      <c r="DL466" s="40" t="inlineStr">
        <is>
          <t>CHOOSE RATING</t>
        </is>
      </c>
      <c r="DM466" s="40" t="inlineStr">
        <is>
          <t>CHOOSE RATING</t>
        </is>
      </c>
      <c r="DN466" s="40" t="inlineStr">
        <is>
          <t>CHOOSE RATING</t>
        </is>
      </c>
      <c r="DO466" s="40" t="inlineStr">
        <is>
          <t>CHOOSE RATING</t>
        </is>
      </c>
      <c r="DP466" s="40" t="inlineStr">
        <is>
          <t>CHOOSE RATING</t>
        </is>
      </c>
      <c r="DQ466" s="40" t="inlineStr">
        <is>
          <t>CHOOSE RATING</t>
        </is>
      </c>
      <c r="DR466" s="43" t="inlineStr">
        <is>
          <t>2024/2025</t>
        </is>
      </c>
      <c r="DS466" s="45" t="inlineStr">
        <is>
          <t>THIRD</t>
        </is>
      </c>
      <c r="DT466" s="40" t="inlineStr">
        <is>
          <t>CHOOSE RATING</t>
        </is>
      </c>
      <c r="DU466" s="40" t="inlineStr">
        <is>
          <t>CHOOSE RATING</t>
        </is>
      </c>
      <c r="DV466" s="40" t="inlineStr">
        <is>
          <t>CHOOSE RATING</t>
        </is>
      </c>
      <c r="DW466" s="40" t="inlineStr">
        <is>
          <t>CHOOSE RATING</t>
        </is>
      </c>
      <c r="DX466" s="40" t="inlineStr">
        <is>
          <t>CHOOSE RATING</t>
        </is>
      </c>
      <c r="DY466" s="40" t="inlineStr">
        <is>
          <t>CHOOSE RATING</t>
        </is>
      </c>
      <c r="DZ466" s="53" t="inlineStr">
        <is>
          <t>CHOOSE RATING</t>
        </is>
      </c>
      <c r="EA466" s="54" t="inlineStr">
        <is>
          <t>Add the Tutor's Comment . . .</t>
        </is>
      </c>
      <c r="EB466" s="55" t="inlineStr">
        <is>
          <t>Choose Principals comment</t>
        </is>
      </c>
      <c r="EC466" s="56" t="n"/>
      <c r="ED466" s="57" t="inlineStr">
        <is>
          <t>Next Term Begins on Monday, 22nd September, 2025</t>
        </is>
      </c>
    </row>
    <row r="467" ht="30.6" customHeight="1" s="6">
      <c r="A467" s="18" t="n">
        <v>464</v>
      </c>
      <c r="B467" s="19" t="n"/>
      <c r="C467" s="20" t="n"/>
      <c r="D467" s="128" t="n"/>
      <c r="E467" s="21" t="n"/>
      <c r="F467" s="22" t="n"/>
      <c r="G467" s="22" t="n"/>
      <c r="H467" s="22" t="n"/>
      <c r="I467" s="26">
        <f>G467-H467</f>
        <v/>
      </c>
      <c r="J467" s="21" t="n"/>
      <c r="K467" s="21" t="n"/>
      <c r="L467" s="27">
        <f>SUM(J467:K467)</f>
        <v/>
      </c>
      <c r="M467" s="28" t="n"/>
      <c r="N467" s="28" t="n"/>
      <c r="O467" s="29">
        <f>IF(AND(L467=0,M467=0,N467=0),0,IF(AND(L467=0,M467=0),N467/1,IF(AND(L467=0,N467=0),M467/1,IF(AND(M467=0,N467=0),L467/1,IF(L467=0,FLOOR((M467+N467)/2,0.1),IF(M467=0,(L467+N467)/2,IF(N467=0,(M467+L467)/2,FLOOR(((L467+M467+N467)/3),0.1))))))))</f>
        <v/>
      </c>
      <c r="P467" s="21" t="n"/>
      <c r="Q467" s="21" t="n"/>
      <c r="R467" s="27">
        <f>SUM(P467:Q467)</f>
        <v/>
      </c>
      <c r="S467" s="28" t="n"/>
      <c r="T467" s="28" t="n"/>
      <c r="U467" s="29">
        <f>IF(AND(R467=0,S467=0,T467=0),0,IF(AND(R467=0,S467=0),T467/1,IF(AND(R467=0,T467=0),S467/1,IF(AND(S467=0,T467=0),R467/1,IF(R467=0,FLOOR((S467+T467)/2,0.1),IF(S467=0,(R467+T467)/2,IF(T467=0,(S467+R467)/2,FLOOR(((R467+S467+T467)/3),0.1))))))))</f>
        <v/>
      </c>
      <c r="V467" s="21" t="n"/>
      <c r="W467" s="21" t="n"/>
      <c r="X467" s="27">
        <f>SUM(V467:W467)</f>
        <v/>
      </c>
      <c r="Y467" s="28" t="n"/>
      <c r="Z467" s="28" t="n"/>
      <c r="AA467" s="29">
        <f>IF(AND(X467=0,Y467=0,Z467=0),0,IF(AND(X467=0,Y467=0),Z467/1,IF(AND(X467=0,Z467=0),Y467/1,IF(AND(Y467=0,Z467=0),X467/1,IF(X467=0,FLOOR((Y467+Z467)/2,0.1),IF(Y467=0,(X467+Z467)/2,IF(Z467=0,(Y467+X467)/2,FLOOR(((X467+Y467+Z467)/3),0.1))))))))</f>
        <v/>
      </c>
      <c r="AB467" s="21" t="n"/>
      <c r="AC467" s="21" t="n"/>
      <c r="AD467" s="27">
        <f>SUM(AB467:AC467)</f>
        <v/>
      </c>
      <c r="AE467" s="28" t="n"/>
      <c r="AF467" s="28" t="n"/>
      <c r="AG467" s="29">
        <f>IF(AND(AD467=0,AE467=0,AF467=0),0,IF(AND(AD467=0,AE467=0),AF467/1,IF(AND(AD467=0,AF467=0),AE467/1,IF(AND(AE467=0,AF467=0),AD467/1,IF(AD467=0,FLOOR((AE467+AF467)/2,0.1),IF(AE467=0,(AD467+AF467)/2,IF(AF467=0,(AE467+AD467)/2,FLOOR(((AD467+AE467+AF467)/3),0.1))))))))</f>
        <v/>
      </c>
      <c r="AH467" s="21" t="n"/>
      <c r="AI467" s="21" t="n"/>
      <c r="AJ467" s="27">
        <f>SUM(AH467:AI467)</f>
        <v/>
      </c>
      <c r="AK467" s="28" t="n"/>
      <c r="AL467" s="28" t="n"/>
      <c r="AM467" s="29">
        <f>IF(AND(AJ467=0,AK467=0,AL467=0),0,IF(AND(AJ467=0,AK467=0),AL467/1,IF(AND(AJ467=0,AL467=0),AK467/1,IF(AND(AK467=0,AL467=0),AJ467/1,IF(AJ467=0,FLOOR((AK467+AL467)/2,0.1),IF(AK467=0,(AJ467+AL467)/2,IF(AL467=0,(AK467+AJ467)/2,FLOOR(((AJ467+AK467+AL467)/3),0.1))))))))</f>
        <v/>
      </c>
      <c r="AN467" s="21" t="n"/>
      <c r="AO467" s="21" t="n"/>
      <c r="AP467" s="27">
        <f>SUM(AN467:AO467)</f>
        <v/>
      </c>
      <c r="AQ467" s="28" t="n"/>
      <c r="AR467" s="30" t="n"/>
      <c r="AS467" s="29">
        <f>IF(AND(AP467=0,AQ467=0,AR467=0),0,IF(AND(AP467=0,AQ467=0),AR467/1,IF(AND(AP467=0,AR467=0),AQ467/1,IF(AND(AQ467=0,AR467=0),AP467/1,IF(AP467=0,FLOOR((AQ467+AR467)/2,0.1),IF(AQ467=0,(AP467+AR467)/2,IF(AR467=0,(AQ467+AP467)/2,FLOOR(((AP467+AQ467+AR467)/3),0.1))))))))</f>
        <v/>
      </c>
      <c r="AT467" s="21" t="n"/>
      <c r="AU467" s="21" t="n"/>
      <c r="AV467" s="27">
        <f>SUM(AT467:AU467)</f>
        <v/>
      </c>
      <c r="AW467" s="28" t="n"/>
      <c r="AX467" s="30" t="n"/>
      <c r="AY467" s="29">
        <f>IF(AND(AV467=0,AW467=0,AX467=0),0,IF(AND(AV467=0,AW467=0),AX467/1,IF(AND(AV467=0,AX467=0),AW467/1,IF(AND(AW467=0,AX467=0),AV467/1,IF(AV467=0,FLOOR((AW467+AX467)/2,0.1),IF(AW467=0,(AV467+AX467)/2,IF(AX467=0,(AW467+AV467)/2,FLOOR(((AV467+AW467+AX467)/3),0.1))))))))</f>
        <v/>
      </c>
      <c r="AZ467" s="21" t="n"/>
      <c r="BA467" s="21" t="n"/>
      <c r="BB467" s="27">
        <f>SUM(AZ467:BA467)</f>
        <v/>
      </c>
      <c r="BC467" s="28" t="n"/>
      <c r="BD467" s="28" t="n"/>
      <c r="BE467" s="29">
        <f>IF(AND(BB467=0,BC467=0,BD467=0),0,IF(AND(BB467=0,BC467=0),BD467/1,IF(AND(BB467=0,BD467=0),BC467/1,IF(AND(BC467=0,BD467=0),BB467/1,IF(BB467=0,FLOOR((BC467+BD467)/2,0.1),IF(BC467=0,(BB467+BD467)/2,IF(BD467=0,(BC467+BB467)/2,FLOOR(((BB467+BC467+BD467)/3),0.1))))))))</f>
        <v/>
      </c>
      <c r="BF467" s="21" t="n"/>
      <c r="BG467" s="21" t="n"/>
      <c r="BH467" s="27">
        <f>SUM(BF467:BG467)</f>
        <v/>
      </c>
      <c r="BI467" s="28" t="n"/>
      <c r="BJ467" s="28" t="n"/>
      <c r="BK467" s="29">
        <f>IF(AND(BH467=0,BI467=0,BJ467=0),0,IF(AND(BH467=0,BI467=0),BJ467/1,IF(AND(BH467=0,BJ467=0),BI467/1,IF(AND(BI467=0,BJ467=0),BH467/1,IF(BH467=0,FLOOR((BI467+BJ467)/2,0.1),IF(BI467=0,(BH467+BJ467)/2,IF(BJ467=0,(BI467+BH467)/2,FLOOR(((BH467+BI467+BJ467)/3),0.1))))))))</f>
        <v/>
      </c>
      <c r="BL467" s="21" t="n"/>
      <c r="BM467" s="21" t="n"/>
      <c r="BN467" s="27">
        <f>SUM(BL467:BM467)</f>
        <v/>
      </c>
      <c r="BO467" s="28" t="n"/>
      <c r="BP467" s="31" t="n"/>
      <c r="BQ467" s="29">
        <f>IF(AND(BN467=0,BO467=0,BP467=0),0,IF(AND(BN467=0,BO467=0),BP467/1,IF(AND(BN467=0,BP467=0),BO467/1,IF(AND(BO467=0,BP467=0),BN467/1,IF(BN467=0,FLOOR((BO467+BP467)/2,0.1),IF(BO467=0,(BN467+BP467)/2,IF(BP467=0,(BO467+BN467)/2,FLOOR(((BN467+BO467+BP467)/3),0.1))))))))</f>
        <v/>
      </c>
      <c r="BR467" s="21" t="n"/>
      <c r="BS467" s="21" t="n"/>
      <c r="BT467" s="27">
        <f>SUM(BR467:BS467)</f>
        <v/>
      </c>
      <c r="BU467" s="28" t="n"/>
      <c r="BV467" s="31" t="n"/>
      <c r="BW467" s="29">
        <f>IF(AND(BT467=0,BU467=0,BV467=0),0,IF(AND(BT467=0,BU467=0),BV467/1,IF(AND(BT467=0,BV467=0),BU467/1,IF(AND(BU467=0,BV467=0),BT467/1,IF(BT467=0,FLOOR((BU467+BV467)/2,0.1),IF(BU467=0,(BT467+BV467)/2,IF(BV467=0,(BU467+BT467)/2,FLOOR(((BT467+BU467+BV467)/3),0.1))))))))</f>
        <v/>
      </c>
      <c r="BX467" s="21" t="n"/>
      <c r="BY467" s="21" t="n"/>
      <c r="BZ467" s="27">
        <f>SUM(BX467:BY467)</f>
        <v/>
      </c>
      <c r="CA467" s="28" t="n"/>
      <c r="CB467" s="31" t="n"/>
      <c r="CC467" s="29">
        <f>IF(AND(BZ467=0,CA467=0,CB467=0),0,IF(AND(BZ467=0,CA467=0),CB467/1,IF(AND(BZ467=0,CB467=0),CA467/1,IF(AND(CA467=0,CB467=0),BZ467/1,IF(BZ467=0,FLOOR((CA467+CB467)/2,0.1),IF(CA467=0,(BZ467+CB467)/2,IF(CB467=0,(CA467+BZ467)/2,FLOOR(((BZ467+CA467+CB467)/3),0.1))))))))</f>
        <v/>
      </c>
      <c r="CD467" s="21" t="n"/>
      <c r="CE467" s="21" t="n"/>
      <c r="CF467" s="27">
        <f>SUM(CD467:CE467)</f>
        <v/>
      </c>
      <c r="CG467" s="28" t="n"/>
      <c r="CH467" s="31" t="n"/>
      <c r="CI467" s="29">
        <f>IF(AND(CF467=0,CG467=0,CH467=0),0,IF(AND(CF467=0,CG467=0),CH467/1,IF(AND(CF467=0,CH467=0),CG467/1,IF(AND(CG467=0,CH467=0),CF467/1,IF(CF467=0,FLOOR((CG467+CH467)/2,0.1),IF(CG467=0,(CF467+CH467)/2,IF(CH467=0,(CG467+CF467)/2,FLOOR(((CF467+CG467+CH467)/3),0.1))))))))</f>
        <v/>
      </c>
      <c r="CJ467" s="21" t="n"/>
      <c r="CK467" s="21" t="n"/>
      <c r="CL467" s="27">
        <f>SUM(CJ467:CK467)</f>
        <v/>
      </c>
      <c r="CM467" s="28" t="n"/>
      <c r="CN467" s="31" t="n"/>
      <c r="CO467" s="29">
        <f>IF(AND(CL467=0,CM467=0,CN467=0),0,IF(AND(CL467=0,CM467=0),CN467/1,IF(AND(CL467=0,CN467=0),CM467/1,IF(AND(CM467=0,CN467=0),CL467/1,IF(CL467=0,FLOOR((CM467+CN467)/2,0.1),IF(CM467=0,(CL467+CN467)/2,IF(CN467=0,(CM467+CL467)/2,FLOOR(((CL467+CM467+CN467)/3),0.1))))))))</f>
        <v/>
      </c>
      <c r="CP467" s="21" t="n"/>
      <c r="CQ467" s="21" t="n"/>
      <c r="CR467" s="27">
        <f>SUM(CP467:CQ467)</f>
        <v/>
      </c>
      <c r="CS467" s="28" t="n"/>
      <c r="CT467" s="31" t="n"/>
      <c r="CU467" s="29">
        <f>IF(AND(CR467=0,CS467=0,CT467=0),0,IF(AND(CR467=0,CS467=0),CT467/1,IF(AND(CR467=0,CT467=0),CS467/1,IF(AND(CS467=0,CT467=0),CR467/1,IF(CR467=0,FLOOR((CS467+CT467)/2,0.1),IF(CS467=0,(CR467+CT467)/2,IF(CT467=0,(CS467+CR467)/2,FLOOR(((CR467+CS467+CT467)/3),0.1))))))))</f>
        <v/>
      </c>
      <c r="CV467" s="21" t="n"/>
      <c r="CW467" s="21" t="n"/>
      <c r="CX467" s="27">
        <f>SUM(CV467:CW467)</f>
        <v/>
      </c>
      <c r="CY467" s="28" t="n"/>
      <c r="CZ467" s="31" t="n"/>
      <c r="DA467" s="29">
        <f>IF(AND(CX467=0,CY467=0,CZ467=0),0,IF(AND(CX467=0,CY467=0),CZ467/1,IF(AND(CX467=0,CZ467=0),CY467/1,IF(AND(CY467=0,CZ467=0),CX467/1,IF(CX467=0,FLOOR((CY467+CZ467)/2,0.1),IF(CY467=0,(CX467+CZ467)/2,IF(CZ467=0,(CY467+CX467)/2,FLOOR(((CX467+CY467+CZ467)/3),0.1))))))))</f>
        <v/>
      </c>
      <c r="DB467" s="21" t="n"/>
      <c r="DC467" s="21" t="n"/>
      <c r="DD467" s="27">
        <f>SUM(DB467:DC467)</f>
        <v/>
      </c>
      <c r="DE467" s="28" t="n"/>
      <c r="DF467" s="31" t="n"/>
      <c r="DG467" s="29">
        <f>IF(AND(DD467=0,DE467=0,DF467=0),0,IF(AND(DD467=0,DE467=0),DF467/1,IF(AND(DD467=0,DF467=0),DE467/1,IF(AND(DE467=0,DF467=0),DD467/1,IF(DD467=0,FLOOR((DE467+DF467)/2,0.1),IF(DE467=0,(DD467+DF467)/2,IF(DF467=0,(DE467+DD467)/2,FLOOR(((DD467+DE467+DF467)/3),0.1))))))))</f>
        <v/>
      </c>
      <c r="DH467" s="34">
        <f>SUM(O467,U467,AA467,AG467,AM467,AS467,AY467,BE467,BK467,BQ467,BW467,CC467,CI467,CO467,CU467,DA467,DG467)</f>
        <v/>
      </c>
      <c r="DI467" s="39">
        <f>RANK(DH467,DH$4:DH$503)</f>
        <v/>
      </c>
      <c r="DJ467" s="40" t="inlineStr">
        <is>
          <t>CHOOSE RATING</t>
        </is>
      </c>
      <c r="DK467" s="40" t="inlineStr">
        <is>
          <t>CHOOSE RATING</t>
        </is>
      </c>
      <c r="DL467" s="40" t="inlineStr">
        <is>
          <t>CHOOSE RATING</t>
        </is>
      </c>
      <c r="DM467" s="40" t="inlineStr">
        <is>
          <t>CHOOSE RATING</t>
        </is>
      </c>
      <c r="DN467" s="40" t="inlineStr">
        <is>
          <t>CHOOSE RATING</t>
        </is>
      </c>
      <c r="DO467" s="40" t="inlineStr">
        <is>
          <t>CHOOSE RATING</t>
        </is>
      </c>
      <c r="DP467" s="40" t="inlineStr">
        <is>
          <t>CHOOSE RATING</t>
        </is>
      </c>
      <c r="DQ467" s="40" t="inlineStr">
        <is>
          <t>CHOOSE RATING</t>
        </is>
      </c>
      <c r="DR467" s="43" t="inlineStr">
        <is>
          <t>2024/2025</t>
        </is>
      </c>
      <c r="DS467" s="45" t="inlineStr">
        <is>
          <t>THIRD</t>
        </is>
      </c>
      <c r="DT467" s="40" t="inlineStr">
        <is>
          <t>CHOOSE RATING</t>
        </is>
      </c>
      <c r="DU467" s="40" t="inlineStr">
        <is>
          <t>CHOOSE RATING</t>
        </is>
      </c>
      <c r="DV467" s="40" t="inlineStr">
        <is>
          <t>CHOOSE RATING</t>
        </is>
      </c>
      <c r="DW467" s="40" t="inlineStr">
        <is>
          <t>CHOOSE RATING</t>
        </is>
      </c>
      <c r="DX467" s="40" t="inlineStr">
        <is>
          <t>CHOOSE RATING</t>
        </is>
      </c>
      <c r="DY467" s="40" t="inlineStr">
        <is>
          <t>CHOOSE RATING</t>
        </is>
      </c>
      <c r="DZ467" s="53" t="inlineStr">
        <is>
          <t>CHOOSE RATING</t>
        </is>
      </c>
      <c r="EA467" s="54" t="inlineStr">
        <is>
          <t>Add the Tutor's Comment . . .</t>
        </is>
      </c>
      <c r="EB467" s="55" t="inlineStr">
        <is>
          <t>Choose Principals comment</t>
        </is>
      </c>
      <c r="EC467" s="56" t="n"/>
      <c r="ED467" s="57" t="inlineStr">
        <is>
          <t>Next Term Begins on Monday, 22nd September, 2025</t>
        </is>
      </c>
    </row>
    <row r="468" ht="30.6" customHeight="1" s="6">
      <c r="A468" s="18" t="n">
        <v>465</v>
      </c>
      <c r="B468" s="19" t="n"/>
      <c r="C468" s="20" t="n"/>
      <c r="D468" s="128" t="n"/>
      <c r="E468" s="21" t="n"/>
      <c r="F468" s="22" t="n"/>
      <c r="G468" s="22" t="n"/>
      <c r="H468" s="22" t="n"/>
      <c r="I468" s="26">
        <f>G468-H468</f>
        <v/>
      </c>
      <c r="J468" s="21" t="n"/>
      <c r="K468" s="21" t="n"/>
      <c r="L468" s="27">
        <f>SUM(J468:K468)</f>
        <v/>
      </c>
      <c r="M468" s="28" t="n"/>
      <c r="N468" s="28" t="n"/>
      <c r="O468" s="29">
        <f>IF(AND(L468=0,M468=0,N468=0),0,IF(AND(L468=0,M468=0),N468/1,IF(AND(L468=0,N468=0),M468/1,IF(AND(M468=0,N468=0),L468/1,IF(L468=0,FLOOR((M468+N468)/2,0.1),IF(M468=0,(L468+N468)/2,IF(N468=0,(M468+L468)/2,FLOOR(((L468+M468+N468)/3),0.1))))))))</f>
        <v/>
      </c>
      <c r="P468" s="21" t="n"/>
      <c r="Q468" s="21" t="n"/>
      <c r="R468" s="27">
        <f>SUM(P468:Q468)</f>
        <v/>
      </c>
      <c r="S468" s="28" t="n"/>
      <c r="T468" s="28" t="n"/>
      <c r="U468" s="29">
        <f>IF(AND(R468=0,S468=0,T468=0),0,IF(AND(R468=0,S468=0),T468/1,IF(AND(R468=0,T468=0),S468/1,IF(AND(S468=0,T468=0),R468/1,IF(R468=0,FLOOR((S468+T468)/2,0.1),IF(S468=0,(R468+T468)/2,IF(T468=0,(S468+R468)/2,FLOOR(((R468+S468+T468)/3),0.1))))))))</f>
        <v/>
      </c>
      <c r="V468" s="21" t="n"/>
      <c r="W468" s="21" t="n"/>
      <c r="X468" s="27">
        <f>SUM(V468:W468)</f>
        <v/>
      </c>
      <c r="Y468" s="28" t="n"/>
      <c r="Z468" s="28" t="n"/>
      <c r="AA468" s="29">
        <f>IF(AND(X468=0,Y468=0,Z468=0),0,IF(AND(X468=0,Y468=0),Z468/1,IF(AND(X468=0,Z468=0),Y468/1,IF(AND(Y468=0,Z468=0),X468/1,IF(X468=0,FLOOR((Y468+Z468)/2,0.1),IF(Y468=0,(X468+Z468)/2,IF(Z468=0,(Y468+X468)/2,FLOOR(((X468+Y468+Z468)/3),0.1))))))))</f>
        <v/>
      </c>
      <c r="AB468" s="21" t="n"/>
      <c r="AC468" s="21" t="n"/>
      <c r="AD468" s="27">
        <f>SUM(AB468:AC468)</f>
        <v/>
      </c>
      <c r="AE468" s="28" t="n"/>
      <c r="AF468" s="28" t="n"/>
      <c r="AG468" s="29">
        <f>IF(AND(AD468=0,AE468=0,AF468=0),0,IF(AND(AD468=0,AE468=0),AF468/1,IF(AND(AD468=0,AF468=0),AE468/1,IF(AND(AE468=0,AF468=0),AD468/1,IF(AD468=0,FLOOR((AE468+AF468)/2,0.1),IF(AE468=0,(AD468+AF468)/2,IF(AF468=0,(AE468+AD468)/2,FLOOR(((AD468+AE468+AF468)/3),0.1))))))))</f>
        <v/>
      </c>
      <c r="AH468" s="21" t="n"/>
      <c r="AI468" s="21" t="n"/>
      <c r="AJ468" s="27">
        <f>SUM(AH468:AI468)</f>
        <v/>
      </c>
      <c r="AK468" s="28" t="n"/>
      <c r="AL468" s="28" t="n"/>
      <c r="AM468" s="29">
        <f>IF(AND(AJ468=0,AK468=0,AL468=0),0,IF(AND(AJ468=0,AK468=0),AL468/1,IF(AND(AJ468=0,AL468=0),AK468/1,IF(AND(AK468=0,AL468=0),AJ468/1,IF(AJ468=0,FLOOR((AK468+AL468)/2,0.1),IF(AK468=0,(AJ468+AL468)/2,IF(AL468=0,(AK468+AJ468)/2,FLOOR(((AJ468+AK468+AL468)/3),0.1))))))))</f>
        <v/>
      </c>
      <c r="AN468" s="21" t="n"/>
      <c r="AO468" s="21" t="n"/>
      <c r="AP468" s="27">
        <f>SUM(AN468:AO468)</f>
        <v/>
      </c>
      <c r="AQ468" s="28" t="n"/>
      <c r="AR468" s="30" t="n"/>
      <c r="AS468" s="29">
        <f>IF(AND(AP468=0,AQ468=0,AR468=0),0,IF(AND(AP468=0,AQ468=0),AR468/1,IF(AND(AP468=0,AR468=0),AQ468/1,IF(AND(AQ468=0,AR468=0),AP468/1,IF(AP468=0,FLOOR((AQ468+AR468)/2,0.1),IF(AQ468=0,(AP468+AR468)/2,IF(AR468=0,(AQ468+AP468)/2,FLOOR(((AP468+AQ468+AR468)/3),0.1))))))))</f>
        <v/>
      </c>
      <c r="AT468" s="21" t="n"/>
      <c r="AU468" s="21" t="n"/>
      <c r="AV468" s="27">
        <f>SUM(AT468:AU468)</f>
        <v/>
      </c>
      <c r="AW468" s="28" t="n"/>
      <c r="AX468" s="30" t="n"/>
      <c r="AY468" s="29">
        <f>IF(AND(AV468=0,AW468=0,AX468=0),0,IF(AND(AV468=0,AW468=0),AX468/1,IF(AND(AV468=0,AX468=0),AW468/1,IF(AND(AW468=0,AX468=0),AV468/1,IF(AV468=0,FLOOR((AW468+AX468)/2,0.1),IF(AW468=0,(AV468+AX468)/2,IF(AX468=0,(AW468+AV468)/2,FLOOR(((AV468+AW468+AX468)/3),0.1))))))))</f>
        <v/>
      </c>
      <c r="AZ468" s="21" t="n"/>
      <c r="BA468" s="21" t="n"/>
      <c r="BB468" s="27">
        <f>SUM(AZ468:BA468)</f>
        <v/>
      </c>
      <c r="BC468" s="28" t="n"/>
      <c r="BD468" s="28" t="n"/>
      <c r="BE468" s="29">
        <f>IF(AND(BB468=0,BC468=0,BD468=0),0,IF(AND(BB468=0,BC468=0),BD468/1,IF(AND(BB468=0,BD468=0),BC468/1,IF(AND(BC468=0,BD468=0),BB468/1,IF(BB468=0,FLOOR((BC468+BD468)/2,0.1),IF(BC468=0,(BB468+BD468)/2,IF(BD468=0,(BC468+BB468)/2,FLOOR(((BB468+BC468+BD468)/3),0.1))))))))</f>
        <v/>
      </c>
      <c r="BF468" s="21" t="n"/>
      <c r="BG468" s="21" t="n"/>
      <c r="BH468" s="27">
        <f>SUM(BF468:BG468)</f>
        <v/>
      </c>
      <c r="BI468" s="28" t="n"/>
      <c r="BJ468" s="28" t="n"/>
      <c r="BK468" s="29">
        <f>IF(AND(BH468=0,BI468=0,BJ468=0),0,IF(AND(BH468=0,BI468=0),BJ468/1,IF(AND(BH468=0,BJ468=0),BI468/1,IF(AND(BI468=0,BJ468=0),BH468/1,IF(BH468=0,FLOOR((BI468+BJ468)/2,0.1),IF(BI468=0,(BH468+BJ468)/2,IF(BJ468=0,(BI468+BH468)/2,FLOOR(((BH468+BI468+BJ468)/3),0.1))))))))</f>
        <v/>
      </c>
      <c r="BL468" s="21" t="n"/>
      <c r="BM468" s="21" t="n"/>
      <c r="BN468" s="27">
        <f>SUM(BL468:BM468)</f>
        <v/>
      </c>
      <c r="BO468" s="28" t="n"/>
      <c r="BP468" s="31" t="n"/>
      <c r="BQ468" s="29">
        <f>IF(AND(BN468=0,BO468=0,BP468=0),0,IF(AND(BN468=0,BO468=0),BP468/1,IF(AND(BN468=0,BP468=0),BO468/1,IF(AND(BO468=0,BP468=0),BN468/1,IF(BN468=0,FLOOR((BO468+BP468)/2,0.1),IF(BO468=0,(BN468+BP468)/2,IF(BP468=0,(BO468+BN468)/2,FLOOR(((BN468+BO468+BP468)/3),0.1))))))))</f>
        <v/>
      </c>
      <c r="BR468" s="21" t="n"/>
      <c r="BS468" s="21" t="n"/>
      <c r="BT468" s="27">
        <f>SUM(BR468:BS468)</f>
        <v/>
      </c>
      <c r="BU468" s="28" t="n"/>
      <c r="BV468" s="31" t="n"/>
      <c r="BW468" s="29">
        <f>IF(AND(BT468=0,BU468=0,BV468=0),0,IF(AND(BT468=0,BU468=0),BV468/1,IF(AND(BT468=0,BV468=0),BU468/1,IF(AND(BU468=0,BV468=0),BT468/1,IF(BT468=0,FLOOR((BU468+BV468)/2,0.1),IF(BU468=0,(BT468+BV468)/2,IF(BV468=0,(BU468+BT468)/2,FLOOR(((BT468+BU468+BV468)/3),0.1))))))))</f>
        <v/>
      </c>
      <c r="BX468" s="21" t="n"/>
      <c r="BY468" s="21" t="n"/>
      <c r="BZ468" s="27">
        <f>SUM(BX468:BY468)</f>
        <v/>
      </c>
      <c r="CA468" s="28" t="n"/>
      <c r="CB468" s="31" t="n"/>
      <c r="CC468" s="29">
        <f>IF(AND(BZ468=0,CA468=0,CB468=0),0,IF(AND(BZ468=0,CA468=0),CB468/1,IF(AND(BZ468=0,CB468=0),CA468/1,IF(AND(CA468=0,CB468=0),BZ468/1,IF(BZ468=0,FLOOR((CA468+CB468)/2,0.1),IF(CA468=0,(BZ468+CB468)/2,IF(CB468=0,(CA468+BZ468)/2,FLOOR(((BZ468+CA468+CB468)/3),0.1))))))))</f>
        <v/>
      </c>
      <c r="CD468" s="21" t="n"/>
      <c r="CE468" s="21" t="n"/>
      <c r="CF468" s="27">
        <f>SUM(CD468:CE468)</f>
        <v/>
      </c>
      <c r="CG468" s="28" t="n"/>
      <c r="CH468" s="31" t="n"/>
      <c r="CI468" s="29">
        <f>IF(AND(CF468=0,CG468=0,CH468=0),0,IF(AND(CF468=0,CG468=0),CH468/1,IF(AND(CF468=0,CH468=0),CG468/1,IF(AND(CG468=0,CH468=0),CF468/1,IF(CF468=0,FLOOR((CG468+CH468)/2,0.1),IF(CG468=0,(CF468+CH468)/2,IF(CH468=0,(CG468+CF468)/2,FLOOR(((CF468+CG468+CH468)/3),0.1))))))))</f>
        <v/>
      </c>
      <c r="CJ468" s="21" t="n"/>
      <c r="CK468" s="21" t="n"/>
      <c r="CL468" s="27">
        <f>SUM(CJ468:CK468)</f>
        <v/>
      </c>
      <c r="CM468" s="28" t="n"/>
      <c r="CN468" s="31" t="n"/>
      <c r="CO468" s="29">
        <f>IF(AND(CL468=0,CM468=0,CN468=0),0,IF(AND(CL468=0,CM468=0),CN468/1,IF(AND(CL468=0,CN468=0),CM468/1,IF(AND(CM468=0,CN468=0),CL468/1,IF(CL468=0,FLOOR((CM468+CN468)/2,0.1),IF(CM468=0,(CL468+CN468)/2,IF(CN468=0,(CM468+CL468)/2,FLOOR(((CL468+CM468+CN468)/3),0.1))))))))</f>
        <v/>
      </c>
      <c r="CP468" s="21" t="n"/>
      <c r="CQ468" s="21" t="n"/>
      <c r="CR468" s="27">
        <f>SUM(CP468:CQ468)</f>
        <v/>
      </c>
      <c r="CS468" s="28" t="n"/>
      <c r="CT468" s="31" t="n"/>
      <c r="CU468" s="29">
        <f>IF(AND(CR468=0,CS468=0,CT468=0),0,IF(AND(CR468=0,CS468=0),CT468/1,IF(AND(CR468=0,CT468=0),CS468/1,IF(AND(CS468=0,CT468=0),CR468/1,IF(CR468=0,FLOOR((CS468+CT468)/2,0.1),IF(CS468=0,(CR468+CT468)/2,IF(CT468=0,(CS468+CR468)/2,FLOOR(((CR468+CS468+CT468)/3),0.1))))))))</f>
        <v/>
      </c>
      <c r="CV468" s="21" t="n"/>
      <c r="CW468" s="21" t="n"/>
      <c r="CX468" s="27">
        <f>SUM(CV468:CW468)</f>
        <v/>
      </c>
      <c r="CY468" s="28" t="n"/>
      <c r="CZ468" s="31" t="n"/>
      <c r="DA468" s="29">
        <f>IF(AND(CX468=0,CY468=0,CZ468=0),0,IF(AND(CX468=0,CY468=0),CZ468/1,IF(AND(CX468=0,CZ468=0),CY468/1,IF(AND(CY468=0,CZ468=0),CX468/1,IF(CX468=0,FLOOR((CY468+CZ468)/2,0.1),IF(CY468=0,(CX468+CZ468)/2,IF(CZ468=0,(CY468+CX468)/2,FLOOR(((CX468+CY468+CZ468)/3),0.1))))))))</f>
        <v/>
      </c>
      <c r="DB468" s="21" t="n"/>
      <c r="DC468" s="21" t="n"/>
      <c r="DD468" s="27">
        <f>SUM(DB468:DC468)</f>
        <v/>
      </c>
      <c r="DE468" s="28" t="n"/>
      <c r="DF468" s="31" t="n"/>
      <c r="DG468" s="29">
        <f>IF(AND(DD468=0,DE468=0,DF468=0),0,IF(AND(DD468=0,DE468=0),DF468/1,IF(AND(DD468=0,DF468=0),DE468/1,IF(AND(DE468=0,DF468=0),DD468/1,IF(DD468=0,FLOOR((DE468+DF468)/2,0.1),IF(DE468=0,(DD468+DF468)/2,IF(DF468=0,(DE468+DD468)/2,FLOOR(((DD468+DE468+DF468)/3),0.1))))))))</f>
        <v/>
      </c>
      <c r="DH468" s="34">
        <f>SUM(O468,U468,AA468,AG468,AM468,AS468,AY468,BE468,BK468,BQ468,BW468,CC468,CI468,CO468,CU468,DA468,DG468)</f>
        <v/>
      </c>
      <c r="DI468" s="39">
        <f>RANK(DH468,DH$4:DH$503)</f>
        <v/>
      </c>
      <c r="DJ468" s="40" t="inlineStr">
        <is>
          <t>CHOOSE RATING</t>
        </is>
      </c>
      <c r="DK468" s="40" t="inlineStr">
        <is>
          <t>CHOOSE RATING</t>
        </is>
      </c>
      <c r="DL468" s="40" t="inlineStr">
        <is>
          <t>CHOOSE RATING</t>
        </is>
      </c>
      <c r="DM468" s="40" t="inlineStr">
        <is>
          <t>CHOOSE RATING</t>
        </is>
      </c>
      <c r="DN468" s="40" t="inlineStr">
        <is>
          <t>CHOOSE RATING</t>
        </is>
      </c>
      <c r="DO468" s="40" t="inlineStr">
        <is>
          <t>CHOOSE RATING</t>
        </is>
      </c>
      <c r="DP468" s="40" t="inlineStr">
        <is>
          <t>CHOOSE RATING</t>
        </is>
      </c>
      <c r="DQ468" s="40" t="inlineStr">
        <is>
          <t>CHOOSE RATING</t>
        </is>
      </c>
      <c r="DR468" s="43" t="inlineStr">
        <is>
          <t>2024/2025</t>
        </is>
      </c>
      <c r="DS468" s="45" t="inlineStr">
        <is>
          <t>THIRD</t>
        </is>
      </c>
      <c r="DT468" s="40" t="inlineStr">
        <is>
          <t>CHOOSE RATING</t>
        </is>
      </c>
      <c r="DU468" s="40" t="inlineStr">
        <is>
          <t>CHOOSE RATING</t>
        </is>
      </c>
      <c r="DV468" s="40" t="inlineStr">
        <is>
          <t>CHOOSE RATING</t>
        </is>
      </c>
      <c r="DW468" s="40" t="inlineStr">
        <is>
          <t>CHOOSE RATING</t>
        </is>
      </c>
      <c r="DX468" s="40" t="inlineStr">
        <is>
          <t>CHOOSE RATING</t>
        </is>
      </c>
      <c r="DY468" s="40" t="inlineStr">
        <is>
          <t>CHOOSE RATING</t>
        </is>
      </c>
      <c r="DZ468" s="53" t="inlineStr">
        <is>
          <t>CHOOSE RATING</t>
        </is>
      </c>
      <c r="EA468" s="54" t="inlineStr">
        <is>
          <t>Add the Tutor's Comment . . .</t>
        </is>
      </c>
      <c r="EB468" s="55" t="inlineStr">
        <is>
          <t>Choose Principals comment</t>
        </is>
      </c>
      <c r="EC468" s="56" t="n"/>
      <c r="ED468" s="57" t="inlineStr">
        <is>
          <t>Next Term Begins on Monday, 22nd September, 2025</t>
        </is>
      </c>
    </row>
    <row r="469" ht="30.6" customHeight="1" s="6">
      <c r="A469" s="18" t="n">
        <v>466</v>
      </c>
      <c r="B469" s="19" t="n"/>
      <c r="C469" s="20" t="n"/>
      <c r="D469" s="128" t="n"/>
      <c r="E469" s="21" t="n"/>
      <c r="F469" s="22" t="n"/>
      <c r="G469" s="22" t="n"/>
      <c r="H469" s="22" t="n"/>
      <c r="I469" s="26">
        <f>G469-H469</f>
        <v/>
      </c>
      <c r="J469" s="21" t="n"/>
      <c r="K469" s="21" t="n"/>
      <c r="L469" s="27">
        <f>SUM(J469:K469)</f>
        <v/>
      </c>
      <c r="M469" s="28" t="n"/>
      <c r="N469" s="28" t="n"/>
      <c r="O469" s="29">
        <f>IF(AND(L469=0,M469=0,N469=0),0,IF(AND(L469=0,M469=0),N469/1,IF(AND(L469=0,N469=0),M469/1,IF(AND(M469=0,N469=0),L469/1,IF(L469=0,FLOOR((M469+N469)/2,0.1),IF(M469=0,(L469+N469)/2,IF(N469=0,(M469+L469)/2,FLOOR(((L469+M469+N469)/3),0.1))))))))</f>
        <v/>
      </c>
      <c r="P469" s="21" t="n"/>
      <c r="Q469" s="21" t="n"/>
      <c r="R469" s="27">
        <f>SUM(P469:Q469)</f>
        <v/>
      </c>
      <c r="S469" s="28" t="n"/>
      <c r="T469" s="28" t="n"/>
      <c r="U469" s="29">
        <f>IF(AND(R469=0,S469=0,T469=0),0,IF(AND(R469=0,S469=0),T469/1,IF(AND(R469=0,T469=0),S469/1,IF(AND(S469=0,T469=0),R469/1,IF(R469=0,FLOOR((S469+T469)/2,0.1),IF(S469=0,(R469+T469)/2,IF(T469=0,(S469+R469)/2,FLOOR(((R469+S469+T469)/3),0.1))))))))</f>
        <v/>
      </c>
      <c r="V469" s="21" t="n"/>
      <c r="W469" s="21" t="n"/>
      <c r="X469" s="27">
        <f>SUM(V469:W469)</f>
        <v/>
      </c>
      <c r="Y469" s="28" t="n"/>
      <c r="Z469" s="28" t="n"/>
      <c r="AA469" s="29">
        <f>IF(AND(X469=0,Y469=0,Z469=0),0,IF(AND(X469=0,Y469=0),Z469/1,IF(AND(X469=0,Z469=0),Y469/1,IF(AND(Y469=0,Z469=0),X469/1,IF(X469=0,FLOOR((Y469+Z469)/2,0.1),IF(Y469=0,(X469+Z469)/2,IF(Z469=0,(Y469+X469)/2,FLOOR(((X469+Y469+Z469)/3),0.1))))))))</f>
        <v/>
      </c>
      <c r="AB469" s="21" t="n"/>
      <c r="AC469" s="21" t="n"/>
      <c r="AD469" s="27">
        <f>SUM(AB469:AC469)</f>
        <v/>
      </c>
      <c r="AE469" s="28" t="n"/>
      <c r="AF469" s="28" t="n"/>
      <c r="AG469" s="29">
        <f>IF(AND(AD469=0,AE469=0,AF469=0),0,IF(AND(AD469=0,AE469=0),AF469/1,IF(AND(AD469=0,AF469=0),AE469/1,IF(AND(AE469=0,AF469=0),AD469/1,IF(AD469=0,FLOOR((AE469+AF469)/2,0.1),IF(AE469=0,(AD469+AF469)/2,IF(AF469=0,(AE469+AD469)/2,FLOOR(((AD469+AE469+AF469)/3),0.1))))))))</f>
        <v/>
      </c>
      <c r="AH469" s="21" t="n"/>
      <c r="AI469" s="21" t="n"/>
      <c r="AJ469" s="27">
        <f>SUM(AH469:AI469)</f>
        <v/>
      </c>
      <c r="AK469" s="28" t="n"/>
      <c r="AL469" s="28" t="n"/>
      <c r="AM469" s="29">
        <f>IF(AND(AJ469=0,AK469=0,AL469=0),0,IF(AND(AJ469=0,AK469=0),AL469/1,IF(AND(AJ469=0,AL469=0),AK469/1,IF(AND(AK469=0,AL469=0),AJ469/1,IF(AJ469=0,FLOOR((AK469+AL469)/2,0.1),IF(AK469=0,(AJ469+AL469)/2,IF(AL469=0,(AK469+AJ469)/2,FLOOR(((AJ469+AK469+AL469)/3),0.1))))))))</f>
        <v/>
      </c>
      <c r="AN469" s="21" t="n"/>
      <c r="AO469" s="21" t="n"/>
      <c r="AP469" s="27">
        <f>SUM(AN469:AO469)</f>
        <v/>
      </c>
      <c r="AQ469" s="28" t="n"/>
      <c r="AR469" s="30" t="n"/>
      <c r="AS469" s="29">
        <f>IF(AND(AP469=0,AQ469=0,AR469=0),0,IF(AND(AP469=0,AQ469=0),AR469/1,IF(AND(AP469=0,AR469=0),AQ469/1,IF(AND(AQ469=0,AR469=0),AP469/1,IF(AP469=0,FLOOR((AQ469+AR469)/2,0.1),IF(AQ469=0,(AP469+AR469)/2,IF(AR469=0,(AQ469+AP469)/2,FLOOR(((AP469+AQ469+AR469)/3),0.1))))))))</f>
        <v/>
      </c>
      <c r="AT469" s="21" t="n"/>
      <c r="AU469" s="21" t="n"/>
      <c r="AV469" s="27">
        <f>SUM(AT469:AU469)</f>
        <v/>
      </c>
      <c r="AW469" s="28" t="n"/>
      <c r="AX469" s="30" t="n"/>
      <c r="AY469" s="29">
        <f>IF(AND(AV469=0,AW469=0,AX469=0),0,IF(AND(AV469=0,AW469=0),AX469/1,IF(AND(AV469=0,AX469=0),AW469/1,IF(AND(AW469=0,AX469=0),AV469/1,IF(AV469=0,FLOOR((AW469+AX469)/2,0.1),IF(AW469=0,(AV469+AX469)/2,IF(AX469=0,(AW469+AV469)/2,FLOOR(((AV469+AW469+AX469)/3),0.1))))))))</f>
        <v/>
      </c>
      <c r="AZ469" s="21" t="n"/>
      <c r="BA469" s="21" t="n"/>
      <c r="BB469" s="27">
        <f>SUM(AZ469:BA469)</f>
        <v/>
      </c>
      <c r="BC469" s="28" t="n"/>
      <c r="BD469" s="28" t="n"/>
      <c r="BE469" s="29">
        <f>IF(AND(BB469=0,BC469=0,BD469=0),0,IF(AND(BB469=0,BC469=0),BD469/1,IF(AND(BB469=0,BD469=0),BC469/1,IF(AND(BC469=0,BD469=0),BB469/1,IF(BB469=0,FLOOR((BC469+BD469)/2,0.1),IF(BC469=0,(BB469+BD469)/2,IF(BD469=0,(BC469+BB469)/2,FLOOR(((BB469+BC469+BD469)/3),0.1))))))))</f>
        <v/>
      </c>
      <c r="BF469" s="21" t="n"/>
      <c r="BG469" s="21" t="n"/>
      <c r="BH469" s="27">
        <f>SUM(BF469:BG469)</f>
        <v/>
      </c>
      <c r="BI469" s="28" t="n"/>
      <c r="BJ469" s="28" t="n"/>
      <c r="BK469" s="29">
        <f>IF(AND(BH469=0,BI469=0,BJ469=0),0,IF(AND(BH469=0,BI469=0),BJ469/1,IF(AND(BH469=0,BJ469=0),BI469/1,IF(AND(BI469=0,BJ469=0),BH469/1,IF(BH469=0,FLOOR((BI469+BJ469)/2,0.1),IF(BI469=0,(BH469+BJ469)/2,IF(BJ469=0,(BI469+BH469)/2,FLOOR(((BH469+BI469+BJ469)/3),0.1))))))))</f>
        <v/>
      </c>
      <c r="BL469" s="21" t="n"/>
      <c r="BM469" s="21" t="n"/>
      <c r="BN469" s="27">
        <f>SUM(BL469:BM469)</f>
        <v/>
      </c>
      <c r="BO469" s="28" t="n"/>
      <c r="BP469" s="31" t="n"/>
      <c r="BQ469" s="29">
        <f>IF(AND(BN469=0,BO469=0,BP469=0),0,IF(AND(BN469=0,BO469=0),BP469/1,IF(AND(BN469=0,BP469=0),BO469/1,IF(AND(BO469=0,BP469=0),BN469/1,IF(BN469=0,FLOOR((BO469+BP469)/2,0.1),IF(BO469=0,(BN469+BP469)/2,IF(BP469=0,(BO469+BN469)/2,FLOOR(((BN469+BO469+BP469)/3),0.1))))))))</f>
        <v/>
      </c>
      <c r="BR469" s="21" t="n"/>
      <c r="BS469" s="21" t="n"/>
      <c r="BT469" s="27">
        <f>SUM(BR469:BS469)</f>
        <v/>
      </c>
      <c r="BU469" s="28" t="n"/>
      <c r="BV469" s="31" t="n"/>
      <c r="BW469" s="29">
        <f>IF(AND(BT469=0,BU469=0,BV469=0),0,IF(AND(BT469=0,BU469=0),BV469/1,IF(AND(BT469=0,BV469=0),BU469/1,IF(AND(BU469=0,BV469=0),BT469/1,IF(BT469=0,FLOOR((BU469+BV469)/2,0.1),IF(BU469=0,(BT469+BV469)/2,IF(BV469=0,(BU469+BT469)/2,FLOOR(((BT469+BU469+BV469)/3),0.1))))))))</f>
        <v/>
      </c>
      <c r="BX469" s="21" t="n"/>
      <c r="BY469" s="21" t="n"/>
      <c r="BZ469" s="27">
        <f>SUM(BX469:BY469)</f>
        <v/>
      </c>
      <c r="CA469" s="28" t="n"/>
      <c r="CB469" s="31" t="n"/>
      <c r="CC469" s="29">
        <f>IF(AND(BZ469=0,CA469=0,CB469=0),0,IF(AND(BZ469=0,CA469=0),CB469/1,IF(AND(BZ469=0,CB469=0),CA469/1,IF(AND(CA469=0,CB469=0),BZ469/1,IF(BZ469=0,FLOOR((CA469+CB469)/2,0.1),IF(CA469=0,(BZ469+CB469)/2,IF(CB469=0,(CA469+BZ469)/2,FLOOR(((BZ469+CA469+CB469)/3),0.1))))))))</f>
        <v/>
      </c>
      <c r="CD469" s="21" t="n"/>
      <c r="CE469" s="21" t="n"/>
      <c r="CF469" s="27">
        <f>SUM(CD469:CE469)</f>
        <v/>
      </c>
      <c r="CG469" s="28" t="n"/>
      <c r="CH469" s="31" t="n"/>
      <c r="CI469" s="29">
        <f>IF(AND(CF469=0,CG469=0,CH469=0),0,IF(AND(CF469=0,CG469=0),CH469/1,IF(AND(CF469=0,CH469=0),CG469/1,IF(AND(CG469=0,CH469=0),CF469/1,IF(CF469=0,FLOOR((CG469+CH469)/2,0.1),IF(CG469=0,(CF469+CH469)/2,IF(CH469=0,(CG469+CF469)/2,FLOOR(((CF469+CG469+CH469)/3),0.1))))))))</f>
        <v/>
      </c>
      <c r="CJ469" s="21" t="n"/>
      <c r="CK469" s="21" t="n"/>
      <c r="CL469" s="27">
        <f>SUM(CJ469:CK469)</f>
        <v/>
      </c>
      <c r="CM469" s="28" t="n"/>
      <c r="CN469" s="31" t="n"/>
      <c r="CO469" s="29">
        <f>IF(AND(CL469=0,CM469=0,CN469=0),0,IF(AND(CL469=0,CM469=0),CN469/1,IF(AND(CL469=0,CN469=0),CM469/1,IF(AND(CM469=0,CN469=0),CL469/1,IF(CL469=0,FLOOR((CM469+CN469)/2,0.1),IF(CM469=0,(CL469+CN469)/2,IF(CN469=0,(CM469+CL469)/2,FLOOR(((CL469+CM469+CN469)/3),0.1))))))))</f>
        <v/>
      </c>
      <c r="CP469" s="21" t="n"/>
      <c r="CQ469" s="21" t="n"/>
      <c r="CR469" s="27">
        <f>SUM(CP469:CQ469)</f>
        <v/>
      </c>
      <c r="CS469" s="28" t="n"/>
      <c r="CT469" s="31" t="n"/>
      <c r="CU469" s="29">
        <f>IF(AND(CR469=0,CS469=0,CT469=0),0,IF(AND(CR469=0,CS469=0),CT469/1,IF(AND(CR469=0,CT469=0),CS469/1,IF(AND(CS469=0,CT469=0),CR469/1,IF(CR469=0,FLOOR((CS469+CT469)/2,0.1),IF(CS469=0,(CR469+CT469)/2,IF(CT469=0,(CS469+CR469)/2,FLOOR(((CR469+CS469+CT469)/3),0.1))))))))</f>
        <v/>
      </c>
      <c r="CV469" s="21" t="n"/>
      <c r="CW469" s="21" t="n"/>
      <c r="CX469" s="27">
        <f>SUM(CV469:CW469)</f>
        <v/>
      </c>
      <c r="CY469" s="28" t="n"/>
      <c r="CZ469" s="31" t="n"/>
      <c r="DA469" s="29">
        <f>IF(AND(CX469=0,CY469=0,CZ469=0),0,IF(AND(CX469=0,CY469=0),CZ469/1,IF(AND(CX469=0,CZ469=0),CY469/1,IF(AND(CY469=0,CZ469=0),CX469/1,IF(CX469=0,FLOOR((CY469+CZ469)/2,0.1),IF(CY469=0,(CX469+CZ469)/2,IF(CZ469=0,(CY469+CX469)/2,FLOOR(((CX469+CY469+CZ469)/3),0.1))))))))</f>
        <v/>
      </c>
      <c r="DB469" s="21" t="n"/>
      <c r="DC469" s="21" t="n"/>
      <c r="DD469" s="27">
        <f>SUM(DB469:DC469)</f>
        <v/>
      </c>
      <c r="DE469" s="28" t="n"/>
      <c r="DF469" s="31" t="n"/>
      <c r="DG469" s="29">
        <f>IF(AND(DD469=0,DE469=0,DF469=0),0,IF(AND(DD469=0,DE469=0),DF469/1,IF(AND(DD469=0,DF469=0),DE469/1,IF(AND(DE469=0,DF469=0),DD469/1,IF(DD469=0,FLOOR((DE469+DF469)/2,0.1),IF(DE469=0,(DD469+DF469)/2,IF(DF469=0,(DE469+DD469)/2,FLOOR(((DD469+DE469+DF469)/3),0.1))))))))</f>
        <v/>
      </c>
      <c r="DH469" s="34">
        <f>SUM(O469,U469,AA469,AG469,AM469,AS469,AY469,BE469,BK469,BQ469,BW469,CC469,CI469,CO469,CU469,DA469,DG469)</f>
        <v/>
      </c>
      <c r="DI469" s="39">
        <f>RANK(DH469,DH$4:DH$503)</f>
        <v/>
      </c>
      <c r="DJ469" s="40" t="inlineStr">
        <is>
          <t>CHOOSE RATING</t>
        </is>
      </c>
      <c r="DK469" s="40" t="inlineStr">
        <is>
          <t>CHOOSE RATING</t>
        </is>
      </c>
      <c r="DL469" s="40" t="inlineStr">
        <is>
          <t>CHOOSE RATING</t>
        </is>
      </c>
      <c r="DM469" s="40" t="inlineStr">
        <is>
          <t>CHOOSE RATING</t>
        </is>
      </c>
      <c r="DN469" s="40" t="inlineStr">
        <is>
          <t>CHOOSE RATING</t>
        </is>
      </c>
      <c r="DO469" s="40" t="inlineStr">
        <is>
          <t>CHOOSE RATING</t>
        </is>
      </c>
      <c r="DP469" s="40" t="inlineStr">
        <is>
          <t>CHOOSE RATING</t>
        </is>
      </c>
      <c r="DQ469" s="40" t="inlineStr">
        <is>
          <t>CHOOSE RATING</t>
        </is>
      </c>
      <c r="DR469" s="43" t="inlineStr">
        <is>
          <t>2024/2025</t>
        </is>
      </c>
      <c r="DS469" s="45" t="inlineStr">
        <is>
          <t>THIRD</t>
        </is>
      </c>
      <c r="DT469" s="40" t="inlineStr">
        <is>
          <t>CHOOSE RATING</t>
        </is>
      </c>
      <c r="DU469" s="40" t="inlineStr">
        <is>
          <t>CHOOSE RATING</t>
        </is>
      </c>
      <c r="DV469" s="40" t="inlineStr">
        <is>
          <t>CHOOSE RATING</t>
        </is>
      </c>
      <c r="DW469" s="40" t="inlineStr">
        <is>
          <t>CHOOSE RATING</t>
        </is>
      </c>
      <c r="DX469" s="40" t="inlineStr">
        <is>
          <t>CHOOSE RATING</t>
        </is>
      </c>
      <c r="DY469" s="40" t="inlineStr">
        <is>
          <t>CHOOSE RATING</t>
        </is>
      </c>
      <c r="DZ469" s="53" t="inlineStr">
        <is>
          <t>CHOOSE RATING</t>
        </is>
      </c>
      <c r="EA469" s="54" t="inlineStr">
        <is>
          <t>Add the Tutor's Comment . . .</t>
        </is>
      </c>
      <c r="EB469" s="55" t="inlineStr">
        <is>
          <t>Choose Principals comment</t>
        </is>
      </c>
      <c r="EC469" s="56" t="n"/>
      <c r="ED469" s="57" t="inlineStr">
        <is>
          <t>Next Term Begins on Monday, 22nd September, 2025</t>
        </is>
      </c>
    </row>
    <row r="470" ht="30.6" customHeight="1" s="6">
      <c r="A470" s="18" t="n">
        <v>467</v>
      </c>
      <c r="B470" s="19" t="n"/>
      <c r="C470" s="20" t="n"/>
      <c r="D470" s="128" t="n"/>
      <c r="E470" s="21" t="n"/>
      <c r="F470" s="22" t="n"/>
      <c r="G470" s="22" t="n"/>
      <c r="H470" s="22" t="n"/>
      <c r="I470" s="26">
        <f>G470-H470</f>
        <v/>
      </c>
      <c r="J470" s="21" t="n"/>
      <c r="K470" s="21" t="n"/>
      <c r="L470" s="27">
        <f>SUM(J470:K470)</f>
        <v/>
      </c>
      <c r="M470" s="28" t="n"/>
      <c r="N470" s="28" t="n"/>
      <c r="O470" s="29">
        <f>IF(AND(L470=0,M470=0,N470=0),0,IF(AND(L470=0,M470=0),N470/1,IF(AND(L470=0,N470=0),M470/1,IF(AND(M470=0,N470=0),L470/1,IF(L470=0,FLOOR((M470+N470)/2,0.1),IF(M470=0,(L470+N470)/2,IF(N470=0,(M470+L470)/2,FLOOR(((L470+M470+N470)/3),0.1))))))))</f>
        <v/>
      </c>
      <c r="P470" s="21" t="n"/>
      <c r="Q470" s="21" t="n"/>
      <c r="R470" s="27">
        <f>SUM(P470:Q470)</f>
        <v/>
      </c>
      <c r="S470" s="28" t="n"/>
      <c r="T470" s="28" t="n"/>
      <c r="U470" s="29">
        <f>IF(AND(R470=0,S470=0,T470=0),0,IF(AND(R470=0,S470=0),T470/1,IF(AND(R470=0,T470=0),S470/1,IF(AND(S470=0,T470=0),R470/1,IF(R470=0,FLOOR((S470+T470)/2,0.1),IF(S470=0,(R470+T470)/2,IF(T470=0,(S470+R470)/2,FLOOR(((R470+S470+T470)/3),0.1))))))))</f>
        <v/>
      </c>
      <c r="V470" s="21" t="n"/>
      <c r="W470" s="21" t="n"/>
      <c r="X470" s="27">
        <f>SUM(V470:W470)</f>
        <v/>
      </c>
      <c r="Y470" s="28" t="n"/>
      <c r="Z470" s="28" t="n"/>
      <c r="AA470" s="29">
        <f>IF(AND(X470=0,Y470=0,Z470=0),0,IF(AND(X470=0,Y470=0),Z470/1,IF(AND(X470=0,Z470=0),Y470/1,IF(AND(Y470=0,Z470=0),X470/1,IF(X470=0,FLOOR((Y470+Z470)/2,0.1),IF(Y470=0,(X470+Z470)/2,IF(Z470=0,(Y470+X470)/2,FLOOR(((X470+Y470+Z470)/3),0.1))))))))</f>
        <v/>
      </c>
      <c r="AB470" s="21" t="n"/>
      <c r="AC470" s="21" t="n"/>
      <c r="AD470" s="27">
        <f>SUM(AB470:AC470)</f>
        <v/>
      </c>
      <c r="AE470" s="28" t="n"/>
      <c r="AF470" s="28" t="n"/>
      <c r="AG470" s="29">
        <f>IF(AND(AD470=0,AE470=0,AF470=0),0,IF(AND(AD470=0,AE470=0),AF470/1,IF(AND(AD470=0,AF470=0),AE470/1,IF(AND(AE470=0,AF470=0),AD470/1,IF(AD470=0,FLOOR((AE470+AF470)/2,0.1),IF(AE470=0,(AD470+AF470)/2,IF(AF470=0,(AE470+AD470)/2,FLOOR(((AD470+AE470+AF470)/3),0.1))))))))</f>
        <v/>
      </c>
      <c r="AH470" s="21" t="n"/>
      <c r="AI470" s="21" t="n"/>
      <c r="AJ470" s="27">
        <f>SUM(AH470:AI470)</f>
        <v/>
      </c>
      <c r="AK470" s="28" t="n"/>
      <c r="AL470" s="28" t="n"/>
      <c r="AM470" s="29">
        <f>IF(AND(AJ470=0,AK470=0,AL470=0),0,IF(AND(AJ470=0,AK470=0),AL470/1,IF(AND(AJ470=0,AL470=0),AK470/1,IF(AND(AK470=0,AL470=0),AJ470/1,IF(AJ470=0,FLOOR((AK470+AL470)/2,0.1),IF(AK470=0,(AJ470+AL470)/2,IF(AL470=0,(AK470+AJ470)/2,FLOOR(((AJ470+AK470+AL470)/3),0.1))))))))</f>
        <v/>
      </c>
      <c r="AN470" s="21" t="n"/>
      <c r="AO470" s="21" t="n"/>
      <c r="AP470" s="27">
        <f>SUM(AN470:AO470)</f>
        <v/>
      </c>
      <c r="AQ470" s="28" t="n"/>
      <c r="AR470" s="30" t="n"/>
      <c r="AS470" s="29">
        <f>IF(AND(AP470=0,AQ470=0,AR470=0),0,IF(AND(AP470=0,AQ470=0),AR470/1,IF(AND(AP470=0,AR470=0),AQ470/1,IF(AND(AQ470=0,AR470=0),AP470/1,IF(AP470=0,FLOOR((AQ470+AR470)/2,0.1),IF(AQ470=0,(AP470+AR470)/2,IF(AR470=0,(AQ470+AP470)/2,FLOOR(((AP470+AQ470+AR470)/3),0.1))))))))</f>
        <v/>
      </c>
      <c r="AT470" s="21" t="n"/>
      <c r="AU470" s="21" t="n"/>
      <c r="AV470" s="27">
        <f>SUM(AT470:AU470)</f>
        <v/>
      </c>
      <c r="AW470" s="28" t="n"/>
      <c r="AX470" s="30" t="n"/>
      <c r="AY470" s="29">
        <f>IF(AND(AV470=0,AW470=0,AX470=0),0,IF(AND(AV470=0,AW470=0),AX470/1,IF(AND(AV470=0,AX470=0),AW470/1,IF(AND(AW470=0,AX470=0),AV470/1,IF(AV470=0,FLOOR((AW470+AX470)/2,0.1),IF(AW470=0,(AV470+AX470)/2,IF(AX470=0,(AW470+AV470)/2,FLOOR(((AV470+AW470+AX470)/3),0.1))))))))</f>
        <v/>
      </c>
      <c r="AZ470" s="21" t="n"/>
      <c r="BA470" s="21" t="n"/>
      <c r="BB470" s="27">
        <f>SUM(AZ470:BA470)</f>
        <v/>
      </c>
      <c r="BC470" s="28" t="n"/>
      <c r="BD470" s="28" t="n"/>
      <c r="BE470" s="29">
        <f>IF(AND(BB470=0,BC470=0,BD470=0),0,IF(AND(BB470=0,BC470=0),BD470/1,IF(AND(BB470=0,BD470=0),BC470/1,IF(AND(BC470=0,BD470=0),BB470/1,IF(BB470=0,FLOOR((BC470+BD470)/2,0.1),IF(BC470=0,(BB470+BD470)/2,IF(BD470=0,(BC470+BB470)/2,FLOOR(((BB470+BC470+BD470)/3),0.1))))))))</f>
        <v/>
      </c>
      <c r="BF470" s="21" t="n"/>
      <c r="BG470" s="21" t="n"/>
      <c r="BH470" s="27">
        <f>SUM(BF470:BG470)</f>
        <v/>
      </c>
      <c r="BI470" s="28" t="n"/>
      <c r="BJ470" s="28" t="n"/>
      <c r="BK470" s="29">
        <f>IF(AND(BH470=0,BI470=0,BJ470=0),0,IF(AND(BH470=0,BI470=0),BJ470/1,IF(AND(BH470=0,BJ470=0),BI470/1,IF(AND(BI470=0,BJ470=0),BH470/1,IF(BH470=0,FLOOR((BI470+BJ470)/2,0.1),IF(BI470=0,(BH470+BJ470)/2,IF(BJ470=0,(BI470+BH470)/2,FLOOR(((BH470+BI470+BJ470)/3),0.1))))))))</f>
        <v/>
      </c>
      <c r="BL470" s="21" t="n"/>
      <c r="BM470" s="21" t="n"/>
      <c r="BN470" s="27">
        <f>SUM(BL470:BM470)</f>
        <v/>
      </c>
      <c r="BO470" s="28" t="n"/>
      <c r="BP470" s="31" t="n"/>
      <c r="BQ470" s="29">
        <f>IF(AND(BN470=0,BO470=0,BP470=0),0,IF(AND(BN470=0,BO470=0),BP470/1,IF(AND(BN470=0,BP470=0),BO470/1,IF(AND(BO470=0,BP470=0),BN470/1,IF(BN470=0,FLOOR((BO470+BP470)/2,0.1),IF(BO470=0,(BN470+BP470)/2,IF(BP470=0,(BO470+BN470)/2,FLOOR(((BN470+BO470+BP470)/3),0.1))))))))</f>
        <v/>
      </c>
      <c r="BR470" s="21" t="n"/>
      <c r="BS470" s="21" t="n"/>
      <c r="BT470" s="27">
        <f>SUM(BR470:BS470)</f>
        <v/>
      </c>
      <c r="BU470" s="28" t="n"/>
      <c r="BV470" s="31" t="n"/>
      <c r="BW470" s="29">
        <f>IF(AND(BT470=0,BU470=0,BV470=0),0,IF(AND(BT470=0,BU470=0),BV470/1,IF(AND(BT470=0,BV470=0),BU470/1,IF(AND(BU470=0,BV470=0),BT470/1,IF(BT470=0,FLOOR((BU470+BV470)/2,0.1),IF(BU470=0,(BT470+BV470)/2,IF(BV470=0,(BU470+BT470)/2,FLOOR(((BT470+BU470+BV470)/3),0.1))))))))</f>
        <v/>
      </c>
      <c r="BX470" s="21" t="n"/>
      <c r="BY470" s="21" t="n"/>
      <c r="BZ470" s="27">
        <f>SUM(BX470:BY470)</f>
        <v/>
      </c>
      <c r="CA470" s="28" t="n"/>
      <c r="CB470" s="31" t="n"/>
      <c r="CC470" s="29">
        <f>IF(AND(BZ470=0,CA470=0,CB470=0),0,IF(AND(BZ470=0,CA470=0),CB470/1,IF(AND(BZ470=0,CB470=0),CA470/1,IF(AND(CA470=0,CB470=0),BZ470/1,IF(BZ470=0,FLOOR((CA470+CB470)/2,0.1),IF(CA470=0,(BZ470+CB470)/2,IF(CB470=0,(CA470+BZ470)/2,FLOOR(((BZ470+CA470+CB470)/3),0.1))))))))</f>
        <v/>
      </c>
      <c r="CD470" s="21" t="n"/>
      <c r="CE470" s="21" t="n"/>
      <c r="CF470" s="27">
        <f>SUM(CD470:CE470)</f>
        <v/>
      </c>
      <c r="CG470" s="28" t="n"/>
      <c r="CH470" s="31" t="n"/>
      <c r="CI470" s="29">
        <f>IF(AND(CF470=0,CG470=0,CH470=0),0,IF(AND(CF470=0,CG470=0),CH470/1,IF(AND(CF470=0,CH470=0),CG470/1,IF(AND(CG470=0,CH470=0),CF470/1,IF(CF470=0,FLOOR((CG470+CH470)/2,0.1),IF(CG470=0,(CF470+CH470)/2,IF(CH470=0,(CG470+CF470)/2,FLOOR(((CF470+CG470+CH470)/3),0.1))))))))</f>
        <v/>
      </c>
      <c r="CJ470" s="21" t="n"/>
      <c r="CK470" s="21" t="n"/>
      <c r="CL470" s="27">
        <f>SUM(CJ470:CK470)</f>
        <v/>
      </c>
      <c r="CM470" s="28" t="n"/>
      <c r="CN470" s="31" t="n"/>
      <c r="CO470" s="29">
        <f>IF(AND(CL470=0,CM470=0,CN470=0),0,IF(AND(CL470=0,CM470=0),CN470/1,IF(AND(CL470=0,CN470=0),CM470/1,IF(AND(CM470=0,CN470=0),CL470/1,IF(CL470=0,FLOOR((CM470+CN470)/2,0.1),IF(CM470=0,(CL470+CN470)/2,IF(CN470=0,(CM470+CL470)/2,FLOOR(((CL470+CM470+CN470)/3),0.1))))))))</f>
        <v/>
      </c>
      <c r="CP470" s="21" t="n"/>
      <c r="CQ470" s="21" t="n"/>
      <c r="CR470" s="27">
        <f>SUM(CP470:CQ470)</f>
        <v/>
      </c>
      <c r="CS470" s="28" t="n"/>
      <c r="CT470" s="31" t="n"/>
      <c r="CU470" s="29">
        <f>IF(AND(CR470=0,CS470=0,CT470=0),0,IF(AND(CR470=0,CS470=0),CT470/1,IF(AND(CR470=0,CT470=0),CS470/1,IF(AND(CS470=0,CT470=0),CR470/1,IF(CR470=0,FLOOR((CS470+CT470)/2,0.1),IF(CS470=0,(CR470+CT470)/2,IF(CT470=0,(CS470+CR470)/2,FLOOR(((CR470+CS470+CT470)/3),0.1))))))))</f>
        <v/>
      </c>
      <c r="CV470" s="21" t="n"/>
      <c r="CW470" s="21" t="n"/>
      <c r="CX470" s="27">
        <f>SUM(CV470:CW470)</f>
        <v/>
      </c>
      <c r="CY470" s="28" t="n"/>
      <c r="CZ470" s="31" t="n"/>
      <c r="DA470" s="29">
        <f>IF(AND(CX470=0,CY470=0,CZ470=0),0,IF(AND(CX470=0,CY470=0),CZ470/1,IF(AND(CX470=0,CZ470=0),CY470/1,IF(AND(CY470=0,CZ470=0),CX470/1,IF(CX470=0,FLOOR((CY470+CZ470)/2,0.1),IF(CY470=0,(CX470+CZ470)/2,IF(CZ470=0,(CY470+CX470)/2,FLOOR(((CX470+CY470+CZ470)/3),0.1))))))))</f>
        <v/>
      </c>
      <c r="DB470" s="21" t="n"/>
      <c r="DC470" s="21" t="n"/>
      <c r="DD470" s="27">
        <f>SUM(DB470:DC470)</f>
        <v/>
      </c>
      <c r="DE470" s="28" t="n"/>
      <c r="DF470" s="31" t="n"/>
      <c r="DG470" s="29">
        <f>IF(AND(DD470=0,DE470=0,DF470=0),0,IF(AND(DD470=0,DE470=0),DF470/1,IF(AND(DD470=0,DF470=0),DE470/1,IF(AND(DE470=0,DF470=0),DD470/1,IF(DD470=0,FLOOR((DE470+DF470)/2,0.1),IF(DE470=0,(DD470+DF470)/2,IF(DF470=0,(DE470+DD470)/2,FLOOR(((DD470+DE470+DF470)/3),0.1))))))))</f>
        <v/>
      </c>
      <c r="DH470" s="34">
        <f>SUM(O470,U470,AA470,AG470,AM470,AS470,AY470,BE470,BK470,BQ470,BW470,CC470,CI470,CO470,CU470,DA470,DG470)</f>
        <v/>
      </c>
      <c r="DI470" s="39">
        <f>RANK(DH470,DH$4:DH$503)</f>
        <v/>
      </c>
      <c r="DJ470" s="40" t="inlineStr">
        <is>
          <t>CHOOSE RATING</t>
        </is>
      </c>
      <c r="DK470" s="40" t="inlineStr">
        <is>
          <t>CHOOSE RATING</t>
        </is>
      </c>
      <c r="DL470" s="40" t="inlineStr">
        <is>
          <t>CHOOSE RATING</t>
        </is>
      </c>
      <c r="DM470" s="40" t="inlineStr">
        <is>
          <t>CHOOSE RATING</t>
        </is>
      </c>
      <c r="DN470" s="40" t="inlineStr">
        <is>
          <t>CHOOSE RATING</t>
        </is>
      </c>
      <c r="DO470" s="40" t="inlineStr">
        <is>
          <t>CHOOSE RATING</t>
        </is>
      </c>
      <c r="DP470" s="40" t="inlineStr">
        <is>
          <t>CHOOSE RATING</t>
        </is>
      </c>
      <c r="DQ470" s="40" t="inlineStr">
        <is>
          <t>CHOOSE RATING</t>
        </is>
      </c>
      <c r="DR470" s="43" t="inlineStr">
        <is>
          <t>2024/2025</t>
        </is>
      </c>
      <c r="DS470" s="45" t="inlineStr">
        <is>
          <t>THIRD</t>
        </is>
      </c>
      <c r="DT470" s="40" t="inlineStr">
        <is>
          <t>CHOOSE RATING</t>
        </is>
      </c>
      <c r="DU470" s="40" t="inlineStr">
        <is>
          <t>CHOOSE RATING</t>
        </is>
      </c>
      <c r="DV470" s="40" t="inlineStr">
        <is>
          <t>CHOOSE RATING</t>
        </is>
      </c>
      <c r="DW470" s="40" t="inlineStr">
        <is>
          <t>CHOOSE RATING</t>
        </is>
      </c>
      <c r="DX470" s="40" t="inlineStr">
        <is>
          <t>CHOOSE RATING</t>
        </is>
      </c>
      <c r="DY470" s="40" t="inlineStr">
        <is>
          <t>CHOOSE RATING</t>
        </is>
      </c>
      <c r="DZ470" s="53" t="inlineStr">
        <is>
          <t>CHOOSE RATING</t>
        </is>
      </c>
      <c r="EA470" s="54" t="inlineStr">
        <is>
          <t>Add the Tutor's Comment . . .</t>
        </is>
      </c>
      <c r="EB470" s="55" t="inlineStr">
        <is>
          <t>Choose Principals comment</t>
        </is>
      </c>
      <c r="EC470" s="56" t="n"/>
      <c r="ED470" s="57" t="inlineStr">
        <is>
          <t>Next Term Begins on Monday, 22nd September, 2025</t>
        </is>
      </c>
    </row>
    <row r="471" ht="30.6" customHeight="1" s="6">
      <c r="A471" s="18" t="n">
        <v>468</v>
      </c>
      <c r="B471" s="19" t="n"/>
      <c r="C471" s="20" t="n"/>
      <c r="D471" s="128" t="n"/>
      <c r="E471" s="21" t="n"/>
      <c r="F471" s="22" t="n"/>
      <c r="G471" s="22" t="n"/>
      <c r="H471" s="22" t="n"/>
      <c r="I471" s="26">
        <f>G471-H471</f>
        <v/>
      </c>
      <c r="J471" s="21" t="n"/>
      <c r="K471" s="21" t="n"/>
      <c r="L471" s="27">
        <f>SUM(J471:K471)</f>
        <v/>
      </c>
      <c r="M471" s="28" t="n"/>
      <c r="N471" s="28" t="n"/>
      <c r="O471" s="29">
        <f>IF(AND(L471=0,M471=0,N471=0),0,IF(AND(L471=0,M471=0),N471/1,IF(AND(L471=0,N471=0),M471/1,IF(AND(M471=0,N471=0),L471/1,IF(L471=0,FLOOR((M471+N471)/2,0.1),IF(M471=0,(L471+N471)/2,IF(N471=0,(M471+L471)/2,FLOOR(((L471+M471+N471)/3),0.1))))))))</f>
        <v/>
      </c>
      <c r="P471" s="21" t="n"/>
      <c r="Q471" s="21" t="n"/>
      <c r="R471" s="27">
        <f>SUM(P471:Q471)</f>
        <v/>
      </c>
      <c r="S471" s="28" t="n"/>
      <c r="T471" s="28" t="n"/>
      <c r="U471" s="29">
        <f>IF(AND(R471=0,S471=0,T471=0),0,IF(AND(R471=0,S471=0),T471/1,IF(AND(R471=0,T471=0),S471/1,IF(AND(S471=0,T471=0),R471/1,IF(R471=0,FLOOR((S471+T471)/2,0.1),IF(S471=0,(R471+T471)/2,IF(T471=0,(S471+R471)/2,FLOOR(((R471+S471+T471)/3),0.1))))))))</f>
        <v/>
      </c>
      <c r="V471" s="21" t="n"/>
      <c r="W471" s="21" t="n"/>
      <c r="X471" s="27">
        <f>SUM(V471:W471)</f>
        <v/>
      </c>
      <c r="Y471" s="28" t="n"/>
      <c r="Z471" s="28" t="n"/>
      <c r="AA471" s="29">
        <f>IF(AND(X471=0,Y471=0,Z471=0),0,IF(AND(X471=0,Y471=0),Z471/1,IF(AND(X471=0,Z471=0),Y471/1,IF(AND(Y471=0,Z471=0),X471/1,IF(X471=0,FLOOR((Y471+Z471)/2,0.1),IF(Y471=0,(X471+Z471)/2,IF(Z471=0,(Y471+X471)/2,FLOOR(((X471+Y471+Z471)/3),0.1))))))))</f>
        <v/>
      </c>
      <c r="AB471" s="21" t="n"/>
      <c r="AC471" s="21" t="n"/>
      <c r="AD471" s="27">
        <f>SUM(AB471:AC471)</f>
        <v/>
      </c>
      <c r="AE471" s="28" t="n"/>
      <c r="AF471" s="28" t="n"/>
      <c r="AG471" s="29">
        <f>IF(AND(AD471=0,AE471=0,AF471=0),0,IF(AND(AD471=0,AE471=0),AF471/1,IF(AND(AD471=0,AF471=0),AE471/1,IF(AND(AE471=0,AF471=0),AD471/1,IF(AD471=0,FLOOR((AE471+AF471)/2,0.1),IF(AE471=0,(AD471+AF471)/2,IF(AF471=0,(AE471+AD471)/2,FLOOR(((AD471+AE471+AF471)/3),0.1))))))))</f>
        <v/>
      </c>
      <c r="AH471" s="21" t="n"/>
      <c r="AI471" s="21" t="n"/>
      <c r="AJ471" s="27">
        <f>SUM(AH471:AI471)</f>
        <v/>
      </c>
      <c r="AK471" s="28" t="n"/>
      <c r="AL471" s="28" t="n"/>
      <c r="AM471" s="29">
        <f>IF(AND(AJ471=0,AK471=0,AL471=0),0,IF(AND(AJ471=0,AK471=0),AL471/1,IF(AND(AJ471=0,AL471=0),AK471/1,IF(AND(AK471=0,AL471=0),AJ471/1,IF(AJ471=0,FLOOR((AK471+AL471)/2,0.1),IF(AK471=0,(AJ471+AL471)/2,IF(AL471=0,(AK471+AJ471)/2,FLOOR(((AJ471+AK471+AL471)/3),0.1))))))))</f>
        <v/>
      </c>
      <c r="AN471" s="21" t="n"/>
      <c r="AO471" s="21" t="n"/>
      <c r="AP471" s="27">
        <f>SUM(AN471:AO471)</f>
        <v/>
      </c>
      <c r="AQ471" s="28" t="n"/>
      <c r="AR471" s="30" t="n"/>
      <c r="AS471" s="29">
        <f>IF(AND(AP471=0,AQ471=0,AR471=0),0,IF(AND(AP471=0,AQ471=0),AR471/1,IF(AND(AP471=0,AR471=0),AQ471/1,IF(AND(AQ471=0,AR471=0),AP471/1,IF(AP471=0,FLOOR((AQ471+AR471)/2,0.1),IF(AQ471=0,(AP471+AR471)/2,IF(AR471=0,(AQ471+AP471)/2,FLOOR(((AP471+AQ471+AR471)/3),0.1))))))))</f>
        <v/>
      </c>
      <c r="AT471" s="21" t="n"/>
      <c r="AU471" s="21" t="n"/>
      <c r="AV471" s="27">
        <f>SUM(AT471:AU471)</f>
        <v/>
      </c>
      <c r="AW471" s="28" t="n"/>
      <c r="AX471" s="30" t="n"/>
      <c r="AY471" s="29">
        <f>IF(AND(AV471=0,AW471=0,AX471=0),0,IF(AND(AV471=0,AW471=0),AX471/1,IF(AND(AV471=0,AX471=0),AW471/1,IF(AND(AW471=0,AX471=0),AV471/1,IF(AV471=0,FLOOR((AW471+AX471)/2,0.1),IF(AW471=0,(AV471+AX471)/2,IF(AX471=0,(AW471+AV471)/2,FLOOR(((AV471+AW471+AX471)/3),0.1))))))))</f>
        <v/>
      </c>
      <c r="AZ471" s="21" t="n"/>
      <c r="BA471" s="21" t="n"/>
      <c r="BB471" s="27">
        <f>SUM(AZ471:BA471)</f>
        <v/>
      </c>
      <c r="BC471" s="28" t="n"/>
      <c r="BD471" s="28" t="n"/>
      <c r="BE471" s="29">
        <f>IF(AND(BB471=0,BC471=0,BD471=0),0,IF(AND(BB471=0,BC471=0),BD471/1,IF(AND(BB471=0,BD471=0),BC471/1,IF(AND(BC471=0,BD471=0),BB471/1,IF(BB471=0,FLOOR((BC471+BD471)/2,0.1),IF(BC471=0,(BB471+BD471)/2,IF(BD471=0,(BC471+BB471)/2,FLOOR(((BB471+BC471+BD471)/3),0.1))))))))</f>
        <v/>
      </c>
      <c r="BF471" s="21" t="n"/>
      <c r="BG471" s="21" t="n"/>
      <c r="BH471" s="27">
        <f>SUM(BF471:BG471)</f>
        <v/>
      </c>
      <c r="BI471" s="28" t="n"/>
      <c r="BJ471" s="28" t="n"/>
      <c r="BK471" s="29">
        <f>IF(AND(BH471=0,BI471=0,BJ471=0),0,IF(AND(BH471=0,BI471=0),BJ471/1,IF(AND(BH471=0,BJ471=0),BI471/1,IF(AND(BI471=0,BJ471=0),BH471/1,IF(BH471=0,FLOOR((BI471+BJ471)/2,0.1),IF(BI471=0,(BH471+BJ471)/2,IF(BJ471=0,(BI471+BH471)/2,FLOOR(((BH471+BI471+BJ471)/3),0.1))))))))</f>
        <v/>
      </c>
      <c r="BL471" s="21" t="n"/>
      <c r="BM471" s="21" t="n"/>
      <c r="BN471" s="27">
        <f>SUM(BL471:BM471)</f>
        <v/>
      </c>
      <c r="BO471" s="28" t="n"/>
      <c r="BP471" s="31" t="n"/>
      <c r="BQ471" s="29">
        <f>IF(AND(BN471=0,BO471=0,BP471=0),0,IF(AND(BN471=0,BO471=0),BP471/1,IF(AND(BN471=0,BP471=0),BO471/1,IF(AND(BO471=0,BP471=0),BN471/1,IF(BN471=0,FLOOR((BO471+BP471)/2,0.1),IF(BO471=0,(BN471+BP471)/2,IF(BP471=0,(BO471+BN471)/2,FLOOR(((BN471+BO471+BP471)/3),0.1))))))))</f>
        <v/>
      </c>
      <c r="BR471" s="21" t="n"/>
      <c r="BS471" s="21" t="n"/>
      <c r="BT471" s="27">
        <f>SUM(BR471:BS471)</f>
        <v/>
      </c>
      <c r="BU471" s="28" t="n"/>
      <c r="BV471" s="31" t="n"/>
      <c r="BW471" s="29">
        <f>IF(AND(BT471=0,BU471=0,BV471=0),0,IF(AND(BT471=0,BU471=0),BV471/1,IF(AND(BT471=0,BV471=0),BU471/1,IF(AND(BU471=0,BV471=0),BT471/1,IF(BT471=0,FLOOR((BU471+BV471)/2,0.1),IF(BU471=0,(BT471+BV471)/2,IF(BV471=0,(BU471+BT471)/2,FLOOR(((BT471+BU471+BV471)/3),0.1))))))))</f>
        <v/>
      </c>
      <c r="BX471" s="21" t="n"/>
      <c r="BY471" s="21" t="n"/>
      <c r="BZ471" s="27">
        <f>SUM(BX471:BY471)</f>
        <v/>
      </c>
      <c r="CA471" s="28" t="n"/>
      <c r="CB471" s="31" t="n"/>
      <c r="CC471" s="29">
        <f>IF(AND(BZ471=0,CA471=0,CB471=0),0,IF(AND(BZ471=0,CA471=0),CB471/1,IF(AND(BZ471=0,CB471=0),CA471/1,IF(AND(CA471=0,CB471=0),BZ471/1,IF(BZ471=0,FLOOR((CA471+CB471)/2,0.1),IF(CA471=0,(BZ471+CB471)/2,IF(CB471=0,(CA471+BZ471)/2,FLOOR(((BZ471+CA471+CB471)/3),0.1))))))))</f>
        <v/>
      </c>
      <c r="CD471" s="21" t="n"/>
      <c r="CE471" s="21" t="n"/>
      <c r="CF471" s="27">
        <f>SUM(CD471:CE471)</f>
        <v/>
      </c>
      <c r="CG471" s="28" t="n"/>
      <c r="CH471" s="31" t="n"/>
      <c r="CI471" s="29">
        <f>IF(AND(CF471=0,CG471=0,CH471=0),0,IF(AND(CF471=0,CG471=0),CH471/1,IF(AND(CF471=0,CH471=0),CG471/1,IF(AND(CG471=0,CH471=0),CF471/1,IF(CF471=0,FLOOR((CG471+CH471)/2,0.1),IF(CG471=0,(CF471+CH471)/2,IF(CH471=0,(CG471+CF471)/2,FLOOR(((CF471+CG471+CH471)/3),0.1))))))))</f>
        <v/>
      </c>
      <c r="CJ471" s="21" t="n"/>
      <c r="CK471" s="21" t="n"/>
      <c r="CL471" s="27">
        <f>SUM(CJ471:CK471)</f>
        <v/>
      </c>
      <c r="CM471" s="28" t="n"/>
      <c r="CN471" s="31" t="n"/>
      <c r="CO471" s="29">
        <f>IF(AND(CL471=0,CM471=0,CN471=0),0,IF(AND(CL471=0,CM471=0),CN471/1,IF(AND(CL471=0,CN471=0),CM471/1,IF(AND(CM471=0,CN471=0),CL471/1,IF(CL471=0,FLOOR((CM471+CN471)/2,0.1),IF(CM471=0,(CL471+CN471)/2,IF(CN471=0,(CM471+CL471)/2,FLOOR(((CL471+CM471+CN471)/3),0.1))))))))</f>
        <v/>
      </c>
      <c r="CP471" s="21" t="n"/>
      <c r="CQ471" s="21" t="n"/>
      <c r="CR471" s="27">
        <f>SUM(CP471:CQ471)</f>
        <v/>
      </c>
      <c r="CS471" s="28" t="n"/>
      <c r="CT471" s="31" t="n"/>
      <c r="CU471" s="29">
        <f>IF(AND(CR471=0,CS471=0,CT471=0),0,IF(AND(CR471=0,CS471=0),CT471/1,IF(AND(CR471=0,CT471=0),CS471/1,IF(AND(CS471=0,CT471=0),CR471/1,IF(CR471=0,FLOOR((CS471+CT471)/2,0.1),IF(CS471=0,(CR471+CT471)/2,IF(CT471=0,(CS471+CR471)/2,FLOOR(((CR471+CS471+CT471)/3),0.1))))))))</f>
        <v/>
      </c>
      <c r="CV471" s="21" t="n"/>
      <c r="CW471" s="21" t="n"/>
      <c r="CX471" s="27">
        <f>SUM(CV471:CW471)</f>
        <v/>
      </c>
      <c r="CY471" s="28" t="n"/>
      <c r="CZ471" s="31" t="n"/>
      <c r="DA471" s="29">
        <f>IF(AND(CX471=0,CY471=0,CZ471=0),0,IF(AND(CX471=0,CY471=0),CZ471/1,IF(AND(CX471=0,CZ471=0),CY471/1,IF(AND(CY471=0,CZ471=0),CX471/1,IF(CX471=0,FLOOR((CY471+CZ471)/2,0.1),IF(CY471=0,(CX471+CZ471)/2,IF(CZ471=0,(CY471+CX471)/2,FLOOR(((CX471+CY471+CZ471)/3),0.1))))))))</f>
        <v/>
      </c>
      <c r="DB471" s="21" t="n"/>
      <c r="DC471" s="21" t="n"/>
      <c r="DD471" s="27">
        <f>SUM(DB471:DC471)</f>
        <v/>
      </c>
      <c r="DE471" s="28" t="n"/>
      <c r="DF471" s="31" t="n"/>
      <c r="DG471" s="29">
        <f>IF(AND(DD471=0,DE471=0,DF471=0),0,IF(AND(DD471=0,DE471=0),DF471/1,IF(AND(DD471=0,DF471=0),DE471/1,IF(AND(DE471=0,DF471=0),DD471/1,IF(DD471=0,FLOOR((DE471+DF471)/2,0.1),IF(DE471=0,(DD471+DF471)/2,IF(DF471=0,(DE471+DD471)/2,FLOOR(((DD471+DE471+DF471)/3),0.1))))))))</f>
        <v/>
      </c>
      <c r="DH471" s="34">
        <f>SUM(O471,U471,AA471,AG471,AM471,AS471,AY471,BE471,BK471,BQ471,BW471,CC471,CI471,CO471,CU471,DA471,DG471)</f>
        <v/>
      </c>
      <c r="DI471" s="39">
        <f>RANK(DH471,DH$4:DH$503)</f>
        <v/>
      </c>
      <c r="DJ471" s="40" t="inlineStr">
        <is>
          <t>CHOOSE RATING</t>
        </is>
      </c>
      <c r="DK471" s="40" t="inlineStr">
        <is>
          <t>CHOOSE RATING</t>
        </is>
      </c>
      <c r="DL471" s="40" t="inlineStr">
        <is>
          <t>CHOOSE RATING</t>
        </is>
      </c>
      <c r="DM471" s="40" t="inlineStr">
        <is>
          <t>CHOOSE RATING</t>
        </is>
      </c>
      <c r="DN471" s="40" t="inlineStr">
        <is>
          <t>CHOOSE RATING</t>
        </is>
      </c>
      <c r="DO471" s="40" t="inlineStr">
        <is>
          <t>CHOOSE RATING</t>
        </is>
      </c>
      <c r="DP471" s="40" t="inlineStr">
        <is>
          <t>CHOOSE RATING</t>
        </is>
      </c>
      <c r="DQ471" s="40" t="inlineStr">
        <is>
          <t>CHOOSE RATING</t>
        </is>
      </c>
      <c r="DR471" s="43" t="inlineStr">
        <is>
          <t>2024/2025</t>
        </is>
      </c>
      <c r="DS471" s="45" t="inlineStr">
        <is>
          <t>THIRD</t>
        </is>
      </c>
      <c r="DT471" s="40" t="inlineStr">
        <is>
          <t>CHOOSE RATING</t>
        </is>
      </c>
      <c r="DU471" s="40" t="inlineStr">
        <is>
          <t>CHOOSE RATING</t>
        </is>
      </c>
      <c r="DV471" s="40" t="inlineStr">
        <is>
          <t>CHOOSE RATING</t>
        </is>
      </c>
      <c r="DW471" s="40" t="inlineStr">
        <is>
          <t>CHOOSE RATING</t>
        </is>
      </c>
      <c r="DX471" s="40" t="inlineStr">
        <is>
          <t>CHOOSE RATING</t>
        </is>
      </c>
      <c r="DY471" s="40" t="inlineStr">
        <is>
          <t>CHOOSE RATING</t>
        </is>
      </c>
      <c r="DZ471" s="53" t="inlineStr">
        <is>
          <t>CHOOSE RATING</t>
        </is>
      </c>
      <c r="EA471" s="54" t="inlineStr">
        <is>
          <t>Add the Tutor's Comment . . .</t>
        </is>
      </c>
      <c r="EB471" s="55" t="inlineStr">
        <is>
          <t>Choose Principals comment</t>
        </is>
      </c>
      <c r="EC471" s="56" t="n"/>
      <c r="ED471" s="57" t="inlineStr">
        <is>
          <t>Next Term Begins on Monday, 22nd September, 2025</t>
        </is>
      </c>
    </row>
    <row r="472" ht="30.6" customHeight="1" s="6">
      <c r="A472" s="18" t="n">
        <v>469</v>
      </c>
      <c r="B472" s="19" t="n"/>
      <c r="C472" s="20" t="n"/>
      <c r="D472" s="128" t="n"/>
      <c r="E472" s="21" t="n"/>
      <c r="F472" s="22" t="n"/>
      <c r="G472" s="22" t="n"/>
      <c r="H472" s="22" t="n"/>
      <c r="I472" s="26">
        <f>G472-H472</f>
        <v/>
      </c>
      <c r="J472" s="21" t="n"/>
      <c r="K472" s="21" t="n"/>
      <c r="L472" s="27">
        <f>SUM(J472:K472)</f>
        <v/>
      </c>
      <c r="M472" s="28" t="n"/>
      <c r="N472" s="28" t="n"/>
      <c r="O472" s="29">
        <f>IF(AND(L472=0,M472=0,N472=0),0,IF(AND(L472=0,M472=0),N472/1,IF(AND(L472=0,N472=0),M472/1,IF(AND(M472=0,N472=0),L472/1,IF(L472=0,FLOOR((M472+N472)/2,0.1),IF(M472=0,(L472+N472)/2,IF(N472=0,(M472+L472)/2,FLOOR(((L472+M472+N472)/3),0.1))))))))</f>
        <v/>
      </c>
      <c r="P472" s="21" t="n"/>
      <c r="Q472" s="21" t="n"/>
      <c r="R472" s="27">
        <f>SUM(P472:Q472)</f>
        <v/>
      </c>
      <c r="S472" s="28" t="n"/>
      <c r="T472" s="28" t="n"/>
      <c r="U472" s="29">
        <f>IF(AND(R472=0,S472=0,T472=0),0,IF(AND(R472=0,S472=0),T472/1,IF(AND(R472=0,T472=0),S472/1,IF(AND(S472=0,T472=0),R472/1,IF(R472=0,FLOOR((S472+T472)/2,0.1),IF(S472=0,(R472+T472)/2,IF(T472=0,(S472+R472)/2,FLOOR(((R472+S472+T472)/3),0.1))))))))</f>
        <v/>
      </c>
      <c r="V472" s="21" t="n"/>
      <c r="W472" s="21" t="n"/>
      <c r="X472" s="27">
        <f>SUM(V472:W472)</f>
        <v/>
      </c>
      <c r="Y472" s="28" t="n"/>
      <c r="Z472" s="28" t="n"/>
      <c r="AA472" s="29">
        <f>IF(AND(X472=0,Y472=0,Z472=0),0,IF(AND(X472=0,Y472=0),Z472/1,IF(AND(X472=0,Z472=0),Y472/1,IF(AND(Y472=0,Z472=0),X472/1,IF(X472=0,FLOOR((Y472+Z472)/2,0.1),IF(Y472=0,(X472+Z472)/2,IF(Z472=0,(Y472+X472)/2,FLOOR(((X472+Y472+Z472)/3),0.1))))))))</f>
        <v/>
      </c>
      <c r="AB472" s="21" t="n"/>
      <c r="AC472" s="21" t="n"/>
      <c r="AD472" s="27">
        <f>SUM(AB472:AC472)</f>
        <v/>
      </c>
      <c r="AE472" s="28" t="n"/>
      <c r="AF472" s="28" t="n"/>
      <c r="AG472" s="29">
        <f>IF(AND(AD472=0,AE472=0,AF472=0),0,IF(AND(AD472=0,AE472=0),AF472/1,IF(AND(AD472=0,AF472=0),AE472/1,IF(AND(AE472=0,AF472=0),AD472/1,IF(AD472=0,FLOOR((AE472+AF472)/2,0.1),IF(AE472=0,(AD472+AF472)/2,IF(AF472=0,(AE472+AD472)/2,FLOOR(((AD472+AE472+AF472)/3),0.1))))))))</f>
        <v/>
      </c>
      <c r="AH472" s="21" t="n"/>
      <c r="AI472" s="21" t="n"/>
      <c r="AJ472" s="27">
        <f>SUM(AH472:AI472)</f>
        <v/>
      </c>
      <c r="AK472" s="28" t="n"/>
      <c r="AL472" s="28" t="n"/>
      <c r="AM472" s="29">
        <f>IF(AND(AJ472=0,AK472=0,AL472=0),0,IF(AND(AJ472=0,AK472=0),AL472/1,IF(AND(AJ472=0,AL472=0),AK472/1,IF(AND(AK472=0,AL472=0),AJ472/1,IF(AJ472=0,FLOOR((AK472+AL472)/2,0.1),IF(AK472=0,(AJ472+AL472)/2,IF(AL472=0,(AK472+AJ472)/2,FLOOR(((AJ472+AK472+AL472)/3),0.1))))))))</f>
        <v/>
      </c>
      <c r="AN472" s="21" t="n"/>
      <c r="AO472" s="21" t="n"/>
      <c r="AP472" s="27">
        <f>SUM(AN472:AO472)</f>
        <v/>
      </c>
      <c r="AQ472" s="28" t="n"/>
      <c r="AR472" s="30" t="n"/>
      <c r="AS472" s="29">
        <f>IF(AND(AP472=0,AQ472=0,AR472=0),0,IF(AND(AP472=0,AQ472=0),AR472/1,IF(AND(AP472=0,AR472=0),AQ472/1,IF(AND(AQ472=0,AR472=0),AP472/1,IF(AP472=0,FLOOR((AQ472+AR472)/2,0.1),IF(AQ472=0,(AP472+AR472)/2,IF(AR472=0,(AQ472+AP472)/2,FLOOR(((AP472+AQ472+AR472)/3),0.1))))))))</f>
        <v/>
      </c>
      <c r="AT472" s="21" t="n"/>
      <c r="AU472" s="21" t="n"/>
      <c r="AV472" s="27">
        <f>SUM(AT472:AU472)</f>
        <v/>
      </c>
      <c r="AW472" s="28" t="n"/>
      <c r="AX472" s="30" t="n"/>
      <c r="AY472" s="29">
        <f>IF(AND(AV472=0,AW472=0,AX472=0),0,IF(AND(AV472=0,AW472=0),AX472/1,IF(AND(AV472=0,AX472=0),AW472/1,IF(AND(AW472=0,AX472=0),AV472/1,IF(AV472=0,FLOOR((AW472+AX472)/2,0.1),IF(AW472=0,(AV472+AX472)/2,IF(AX472=0,(AW472+AV472)/2,FLOOR(((AV472+AW472+AX472)/3),0.1))))))))</f>
        <v/>
      </c>
      <c r="AZ472" s="21" t="n"/>
      <c r="BA472" s="21" t="n"/>
      <c r="BB472" s="27">
        <f>SUM(AZ472:BA472)</f>
        <v/>
      </c>
      <c r="BC472" s="28" t="n"/>
      <c r="BD472" s="28" t="n"/>
      <c r="BE472" s="29">
        <f>IF(AND(BB472=0,BC472=0,BD472=0),0,IF(AND(BB472=0,BC472=0),BD472/1,IF(AND(BB472=0,BD472=0),BC472/1,IF(AND(BC472=0,BD472=0),BB472/1,IF(BB472=0,FLOOR((BC472+BD472)/2,0.1),IF(BC472=0,(BB472+BD472)/2,IF(BD472=0,(BC472+BB472)/2,FLOOR(((BB472+BC472+BD472)/3),0.1))))))))</f>
        <v/>
      </c>
      <c r="BF472" s="21" t="n"/>
      <c r="BG472" s="21" t="n"/>
      <c r="BH472" s="27">
        <f>SUM(BF472:BG472)</f>
        <v/>
      </c>
      <c r="BI472" s="28" t="n"/>
      <c r="BJ472" s="28" t="n"/>
      <c r="BK472" s="29">
        <f>IF(AND(BH472=0,BI472=0,BJ472=0),0,IF(AND(BH472=0,BI472=0),BJ472/1,IF(AND(BH472=0,BJ472=0),BI472/1,IF(AND(BI472=0,BJ472=0),BH472/1,IF(BH472=0,FLOOR((BI472+BJ472)/2,0.1),IF(BI472=0,(BH472+BJ472)/2,IF(BJ472=0,(BI472+BH472)/2,FLOOR(((BH472+BI472+BJ472)/3),0.1))))))))</f>
        <v/>
      </c>
      <c r="BL472" s="21" t="n"/>
      <c r="BM472" s="21" t="n"/>
      <c r="BN472" s="27">
        <f>SUM(BL472:BM472)</f>
        <v/>
      </c>
      <c r="BO472" s="28" t="n"/>
      <c r="BP472" s="31" t="n"/>
      <c r="BQ472" s="29">
        <f>IF(AND(BN472=0,BO472=0,BP472=0),0,IF(AND(BN472=0,BO472=0),BP472/1,IF(AND(BN472=0,BP472=0),BO472/1,IF(AND(BO472=0,BP472=0),BN472/1,IF(BN472=0,FLOOR((BO472+BP472)/2,0.1),IF(BO472=0,(BN472+BP472)/2,IF(BP472=0,(BO472+BN472)/2,FLOOR(((BN472+BO472+BP472)/3),0.1))))))))</f>
        <v/>
      </c>
      <c r="BR472" s="21" t="n"/>
      <c r="BS472" s="21" t="n"/>
      <c r="BT472" s="27">
        <f>SUM(BR472:BS472)</f>
        <v/>
      </c>
      <c r="BU472" s="28" t="n"/>
      <c r="BV472" s="31" t="n"/>
      <c r="BW472" s="29">
        <f>IF(AND(BT472=0,BU472=0,BV472=0),0,IF(AND(BT472=0,BU472=0),BV472/1,IF(AND(BT472=0,BV472=0),BU472/1,IF(AND(BU472=0,BV472=0),BT472/1,IF(BT472=0,FLOOR((BU472+BV472)/2,0.1),IF(BU472=0,(BT472+BV472)/2,IF(BV472=0,(BU472+BT472)/2,FLOOR(((BT472+BU472+BV472)/3),0.1))))))))</f>
        <v/>
      </c>
      <c r="BX472" s="21" t="n"/>
      <c r="BY472" s="21" t="n"/>
      <c r="BZ472" s="27">
        <f>SUM(BX472:BY472)</f>
        <v/>
      </c>
      <c r="CA472" s="28" t="n"/>
      <c r="CB472" s="31" t="n"/>
      <c r="CC472" s="29">
        <f>IF(AND(BZ472=0,CA472=0,CB472=0),0,IF(AND(BZ472=0,CA472=0),CB472/1,IF(AND(BZ472=0,CB472=0),CA472/1,IF(AND(CA472=0,CB472=0),BZ472/1,IF(BZ472=0,FLOOR((CA472+CB472)/2,0.1),IF(CA472=0,(BZ472+CB472)/2,IF(CB472=0,(CA472+BZ472)/2,FLOOR(((BZ472+CA472+CB472)/3),0.1))))))))</f>
        <v/>
      </c>
      <c r="CD472" s="21" t="n"/>
      <c r="CE472" s="21" t="n"/>
      <c r="CF472" s="27">
        <f>SUM(CD472:CE472)</f>
        <v/>
      </c>
      <c r="CG472" s="28" t="n"/>
      <c r="CH472" s="31" t="n"/>
      <c r="CI472" s="29">
        <f>IF(AND(CF472=0,CG472=0,CH472=0),0,IF(AND(CF472=0,CG472=0),CH472/1,IF(AND(CF472=0,CH472=0),CG472/1,IF(AND(CG472=0,CH472=0),CF472/1,IF(CF472=0,FLOOR((CG472+CH472)/2,0.1),IF(CG472=0,(CF472+CH472)/2,IF(CH472=0,(CG472+CF472)/2,FLOOR(((CF472+CG472+CH472)/3),0.1))))))))</f>
        <v/>
      </c>
      <c r="CJ472" s="21" t="n"/>
      <c r="CK472" s="21" t="n"/>
      <c r="CL472" s="27">
        <f>SUM(CJ472:CK472)</f>
        <v/>
      </c>
      <c r="CM472" s="28" t="n"/>
      <c r="CN472" s="31" t="n"/>
      <c r="CO472" s="29">
        <f>IF(AND(CL472=0,CM472=0,CN472=0),0,IF(AND(CL472=0,CM472=0),CN472/1,IF(AND(CL472=0,CN472=0),CM472/1,IF(AND(CM472=0,CN472=0),CL472/1,IF(CL472=0,FLOOR((CM472+CN472)/2,0.1),IF(CM472=0,(CL472+CN472)/2,IF(CN472=0,(CM472+CL472)/2,FLOOR(((CL472+CM472+CN472)/3),0.1))))))))</f>
        <v/>
      </c>
      <c r="CP472" s="21" t="n"/>
      <c r="CQ472" s="21" t="n"/>
      <c r="CR472" s="27">
        <f>SUM(CP472:CQ472)</f>
        <v/>
      </c>
      <c r="CS472" s="28" t="n"/>
      <c r="CT472" s="31" t="n"/>
      <c r="CU472" s="29">
        <f>IF(AND(CR472=0,CS472=0,CT472=0),0,IF(AND(CR472=0,CS472=0),CT472/1,IF(AND(CR472=0,CT472=0),CS472/1,IF(AND(CS472=0,CT472=0),CR472/1,IF(CR472=0,FLOOR((CS472+CT472)/2,0.1),IF(CS472=0,(CR472+CT472)/2,IF(CT472=0,(CS472+CR472)/2,FLOOR(((CR472+CS472+CT472)/3),0.1))))))))</f>
        <v/>
      </c>
      <c r="CV472" s="21" t="n"/>
      <c r="CW472" s="21" t="n"/>
      <c r="CX472" s="27">
        <f>SUM(CV472:CW472)</f>
        <v/>
      </c>
      <c r="CY472" s="28" t="n"/>
      <c r="CZ472" s="31" t="n"/>
      <c r="DA472" s="29">
        <f>IF(AND(CX472=0,CY472=0,CZ472=0),0,IF(AND(CX472=0,CY472=0),CZ472/1,IF(AND(CX472=0,CZ472=0),CY472/1,IF(AND(CY472=0,CZ472=0),CX472/1,IF(CX472=0,FLOOR((CY472+CZ472)/2,0.1),IF(CY472=0,(CX472+CZ472)/2,IF(CZ472=0,(CY472+CX472)/2,FLOOR(((CX472+CY472+CZ472)/3),0.1))))))))</f>
        <v/>
      </c>
      <c r="DB472" s="21" t="n"/>
      <c r="DC472" s="21" t="n"/>
      <c r="DD472" s="27">
        <f>SUM(DB472:DC472)</f>
        <v/>
      </c>
      <c r="DE472" s="28" t="n"/>
      <c r="DF472" s="31" t="n"/>
      <c r="DG472" s="29">
        <f>IF(AND(DD472=0,DE472=0,DF472=0),0,IF(AND(DD472=0,DE472=0),DF472/1,IF(AND(DD472=0,DF472=0),DE472/1,IF(AND(DE472=0,DF472=0),DD472/1,IF(DD472=0,FLOOR((DE472+DF472)/2,0.1),IF(DE472=0,(DD472+DF472)/2,IF(DF472=0,(DE472+DD472)/2,FLOOR(((DD472+DE472+DF472)/3),0.1))))))))</f>
        <v/>
      </c>
      <c r="DH472" s="34">
        <f>SUM(O472,U472,AA472,AG472,AM472,AS472,AY472,BE472,BK472,BQ472,BW472,CC472,CI472,CO472,CU472,DA472,DG472)</f>
        <v/>
      </c>
      <c r="DI472" s="39">
        <f>RANK(DH472,DH$4:DH$503)</f>
        <v/>
      </c>
      <c r="DJ472" s="40" t="inlineStr">
        <is>
          <t>CHOOSE RATING</t>
        </is>
      </c>
      <c r="DK472" s="40" t="inlineStr">
        <is>
          <t>CHOOSE RATING</t>
        </is>
      </c>
      <c r="DL472" s="40" t="inlineStr">
        <is>
          <t>CHOOSE RATING</t>
        </is>
      </c>
      <c r="DM472" s="40" t="inlineStr">
        <is>
          <t>CHOOSE RATING</t>
        </is>
      </c>
      <c r="DN472" s="40" t="inlineStr">
        <is>
          <t>CHOOSE RATING</t>
        </is>
      </c>
      <c r="DO472" s="40" t="inlineStr">
        <is>
          <t>CHOOSE RATING</t>
        </is>
      </c>
      <c r="DP472" s="40" t="inlineStr">
        <is>
          <t>CHOOSE RATING</t>
        </is>
      </c>
      <c r="DQ472" s="40" t="inlineStr">
        <is>
          <t>CHOOSE RATING</t>
        </is>
      </c>
      <c r="DR472" s="43" t="inlineStr">
        <is>
          <t>2024/2025</t>
        </is>
      </c>
      <c r="DS472" s="45" t="inlineStr">
        <is>
          <t>THIRD</t>
        </is>
      </c>
      <c r="DT472" s="40" t="inlineStr">
        <is>
          <t>CHOOSE RATING</t>
        </is>
      </c>
      <c r="DU472" s="40" t="inlineStr">
        <is>
          <t>CHOOSE RATING</t>
        </is>
      </c>
      <c r="DV472" s="40" t="inlineStr">
        <is>
          <t>CHOOSE RATING</t>
        </is>
      </c>
      <c r="DW472" s="40" t="inlineStr">
        <is>
          <t>CHOOSE RATING</t>
        </is>
      </c>
      <c r="DX472" s="40" t="inlineStr">
        <is>
          <t>CHOOSE RATING</t>
        </is>
      </c>
      <c r="DY472" s="40" t="inlineStr">
        <is>
          <t>CHOOSE RATING</t>
        </is>
      </c>
      <c r="DZ472" s="53" t="inlineStr">
        <is>
          <t>CHOOSE RATING</t>
        </is>
      </c>
      <c r="EA472" s="54" t="inlineStr">
        <is>
          <t>Add the Tutor's Comment . . .</t>
        </is>
      </c>
      <c r="EB472" s="55" t="inlineStr">
        <is>
          <t>Choose Principals comment</t>
        </is>
      </c>
      <c r="EC472" s="56" t="n"/>
      <c r="ED472" s="57" t="inlineStr">
        <is>
          <t>Next Term Begins on Monday, 22nd September, 2025</t>
        </is>
      </c>
    </row>
    <row r="473" ht="30.6" customHeight="1" s="6">
      <c r="A473" s="18" t="n">
        <v>470</v>
      </c>
      <c r="B473" s="19" t="n"/>
      <c r="C473" s="20" t="n"/>
      <c r="D473" s="128" t="n"/>
      <c r="E473" s="21" t="n"/>
      <c r="F473" s="22" t="n"/>
      <c r="G473" s="22" t="n"/>
      <c r="H473" s="22" t="n"/>
      <c r="I473" s="26">
        <f>G473-H473</f>
        <v/>
      </c>
      <c r="J473" s="21" t="n"/>
      <c r="K473" s="21" t="n"/>
      <c r="L473" s="27">
        <f>SUM(J473:K473)</f>
        <v/>
      </c>
      <c r="M473" s="28" t="n"/>
      <c r="N473" s="28" t="n"/>
      <c r="O473" s="29">
        <f>IF(AND(L473=0,M473=0,N473=0),0,IF(AND(L473=0,M473=0),N473/1,IF(AND(L473=0,N473=0),M473/1,IF(AND(M473=0,N473=0),L473/1,IF(L473=0,FLOOR((M473+N473)/2,0.1),IF(M473=0,(L473+N473)/2,IF(N473=0,(M473+L473)/2,FLOOR(((L473+M473+N473)/3),0.1))))))))</f>
        <v/>
      </c>
      <c r="P473" s="21" t="n"/>
      <c r="Q473" s="21" t="n"/>
      <c r="R473" s="27">
        <f>SUM(P473:Q473)</f>
        <v/>
      </c>
      <c r="S473" s="28" t="n"/>
      <c r="T473" s="28" t="n"/>
      <c r="U473" s="29">
        <f>IF(AND(R473=0,S473=0,T473=0),0,IF(AND(R473=0,S473=0),T473/1,IF(AND(R473=0,T473=0),S473/1,IF(AND(S473=0,T473=0),R473/1,IF(R473=0,FLOOR((S473+T473)/2,0.1),IF(S473=0,(R473+T473)/2,IF(T473=0,(S473+R473)/2,FLOOR(((R473+S473+T473)/3),0.1))))))))</f>
        <v/>
      </c>
      <c r="V473" s="21" t="n"/>
      <c r="W473" s="21" t="n"/>
      <c r="X473" s="27">
        <f>SUM(V473:W473)</f>
        <v/>
      </c>
      <c r="Y473" s="28" t="n"/>
      <c r="Z473" s="28" t="n"/>
      <c r="AA473" s="29">
        <f>IF(AND(X473=0,Y473=0,Z473=0),0,IF(AND(X473=0,Y473=0),Z473/1,IF(AND(X473=0,Z473=0),Y473/1,IF(AND(Y473=0,Z473=0),X473/1,IF(X473=0,FLOOR((Y473+Z473)/2,0.1),IF(Y473=0,(X473+Z473)/2,IF(Z473=0,(Y473+X473)/2,FLOOR(((X473+Y473+Z473)/3),0.1))))))))</f>
        <v/>
      </c>
      <c r="AB473" s="21" t="n"/>
      <c r="AC473" s="21" t="n"/>
      <c r="AD473" s="27">
        <f>SUM(AB473:AC473)</f>
        <v/>
      </c>
      <c r="AE473" s="28" t="n"/>
      <c r="AF473" s="28" t="n"/>
      <c r="AG473" s="29">
        <f>IF(AND(AD473=0,AE473=0,AF473=0),0,IF(AND(AD473=0,AE473=0),AF473/1,IF(AND(AD473=0,AF473=0),AE473/1,IF(AND(AE473=0,AF473=0),AD473/1,IF(AD473=0,FLOOR((AE473+AF473)/2,0.1),IF(AE473=0,(AD473+AF473)/2,IF(AF473=0,(AE473+AD473)/2,FLOOR(((AD473+AE473+AF473)/3),0.1))))))))</f>
        <v/>
      </c>
      <c r="AH473" s="21" t="n"/>
      <c r="AI473" s="21" t="n"/>
      <c r="AJ473" s="27">
        <f>SUM(AH473:AI473)</f>
        <v/>
      </c>
      <c r="AK473" s="28" t="n"/>
      <c r="AL473" s="28" t="n"/>
      <c r="AM473" s="29">
        <f>IF(AND(AJ473=0,AK473=0,AL473=0),0,IF(AND(AJ473=0,AK473=0),AL473/1,IF(AND(AJ473=0,AL473=0),AK473/1,IF(AND(AK473=0,AL473=0),AJ473/1,IF(AJ473=0,FLOOR((AK473+AL473)/2,0.1),IF(AK473=0,(AJ473+AL473)/2,IF(AL473=0,(AK473+AJ473)/2,FLOOR(((AJ473+AK473+AL473)/3),0.1))))))))</f>
        <v/>
      </c>
      <c r="AN473" s="21" t="n"/>
      <c r="AO473" s="21" t="n"/>
      <c r="AP473" s="27">
        <f>SUM(AN473:AO473)</f>
        <v/>
      </c>
      <c r="AQ473" s="28" t="n"/>
      <c r="AR473" s="30" t="n"/>
      <c r="AS473" s="29">
        <f>IF(AND(AP473=0,AQ473=0,AR473=0),0,IF(AND(AP473=0,AQ473=0),AR473/1,IF(AND(AP473=0,AR473=0),AQ473/1,IF(AND(AQ473=0,AR473=0),AP473/1,IF(AP473=0,FLOOR((AQ473+AR473)/2,0.1),IF(AQ473=0,(AP473+AR473)/2,IF(AR473=0,(AQ473+AP473)/2,FLOOR(((AP473+AQ473+AR473)/3),0.1))))))))</f>
        <v/>
      </c>
      <c r="AT473" s="21" t="n"/>
      <c r="AU473" s="21" t="n"/>
      <c r="AV473" s="27">
        <f>SUM(AT473:AU473)</f>
        <v/>
      </c>
      <c r="AW473" s="28" t="n"/>
      <c r="AX473" s="30" t="n"/>
      <c r="AY473" s="29">
        <f>IF(AND(AV473=0,AW473=0,AX473=0),0,IF(AND(AV473=0,AW473=0),AX473/1,IF(AND(AV473=0,AX473=0),AW473/1,IF(AND(AW473=0,AX473=0),AV473/1,IF(AV473=0,FLOOR((AW473+AX473)/2,0.1),IF(AW473=0,(AV473+AX473)/2,IF(AX473=0,(AW473+AV473)/2,FLOOR(((AV473+AW473+AX473)/3),0.1))))))))</f>
        <v/>
      </c>
      <c r="AZ473" s="21" t="n"/>
      <c r="BA473" s="21" t="n"/>
      <c r="BB473" s="27">
        <f>SUM(AZ473:BA473)</f>
        <v/>
      </c>
      <c r="BC473" s="28" t="n"/>
      <c r="BD473" s="28" t="n"/>
      <c r="BE473" s="29">
        <f>IF(AND(BB473=0,BC473=0,BD473=0),0,IF(AND(BB473=0,BC473=0),BD473/1,IF(AND(BB473=0,BD473=0),BC473/1,IF(AND(BC473=0,BD473=0),BB473/1,IF(BB473=0,FLOOR((BC473+BD473)/2,0.1),IF(BC473=0,(BB473+BD473)/2,IF(BD473=0,(BC473+BB473)/2,FLOOR(((BB473+BC473+BD473)/3),0.1))))))))</f>
        <v/>
      </c>
      <c r="BF473" s="21" t="n"/>
      <c r="BG473" s="21" t="n"/>
      <c r="BH473" s="27">
        <f>SUM(BF473:BG473)</f>
        <v/>
      </c>
      <c r="BI473" s="28" t="n"/>
      <c r="BJ473" s="28" t="n"/>
      <c r="BK473" s="29">
        <f>IF(AND(BH473=0,BI473=0,BJ473=0),0,IF(AND(BH473=0,BI473=0),BJ473/1,IF(AND(BH473=0,BJ473=0),BI473/1,IF(AND(BI473=0,BJ473=0),BH473/1,IF(BH473=0,FLOOR((BI473+BJ473)/2,0.1),IF(BI473=0,(BH473+BJ473)/2,IF(BJ473=0,(BI473+BH473)/2,FLOOR(((BH473+BI473+BJ473)/3),0.1))))))))</f>
        <v/>
      </c>
      <c r="BL473" s="21" t="n"/>
      <c r="BM473" s="21" t="n"/>
      <c r="BN473" s="27">
        <f>SUM(BL473:BM473)</f>
        <v/>
      </c>
      <c r="BO473" s="28" t="n"/>
      <c r="BP473" s="31" t="n"/>
      <c r="BQ473" s="29">
        <f>IF(AND(BN473=0,BO473=0,BP473=0),0,IF(AND(BN473=0,BO473=0),BP473/1,IF(AND(BN473=0,BP473=0),BO473/1,IF(AND(BO473=0,BP473=0),BN473/1,IF(BN473=0,FLOOR((BO473+BP473)/2,0.1),IF(BO473=0,(BN473+BP473)/2,IF(BP473=0,(BO473+BN473)/2,FLOOR(((BN473+BO473+BP473)/3),0.1))))))))</f>
        <v/>
      </c>
      <c r="BR473" s="21" t="n"/>
      <c r="BS473" s="21" t="n"/>
      <c r="BT473" s="27">
        <f>SUM(BR473:BS473)</f>
        <v/>
      </c>
      <c r="BU473" s="28" t="n"/>
      <c r="BV473" s="31" t="n"/>
      <c r="BW473" s="29">
        <f>IF(AND(BT473=0,BU473=0,BV473=0),0,IF(AND(BT473=0,BU473=0),BV473/1,IF(AND(BT473=0,BV473=0),BU473/1,IF(AND(BU473=0,BV473=0),BT473/1,IF(BT473=0,FLOOR((BU473+BV473)/2,0.1),IF(BU473=0,(BT473+BV473)/2,IF(BV473=0,(BU473+BT473)/2,FLOOR(((BT473+BU473+BV473)/3),0.1))))))))</f>
        <v/>
      </c>
      <c r="BX473" s="21" t="n"/>
      <c r="BY473" s="21" t="n"/>
      <c r="BZ473" s="27">
        <f>SUM(BX473:BY473)</f>
        <v/>
      </c>
      <c r="CA473" s="28" t="n"/>
      <c r="CB473" s="31" t="n"/>
      <c r="CC473" s="29">
        <f>IF(AND(BZ473=0,CA473=0,CB473=0),0,IF(AND(BZ473=0,CA473=0),CB473/1,IF(AND(BZ473=0,CB473=0),CA473/1,IF(AND(CA473=0,CB473=0),BZ473/1,IF(BZ473=0,FLOOR((CA473+CB473)/2,0.1),IF(CA473=0,(BZ473+CB473)/2,IF(CB473=0,(CA473+BZ473)/2,FLOOR(((BZ473+CA473+CB473)/3),0.1))))))))</f>
        <v/>
      </c>
      <c r="CD473" s="21" t="n"/>
      <c r="CE473" s="21" t="n"/>
      <c r="CF473" s="27">
        <f>SUM(CD473:CE473)</f>
        <v/>
      </c>
      <c r="CG473" s="28" t="n"/>
      <c r="CH473" s="31" t="n"/>
      <c r="CI473" s="29">
        <f>IF(AND(CF473=0,CG473=0,CH473=0),0,IF(AND(CF473=0,CG473=0),CH473/1,IF(AND(CF473=0,CH473=0),CG473/1,IF(AND(CG473=0,CH473=0),CF473/1,IF(CF473=0,FLOOR((CG473+CH473)/2,0.1),IF(CG473=0,(CF473+CH473)/2,IF(CH473=0,(CG473+CF473)/2,FLOOR(((CF473+CG473+CH473)/3),0.1))))))))</f>
        <v/>
      </c>
      <c r="CJ473" s="21" t="n"/>
      <c r="CK473" s="21" t="n"/>
      <c r="CL473" s="27">
        <f>SUM(CJ473:CK473)</f>
        <v/>
      </c>
      <c r="CM473" s="28" t="n"/>
      <c r="CN473" s="31" t="n"/>
      <c r="CO473" s="29">
        <f>IF(AND(CL473=0,CM473=0,CN473=0),0,IF(AND(CL473=0,CM473=0),CN473/1,IF(AND(CL473=0,CN473=0),CM473/1,IF(AND(CM473=0,CN473=0),CL473/1,IF(CL473=0,FLOOR((CM473+CN473)/2,0.1),IF(CM473=0,(CL473+CN473)/2,IF(CN473=0,(CM473+CL473)/2,FLOOR(((CL473+CM473+CN473)/3),0.1))))))))</f>
        <v/>
      </c>
      <c r="CP473" s="21" t="n"/>
      <c r="CQ473" s="21" t="n"/>
      <c r="CR473" s="27">
        <f>SUM(CP473:CQ473)</f>
        <v/>
      </c>
      <c r="CS473" s="28" t="n"/>
      <c r="CT473" s="31" t="n"/>
      <c r="CU473" s="29">
        <f>IF(AND(CR473=0,CS473=0,CT473=0),0,IF(AND(CR473=0,CS473=0),CT473/1,IF(AND(CR473=0,CT473=0),CS473/1,IF(AND(CS473=0,CT473=0),CR473/1,IF(CR473=0,FLOOR((CS473+CT473)/2,0.1),IF(CS473=0,(CR473+CT473)/2,IF(CT473=0,(CS473+CR473)/2,FLOOR(((CR473+CS473+CT473)/3),0.1))))))))</f>
        <v/>
      </c>
      <c r="CV473" s="21" t="n"/>
      <c r="CW473" s="21" t="n"/>
      <c r="CX473" s="27">
        <f>SUM(CV473:CW473)</f>
        <v/>
      </c>
      <c r="CY473" s="28" t="n"/>
      <c r="CZ473" s="31" t="n"/>
      <c r="DA473" s="29">
        <f>IF(AND(CX473=0,CY473=0,CZ473=0),0,IF(AND(CX473=0,CY473=0),CZ473/1,IF(AND(CX473=0,CZ473=0),CY473/1,IF(AND(CY473=0,CZ473=0),CX473/1,IF(CX473=0,FLOOR((CY473+CZ473)/2,0.1),IF(CY473=0,(CX473+CZ473)/2,IF(CZ473=0,(CY473+CX473)/2,FLOOR(((CX473+CY473+CZ473)/3),0.1))))))))</f>
        <v/>
      </c>
      <c r="DB473" s="21" t="n"/>
      <c r="DC473" s="21" t="n"/>
      <c r="DD473" s="27">
        <f>SUM(DB473:DC473)</f>
        <v/>
      </c>
      <c r="DE473" s="28" t="n"/>
      <c r="DF473" s="31" t="n"/>
      <c r="DG473" s="29">
        <f>IF(AND(DD473=0,DE473=0,DF473=0),0,IF(AND(DD473=0,DE473=0),DF473/1,IF(AND(DD473=0,DF473=0),DE473/1,IF(AND(DE473=0,DF473=0),DD473/1,IF(DD473=0,FLOOR((DE473+DF473)/2,0.1),IF(DE473=0,(DD473+DF473)/2,IF(DF473=0,(DE473+DD473)/2,FLOOR(((DD473+DE473+DF473)/3),0.1))))))))</f>
        <v/>
      </c>
      <c r="DH473" s="34">
        <f>SUM(O473,U473,AA473,AG473,AM473,AS473,AY473,BE473,BK473,BQ473,BW473,CC473,CI473,CO473,CU473,DA473,DG473)</f>
        <v/>
      </c>
      <c r="DI473" s="39">
        <f>RANK(DH473,DH$4:DH$503)</f>
        <v/>
      </c>
      <c r="DJ473" s="40" t="inlineStr">
        <is>
          <t>CHOOSE RATING</t>
        </is>
      </c>
      <c r="DK473" s="40" t="inlineStr">
        <is>
          <t>CHOOSE RATING</t>
        </is>
      </c>
      <c r="DL473" s="40" t="inlineStr">
        <is>
          <t>CHOOSE RATING</t>
        </is>
      </c>
      <c r="DM473" s="40" t="inlineStr">
        <is>
          <t>CHOOSE RATING</t>
        </is>
      </c>
      <c r="DN473" s="40" t="inlineStr">
        <is>
          <t>CHOOSE RATING</t>
        </is>
      </c>
      <c r="DO473" s="40" t="inlineStr">
        <is>
          <t>CHOOSE RATING</t>
        </is>
      </c>
      <c r="DP473" s="40" t="inlineStr">
        <is>
          <t>CHOOSE RATING</t>
        </is>
      </c>
      <c r="DQ473" s="40" t="inlineStr">
        <is>
          <t>CHOOSE RATING</t>
        </is>
      </c>
      <c r="DR473" s="43" t="inlineStr">
        <is>
          <t>2024/2025</t>
        </is>
      </c>
      <c r="DS473" s="45" t="inlineStr">
        <is>
          <t>THIRD</t>
        </is>
      </c>
      <c r="DT473" s="40" t="inlineStr">
        <is>
          <t>CHOOSE RATING</t>
        </is>
      </c>
      <c r="DU473" s="40" t="inlineStr">
        <is>
          <t>CHOOSE RATING</t>
        </is>
      </c>
      <c r="DV473" s="40" t="inlineStr">
        <is>
          <t>CHOOSE RATING</t>
        </is>
      </c>
      <c r="DW473" s="40" t="inlineStr">
        <is>
          <t>CHOOSE RATING</t>
        </is>
      </c>
      <c r="DX473" s="40" t="inlineStr">
        <is>
          <t>CHOOSE RATING</t>
        </is>
      </c>
      <c r="DY473" s="40" t="inlineStr">
        <is>
          <t>CHOOSE RATING</t>
        </is>
      </c>
      <c r="DZ473" s="53" t="inlineStr">
        <is>
          <t>CHOOSE RATING</t>
        </is>
      </c>
      <c r="EA473" s="54" t="inlineStr">
        <is>
          <t>Add the Tutor's Comment . . .</t>
        </is>
      </c>
      <c r="EB473" s="55" t="inlineStr">
        <is>
          <t>Choose Principals comment</t>
        </is>
      </c>
      <c r="EC473" s="56" t="n"/>
      <c r="ED473" s="57" t="inlineStr">
        <is>
          <t>Next Term Begins on Monday, 22nd September, 2025</t>
        </is>
      </c>
    </row>
    <row r="474" ht="30.6" customHeight="1" s="6">
      <c r="A474" s="18" t="n">
        <v>471</v>
      </c>
      <c r="B474" s="19" t="n"/>
      <c r="C474" s="20" t="n"/>
      <c r="D474" s="128" t="n"/>
      <c r="E474" s="21" t="n"/>
      <c r="F474" s="22" t="n"/>
      <c r="G474" s="22" t="n"/>
      <c r="H474" s="22" t="n"/>
      <c r="I474" s="26">
        <f>G474-H474</f>
        <v/>
      </c>
      <c r="J474" s="21" t="n"/>
      <c r="K474" s="21" t="n"/>
      <c r="L474" s="27">
        <f>SUM(J474:K474)</f>
        <v/>
      </c>
      <c r="M474" s="28" t="n"/>
      <c r="N474" s="28" t="n"/>
      <c r="O474" s="29">
        <f>IF(AND(L474=0,M474=0,N474=0),0,IF(AND(L474=0,M474=0),N474/1,IF(AND(L474=0,N474=0),M474/1,IF(AND(M474=0,N474=0),L474/1,IF(L474=0,FLOOR((M474+N474)/2,0.1),IF(M474=0,(L474+N474)/2,IF(N474=0,(M474+L474)/2,FLOOR(((L474+M474+N474)/3),0.1))))))))</f>
        <v/>
      </c>
      <c r="P474" s="21" t="n"/>
      <c r="Q474" s="21" t="n"/>
      <c r="R474" s="27">
        <f>SUM(P474:Q474)</f>
        <v/>
      </c>
      <c r="S474" s="28" t="n"/>
      <c r="T474" s="28" t="n"/>
      <c r="U474" s="29">
        <f>IF(AND(R474=0,S474=0,T474=0),0,IF(AND(R474=0,S474=0),T474/1,IF(AND(R474=0,T474=0),S474/1,IF(AND(S474=0,T474=0),R474/1,IF(R474=0,FLOOR((S474+T474)/2,0.1),IF(S474=0,(R474+T474)/2,IF(T474=0,(S474+R474)/2,FLOOR(((R474+S474+T474)/3),0.1))))))))</f>
        <v/>
      </c>
      <c r="V474" s="21" t="n"/>
      <c r="W474" s="21" t="n"/>
      <c r="X474" s="27">
        <f>SUM(V474:W474)</f>
        <v/>
      </c>
      <c r="Y474" s="28" t="n"/>
      <c r="Z474" s="28" t="n"/>
      <c r="AA474" s="29">
        <f>IF(AND(X474=0,Y474=0,Z474=0),0,IF(AND(X474=0,Y474=0),Z474/1,IF(AND(X474=0,Z474=0),Y474/1,IF(AND(Y474=0,Z474=0),X474/1,IF(X474=0,FLOOR((Y474+Z474)/2,0.1),IF(Y474=0,(X474+Z474)/2,IF(Z474=0,(Y474+X474)/2,FLOOR(((X474+Y474+Z474)/3),0.1))))))))</f>
        <v/>
      </c>
      <c r="AB474" s="21" t="n"/>
      <c r="AC474" s="21" t="n"/>
      <c r="AD474" s="27">
        <f>SUM(AB474:AC474)</f>
        <v/>
      </c>
      <c r="AE474" s="28" t="n"/>
      <c r="AF474" s="28" t="n"/>
      <c r="AG474" s="29">
        <f>IF(AND(AD474=0,AE474=0,AF474=0),0,IF(AND(AD474=0,AE474=0),AF474/1,IF(AND(AD474=0,AF474=0),AE474/1,IF(AND(AE474=0,AF474=0),AD474/1,IF(AD474=0,FLOOR((AE474+AF474)/2,0.1),IF(AE474=0,(AD474+AF474)/2,IF(AF474=0,(AE474+AD474)/2,FLOOR(((AD474+AE474+AF474)/3),0.1))))))))</f>
        <v/>
      </c>
      <c r="AH474" s="21" t="n"/>
      <c r="AI474" s="21" t="n"/>
      <c r="AJ474" s="27">
        <f>SUM(AH474:AI474)</f>
        <v/>
      </c>
      <c r="AK474" s="28" t="n"/>
      <c r="AL474" s="28" t="n"/>
      <c r="AM474" s="29">
        <f>IF(AND(AJ474=0,AK474=0,AL474=0),0,IF(AND(AJ474=0,AK474=0),AL474/1,IF(AND(AJ474=0,AL474=0),AK474/1,IF(AND(AK474=0,AL474=0),AJ474/1,IF(AJ474=0,FLOOR((AK474+AL474)/2,0.1),IF(AK474=0,(AJ474+AL474)/2,IF(AL474=0,(AK474+AJ474)/2,FLOOR(((AJ474+AK474+AL474)/3),0.1))))))))</f>
        <v/>
      </c>
      <c r="AN474" s="21" t="n"/>
      <c r="AO474" s="21" t="n"/>
      <c r="AP474" s="27">
        <f>SUM(AN474:AO474)</f>
        <v/>
      </c>
      <c r="AQ474" s="28" t="n"/>
      <c r="AR474" s="30" t="n"/>
      <c r="AS474" s="29">
        <f>IF(AND(AP474=0,AQ474=0,AR474=0),0,IF(AND(AP474=0,AQ474=0),AR474/1,IF(AND(AP474=0,AR474=0),AQ474/1,IF(AND(AQ474=0,AR474=0),AP474/1,IF(AP474=0,FLOOR((AQ474+AR474)/2,0.1),IF(AQ474=0,(AP474+AR474)/2,IF(AR474=0,(AQ474+AP474)/2,FLOOR(((AP474+AQ474+AR474)/3),0.1))))))))</f>
        <v/>
      </c>
      <c r="AT474" s="21" t="n"/>
      <c r="AU474" s="21" t="n"/>
      <c r="AV474" s="27">
        <f>SUM(AT474:AU474)</f>
        <v/>
      </c>
      <c r="AW474" s="28" t="n"/>
      <c r="AX474" s="30" t="n"/>
      <c r="AY474" s="29">
        <f>IF(AND(AV474=0,AW474=0,AX474=0),0,IF(AND(AV474=0,AW474=0),AX474/1,IF(AND(AV474=0,AX474=0),AW474/1,IF(AND(AW474=0,AX474=0),AV474/1,IF(AV474=0,FLOOR((AW474+AX474)/2,0.1),IF(AW474=0,(AV474+AX474)/2,IF(AX474=0,(AW474+AV474)/2,FLOOR(((AV474+AW474+AX474)/3),0.1))))))))</f>
        <v/>
      </c>
      <c r="AZ474" s="21" t="n"/>
      <c r="BA474" s="21" t="n"/>
      <c r="BB474" s="27">
        <f>SUM(AZ474:BA474)</f>
        <v/>
      </c>
      <c r="BC474" s="28" t="n"/>
      <c r="BD474" s="28" t="n"/>
      <c r="BE474" s="29">
        <f>IF(AND(BB474=0,BC474=0,BD474=0),0,IF(AND(BB474=0,BC474=0),BD474/1,IF(AND(BB474=0,BD474=0),BC474/1,IF(AND(BC474=0,BD474=0),BB474/1,IF(BB474=0,FLOOR((BC474+BD474)/2,0.1),IF(BC474=0,(BB474+BD474)/2,IF(BD474=0,(BC474+BB474)/2,FLOOR(((BB474+BC474+BD474)/3),0.1))))))))</f>
        <v/>
      </c>
      <c r="BF474" s="21" t="n"/>
      <c r="BG474" s="21" t="n"/>
      <c r="BH474" s="27">
        <f>SUM(BF474:BG474)</f>
        <v/>
      </c>
      <c r="BI474" s="28" t="n"/>
      <c r="BJ474" s="28" t="n"/>
      <c r="BK474" s="29">
        <f>IF(AND(BH474=0,BI474=0,BJ474=0),0,IF(AND(BH474=0,BI474=0),BJ474/1,IF(AND(BH474=0,BJ474=0),BI474/1,IF(AND(BI474=0,BJ474=0),BH474/1,IF(BH474=0,FLOOR((BI474+BJ474)/2,0.1),IF(BI474=0,(BH474+BJ474)/2,IF(BJ474=0,(BI474+BH474)/2,FLOOR(((BH474+BI474+BJ474)/3),0.1))))))))</f>
        <v/>
      </c>
      <c r="BL474" s="21" t="n"/>
      <c r="BM474" s="21" t="n"/>
      <c r="BN474" s="27">
        <f>SUM(BL474:BM474)</f>
        <v/>
      </c>
      <c r="BO474" s="28" t="n"/>
      <c r="BP474" s="31" t="n"/>
      <c r="BQ474" s="29">
        <f>IF(AND(BN474=0,BO474=0,BP474=0),0,IF(AND(BN474=0,BO474=0),BP474/1,IF(AND(BN474=0,BP474=0),BO474/1,IF(AND(BO474=0,BP474=0),BN474/1,IF(BN474=0,FLOOR((BO474+BP474)/2,0.1),IF(BO474=0,(BN474+BP474)/2,IF(BP474=0,(BO474+BN474)/2,FLOOR(((BN474+BO474+BP474)/3),0.1))))))))</f>
        <v/>
      </c>
      <c r="BR474" s="21" t="n"/>
      <c r="BS474" s="21" t="n"/>
      <c r="BT474" s="27">
        <f>SUM(BR474:BS474)</f>
        <v/>
      </c>
      <c r="BU474" s="28" t="n"/>
      <c r="BV474" s="31" t="n"/>
      <c r="BW474" s="29">
        <f>IF(AND(BT474=0,BU474=0,BV474=0),0,IF(AND(BT474=0,BU474=0),BV474/1,IF(AND(BT474=0,BV474=0),BU474/1,IF(AND(BU474=0,BV474=0),BT474/1,IF(BT474=0,FLOOR((BU474+BV474)/2,0.1),IF(BU474=0,(BT474+BV474)/2,IF(BV474=0,(BU474+BT474)/2,FLOOR(((BT474+BU474+BV474)/3),0.1))))))))</f>
        <v/>
      </c>
      <c r="BX474" s="21" t="n"/>
      <c r="BY474" s="21" t="n"/>
      <c r="BZ474" s="27">
        <f>SUM(BX474:BY474)</f>
        <v/>
      </c>
      <c r="CA474" s="28" t="n"/>
      <c r="CB474" s="31" t="n"/>
      <c r="CC474" s="29">
        <f>IF(AND(BZ474=0,CA474=0,CB474=0),0,IF(AND(BZ474=0,CA474=0),CB474/1,IF(AND(BZ474=0,CB474=0),CA474/1,IF(AND(CA474=0,CB474=0),BZ474/1,IF(BZ474=0,FLOOR((CA474+CB474)/2,0.1),IF(CA474=0,(BZ474+CB474)/2,IF(CB474=0,(CA474+BZ474)/2,FLOOR(((BZ474+CA474+CB474)/3),0.1))))))))</f>
        <v/>
      </c>
      <c r="CD474" s="21" t="n"/>
      <c r="CE474" s="21" t="n"/>
      <c r="CF474" s="27">
        <f>SUM(CD474:CE474)</f>
        <v/>
      </c>
      <c r="CG474" s="28" t="n"/>
      <c r="CH474" s="31" t="n"/>
      <c r="CI474" s="29">
        <f>IF(AND(CF474=0,CG474=0,CH474=0),0,IF(AND(CF474=0,CG474=0),CH474/1,IF(AND(CF474=0,CH474=0),CG474/1,IF(AND(CG474=0,CH474=0),CF474/1,IF(CF474=0,FLOOR((CG474+CH474)/2,0.1),IF(CG474=0,(CF474+CH474)/2,IF(CH474=0,(CG474+CF474)/2,FLOOR(((CF474+CG474+CH474)/3),0.1))))))))</f>
        <v/>
      </c>
      <c r="CJ474" s="21" t="n"/>
      <c r="CK474" s="21" t="n"/>
      <c r="CL474" s="27">
        <f>SUM(CJ474:CK474)</f>
        <v/>
      </c>
      <c r="CM474" s="28" t="n"/>
      <c r="CN474" s="31" t="n"/>
      <c r="CO474" s="29">
        <f>IF(AND(CL474=0,CM474=0,CN474=0),0,IF(AND(CL474=0,CM474=0),CN474/1,IF(AND(CL474=0,CN474=0),CM474/1,IF(AND(CM474=0,CN474=0),CL474/1,IF(CL474=0,FLOOR((CM474+CN474)/2,0.1),IF(CM474=0,(CL474+CN474)/2,IF(CN474=0,(CM474+CL474)/2,FLOOR(((CL474+CM474+CN474)/3),0.1))))))))</f>
        <v/>
      </c>
      <c r="CP474" s="21" t="n"/>
      <c r="CQ474" s="21" t="n"/>
      <c r="CR474" s="27">
        <f>SUM(CP474:CQ474)</f>
        <v/>
      </c>
      <c r="CS474" s="28" t="n"/>
      <c r="CT474" s="31" t="n"/>
      <c r="CU474" s="29">
        <f>IF(AND(CR474=0,CS474=0,CT474=0),0,IF(AND(CR474=0,CS474=0),CT474/1,IF(AND(CR474=0,CT474=0),CS474/1,IF(AND(CS474=0,CT474=0),CR474/1,IF(CR474=0,FLOOR((CS474+CT474)/2,0.1),IF(CS474=0,(CR474+CT474)/2,IF(CT474=0,(CS474+CR474)/2,FLOOR(((CR474+CS474+CT474)/3),0.1))))))))</f>
        <v/>
      </c>
      <c r="CV474" s="21" t="n"/>
      <c r="CW474" s="21" t="n"/>
      <c r="CX474" s="27">
        <f>SUM(CV474:CW474)</f>
        <v/>
      </c>
      <c r="CY474" s="28" t="n"/>
      <c r="CZ474" s="31" t="n"/>
      <c r="DA474" s="29">
        <f>IF(AND(CX474=0,CY474=0,CZ474=0),0,IF(AND(CX474=0,CY474=0),CZ474/1,IF(AND(CX474=0,CZ474=0),CY474/1,IF(AND(CY474=0,CZ474=0),CX474/1,IF(CX474=0,FLOOR((CY474+CZ474)/2,0.1),IF(CY474=0,(CX474+CZ474)/2,IF(CZ474=0,(CY474+CX474)/2,FLOOR(((CX474+CY474+CZ474)/3),0.1))))))))</f>
        <v/>
      </c>
      <c r="DB474" s="21" t="n"/>
      <c r="DC474" s="21" t="n"/>
      <c r="DD474" s="27">
        <f>SUM(DB474:DC474)</f>
        <v/>
      </c>
      <c r="DE474" s="28" t="n"/>
      <c r="DF474" s="31" t="n"/>
      <c r="DG474" s="29">
        <f>IF(AND(DD474=0,DE474=0,DF474=0),0,IF(AND(DD474=0,DE474=0),DF474/1,IF(AND(DD474=0,DF474=0),DE474/1,IF(AND(DE474=0,DF474=0),DD474/1,IF(DD474=0,FLOOR((DE474+DF474)/2,0.1),IF(DE474=0,(DD474+DF474)/2,IF(DF474=0,(DE474+DD474)/2,FLOOR(((DD474+DE474+DF474)/3),0.1))))))))</f>
        <v/>
      </c>
      <c r="DH474" s="34">
        <f>SUM(O474,U474,AA474,AG474,AM474,AS474,AY474,BE474,BK474,BQ474,BW474,CC474,CI474,CO474,CU474,DA474,DG474)</f>
        <v/>
      </c>
      <c r="DI474" s="39">
        <f>RANK(DH474,DH$4:DH$503)</f>
        <v/>
      </c>
      <c r="DJ474" s="40" t="inlineStr">
        <is>
          <t>CHOOSE RATING</t>
        </is>
      </c>
      <c r="DK474" s="40" t="inlineStr">
        <is>
          <t>CHOOSE RATING</t>
        </is>
      </c>
      <c r="DL474" s="40" t="inlineStr">
        <is>
          <t>CHOOSE RATING</t>
        </is>
      </c>
      <c r="DM474" s="40" t="inlineStr">
        <is>
          <t>CHOOSE RATING</t>
        </is>
      </c>
      <c r="DN474" s="40" t="inlineStr">
        <is>
          <t>CHOOSE RATING</t>
        </is>
      </c>
      <c r="DO474" s="40" t="inlineStr">
        <is>
          <t>CHOOSE RATING</t>
        </is>
      </c>
      <c r="DP474" s="40" t="inlineStr">
        <is>
          <t>CHOOSE RATING</t>
        </is>
      </c>
      <c r="DQ474" s="40" t="inlineStr">
        <is>
          <t>CHOOSE RATING</t>
        </is>
      </c>
      <c r="DR474" s="43" t="inlineStr">
        <is>
          <t>2024/2025</t>
        </is>
      </c>
      <c r="DS474" s="45" t="inlineStr">
        <is>
          <t>THIRD</t>
        </is>
      </c>
      <c r="DT474" s="40" t="inlineStr">
        <is>
          <t>CHOOSE RATING</t>
        </is>
      </c>
      <c r="DU474" s="40" t="inlineStr">
        <is>
          <t>CHOOSE RATING</t>
        </is>
      </c>
      <c r="DV474" s="40" t="inlineStr">
        <is>
          <t>CHOOSE RATING</t>
        </is>
      </c>
      <c r="DW474" s="40" t="inlineStr">
        <is>
          <t>CHOOSE RATING</t>
        </is>
      </c>
      <c r="DX474" s="40" t="inlineStr">
        <is>
          <t>CHOOSE RATING</t>
        </is>
      </c>
      <c r="DY474" s="40" t="inlineStr">
        <is>
          <t>CHOOSE RATING</t>
        </is>
      </c>
      <c r="DZ474" s="53" t="inlineStr">
        <is>
          <t>CHOOSE RATING</t>
        </is>
      </c>
      <c r="EA474" s="54" t="inlineStr">
        <is>
          <t>Add the Tutor's Comment . . .</t>
        </is>
      </c>
      <c r="EB474" s="55" t="inlineStr">
        <is>
          <t>Choose Principals comment</t>
        </is>
      </c>
      <c r="EC474" s="56" t="n"/>
      <c r="ED474" s="57" t="inlineStr">
        <is>
          <t>Next Term Begins on Monday, 22nd September, 2025</t>
        </is>
      </c>
    </row>
    <row r="475" ht="30.6" customHeight="1" s="6">
      <c r="A475" s="18" t="n">
        <v>472</v>
      </c>
      <c r="B475" s="19" t="n"/>
      <c r="C475" s="20" t="n"/>
      <c r="D475" s="128" t="n"/>
      <c r="E475" s="21" t="n"/>
      <c r="F475" s="22" t="n"/>
      <c r="G475" s="22" t="n"/>
      <c r="H475" s="22" t="n"/>
      <c r="I475" s="26">
        <f>G475-H475</f>
        <v/>
      </c>
      <c r="J475" s="21" t="n"/>
      <c r="K475" s="21" t="n"/>
      <c r="L475" s="27">
        <f>SUM(J475:K475)</f>
        <v/>
      </c>
      <c r="M475" s="28" t="n"/>
      <c r="N475" s="28" t="n"/>
      <c r="O475" s="29">
        <f>IF(AND(L475=0,M475=0,N475=0),0,IF(AND(L475=0,M475=0),N475/1,IF(AND(L475=0,N475=0),M475/1,IF(AND(M475=0,N475=0),L475/1,IF(L475=0,FLOOR((M475+N475)/2,0.1),IF(M475=0,(L475+N475)/2,IF(N475=0,(M475+L475)/2,FLOOR(((L475+M475+N475)/3),0.1))))))))</f>
        <v/>
      </c>
      <c r="P475" s="21" t="n"/>
      <c r="Q475" s="21" t="n"/>
      <c r="R475" s="27">
        <f>SUM(P475:Q475)</f>
        <v/>
      </c>
      <c r="S475" s="28" t="n"/>
      <c r="T475" s="28" t="n"/>
      <c r="U475" s="29">
        <f>IF(AND(R475=0,S475=0,T475=0),0,IF(AND(R475=0,S475=0),T475/1,IF(AND(R475=0,T475=0),S475/1,IF(AND(S475=0,T475=0),R475/1,IF(R475=0,FLOOR((S475+T475)/2,0.1),IF(S475=0,(R475+T475)/2,IF(T475=0,(S475+R475)/2,FLOOR(((R475+S475+T475)/3),0.1))))))))</f>
        <v/>
      </c>
      <c r="V475" s="21" t="n"/>
      <c r="W475" s="21" t="n"/>
      <c r="X475" s="27">
        <f>SUM(V475:W475)</f>
        <v/>
      </c>
      <c r="Y475" s="28" t="n"/>
      <c r="Z475" s="28" t="n"/>
      <c r="AA475" s="29">
        <f>IF(AND(X475=0,Y475=0,Z475=0),0,IF(AND(X475=0,Y475=0),Z475/1,IF(AND(X475=0,Z475=0),Y475/1,IF(AND(Y475=0,Z475=0),X475/1,IF(X475=0,FLOOR((Y475+Z475)/2,0.1),IF(Y475=0,(X475+Z475)/2,IF(Z475=0,(Y475+X475)/2,FLOOR(((X475+Y475+Z475)/3),0.1))))))))</f>
        <v/>
      </c>
      <c r="AB475" s="21" t="n"/>
      <c r="AC475" s="21" t="n"/>
      <c r="AD475" s="27">
        <f>SUM(AB475:AC475)</f>
        <v/>
      </c>
      <c r="AE475" s="28" t="n"/>
      <c r="AF475" s="28" t="n"/>
      <c r="AG475" s="29">
        <f>IF(AND(AD475=0,AE475=0,AF475=0),0,IF(AND(AD475=0,AE475=0),AF475/1,IF(AND(AD475=0,AF475=0),AE475/1,IF(AND(AE475=0,AF475=0),AD475/1,IF(AD475=0,FLOOR((AE475+AF475)/2,0.1),IF(AE475=0,(AD475+AF475)/2,IF(AF475=0,(AE475+AD475)/2,FLOOR(((AD475+AE475+AF475)/3),0.1))))))))</f>
        <v/>
      </c>
      <c r="AH475" s="21" t="n"/>
      <c r="AI475" s="21" t="n"/>
      <c r="AJ475" s="27">
        <f>SUM(AH475:AI475)</f>
        <v/>
      </c>
      <c r="AK475" s="28" t="n"/>
      <c r="AL475" s="28" t="n"/>
      <c r="AM475" s="29">
        <f>IF(AND(AJ475=0,AK475=0,AL475=0),0,IF(AND(AJ475=0,AK475=0),AL475/1,IF(AND(AJ475=0,AL475=0),AK475/1,IF(AND(AK475=0,AL475=0),AJ475/1,IF(AJ475=0,FLOOR((AK475+AL475)/2,0.1),IF(AK475=0,(AJ475+AL475)/2,IF(AL475=0,(AK475+AJ475)/2,FLOOR(((AJ475+AK475+AL475)/3),0.1))))))))</f>
        <v/>
      </c>
      <c r="AN475" s="21" t="n"/>
      <c r="AO475" s="21" t="n"/>
      <c r="AP475" s="27">
        <f>SUM(AN475:AO475)</f>
        <v/>
      </c>
      <c r="AQ475" s="28" t="n"/>
      <c r="AR475" s="30" t="n"/>
      <c r="AS475" s="29">
        <f>IF(AND(AP475=0,AQ475=0,AR475=0),0,IF(AND(AP475=0,AQ475=0),AR475/1,IF(AND(AP475=0,AR475=0),AQ475/1,IF(AND(AQ475=0,AR475=0),AP475/1,IF(AP475=0,FLOOR((AQ475+AR475)/2,0.1),IF(AQ475=0,(AP475+AR475)/2,IF(AR475=0,(AQ475+AP475)/2,FLOOR(((AP475+AQ475+AR475)/3),0.1))))))))</f>
        <v/>
      </c>
      <c r="AT475" s="21" t="n"/>
      <c r="AU475" s="21" t="n"/>
      <c r="AV475" s="27">
        <f>SUM(AT475:AU475)</f>
        <v/>
      </c>
      <c r="AW475" s="28" t="n"/>
      <c r="AX475" s="30" t="n"/>
      <c r="AY475" s="29">
        <f>IF(AND(AV475=0,AW475=0,AX475=0),0,IF(AND(AV475=0,AW475=0),AX475/1,IF(AND(AV475=0,AX475=0),AW475/1,IF(AND(AW475=0,AX475=0),AV475/1,IF(AV475=0,FLOOR((AW475+AX475)/2,0.1),IF(AW475=0,(AV475+AX475)/2,IF(AX475=0,(AW475+AV475)/2,FLOOR(((AV475+AW475+AX475)/3),0.1))))))))</f>
        <v/>
      </c>
      <c r="AZ475" s="21" t="n"/>
      <c r="BA475" s="21" t="n"/>
      <c r="BB475" s="27">
        <f>SUM(AZ475:BA475)</f>
        <v/>
      </c>
      <c r="BC475" s="28" t="n"/>
      <c r="BD475" s="28" t="n"/>
      <c r="BE475" s="29">
        <f>IF(AND(BB475=0,BC475=0,BD475=0),0,IF(AND(BB475=0,BC475=0),BD475/1,IF(AND(BB475=0,BD475=0),BC475/1,IF(AND(BC475=0,BD475=0),BB475/1,IF(BB475=0,FLOOR((BC475+BD475)/2,0.1),IF(BC475=0,(BB475+BD475)/2,IF(BD475=0,(BC475+BB475)/2,FLOOR(((BB475+BC475+BD475)/3),0.1))))))))</f>
        <v/>
      </c>
      <c r="BF475" s="21" t="n"/>
      <c r="BG475" s="21" t="n"/>
      <c r="BH475" s="27">
        <f>SUM(BF475:BG475)</f>
        <v/>
      </c>
      <c r="BI475" s="28" t="n"/>
      <c r="BJ475" s="28" t="n"/>
      <c r="BK475" s="29">
        <f>IF(AND(BH475=0,BI475=0,BJ475=0),0,IF(AND(BH475=0,BI475=0),BJ475/1,IF(AND(BH475=0,BJ475=0),BI475/1,IF(AND(BI475=0,BJ475=0),BH475/1,IF(BH475=0,FLOOR((BI475+BJ475)/2,0.1),IF(BI475=0,(BH475+BJ475)/2,IF(BJ475=0,(BI475+BH475)/2,FLOOR(((BH475+BI475+BJ475)/3),0.1))))))))</f>
        <v/>
      </c>
      <c r="BL475" s="21" t="n"/>
      <c r="BM475" s="21" t="n"/>
      <c r="BN475" s="27">
        <f>SUM(BL475:BM475)</f>
        <v/>
      </c>
      <c r="BO475" s="28" t="n"/>
      <c r="BP475" s="31" t="n"/>
      <c r="BQ475" s="29">
        <f>IF(AND(BN475=0,BO475=0,BP475=0),0,IF(AND(BN475=0,BO475=0),BP475/1,IF(AND(BN475=0,BP475=0),BO475/1,IF(AND(BO475=0,BP475=0),BN475/1,IF(BN475=0,FLOOR((BO475+BP475)/2,0.1),IF(BO475=0,(BN475+BP475)/2,IF(BP475=0,(BO475+BN475)/2,FLOOR(((BN475+BO475+BP475)/3),0.1))))))))</f>
        <v/>
      </c>
      <c r="BR475" s="21" t="n"/>
      <c r="BS475" s="21" t="n"/>
      <c r="BT475" s="27">
        <f>SUM(BR475:BS475)</f>
        <v/>
      </c>
      <c r="BU475" s="28" t="n"/>
      <c r="BV475" s="31" t="n"/>
      <c r="BW475" s="29">
        <f>IF(AND(BT475=0,BU475=0,BV475=0),0,IF(AND(BT475=0,BU475=0),BV475/1,IF(AND(BT475=0,BV475=0),BU475/1,IF(AND(BU475=0,BV475=0),BT475/1,IF(BT475=0,FLOOR((BU475+BV475)/2,0.1),IF(BU475=0,(BT475+BV475)/2,IF(BV475=0,(BU475+BT475)/2,FLOOR(((BT475+BU475+BV475)/3),0.1))))))))</f>
        <v/>
      </c>
      <c r="BX475" s="21" t="n"/>
      <c r="BY475" s="21" t="n"/>
      <c r="BZ475" s="27">
        <f>SUM(BX475:BY475)</f>
        <v/>
      </c>
      <c r="CA475" s="28" t="n"/>
      <c r="CB475" s="31" t="n"/>
      <c r="CC475" s="29">
        <f>IF(AND(BZ475=0,CA475=0,CB475=0),0,IF(AND(BZ475=0,CA475=0),CB475/1,IF(AND(BZ475=0,CB475=0),CA475/1,IF(AND(CA475=0,CB475=0),BZ475/1,IF(BZ475=0,FLOOR((CA475+CB475)/2,0.1),IF(CA475=0,(BZ475+CB475)/2,IF(CB475=0,(CA475+BZ475)/2,FLOOR(((BZ475+CA475+CB475)/3),0.1))))))))</f>
        <v/>
      </c>
      <c r="CD475" s="21" t="n"/>
      <c r="CE475" s="21" t="n"/>
      <c r="CF475" s="27">
        <f>SUM(CD475:CE475)</f>
        <v/>
      </c>
      <c r="CG475" s="28" t="n"/>
      <c r="CH475" s="31" t="n"/>
      <c r="CI475" s="29">
        <f>IF(AND(CF475=0,CG475=0,CH475=0),0,IF(AND(CF475=0,CG475=0),CH475/1,IF(AND(CF475=0,CH475=0),CG475/1,IF(AND(CG475=0,CH475=0),CF475/1,IF(CF475=0,FLOOR((CG475+CH475)/2,0.1),IF(CG475=0,(CF475+CH475)/2,IF(CH475=0,(CG475+CF475)/2,FLOOR(((CF475+CG475+CH475)/3),0.1))))))))</f>
        <v/>
      </c>
      <c r="CJ475" s="21" t="n"/>
      <c r="CK475" s="21" t="n"/>
      <c r="CL475" s="27">
        <f>SUM(CJ475:CK475)</f>
        <v/>
      </c>
      <c r="CM475" s="28" t="n"/>
      <c r="CN475" s="31" t="n"/>
      <c r="CO475" s="29">
        <f>IF(AND(CL475=0,CM475=0,CN475=0),0,IF(AND(CL475=0,CM475=0),CN475/1,IF(AND(CL475=0,CN475=0),CM475/1,IF(AND(CM475=0,CN475=0),CL475/1,IF(CL475=0,FLOOR((CM475+CN475)/2,0.1),IF(CM475=0,(CL475+CN475)/2,IF(CN475=0,(CM475+CL475)/2,FLOOR(((CL475+CM475+CN475)/3),0.1))))))))</f>
        <v/>
      </c>
      <c r="CP475" s="21" t="n"/>
      <c r="CQ475" s="21" t="n"/>
      <c r="CR475" s="27">
        <f>SUM(CP475:CQ475)</f>
        <v/>
      </c>
      <c r="CS475" s="28" t="n"/>
      <c r="CT475" s="31" t="n"/>
      <c r="CU475" s="29">
        <f>IF(AND(CR475=0,CS475=0,CT475=0),0,IF(AND(CR475=0,CS475=0),CT475/1,IF(AND(CR475=0,CT475=0),CS475/1,IF(AND(CS475=0,CT475=0),CR475/1,IF(CR475=0,FLOOR((CS475+CT475)/2,0.1),IF(CS475=0,(CR475+CT475)/2,IF(CT475=0,(CS475+CR475)/2,FLOOR(((CR475+CS475+CT475)/3),0.1))))))))</f>
        <v/>
      </c>
      <c r="CV475" s="21" t="n"/>
      <c r="CW475" s="21" t="n"/>
      <c r="CX475" s="27">
        <f>SUM(CV475:CW475)</f>
        <v/>
      </c>
      <c r="CY475" s="28" t="n"/>
      <c r="CZ475" s="31" t="n"/>
      <c r="DA475" s="29">
        <f>IF(AND(CX475=0,CY475=0,CZ475=0),0,IF(AND(CX475=0,CY475=0),CZ475/1,IF(AND(CX475=0,CZ475=0),CY475/1,IF(AND(CY475=0,CZ475=0),CX475/1,IF(CX475=0,FLOOR((CY475+CZ475)/2,0.1),IF(CY475=0,(CX475+CZ475)/2,IF(CZ475=0,(CY475+CX475)/2,FLOOR(((CX475+CY475+CZ475)/3),0.1))))))))</f>
        <v/>
      </c>
      <c r="DB475" s="21" t="n"/>
      <c r="DC475" s="21" t="n"/>
      <c r="DD475" s="27">
        <f>SUM(DB475:DC475)</f>
        <v/>
      </c>
      <c r="DE475" s="28" t="n"/>
      <c r="DF475" s="31" t="n"/>
      <c r="DG475" s="29">
        <f>IF(AND(DD475=0,DE475=0,DF475=0),0,IF(AND(DD475=0,DE475=0),DF475/1,IF(AND(DD475=0,DF475=0),DE475/1,IF(AND(DE475=0,DF475=0),DD475/1,IF(DD475=0,FLOOR((DE475+DF475)/2,0.1),IF(DE475=0,(DD475+DF475)/2,IF(DF475=0,(DE475+DD475)/2,FLOOR(((DD475+DE475+DF475)/3),0.1))))))))</f>
        <v/>
      </c>
      <c r="DH475" s="34">
        <f>SUM(O475,U475,AA475,AG475,AM475,AS475,AY475,BE475,BK475,BQ475,BW475,CC475,CI475,CO475,CU475,DA475,DG475)</f>
        <v/>
      </c>
      <c r="DI475" s="39">
        <f>RANK(DH475,DH$4:DH$503)</f>
        <v/>
      </c>
      <c r="DJ475" s="40" t="inlineStr">
        <is>
          <t>CHOOSE RATING</t>
        </is>
      </c>
      <c r="DK475" s="40" t="inlineStr">
        <is>
          <t>CHOOSE RATING</t>
        </is>
      </c>
      <c r="DL475" s="40" t="inlineStr">
        <is>
          <t>CHOOSE RATING</t>
        </is>
      </c>
      <c r="DM475" s="40" t="inlineStr">
        <is>
          <t>CHOOSE RATING</t>
        </is>
      </c>
      <c r="DN475" s="40" t="inlineStr">
        <is>
          <t>CHOOSE RATING</t>
        </is>
      </c>
      <c r="DO475" s="40" t="inlineStr">
        <is>
          <t>CHOOSE RATING</t>
        </is>
      </c>
      <c r="DP475" s="40" t="inlineStr">
        <is>
          <t>CHOOSE RATING</t>
        </is>
      </c>
      <c r="DQ475" s="40" t="inlineStr">
        <is>
          <t>CHOOSE RATING</t>
        </is>
      </c>
      <c r="DR475" s="43" t="inlineStr">
        <is>
          <t>2024/2025</t>
        </is>
      </c>
      <c r="DS475" s="45" t="inlineStr">
        <is>
          <t>THIRD</t>
        </is>
      </c>
      <c r="DT475" s="40" t="inlineStr">
        <is>
          <t>CHOOSE RATING</t>
        </is>
      </c>
      <c r="DU475" s="40" t="inlineStr">
        <is>
          <t>CHOOSE RATING</t>
        </is>
      </c>
      <c r="DV475" s="40" t="inlineStr">
        <is>
          <t>CHOOSE RATING</t>
        </is>
      </c>
      <c r="DW475" s="40" t="inlineStr">
        <is>
          <t>CHOOSE RATING</t>
        </is>
      </c>
      <c r="DX475" s="40" t="inlineStr">
        <is>
          <t>CHOOSE RATING</t>
        </is>
      </c>
      <c r="DY475" s="40" t="inlineStr">
        <is>
          <t>CHOOSE RATING</t>
        </is>
      </c>
      <c r="DZ475" s="53" t="inlineStr">
        <is>
          <t>CHOOSE RATING</t>
        </is>
      </c>
      <c r="EA475" s="54" t="inlineStr">
        <is>
          <t>Add the Tutor's Comment . . .</t>
        </is>
      </c>
      <c r="EB475" s="55" t="inlineStr">
        <is>
          <t>Choose Principals comment</t>
        </is>
      </c>
      <c r="EC475" s="56" t="n"/>
      <c r="ED475" s="57" t="inlineStr">
        <is>
          <t>Next Term Begins on Monday, 22nd September, 2025</t>
        </is>
      </c>
    </row>
    <row r="476" ht="30.6" customHeight="1" s="6">
      <c r="A476" s="18" t="n">
        <v>473</v>
      </c>
      <c r="B476" s="19" t="n"/>
      <c r="C476" s="20" t="n"/>
      <c r="D476" s="128" t="n"/>
      <c r="E476" s="21" t="n"/>
      <c r="F476" s="22" t="n"/>
      <c r="G476" s="22" t="n"/>
      <c r="H476" s="22" t="n"/>
      <c r="I476" s="26">
        <f>G476-H476</f>
        <v/>
      </c>
      <c r="J476" s="21" t="n"/>
      <c r="K476" s="21" t="n"/>
      <c r="L476" s="27">
        <f>SUM(J476:K476)</f>
        <v/>
      </c>
      <c r="M476" s="28" t="n"/>
      <c r="N476" s="28" t="n"/>
      <c r="O476" s="29">
        <f>IF(AND(L476=0,M476=0,N476=0),0,IF(AND(L476=0,M476=0),N476/1,IF(AND(L476=0,N476=0),M476/1,IF(AND(M476=0,N476=0),L476/1,IF(L476=0,FLOOR((M476+N476)/2,0.1),IF(M476=0,(L476+N476)/2,IF(N476=0,(M476+L476)/2,FLOOR(((L476+M476+N476)/3),0.1))))))))</f>
        <v/>
      </c>
      <c r="P476" s="21" t="n"/>
      <c r="Q476" s="21" t="n"/>
      <c r="R476" s="27">
        <f>SUM(P476:Q476)</f>
        <v/>
      </c>
      <c r="S476" s="28" t="n"/>
      <c r="T476" s="28" t="n"/>
      <c r="U476" s="29">
        <f>IF(AND(R476=0,S476=0,T476=0),0,IF(AND(R476=0,S476=0),T476/1,IF(AND(R476=0,T476=0),S476/1,IF(AND(S476=0,T476=0),R476/1,IF(R476=0,FLOOR((S476+T476)/2,0.1),IF(S476=0,(R476+T476)/2,IF(T476=0,(S476+R476)/2,FLOOR(((R476+S476+T476)/3),0.1))))))))</f>
        <v/>
      </c>
      <c r="V476" s="21" t="n"/>
      <c r="W476" s="21" t="n"/>
      <c r="X476" s="27">
        <f>SUM(V476:W476)</f>
        <v/>
      </c>
      <c r="Y476" s="28" t="n"/>
      <c r="Z476" s="28" t="n"/>
      <c r="AA476" s="29">
        <f>IF(AND(X476=0,Y476=0,Z476=0),0,IF(AND(X476=0,Y476=0),Z476/1,IF(AND(X476=0,Z476=0),Y476/1,IF(AND(Y476=0,Z476=0),X476/1,IF(X476=0,FLOOR((Y476+Z476)/2,0.1),IF(Y476=0,(X476+Z476)/2,IF(Z476=0,(Y476+X476)/2,FLOOR(((X476+Y476+Z476)/3),0.1))))))))</f>
        <v/>
      </c>
      <c r="AB476" s="21" t="n"/>
      <c r="AC476" s="21" t="n"/>
      <c r="AD476" s="27">
        <f>SUM(AB476:AC476)</f>
        <v/>
      </c>
      <c r="AE476" s="28" t="n"/>
      <c r="AF476" s="28" t="n"/>
      <c r="AG476" s="29">
        <f>IF(AND(AD476=0,AE476=0,AF476=0),0,IF(AND(AD476=0,AE476=0),AF476/1,IF(AND(AD476=0,AF476=0),AE476/1,IF(AND(AE476=0,AF476=0),AD476/1,IF(AD476=0,FLOOR((AE476+AF476)/2,0.1),IF(AE476=0,(AD476+AF476)/2,IF(AF476=0,(AE476+AD476)/2,FLOOR(((AD476+AE476+AF476)/3),0.1))))))))</f>
        <v/>
      </c>
      <c r="AH476" s="21" t="n"/>
      <c r="AI476" s="21" t="n"/>
      <c r="AJ476" s="27">
        <f>SUM(AH476:AI476)</f>
        <v/>
      </c>
      <c r="AK476" s="28" t="n"/>
      <c r="AL476" s="28" t="n"/>
      <c r="AM476" s="29">
        <f>IF(AND(AJ476=0,AK476=0,AL476=0),0,IF(AND(AJ476=0,AK476=0),AL476/1,IF(AND(AJ476=0,AL476=0),AK476/1,IF(AND(AK476=0,AL476=0),AJ476/1,IF(AJ476=0,FLOOR((AK476+AL476)/2,0.1),IF(AK476=0,(AJ476+AL476)/2,IF(AL476=0,(AK476+AJ476)/2,FLOOR(((AJ476+AK476+AL476)/3),0.1))))))))</f>
        <v/>
      </c>
      <c r="AN476" s="21" t="n"/>
      <c r="AO476" s="21" t="n"/>
      <c r="AP476" s="27">
        <f>SUM(AN476:AO476)</f>
        <v/>
      </c>
      <c r="AQ476" s="28" t="n"/>
      <c r="AR476" s="30" t="n"/>
      <c r="AS476" s="29">
        <f>IF(AND(AP476=0,AQ476=0,AR476=0),0,IF(AND(AP476=0,AQ476=0),AR476/1,IF(AND(AP476=0,AR476=0),AQ476/1,IF(AND(AQ476=0,AR476=0),AP476/1,IF(AP476=0,FLOOR((AQ476+AR476)/2,0.1),IF(AQ476=0,(AP476+AR476)/2,IF(AR476=0,(AQ476+AP476)/2,FLOOR(((AP476+AQ476+AR476)/3),0.1))))))))</f>
        <v/>
      </c>
      <c r="AT476" s="21" t="n"/>
      <c r="AU476" s="21" t="n"/>
      <c r="AV476" s="27">
        <f>SUM(AT476:AU476)</f>
        <v/>
      </c>
      <c r="AW476" s="28" t="n"/>
      <c r="AX476" s="30" t="n"/>
      <c r="AY476" s="29">
        <f>IF(AND(AV476=0,AW476=0,AX476=0),0,IF(AND(AV476=0,AW476=0),AX476/1,IF(AND(AV476=0,AX476=0),AW476/1,IF(AND(AW476=0,AX476=0),AV476/1,IF(AV476=0,FLOOR((AW476+AX476)/2,0.1),IF(AW476=0,(AV476+AX476)/2,IF(AX476=0,(AW476+AV476)/2,FLOOR(((AV476+AW476+AX476)/3),0.1))))))))</f>
        <v/>
      </c>
      <c r="AZ476" s="21" t="n"/>
      <c r="BA476" s="21" t="n"/>
      <c r="BB476" s="27">
        <f>SUM(AZ476:BA476)</f>
        <v/>
      </c>
      <c r="BC476" s="28" t="n"/>
      <c r="BD476" s="28" t="n"/>
      <c r="BE476" s="29">
        <f>IF(AND(BB476=0,BC476=0,BD476=0),0,IF(AND(BB476=0,BC476=0),BD476/1,IF(AND(BB476=0,BD476=0),BC476/1,IF(AND(BC476=0,BD476=0),BB476/1,IF(BB476=0,FLOOR((BC476+BD476)/2,0.1),IF(BC476=0,(BB476+BD476)/2,IF(BD476=0,(BC476+BB476)/2,FLOOR(((BB476+BC476+BD476)/3),0.1))))))))</f>
        <v/>
      </c>
      <c r="BF476" s="21" t="n"/>
      <c r="BG476" s="21" t="n"/>
      <c r="BH476" s="27">
        <f>SUM(BF476:BG476)</f>
        <v/>
      </c>
      <c r="BI476" s="28" t="n"/>
      <c r="BJ476" s="28" t="n"/>
      <c r="BK476" s="29">
        <f>IF(AND(BH476=0,BI476=0,BJ476=0),0,IF(AND(BH476=0,BI476=0),BJ476/1,IF(AND(BH476=0,BJ476=0),BI476/1,IF(AND(BI476=0,BJ476=0),BH476/1,IF(BH476=0,FLOOR((BI476+BJ476)/2,0.1),IF(BI476=0,(BH476+BJ476)/2,IF(BJ476=0,(BI476+BH476)/2,FLOOR(((BH476+BI476+BJ476)/3),0.1))))))))</f>
        <v/>
      </c>
      <c r="BL476" s="21" t="n"/>
      <c r="BM476" s="21" t="n"/>
      <c r="BN476" s="27">
        <f>SUM(BL476:BM476)</f>
        <v/>
      </c>
      <c r="BO476" s="28" t="n"/>
      <c r="BP476" s="31" t="n"/>
      <c r="BQ476" s="29">
        <f>IF(AND(BN476=0,BO476=0,BP476=0),0,IF(AND(BN476=0,BO476=0),BP476/1,IF(AND(BN476=0,BP476=0),BO476/1,IF(AND(BO476=0,BP476=0),BN476/1,IF(BN476=0,FLOOR((BO476+BP476)/2,0.1),IF(BO476=0,(BN476+BP476)/2,IF(BP476=0,(BO476+BN476)/2,FLOOR(((BN476+BO476+BP476)/3),0.1))))))))</f>
        <v/>
      </c>
      <c r="BR476" s="21" t="n"/>
      <c r="BS476" s="21" t="n"/>
      <c r="BT476" s="27">
        <f>SUM(BR476:BS476)</f>
        <v/>
      </c>
      <c r="BU476" s="28" t="n"/>
      <c r="BV476" s="31" t="n"/>
      <c r="BW476" s="29">
        <f>IF(AND(BT476=0,BU476=0,BV476=0),0,IF(AND(BT476=0,BU476=0),BV476/1,IF(AND(BT476=0,BV476=0),BU476/1,IF(AND(BU476=0,BV476=0),BT476/1,IF(BT476=0,FLOOR((BU476+BV476)/2,0.1),IF(BU476=0,(BT476+BV476)/2,IF(BV476=0,(BU476+BT476)/2,FLOOR(((BT476+BU476+BV476)/3),0.1))))))))</f>
        <v/>
      </c>
      <c r="BX476" s="21" t="n"/>
      <c r="BY476" s="21" t="n"/>
      <c r="BZ476" s="27">
        <f>SUM(BX476:BY476)</f>
        <v/>
      </c>
      <c r="CA476" s="28" t="n"/>
      <c r="CB476" s="31" t="n"/>
      <c r="CC476" s="29">
        <f>IF(AND(BZ476=0,CA476=0,CB476=0),0,IF(AND(BZ476=0,CA476=0),CB476/1,IF(AND(BZ476=0,CB476=0),CA476/1,IF(AND(CA476=0,CB476=0),BZ476/1,IF(BZ476=0,FLOOR((CA476+CB476)/2,0.1),IF(CA476=0,(BZ476+CB476)/2,IF(CB476=0,(CA476+BZ476)/2,FLOOR(((BZ476+CA476+CB476)/3),0.1))))))))</f>
        <v/>
      </c>
      <c r="CD476" s="21" t="n"/>
      <c r="CE476" s="21" t="n"/>
      <c r="CF476" s="27">
        <f>SUM(CD476:CE476)</f>
        <v/>
      </c>
      <c r="CG476" s="28" t="n"/>
      <c r="CH476" s="31" t="n"/>
      <c r="CI476" s="29">
        <f>IF(AND(CF476=0,CG476=0,CH476=0),0,IF(AND(CF476=0,CG476=0),CH476/1,IF(AND(CF476=0,CH476=0),CG476/1,IF(AND(CG476=0,CH476=0),CF476/1,IF(CF476=0,FLOOR((CG476+CH476)/2,0.1),IF(CG476=0,(CF476+CH476)/2,IF(CH476=0,(CG476+CF476)/2,FLOOR(((CF476+CG476+CH476)/3),0.1))))))))</f>
        <v/>
      </c>
      <c r="CJ476" s="21" t="n"/>
      <c r="CK476" s="21" t="n"/>
      <c r="CL476" s="27">
        <f>SUM(CJ476:CK476)</f>
        <v/>
      </c>
      <c r="CM476" s="28" t="n"/>
      <c r="CN476" s="31" t="n"/>
      <c r="CO476" s="29">
        <f>IF(AND(CL476=0,CM476=0,CN476=0),0,IF(AND(CL476=0,CM476=0),CN476/1,IF(AND(CL476=0,CN476=0),CM476/1,IF(AND(CM476=0,CN476=0),CL476/1,IF(CL476=0,FLOOR((CM476+CN476)/2,0.1),IF(CM476=0,(CL476+CN476)/2,IF(CN476=0,(CM476+CL476)/2,FLOOR(((CL476+CM476+CN476)/3),0.1))))))))</f>
        <v/>
      </c>
      <c r="CP476" s="21" t="n"/>
      <c r="CQ476" s="21" t="n"/>
      <c r="CR476" s="27">
        <f>SUM(CP476:CQ476)</f>
        <v/>
      </c>
      <c r="CS476" s="28" t="n"/>
      <c r="CT476" s="31" t="n"/>
      <c r="CU476" s="29">
        <f>IF(AND(CR476=0,CS476=0,CT476=0),0,IF(AND(CR476=0,CS476=0),CT476/1,IF(AND(CR476=0,CT476=0),CS476/1,IF(AND(CS476=0,CT476=0),CR476/1,IF(CR476=0,FLOOR((CS476+CT476)/2,0.1),IF(CS476=0,(CR476+CT476)/2,IF(CT476=0,(CS476+CR476)/2,FLOOR(((CR476+CS476+CT476)/3),0.1))))))))</f>
        <v/>
      </c>
      <c r="CV476" s="21" t="n"/>
      <c r="CW476" s="21" t="n"/>
      <c r="CX476" s="27">
        <f>SUM(CV476:CW476)</f>
        <v/>
      </c>
      <c r="CY476" s="28" t="n"/>
      <c r="CZ476" s="31" t="n"/>
      <c r="DA476" s="29">
        <f>IF(AND(CX476=0,CY476=0,CZ476=0),0,IF(AND(CX476=0,CY476=0),CZ476/1,IF(AND(CX476=0,CZ476=0),CY476/1,IF(AND(CY476=0,CZ476=0),CX476/1,IF(CX476=0,FLOOR((CY476+CZ476)/2,0.1),IF(CY476=0,(CX476+CZ476)/2,IF(CZ476=0,(CY476+CX476)/2,FLOOR(((CX476+CY476+CZ476)/3),0.1))))))))</f>
        <v/>
      </c>
      <c r="DB476" s="21" t="n"/>
      <c r="DC476" s="21" t="n"/>
      <c r="DD476" s="27">
        <f>SUM(DB476:DC476)</f>
        <v/>
      </c>
      <c r="DE476" s="28" t="n"/>
      <c r="DF476" s="31" t="n"/>
      <c r="DG476" s="29">
        <f>IF(AND(DD476=0,DE476=0,DF476=0),0,IF(AND(DD476=0,DE476=0),DF476/1,IF(AND(DD476=0,DF476=0),DE476/1,IF(AND(DE476=0,DF476=0),DD476/1,IF(DD476=0,FLOOR((DE476+DF476)/2,0.1),IF(DE476=0,(DD476+DF476)/2,IF(DF476=0,(DE476+DD476)/2,FLOOR(((DD476+DE476+DF476)/3),0.1))))))))</f>
        <v/>
      </c>
      <c r="DH476" s="34">
        <f>SUM(O476,U476,AA476,AG476,AM476,AS476,AY476,BE476,BK476,BQ476,BW476,CC476,CI476,CO476,CU476,DA476,DG476)</f>
        <v/>
      </c>
      <c r="DI476" s="39">
        <f>RANK(DH476,DH$4:DH$503)</f>
        <v/>
      </c>
      <c r="DJ476" s="40" t="inlineStr">
        <is>
          <t>CHOOSE RATING</t>
        </is>
      </c>
      <c r="DK476" s="40" t="inlineStr">
        <is>
          <t>CHOOSE RATING</t>
        </is>
      </c>
      <c r="DL476" s="40" t="inlineStr">
        <is>
          <t>CHOOSE RATING</t>
        </is>
      </c>
      <c r="DM476" s="40" t="inlineStr">
        <is>
          <t>CHOOSE RATING</t>
        </is>
      </c>
      <c r="DN476" s="40" t="inlineStr">
        <is>
          <t>CHOOSE RATING</t>
        </is>
      </c>
      <c r="DO476" s="40" t="inlineStr">
        <is>
          <t>CHOOSE RATING</t>
        </is>
      </c>
      <c r="DP476" s="40" t="inlineStr">
        <is>
          <t>CHOOSE RATING</t>
        </is>
      </c>
      <c r="DQ476" s="40" t="inlineStr">
        <is>
          <t>CHOOSE RATING</t>
        </is>
      </c>
      <c r="DR476" s="43" t="inlineStr">
        <is>
          <t>2024/2025</t>
        </is>
      </c>
      <c r="DS476" s="45" t="inlineStr">
        <is>
          <t>THIRD</t>
        </is>
      </c>
      <c r="DT476" s="40" t="inlineStr">
        <is>
          <t>CHOOSE RATING</t>
        </is>
      </c>
      <c r="DU476" s="40" t="inlineStr">
        <is>
          <t>CHOOSE RATING</t>
        </is>
      </c>
      <c r="DV476" s="40" t="inlineStr">
        <is>
          <t>CHOOSE RATING</t>
        </is>
      </c>
      <c r="DW476" s="40" t="inlineStr">
        <is>
          <t>CHOOSE RATING</t>
        </is>
      </c>
      <c r="DX476" s="40" t="inlineStr">
        <is>
          <t>CHOOSE RATING</t>
        </is>
      </c>
      <c r="DY476" s="40" t="inlineStr">
        <is>
          <t>CHOOSE RATING</t>
        </is>
      </c>
      <c r="DZ476" s="53" t="inlineStr">
        <is>
          <t>CHOOSE RATING</t>
        </is>
      </c>
      <c r="EA476" s="54" t="inlineStr">
        <is>
          <t>Add the Tutor's Comment . . .</t>
        </is>
      </c>
      <c r="EB476" s="55" t="inlineStr">
        <is>
          <t>Choose Principals comment</t>
        </is>
      </c>
      <c r="EC476" s="56" t="n"/>
      <c r="ED476" s="57" t="inlineStr">
        <is>
          <t>Next Term Begins on Monday, 22nd September, 2025</t>
        </is>
      </c>
    </row>
    <row r="477" ht="30.6" customHeight="1" s="6">
      <c r="A477" s="18" t="n">
        <v>474</v>
      </c>
      <c r="B477" s="19" t="n"/>
      <c r="C477" s="20" t="n"/>
      <c r="D477" s="128" t="n"/>
      <c r="E477" s="21" t="n"/>
      <c r="F477" s="22" t="n"/>
      <c r="G477" s="22" t="n"/>
      <c r="H477" s="22" t="n"/>
      <c r="I477" s="26">
        <f>G477-H477</f>
        <v/>
      </c>
      <c r="J477" s="21" t="n"/>
      <c r="K477" s="21" t="n"/>
      <c r="L477" s="27">
        <f>SUM(J477:K477)</f>
        <v/>
      </c>
      <c r="M477" s="28" t="n"/>
      <c r="N477" s="28" t="n"/>
      <c r="O477" s="29">
        <f>IF(AND(L477=0,M477=0,N477=0),0,IF(AND(L477=0,M477=0),N477/1,IF(AND(L477=0,N477=0),M477/1,IF(AND(M477=0,N477=0),L477/1,IF(L477=0,FLOOR((M477+N477)/2,0.1),IF(M477=0,(L477+N477)/2,IF(N477=0,(M477+L477)/2,FLOOR(((L477+M477+N477)/3),0.1))))))))</f>
        <v/>
      </c>
      <c r="P477" s="21" t="n"/>
      <c r="Q477" s="21" t="n"/>
      <c r="R477" s="27">
        <f>SUM(P477:Q477)</f>
        <v/>
      </c>
      <c r="S477" s="28" t="n"/>
      <c r="T477" s="28" t="n"/>
      <c r="U477" s="29">
        <f>IF(AND(R477=0,S477=0,T477=0),0,IF(AND(R477=0,S477=0),T477/1,IF(AND(R477=0,T477=0),S477/1,IF(AND(S477=0,T477=0),R477/1,IF(R477=0,FLOOR((S477+T477)/2,0.1),IF(S477=0,(R477+T477)/2,IF(T477=0,(S477+R477)/2,FLOOR(((R477+S477+T477)/3),0.1))))))))</f>
        <v/>
      </c>
      <c r="V477" s="21" t="n"/>
      <c r="W477" s="21" t="n"/>
      <c r="X477" s="27">
        <f>SUM(V477:W477)</f>
        <v/>
      </c>
      <c r="Y477" s="28" t="n"/>
      <c r="Z477" s="28" t="n"/>
      <c r="AA477" s="29">
        <f>IF(AND(X477=0,Y477=0,Z477=0),0,IF(AND(X477=0,Y477=0),Z477/1,IF(AND(X477=0,Z477=0),Y477/1,IF(AND(Y477=0,Z477=0),X477/1,IF(X477=0,FLOOR((Y477+Z477)/2,0.1),IF(Y477=0,(X477+Z477)/2,IF(Z477=0,(Y477+X477)/2,FLOOR(((X477+Y477+Z477)/3),0.1))))))))</f>
        <v/>
      </c>
      <c r="AB477" s="21" t="n"/>
      <c r="AC477" s="21" t="n"/>
      <c r="AD477" s="27">
        <f>SUM(AB477:AC477)</f>
        <v/>
      </c>
      <c r="AE477" s="28" t="n"/>
      <c r="AF477" s="28" t="n"/>
      <c r="AG477" s="29">
        <f>IF(AND(AD477=0,AE477=0,AF477=0),0,IF(AND(AD477=0,AE477=0),AF477/1,IF(AND(AD477=0,AF477=0),AE477/1,IF(AND(AE477=0,AF477=0),AD477/1,IF(AD477=0,FLOOR((AE477+AF477)/2,0.1),IF(AE477=0,(AD477+AF477)/2,IF(AF477=0,(AE477+AD477)/2,FLOOR(((AD477+AE477+AF477)/3),0.1))))))))</f>
        <v/>
      </c>
      <c r="AH477" s="21" t="n"/>
      <c r="AI477" s="21" t="n"/>
      <c r="AJ477" s="27">
        <f>SUM(AH477:AI477)</f>
        <v/>
      </c>
      <c r="AK477" s="28" t="n"/>
      <c r="AL477" s="28" t="n"/>
      <c r="AM477" s="29">
        <f>IF(AND(AJ477=0,AK477=0,AL477=0),0,IF(AND(AJ477=0,AK477=0),AL477/1,IF(AND(AJ477=0,AL477=0),AK477/1,IF(AND(AK477=0,AL477=0),AJ477/1,IF(AJ477=0,FLOOR((AK477+AL477)/2,0.1),IF(AK477=0,(AJ477+AL477)/2,IF(AL477=0,(AK477+AJ477)/2,FLOOR(((AJ477+AK477+AL477)/3),0.1))))))))</f>
        <v/>
      </c>
      <c r="AN477" s="21" t="n"/>
      <c r="AO477" s="21" t="n"/>
      <c r="AP477" s="27">
        <f>SUM(AN477:AO477)</f>
        <v/>
      </c>
      <c r="AQ477" s="28" t="n"/>
      <c r="AR477" s="30" t="n"/>
      <c r="AS477" s="29">
        <f>IF(AND(AP477=0,AQ477=0,AR477=0),0,IF(AND(AP477=0,AQ477=0),AR477/1,IF(AND(AP477=0,AR477=0),AQ477/1,IF(AND(AQ477=0,AR477=0),AP477/1,IF(AP477=0,FLOOR((AQ477+AR477)/2,0.1),IF(AQ477=0,(AP477+AR477)/2,IF(AR477=0,(AQ477+AP477)/2,FLOOR(((AP477+AQ477+AR477)/3),0.1))))))))</f>
        <v/>
      </c>
      <c r="AT477" s="21" t="n"/>
      <c r="AU477" s="21" t="n"/>
      <c r="AV477" s="27">
        <f>SUM(AT477:AU477)</f>
        <v/>
      </c>
      <c r="AW477" s="28" t="n"/>
      <c r="AX477" s="30" t="n"/>
      <c r="AY477" s="29">
        <f>IF(AND(AV477=0,AW477=0,AX477=0),0,IF(AND(AV477=0,AW477=0),AX477/1,IF(AND(AV477=0,AX477=0),AW477/1,IF(AND(AW477=0,AX477=0),AV477/1,IF(AV477=0,FLOOR((AW477+AX477)/2,0.1),IF(AW477=0,(AV477+AX477)/2,IF(AX477=0,(AW477+AV477)/2,FLOOR(((AV477+AW477+AX477)/3),0.1))))))))</f>
        <v/>
      </c>
      <c r="AZ477" s="21" t="n"/>
      <c r="BA477" s="21" t="n"/>
      <c r="BB477" s="27">
        <f>SUM(AZ477:BA477)</f>
        <v/>
      </c>
      <c r="BC477" s="28" t="n"/>
      <c r="BD477" s="28" t="n"/>
      <c r="BE477" s="29">
        <f>IF(AND(BB477=0,BC477=0,BD477=0),0,IF(AND(BB477=0,BC477=0),BD477/1,IF(AND(BB477=0,BD477=0),BC477/1,IF(AND(BC477=0,BD477=0),BB477/1,IF(BB477=0,FLOOR((BC477+BD477)/2,0.1),IF(BC477=0,(BB477+BD477)/2,IF(BD477=0,(BC477+BB477)/2,FLOOR(((BB477+BC477+BD477)/3),0.1))))))))</f>
        <v/>
      </c>
      <c r="BF477" s="21" t="n"/>
      <c r="BG477" s="21" t="n"/>
      <c r="BH477" s="27">
        <f>SUM(BF477:BG477)</f>
        <v/>
      </c>
      <c r="BI477" s="28" t="n"/>
      <c r="BJ477" s="28" t="n"/>
      <c r="BK477" s="29">
        <f>IF(AND(BH477=0,BI477=0,BJ477=0),0,IF(AND(BH477=0,BI477=0),BJ477/1,IF(AND(BH477=0,BJ477=0),BI477/1,IF(AND(BI477=0,BJ477=0),BH477/1,IF(BH477=0,FLOOR((BI477+BJ477)/2,0.1),IF(BI477=0,(BH477+BJ477)/2,IF(BJ477=0,(BI477+BH477)/2,FLOOR(((BH477+BI477+BJ477)/3),0.1))))))))</f>
        <v/>
      </c>
      <c r="BL477" s="21" t="n"/>
      <c r="BM477" s="21" t="n"/>
      <c r="BN477" s="27">
        <f>SUM(BL477:BM477)</f>
        <v/>
      </c>
      <c r="BO477" s="28" t="n"/>
      <c r="BP477" s="31" t="n"/>
      <c r="BQ477" s="29">
        <f>IF(AND(BN477=0,BO477=0,BP477=0),0,IF(AND(BN477=0,BO477=0),BP477/1,IF(AND(BN477=0,BP477=0),BO477/1,IF(AND(BO477=0,BP477=0),BN477/1,IF(BN477=0,FLOOR((BO477+BP477)/2,0.1),IF(BO477=0,(BN477+BP477)/2,IF(BP477=0,(BO477+BN477)/2,FLOOR(((BN477+BO477+BP477)/3),0.1))))))))</f>
        <v/>
      </c>
      <c r="BR477" s="21" t="n"/>
      <c r="BS477" s="21" t="n"/>
      <c r="BT477" s="27">
        <f>SUM(BR477:BS477)</f>
        <v/>
      </c>
      <c r="BU477" s="28" t="n"/>
      <c r="BV477" s="31" t="n"/>
      <c r="BW477" s="29">
        <f>IF(AND(BT477=0,BU477=0,BV477=0),0,IF(AND(BT477=0,BU477=0),BV477/1,IF(AND(BT477=0,BV477=0),BU477/1,IF(AND(BU477=0,BV477=0),BT477/1,IF(BT477=0,FLOOR((BU477+BV477)/2,0.1),IF(BU477=0,(BT477+BV477)/2,IF(BV477=0,(BU477+BT477)/2,FLOOR(((BT477+BU477+BV477)/3),0.1))))))))</f>
        <v/>
      </c>
      <c r="BX477" s="21" t="n"/>
      <c r="BY477" s="21" t="n"/>
      <c r="BZ477" s="27">
        <f>SUM(BX477:BY477)</f>
        <v/>
      </c>
      <c r="CA477" s="28" t="n"/>
      <c r="CB477" s="31" t="n"/>
      <c r="CC477" s="29">
        <f>IF(AND(BZ477=0,CA477=0,CB477=0),0,IF(AND(BZ477=0,CA477=0),CB477/1,IF(AND(BZ477=0,CB477=0),CA477/1,IF(AND(CA477=0,CB477=0),BZ477/1,IF(BZ477=0,FLOOR((CA477+CB477)/2,0.1),IF(CA477=0,(BZ477+CB477)/2,IF(CB477=0,(CA477+BZ477)/2,FLOOR(((BZ477+CA477+CB477)/3),0.1))))))))</f>
        <v/>
      </c>
      <c r="CD477" s="21" t="n"/>
      <c r="CE477" s="21" t="n"/>
      <c r="CF477" s="27">
        <f>SUM(CD477:CE477)</f>
        <v/>
      </c>
      <c r="CG477" s="28" t="n"/>
      <c r="CH477" s="31" t="n"/>
      <c r="CI477" s="29">
        <f>IF(AND(CF477=0,CG477=0,CH477=0),0,IF(AND(CF477=0,CG477=0),CH477/1,IF(AND(CF477=0,CH477=0),CG477/1,IF(AND(CG477=0,CH477=0),CF477/1,IF(CF477=0,FLOOR((CG477+CH477)/2,0.1),IF(CG477=0,(CF477+CH477)/2,IF(CH477=0,(CG477+CF477)/2,FLOOR(((CF477+CG477+CH477)/3),0.1))))))))</f>
        <v/>
      </c>
      <c r="CJ477" s="21" t="n"/>
      <c r="CK477" s="21" t="n"/>
      <c r="CL477" s="27">
        <f>SUM(CJ477:CK477)</f>
        <v/>
      </c>
      <c r="CM477" s="28" t="n"/>
      <c r="CN477" s="31" t="n"/>
      <c r="CO477" s="29">
        <f>IF(AND(CL477=0,CM477=0,CN477=0),0,IF(AND(CL477=0,CM477=0),CN477/1,IF(AND(CL477=0,CN477=0),CM477/1,IF(AND(CM477=0,CN477=0),CL477/1,IF(CL477=0,FLOOR((CM477+CN477)/2,0.1),IF(CM477=0,(CL477+CN477)/2,IF(CN477=0,(CM477+CL477)/2,FLOOR(((CL477+CM477+CN477)/3),0.1))))))))</f>
        <v/>
      </c>
      <c r="CP477" s="21" t="n"/>
      <c r="CQ477" s="21" t="n"/>
      <c r="CR477" s="27">
        <f>SUM(CP477:CQ477)</f>
        <v/>
      </c>
      <c r="CS477" s="28" t="n"/>
      <c r="CT477" s="31" t="n"/>
      <c r="CU477" s="29">
        <f>IF(AND(CR477=0,CS477=0,CT477=0),0,IF(AND(CR477=0,CS477=0),CT477/1,IF(AND(CR477=0,CT477=0),CS477/1,IF(AND(CS477=0,CT477=0),CR477/1,IF(CR477=0,FLOOR((CS477+CT477)/2,0.1),IF(CS477=0,(CR477+CT477)/2,IF(CT477=0,(CS477+CR477)/2,FLOOR(((CR477+CS477+CT477)/3),0.1))))))))</f>
        <v/>
      </c>
      <c r="CV477" s="21" t="n"/>
      <c r="CW477" s="21" t="n"/>
      <c r="CX477" s="27">
        <f>SUM(CV477:CW477)</f>
        <v/>
      </c>
      <c r="CY477" s="28" t="n"/>
      <c r="CZ477" s="31" t="n"/>
      <c r="DA477" s="29">
        <f>IF(AND(CX477=0,CY477=0,CZ477=0),0,IF(AND(CX477=0,CY477=0),CZ477/1,IF(AND(CX477=0,CZ477=0),CY477/1,IF(AND(CY477=0,CZ477=0),CX477/1,IF(CX477=0,FLOOR((CY477+CZ477)/2,0.1),IF(CY477=0,(CX477+CZ477)/2,IF(CZ477=0,(CY477+CX477)/2,FLOOR(((CX477+CY477+CZ477)/3),0.1))))))))</f>
        <v/>
      </c>
      <c r="DB477" s="21" t="n"/>
      <c r="DC477" s="21" t="n"/>
      <c r="DD477" s="27">
        <f>SUM(DB477:DC477)</f>
        <v/>
      </c>
      <c r="DE477" s="28" t="n"/>
      <c r="DF477" s="31" t="n"/>
      <c r="DG477" s="29">
        <f>IF(AND(DD477=0,DE477=0,DF477=0),0,IF(AND(DD477=0,DE477=0),DF477/1,IF(AND(DD477=0,DF477=0),DE477/1,IF(AND(DE477=0,DF477=0),DD477/1,IF(DD477=0,FLOOR((DE477+DF477)/2,0.1),IF(DE477=0,(DD477+DF477)/2,IF(DF477=0,(DE477+DD477)/2,FLOOR(((DD477+DE477+DF477)/3),0.1))))))))</f>
        <v/>
      </c>
      <c r="DH477" s="34">
        <f>SUM(O477,U477,AA477,AG477,AM477,AS477,AY477,BE477,BK477,BQ477,BW477,CC477,CI477,CO477,CU477,DA477,DG477)</f>
        <v/>
      </c>
      <c r="DI477" s="39">
        <f>RANK(DH477,DH$4:DH$503)</f>
        <v/>
      </c>
      <c r="DJ477" s="40" t="inlineStr">
        <is>
          <t>CHOOSE RATING</t>
        </is>
      </c>
      <c r="DK477" s="40" t="inlineStr">
        <is>
          <t>CHOOSE RATING</t>
        </is>
      </c>
      <c r="DL477" s="40" t="inlineStr">
        <is>
          <t>CHOOSE RATING</t>
        </is>
      </c>
      <c r="DM477" s="40" t="inlineStr">
        <is>
          <t>CHOOSE RATING</t>
        </is>
      </c>
      <c r="DN477" s="40" t="inlineStr">
        <is>
          <t>CHOOSE RATING</t>
        </is>
      </c>
      <c r="DO477" s="40" t="inlineStr">
        <is>
          <t>CHOOSE RATING</t>
        </is>
      </c>
      <c r="DP477" s="40" t="inlineStr">
        <is>
          <t>CHOOSE RATING</t>
        </is>
      </c>
      <c r="DQ477" s="40" t="inlineStr">
        <is>
          <t>CHOOSE RATING</t>
        </is>
      </c>
      <c r="DR477" s="43" t="inlineStr">
        <is>
          <t>2024/2025</t>
        </is>
      </c>
      <c r="DS477" s="45" t="inlineStr">
        <is>
          <t>THIRD</t>
        </is>
      </c>
      <c r="DT477" s="40" t="inlineStr">
        <is>
          <t>CHOOSE RATING</t>
        </is>
      </c>
      <c r="DU477" s="40" t="inlineStr">
        <is>
          <t>CHOOSE RATING</t>
        </is>
      </c>
      <c r="DV477" s="40" t="inlineStr">
        <is>
          <t>CHOOSE RATING</t>
        </is>
      </c>
      <c r="DW477" s="40" t="inlineStr">
        <is>
          <t>CHOOSE RATING</t>
        </is>
      </c>
      <c r="DX477" s="40" t="inlineStr">
        <is>
          <t>CHOOSE RATING</t>
        </is>
      </c>
      <c r="DY477" s="40" t="inlineStr">
        <is>
          <t>CHOOSE RATING</t>
        </is>
      </c>
      <c r="DZ477" s="53" t="inlineStr">
        <is>
          <t>CHOOSE RATING</t>
        </is>
      </c>
      <c r="EA477" s="54" t="inlineStr">
        <is>
          <t>Add the Tutor's Comment . . .</t>
        </is>
      </c>
      <c r="EB477" s="55" t="inlineStr">
        <is>
          <t>Choose Principals comment</t>
        </is>
      </c>
      <c r="EC477" s="56" t="n"/>
      <c r="ED477" s="57" t="inlineStr">
        <is>
          <t>Next Term Begins on Monday, 22nd September, 2025</t>
        </is>
      </c>
    </row>
    <row r="478" ht="30.6" customHeight="1" s="6">
      <c r="A478" s="18" t="n">
        <v>475</v>
      </c>
      <c r="B478" s="19" t="n"/>
      <c r="C478" s="20" t="n"/>
      <c r="D478" s="128" t="n"/>
      <c r="E478" s="21" t="n"/>
      <c r="F478" s="22" t="n"/>
      <c r="G478" s="22" t="n"/>
      <c r="H478" s="22" t="n"/>
      <c r="I478" s="26">
        <f>G478-H478</f>
        <v/>
      </c>
      <c r="J478" s="21" t="n"/>
      <c r="K478" s="21" t="n"/>
      <c r="L478" s="27">
        <f>SUM(J478:K478)</f>
        <v/>
      </c>
      <c r="M478" s="28" t="n"/>
      <c r="N478" s="28" t="n"/>
      <c r="O478" s="29">
        <f>IF(AND(L478=0,M478=0,N478=0),0,IF(AND(L478=0,M478=0),N478/1,IF(AND(L478=0,N478=0),M478/1,IF(AND(M478=0,N478=0),L478/1,IF(L478=0,FLOOR((M478+N478)/2,0.1),IF(M478=0,(L478+N478)/2,IF(N478=0,(M478+L478)/2,FLOOR(((L478+M478+N478)/3),0.1))))))))</f>
        <v/>
      </c>
      <c r="P478" s="21" t="n"/>
      <c r="Q478" s="21" t="n"/>
      <c r="R478" s="27">
        <f>SUM(P478:Q478)</f>
        <v/>
      </c>
      <c r="S478" s="28" t="n"/>
      <c r="T478" s="28" t="n"/>
      <c r="U478" s="29">
        <f>IF(AND(R478=0,S478=0,T478=0),0,IF(AND(R478=0,S478=0),T478/1,IF(AND(R478=0,T478=0),S478/1,IF(AND(S478=0,T478=0),R478/1,IF(R478=0,FLOOR((S478+T478)/2,0.1),IF(S478=0,(R478+T478)/2,IF(T478=0,(S478+R478)/2,FLOOR(((R478+S478+T478)/3),0.1))))))))</f>
        <v/>
      </c>
      <c r="V478" s="21" t="n"/>
      <c r="W478" s="21" t="n"/>
      <c r="X478" s="27">
        <f>SUM(V478:W478)</f>
        <v/>
      </c>
      <c r="Y478" s="28" t="n"/>
      <c r="Z478" s="28" t="n"/>
      <c r="AA478" s="29">
        <f>IF(AND(X478=0,Y478=0,Z478=0),0,IF(AND(X478=0,Y478=0),Z478/1,IF(AND(X478=0,Z478=0),Y478/1,IF(AND(Y478=0,Z478=0),X478/1,IF(X478=0,FLOOR((Y478+Z478)/2,0.1),IF(Y478=0,(X478+Z478)/2,IF(Z478=0,(Y478+X478)/2,FLOOR(((X478+Y478+Z478)/3),0.1))))))))</f>
        <v/>
      </c>
      <c r="AB478" s="21" t="n"/>
      <c r="AC478" s="21" t="n"/>
      <c r="AD478" s="27">
        <f>SUM(AB478:AC478)</f>
        <v/>
      </c>
      <c r="AE478" s="28" t="n"/>
      <c r="AF478" s="28" t="n"/>
      <c r="AG478" s="29">
        <f>IF(AND(AD478=0,AE478=0,AF478=0),0,IF(AND(AD478=0,AE478=0),AF478/1,IF(AND(AD478=0,AF478=0),AE478/1,IF(AND(AE478=0,AF478=0),AD478/1,IF(AD478=0,FLOOR((AE478+AF478)/2,0.1),IF(AE478=0,(AD478+AF478)/2,IF(AF478=0,(AE478+AD478)/2,FLOOR(((AD478+AE478+AF478)/3),0.1))))))))</f>
        <v/>
      </c>
      <c r="AH478" s="21" t="n"/>
      <c r="AI478" s="21" t="n"/>
      <c r="AJ478" s="27">
        <f>SUM(AH478:AI478)</f>
        <v/>
      </c>
      <c r="AK478" s="28" t="n"/>
      <c r="AL478" s="28" t="n"/>
      <c r="AM478" s="29">
        <f>IF(AND(AJ478=0,AK478=0,AL478=0),0,IF(AND(AJ478=0,AK478=0),AL478/1,IF(AND(AJ478=0,AL478=0),AK478/1,IF(AND(AK478=0,AL478=0),AJ478/1,IF(AJ478=0,FLOOR((AK478+AL478)/2,0.1),IF(AK478=0,(AJ478+AL478)/2,IF(AL478=0,(AK478+AJ478)/2,FLOOR(((AJ478+AK478+AL478)/3),0.1))))))))</f>
        <v/>
      </c>
      <c r="AN478" s="21" t="n"/>
      <c r="AO478" s="21" t="n"/>
      <c r="AP478" s="27">
        <f>SUM(AN478:AO478)</f>
        <v/>
      </c>
      <c r="AQ478" s="28" t="n"/>
      <c r="AR478" s="30" t="n"/>
      <c r="AS478" s="29">
        <f>IF(AND(AP478=0,AQ478=0,AR478=0),0,IF(AND(AP478=0,AQ478=0),AR478/1,IF(AND(AP478=0,AR478=0),AQ478/1,IF(AND(AQ478=0,AR478=0),AP478/1,IF(AP478=0,FLOOR((AQ478+AR478)/2,0.1),IF(AQ478=0,(AP478+AR478)/2,IF(AR478=0,(AQ478+AP478)/2,FLOOR(((AP478+AQ478+AR478)/3),0.1))))))))</f>
        <v/>
      </c>
      <c r="AT478" s="21" t="n"/>
      <c r="AU478" s="21" t="n"/>
      <c r="AV478" s="27">
        <f>SUM(AT478:AU478)</f>
        <v/>
      </c>
      <c r="AW478" s="28" t="n"/>
      <c r="AX478" s="30" t="n"/>
      <c r="AY478" s="29">
        <f>IF(AND(AV478=0,AW478=0,AX478=0),0,IF(AND(AV478=0,AW478=0),AX478/1,IF(AND(AV478=0,AX478=0),AW478/1,IF(AND(AW478=0,AX478=0),AV478/1,IF(AV478=0,FLOOR((AW478+AX478)/2,0.1),IF(AW478=0,(AV478+AX478)/2,IF(AX478=0,(AW478+AV478)/2,FLOOR(((AV478+AW478+AX478)/3),0.1))))))))</f>
        <v/>
      </c>
      <c r="AZ478" s="21" t="n"/>
      <c r="BA478" s="21" t="n"/>
      <c r="BB478" s="27">
        <f>SUM(AZ478:BA478)</f>
        <v/>
      </c>
      <c r="BC478" s="28" t="n"/>
      <c r="BD478" s="28" t="n"/>
      <c r="BE478" s="29">
        <f>IF(AND(BB478=0,BC478=0,BD478=0),0,IF(AND(BB478=0,BC478=0),BD478/1,IF(AND(BB478=0,BD478=0),BC478/1,IF(AND(BC478=0,BD478=0),BB478/1,IF(BB478=0,FLOOR((BC478+BD478)/2,0.1),IF(BC478=0,(BB478+BD478)/2,IF(BD478=0,(BC478+BB478)/2,FLOOR(((BB478+BC478+BD478)/3),0.1))))))))</f>
        <v/>
      </c>
      <c r="BF478" s="21" t="n"/>
      <c r="BG478" s="21" t="n"/>
      <c r="BH478" s="27">
        <f>SUM(BF478:BG478)</f>
        <v/>
      </c>
      <c r="BI478" s="28" t="n"/>
      <c r="BJ478" s="28" t="n"/>
      <c r="BK478" s="29">
        <f>IF(AND(BH478=0,BI478=0,BJ478=0),0,IF(AND(BH478=0,BI478=0),BJ478/1,IF(AND(BH478=0,BJ478=0),BI478/1,IF(AND(BI478=0,BJ478=0),BH478/1,IF(BH478=0,FLOOR((BI478+BJ478)/2,0.1),IF(BI478=0,(BH478+BJ478)/2,IF(BJ478=0,(BI478+BH478)/2,FLOOR(((BH478+BI478+BJ478)/3),0.1))))))))</f>
        <v/>
      </c>
      <c r="BL478" s="21" t="n"/>
      <c r="BM478" s="21" t="n"/>
      <c r="BN478" s="27">
        <f>SUM(BL478:BM478)</f>
        <v/>
      </c>
      <c r="BO478" s="28" t="n"/>
      <c r="BP478" s="31" t="n"/>
      <c r="BQ478" s="29">
        <f>IF(AND(BN478=0,BO478=0,BP478=0),0,IF(AND(BN478=0,BO478=0),BP478/1,IF(AND(BN478=0,BP478=0),BO478/1,IF(AND(BO478=0,BP478=0),BN478/1,IF(BN478=0,FLOOR((BO478+BP478)/2,0.1),IF(BO478=0,(BN478+BP478)/2,IF(BP478=0,(BO478+BN478)/2,FLOOR(((BN478+BO478+BP478)/3),0.1))))))))</f>
        <v/>
      </c>
      <c r="BR478" s="21" t="n"/>
      <c r="BS478" s="21" t="n"/>
      <c r="BT478" s="27">
        <f>SUM(BR478:BS478)</f>
        <v/>
      </c>
      <c r="BU478" s="28" t="n"/>
      <c r="BV478" s="31" t="n"/>
      <c r="BW478" s="29">
        <f>IF(AND(BT478=0,BU478=0,BV478=0),0,IF(AND(BT478=0,BU478=0),BV478/1,IF(AND(BT478=0,BV478=0),BU478/1,IF(AND(BU478=0,BV478=0),BT478/1,IF(BT478=0,FLOOR((BU478+BV478)/2,0.1),IF(BU478=0,(BT478+BV478)/2,IF(BV478=0,(BU478+BT478)/2,FLOOR(((BT478+BU478+BV478)/3),0.1))))))))</f>
        <v/>
      </c>
      <c r="BX478" s="21" t="n"/>
      <c r="BY478" s="21" t="n"/>
      <c r="BZ478" s="27">
        <f>SUM(BX478:BY478)</f>
        <v/>
      </c>
      <c r="CA478" s="28" t="n"/>
      <c r="CB478" s="31" t="n"/>
      <c r="CC478" s="29">
        <f>IF(AND(BZ478=0,CA478=0,CB478=0),0,IF(AND(BZ478=0,CA478=0),CB478/1,IF(AND(BZ478=0,CB478=0),CA478/1,IF(AND(CA478=0,CB478=0),BZ478/1,IF(BZ478=0,FLOOR((CA478+CB478)/2,0.1),IF(CA478=0,(BZ478+CB478)/2,IF(CB478=0,(CA478+BZ478)/2,FLOOR(((BZ478+CA478+CB478)/3),0.1))))))))</f>
        <v/>
      </c>
      <c r="CD478" s="21" t="n"/>
      <c r="CE478" s="21" t="n"/>
      <c r="CF478" s="27">
        <f>SUM(CD478:CE478)</f>
        <v/>
      </c>
      <c r="CG478" s="28" t="n"/>
      <c r="CH478" s="31" t="n"/>
      <c r="CI478" s="29">
        <f>IF(AND(CF478=0,CG478=0,CH478=0),0,IF(AND(CF478=0,CG478=0),CH478/1,IF(AND(CF478=0,CH478=0),CG478/1,IF(AND(CG478=0,CH478=0),CF478/1,IF(CF478=0,FLOOR((CG478+CH478)/2,0.1),IF(CG478=0,(CF478+CH478)/2,IF(CH478=0,(CG478+CF478)/2,FLOOR(((CF478+CG478+CH478)/3),0.1))))))))</f>
        <v/>
      </c>
      <c r="CJ478" s="21" t="n"/>
      <c r="CK478" s="21" t="n"/>
      <c r="CL478" s="27">
        <f>SUM(CJ478:CK478)</f>
        <v/>
      </c>
      <c r="CM478" s="28" t="n"/>
      <c r="CN478" s="31" t="n"/>
      <c r="CO478" s="29">
        <f>IF(AND(CL478=0,CM478=0,CN478=0),0,IF(AND(CL478=0,CM478=0),CN478/1,IF(AND(CL478=0,CN478=0),CM478/1,IF(AND(CM478=0,CN478=0),CL478/1,IF(CL478=0,FLOOR((CM478+CN478)/2,0.1),IF(CM478=0,(CL478+CN478)/2,IF(CN478=0,(CM478+CL478)/2,FLOOR(((CL478+CM478+CN478)/3),0.1))))))))</f>
        <v/>
      </c>
      <c r="CP478" s="21" t="n"/>
      <c r="CQ478" s="21" t="n"/>
      <c r="CR478" s="27">
        <f>SUM(CP478:CQ478)</f>
        <v/>
      </c>
      <c r="CS478" s="28" t="n"/>
      <c r="CT478" s="31" t="n"/>
      <c r="CU478" s="29">
        <f>IF(AND(CR478=0,CS478=0,CT478=0),0,IF(AND(CR478=0,CS478=0),CT478/1,IF(AND(CR478=0,CT478=0),CS478/1,IF(AND(CS478=0,CT478=0),CR478/1,IF(CR478=0,FLOOR((CS478+CT478)/2,0.1),IF(CS478=0,(CR478+CT478)/2,IF(CT478=0,(CS478+CR478)/2,FLOOR(((CR478+CS478+CT478)/3),0.1))))))))</f>
        <v/>
      </c>
      <c r="CV478" s="21" t="n"/>
      <c r="CW478" s="21" t="n"/>
      <c r="CX478" s="27">
        <f>SUM(CV478:CW478)</f>
        <v/>
      </c>
      <c r="CY478" s="28" t="n"/>
      <c r="CZ478" s="31" t="n"/>
      <c r="DA478" s="29">
        <f>IF(AND(CX478=0,CY478=0,CZ478=0),0,IF(AND(CX478=0,CY478=0),CZ478/1,IF(AND(CX478=0,CZ478=0),CY478/1,IF(AND(CY478=0,CZ478=0),CX478/1,IF(CX478=0,FLOOR((CY478+CZ478)/2,0.1),IF(CY478=0,(CX478+CZ478)/2,IF(CZ478=0,(CY478+CX478)/2,FLOOR(((CX478+CY478+CZ478)/3),0.1))))))))</f>
        <v/>
      </c>
      <c r="DB478" s="21" t="n"/>
      <c r="DC478" s="21" t="n"/>
      <c r="DD478" s="27">
        <f>SUM(DB478:DC478)</f>
        <v/>
      </c>
      <c r="DE478" s="28" t="n"/>
      <c r="DF478" s="31" t="n"/>
      <c r="DG478" s="29">
        <f>IF(AND(DD478=0,DE478=0,DF478=0),0,IF(AND(DD478=0,DE478=0),DF478/1,IF(AND(DD478=0,DF478=0),DE478/1,IF(AND(DE478=0,DF478=0),DD478/1,IF(DD478=0,FLOOR((DE478+DF478)/2,0.1),IF(DE478=0,(DD478+DF478)/2,IF(DF478=0,(DE478+DD478)/2,FLOOR(((DD478+DE478+DF478)/3),0.1))))))))</f>
        <v/>
      </c>
      <c r="DH478" s="34">
        <f>SUM(O478,U478,AA478,AG478,AM478,AS478,AY478,BE478,BK478,BQ478,BW478,CC478,CI478,CO478,CU478,DA478,DG478)</f>
        <v/>
      </c>
      <c r="DI478" s="39">
        <f>RANK(DH478,DH$4:DH$503)</f>
        <v/>
      </c>
      <c r="DJ478" s="40" t="inlineStr">
        <is>
          <t>CHOOSE RATING</t>
        </is>
      </c>
      <c r="DK478" s="40" t="inlineStr">
        <is>
          <t>CHOOSE RATING</t>
        </is>
      </c>
      <c r="DL478" s="40" t="inlineStr">
        <is>
          <t>CHOOSE RATING</t>
        </is>
      </c>
      <c r="DM478" s="40" t="inlineStr">
        <is>
          <t>CHOOSE RATING</t>
        </is>
      </c>
      <c r="DN478" s="40" t="inlineStr">
        <is>
          <t>CHOOSE RATING</t>
        </is>
      </c>
      <c r="DO478" s="40" t="inlineStr">
        <is>
          <t>CHOOSE RATING</t>
        </is>
      </c>
      <c r="DP478" s="40" t="inlineStr">
        <is>
          <t>CHOOSE RATING</t>
        </is>
      </c>
      <c r="DQ478" s="40" t="inlineStr">
        <is>
          <t>CHOOSE RATING</t>
        </is>
      </c>
      <c r="DR478" s="43" t="inlineStr">
        <is>
          <t>2024/2025</t>
        </is>
      </c>
      <c r="DS478" s="45" t="inlineStr">
        <is>
          <t>THIRD</t>
        </is>
      </c>
      <c r="DT478" s="40" t="inlineStr">
        <is>
          <t>CHOOSE RATING</t>
        </is>
      </c>
      <c r="DU478" s="40" t="inlineStr">
        <is>
          <t>CHOOSE RATING</t>
        </is>
      </c>
      <c r="DV478" s="40" t="inlineStr">
        <is>
          <t>CHOOSE RATING</t>
        </is>
      </c>
      <c r="DW478" s="40" t="inlineStr">
        <is>
          <t>CHOOSE RATING</t>
        </is>
      </c>
      <c r="DX478" s="40" t="inlineStr">
        <is>
          <t>CHOOSE RATING</t>
        </is>
      </c>
      <c r="DY478" s="40" t="inlineStr">
        <is>
          <t>CHOOSE RATING</t>
        </is>
      </c>
      <c r="DZ478" s="53" t="inlineStr">
        <is>
          <t>CHOOSE RATING</t>
        </is>
      </c>
      <c r="EA478" s="54" t="inlineStr">
        <is>
          <t>Add the Tutor's Comment . . .</t>
        </is>
      </c>
      <c r="EB478" s="55" t="inlineStr">
        <is>
          <t>Choose Principals comment</t>
        </is>
      </c>
      <c r="EC478" s="56" t="n"/>
      <c r="ED478" s="57" t="inlineStr">
        <is>
          <t>Next Term Begins on Monday, 22nd September, 2025</t>
        </is>
      </c>
    </row>
    <row r="479" ht="30.6" customHeight="1" s="6">
      <c r="A479" s="18" t="n">
        <v>476</v>
      </c>
      <c r="B479" s="19" t="n"/>
      <c r="C479" s="20" t="n"/>
      <c r="D479" s="128" t="n"/>
      <c r="E479" s="21" t="n"/>
      <c r="F479" s="22" t="n"/>
      <c r="G479" s="22" t="n"/>
      <c r="H479" s="22" t="n"/>
      <c r="I479" s="26">
        <f>G479-H479</f>
        <v/>
      </c>
      <c r="J479" s="21" t="n"/>
      <c r="K479" s="21" t="n"/>
      <c r="L479" s="27">
        <f>SUM(J479:K479)</f>
        <v/>
      </c>
      <c r="M479" s="28" t="n"/>
      <c r="N479" s="28" t="n"/>
      <c r="O479" s="29">
        <f>IF(AND(L479=0,M479=0,N479=0),0,IF(AND(L479=0,M479=0),N479/1,IF(AND(L479=0,N479=0),M479/1,IF(AND(M479=0,N479=0),L479/1,IF(L479=0,FLOOR((M479+N479)/2,0.1),IF(M479=0,(L479+N479)/2,IF(N479=0,(M479+L479)/2,FLOOR(((L479+M479+N479)/3),0.1))))))))</f>
        <v/>
      </c>
      <c r="P479" s="21" t="n"/>
      <c r="Q479" s="21" t="n"/>
      <c r="R479" s="27">
        <f>SUM(P479:Q479)</f>
        <v/>
      </c>
      <c r="S479" s="28" t="n"/>
      <c r="T479" s="28" t="n"/>
      <c r="U479" s="29">
        <f>IF(AND(R479=0,S479=0,T479=0),0,IF(AND(R479=0,S479=0),T479/1,IF(AND(R479=0,T479=0),S479/1,IF(AND(S479=0,T479=0),R479/1,IF(R479=0,FLOOR((S479+T479)/2,0.1),IF(S479=0,(R479+T479)/2,IF(T479=0,(S479+R479)/2,FLOOR(((R479+S479+T479)/3),0.1))))))))</f>
        <v/>
      </c>
      <c r="V479" s="21" t="n"/>
      <c r="W479" s="21" t="n"/>
      <c r="X479" s="27">
        <f>SUM(V479:W479)</f>
        <v/>
      </c>
      <c r="Y479" s="28" t="n"/>
      <c r="Z479" s="28" t="n"/>
      <c r="AA479" s="29">
        <f>IF(AND(X479=0,Y479=0,Z479=0),0,IF(AND(X479=0,Y479=0),Z479/1,IF(AND(X479=0,Z479=0),Y479/1,IF(AND(Y479=0,Z479=0),X479/1,IF(X479=0,FLOOR((Y479+Z479)/2,0.1),IF(Y479=0,(X479+Z479)/2,IF(Z479=0,(Y479+X479)/2,FLOOR(((X479+Y479+Z479)/3),0.1))))))))</f>
        <v/>
      </c>
      <c r="AB479" s="21" t="n"/>
      <c r="AC479" s="21" t="n"/>
      <c r="AD479" s="27">
        <f>SUM(AB479:AC479)</f>
        <v/>
      </c>
      <c r="AE479" s="28" t="n"/>
      <c r="AF479" s="28" t="n"/>
      <c r="AG479" s="29">
        <f>IF(AND(AD479=0,AE479=0,AF479=0),0,IF(AND(AD479=0,AE479=0),AF479/1,IF(AND(AD479=0,AF479=0),AE479/1,IF(AND(AE479=0,AF479=0),AD479/1,IF(AD479=0,FLOOR((AE479+AF479)/2,0.1),IF(AE479=0,(AD479+AF479)/2,IF(AF479=0,(AE479+AD479)/2,FLOOR(((AD479+AE479+AF479)/3),0.1))))))))</f>
        <v/>
      </c>
      <c r="AH479" s="21" t="n"/>
      <c r="AI479" s="21" t="n"/>
      <c r="AJ479" s="27">
        <f>SUM(AH479:AI479)</f>
        <v/>
      </c>
      <c r="AK479" s="28" t="n"/>
      <c r="AL479" s="28" t="n"/>
      <c r="AM479" s="29">
        <f>IF(AND(AJ479=0,AK479=0,AL479=0),0,IF(AND(AJ479=0,AK479=0),AL479/1,IF(AND(AJ479=0,AL479=0),AK479/1,IF(AND(AK479=0,AL479=0),AJ479/1,IF(AJ479=0,FLOOR((AK479+AL479)/2,0.1),IF(AK479=0,(AJ479+AL479)/2,IF(AL479=0,(AK479+AJ479)/2,FLOOR(((AJ479+AK479+AL479)/3),0.1))))))))</f>
        <v/>
      </c>
      <c r="AN479" s="21" t="n"/>
      <c r="AO479" s="21" t="n"/>
      <c r="AP479" s="27">
        <f>SUM(AN479:AO479)</f>
        <v/>
      </c>
      <c r="AQ479" s="28" t="n"/>
      <c r="AR479" s="30" t="n"/>
      <c r="AS479" s="29">
        <f>IF(AND(AP479=0,AQ479=0,AR479=0),0,IF(AND(AP479=0,AQ479=0),AR479/1,IF(AND(AP479=0,AR479=0),AQ479/1,IF(AND(AQ479=0,AR479=0),AP479/1,IF(AP479=0,FLOOR((AQ479+AR479)/2,0.1),IF(AQ479=0,(AP479+AR479)/2,IF(AR479=0,(AQ479+AP479)/2,FLOOR(((AP479+AQ479+AR479)/3),0.1))))))))</f>
        <v/>
      </c>
      <c r="AT479" s="21" t="n"/>
      <c r="AU479" s="21" t="n"/>
      <c r="AV479" s="27">
        <f>SUM(AT479:AU479)</f>
        <v/>
      </c>
      <c r="AW479" s="28" t="n"/>
      <c r="AX479" s="30" t="n"/>
      <c r="AY479" s="29">
        <f>IF(AND(AV479=0,AW479=0,AX479=0),0,IF(AND(AV479=0,AW479=0),AX479/1,IF(AND(AV479=0,AX479=0),AW479/1,IF(AND(AW479=0,AX479=0),AV479/1,IF(AV479=0,FLOOR((AW479+AX479)/2,0.1),IF(AW479=0,(AV479+AX479)/2,IF(AX479=0,(AW479+AV479)/2,FLOOR(((AV479+AW479+AX479)/3),0.1))))))))</f>
        <v/>
      </c>
      <c r="AZ479" s="21" t="n"/>
      <c r="BA479" s="21" t="n"/>
      <c r="BB479" s="27">
        <f>SUM(AZ479:BA479)</f>
        <v/>
      </c>
      <c r="BC479" s="28" t="n"/>
      <c r="BD479" s="28" t="n"/>
      <c r="BE479" s="29">
        <f>IF(AND(BB479=0,BC479=0,BD479=0),0,IF(AND(BB479=0,BC479=0),BD479/1,IF(AND(BB479=0,BD479=0),BC479/1,IF(AND(BC479=0,BD479=0),BB479/1,IF(BB479=0,FLOOR((BC479+BD479)/2,0.1),IF(BC479=0,(BB479+BD479)/2,IF(BD479=0,(BC479+BB479)/2,FLOOR(((BB479+BC479+BD479)/3),0.1))))))))</f>
        <v/>
      </c>
      <c r="BF479" s="21" t="n"/>
      <c r="BG479" s="21" t="n"/>
      <c r="BH479" s="27">
        <f>SUM(BF479:BG479)</f>
        <v/>
      </c>
      <c r="BI479" s="28" t="n"/>
      <c r="BJ479" s="28" t="n"/>
      <c r="BK479" s="29">
        <f>IF(AND(BH479=0,BI479=0,BJ479=0),0,IF(AND(BH479=0,BI479=0),BJ479/1,IF(AND(BH479=0,BJ479=0),BI479/1,IF(AND(BI479=0,BJ479=0),BH479/1,IF(BH479=0,FLOOR((BI479+BJ479)/2,0.1),IF(BI479=0,(BH479+BJ479)/2,IF(BJ479=0,(BI479+BH479)/2,FLOOR(((BH479+BI479+BJ479)/3),0.1))))))))</f>
        <v/>
      </c>
      <c r="BL479" s="21" t="n"/>
      <c r="BM479" s="21" t="n"/>
      <c r="BN479" s="27">
        <f>SUM(BL479:BM479)</f>
        <v/>
      </c>
      <c r="BO479" s="28" t="n"/>
      <c r="BP479" s="31" t="n"/>
      <c r="BQ479" s="29">
        <f>IF(AND(BN479=0,BO479=0,BP479=0),0,IF(AND(BN479=0,BO479=0),BP479/1,IF(AND(BN479=0,BP479=0),BO479/1,IF(AND(BO479=0,BP479=0),BN479/1,IF(BN479=0,FLOOR((BO479+BP479)/2,0.1),IF(BO479=0,(BN479+BP479)/2,IF(BP479=0,(BO479+BN479)/2,FLOOR(((BN479+BO479+BP479)/3),0.1))))))))</f>
        <v/>
      </c>
      <c r="BR479" s="21" t="n"/>
      <c r="BS479" s="21" t="n"/>
      <c r="BT479" s="27">
        <f>SUM(BR479:BS479)</f>
        <v/>
      </c>
      <c r="BU479" s="28" t="n"/>
      <c r="BV479" s="31" t="n"/>
      <c r="BW479" s="29">
        <f>IF(AND(BT479=0,BU479=0,BV479=0),0,IF(AND(BT479=0,BU479=0),BV479/1,IF(AND(BT479=0,BV479=0),BU479/1,IF(AND(BU479=0,BV479=0),BT479/1,IF(BT479=0,FLOOR((BU479+BV479)/2,0.1),IF(BU479=0,(BT479+BV479)/2,IF(BV479=0,(BU479+BT479)/2,FLOOR(((BT479+BU479+BV479)/3),0.1))))))))</f>
        <v/>
      </c>
      <c r="BX479" s="21" t="n"/>
      <c r="BY479" s="21" t="n"/>
      <c r="BZ479" s="27">
        <f>SUM(BX479:BY479)</f>
        <v/>
      </c>
      <c r="CA479" s="28" t="n"/>
      <c r="CB479" s="31" t="n"/>
      <c r="CC479" s="29">
        <f>IF(AND(BZ479=0,CA479=0,CB479=0),0,IF(AND(BZ479=0,CA479=0),CB479/1,IF(AND(BZ479=0,CB479=0),CA479/1,IF(AND(CA479=0,CB479=0),BZ479/1,IF(BZ479=0,FLOOR((CA479+CB479)/2,0.1),IF(CA479=0,(BZ479+CB479)/2,IF(CB479=0,(CA479+BZ479)/2,FLOOR(((BZ479+CA479+CB479)/3),0.1))))))))</f>
        <v/>
      </c>
      <c r="CD479" s="21" t="n"/>
      <c r="CE479" s="21" t="n"/>
      <c r="CF479" s="27">
        <f>SUM(CD479:CE479)</f>
        <v/>
      </c>
      <c r="CG479" s="28" t="n"/>
      <c r="CH479" s="31" t="n"/>
      <c r="CI479" s="29">
        <f>IF(AND(CF479=0,CG479=0,CH479=0),0,IF(AND(CF479=0,CG479=0),CH479/1,IF(AND(CF479=0,CH479=0),CG479/1,IF(AND(CG479=0,CH479=0),CF479/1,IF(CF479=0,FLOOR((CG479+CH479)/2,0.1),IF(CG479=0,(CF479+CH479)/2,IF(CH479=0,(CG479+CF479)/2,FLOOR(((CF479+CG479+CH479)/3),0.1))))))))</f>
        <v/>
      </c>
      <c r="CJ479" s="21" t="n"/>
      <c r="CK479" s="21" t="n"/>
      <c r="CL479" s="27">
        <f>SUM(CJ479:CK479)</f>
        <v/>
      </c>
      <c r="CM479" s="28" t="n"/>
      <c r="CN479" s="31" t="n"/>
      <c r="CO479" s="29">
        <f>IF(AND(CL479=0,CM479=0,CN479=0),0,IF(AND(CL479=0,CM479=0),CN479/1,IF(AND(CL479=0,CN479=0),CM479/1,IF(AND(CM479=0,CN479=0),CL479/1,IF(CL479=0,FLOOR((CM479+CN479)/2,0.1),IF(CM479=0,(CL479+CN479)/2,IF(CN479=0,(CM479+CL479)/2,FLOOR(((CL479+CM479+CN479)/3),0.1))))))))</f>
        <v/>
      </c>
      <c r="CP479" s="21" t="n"/>
      <c r="CQ479" s="21" t="n"/>
      <c r="CR479" s="27">
        <f>SUM(CP479:CQ479)</f>
        <v/>
      </c>
      <c r="CS479" s="28" t="n"/>
      <c r="CT479" s="31" t="n"/>
      <c r="CU479" s="29">
        <f>IF(AND(CR479=0,CS479=0,CT479=0),0,IF(AND(CR479=0,CS479=0),CT479/1,IF(AND(CR479=0,CT479=0),CS479/1,IF(AND(CS479=0,CT479=0),CR479/1,IF(CR479=0,FLOOR((CS479+CT479)/2,0.1),IF(CS479=0,(CR479+CT479)/2,IF(CT479=0,(CS479+CR479)/2,FLOOR(((CR479+CS479+CT479)/3),0.1))))))))</f>
        <v/>
      </c>
      <c r="CV479" s="21" t="n"/>
      <c r="CW479" s="21" t="n"/>
      <c r="CX479" s="27">
        <f>SUM(CV479:CW479)</f>
        <v/>
      </c>
      <c r="CY479" s="28" t="n"/>
      <c r="CZ479" s="31" t="n"/>
      <c r="DA479" s="29">
        <f>IF(AND(CX479=0,CY479=0,CZ479=0),0,IF(AND(CX479=0,CY479=0),CZ479/1,IF(AND(CX479=0,CZ479=0),CY479/1,IF(AND(CY479=0,CZ479=0),CX479/1,IF(CX479=0,FLOOR((CY479+CZ479)/2,0.1),IF(CY479=0,(CX479+CZ479)/2,IF(CZ479=0,(CY479+CX479)/2,FLOOR(((CX479+CY479+CZ479)/3),0.1))))))))</f>
        <v/>
      </c>
      <c r="DB479" s="21" t="n"/>
      <c r="DC479" s="21" t="n"/>
      <c r="DD479" s="27">
        <f>SUM(DB479:DC479)</f>
        <v/>
      </c>
      <c r="DE479" s="28" t="n"/>
      <c r="DF479" s="31" t="n"/>
      <c r="DG479" s="29">
        <f>IF(AND(DD479=0,DE479=0,DF479=0),0,IF(AND(DD479=0,DE479=0),DF479/1,IF(AND(DD479=0,DF479=0),DE479/1,IF(AND(DE479=0,DF479=0),DD479/1,IF(DD479=0,FLOOR((DE479+DF479)/2,0.1),IF(DE479=0,(DD479+DF479)/2,IF(DF479=0,(DE479+DD479)/2,FLOOR(((DD479+DE479+DF479)/3),0.1))))))))</f>
        <v/>
      </c>
      <c r="DH479" s="34">
        <f>SUM(O479,U479,AA479,AG479,AM479,AS479,AY479,BE479,BK479,BQ479,BW479,CC479,CI479,CO479,CU479,DA479,DG479)</f>
        <v/>
      </c>
      <c r="DI479" s="39">
        <f>RANK(DH479,DH$4:DH$503)</f>
        <v/>
      </c>
      <c r="DJ479" s="40" t="inlineStr">
        <is>
          <t>CHOOSE RATING</t>
        </is>
      </c>
      <c r="DK479" s="40" t="inlineStr">
        <is>
          <t>CHOOSE RATING</t>
        </is>
      </c>
      <c r="DL479" s="40" t="inlineStr">
        <is>
          <t>CHOOSE RATING</t>
        </is>
      </c>
      <c r="DM479" s="40" t="inlineStr">
        <is>
          <t>CHOOSE RATING</t>
        </is>
      </c>
      <c r="DN479" s="40" t="inlineStr">
        <is>
          <t>CHOOSE RATING</t>
        </is>
      </c>
      <c r="DO479" s="40" t="inlineStr">
        <is>
          <t>CHOOSE RATING</t>
        </is>
      </c>
      <c r="DP479" s="40" t="inlineStr">
        <is>
          <t>CHOOSE RATING</t>
        </is>
      </c>
      <c r="DQ479" s="40" t="inlineStr">
        <is>
          <t>CHOOSE RATING</t>
        </is>
      </c>
      <c r="DR479" s="43" t="inlineStr">
        <is>
          <t>2024/2025</t>
        </is>
      </c>
      <c r="DS479" s="45" t="inlineStr">
        <is>
          <t>THIRD</t>
        </is>
      </c>
      <c r="DT479" s="40" t="inlineStr">
        <is>
          <t>CHOOSE RATING</t>
        </is>
      </c>
      <c r="DU479" s="40" t="inlineStr">
        <is>
          <t>CHOOSE RATING</t>
        </is>
      </c>
      <c r="DV479" s="40" t="inlineStr">
        <is>
          <t>CHOOSE RATING</t>
        </is>
      </c>
      <c r="DW479" s="40" t="inlineStr">
        <is>
          <t>CHOOSE RATING</t>
        </is>
      </c>
      <c r="DX479" s="40" t="inlineStr">
        <is>
          <t>CHOOSE RATING</t>
        </is>
      </c>
      <c r="DY479" s="40" t="inlineStr">
        <is>
          <t>CHOOSE RATING</t>
        </is>
      </c>
      <c r="DZ479" s="53" t="inlineStr">
        <is>
          <t>CHOOSE RATING</t>
        </is>
      </c>
      <c r="EA479" s="54" t="inlineStr">
        <is>
          <t>Add the Tutor's Comment . . .</t>
        </is>
      </c>
      <c r="EB479" s="55" t="inlineStr">
        <is>
          <t>Choose Principals comment</t>
        </is>
      </c>
      <c r="EC479" s="56" t="n"/>
      <c r="ED479" s="57" t="inlineStr">
        <is>
          <t>Next Term Begins on Monday, 22nd September, 2025</t>
        </is>
      </c>
    </row>
    <row r="480" ht="30.6" customHeight="1" s="6">
      <c r="A480" s="18" t="n">
        <v>477</v>
      </c>
      <c r="B480" s="19" t="n"/>
      <c r="C480" s="20" t="n"/>
      <c r="D480" s="128" t="n"/>
      <c r="E480" s="21" t="n"/>
      <c r="F480" s="22" t="n"/>
      <c r="G480" s="22" t="n"/>
      <c r="H480" s="22" t="n"/>
      <c r="I480" s="26">
        <f>G480-H480</f>
        <v/>
      </c>
      <c r="J480" s="21" t="n"/>
      <c r="K480" s="21" t="n"/>
      <c r="L480" s="27">
        <f>SUM(J480:K480)</f>
        <v/>
      </c>
      <c r="M480" s="28" t="n"/>
      <c r="N480" s="28" t="n"/>
      <c r="O480" s="29">
        <f>IF(AND(L480=0,M480=0,N480=0),0,IF(AND(L480=0,M480=0),N480/1,IF(AND(L480=0,N480=0),M480/1,IF(AND(M480=0,N480=0),L480/1,IF(L480=0,FLOOR((M480+N480)/2,0.1),IF(M480=0,(L480+N480)/2,IF(N480=0,(M480+L480)/2,FLOOR(((L480+M480+N480)/3),0.1))))))))</f>
        <v/>
      </c>
      <c r="P480" s="21" t="n"/>
      <c r="Q480" s="21" t="n"/>
      <c r="R480" s="27">
        <f>SUM(P480:Q480)</f>
        <v/>
      </c>
      <c r="S480" s="28" t="n"/>
      <c r="T480" s="28" t="n"/>
      <c r="U480" s="29">
        <f>IF(AND(R480=0,S480=0,T480=0),0,IF(AND(R480=0,S480=0),T480/1,IF(AND(R480=0,T480=0),S480/1,IF(AND(S480=0,T480=0),R480/1,IF(R480=0,FLOOR((S480+T480)/2,0.1),IF(S480=0,(R480+T480)/2,IF(T480=0,(S480+R480)/2,FLOOR(((R480+S480+T480)/3),0.1))))))))</f>
        <v/>
      </c>
      <c r="V480" s="21" t="n"/>
      <c r="W480" s="21" t="n"/>
      <c r="X480" s="27">
        <f>SUM(V480:W480)</f>
        <v/>
      </c>
      <c r="Y480" s="28" t="n"/>
      <c r="Z480" s="28" t="n"/>
      <c r="AA480" s="29">
        <f>IF(AND(X480=0,Y480=0,Z480=0),0,IF(AND(X480=0,Y480=0),Z480/1,IF(AND(X480=0,Z480=0),Y480/1,IF(AND(Y480=0,Z480=0),X480/1,IF(X480=0,FLOOR((Y480+Z480)/2,0.1),IF(Y480=0,(X480+Z480)/2,IF(Z480=0,(Y480+X480)/2,FLOOR(((X480+Y480+Z480)/3),0.1))))))))</f>
        <v/>
      </c>
      <c r="AB480" s="21" t="n"/>
      <c r="AC480" s="21" t="n"/>
      <c r="AD480" s="27">
        <f>SUM(AB480:AC480)</f>
        <v/>
      </c>
      <c r="AE480" s="28" t="n"/>
      <c r="AF480" s="28" t="n"/>
      <c r="AG480" s="29">
        <f>IF(AND(AD480=0,AE480=0,AF480=0),0,IF(AND(AD480=0,AE480=0),AF480/1,IF(AND(AD480=0,AF480=0),AE480/1,IF(AND(AE480=0,AF480=0),AD480/1,IF(AD480=0,FLOOR((AE480+AF480)/2,0.1),IF(AE480=0,(AD480+AF480)/2,IF(AF480=0,(AE480+AD480)/2,FLOOR(((AD480+AE480+AF480)/3),0.1))))))))</f>
        <v/>
      </c>
      <c r="AH480" s="21" t="n"/>
      <c r="AI480" s="21" t="n"/>
      <c r="AJ480" s="27">
        <f>SUM(AH480:AI480)</f>
        <v/>
      </c>
      <c r="AK480" s="28" t="n"/>
      <c r="AL480" s="28" t="n"/>
      <c r="AM480" s="29">
        <f>IF(AND(AJ480=0,AK480=0,AL480=0),0,IF(AND(AJ480=0,AK480=0),AL480/1,IF(AND(AJ480=0,AL480=0),AK480/1,IF(AND(AK480=0,AL480=0),AJ480/1,IF(AJ480=0,FLOOR((AK480+AL480)/2,0.1),IF(AK480=0,(AJ480+AL480)/2,IF(AL480=0,(AK480+AJ480)/2,FLOOR(((AJ480+AK480+AL480)/3),0.1))))))))</f>
        <v/>
      </c>
      <c r="AN480" s="21" t="n"/>
      <c r="AO480" s="21" t="n"/>
      <c r="AP480" s="27">
        <f>SUM(AN480:AO480)</f>
        <v/>
      </c>
      <c r="AQ480" s="28" t="n"/>
      <c r="AR480" s="30" t="n"/>
      <c r="AS480" s="29">
        <f>IF(AND(AP480=0,AQ480=0,AR480=0),0,IF(AND(AP480=0,AQ480=0),AR480/1,IF(AND(AP480=0,AR480=0),AQ480/1,IF(AND(AQ480=0,AR480=0),AP480/1,IF(AP480=0,FLOOR((AQ480+AR480)/2,0.1),IF(AQ480=0,(AP480+AR480)/2,IF(AR480=0,(AQ480+AP480)/2,FLOOR(((AP480+AQ480+AR480)/3),0.1))))))))</f>
        <v/>
      </c>
      <c r="AT480" s="21" t="n"/>
      <c r="AU480" s="21" t="n"/>
      <c r="AV480" s="27">
        <f>SUM(AT480:AU480)</f>
        <v/>
      </c>
      <c r="AW480" s="28" t="n"/>
      <c r="AX480" s="30" t="n"/>
      <c r="AY480" s="29">
        <f>IF(AND(AV480=0,AW480=0,AX480=0),0,IF(AND(AV480=0,AW480=0),AX480/1,IF(AND(AV480=0,AX480=0),AW480/1,IF(AND(AW480=0,AX480=0),AV480/1,IF(AV480=0,FLOOR((AW480+AX480)/2,0.1),IF(AW480=0,(AV480+AX480)/2,IF(AX480=0,(AW480+AV480)/2,FLOOR(((AV480+AW480+AX480)/3),0.1))))))))</f>
        <v/>
      </c>
      <c r="AZ480" s="21" t="n"/>
      <c r="BA480" s="21" t="n"/>
      <c r="BB480" s="27">
        <f>SUM(AZ480:BA480)</f>
        <v/>
      </c>
      <c r="BC480" s="28" t="n"/>
      <c r="BD480" s="28" t="n"/>
      <c r="BE480" s="29">
        <f>IF(AND(BB480=0,BC480=0,BD480=0),0,IF(AND(BB480=0,BC480=0),BD480/1,IF(AND(BB480=0,BD480=0),BC480/1,IF(AND(BC480=0,BD480=0),BB480/1,IF(BB480=0,FLOOR((BC480+BD480)/2,0.1),IF(BC480=0,(BB480+BD480)/2,IF(BD480=0,(BC480+BB480)/2,FLOOR(((BB480+BC480+BD480)/3),0.1))))))))</f>
        <v/>
      </c>
      <c r="BF480" s="21" t="n"/>
      <c r="BG480" s="21" t="n"/>
      <c r="BH480" s="27">
        <f>SUM(BF480:BG480)</f>
        <v/>
      </c>
      <c r="BI480" s="28" t="n"/>
      <c r="BJ480" s="28" t="n"/>
      <c r="BK480" s="29">
        <f>IF(AND(BH480=0,BI480=0,BJ480=0),0,IF(AND(BH480=0,BI480=0),BJ480/1,IF(AND(BH480=0,BJ480=0),BI480/1,IF(AND(BI480=0,BJ480=0),BH480/1,IF(BH480=0,FLOOR((BI480+BJ480)/2,0.1),IF(BI480=0,(BH480+BJ480)/2,IF(BJ480=0,(BI480+BH480)/2,FLOOR(((BH480+BI480+BJ480)/3),0.1))))))))</f>
        <v/>
      </c>
      <c r="BL480" s="21" t="n"/>
      <c r="BM480" s="21" t="n"/>
      <c r="BN480" s="27">
        <f>SUM(BL480:BM480)</f>
        <v/>
      </c>
      <c r="BO480" s="28" t="n"/>
      <c r="BP480" s="31" t="n"/>
      <c r="BQ480" s="29">
        <f>IF(AND(BN480=0,BO480=0,BP480=0),0,IF(AND(BN480=0,BO480=0),BP480/1,IF(AND(BN480=0,BP480=0),BO480/1,IF(AND(BO480=0,BP480=0),BN480/1,IF(BN480=0,FLOOR((BO480+BP480)/2,0.1),IF(BO480=0,(BN480+BP480)/2,IF(BP480=0,(BO480+BN480)/2,FLOOR(((BN480+BO480+BP480)/3),0.1))))))))</f>
        <v/>
      </c>
      <c r="BR480" s="21" t="n"/>
      <c r="BS480" s="21" t="n"/>
      <c r="BT480" s="27">
        <f>SUM(BR480:BS480)</f>
        <v/>
      </c>
      <c r="BU480" s="28" t="n"/>
      <c r="BV480" s="31" t="n"/>
      <c r="BW480" s="29">
        <f>IF(AND(BT480=0,BU480=0,BV480=0),0,IF(AND(BT480=0,BU480=0),BV480/1,IF(AND(BT480=0,BV480=0),BU480/1,IF(AND(BU480=0,BV480=0),BT480/1,IF(BT480=0,FLOOR((BU480+BV480)/2,0.1),IF(BU480=0,(BT480+BV480)/2,IF(BV480=0,(BU480+BT480)/2,FLOOR(((BT480+BU480+BV480)/3),0.1))))))))</f>
        <v/>
      </c>
      <c r="BX480" s="21" t="n"/>
      <c r="BY480" s="21" t="n"/>
      <c r="BZ480" s="27">
        <f>SUM(BX480:BY480)</f>
        <v/>
      </c>
      <c r="CA480" s="28" t="n"/>
      <c r="CB480" s="31" t="n"/>
      <c r="CC480" s="29">
        <f>IF(AND(BZ480=0,CA480=0,CB480=0),0,IF(AND(BZ480=0,CA480=0),CB480/1,IF(AND(BZ480=0,CB480=0),CA480/1,IF(AND(CA480=0,CB480=0),BZ480/1,IF(BZ480=0,FLOOR((CA480+CB480)/2,0.1),IF(CA480=0,(BZ480+CB480)/2,IF(CB480=0,(CA480+BZ480)/2,FLOOR(((BZ480+CA480+CB480)/3),0.1))))))))</f>
        <v/>
      </c>
      <c r="CD480" s="21" t="n"/>
      <c r="CE480" s="21" t="n"/>
      <c r="CF480" s="27">
        <f>SUM(CD480:CE480)</f>
        <v/>
      </c>
      <c r="CG480" s="28" t="n"/>
      <c r="CH480" s="31" t="n"/>
      <c r="CI480" s="29">
        <f>IF(AND(CF480=0,CG480=0,CH480=0),0,IF(AND(CF480=0,CG480=0),CH480/1,IF(AND(CF480=0,CH480=0),CG480/1,IF(AND(CG480=0,CH480=0),CF480/1,IF(CF480=0,FLOOR((CG480+CH480)/2,0.1),IF(CG480=0,(CF480+CH480)/2,IF(CH480=0,(CG480+CF480)/2,FLOOR(((CF480+CG480+CH480)/3),0.1))))))))</f>
        <v/>
      </c>
      <c r="CJ480" s="21" t="n"/>
      <c r="CK480" s="21" t="n"/>
      <c r="CL480" s="27">
        <f>SUM(CJ480:CK480)</f>
        <v/>
      </c>
      <c r="CM480" s="28" t="n"/>
      <c r="CN480" s="31" t="n"/>
      <c r="CO480" s="29">
        <f>IF(AND(CL480=0,CM480=0,CN480=0),0,IF(AND(CL480=0,CM480=0),CN480/1,IF(AND(CL480=0,CN480=0),CM480/1,IF(AND(CM480=0,CN480=0),CL480/1,IF(CL480=0,FLOOR((CM480+CN480)/2,0.1),IF(CM480=0,(CL480+CN480)/2,IF(CN480=0,(CM480+CL480)/2,FLOOR(((CL480+CM480+CN480)/3),0.1))))))))</f>
        <v/>
      </c>
      <c r="CP480" s="21" t="n"/>
      <c r="CQ480" s="21" t="n"/>
      <c r="CR480" s="27">
        <f>SUM(CP480:CQ480)</f>
        <v/>
      </c>
      <c r="CS480" s="28" t="n"/>
      <c r="CT480" s="31" t="n"/>
      <c r="CU480" s="29">
        <f>IF(AND(CR480=0,CS480=0,CT480=0),0,IF(AND(CR480=0,CS480=0),CT480/1,IF(AND(CR480=0,CT480=0),CS480/1,IF(AND(CS480=0,CT480=0),CR480/1,IF(CR480=0,FLOOR((CS480+CT480)/2,0.1),IF(CS480=0,(CR480+CT480)/2,IF(CT480=0,(CS480+CR480)/2,FLOOR(((CR480+CS480+CT480)/3),0.1))))))))</f>
        <v/>
      </c>
      <c r="CV480" s="21" t="n"/>
      <c r="CW480" s="21" t="n"/>
      <c r="CX480" s="27">
        <f>SUM(CV480:CW480)</f>
        <v/>
      </c>
      <c r="CY480" s="28" t="n"/>
      <c r="CZ480" s="31" t="n"/>
      <c r="DA480" s="29">
        <f>IF(AND(CX480=0,CY480=0,CZ480=0),0,IF(AND(CX480=0,CY480=0),CZ480/1,IF(AND(CX480=0,CZ480=0),CY480/1,IF(AND(CY480=0,CZ480=0),CX480/1,IF(CX480=0,FLOOR((CY480+CZ480)/2,0.1),IF(CY480=0,(CX480+CZ480)/2,IF(CZ480=0,(CY480+CX480)/2,FLOOR(((CX480+CY480+CZ480)/3),0.1))))))))</f>
        <v/>
      </c>
      <c r="DB480" s="21" t="n"/>
      <c r="DC480" s="21" t="n"/>
      <c r="DD480" s="27">
        <f>SUM(DB480:DC480)</f>
        <v/>
      </c>
      <c r="DE480" s="28" t="n"/>
      <c r="DF480" s="31" t="n"/>
      <c r="DG480" s="29">
        <f>IF(AND(DD480=0,DE480=0,DF480=0),0,IF(AND(DD480=0,DE480=0),DF480/1,IF(AND(DD480=0,DF480=0),DE480/1,IF(AND(DE480=0,DF480=0),DD480/1,IF(DD480=0,FLOOR((DE480+DF480)/2,0.1),IF(DE480=0,(DD480+DF480)/2,IF(DF480=0,(DE480+DD480)/2,FLOOR(((DD480+DE480+DF480)/3),0.1))))))))</f>
        <v/>
      </c>
      <c r="DH480" s="34">
        <f>SUM(O480,U480,AA480,AG480,AM480,AS480,AY480,BE480,BK480,BQ480,BW480,CC480,CI480,CO480,CU480,DA480,DG480)</f>
        <v/>
      </c>
      <c r="DI480" s="39">
        <f>RANK(DH480,DH$4:DH$503)</f>
        <v/>
      </c>
      <c r="DJ480" s="40" t="inlineStr">
        <is>
          <t>CHOOSE RATING</t>
        </is>
      </c>
      <c r="DK480" s="40" t="inlineStr">
        <is>
          <t>CHOOSE RATING</t>
        </is>
      </c>
      <c r="DL480" s="40" t="inlineStr">
        <is>
          <t>CHOOSE RATING</t>
        </is>
      </c>
      <c r="DM480" s="40" t="inlineStr">
        <is>
          <t>CHOOSE RATING</t>
        </is>
      </c>
      <c r="DN480" s="40" t="inlineStr">
        <is>
          <t>CHOOSE RATING</t>
        </is>
      </c>
      <c r="DO480" s="40" t="inlineStr">
        <is>
          <t>CHOOSE RATING</t>
        </is>
      </c>
      <c r="DP480" s="40" t="inlineStr">
        <is>
          <t>CHOOSE RATING</t>
        </is>
      </c>
      <c r="DQ480" s="40" t="inlineStr">
        <is>
          <t>CHOOSE RATING</t>
        </is>
      </c>
      <c r="DR480" s="43" t="inlineStr">
        <is>
          <t>2024/2025</t>
        </is>
      </c>
      <c r="DS480" s="45" t="inlineStr">
        <is>
          <t>THIRD</t>
        </is>
      </c>
      <c r="DT480" s="40" t="inlineStr">
        <is>
          <t>CHOOSE RATING</t>
        </is>
      </c>
      <c r="DU480" s="40" t="inlineStr">
        <is>
          <t>CHOOSE RATING</t>
        </is>
      </c>
      <c r="DV480" s="40" t="inlineStr">
        <is>
          <t>CHOOSE RATING</t>
        </is>
      </c>
      <c r="DW480" s="40" t="inlineStr">
        <is>
          <t>CHOOSE RATING</t>
        </is>
      </c>
      <c r="DX480" s="40" t="inlineStr">
        <is>
          <t>CHOOSE RATING</t>
        </is>
      </c>
      <c r="DY480" s="40" t="inlineStr">
        <is>
          <t>CHOOSE RATING</t>
        </is>
      </c>
      <c r="DZ480" s="53" t="inlineStr">
        <is>
          <t>CHOOSE RATING</t>
        </is>
      </c>
      <c r="EA480" s="54" t="inlineStr">
        <is>
          <t>Add the Tutor's Comment . . .</t>
        </is>
      </c>
      <c r="EB480" s="55" t="inlineStr">
        <is>
          <t>Choose Principals comment</t>
        </is>
      </c>
      <c r="EC480" s="56" t="n"/>
      <c r="ED480" s="57" t="inlineStr">
        <is>
          <t>Next Term Begins on Monday, 22nd September, 2025</t>
        </is>
      </c>
    </row>
    <row r="481" ht="30.6" customHeight="1" s="6">
      <c r="A481" s="18" t="n">
        <v>478</v>
      </c>
      <c r="B481" s="19" t="n"/>
      <c r="C481" s="20" t="n"/>
      <c r="D481" s="128" t="n"/>
      <c r="E481" s="21" t="n"/>
      <c r="F481" s="22" t="n"/>
      <c r="G481" s="22" t="n"/>
      <c r="H481" s="22" t="n"/>
      <c r="I481" s="26">
        <f>G481-H481</f>
        <v/>
      </c>
      <c r="J481" s="21" t="n"/>
      <c r="K481" s="21" t="n"/>
      <c r="L481" s="27">
        <f>SUM(J481:K481)</f>
        <v/>
      </c>
      <c r="M481" s="28" t="n"/>
      <c r="N481" s="28" t="n"/>
      <c r="O481" s="29">
        <f>IF(AND(L481=0,M481=0,N481=0),0,IF(AND(L481=0,M481=0),N481/1,IF(AND(L481=0,N481=0),M481/1,IF(AND(M481=0,N481=0),L481/1,IF(L481=0,FLOOR((M481+N481)/2,0.1),IF(M481=0,(L481+N481)/2,IF(N481=0,(M481+L481)/2,FLOOR(((L481+M481+N481)/3),0.1))))))))</f>
        <v/>
      </c>
      <c r="P481" s="21" t="n"/>
      <c r="Q481" s="21" t="n"/>
      <c r="R481" s="27">
        <f>SUM(P481:Q481)</f>
        <v/>
      </c>
      <c r="S481" s="28" t="n"/>
      <c r="T481" s="28" t="n"/>
      <c r="U481" s="29">
        <f>IF(AND(R481=0,S481=0,T481=0),0,IF(AND(R481=0,S481=0),T481/1,IF(AND(R481=0,T481=0),S481/1,IF(AND(S481=0,T481=0),R481/1,IF(R481=0,FLOOR((S481+T481)/2,0.1),IF(S481=0,(R481+T481)/2,IF(T481=0,(S481+R481)/2,FLOOR(((R481+S481+T481)/3),0.1))))))))</f>
        <v/>
      </c>
      <c r="V481" s="21" t="n"/>
      <c r="W481" s="21" t="n"/>
      <c r="X481" s="27">
        <f>SUM(V481:W481)</f>
        <v/>
      </c>
      <c r="Y481" s="28" t="n"/>
      <c r="Z481" s="28" t="n"/>
      <c r="AA481" s="29">
        <f>IF(AND(X481=0,Y481=0,Z481=0),0,IF(AND(X481=0,Y481=0),Z481/1,IF(AND(X481=0,Z481=0),Y481/1,IF(AND(Y481=0,Z481=0),X481/1,IF(X481=0,FLOOR((Y481+Z481)/2,0.1),IF(Y481=0,(X481+Z481)/2,IF(Z481=0,(Y481+X481)/2,FLOOR(((X481+Y481+Z481)/3),0.1))))))))</f>
        <v/>
      </c>
      <c r="AB481" s="21" t="n"/>
      <c r="AC481" s="21" t="n"/>
      <c r="AD481" s="27">
        <f>SUM(AB481:AC481)</f>
        <v/>
      </c>
      <c r="AE481" s="28" t="n"/>
      <c r="AF481" s="28" t="n"/>
      <c r="AG481" s="29">
        <f>IF(AND(AD481=0,AE481=0,AF481=0),0,IF(AND(AD481=0,AE481=0),AF481/1,IF(AND(AD481=0,AF481=0),AE481/1,IF(AND(AE481=0,AF481=0),AD481/1,IF(AD481=0,FLOOR((AE481+AF481)/2,0.1),IF(AE481=0,(AD481+AF481)/2,IF(AF481=0,(AE481+AD481)/2,FLOOR(((AD481+AE481+AF481)/3),0.1))))))))</f>
        <v/>
      </c>
      <c r="AH481" s="21" t="n"/>
      <c r="AI481" s="21" t="n"/>
      <c r="AJ481" s="27">
        <f>SUM(AH481:AI481)</f>
        <v/>
      </c>
      <c r="AK481" s="28" t="n"/>
      <c r="AL481" s="28" t="n"/>
      <c r="AM481" s="29">
        <f>IF(AND(AJ481=0,AK481=0,AL481=0),0,IF(AND(AJ481=0,AK481=0),AL481/1,IF(AND(AJ481=0,AL481=0),AK481/1,IF(AND(AK481=0,AL481=0),AJ481/1,IF(AJ481=0,FLOOR((AK481+AL481)/2,0.1),IF(AK481=0,(AJ481+AL481)/2,IF(AL481=0,(AK481+AJ481)/2,FLOOR(((AJ481+AK481+AL481)/3),0.1))))))))</f>
        <v/>
      </c>
      <c r="AN481" s="21" t="n"/>
      <c r="AO481" s="21" t="n"/>
      <c r="AP481" s="27">
        <f>SUM(AN481:AO481)</f>
        <v/>
      </c>
      <c r="AQ481" s="28" t="n"/>
      <c r="AR481" s="30" t="n"/>
      <c r="AS481" s="29">
        <f>IF(AND(AP481=0,AQ481=0,AR481=0),0,IF(AND(AP481=0,AQ481=0),AR481/1,IF(AND(AP481=0,AR481=0),AQ481/1,IF(AND(AQ481=0,AR481=0),AP481/1,IF(AP481=0,FLOOR((AQ481+AR481)/2,0.1),IF(AQ481=0,(AP481+AR481)/2,IF(AR481=0,(AQ481+AP481)/2,FLOOR(((AP481+AQ481+AR481)/3),0.1))))))))</f>
        <v/>
      </c>
      <c r="AT481" s="21" t="n"/>
      <c r="AU481" s="21" t="n"/>
      <c r="AV481" s="27">
        <f>SUM(AT481:AU481)</f>
        <v/>
      </c>
      <c r="AW481" s="28" t="n"/>
      <c r="AX481" s="30" t="n"/>
      <c r="AY481" s="29">
        <f>IF(AND(AV481=0,AW481=0,AX481=0),0,IF(AND(AV481=0,AW481=0),AX481/1,IF(AND(AV481=0,AX481=0),AW481/1,IF(AND(AW481=0,AX481=0),AV481/1,IF(AV481=0,FLOOR((AW481+AX481)/2,0.1),IF(AW481=0,(AV481+AX481)/2,IF(AX481=0,(AW481+AV481)/2,FLOOR(((AV481+AW481+AX481)/3),0.1))))))))</f>
        <v/>
      </c>
      <c r="AZ481" s="21" t="n"/>
      <c r="BA481" s="21" t="n"/>
      <c r="BB481" s="27">
        <f>SUM(AZ481:BA481)</f>
        <v/>
      </c>
      <c r="BC481" s="28" t="n"/>
      <c r="BD481" s="28" t="n"/>
      <c r="BE481" s="29">
        <f>IF(AND(BB481=0,BC481=0,BD481=0),0,IF(AND(BB481=0,BC481=0),BD481/1,IF(AND(BB481=0,BD481=0),BC481/1,IF(AND(BC481=0,BD481=0),BB481/1,IF(BB481=0,FLOOR((BC481+BD481)/2,0.1),IF(BC481=0,(BB481+BD481)/2,IF(BD481=0,(BC481+BB481)/2,FLOOR(((BB481+BC481+BD481)/3),0.1))))))))</f>
        <v/>
      </c>
      <c r="BF481" s="21" t="n"/>
      <c r="BG481" s="21" t="n"/>
      <c r="BH481" s="27">
        <f>SUM(BF481:BG481)</f>
        <v/>
      </c>
      <c r="BI481" s="28" t="n"/>
      <c r="BJ481" s="28" t="n"/>
      <c r="BK481" s="29">
        <f>IF(AND(BH481=0,BI481=0,BJ481=0),0,IF(AND(BH481=0,BI481=0),BJ481/1,IF(AND(BH481=0,BJ481=0),BI481/1,IF(AND(BI481=0,BJ481=0),BH481/1,IF(BH481=0,FLOOR((BI481+BJ481)/2,0.1),IF(BI481=0,(BH481+BJ481)/2,IF(BJ481=0,(BI481+BH481)/2,FLOOR(((BH481+BI481+BJ481)/3),0.1))))))))</f>
        <v/>
      </c>
      <c r="BL481" s="21" t="n"/>
      <c r="BM481" s="21" t="n"/>
      <c r="BN481" s="27">
        <f>SUM(BL481:BM481)</f>
        <v/>
      </c>
      <c r="BO481" s="28" t="n"/>
      <c r="BP481" s="31" t="n"/>
      <c r="BQ481" s="29">
        <f>IF(AND(BN481=0,BO481=0,BP481=0),0,IF(AND(BN481=0,BO481=0),BP481/1,IF(AND(BN481=0,BP481=0),BO481/1,IF(AND(BO481=0,BP481=0),BN481/1,IF(BN481=0,FLOOR((BO481+BP481)/2,0.1),IF(BO481=0,(BN481+BP481)/2,IF(BP481=0,(BO481+BN481)/2,FLOOR(((BN481+BO481+BP481)/3),0.1))))))))</f>
        <v/>
      </c>
      <c r="BR481" s="21" t="n"/>
      <c r="BS481" s="21" t="n"/>
      <c r="BT481" s="27">
        <f>SUM(BR481:BS481)</f>
        <v/>
      </c>
      <c r="BU481" s="28" t="n"/>
      <c r="BV481" s="31" t="n"/>
      <c r="BW481" s="29">
        <f>IF(AND(BT481=0,BU481=0,BV481=0),0,IF(AND(BT481=0,BU481=0),BV481/1,IF(AND(BT481=0,BV481=0),BU481/1,IF(AND(BU481=0,BV481=0),BT481/1,IF(BT481=0,FLOOR((BU481+BV481)/2,0.1),IF(BU481=0,(BT481+BV481)/2,IF(BV481=0,(BU481+BT481)/2,FLOOR(((BT481+BU481+BV481)/3),0.1))))))))</f>
        <v/>
      </c>
      <c r="BX481" s="21" t="n"/>
      <c r="BY481" s="21" t="n"/>
      <c r="BZ481" s="27">
        <f>SUM(BX481:BY481)</f>
        <v/>
      </c>
      <c r="CA481" s="28" t="n"/>
      <c r="CB481" s="31" t="n"/>
      <c r="CC481" s="29">
        <f>IF(AND(BZ481=0,CA481=0,CB481=0),0,IF(AND(BZ481=0,CA481=0),CB481/1,IF(AND(BZ481=0,CB481=0),CA481/1,IF(AND(CA481=0,CB481=0),BZ481/1,IF(BZ481=0,FLOOR((CA481+CB481)/2,0.1),IF(CA481=0,(BZ481+CB481)/2,IF(CB481=0,(CA481+BZ481)/2,FLOOR(((BZ481+CA481+CB481)/3),0.1))))))))</f>
        <v/>
      </c>
      <c r="CD481" s="21" t="n"/>
      <c r="CE481" s="21" t="n"/>
      <c r="CF481" s="27">
        <f>SUM(CD481:CE481)</f>
        <v/>
      </c>
      <c r="CG481" s="28" t="n"/>
      <c r="CH481" s="31" t="n"/>
      <c r="CI481" s="29">
        <f>IF(AND(CF481=0,CG481=0,CH481=0),0,IF(AND(CF481=0,CG481=0),CH481/1,IF(AND(CF481=0,CH481=0),CG481/1,IF(AND(CG481=0,CH481=0),CF481/1,IF(CF481=0,FLOOR((CG481+CH481)/2,0.1),IF(CG481=0,(CF481+CH481)/2,IF(CH481=0,(CG481+CF481)/2,FLOOR(((CF481+CG481+CH481)/3),0.1))))))))</f>
        <v/>
      </c>
      <c r="CJ481" s="21" t="n"/>
      <c r="CK481" s="21" t="n"/>
      <c r="CL481" s="27">
        <f>SUM(CJ481:CK481)</f>
        <v/>
      </c>
      <c r="CM481" s="28" t="n"/>
      <c r="CN481" s="31" t="n"/>
      <c r="CO481" s="29">
        <f>IF(AND(CL481=0,CM481=0,CN481=0),0,IF(AND(CL481=0,CM481=0),CN481/1,IF(AND(CL481=0,CN481=0),CM481/1,IF(AND(CM481=0,CN481=0),CL481/1,IF(CL481=0,FLOOR((CM481+CN481)/2,0.1),IF(CM481=0,(CL481+CN481)/2,IF(CN481=0,(CM481+CL481)/2,FLOOR(((CL481+CM481+CN481)/3),0.1))))))))</f>
        <v/>
      </c>
      <c r="CP481" s="21" t="n"/>
      <c r="CQ481" s="21" t="n"/>
      <c r="CR481" s="27">
        <f>SUM(CP481:CQ481)</f>
        <v/>
      </c>
      <c r="CS481" s="28" t="n"/>
      <c r="CT481" s="31" t="n"/>
      <c r="CU481" s="29">
        <f>IF(AND(CR481=0,CS481=0,CT481=0),0,IF(AND(CR481=0,CS481=0),CT481/1,IF(AND(CR481=0,CT481=0),CS481/1,IF(AND(CS481=0,CT481=0),CR481/1,IF(CR481=0,FLOOR((CS481+CT481)/2,0.1),IF(CS481=0,(CR481+CT481)/2,IF(CT481=0,(CS481+CR481)/2,FLOOR(((CR481+CS481+CT481)/3),0.1))))))))</f>
        <v/>
      </c>
      <c r="CV481" s="21" t="n"/>
      <c r="CW481" s="21" t="n"/>
      <c r="CX481" s="27">
        <f>SUM(CV481:CW481)</f>
        <v/>
      </c>
      <c r="CY481" s="28" t="n"/>
      <c r="CZ481" s="31" t="n"/>
      <c r="DA481" s="29">
        <f>IF(AND(CX481=0,CY481=0,CZ481=0),0,IF(AND(CX481=0,CY481=0),CZ481/1,IF(AND(CX481=0,CZ481=0),CY481/1,IF(AND(CY481=0,CZ481=0),CX481/1,IF(CX481=0,FLOOR((CY481+CZ481)/2,0.1),IF(CY481=0,(CX481+CZ481)/2,IF(CZ481=0,(CY481+CX481)/2,FLOOR(((CX481+CY481+CZ481)/3),0.1))))))))</f>
        <v/>
      </c>
      <c r="DB481" s="21" t="n"/>
      <c r="DC481" s="21" t="n"/>
      <c r="DD481" s="27">
        <f>SUM(DB481:DC481)</f>
        <v/>
      </c>
      <c r="DE481" s="28" t="n"/>
      <c r="DF481" s="31" t="n"/>
      <c r="DG481" s="29">
        <f>IF(AND(DD481=0,DE481=0,DF481=0),0,IF(AND(DD481=0,DE481=0),DF481/1,IF(AND(DD481=0,DF481=0),DE481/1,IF(AND(DE481=0,DF481=0),DD481/1,IF(DD481=0,FLOOR((DE481+DF481)/2,0.1),IF(DE481=0,(DD481+DF481)/2,IF(DF481=0,(DE481+DD481)/2,FLOOR(((DD481+DE481+DF481)/3),0.1))))))))</f>
        <v/>
      </c>
      <c r="DH481" s="34">
        <f>SUM(O481,U481,AA481,AG481,AM481,AS481,AY481,BE481,BK481,BQ481,BW481,CC481,CI481,CO481,CU481,DA481,DG481)</f>
        <v/>
      </c>
      <c r="DI481" s="39">
        <f>RANK(DH481,DH$4:DH$503)</f>
        <v/>
      </c>
      <c r="DJ481" s="40" t="inlineStr">
        <is>
          <t>CHOOSE RATING</t>
        </is>
      </c>
      <c r="DK481" s="40" t="inlineStr">
        <is>
          <t>CHOOSE RATING</t>
        </is>
      </c>
      <c r="DL481" s="40" t="inlineStr">
        <is>
          <t>CHOOSE RATING</t>
        </is>
      </c>
      <c r="DM481" s="40" t="inlineStr">
        <is>
          <t>CHOOSE RATING</t>
        </is>
      </c>
      <c r="DN481" s="40" t="inlineStr">
        <is>
          <t>CHOOSE RATING</t>
        </is>
      </c>
      <c r="DO481" s="40" t="inlineStr">
        <is>
          <t>CHOOSE RATING</t>
        </is>
      </c>
      <c r="DP481" s="40" t="inlineStr">
        <is>
          <t>CHOOSE RATING</t>
        </is>
      </c>
      <c r="DQ481" s="40" t="inlineStr">
        <is>
          <t>CHOOSE RATING</t>
        </is>
      </c>
      <c r="DR481" s="43" t="inlineStr">
        <is>
          <t>2024/2025</t>
        </is>
      </c>
      <c r="DS481" s="45" t="inlineStr">
        <is>
          <t>THIRD</t>
        </is>
      </c>
      <c r="DT481" s="40" t="inlineStr">
        <is>
          <t>CHOOSE RATING</t>
        </is>
      </c>
      <c r="DU481" s="40" t="inlineStr">
        <is>
          <t>CHOOSE RATING</t>
        </is>
      </c>
      <c r="DV481" s="40" t="inlineStr">
        <is>
          <t>CHOOSE RATING</t>
        </is>
      </c>
      <c r="DW481" s="40" t="inlineStr">
        <is>
          <t>CHOOSE RATING</t>
        </is>
      </c>
      <c r="DX481" s="40" t="inlineStr">
        <is>
          <t>CHOOSE RATING</t>
        </is>
      </c>
      <c r="DY481" s="40" t="inlineStr">
        <is>
          <t>CHOOSE RATING</t>
        </is>
      </c>
      <c r="DZ481" s="53" t="inlineStr">
        <is>
          <t>CHOOSE RATING</t>
        </is>
      </c>
      <c r="EA481" s="54" t="inlineStr">
        <is>
          <t>Add the Tutor's Comment . . .</t>
        </is>
      </c>
      <c r="EB481" s="55" t="inlineStr">
        <is>
          <t>Choose Principals comment</t>
        </is>
      </c>
      <c r="EC481" s="56" t="n"/>
      <c r="ED481" s="57" t="inlineStr">
        <is>
          <t>Next Term Begins on Monday, 22nd September, 2025</t>
        </is>
      </c>
    </row>
    <row r="482" ht="30.6" customHeight="1" s="6">
      <c r="A482" s="18" t="n">
        <v>479</v>
      </c>
      <c r="B482" s="19" t="n"/>
      <c r="C482" s="20" t="n"/>
      <c r="D482" s="128" t="n"/>
      <c r="E482" s="21" t="n"/>
      <c r="F482" s="22" t="n"/>
      <c r="G482" s="22" t="n"/>
      <c r="H482" s="22" t="n"/>
      <c r="I482" s="26">
        <f>G482-H482</f>
        <v/>
      </c>
      <c r="J482" s="21" t="n"/>
      <c r="K482" s="21" t="n"/>
      <c r="L482" s="27">
        <f>SUM(J482:K482)</f>
        <v/>
      </c>
      <c r="M482" s="28" t="n"/>
      <c r="N482" s="28" t="n"/>
      <c r="O482" s="29">
        <f>IF(AND(L482=0,M482=0,N482=0),0,IF(AND(L482=0,M482=0),N482/1,IF(AND(L482=0,N482=0),M482/1,IF(AND(M482=0,N482=0),L482/1,IF(L482=0,FLOOR((M482+N482)/2,0.1),IF(M482=0,(L482+N482)/2,IF(N482=0,(M482+L482)/2,FLOOR(((L482+M482+N482)/3),0.1))))))))</f>
        <v/>
      </c>
      <c r="P482" s="21" t="n"/>
      <c r="Q482" s="21" t="n"/>
      <c r="R482" s="27">
        <f>SUM(P482:Q482)</f>
        <v/>
      </c>
      <c r="S482" s="28" t="n"/>
      <c r="T482" s="28" t="n"/>
      <c r="U482" s="29">
        <f>IF(AND(R482=0,S482=0,T482=0),0,IF(AND(R482=0,S482=0),T482/1,IF(AND(R482=0,T482=0),S482/1,IF(AND(S482=0,T482=0),R482/1,IF(R482=0,FLOOR((S482+T482)/2,0.1),IF(S482=0,(R482+T482)/2,IF(T482=0,(S482+R482)/2,FLOOR(((R482+S482+T482)/3),0.1))))))))</f>
        <v/>
      </c>
      <c r="V482" s="21" t="n"/>
      <c r="W482" s="21" t="n"/>
      <c r="X482" s="27">
        <f>SUM(V482:W482)</f>
        <v/>
      </c>
      <c r="Y482" s="28" t="n"/>
      <c r="Z482" s="28" t="n"/>
      <c r="AA482" s="29">
        <f>IF(AND(X482=0,Y482=0,Z482=0),0,IF(AND(X482=0,Y482=0),Z482/1,IF(AND(X482=0,Z482=0),Y482/1,IF(AND(Y482=0,Z482=0),X482/1,IF(X482=0,FLOOR((Y482+Z482)/2,0.1),IF(Y482=0,(X482+Z482)/2,IF(Z482=0,(Y482+X482)/2,FLOOR(((X482+Y482+Z482)/3),0.1))))))))</f>
        <v/>
      </c>
      <c r="AB482" s="21" t="n"/>
      <c r="AC482" s="21" t="n"/>
      <c r="AD482" s="27">
        <f>SUM(AB482:AC482)</f>
        <v/>
      </c>
      <c r="AE482" s="28" t="n"/>
      <c r="AF482" s="28" t="n"/>
      <c r="AG482" s="29">
        <f>IF(AND(AD482=0,AE482=0,AF482=0),0,IF(AND(AD482=0,AE482=0),AF482/1,IF(AND(AD482=0,AF482=0),AE482/1,IF(AND(AE482=0,AF482=0),AD482/1,IF(AD482=0,FLOOR((AE482+AF482)/2,0.1),IF(AE482=0,(AD482+AF482)/2,IF(AF482=0,(AE482+AD482)/2,FLOOR(((AD482+AE482+AF482)/3),0.1))))))))</f>
        <v/>
      </c>
      <c r="AH482" s="21" t="n"/>
      <c r="AI482" s="21" t="n"/>
      <c r="AJ482" s="27">
        <f>SUM(AH482:AI482)</f>
        <v/>
      </c>
      <c r="AK482" s="28" t="n"/>
      <c r="AL482" s="28" t="n"/>
      <c r="AM482" s="29">
        <f>IF(AND(AJ482=0,AK482=0,AL482=0),0,IF(AND(AJ482=0,AK482=0),AL482/1,IF(AND(AJ482=0,AL482=0),AK482/1,IF(AND(AK482=0,AL482=0),AJ482/1,IF(AJ482=0,FLOOR((AK482+AL482)/2,0.1),IF(AK482=0,(AJ482+AL482)/2,IF(AL482=0,(AK482+AJ482)/2,FLOOR(((AJ482+AK482+AL482)/3),0.1))))))))</f>
        <v/>
      </c>
      <c r="AN482" s="21" t="n"/>
      <c r="AO482" s="21" t="n"/>
      <c r="AP482" s="27">
        <f>SUM(AN482:AO482)</f>
        <v/>
      </c>
      <c r="AQ482" s="28" t="n"/>
      <c r="AR482" s="30" t="n"/>
      <c r="AS482" s="29">
        <f>IF(AND(AP482=0,AQ482=0,AR482=0),0,IF(AND(AP482=0,AQ482=0),AR482/1,IF(AND(AP482=0,AR482=0),AQ482/1,IF(AND(AQ482=0,AR482=0),AP482/1,IF(AP482=0,FLOOR((AQ482+AR482)/2,0.1),IF(AQ482=0,(AP482+AR482)/2,IF(AR482=0,(AQ482+AP482)/2,FLOOR(((AP482+AQ482+AR482)/3),0.1))))))))</f>
        <v/>
      </c>
      <c r="AT482" s="21" t="n"/>
      <c r="AU482" s="21" t="n"/>
      <c r="AV482" s="27">
        <f>SUM(AT482:AU482)</f>
        <v/>
      </c>
      <c r="AW482" s="28" t="n"/>
      <c r="AX482" s="30" t="n"/>
      <c r="AY482" s="29">
        <f>IF(AND(AV482=0,AW482=0,AX482=0),0,IF(AND(AV482=0,AW482=0),AX482/1,IF(AND(AV482=0,AX482=0),AW482/1,IF(AND(AW482=0,AX482=0),AV482/1,IF(AV482=0,FLOOR((AW482+AX482)/2,0.1),IF(AW482=0,(AV482+AX482)/2,IF(AX482=0,(AW482+AV482)/2,FLOOR(((AV482+AW482+AX482)/3),0.1))))))))</f>
        <v/>
      </c>
      <c r="AZ482" s="21" t="n"/>
      <c r="BA482" s="21" t="n"/>
      <c r="BB482" s="27">
        <f>SUM(AZ482:BA482)</f>
        <v/>
      </c>
      <c r="BC482" s="28" t="n"/>
      <c r="BD482" s="28" t="n"/>
      <c r="BE482" s="29">
        <f>IF(AND(BB482=0,BC482=0,BD482=0),0,IF(AND(BB482=0,BC482=0),BD482/1,IF(AND(BB482=0,BD482=0),BC482/1,IF(AND(BC482=0,BD482=0),BB482/1,IF(BB482=0,FLOOR((BC482+BD482)/2,0.1),IF(BC482=0,(BB482+BD482)/2,IF(BD482=0,(BC482+BB482)/2,FLOOR(((BB482+BC482+BD482)/3),0.1))))))))</f>
        <v/>
      </c>
      <c r="BF482" s="21" t="n"/>
      <c r="BG482" s="21" t="n"/>
      <c r="BH482" s="27">
        <f>SUM(BF482:BG482)</f>
        <v/>
      </c>
      <c r="BI482" s="28" t="n"/>
      <c r="BJ482" s="28" t="n"/>
      <c r="BK482" s="29">
        <f>IF(AND(BH482=0,BI482=0,BJ482=0),0,IF(AND(BH482=0,BI482=0),BJ482/1,IF(AND(BH482=0,BJ482=0),BI482/1,IF(AND(BI482=0,BJ482=0),BH482/1,IF(BH482=0,FLOOR((BI482+BJ482)/2,0.1),IF(BI482=0,(BH482+BJ482)/2,IF(BJ482=0,(BI482+BH482)/2,FLOOR(((BH482+BI482+BJ482)/3),0.1))))))))</f>
        <v/>
      </c>
      <c r="BL482" s="21" t="n"/>
      <c r="BM482" s="21" t="n"/>
      <c r="BN482" s="27">
        <f>SUM(BL482:BM482)</f>
        <v/>
      </c>
      <c r="BO482" s="28" t="n"/>
      <c r="BP482" s="31" t="n"/>
      <c r="BQ482" s="29">
        <f>IF(AND(BN482=0,BO482=0,BP482=0),0,IF(AND(BN482=0,BO482=0),BP482/1,IF(AND(BN482=0,BP482=0),BO482/1,IF(AND(BO482=0,BP482=0),BN482/1,IF(BN482=0,FLOOR((BO482+BP482)/2,0.1),IF(BO482=0,(BN482+BP482)/2,IF(BP482=0,(BO482+BN482)/2,FLOOR(((BN482+BO482+BP482)/3),0.1))))))))</f>
        <v/>
      </c>
      <c r="BR482" s="21" t="n"/>
      <c r="BS482" s="21" t="n"/>
      <c r="BT482" s="27">
        <f>SUM(BR482:BS482)</f>
        <v/>
      </c>
      <c r="BU482" s="28" t="n"/>
      <c r="BV482" s="31" t="n"/>
      <c r="BW482" s="29">
        <f>IF(AND(BT482=0,BU482=0,BV482=0),0,IF(AND(BT482=0,BU482=0),BV482/1,IF(AND(BT482=0,BV482=0),BU482/1,IF(AND(BU482=0,BV482=0),BT482/1,IF(BT482=0,FLOOR((BU482+BV482)/2,0.1),IF(BU482=0,(BT482+BV482)/2,IF(BV482=0,(BU482+BT482)/2,FLOOR(((BT482+BU482+BV482)/3),0.1))))))))</f>
        <v/>
      </c>
      <c r="BX482" s="21" t="n"/>
      <c r="BY482" s="21" t="n"/>
      <c r="BZ482" s="27">
        <f>SUM(BX482:BY482)</f>
        <v/>
      </c>
      <c r="CA482" s="28" t="n"/>
      <c r="CB482" s="31" t="n"/>
      <c r="CC482" s="29">
        <f>IF(AND(BZ482=0,CA482=0,CB482=0),0,IF(AND(BZ482=0,CA482=0),CB482/1,IF(AND(BZ482=0,CB482=0),CA482/1,IF(AND(CA482=0,CB482=0),BZ482/1,IF(BZ482=0,FLOOR((CA482+CB482)/2,0.1),IF(CA482=0,(BZ482+CB482)/2,IF(CB482=0,(CA482+BZ482)/2,FLOOR(((BZ482+CA482+CB482)/3),0.1))))))))</f>
        <v/>
      </c>
      <c r="CD482" s="21" t="n"/>
      <c r="CE482" s="21" t="n"/>
      <c r="CF482" s="27">
        <f>SUM(CD482:CE482)</f>
        <v/>
      </c>
      <c r="CG482" s="28" t="n"/>
      <c r="CH482" s="31" t="n"/>
      <c r="CI482" s="29">
        <f>IF(AND(CF482=0,CG482=0,CH482=0),0,IF(AND(CF482=0,CG482=0),CH482/1,IF(AND(CF482=0,CH482=0),CG482/1,IF(AND(CG482=0,CH482=0),CF482/1,IF(CF482=0,FLOOR((CG482+CH482)/2,0.1),IF(CG482=0,(CF482+CH482)/2,IF(CH482=0,(CG482+CF482)/2,FLOOR(((CF482+CG482+CH482)/3),0.1))))))))</f>
        <v/>
      </c>
      <c r="CJ482" s="21" t="n"/>
      <c r="CK482" s="21" t="n"/>
      <c r="CL482" s="27">
        <f>SUM(CJ482:CK482)</f>
        <v/>
      </c>
      <c r="CM482" s="28" t="n"/>
      <c r="CN482" s="31" t="n"/>
      <c r="CO482" s="29">
        <f>IF(AND(CL482=0,CM482=0,CN482=0),0,IF(AND(CL482=0,CM482=0),CN482/1,IF(AND(CL482=0,CN482=0),CM482/1,IF(AND(CM482=0,CN482=0),CL482/1,IF(CL482=0,FLOOR((CM482+CN482)/2,0.1),IF(CM482=0,(CL482+CN482)/2,IF(CN482=0,(CM482+CL482)/2,FLOOR(((CL482+CM482+CN482)/3),0.1))))))))</f>
        <v/>
      </c>
      <c r="CP482" s="21" t="n"/>
      <c r="CQ482" s="21" t="n"/>
      <c r="CR482" s="27">
        <f>SUM(CP482:CQ482)</f>
        <v/>
      </c>
      <c r="CS482" s="28" t="n"/>
      <c r="CT482" s="31" t="n"/>
      <c r="CU482" s="29">
        <f>IF(AND(CR482=0,CS482=0,CT482=0),0,IF(AND(CR482=0,CS482=0),CT482/1,IF(AND(CR482=0,CT482=0),CS482/1,IF(AND(CS482=0,CT482=0),CR482/1,IF(CR482=0,FLOOR((CS482+CT482)/2,0.1),IF(CS482=0,(CR482+CT482)/2,IF(CT482=0,(CS482+CR482)/2,FLOOR(((CR482+CS482+CT482)/3),0.1))))))))</f>
        <v/>
      </c>
      <c r="CV482" s="21" t="n"/>
      <c r="CW482" s="21" t="n"/>
      <c r="CX482" s="27">
        <f>SUM(CV482:CW482)</f>
        <v/>
      </c>
      <c r="CY482" s="28" t="n"/>
      <c r="CZ482" s="31" t="n"/>
      <c r="DA482" s="29">
        <f>IF(AND(CX482=0,CY482=0,CZ482=0),0,IF(AND(CX482=0,CY482=0),CZ482/1,IF(AND(CX482=0,CZ482=0),CY482/1,IF(AND(CY482=0,CZ482=0),CX482/1,IF(CX482=0,FLOOR((CY482+CZ482)/2,0.1),IF(CY482=0,(CX482+CZ482)/2,IF(CZ482=0,(CY482+CX482)/2,FLOOR(((CX482+CY482+CZ482)/3),0.1))))))))</f>
        <v/>
      </c>
      <c r="DB482" s="21" t="n"/>
      <c r="DC482" s="21" t="n"/>
      <c r="DD482" s="27">
        <f>SUM(DB482:DC482)</f>
        <v/>
      </c>
      <c r="DE482" s="28" t="n"/>
      <c r="DF482" s="31" t="n"/>
      <c r="DG482" s="29">
        <f>IF(AND(DD482=0,DE482=0,DF482=0),0,IF(AND(DD482=0,DE482=0),DF482/1,IF(AND(DD482=0,DF482=0),DE482/1,IF(AND(DE482=0,DF482=0),DD482/1,IF(DD482=0,FLOOR((DE482+DF482)/2,0.1),IF(DE482=0,(DD482+DF482)/2,IF(DF482=0,(DE482+DD482)/2,FLOOR(((DD482+DE482+DF482)/3),0.1))))))))</f>
        <v/>
      </c>
      <c r="DH482" s="34">
        <f>SUM(O482,U482,AA482,AG482,AM482,AS482,AY482,BE482,BK482,BQ482,BW482,CC482,CI482,CO482,CU482,DA482,DG482)</f>
        <v/>
      </c>
      <c r="DI482" s="39">
        <f>RANK(DH482,DH$4:DH$503)</f>
        <v/>
      </c>
      <c r="DJ482" s="40" t="inlineStr">
        <is>
          <t>CHOOSE RATING</t>
        </is>
      </c>
      <c r="DK482" s="40" t="inlineStr">
        <is>
          <t>CHOOSE RATING</t>
        </is>
      </c>
      <c r="DL482" s="40" t="inlineStr">
        <is>
          <t>CHOOSE RATING</t>
        </is>
      </c>
      <c r="DM482" s="40" t="inlineStr">
        <is>
          <t>CHOOSE RATING</t>
        </is>
      </c>
      <c r="DN482" s="40" t="inlineStr">
        <is>
          <t>CHOOSE RATING</t>
        </is>
      </c>
      <c r="DO482" s="40" t="inlineStr">
        <is>
          <t>CHOOSE RATING</t>
        </is>
      </c>
      <c r="DP482" s="40" t="inlineStr">
        <is>
          <t>CHOOSE RATING</t>
        </is>
      </c>
      <c r="DQ482" s="40" t="inlineStr">
        <is>
          <t>CHOOSE RATING</t>
        </is>
      </c>
      <c r="DR482" s="43" t="inlineStr">
        <is>
          <t>2024/2025</t>
        </is>
      </c>
      <c r="DS482" s="45" t="inlineStr">
        <is>
          <t>THIRD</t>
        </is>
      </c>
      <c r="DT482" s="40" t="inlineStr">
        <is>
          <t>CHOOSE RATING</t>
        </is>
      </c>
      <c r="DU482" s="40" t="inlineStr">
        <is>
          <t>CHOOSE RATING</t>
        </is>
      </c>
      <c r="DV482" s="40" t="inlineStr">
        <is>
          <t>CHOOSE RATING</t>
        </is>
      </c>
      <c r="DW482" s="40" t="inlineStr">
        <is>
          <t>CHOOSE RATING</t>
        </is>
      </c>
      <c r="DX482" s="40" t="inlineStr">
        <is>
          <t>CHOOSE RATING</t>
        </is>
      </c>
      <c r="DY482" s="40" t="inlineStr">
        <is>
          <t>CHOOSE RATING</t>
        </is>
      </c>
      <c r="DZ482" s="53" t="inlineStr">
        <is>
          <t>CHOOSE RATING</t>
        </is>
      </c>
      <c r="EA482" s="54" t="inlineStr">
        <is>
          <t>Add the Tutor's Comment . . .</t>
        </is>
      </c>
      <c r="EB482" s="55" t="inlineStr">
        <is>
          <t>Choose Principals comment</t>
        </is>
      </c>
      <c r="EC482" s="56" t="n"/>
      <c r="ED482" s="57" t="inlineStr">
        <is>
          <t>Next Term Begins on Monday, 22nd September, 2025</t>
        </is>
      </c>
    </row>
    <row r="483" ht="30.6" customHeight="1" s="6">
      <c r="A483" s="18" t="n">
        <v>480</v>
      </c>
      <c r="B483" s="19" t="n"/>
      <c r="C483" s="20" t="n"/>
      <c r="D483" s="128" t="n"/>
      <c r="E483" s="21" t="n"/>
      <c r="F483" s="22" t="n"/>
      <c r="G483" s="22" t="n"/>
      <c r="H483" s="22" t="n"/>
      <c r="I483" s="26">
        <f>G483-H483</f>
        <v/>
      </c>
      <c r="J483" s="21" t="n"/>
      <c r="K483" s="21" t="n"/>
      <c r="L483" s="27">
        <f>SUM(J483:K483)</f>
        <v/>
      </c>
      <c r="M483" s="28" t="n"/>
      <c r="N483" s="28" t="n"/>
      <c r="O483" s="29">
        <f>IF(AND(L483=0,M483=0,N483=0),0,IF(AND(L483=0,M483=0),N483/1,IF(AND(L483=0,N483=0),M483/1,IF(AND(M483=0,N483=0),L483/1,IF(L483=0,FLOOR((M483+N483)/2,0.1),IF(M483=0,(L483+N483)/2,IF(N483=0,(M483+L483)/2,FLOOR(((L483+M483+N483)/3),0.1))))))))</f>
        <v/>
      </c>
      <c r="P483" s="21" t="n"/>
      <c r="Q483" s="21" t="n"/>
      <c r="R483" s="27">
        <f>SUM(P483:Q483)</f>
        <v/>
      </c>
      <c r="S483" s="28" t="n"/>
      <c r="T483" s="28" t="n"/>
      <c r="U483" s="29">
        <f>IF(AND(R483=0,S483=0,T483=0),0,IF(AND(R483=0,S483=0),T483/1,IF(AND(R483=0,T483=0),S483/1,IF(AND(S483=0,T483=0),R483/1,IF(R483=0,FLOOR((S483+T483)/2,0.1),IF(S483=0,(R483+T483)/2,IF(T483=0,(S483+R483)/2,FLOOR(((R483+S483+T483)/3),0.1))))))))</f>
        <v/>
      </c>
      <c r="V483" s="21" t="n"/>
      <c r="W483" s="21" t="n"/>
      <c r="X483" s="27">
        <f>SUM(V483:W483)</f>
        <v/>
      </c>
      <c r="Y483" s="28" t="n"/>
      <c r="Z483" s="28" t="n"/>
      <c r="AA483" s="29">
        <f>IF(AND(X483=0,Y483=0,Z483=0),0,IF(AND(X483=0,Y483=0),Z483/1,IF(AND(X483=0,Z483=0),Y483/1,IF(AND(Y483=0,Z483=0),X483/1,IF(X483=0,FLOOR((Y483+Z483)/2,0.1),IF(Y483=0,(X483+Z483)/2,IF(Z483=0,(Y483+X483)/2,FLOOR(((X483+Y483+Z483)/3),0.1))))))))</f>
        <v/>
      </c>
      <c r="AB483" s="21" t="n"/>
      <c r="AC483" s="21" t="n"/>
      <c r="AD483" s="27">
        <f>SUM(AB483:AC483)</f>
        <v/>
      </c>
      <c r="AE483" s="28" t="n"/>
      <c r="AF483" s="28" t="n"/>
      <c r="AG483" s="29">
        <f>IF(AND(AD483=0,AE483=0,AF483=0),0,IF(AND(AD483=0,AE483=0),AF483/1,IF(AND(AD483=0,AF483=0),AE483/1,IF(AND(AE483=0,AF483=0),AD483/1,IF(AD483=0,FLOOR((AE483+AF483)/2,0.1),IF(AE483=0,(AD483+AF483)/2,IF(AF483=0,(AE483+AD483)/2,FLOOR(((AD483+AE483+AF483)/3),0.1))))))))</f>
        <v/>
      </c>
      <c r="AH483" s="21" t="n"/>
      <c r="AI483" s="21" t="n"/>
      <c r="AJ483" s="27">
        <f>SUM(AH483:AI483)</f>
        <v/>
      </c>
      <c r="AK483" s="28" t="n"/>
      <c r="AL483" s="28" t="n"/>
      <c r="AM483" s="29">
        <f>IF(AND(AJ483=0,AK483=0,AL483=0),0,IF(AND(AJ483=0,AK483=0),AL483/1,IF(AND(AJ483=0,AL483=0),AK483/1,IF(AND(AK483=0,AL483=0),AJ483/1,IF(AJ483=0,FLOOR((AK483+AL483)/2,0.1),IF(AK483=0,(AJ483+AL483)/2,IF(AL483=0,(AK483+AJ483)/2,FLOOR(((AJ483+AK483+AL483)/3),0.1))))))))</f>
        <v/>
      </c>
      <c r="AN483" s="21" t="n"/>
      <c r="AO483" s="21" t="n"/>
      <c r="AP483" s="27">
        <f>SUM(AN483:AO483)</f>
        <v/>
      </c>
      <c r="AQ483" s="28" t="n"/>
      <c r="AR483" s="30" t="n"/>
      <c r="AS483" s="29">
        <f>IF(AND(AP483=0,AQ483=0,AR483=0),0,IF(AND(AP483=0,AQ483=0),AR483/1,IF(AND(AP483=0,AR483=0),AQ483/1,IF(AND(AQ483=0,AR483=0),AP483/1,IF(AP483=0,FLOOR((AQ483+AR483)/2,0.1),IF(AQ483=0,(AP483+AR483)/2,IF(AR483=0,(AQ483+AP483)/2,FLOOR(((AP483+AQ483+AR483)/3),0.1))))))))</f>
        <v/>
      </c>
      <c r="AT483" s="21" t="n"/>
      <c r="AU483" s="21" t="n"/>
      <c r="AV483" s="27">
        <f>SUM(AT483:AU483)</f>
        <v/>
      </c>
      <c r="AW483" s="28" t="n"/>
      <c r="AX483" s="30" t="n"/>
      <c r="AY483" s="29">
        <f>IF(AND(AV483=0,AW483=0,AX483=0),0,IF(AND(AV483=0,AW483=0),AX483/1,IF(AND(AV483=0,AX483=0),AW483/1,IF(AND(AW483=0,AX483=0),AV483/1,IF(AV483=0,FLOOR((AW483+AX483)/2,0.1),IF(AW483=0,(AV483+AX483)/2,IF(AX483=0,(AW483+AV483)/2,FLOOR(((AV483+AW483+AX483)/3),0.1))))))))</f>
        <v/>
      </c>
      <c r="AZ483" s="21" t="n"/>
      <c r="BA483" s="21" t="n"/>
      <c r="BB483" s="27">
        <f>SUM(AZ483:BA483)</f>
        <v/>
      </c>
      <c r="BC483" s="28" t="n"/>
      <c r="BD483" s="28" t="n"/>
      <c r="BE483" s="29">
        <f>IF(AND(BB483=0,BC483=0,BD483=0),0,IF(AND(BB483=0,BC483=0),BD483/1,IF(AND(BB483=0,BD483=0),BC483/1,IF(AND(BC483=0,BD483=0),BB483/1,IF(BB483=0,FLOOR((BC483+BD483)/2,0.1),IF(BC483=0,(BB483+BD483)/2,IF(BD483=0,(BC483+BB483)/2,FLOOR(((BB483+BC483+BD483)/3),0.1))))))))</f>
        <v/>
      </c>
      <c r="BF483" s="21" t="n"/>
      <c r="BG483" s="21" t="n"/>
      <c r="BH483" s="27">
        <f>SUM(BF483:BG483)</f>
        <v/>
      </c>
      <c r="BI483" s="28" t="n"/>
      <c r="BJ483" s="28" t="n"/>
      <c r="BK483" s="29">
        <f>IF(AND(BH483=0,BI483=0,BJ483=0),0,IF(AND(BH483=0,BI483=0),BJ483/1,IF(AND(BH483=0,BJ483=0),BI483/1,IF(AND(BI483=0,BJ483=0),BH483/1,IF(BH483=0,FLOOR((BI483+BJ483)/2,0.1),IF(BI483=0,(BH483+BJ483)/2,IF(BJ483=0,(BI483+BH483)/2,FLOOR(((BH483+BI483+BJ483)/3),0.1))))))))</f>
        <v/>
      </c>
      <c r="BL483" s="21" t="n"/>
      <c r="BM483" s="21" t="n"/>
      <c r="BN483" s="27">
        <f>SUM(BL483:BM483)</f>
        <v/>
      </c>
      <c r="BO483" s="28" t="n"/>
      <c r="BP483" s="31" t="n"/>
      <c r="BQ483" s="29">
        <f>IF(AND(BN483=0,BO483=0,BP483=0),0,IF(AND(BN483=0,BO483=0),BP483/1,IF(AND(BN483=0,BP483=0),BO483/1,IF(AND(BO483=0,BP483=0),BN483/1,IF(BN483=0,FLOOR((BO483+BP483)/2,0.1),IF(BO483=0,(BN483+BP483)/2,IF(BP483=0,(BO483+BN483)/2,FLOOR(((BN483+BO483+BP483)/3),0.1))))))))</f>
        <v/>
      </c>
      <c r="BR483" s="21" t="n"/>
      <c r="BS483" s="21" t="n"/>
      <c r="BT483" s="27">
        <f>SUM(BR483:BS483)</f>
        <v/>
      </c>
      <c r="BU483" s="28" t="n"/>
      <c r="BV483" s="31" t="n"/>
      <c r="BW483" s="29">
        <f>IF(AND(BT483=0,BU483=0,BV483=0),0,IF(AND(BT483=0,BU483=0),BV483/1,IF(AND(BT483=0,BV483=0),BU483/1,IF(AND(BU483=0,BV483=0),BT483/1,IF(BT483=0,FLOOR((BU483+BV483)/2,0.1),IF(BU483=0,(BT483+BV483)/2,IF(BV483=0,(BU483+BT483)/2,FLOOR(((BT483+BU483+BV483)/3),0.1))))))))</f>
        <v/>
      </c>
      <c r="BX483" s="21" t="n"/>
      <c r="BY483" s="21" t="n"/>
      <c r="BZ483" s="27">
        <f>SUM(BX483:BY483)</f>
        <v/>
      </c>
      <c r="CA483" s="28" t="n"/>
      <c r="CB483" s="31" t="n"/>
      <c r="CC483" s="29">
        <f>IF(AND(BZ483=0,CA483=0,CB483=0),0,IF(AND(BZ483=0,CA483=0),CB483/1,IF(AND(BZ483=0,CB483=0),CA483/1,IF(AND(CA483=0,CB483=0),BZ483/1,IF(BZ483=0,FLOOR((CA483+CB483)/2,0.1),IF(CA483=0,(BZ483+CB483)/2,IF(CB483=0,(CA483+BZ483)/2,FLOOR(((BZ483+CA483+CB483)/3),0.1))))))))</f>
        <v/>
      </c>
      <c r="CD483" s="21" t="n"/>
      <c r="CE483" s="21" t="n"/>
      <c r="CF483" s="27">
        <f>SUM(CD483:CE483)</f>
        <v/>
      </c>
      <c r="CG483" s="28" t="n"/>
      <c r="CH483" s="31" t="n"/>
      <c r="CI483" s="29">
        <f>IF(AND(CF483=0,CG483=0,CH483=0),0,IF(AND(CF483=0,CG483=0),CH483/1,IF(AND(CF483=0,CH483=0),CG483/1,IF(AND(CG483=0,CH483=0),CF483/1,IF(CF483=0,FLOOR((CG483+CH483)/2,0.1),IF(CG483=0,(CF483+CH483)/2,IF(CH483=0,(CG483+CF483)/2,FLOOR(((CF483+CG483+CH483)/3),0.1))))))))</f>
        <v/>
      </c>
      <c r="CJ483" s="21" t="n"/>
      <c r="CK483" s="21" t="n"/>
      <c r="CL483" s="27">
        <f>SUM(CJ483:CK483)</f>
        <v/>
      </c>
      <c r="CM483" s="28" t="n"/>
      <c r="CN483" s="31" t="n"/>
      <c r="CO483" s="29">
        <f>IF(AND(CL483=0,CM483=0,CN483=0),0,IF(AND(CL483=0,CM483=0),CN483/1,IF(AND(CL483=0,CN483=0),CM483/1,IF(AND(CM483=0,CN483=0),CL483/1,IF(CL483=0,FLOOR((CM483+CN483)/2,0.1),IF(CM483=0,(CL483+CN483)/2,IF(CN483=0,(CM483+CL483)/2,FLOOR(((CL483+CM483+CN483)/3),0.1))))))))</f>
        <v/>
      </c>
      <c r="CP483" s="21" t="n"/>
      <c r="CQ483" s="21" t="n"/>
      <c r="CR483" s="27">
        <f>SUM(CP483:CQ483)</f>
        <v/>
      </c>
      <c r="CS483" s="28" t="n"/>
      <c r="CT483" s="31" t="n"/>
      <c r="CU483" s="29">
        <f>IF(AND(CR483=0,CS483=0,CT483=0),0,IF(AND(CR483=0,CS483=0),CT483/1,IF(AND(CR483=0,CT483=0),CS483/1,IF(AND(CS483=0,CT483=0),CR483/1,IF(CR483=0,FLOOR((CS483+CT483)/2,0.1),IF(CS483=0,(CR483+CT483)/2,IF(CT483=0,(CS483+CR483)/2,FLOOR(((CR483+CS483+CT483)/3),0.1))))))))</f>
        <v/>
      </c>
      <c r="CV483" s="21" t="n"/>
      <c r="CW483" s="21" t="n"/>
      <c r="CX483" s="27">
        <f>SUM(CV483:CW483)</f>
        <v/>
      </c>
      <c r="CY483" s="28" t="n"/>
      <c r="CZ483" s="31" t="n"/>
      <c r="DA483" s="29">
        <f>IF(AND(CX483=0,CY483=0,CZ483=0),0,IF(AND(CX483=0,CY483=0),CZ483/1,IF(AND(CX483=0,CZ483=0),CY483/1,IF(AND(CY483=0,CZ483=0),CX483/1,IF(CX483=0,FLOOR((CY483+CZ483)/2,0.1),IF(CY483=0,(CX483+CZ483)/2,IF(CZ483=0,(CY483+CX483)/2,FLOOR(((CX483+CY483+CZ483)/3),0.1))))))))</f>
        <v/>
      </c>
      <c r="DB483" s="21" t="n"/>
      <c r="DC483" s="21" t="n"/>
      <c r="DD483" s="27">
        <f>SUM(DB483:DC483)</f>
        <v/>
      </c>
      <c r="DE483" s="28" t="n"/>
      <c r="DF483" s="31" t="n"/>
      <c r="DG483" s="29">
        <f>IF(AND(DD483=0,DE483=0,DF483=0),0,IF(AND(DD483=0,DE483=0),DF483/1,IF(AND(DD483=0,DF483=0),DE483/1,IF(AND(DE483=0,DF483=0),DD483/1,IF(DD483=0,FLOOR((DE483+DF483)/2,0.1),IF(DE483=0,(DD483+DF483)/2,IF(DF483=0,(DE483+DD483)/2,FLOOR(((DD483+DE483+DF483)/3),0.1))))))))</f>
        <v/>
      </c>
      <c r="DH483" s="34">
        <f>SUM(O483,U483,AA483,AG483,AM483,AS483,AY483,BE483,BK483,BQ483,BW483,CC483,CI483,CO483,CU483,DA483,DG483)</f>
        <v/>
      </c>
      <c r="DI483" s="39">
        <f>RANK(DH483,DH$4:DH$503)</f>
        <v/>
      </c>
      <c r="DJ483" s="40" t="inlineStr">
        <is>
          <t>CHOOSE RATING</t>
        </is>
      </c>
      <c r="DK483" s="40" t="inlineStr">
        <is>
          <t>CHOOSE RATING</t>
        </is>
      </c>
      <c r="DL483" s="40" t="inlineStr">
        <is>
          <t>CHOOSE RATING</t>
        </is>
      </c>
      <c r="DM483" s="40" t="inlineStr">
        <is>
          <t>CHOOSE RATING</t>
        </is>
      </c>
      <c r="DN483" s="40" t="inlineStr">
        <is>
          <t>CHOOSE RATING</t>
        </is>
      </c>
      <c r="DO483" s="40" t="inlineStr">
        <is>
          <t>CHOOSE RATING</t>
        </is>
      </c>
      <c r="DP483" s="40" t="inlineStr">
        <is>
          <t>CHOOSE RATING</t>
        </is>
      </c>
      <c r="DQ483" s="40" t="inlineStr">
        <is>
          <t>CHOOSE RATING</t>
        </is>
      </c>
      <c r="DR483" s="43" t="inlineStr">
        <is>
          <t>2024/2025</t>
        </is>
      </c>
      <c r="DS483" s="45" t="inlineStr">
        <is>
          <t>THIRD</t>
        </is>
      </c>
      <c r="DT483" s="40" t="inlineStr">
        <is>
          <t>CHOOSE RATING</t>
        </is>
      </c>
      <c r="DU483" s="40" t="inlineStr">
        <is>
          <t>CHOOSE RATING</t>
        </is>
      </c>
      <c r="DV483" s="40" t="inlineStr">
        <is>
          <t>CHOOSE RATING</t>
        </is>
      </c>
      <c r="DW483" s="40" t="inlineStr">
        <is>
          <t>CHOOSE RATING</t>
        </is>
      </c>
      <c r="DX483" s="40" t="inlineStr">
        <is>
          <t>CHOOSE RATING</t>
        </is>
      </c>
      <c r="DY483" s="40" t="inlineStr">
        <is>
          <t>CHOOSE RATING</t>
        </is>
      </c>
      <c r="DZ483" s="53" t="inlineStr">
        <is>
          <t>CHOOSE RATING</t>
        </is>
      </c>
      <c r="EA483" s="54" t="inlineStr">
        <is>
          <t>Add the Tutor's Comment . . .</t>
        </is>
      </c>
      <c r="EB483" s="55" t="inlineStr">
        <is>
          <t>Choose Principals comment</t>
        </is>
      </c>
      <c r="EC483" s="56" t="n"/>
      <c r="ED483" s="57" t="inlineStr">
        <is>
          <t>Next Term Begins on Monday, 22nd September, 2025</t>
        </is>
      </c>
    </row>
    <row r="484" ht="30.6" customHeight="1" s="6">
      <c r="A484" s="18" t="n">
        <v>481</v>
      </c>
      <c r="B484" s="19" t="n"/>
      <c r="C484" s="20" t="n"/>
      <c r="D484" s="128" t="n"/>
      <c r="E484" s="21" t="n"/>
      <c r="F484" s="22" t="n"/>
      <c r="G484" s="22" t="n"/>
      <c r="H484" s="22" t="n"/>
      <c r="I484" s="26">
        <f>G484-H484</f>
        <v/>
      </c>
      <c r="J484" s="21" t="n"/>
      <c r="K484" s="21" t="n"/>
      <c r="L484" s="27">
        <f>SUM(J484:K484)</f>
        <v/>
      </c>
      <c r="M484" s="28" t="n"/>
      <c r="N484" s="28" t="n"/>
      <c r="O484" s="29">
        <f>IF(AND(L484=0,M484=0,N484=0),0,IF(AND(L484=0,M484=0),N484/1,IF(AND(L484=0,N484=0),M484/1,IF(AND(M484=0,N484=0),L484/1,IF(L484=0,FLOOR((M484+N484)/2,0.1),IF(M484=0,(L484+N484)/2,IF(N484=0,(M484+L484)/2,FLOOR(((L484+M484+N484)/3),0.1))))))))</f>
        <v/>
      </c>
      <c r="P484" s="21" t="n"/>
      <c r="Q484" s="21" t="n"/>
      <c r="R484" s="27">
        <f>SUM(P484:Q484)</f>
        <v/>
      </c>
      <c r="S484" s="28" t="n"/>
      <c r="T484" s="28" t="n"/>
      <c r="U484" s="29">
        <f>IF(AND(R484=0,S484=0,T484=0),0,IF(AND(R484=0,S484=0),T484/1,IF(AND(R484=0,T484=0),S484/1,IF(AND(S484=0,T484=0),R484/1,IF(R484=0,FLOOR((S484+T484)/2,0.1),IF(S484=0,(R484+T484)/2,IF(T484=0,(S484+R484)/2,FLOOR(((R484+S484+T484)/3),0.1))))))))</f>
        <v/>
      </c>
      <c r="V484" s="21" t="n"/>
      <c r="W484" s="21" t="n"/>
      <c r="X484" s="27">
        <f>SUM(V484:W484)</f>
        <v/>
      </c>
      <c r="Y484" s="28" t="n"/>
      <c r="Z484" s="28" t="n"/>
      <c r="AA484" s="29">
        <f>IF(AND(X484=0,Y484=0,Z484=0),0,IF(AND(X484=0,Y484=0),Z484/1,IF(AND(X484=0,Z484=0),Y484/1,IF(AND(Y484=0,Z484=0),X484/1,IF(X484=0,FLOOR((Y484+Z484)/2,0.1),IF(Y484=0,(X484+Z484)/2,IF(Z484=0,(Y484+X484)/2,FLOOR(((X484+Y484+Z484)/3),0.1))))))))</f>
        <v/>
      </c>
      <c r="AB484" s="21" t="n"/>
      <c r="AC484" s="21" t="n"/>
      <c r="AD484" s="27">
        <f>SUM(AB484:AC484)</f>
        <v/>
      </c>
      <c r="AE484" s="28" t="n"/>
      <c r="AF484" s="28" t="n"/>
      <c r="AG484" s="29">
        <f>IF(AND(AD484=0,AE484=0,AF484=0),0,IF(AND(AD484=0,AE484=0),AF484/1,IF(AND(AD484=0,AF484=0),AE484/1,IF(AND(AE484=0,AF484=0),AD484/1,IF(AD484=0,FLOOR((AE484+AF484)/2,0.1),IF(AE484=0,(AD484+AF484)/2,IF(AF484=0,(AE484+AD484)/2,FLOOR(((AD484+AE484+AF484)/3),0.1))))))))</f>
        <v/>
      </c>
      <c r="AH484" s="21" t="n"/>
      <c r="AI484" s="21" t="n"/>
      <c r="AJ484" s="27">
        <f>SUM(AH484:AI484)</f>
        <v/>
      </c>
      <c r="AK484" s="28" t="n"/>
      <c r="AL484" s="28" t="n"/>
      <c r="AM484" s="29">
        <f>IF(AND(AJ484=0,AK484=0,AL484=0),0,IF(AND(AJ484=0,AK484=0),AL484/1,IF(AND(AJ484=0,AL484=0),AK484/1,IF(AND(AK484=0,AL484=0),AJ484/1,IF(AJ484=0,FLOOR((AK484+AL484)/2,0.1),IF(AK484=0,(AJ484+AL484)/2,IF(AL484=0,(AK484+AJ484)/2,FLOOR(((AJ484+AK484+AL484)/3),0.1))))))))</f>
        <v/>
      </c>
      <c r="AN484" s="21" t="n"/>
      <c r="AO484" s="21" t="n"/>
      <c r="AP484" s="27">
        <f>SUM(AN484:AO484)</f>
        <v/>
      </c>
      <c r="AQ484" s="28" t="n"/>
      <c r="AR484" s="30" t="n"/>
      <c r="AS484" s="29">
        <f>IF(AND(AP484=0,AQ484=0,AR484=0),0,IF(AND(AP484=0,AQ484=0),AR484/1,IF(AND(AP484=0,AR484=0),AQ484/1,IF(AND(AQ484=0,AR484=0),AP484/1,IF(AP484=0,FLOOR((AQ484+AR484)/2,0.1),IF(AQ484=0,(AP484+AR484)/2,IF(AR484=0,(AQ484+AP484)/2,FLOOR(((AP484+AQ484+AR484)/3),0.1))))))))</f>
        <v/>
      </c>
      <c r="AT484" s="21" t="n"/>
      <c r="AU484" s="21" t="n"/>
      <c r="AV484" s="27">
        <f>SUM(AT484:AU484)</f>
        <v/>
      </c>
      <c r="AW484" s="28" t="n"/>
      <c r="AX484" s="30" t="n"/>
      <c r="AY484" s="29">
        <f>IF(AND(AV484=0,AW484=0,AX484=0),0,IF(AND(AV484=0,AW484=0),AX484/1,IF(AND(AV484=0,AX484=0),AW484/1,IF(AND(AW484=0,AX484=0),AV484/1,IF(AV484=0,FLOOR((AW484+AX484)/2,0.1),IF(AW484=0,(AV484+AX484)/2,IF(AX484=0,(AW484+AV484)/2,FLOOR(((AV484+AW484+AX484)/3),0.1))))))))</f>
        <v/>
      </c>
      <c r="AZ484" s="21" t="n"/>
      <c r="BA484" s="21" t="n"/>
      <c r="BB484" s="27">
        <f>SUM(AZ484:BA484)</f>
        <v/>
      </c>
      <c r="BC484" s="28" t="n"/>
      <c r="BD484" s="28" t="n"/>
      <c r="BE484" s="29">
        <f>IF(AND(BB484=0,BC484=0,BD484=0),0,IF(AND(BB484=0,BC484=0),BD484/1,IF(AND(BB484=0,BD484=0),BC484/1,IF(AND(BC484=0,BD484=0),BB484/1,IF(BB484=0,FLOOR((BC484+BD484)/2,0.1),IF(BC484=0,(BB484+BD484)/2,IF(BD484=0,(BC484+BB484)/2,FLOOR(((BB484+BC484+BD484)/3),0.1))))))))</f>
        <v/>
      </c>
      <c r="BF484" s="21" t="n"/>
      <c r="BG484" s="21" t="n"/>
      <c r="BH484" s="27">
        <f>SUM(BF484:BG484)</f>
        <v/>
      </c>
      <c r="BI484" s="28" t="n"/>
      <c r="BJ484" s="28" t="n"/>
      <c r="BK484" s="29">
        <f>IF(AND(BH484=0,BI484=0,BJ484=0),0,IF(AND(BH484=0,BI484=0),BJ484/1,IF(AND(BH484=0,BJ484=0),BI484/1,IF(AND(BI484=0,BJ484=0),BH484/1,IF(BH484=0,FLOOR((BI484+BJ484)/2,0.1),IF(BI484=0,(BH484+BJ484)/2,IF(BJ484=0,(BI484+BH484)/2,FLOOR(((BH484+BI484+BJ484)/3),0.1))))))))</f>
        <v/>
      </c>
      <c r="BL484" s="21" t="n"/>
      <c r="BM484" s="21" t="n"/>
      <c r="BN484" s="27">
        <f>SUM(BL484:BM484)</f>
        <v/>
      </c>
      <c r="BO484" s="28" t="n"/>
      <c r="BP484" s="31" t="n"/>
      <c r="BQ484" s="29">
        <f>IF(AND(BN484=0,BO484=0,BP484=0),0,IF(AND(BN484=0,BO484=0),BP484/1,IF(AND(BN484=0,BP484=0),BO484/1,IF(AND(BO484=0,BP484=0),BN484/1,IF(BN484=0,FLOOR((BO484+BP484)/2,0.1),IF(BO484=0,(BN484+BP484)/2,IF(BP484=0,(BO484+BN484)/2,FLOOR(((BN484+BO484+BP484)/3),0.1))))))))</f>
        <v/>
      </c>
      <c r="BR484" s="21" t="n"/>
      <c r="BS484" s="21" t="n"/>
      <c r="BT484" s="27">
        <f>SUM(BR484:BS484)</f>
        <v/>
      </c>
      <c r="BU484" s="28" t="n"/>
      <c r="BV484" s="31" t="n"/>
      <c r="BW484" s="29">
        <f>IF(AND(BT484=0,BU484=0,BV484=0),0,IF(AND(BT484=0,BU484=0),BV484/1,IF(AND(BT484=0,BV484=0),BU484/1,IF(AND(BU484=0,BV484=0),BT484/1,IF(BT484=0,FLOOR((BU484+BV484)/2,0.1),IF(BU484=0,(BT484+BV484)/2,IF(BV484=0,(BU484+BT484)/2,FLOOR(((BT484+BU484+BV484)/3),0.1))))))))</f>
        <v/>
      </c>
      <c r="BX484" s="21" t="n"/>
      <c r="BY484" s="21" t="n"/>
      <c r="BZ484" s="27">
        <f>SUM(BX484:BY484)</f>
        <v/>
      </c>
      <c r="CA484" s="28" t="n"/>
      <c r="CB484" s="31" t="n"/>
      <c r="CC484" s="29">
        <f>IF(AND(BZ484=0,CA484=0,CB484=0),0,IF(AND(BZ484=0,CA484=0),CB484/1,IF(AND(BZ484=0,CB484=0),CA484/1,IF(AND(CA484=0,CB484=0),BZ484/1,IF(BZ484=0,FLOOR((CA484+CB484)/2,0.1),IF(CA484=0,(BZ484+CB484)/2,IF(CB484=0,(CA484+BZ484)/2,FLOOR(((BZ484+CA484+CB484)/3),0.1))))))))</f>
        <v/>
      </c>
      <c r="CD484" s="21" t="n"/>
      <c r="CE484" s="21" t="n"/>
      <c r="CF484" s="27">
        <f>SUM(CD484:CE484)</f>
        <v/>
      </c>
      <c r="CG484" s="28" t="n"/>
      <c r="CH484" s="31" t="n"/>
      <c r="CI484" s="29">
        <f>IF(AND(CF484=0,CG484=0,CH484=0),0,IF(AND(CF484=0,CG484=0),CH484/1,IF(AND(CF484=0,CH484=0),CG484/1,IF(AND(CG484=0,CH484=0),CF484/1,IF(CF484=0,FLOOR((CG484+CH484)/2,0.1),IF(CG484=0,(CF484+CH484)/2,IF(CH484=0,(CG484+CF484)/2,FLOOR(((CF484+CG484+CH484)/3),0.1))))))))</f>
        <v/>
      </c>
      <c r="CJ484" s="21" t="n"/>
      <c r="CK484" s="21" t="n"/>
      <c r="CL484" s="27">
        <f>SUM(CJ484:CK484)</f>
        <v/>
      </c>
      <c r="CM484" s="28" t="n"/>
      <c r="CN484" s="31" t="n"/>
      <c r="CO484" s="29">
        <f>IF(AND(CL484=0,CM484=0,CN484=0),0,IF(AND(CL484=0,CM484=0),CN484/1,IF(AND(CL484=0,CN484=0),CM484/1,IF(AND(CM484=0,CN484=0),CL484/1,IF(CL484=0,FLOOR((CM484+CN484)/2,0.1),IF(CM484=0,(CL484+CN484)/2,IF(CN484=0,(CM484+CL484)/2,FLOOR(((CL484+CM484+CN484)/3),0.1))))))))</f>
        <v/>
      </c>
      <c r="CP484" s="21" t="n"/>
      <c r="CQ484" s="21" t="n"/>
      <c r="CR484" s="27">
        <f>SUM(CP484:CQ484)</f>
        <v/>
      </c>
      <c r="CS484" s="28" t="n"/>
      <c r="CT484" s="31" t="n"/>
      <c r="CU484" s="29">
        <f>IF(AND(CR484=0,CS484=0,CT484=0),0,IF(AND(CR484=0,CS484=0),CT484/1,IF(AND(CR484=0,CT484=0),CS484/1,IF(AND(CS484=0,CT484=0),CR484/1,IF(CR484=0,FLOOR((CS484+CT484)/2,0.1),IF(CS484=0,(CR484+CT484)/2,IF(CT484=0,(CS484+CR484)/2,FLOOR(((CR484+CS484+CT484)/3),0.1))))))))</f>
        <v/>
      </c>
      <c r="CV484" s="21" t="n"/>
      <c r="CW484" s="21" t="n"/>
      <c r="CX484" s="27">
        <f>SUM(CV484:CW484)</f>
        <v/>
      </c>
      <c r="CY484" s="28" t="n"/>
      <c r="CZ484" s="31" t="n"/>
      <c r="DA484" s="29">
        <f>IF(AND(CX484=0,CY484=0,CZ484=0),0,IF(AND(CX484=0,CY484=0),CZ484/1,IF(AND(CX484=0,CZ484=0),CY484/1,IF(AND(CY484=0,CZ484=0),CX484/1,IF(CX484=0,FLOOR((CY484+CZ484)/2,0.1),IF(CY484=0,(CX484+CZ484)/2,IF(CZ484=0,(CY484+CX484)/2,FLOOR(((CX484+CY484+CZ484)/3),0.1))))))))</f>
        <v/>
      </c>
      <c r="DB484" s="21" t="n"/>
      <c r="DC484" s="21" t="n"/>
      <c r="DD484" s="27">
        <f>SUM(DB484:DC484)</f>
        <v/>
      </c>
      <c r="DE484" s="28" t="n"/>
      <c r="DF484" s="31" t="n"/>
      <c r="DG484" s="29">
        <f>IF(AND(DD484=0,DE484=0,DF484=0),0,IF(AND(DD484=0,DE484=0),DF484/1,IF(AND(DD484=0,DF484=0),DE484/1,IF(AND(DE484=0,DF484=0),DD484/1,IF(DD484=0,FLOOR((DE484+DF484)/2,0.1),IF(DE484=0,(DD484+DF484)/2,IF(DF484=0,(DE484+DD484)/2,FLOOR(((DD484+DE484+DF484)/3),0.1))))))))</f>
        <v/>
      </c>
      <c r="DH484" s="34">
        <f>SUM(O484,U484,AA484,AG484,AM484,AS484,AY484,BE484,BK484,BQ484,BW484,CC484,CI484,CO484,CU484,DA484,DG484)</f>
        <v/>
      </c>
      <c r="DI484" s="39">
        <f>RANK(DH484,DH$4:DH$503)</f>
        <v/>
      </c>
      <c r="DJ484" s="40" t="inlineStr">
        <is>
          <t>CHOOSE RATING</t>
        </is>
      </c>
      <c r="DK484" s="40" t="inlineStr">
        <is>
          <t>CHOOSE RATING</t>
        </is>
      </c>
      <c r="DL484" s="40" t="inlineStr">
        <is>
          <t>CHOOSE RATING</t>
        </is>
      </c>
      <c r="DM484" s="40" t="inlineStr">
        <is>
          <t>CHOOSE RATING</t>
        </is>
      </c>
      <c r="DN484" s="40" t="inlineStr">
        <is>
          <t>CHOOSE RATING</t>
        </is>
      </c>
      <c r="DO484" s="40" t="inlineStr">
        <is>
          <t>CHOOSE RATING</t>
        </is>
      </c>
      <c r="DP484" s="40" t="inlineStr">
        <is>
          <t>CHOOSE RATING</t>
        </is>
      </c>
      <c r="DQ484" s="40" t="inlineStr">
        <is>
          <t>CHOOSE RATING</t>
        </is>
      </c>
      <c r="DR484" s="43" t="inlineStr">
        <is>
          <t>2024/2025</t>
        </is>
      </c>
      <c r="DS484" s="45" t="inlineStr">
        <is>
          <t>THIRD</t>
        </is>
      </c>
      <c r="DT484" s="40" t="inlineStr">
        <is>
          <t>CHOOSE RATING</t>
        </is>
      </c>
      <c r="DU484" s="40" t="inlineStr">
        <is>
          <t>CHOOSE RATING</t>
        </is>
      </c>
      <c r="DV484" s="40" t="inlineStr">
        <is>
          <t>CHOOSE RATING</t>
        </is>
      </c>
      <c r="DW484" s="40" t="inlineStr">
        <is>
          <t>CHOOSE RATING</t>
        </is>
      </c>
      <c r="DX484" s="40" t="inlineStr">
        <is>
          <t>CHOOSE RATING</t>
        </is>
      </c>
      <c r="DY484" s="40" t="inlineStr">
        <is>
          <t>CHOOSE RATING</t>
        </is>
      </c>
      <c r="DZ484" s="53" t="inlineStr">
        <is>
          <t>CHOOSE RATING</t>
        </is>
      </c>
      <c r="EA484" s="54" t="inlineStr">
        <is>
          <t>Add the Tutor's Comment . . .</t>
        </is>
      </c>
      <c r="EB484" s="55" t="inlineStr">
        <is>
          <t>Choose Principals comment</t>
        </is>
      </c>
      <c r="EC484" s="56" t="n"/>
      <c r="ED484" s="57" t="inlineStr">
        <is>
          <t>Next Term Begins on Monday, 22nd September, 2025</t>
        </is>
      </c>
    </row>
    <row r="485" ht="30.6" customHeight="1" s="6">
      <c r="A485" s="18" t="n">
        <v>482</v>
      </c>
      <c r="B485" s="19" t="n"/>
      <c r="C485" s="20" t="n"/>
      <c r="D485" s="128" t="n"/>
      <c r="E485" s="21" t="n"/>
      <c r="F485" s="22" t="n"/>
      <c r="G485" s="22" t="n"/>
      <c r="H485" s="22" t="n"/>
      <c r="I485" s="26">
        <f>G485-H485</f>
        <v/>
      </c>
      <c r="J485" s="21" t="n"/>
      <c r="K485" s="21" t="n"/>
      <c r="L485" s="27">
        <f>SUM(J485:K485)</f>
        <v/>
      </c>
      <c r="M485" s="28" t="n"/>
      <c r="N485" s="28" t="n"/>
      <c r="O485" s="29">
        <f>IF(AND(L485=0,M485=0,N485=0),0,IF(AND(L485=0,M485=0),N485/1,IF(AND(L485=0,N485=0),M485/1,IF(AND(M485=0,N485=0),L485/1,IF(L485=0,FLOOR((M485+N485)/2,0.1),IF(M485=0,(L485+N485)/2,IF(N485=0,(M485+L485)/2,FLOOR(((L485+M485+N485)/3),0.1))))))))</f>
        <v/>
      </c>
      <c r="P485" s="21" t="n"/>
      <c r="Q485" s="21" t="n"/>
      <c r="R485" s="27">
        <f>SUM(P485:Q485)</f>
        <v/>
      </c>
      <c r="S485" s="28" t="n"/>
      <c r="T485" s="28" t="n"/>
      <c r="U485" s="29">
        <f>IF(AND(R485=0,S485=0,T485=0),0,IF(AND(R485=0,S485=0),T485/1,IF(AND(R485=0,T485=0),S485/1,IF(AND(S485=0,T485=0),R485/1,IF(R485=0,FLOOR((S485+T485)/2,0.1),IF(S485=0,(R485+T485)/2,IF(T485=0,(S485+R485)/2,FLOOR(((R485+S485+T485)/3),0.1))))))))</f>
        <v/>
      </c>
      <c r="V485" s="21" t="n"/>
      <c r="W485" s="21" t="n"/>
      <c r="X485" s="27">
        <f>SUM(V485:W485)</f>
        <v/>
      </c>
      <c r="Y485" s="28" t="n"/>
      <c r="Z485" s="28" t="n"/>
      <c r="AA485" s="29">
        <f>IF(AND(X485=0,Y485=0,Z485=0),0,IF(AND(X485=0,Y485=0),Z485/1,IF(AND(X485=0,Z485=0),Y485/1,IF(AND(Y485=0,Z485=0),X485/1,IF(X485=0,FLOOR((Y485+Z485)/2,0.1),IF(Y485=0,(X485+Z485)/2,IF(Z485=0,(Y485+X485)/2,FLOOR(((X485+Y485+Z485)/3),0.1))))))))</f>
        <v/>
      </c>
      <c r="AB485" s="21" t="n"/>
      <c r="AC485" s="21" t="n"/>
      <c r="AD485" s="27">
        <f>SUM(AB485:AC485)</f>
        <v/>
      </c>
      <c r="AE485" s="28" t="n"/>
      <c r="AF485" s="28" t="n"/>
      <c r="AG485" s="29">
        <f>IF(AND(AD485=0,AE485=0,AF485=0),0,IF(AND(AD485=0,AE485=0),AF485/1,IF(AND(AD485=0,AF485=0),AE485/1,IF(AND(AE485=0,AF485=0),AD485/1,IF(AD485=0,FLOOR((AE485+AF485)/2,0.1),IF(AE485=0,(AD485+AF485)/2,IF(AF485=0,(AE485+AD485)/2,FLOOR(((AD485+AE485+AF485)/3),0.1))))))))</f>
        <v/>
      </c>
      <c r="AH485" s="21" t="n"/>
      <c r="AI485" s="21" t="n"/>
      <c r="AJ485" s="27">
        <f>SUM(AH485:AI485)</f>
        <v/>
      </c>
      <c r="AK485" s="28" t="n"/>
      <c r="AL485" s="28" t="n"/>
      <c r="AM485" s="29">
        <f>IF(AND(AJ485=0,AK485=0,AL485=0),0,IF(AND(AJ485=0,AK485=0),AL485/1,IF(AND(AJ485=0,AL485=0),AK485/1,IF(AND(AK485=0,AL485=0),AJ485/1,IF(AJ485=0,FLOOR((AK485+AL485)/2,0.1),IF(AK485=0,(AJ485+AL485)/2,IF(AL485=0,(AK485+AJ485)/2,FLOOR(((AJ485+AK485+AL485)/3),0.1))))))))</f>
        <v/>
      </c>
      <c r="AN485" s="21" t="n"/>
      <c r="AO485" s="21" t="n"/>
      <c r="AP485" s="27">
        <f>SUM(AN485:AO485)</f>
        <v/>
      </c>
      <c r="AQ485" s="28" t="n"/>
      <c r="AR485" s="30" t="n"/>
      <c r="AS485" s="29">
        <f>IF(AND(AP485=0,AQ485=0,AR485=0),0,IF(AND(AP485=0,AQ485=0),AR485/1,IF(AND(AP485=0,AR485=0),AQ485/1,IF(AND(AQ485=0,AR485=0),AP485/1,IF(AP485=0,FLOOR((AQ485+AR485)/2,0.1),IF(AQ485=0,(AP485+AR485)/2,IF(AR485=0,(AQ485+AP485)/2,FLOOR(((AP485+AQ485+AR485)/3),0.1))))))))</f>
        <v/>
      </c>
      <c r="AT485" s="21" t="n"/>
      <c r="AU485" s="21" t="n"/>
      <c r="AV485" s="27">
        <f>SUM(AT485:AU485)</f>
        <v/>
      </c>
      <c r="AW485" s="28" t="n"/>
      <c r="AX485" s="30" t="n"/>
      <c r="AY485" s="29">
        <f>IF(AND(AV485=0,AW485=0,AX485=0),0,IF(AND(AV485=0,AW485=0),AX485/1,IF(AND(AV485=0,AX485=0),AW485/1,IF(AND(AW485=0,AX485=0),AV485/1,IF(AV485=0,FLOOR((AW485+AX485)/2,0.1),IF(AW485=0,(AV485+AX485)/2,IF(AX485=0,(AW485+AV485)/2,FLOOR(((AV485+AW485+AX485)/3),0.1))))))))</f>
        <v/>
      </c>
      <c r="AZ485" s="21" t="n"/>
      <c r="BA485" s="21" t="n"/>
      <c r="BB485" s="27">
        <f>SUM(AZ485:BA485)</f>
        <v/>
      </c>
      <c r="BC485" s="28" t="n"/>
      <c r="BD485" s="28" t="n"/>
      <c r="BE485" s="29">
        <f>IF(AND(BB485=0,BC485=0,BD485=0),0,IF(AND(BB485=0,BC485=0),BD485/1,IF(AND(BB485=0,BD485=0),BC485/1,IF(AND(BC485=0,BD485=0),BB485/1,IF(BB485=0,FLOOR((BC485+BD485)/2,0.1),IF(BC485=0,(BB485+BD485)/2,IF(BD485=0,(BC485+BB485)/2,FLOOR(((BB485+BC485+BD485)/3),0.1))))))))</f>
        <v/>
      </c>
      <c r="BF485" s="21" t="n"/>
      <c r="BG485" s="21" t="n"/>
      <c r="BH485" s="27">
        <f>SUM(BF485:BG485)</f>
        <v/>
      </c>
      <c r="BI485" s="28" t="n"/>
      <c r="BJ485" s="28" t="n"/>
      <c r="BK485" s="29">
        <f>IF(AND(BH485=0,BI485=0,BJ485=0),0,IF(AND(BH485=0,BI485=0),BJ485/1,IF(AND(BH485=0,BJ485=0),BI485/1,IF(AND(BI485=0,BJ485=0),BH485/1,IF(BH485=0,FLOOR((BI485+BJ485)/2,0.1),IF(BI485=0,(BH485+BJ485)/2,IF(BJ485=0,(BI485+BH485)/2,FLOOR(((BH485+BI485+BJ485)/3),0.1))))))))</f>
        <v/>
      </c>
      <c r="BL485" s="21" t="n"/>
      <c r="BM485" s="21" t="n"/>
      <c r="BN485" s="27">
        <f>SUM(BL485:BM485)</f>
        <v/>
      </c>
      <c r="BO485" s="28" t="n"/>
      <c r="BP485" s="31" t="n"/>
      <c r="BQ485" s="29">
        <f>IF(AND(BN485=0,BO485=0,BP485=0),0,IF(AND(BN485=0,BO485=0),BP485/1,IF(AND(BN485=0,BP485=0),BO485/1,IF(AND(BO485=0,BP485=0),BN485/1,IF(BN485=0,FLOOR((BO485+BP485)/2,0.1),IF(BO485=0,(BN485+BP485)/2,IF(BP485=0,(BO485+BN485)/2,FLOOR(((BN485+BO485+BP485)/3),0.1))))))))</f>
        <v/>
      </c>
      <c r="BR485" s="21" t="n"/>
      <c r="BS485" s="21" t="n"/>
      <c r="BT485" s="27">
        <f>SUM(BR485:BS485)</f>
        <v/>
      </c>
      <c r="BU485" s="28" t="n"/>
      <c r="BV485" s="31" t="n"/>
      <c r="BW485" s="29">
        <f>IF(AND(BT485=0,BU485=0,BV485=0),0,IF(AND(BT485=0,BU485=0),BV485/1,IF(AND(BT485=0,BV485=0),BU485/1,IF(AND(BU485=0,BV485=0),BT485/1,IF(BT485=0,FLOOR((BU485+BV485)/2,0.1),IF(BU485=0,(BT485+BV485)/2,IF(BV485=0,(BU485+BT485)/2,FLOOR(((BT485+BU485+BV485)/3),0.1))))))))</f>
        <v/>
      </c>
      <c r="BX485" s="21" t="n"/>
      <c r="BY485" s="21" t="n"/>
      <c r="BZ485" s="27">
        <f>SUM(BX485:BY485)</f>
        <v/>
      </c>
      <c r="CA485" s="28" t="n"/>
      <c r="CB485" s="31" t="n"/>
      <c r="CC485" s="29">
        <f>IF(AND(BZ485=0,CA485=0,CB485=0),0,IF(AND(BZ485=0,CA485=0),CB485/1,IF(AND(BZ485=0,CB485=0),CA485/1,IF(AND(CA485=0,CB485=0),BZ485/1,IF(BZ485=0,FLOOR((CA485+CB485)/2,0.1),IF(CA485=0,(BZ485+CB485)/2,IF(CB485=0,(CA485+BZ485)/2,FLOOR(((BZ485+CA485+CB485)/3),0.1))))))))</f>
        <v/>
      </c>
      <c r="CD485" s="21" t="n"/>
      <c r="CE485" s="21" t="n"/>
      <c r="CF485" s="27">
        <f>SUM(CD485:CE485)</f>
        <v/>
      </c>
      <c r="CG485" s="28" t="n"/>
      <c r="CH485" s="31" t="n"/>
      <c r="CI485" s="29">
        <f>IF(AND(CF485=0,CG485=0,CH485=0),0,IF(AND(CF485=0,CG485=0),CH485/1,IF(AND(CF485=0,CH485=0),CG485/1,IF(AND(CG485=0,CH485=0),CF485/1,IF(CF485=0,FLOOR((CG485+CH485)/2,0.1),IF(CG485=0,(CF485+CH485)/2,IF(CH485=0,(CG485+CF485)/2,FLOOR(((CF485+CG485+CH485)/3),0.1))))))))</f>
        <v/>
      </c>
      <c r="CJ485" s="21" t="n"/>
      <c r="CK485" s="21" t="n"/>
      <c r="CL485" s="27">
        <f>SUM(CJ485:CK485)</f>
        <v/>
      </c>
      <c r="CM485" s="28" t="n"/>
      <c r="CN485" s="31" t="n"/>
      <c r="CO485" s="29">
        <f>IF(AND(CL485=0,CM485=0,CN485=0),0,IF(AND(CL485=0,CM485=0),CN485/1,IF(AND(CL485=0,CN485=0),CM485/1,IF(AND(CM485=0,CN485=0),CL485/1,IF(CL485=0,FLOOR((CM485+CN485)/2,0.1),IF(CM485=0,(CL485+CN485)/2,IF(CN485=0,(CM485+CL485)/2,FLOOR(((CL485+CM485+CN485)/3),0.1))))))))</f>
        <v/>
      </c>
      <c r="CP485" s="21" t="n"/>
      <c r="CQ485" s="21" t="n"/>
      <c r="CR485" s="27">
        <f>SUM(CP485:CQ485)</f>
        <v/>
      </c>
      <c r="CS485" s="28" t="n"/>
      <c r="CT485" s="31" t="n"/>
      <c r="CU485" s="29">
        <f>IF(AND(CR485=0,CS485=0,CT485=0),0,IF(AND(CR485=0,CS485=0),CT485/1,IF(AND(CR485=0,CT485=0),CS485/1,IF(AND(CS485=0,CT485=0),CR485/1,IF(CR485=0,FLOOR((CS485+CT485)/2,0.1),IF(CS485=0,(CR485+CT485)/2,IF(CT485=0,(CS485+CR485)/2,FLOOR(((CR485+CS485+CT485)/3),0.1))))))))</f>
        <v/>
      </c>
      <c r="CV485" s="21" t="n"/>
      <c r="CW485" s="21" t="n"/>
      <c r="CX485" s="27">
        <f>SUM(CV485:CW485)</f>
        <v/>
      </c>
      <c r="CY485" s="28" t="n"/>
      <c r="CZ485" s="31" t="n"/>
      <c r="DA485" s="29">
        <f>IF(AND(CX485=0,CY485=0,CZ485=0),0,IF(AND(CX485=0,CY485=0),CZ485/1,IF(AND(CX485=0,CZ485=0),CY485/1,IF(AND(CY485=0,CZ485=0),CX485/1,IF(CX485=0,FLOOR((CY485+CZ485)/2,0.1),IF(CY485=0,(CX485+CZ485)/2,IF(CZ485=0,(CY485+CX485)/2,FLOOR(((CX485+CY485+CZ485)/3),0.1))))))))</f>
        <v/>
      </c>
      <c r="DB485" s="21" t="n"/>
      <c r="DC485" s="21" t="n"/>
      <c r="DD485" s="27">
        <f>SUM(DB485:DC485)</f>
        <v/>
      </c>
      <c r="DE485" s="28" t="n"/>
      <c r="DF485" s="31" t="n"/>
      <c r="DG485" s="29">
        <f>IF(AND(DD485=0,DE485=0,DF485=0),0,IF(AND(DD485=0,DE485=0),DF485/1,IF(AND(DD485=0,DF485=0),DE485/1,IF(AND(DE485=0,DF485=0),DD485/1,IF(DD485=0,FLOOR((DE485+DF485)/2,0.1),IF(DE485=0,(DD485+DF485)/2,IF(DF485=0,(DE485+DD485)/2,FLOOR(((DD485+DE485+DF485)/3),0.1))))))))</f>
        <v/>
      </c>
      <c r="DH485" s="34">
        <f>SUM(O485,U485,AA485,AG485,AM485,AS485,AY485,BE485,BK485,BQ485,BW485,CC485,CI485,CO485,CU485,DA485,DG485)</f>
        <v/>
      </c>
      <c r="DI485" s="39">
        <f>RANK(DH485,DH$4:DH$503)</f>
        <v/>
      </c>
      <c r="DJ485" s="40" t="inlineStr">
        <is>
          <t>CHOOSE RATING</t>
        </is>
      </c>
      <c r="DK485" s="40" t="inlineStr">
        <is>
          <t>CHOOSE RATING</t>
        </is>
      </c>
      <c r="DL485" s="40" t="inlineStr">
        <is>
          <t>CHOOSE RATING</t>
        </is>
      </c>
      <c r="DM485" s="40" t="inlineStr">
        <is>
          <t>CHOOSE RATING</t>
        </is>
      </c>
      <c r="DN485" s="40" t="inlineStr">
        <is>
          <t>CHOOSE RATING</t>
        </is>
      </c>
      <c r="DO485" s="40" t="inlineStr">
        <is>
          <t>CHOOSE RATING</t>
        </is>
      </c>
      <c r="DP485" s="40" t="inlineStr">
        <is>
          <t>CHOOSE RATING</t>
        </is>
      </c>
      <c r="DQ485" s="40" t="inlineStr">
        <is>
          <t>CHOOSE RATING</t>
        </is>
      </c>
      <c r="DR485" s="43" t="inlineStr">
        <is>
          <t>2024/2025</t>
        </is>
      </c>
      <c r="DS485" s="45" t="inlineStr">
        <is>
          <t>THIRD</t>
        </is>
      </c>
      <c r="DT485" s="40" t="inlineStr">
        <is>
          <t>CHOOSE RATING</t>
        </is>
      </c>
      <c r="DU485" s="40" t="inlineStr">
        <is>
          <t>CHOOSE RATING</t>
        </is>
      </c>
      <c r="DV485" s="40" t="inlineStr">
        <is>
          <t>CHOOSE RATING</t>
        </is>
      </c>
      <c r="DW485" s="40" t="inlineStr">
        <is>
          <t>CHOOSE RATING</t>
        </is>
      </c>
      <c r="DX485" s="40" t="inlineStr">
        <is>
          <t>CHOOSE RATING</t>
        </is>
      </c>
      <c r="DY485" s="40" t="inlineStr">
        <is>
          <t>CHOOSE RATING</t>
        </is>
      </c>
      <c r="DZ485" s="53" t="inlineStr">
        <is>
          <t>CHOOSE RATING</t>
        </is>
      </c>
      <c r="EA485" s="54" t="inlineStr">
        <is>
          <t>Add the Tutor's Comment . . .</t>
        </is>
      </c>
      <c r="EB485" s="55" t="inlineStr">
        <is>
          <t>Choose Principals comment</t>
        </is>
      </c>
      <c r="EC485" s="56" t="n"/>
      <c r="ED485" s="57" t="inlineStr">
        <is>
          <t>Next Term Begins on Monday, 22nd September, 2025</t>
        </is>
      </c>
    </row>
    <row r="486" ht="30.6" customHeight="1" s="6">
      <c r="A486" s="18" t="n">
        <v>483</v>
      </c>
      <c r="B486" s="19" t="n"/>
      <c r="C486" s="20" t="n"/>
      <c r="D486" s="128" t="n"/>
      <c r="E486" s="21" t="n"/>
      <c r="F486" s="22" t="n"/>
      <c r="G486" s="22" t="n"/>
      <c r="H486" s="22" t="n"/>
      <c r="I486" s="26">
        <f>G486-H486</f>
        <v/>
      </c>
      <c r="J486" s="21" t="n"/>
      <c r="K486" s="21" t="n"/>
      <c r="L486" s="27">
        <f>SUM(J486:K486)</f>
        <v/>
      </c>
      <c r="M486" s="28" t="n"/>
      <c r="N486" s="28" t="n"/>
      <c r="O486" s="29">
        <f>IF(AND(L486=0,M486=0,N486=0),0,IF(AND(L486=0,M486=0),N486/1,IF(AND(L486=0,N486=0),M486/1,IF(AND(M486=0,N486=0),L486/1,IF(L486=0,FLOOR((M486+N486)/2,0.1),IF(M486=0,(L486+N486)/2,IF(N486=0,(M486+L486)/2,FLOOR(((L486+M486+N486)/3),0.1))))))))</f>
        <v/>
      </c>
      <c r="P486" s="21" t="n"/>
      <c r="Q486" s="21" t="n"/>
      <c r="R486" s="27">
        <f>SUM(P486:Q486)</f>
        <v/>
      </c>
      <c r="S486" s="28" t="n"/>
      <c r="T486" s="28" t="n"/>
      <c r="U486" s="29">
        <f>IF(AND(R486=0,S486=0,T486=0),0,IF(AND(R486=0,S486=0),T486/1,IF(AND(R486=0,T486=0),S486/1,IF(AND(S486=0,T486=0),R486/1,IF(R486=0,FLOOR((S486+T486)/2,0.1),IF(S486=0,(R486+T486)/2,IF(T486=0,(S486+R486)/2,FLOOR(((R486+S486+T486)/3),0.1))))))))</f>
        <v/>
      </c>
      <c r="V486" s="21" t="n"/>
      <c r="W486" s="21" t="n"/>
      <c r="X486" s="27">
        <f>SUM(V486:W486)</f>
        <v/>
      </c>
      <c r="Y486" s="28" t="n"/>
      <c r="Z486" s="28" t="n"/>
      <c r="AA486" s="29">
        <f>IF(AND(X486=0,Y486=0,Z486=0),0,IF(AND(X486=0,Y486=0),Z486/1,IF(AND(X486=0,Z486=0),Y486/1,IF(AND(Y486=0,Z486=0),X486/1,IF(X486=0,FLOOR((Y486+Z486)/2,0.1),IF(Y486=0,(X486+Z486)/2,IF(Z486=0,(Y486+X486)/2,FLOOR(((X486+Y486+Z486)/3),0.1))))))))</f>
        <v/>
      </c>
      <c r="AB486" s="21" t="n"/>
      <c r="AC486" s="21" t="n"/>
      <c r="AD486" s="27">
        <f>SUM(AB486:AC486)</f>
        <v/>
      </c>
      <c r="AE486" s="28" t="n"/>
      <c r="AF486" s="28" t="n"/>
      <c r="AG486" s="29">
        <f>IF(AND(AD486=0,AE486=0,AF486=0),0,IF(AND(AD486=0,AE486=0),AF486/1,IF(AND(AD486=0,AF486=0),AE486/1,IF(AND(AE486=0,AF486=0),AD486/1,IF(AD486=0,FLOOR((AE486+AF486)/2,0.1),IF(AE486=0,(AD486+AF486)/2,IF(AF486=0,(AE486+AD486)/2,FLOOR(((AD486+AE486+AF486)/3),0.1))))))))</f>
        <v/>
      </c>
      <c r="AH486" s="21" t="n"/>
      <c r="AI486" s="21" t="n"/>
      <c r="AJ486" s="27">
        <f>SUM(AH486:AI486)</f>
        <v/>
      </c>
      <c r="AK486" s="28" t="n"/>
      <c r="AL486" s="28" t="n"/>
      <c r="AM486" s="29">
        <f>IF(AND(AJ486=0,AK486=0,AL486=0),0,IF(AND(AJ486=0,AK486=0),AL486/1,IF(AND(AJ486=0,AL486=0),AK486/1,IF(AND(AK486=0,AL486=0),AJ486/1,IF(AJ486=0,FLOOR((AK486+AL486)/2,0.1),IF(AK486=0,(AJ486+AL486)/2,IF(AL486=0,(AK486+AJ486)/2,FLOOR(((AJ486+AK486+AL486)/3),0.1))))))))</f>
        <v/>
      </c>
      <c r="AN486" s="21" t="n"/>
      <c r="AO486" s="21" t="n"/>
      <c r="AP486" s="27">
        <f>SUM(AN486:AO486)</f>
        <v/>
      </c>
      <c r="AQ486" s="28" t="n"/>
      <c r="AR486" s="30" t="n"/>
      <c r="AS486" s="29">
        <f>IF(AND(AP486=0,AQ486=0,AR486=0),0,IF(AND(AP486=0,AQ486=0),AR486/1,IF(AND(AP486=0,AR486=0),AQ486/1,IF(AND(AQ486=0,AR486=0),AP486/1,IF(AP486=0,FLOOR((AQ486+AR486)/2,0.1),IF(AQ486=0,(AP486+AR486)/2,IF(AR486=0,(AQ486+AP486)/2,FLOOR(((AP486+AQ486+AR486)/3),0.1))))))))</f>
        <v/>
      </c>
      <c r="AT486" s="21" t="n"/>
      <c r="AU486" s="21" t="n"/>
      <c r="AV486" s="27">
        <f>SUM(AT486:AU486)</f>
        <v/>
      </c>
      <c r="AW486" s="28" t="n"/>
      <c r="AX486" s="30" t="n"/>
      <c r="AY486" s="29">
        <f>IF(AND(AV486=0,AW486=0,AX486=0),0,IF(AND(AV486=0,AW486=0),AX486/1,IF(AND(AV486=0,AX486=0),AW486/1,IF(AND(AW486=0,AX486=0),AV486/1,IF(AV486=0,FLOOR((AW486+AX486)/2,0.1),IF(AW486=0,(AV486+AX486)/2,IF(AX486=0,(AW486+AV486)/2,FLOOR(((AV486+AW486+AX486)/3),0.1))))))))</f>
        <v/>
      </c>
      <c r="AZ486" s="21" t="n"/>
      <c r="BA486" s="21" t="n"/>
      <c r="BB486" s="27">
        <f>SUM(AZ486:BA486)</f>
        <v/>
      </c>
      <c r="BC486" s="28" t="n"/>
      <c r="BD486" s="28" t="n"/>
      <c r="BE486" s="29">
        <f>IF(AND(BB486=0,BC486=0,BD486=0),0,IF(AND(BB486=0,BC486=0),BD486/1,IF(AND(BB486=0,BD486=0),BC486/1,IF(AND(BC486=0,BD486=0),BB486/1,IF(BB486=0,FLOOR((BC486+BD486)/2,0.1),IF(BC486=0,(BB486+BD486)/2,IF(BD486=0,(BC486+BB486)/2,FLOOR(((BB486+BC486+BD486)/3),0.1))))))))</f>
        <v/>
      </c>
      <c r="BF486" s="21" t="n"/>
      <c r="BG486" s="21" t="n"/>
      <c r="BH486" s="27">
        <f>SUM(BF486:BG486)</f>
        <v/>
      </c>
      <c r="BI486" s="28" t="n"/>
      <c r="BJ486" s="28" t="n"/>
      <c r="BK486" s="29">
        <f>IF(AND(BH486=0,BI486=0,BJ486=0),0,IF(AND(BH486=0,BI486=0),BJ486/1,IF(AND(BH486=0,BJ486=0),BI486/1,IF(AND(BI486=0,BJ486=0),BH486/1,IF(BH486=0,FLOOR((BI486+BJ486)/2,0.1),IF(BI486=0,(BH486+BJ486)/2,IF(BJ486=0,(BI486+BH486)/2,FLOOR(((BH486+BI486+BJ486)/3),0.1))))))))</f>
        <v/>
      </c>
      <c r="BL486" s="21" t="n"/>
      <c r="BM486" s="21" t="n"/>
      <c r="BN486" s="27">
        <f>SUM(BL486:BM486)</f>
        <v/>
      </c>
      <c r="BO486" s="28" t="n"/>
      <c r="BP486" s="31" t="n"/>
      <c r="BQ486" s="29">
        <f>IF(AND(BN486=0,BO486=0,BP486=0),0,IF(AND(BN486=0,BO486=0),BP486/1,IF(AND(BN486=0,BP486=0),BO486/1,IF(AND(BO486=0,BP486=0),BN486/1,IF(BN486=0,FLOOR((BO486+BP486)/2,0.1),IF(BO486=0,(BN486+BP486)/2,IF(BP486=0,(BO486+BN486)/2,FLOOR(((BN486+BO486+BP486)/3),0.1))))))))</f>
        <v/>
      </c>
      <c r="BR486" s="21" t="n"/>
      <c r="BS486" s="21" t="n"/>
      <c r="BT486" s="27">
        <f>SUM(BR486:BS486)</f>
        <v/>
      </c>
      <c r="BU486" s="28" t="n"/>
      <c r="BV486" s="31" t="n"/>
      <c r="BW486" s="29">
        <f>IF(AND(BT486=0,BU486=0,BV486=0),0,IF(AND(BT486=0,BU486=0),BV486/1,IF(AND(BT486=0,BV486=0),BU486/1,IF(AND(BU486=0,BV486=0),BT486/1,IF(BT486=0,FLOOR((BU486+BV486)/2,0.1),IF(BU486=0,(BT486+BV486)/2,IF(BV486=0,(BU486+BT486)/2,FLOOR(((BT486+BU486+BV486)/3),0.1))))))))</f>
        <v/>
      </c>
      <c r="BX486" s="21" t="n"/>
      <c r="BY486" s="21" t="n"/>
      <c r="BZ486" s="27">
        <f>SUM(BX486:BY486)</f>
        <v/>
      </c>
      <c r="CA486" s="28" t="n"/>
      <c r="CB486" s="31" t="n"/>
      <c r="CC486" s="29">
        <f>IF(AND(BZ486=0,CA486=0,CB486=0),0,IF(AND(BZ486=0,CA486=0),CB486/1,IF(AND(BZ486=0,CB486=0),CA486/1,IF(AND(CA486=0,CB486=0),BZ486/1,IF(BZ486=0,FLOOR((CA486+CB486)/2,0.1),IF(CA486=0,(BZ486+CB486)/2,IF(CB486=0,(CA486+BZ486)/2,FLOOR(((BZ486+CA486+CB486)/3),0.1))))))))</f>
        <v/>
      </c>
      <c r="CD486" s="21" t="n"/>
      <c r="CE486" s="21" t="n"/>
      <c r="CF486" s="27">
        <f>SUM(CD486:CE486)</f>
        <v/>
      </c>
      <c r="CG486" s="28" t="n"/>
      <c r="CH486" s="31" t="n"/>
      <c r="CI486" s="29">
        <f>IF(AND(CF486=0,CG486=0,CH486=0),0,IF(AND(CF486=0,CG486=0),CH486/1,IF(AND(CF486=0,CH486=0),CG486/1,IF(AND(CG486=0,CH486=0),CF486/1,IF(CF486=0,FLOOR((CG486+CH486)/2,0.1),IF(CG486=0,(CF486+CH486)/2,IF(CH486=0,(CG486+CF486)/2,FLOOR(((CF486+CG486+CH486)/3),0.1))))))))</f>
        <v/>
      </c>
      <c r="CJ486" s="21" t="n"/>
      <c r="CK486" s="21" t="n"/>
      <c r="CL486" s="27">
        <f>SUM(CJ486:CK486)</f>
        <v/>
      </c>
      <c r="CM486" s="28" t="n"/>
      <c r="CN486" s="31" t="n"/>
      <c r="CO486" s="29">
        <f>IF(AND(CL486=0,CM486=0,CN486=0),0,IF(AND(CL486=0,CM486=0),CN486/1,IF(AND(CL486=0,CN486=0),CM486/1,IF(AND(CM486=0,CN486=0),CL486/1,IF(CL486=0,FLOOR((CM486+CN486)/2,0.1),IF(CM486=0,(CL486+CN486)/2,IF(CN486=0,(CM486+CL486)/2,FLOOR(((CL486+CM486+CN486)/3),0.1))))))))</f>
        <v/>
      </c>
      <c r="CP486" s="21" t="n"/>
      <c r="CQ486" s="21" t="n"/>
      <c r="CR486" s="27">
        <f>SUM(CP486:CQ486)</f>
        <v/>
      </c>
      <c r="CS486" s="28" t="n"/>
      <c r="CT486" s="31" t="n"/>
      <c r="CU486" s="29">
        <f>IF(AND(CR486=0,CS486=0,CT486=0),0,IF(AND(CR486=0,CS486=0),CT486/1,IF(AND(CR486=0,CT486=0),CS486/1,IF(AND(CS486=0,CT486=0),CR486/1,IF(CR486=0,FLOOR((CS486+CT486)/2,0.1),IF(CS486=0,(CR486+CT486)/2,IF(CT486=0,(CS486+CR486)/2,FLOOR(((CR486+CS486+CT486)/3),0.1))))))))</f>
        <v/>
      </c>
      <c r="CV486" s="21" t="n"/>
      <c r="CW486" s="21" t="n"/>
      <c r="CX486" s="27">
        <f>SUM(CV486:CW486)</f>
        <v/>
      </c>
      <c r="CY486" s="28" t="n"/>
      <c r="CZ486" s="31" t="n"/>
      <c r="DA486" s="29">
        <f>IF(AND(CX486=0,CY486=0,CZ486=0),0,IF(AND(CX486=0,CY486=0),CZ486/1,IF(AND(CX486=0,CZ486=0),CY486/1,IF(AND(CY486=0,CZ486=0),CX486/1,IF(CX486=0,FLOOR((CY486+CZ486)/2,0.1),IF(CY486=0,(CX486+CZ486)/2,IF(CZ486=0,(CY486+CX486)/2,FLOOR(((CX486+CY486+CZ486)/3),0.1))))))))</f>
        <v/>
      </c>
      <c r="DB486" s="21" t="n"/>
      <c r="DC486" s="21" t="n"/>
      <c r="DD486" s="27">
        <f>SUM(DB486:DC486)</f>
        <v/>
      </c>
      <c r="DE486" s="28" t="n"/>
      <c r="DF486" s="31" t="n"/>
      <c r="DG486" s="29">
        <f>IF(AND(DD486=0,DE486=0,DF486=0),0,IF(AND(DD486=0,DE486=0),DF486/1,IF(AND(DD486=0,DF486=0),DE486/1,IF(AND(DE486=0,DF486=0),DD486/1,IF(DD486=0,FLOOR((DE486+DF486)/2,0.1),IF(DE486=0,(DD486+DF486)/2,IF(DF486=0,(DE486+DD486)/2,FLOOR(((DD486+DE486+DF486)/3),0.1))))))))</f>
        <v/>
      </c>
      <c r="DH486" s="34">
        <f>SUM(O486,U486,AA486,AG486,AM486,AS486,AY486,BE486,BK486,BQ486,BW486,CC486,CI486,CO486,CU486,DA486,DG486)</f>
        <v/>
      </c>
      <c r="DI486" s="39">
        <f>RANK(DH486,DH$4:DH$503)</f>
        <v/>
      </c>
      <c r="DJ486" s="40" t="inlineStr">
        <is>
          <t>CHOOSE RATING</t>
        </is>
      </c>
      <c r="DK486" s="40" t="inlineStr">
        <is>
          <t>CHOOSE RATING</t>
        </is>
      </c>
      <c r="DL486" s="40" t="inlineStr">
        <is>
          <t>CHOOSE RATING</t>
        </is>
      </c>
      <c r="DM486" s="40" t="inlineStr">
        <is>
          <t>CHOOSE RATING</t>
        </is>
      </c>
      <c r="DN486" s="40" t="inlineStr">
        <is>
          <t>CHOOSE RATING</t>
        </is>
      </c>
      <c r="DO486" s="40" t="inlineStr">
        <is>
          <t>CHOOSE RATING</t>
        </is>
      </c>
      <c r="DP486" s="40" t="inlineStr">
        <is>
          <t>CHOOSE RATING</t>
        </is>
      </c>
      <c r="DQ486" s="40" t="inlineStr">
        <is>
          <t>CHOOSE RATING</t>
        </is>
      </c>
      <c r="DR486" s="43" t="inlineStr">
        <is>
          <t>2024/2025</t>
        </is>
      </c>
      <c r="DS486" s="45" t="inlineStr">
        <is>
          <t>THIRD</t>
        </is>
      </c>
      <c r="DT486" s="40" t="inlineStr">
        <is>
          <t>CHOOSE RATING</t>
        </is>
      </c>
      <c r="DU486" s="40" t="inlineStr">
        <is>
          <t>CHOOSE RATING</t>
        </is>
      </c>
      <c r="DV486" s="40" t="inlineStr">
        <is>
          <t>CHOOSE RATING</t>
        </is>
      </c>
      <c r="DW486" s="40" t="inlineStr">
        <is>
          <t>CHOOSE RATING</t>
        </is>
      </c>
      <c r="DX486" s="40" t="inlineStr">
        <is>
          <t>CHOOSE RATING</t>
        </is>
      </c>
      <c r="DY486" s="40" t="inlineStr">
        <is>
          <t>CHOOSE RATING</t>
        </is>
      </c>
      <c r="DZ486" s="53" t="inlineStr">
        <is>
          <t>CHOOSE RATING</t>
        </is>
      </c>
      <c r="EA486" s="54" t="inlineStr">
        <is>
          <t>Add the Tutor's Comment . . .</t>
        </is>
      </c>
      <c r="EB486" s="55" t="inlineStr">
        <is>
          <t>Choose Principals comment</t>
        </is>
      </c>
      <c r="EC486" s="56" t="n"/>
      <c r="ED486" s="57" t="inlineStr">
        <is>
          <t>Next Term Begins on Monday, 22nd September, 2025</t>
        </is>
      </c>
    </row>
    <row r="487" ht="30.6" customHeight="1" s="6">
      <c r="A487" s="18" t="n">
        <v>484</v>
      </c>
      <c r="B487" s="19" t="n"/>
      <c r="C487" s="20" t="n"/>
      <c r="D487" s="128" t="n"/>
      <c r="E487" s="21" t="n"/>
      <c r="F487" s="22" t="n"/>
      <c r="G487" s="22" t="n"/>
      <c r="H487" s="22" t="n"/>
      <c r="I487" s="26">
        <f>G487-H487</f>
        <v/>
      </c>
      <c r="J487" s="21" t="n"/>
      <c r="K487" s="21" t="n"/>
      <c r="L487" s="27">
        <f>SUM(J487:K487)</f>
        <v/>
      </c>
      <c r="M487" s="28" t="n"/>
      <c r="N487" s="28" t="n"/>
      <c r="O487" s="29">
        <f>IF(AND(L487=0,M487=0,N487=0),0,IF(AND(L487=0,M487=0),N487/1,IF(AND(L487=0,N487=0),M487/1,IF(AND(M487=0,N487=0),L487/1,IF(L487=0,FLOOR((M487+N487)/2,0.1),IF(M487=0,(L487+N487)/2,IF(N487=0,(M487+L487)/2,FLOOR(((L487+M487+N487)/3),0.1))))))))</f>
        <v/>
      </c>
      <c r="P487" s="21" t="n"/>
      <c r="Q487" s="21" t="n"/>
      <c r="R487" s="27">
        <f>SUM(P487:Q487)</f>
        <v/>
      </c>
      <c r="S487" s="28" t="n"/>
      <c r="T487" s="28" t="n"/>
      <c r="U487" s="29">
        <f>IF(AND(R487=0,S487=0,T487=0),0,IF(AND(R487=0,S487=0),T487/1,IF(AND(R487=0,T487=0),S487/1,IF(AND(S487=0,T487=0),R487/1,IF(R487=0,FLOOR((S487+T487)/2,0.1),IF(S487=0,(R487+T487)/2,IF(T487=0,(S487+R487)/2,FLOOR(((R487+S487+T487)/3),0.1))))))))</f>
        <v/>
      </c>
      <c r="V487" s="21" t="n"/>
      <c r="W487" s="21" t="n"/>
      <c r="X487" s="27">
        <f>SUM(V487:W487)</f>
        <v/>
      </c>
      <c r="Y487" s="28" t="n"/>
      <c r="Z487" s="28" t="n"/>
      <c r="AA487" s="29">
        <f>IF(AND(X487=0,Y487=0,Z487=0),0,IF(AND(X487=0,Y487=0),Z487/1,IF(AND(X487=0,Z487=0),Y487/1,IF(AND(Y487=0,Z487=0),X487/1,IF(X487=0,FLOOR((Y487+Z487)/2,0.1),IF(Y487=0,(X487+Z487)/2,IF(Z487=0,(Y487+X487)/2,FLOOR(((X487+Y487+Z487)/3),0.1))))))))</f>
        <v/>
      </c>
      <c r="AB487" s="21" t="n"/>
      <c r="AC487" s="21" t="n"/>
      <c r="AD487" s="27">
        <f>SUM(AB487:AC487)</f>
        <v/>
      </c>
      <c r="AE487" s="28" t="n"/>
      <c r="AF487" s="28" t="n"/>
      <c r="AG487" s="29">
        <f>IF(AND(AD487=0,AE487=0,AF487=0),0,IF(AND(AD487=0,AE487=0),AF487/1,IF(AND(AD487=0,AF487=0),AE487/1,IF(AND(AE487=0,AF487=0),AD487/1,IF(AD487=0,FLOOR((AE487+AF487)/2,0.1),IF(AE487=0,(AD487+AF487)/2,IF(AF487=0,(AE487+AD487)/2,FLOOR(((AD487+AE487+AF487)/3),0.1))))))))</f>
        <v/>
      </c>
      <c r="AH487" s="21" t="n"/>
      <c r="AI487" s="21" t="n"/>
      <c r="AJ487" s="27">
        <f>SUM(AH487:AI487)</f>
        <v/>
      </c>
      <c r="AK487" s="28" t="n"/>
      <c r="AL487" s="28" t="n"/>
      <c r="AM487" s="29">
        <f>IF(AND(AJ487=0,AK487=0,AL487=0),0,IF(AND(AJ487=0,AK487=0),AL487/1,IF(AND(AJ487=0,AL487=0),AK487/1,IF(AND(AK487=0,AL487=0),AJ487/1,IF(AJ487=0,FLOOR((AK487+AL487)/2,0.1),IF(AK487=0,(AJ487+AL487)/2,IF(AL487=0,(AK487+AJ487)/2,FLOOR(((AJ487+AK487+AL487)/3),0.1))))))))</f>
        <v/>
      </c>
      <c r="AN487" s="21" t="n"/>
      <c r="AO487" s="21" t="n"/>
      <c r="AP487" s="27">
        <f>SUM(AN487:AO487)</f>
        <v/>
      </c>
      <c r="AQ487" s="28" t="n"/>
      <c r="AR487" s="30" t="n"/>
      <c r="AS487" s="29">
        <f>IF(AND(AP487=0,AQ487=0,AR487=0),0,IF(AND(AP487=0,AQ487=0),AR487/1,IF(AND(AP487=0,AR487=0),AQ487/1,IF(AND(AQ487=0,AR487=0),AP487/1,IF(AP487=0,FLOOR((AQ487+AR487)/2,0.1),IF(AQ487=0,(AP487+AR487)/2,IF(AR487=0,(AQ487+AP487)/2,FLOOR(((AP487+AQ487+AR487)/3),0.1))))))))</f>
        <v/>
      </c>
      <c r="AT487" s="21" t="n"/>
      <c r="AU487" s="21" t="n"/>
      <c r="AV487" s="27">
        <f>SUM(AT487:AU487)</f>
        <v/>
      </c>
      <c r="AW487" s="28" t="n"/>
      <c r="AX487" s="30" t="n"/>
      <c r="AY487" s="29">
        <f>IF(AND(AV487=0,AW487=0,AX487=0),0,IF(AND(AV487=0,AW487=0),AX487/1,IF(AND(AV487=0,AX487=0),AW487/1,IF(AND(AW487=0,AX487=0),AV487/1,IF(AV487=0,FLOOR((AW487+AX487)/2,0.1),IF(AW487=0,(AV487+AX487)/2,IF(AX487=0,(AW487+AV487)/2,FLOOR(((AV487+AW487+AX487)/3),0.1))))))))</f>
        <v/>
      </c>
      <c r="AZ487" s="21" t="n"/>
      <c r="BA487" s="21" t="n"/>
      <c r="BB487" s="27">
        <f>SUM(AZ487:BA487)</f>
        <v/>
      </c>
      <c r="BC487" s="28" t="n"/>
      <c r="BD487" s="28" t="n"/>
      <c r="BE487" s="29">
        <f>IF(AND(BB487=0,BC487=0,BD487=0),0,IF(AND(BB487=0,BC487=0),BD487/1,IF(AND(BB487=0,BD487=0),BC487/1,IF(AND(BC487=0,BD487=0),BB487/1,IF(BB487=0,FLOOR((BC487+BD487)/2,0.1),IF(BC487=0,(BB487+BD487)/2,IF(BD487=0,(BC487+BB487)/2,FLOOR(((BB487+BC487+BD487)/3),0.1))))))))</f>
        <v/>
      </c>
      <c r="BF487" s="21" t="n"/>
      <c r="BG487" s="21" t="n"/>
      <c r="BH487" s="27">
        <f>SUM(BF487:BG487)</f>
        <v/>
      </c>
      <c r="BI487" s="28" t="n"/>
      <c r="BJ487" s="28" t="n"/>
      <c r="BK487" s="29">
        <f>IF(AND(BH487=0,BI487=0,BJ487=0),0,IF(AND(BH487=0,BI487=0),BJ487/1,IF(AND(BH487=0,BJ487=0),BI487/1,IF(AND(BI487=0,BJ487=0),BH487/1,IF(BH487=0,FLOOR((BI487+BJ487)/2,0.1),IF(BI487=0,(BH487+BJ487)/2,IF(BJ487=0,(BI487+BH487)/2,FLOOR(((BH487+BI487+BJ487)/3),0.1))))))))</f>
        <v/>
      </c>
      <c r="BL487" s="21" t="n"/>
      <c r="BM487" s="21" t="n"/>
      <c r="BN487" s="27">
        <f>SUM(BL487:BM487)</f>
        <v/>
      </c>
      <c r="BO487" s="28" t="n"/>
      <c r="BP487" s="31" t="n"/>
      <c r="BQ487" s="29">
        <f>IF(AND(BN487=0,BO487=0,BP487=0),0,IF(AND(BN487=0,BO487=0),BP487/1,IF(AND(BN487=0,BP487=0),BO487/1,IF(AND(BO487=0,BP487=0),BN487/1,IF(BN487=0,FLOOR((BO487+BP487)/2,0.1),IF(BO487=0,(BN487+BP487)/2,IF(BP487=0,(BO487+BN487)/2,FLOOR(((BN487+BO487+BP487)/3),0.1))))))))</f>
        <v/>
      </c>
      <c r="BR487" s="21" t="n"/>
      <c r="BS487" s="21" t="n"/>
      <c r="BT487" s="27">
        <f>SUM(BR487:BS487)</f>
        <v/>
      </c>
      <c r="BU487" s="28" t="n"/>
      <c r="BV487" s="31" t="n"/>
      <c r="BW487" s="29">
        <f>IF(AND(BT487=0,BU487=0,BV487=0),0,IF(AND(BT487=0,BU487=0),BV487/1,IF(AND(BT487=0,BV487=0),BU487/1,IF(AND(BU487=0,BV487=0),BT487/1,IF(BT487=0,FLOOR((BU487+BV487)/2,0.1),IF(BU487=0,(BT487+BV487)/2,IF(BV487=0,(BU487+BT487)/2,FLOOR(((BT487+BU487+BV487)/3),0.1))))))))</f>
        <v/>
      </c>
      <c r="BX487" s="21" t="n"/>
      <c r="BY487" s="21" t="n"/>
      <c r="BZ487" s="27">
        <f>SUM(BX487:BY487)</f>
        <v/>
      </c>
      <c r="CA487" s="28" t="n"/>
      <c r="CB487" s="31" t="n"/>
      <c r="CC487" s="29">
        <f>IF(AND(BZ487=0,CA487=0,CB487=0),0,IF(AND(BZ487=0,CA487=0),CB487/1,IF(AND(BZ487=0,CB487=0),CA487/1,IF(AND(CA487=0,CB487=0),BZ487/1,IF(BZ487=0,FLOOR((CA487+CB487)/2,0.1),IF(CA487=0,(BZ487+CB487)/2,IF(CB487=0,(CA487+BZ487)/2,FLOOR(((BZ487+CA487+CB487)/3),0.1))))))))</f>
        <v/>
      </c>
      <c r="CD487" s="21" t="n"/>
      <c r="CE487" s="21" t="n"/>
      <c r="CF487" s="27">
        <f>SUM(CD487:CE487)</f>
        <v/>
      </c>
      <c r="CG487" s="28" t="n"/>
      <c r="CH487" s="31" t="n"/>
      <c r="CI487" s="29">
        <f>IF(AND(CF487=0,CG487=0,CH487=0),0,IF(AND(CF487=0,CG487=0),CH487/1,IF(AND(CF487=0,CH487=0),CG487/1,IF(AND(CG487=0,CH487=0),CF487/1,IF(CF487=0,FLOOR((CG487+CH487)/2,0.1),IF(CG487=0,(CF487+CH487)/2,IF(CH487=0,(CG487+CF487)/2,FLOOR(((CF487+CG487+CH487)/3),0.1))))))))</f>
        <v/>
      </c>
      <c r="CJ487" s="21" t="n"/>
      <c r="CK487" s="21" t="n"/>
      <c r="CL487" s="27">
        <f>SUM(CJ487:CK487)</f>
        <v/>
      </c>
      <c r="CM487" s="28" t="n"/>
      <c r="CN487" s="31" t="n"/>
      <c r="CO487" s="29">
        <f>IF(AND(CL487=0,CM487=0,CN487=0),0,IF(AND(CL487=0,CM487=0),CN487/1,IF(AND(CL487=0,CN487=0),CM487/1,IF(AND(CM487=0,CN487=0),CL487/1,IF(CL487=0,FLOOR((CM487+CN487)/2,0.1),IF(CM487=0,(CL487+CN487)/2,IF(CN487=0,(CM487+CL487)/2,FLOOR(((CL487+CM487+CN487)/3),0.1))))))))</f>
        <v/>
      </c>
      <c r="CP487" s="21" t="n"/>
      <c r="CQ487" s="21" t="n"/>
      <c r="CR487" s="27">
        <f>SUM(CP487:CQ487)</f>
        <v/>
      </c>
      <c r="CS487" s="28" t="n"/>
      <c r="CT487" s="31" t="n"/>
      <c r="CU487" s="29">
        <f>IF(AND(CR487=0,CS487=0,CT487=0),0,IF(AND(CR487=0,CS487=0),CT487/1,IF(AND(CR487=0,CT487=0),CS487/1,IF(AND(CS487=0,CT487=0),CR487/1,IF(CR487=0,FLOOR((CS487+CT487)/2,0.1),IF(CS487=0,(CR487+CT487)/2,IF(CT487=0,(CS487+CR487)/2,FLOOR(((CR487+CS487+CT487)/3),0.1))))))))</f>
        <v/>
      </c>
      <c r="CV487" s="21" t="n"/>
      <c r="CW487" s="21" t="n"/>
      <c r="CX487" s="27">
        <f>SUM(CV487:CW487)</f>
        <v/>
      </c>
      <c r="CY487" s="28" t="n"/>
      <c r="CZ487" s="31" t="n"/>
      <c r="DA487" s="29">
        <f>IF(AND(CX487=0,CY487=0,CZ487=0),0,IF(AND(CX487=0,CY487=0),CZ487/1,IF(AND(CX487=0,CZ487=0),CY487/1,IF(AND(CY487=0,CZ487=0),CX487/1,IF(CX487=0,FLOOR((CY487+CZ487)/2,0.1),IF(CY487=0,(CX487+CZ487)/2,IF(CZ487=0,(CY487+CX487)/2,FLOOR(((CX487+CY487+CZ487)/3),0.1))))))))</f>
        <v/>
      </c>
      <c r="DB487" s="21" t="n"/>
      <c r="DC487" s="21" t="n"/>
      <c r="DD487" s="27">
        <f>SUM(DB487:DC487)</f>
        <v/>
      </c>
      <c r="DE487" s="28" t="n"/>
      <c r="DF487" s="31" t="n"/>
      <c r="DG487" s="29">
        <f>IF(AND(DD487=0,DE487=0,DF487=0),0,IF(AND(DD487=0,DE487=0),DF487/1,IF(AND(DD487=0,DF487=0),DE487/1,IF(AND(DE487=0,DF487=0),DD487/1,IF(DD487=0,FLOOR((DE487+DF487)/2,0.1),IF(DE487=0,(DD487+DF487)/2,IF(DF487=0,(DE487+DD487)/2,FLOOR(((DD487+DE487+DF487)/3),0.1))))))))</f>
        <v/>
      </c>
      <c r="DH487" s="34">
        <f>SUM(O487,U487,AA487,AG487,AM487,AS487,AY487,BE487,BK487,BQ487,BW487,CC487,CI487,CO487,CU487,DA487,DG487)</f>
        <v/>
      </c>
      <c r="DI487" s="39">
        <f>RANK(DH487,DH$4:DH$503)</f>
        <v/>
      </c>
      <c r="DJ487" s="40" t="inlineStr">
        <is>
          <t>CHOOSE RATING</t>
        </is>
      </c>
      <c r="DK487" s="40" t="inlineStr">
        <is>
          <t>CHOOSE RATING</t>
        </is>
      </c>
      <c r="DL487" s="40" t="inlineStr">
        <is>
          <t>CHOOSE RATING</t>
        </is>
      </c>
      <c r="DM487" s="40" t="inlineStr">
        <is>
          <t>CHOOSE RATING</t>
        </is>
      </c>
      <c r="DN487" s="40" t="inlineStr">
        <is>
          <t>CHOOSE RATING</t>
        </is>
      </c>
      <c r="DO487" s="40" t="inlineStr">
        <is>
          <t>CHOOSE RATING</t>
        </is>
      </c>
      <c r="DP487" s="40" t="inlineStr">
        <is>
          <t>CHOOSE RATING</t>
        </is>
      </c>
      <c r="DQ487" s="40" t="inlineStr">
        <is>
          <t>CHOOSE RATING</t>
        </is>
      </c>
      <c r="DR487" s="43" t="inlineStr">
        <is>
          <t>2024/2025</t>
        </is>
      </c>
      <c r="DS487" s="45" t="inlineStr">
        <is>
          <t>THIRD</t>
        </is>
      </c>
      <c r="DT487" s="40" t="inlineStr">
        <is>
          <t>CHOOSE RATING</t>
        </is>
      </c>
      <c r="DU487" s="40" t="inlineStr">
        <is>
          <t>CHOOSE RATING</t>
        </is>
      </c>
      <c r="DV487" s="40" t="inlineStr">
        <is>
          <t>CHOOSE RATING</t>
        </is>
      </c>
      <c r="DW487" s="40" t="inlineStr">
        <is>
          <t>CHOOSE RATING</t>
        </is>
      </c>
      <c r="DX487" s="40" t="inlineStr">
        <is>
          <t>CHOOSE RATING</t>
        </is>
      </c>
      <c r="DY487" s="40" t="inlineStr">
        <is>
          <t>CHOOSE RATING</t>
        </is>
      </c>
      <c r="DZ487" s="53" t="inlineStr">
        <is>
          <t>CHOOSE RATING</t>
        </is>
      </c>
      <c r="EA487" s="54" t="inlineStr">
        <is>
          <t>Add the Tutor's Comment . . .</t>
        </is>
      </c>
      <c r="EB487" s="55" t="inlineStr">
        <is>
          <t>Choose Principals comment</t>
        </is>
      </c>
      <c r="EC487" s="56" t="n"/>
      <c r="ED487" s="57" t="inlineStr">
        <is>
          <t>Next Term Begins on Monday, 22nd September, 2025</t>
        </is>
      </c>
    </row>
    <row r="488" ht="30.6" customHeight="1" s="6">
      <c r="A488" s="18" t="n">
        <v>485</v>
      </c>
      <c r="B488" s="19" t="n"/>
      <c r="C488" s="20" t="n"/>
      <c r="D488" s="128" t="n"/>
      <c r="E488" s="21" t="n"/>
      <c r="F488" s="22" t="n"/>
      <c r="G488" s="22" t="n"/>
      <c r="H488" s="22" t="n"/>
      <c r="I488" s="26">
        <f>G488-H488</f>
        <v/>
      </c>
      <c r="J488" s="21" t="n"/>
      <c r="K488" s="21" t="n"/>
      <c r="L488" s="27">
        <f>SUM(J488:K488)</f>
        <v/>
      </c>
      <c r="M488" s="28" t="n"/>
      <c r="N488" s="28" t="n"/>
      <c r="O488" s="29">
        <f>IF(AND(L488=0,M488=0,N488=0),0,IF(AND(L488=0,M488=0),N488/1,IF(AND(L488=0,N488=0),M488/1,IF(AND(M488=0,N488=0),L488/1,IF(L488=0,FLOOR((M488+N488)/2,0.1),IF(M488=0,(L488+N488)/2,IF(N488=0,(M488+L488)/2,FLOOR(((L488+M488+N488)/3),0.1))))))))</f>
        <v/>
      </c>
      <c r="P488" s="21" t="n"/>
      <c r="Q488" s="21" t="n"/>
      <c r="R488" s="27">
        <f>SUM(P488:Q488)</f>
        <v/>
      </c>
      <c r="S488" s="28" t="n"/>
      <c r="T488" s="28" t="n"/>
      <c r="U488" s="29">
        <f>IF(AND(R488=0,S488=0,T488=0),0,IF(AND(R488=0,S488=0),T488/1,IF(AND(R488=0,T488=0),S488/1,IF(AND(S488=0,T488=0),R488/1,IF(R488=0,FLOOR((S488+T488)/2,0.1),IF(S488=0,(R488+T488)/2,IF(T488=0,(S488+R488)/2,FLOOR(((R488+S488+T488)/3),0.1))))))))</f>
        <v/>
      </c>
      <c r="V488" s="21" t="n"/>
      <c r="W488" s="21" t="n"/>
      <c r="X488" s="27">
        <f>SUM(V488:W488)</f>
        <v/>
      </c>
      <c r="Y488" s="28" t="n"/>
      <c r="Z488" s="28" t="n"/>
      <c r="AA488" s="29">
        <f>IF(AND(X488=0,Y488=0,Z488=0),0,IF(AND(X488=0,Y488=0),Z488/1,IF(AND(X488=0,Z488=0),Y488/1,IF(AND(Y488=0,Z488=0),X488/1,IF(X488=0,FLOOR((Y488+Z488)/2,0.1),IF(Y488=0,(X488+Z488)/2,IF(Z488=0,(Y488+X488)/2,FLOOR(((X488+Y488+Z488)/3),0.1))))))))</f>
        <v/>
      </c>
      <c r="AB488" s="21" t="n"/>
      <c r="AC488" s="21" t="n"/>
      <c r="AD488" s="27">
        <f>SUM(AB488:AC488)</f>
        <v/>
      </c>
      <c r="AE488" s="28" t="n"/>
      <c r="AF488" s="28" t="n"/>
      <c r="AG488" s="29">
        <f>IF(AND(AD488=0,AE488=0,AF488=0),0,IF(AND(AD488=0,AE488=0),AF488/1,IF(AND(AD488=0,AF488=0),AE488/1,IF(AND(AE488=0,AF488=0),AD488/1,IF(AD488=0,FLOOR((AE488+AF488)/2,0.1),IF(AE488=0,(AD488+AF488)/2,IF(AF488=0,(AE488+AD488)/2,FLOOR(((AD488+AE488+AF488)/3),0.1))))))))</f>
        <v/>
      </c>
      <c r="AH488" s="21" t="n"/>
      <c r="AI488" s="21" t="n"/>
      <c r="AJ488" s="27">
        <f>SUM(AH488:AI488)</f>
        <v/>
      </c>
      <c r="AK488" s="28" t="n"/>
      <c r="AL488" s="28" t="n"/>
      <c r="AM488" s="29">
        <f>IF(AND(AJ488=0,AK488=0,AL488=0),0,IF(AND(AJ488=0,AK488=0),AL488/1,IF(AND(AJ488=0,AL488=0),AK488/1,IF(AND(AK488=0,AL488=0),AJ488/1,IF(AJ488=0,FLOOR((AK488+AL488)/2,0.1),IF(AK488=0,(AJ488+AL488)/2,IF(AL488=0,(AK488+AJ488)/2,FLOOR(((AJ488+AK488+AL488)/3),0.1))))))))</f>
        <v/>
      </c>
      <c r="AN488" s="21" t="n"/>
      <c r="AO488" s="21" t="n"/>
      <c r="AP488" s="27">
        <f>SUM(AN488:AO488)</f>
        <v/>
      </c>
      <c r="AQ488" s="28" t="n"/>
      <c r="AR488" s="30" t="n"/>
      <c r="AS488" s="29">
        <f>IF(AND(AP488=0,AQ488=0,AR488=0),0,IF(AND(AP488=0,AQ488=0),AR488/1,IF(AND(AP488=0,AR488=0),AQ488/1,IF(AND(AQ488=0,AR488=0),AP488/1,IF(AP488=0,FLOOR((AQ488+AR488)/2,0.1),IF(AQ488=0,(AP488+AR488)/2,IF(AR488=0,(AQ488+AP488)/2,FLOOR(((AP488+AQ488+AR488)/3),0.1))))))))</f>
        <v/>
      </c>
      <c r="AT488" s="21" t="n"/>
      <c r="AU488" s="21" t="n"/>
      <c r="AV488" s="27">
        <f>SUM(AT488:AU488)</f>
        <v/>
      </c>
      <c r="AW488" s="28" t="n"/>
      <c r="AX488" s="30" t="n"/>
      <c r="AY488" s="29">
        <f>IF(AND(AV488=0,AW488=0,AX488=0),0,IF(AND(AV488=0,AW488=0),AX488/1,IF(AND(AV488=0,AX488=0),AW488/1,IF(AND(AW488=0,AX488=0),AV488/1,IF(AV488=0,FLOOR((AW488+AX488)/2,0.1),IF(AW488=0,(AV488+AX488)/2,IF(AX488=0,(AW488+AV488)/2,FLOOR(((AV488+AW488+AX488)/3),0.1))))))))</f>
        <v/>
      </c>
      <c r="AZ488" s="21" t="n"/>
      <c r="BA488" s="21" t="n"/>
      <c r="BB488" s="27">
        <f>SUM(AZ488:BA488)</f>
        <v/>
      </c>
      <c r="BC488" s="28" t="n"/>
      <c r="BD488" s="28" t="n"/>
      <c r="BE488" s="29">
        <f>IF(AND(BB488=0,BC488=0,BD488=0),0,IF(AND(BB488=0,BC488=0),BD488/1,IF(AND(BB488=0,BD488=0),BC488/1,IF(AND(BC488=0,BD488=0),BB488/1,IF(BB488=0,FLOOR((BC488+BD488)/2,0.1),IF(BC488=0,(BB488+BD488)/2,IF(BD488=0,(BC488+BB488)/2,FLOOR(((BB488+BC488+BD488)/3),0.1))))))))</f>
        <v/>
      </c>
      <c r="BF488" s="21" t="n"/>
      <c r="BG488" s="21" t="n"/>
      <c r="BH488" s="27">
        <f>SUM(BF488:BG488)</f>
        <v/>
      </c>
      <c r="BI488" s="28" t="n"/>
      <c r="BJ488" s="28" t="n"/>
      <c r="BK488" s="29">
        <f>IF(AND(BH488=0,BI488=0,BJ488=0),0,IF(AND(BH488=0,BI488=0),BJ488/1,IF(AND(BH488=0,BJ488=0),BI488/1,IF(AND(BI488=0,BJ488=0),BH488/1,IF(BH488=0,FLOOR((BI488+BJ488)/2,0.1),IF(BI488=0,(BH488+BJ488)/2,IF(BJ488=0,(BI488+BH488)/2,FLOOR(((BH488+BI488+BJ488)/3),0.1))))))))</f>
        <v/>
      </c>
      <c r="BL488" s="21" t="n"/>
      <c r="BM488" s="21" t="n"/>
      <c r="BN488" s="27">
        <f>SUM(BL488:BM488)</f>
        <v/>
      </c>
      <c r="BO488" s="28" t="n"/>
      <c r="BP488" s="31" t="n"/>
      <c r="BQ488" s="29">
        <f>IF(AND(BN488=0,BO488=0,BP488=0),0,IF(AND(BN488=0,BO488=0),BP488/1,IF(AND(BN488=0,BP488=0),BO488/1,IF(AND(BO488=0,BP488=0),BN488/1,IF(BN488=0,FLOOR((BO488+BP488)/2,0.1),IF(BO488=0,(BN488+BP488)/2,IF(BP488=0,(BO488+BN488)/2,FLOOR(((BN488+BO488+BP488)/3),0.1))))))))</f>
        <v/>
      </c>
      <c r="BR488" s="21" t="n"/>
      <c r="BS488" s="21" t="n"/>
      <c r="BT488" s="27">
        <f>SUM(BR488:BS488)</f>
        <v/>
      </c>
      <c r="BU488" s="28" t="n"/>
      <c r="BV488" s="31" t="n"/>
      <c r="BW488" s="29">
        <f>IF(AND(BT488=0,BU488=0,BV488=0),0,IF(AND(BT488=0,BU488=0),BV488/1,IF(AND(BT488=0,BV488=0),BU488/1,IF(AND(BU488=0,BV488=0),BT488/1,IF(BT488=0,FLOOR((BU488+BV488)/2,0.1),IF(BU488=0,(BT488+BV488)/2,IF(BV488=0,(BU488+BT488)/2,FLOOR(((BT488+BU488+BV488)/3),0.1))))))))</f>
        <v/>
      </c>
      <c r="BX488" s="21" t="n"/>
      <c r="BY488" s="21" t="n"/>
      <c r="BZ488" s="27">
        <f>SUM(BX488:BY488)</f>
        <v/>
      </c>
      <c r="CA488" s="28" t="n"/>
      <c r="CB488" s="31" t="n"/>
      <c r="CC488" s="29">
        <f>IF(AND(BZ488=0,CA488=0,CB488=0),0,IF(AND(BZ488=0,CA488=0),CB488/1,IF(AND(BZ488=0,CB488=0),CA488/1,IF(AND(CA488=0,CB488=0),BZ488/1,IF(BZ488=0,FLOOR((CA488+CB488)/2,0.1),IF(CA488=0,(BZ488+CB488)/2,IF(CB488=0,(CA488+BZ488)/2,FLOOR(((BZ488+CA488+CB488)/3),0.1))))))))</f>
        <v/>
      </c>
      <c r="CD488" s="21" t="n"/>
      <c r="CE488" s="21" t="n"/>
      <c r="CF488" s="27">
        <f>SUM(CD488:CE488)</f>
        <v/>
      </c>
      <c r="CG488" s="28" t="n"/>
      <c r="CH488" s="31" t="n"/>
      <c r="CI488" s="29">
        <f>IF(AND(CF488=0,CG488=0,CH488=0),0,IF(AND(CF488=0,CG488=0),CH488/1,IF(AND(CF488=0,CH488=0),CG488/1,IF(AND(CG488=0,CH488=0),CF488/1,IF(CF488=0,FLOOR((CG488+CH488)/2,0.1),IF(CG488=0,(CF488+CH488)/2,IF(CH488=0,(CG488+CF488)/2,FLOOR(((CF488+CG488+CH488)/3),0.1))))))))</f>
        <v/>
      </c>
      <c r="CJ488" s="21" t="n"/>
      <c r="CK488" s="21" t="n"/>
      <c r="CL488" s="27">
        <f>SUM(CJ488:CK488)</f>
        <v/>
      </c>
      <c r="CM488" s="28" t="n"/>
      <c r="CN488" s="31" t="n"/>
      <c r="CO488" s="29">
        <f>IF(AND(CL488=0,CM488=0,CN488=0),0,IF(AND(CL488=0,CM488=0),CN488/1,IF(AND(CL488=0,CN488=0),CM488/1,IF(AND(CM488=0,CN488=0),CL488/1,IF(CL488=0,FLOOR((CM488+CN488)/2,0.1),IF(CM488=0,(CL488+CN488)/2,IF(CN488=0,(CM488+CL488)/2,FLOOR(((CL488+CM488+CN488)/3),0.1))))))))</f>
        <v/>
      </c>
      <c r="CP488" s="21" t="n"/>
      <c r="CQ488" s="21" t="n"/>
      <c r="CR488" s="27">
        <f>SUM(CP488:CQ488)</f>
        <v/>
      </c>
      <c r="CS488" s="28" t="n"/>
      <c r="CT488" s="31" t="n"/>
      <c r="CU488" s="29">
        <f>IF(AND(CR488=0,CS488=0,CT488=0),0,IF(AND(CR488=0,CS488=0),CT488/1,IF(AND(CR488=0,CT488=0),CS488/1,IF(AND(CS488=0,CT488=0),CR488/1,IF(CR488=0,FLOOR((CS488+CT488)/2,0.1),IF(CS488=0,(CR488+CT488)/2,IF(CT488=0,(CS488+CR488)/2,FLOOR(((CR488+CS488+CT488)/3),0.1))))))))</f>
        <v/>
      </c>
      <c r="CV488" s="21" t="n"/>
      <c r="CW488" s="21" t="n"/>
      <c r="CX488" s="27">
        <f>SUM(CV488:CW488)</f>
        <v/>
      </c>
      <c r="CY488" s="28" t="n"/>
      <c r="CZ488" s="31" t="n"/>
      <c r="DA488" s="29">
        <f>IF(AND(CX488=0,CY488=0,CZ488=0),0,IF(AND(CX488=0,CY488=0),CZ488/1,IF(AND(CX488=0,CZ488=0),CY488/1,IF(AND(CY488=0,CZ488=0),CX488/1,IF(CX488=0,FLOOR((CY488+CZ488)/2,0.1),IF(CY488=0,(CX488+CZ488)/2,IF(CZ488=0,(CY488+CX488)/2,FLOOR(((CX488+CY488+CZ488)/3),0.1))))))))</f>
        <v/>
      </c>
      <c r="DB488" s="21" t="n"/>
      <c r="DC488" s="21" t="n"/>
      <c r="DD488" s="27">
        <f>SUM(DB488:DC488)</f>
        <v/>
      </c>
      <c r="DE488" s="28" t="n"/>
      <c r="DF488" s="31" t="n"/>
      <c r="DG488" s="29">
        <f>IF(AND(DD488=0,DE488=0,DF488=0),0,IF(AND(DD488=0,DE488=0),DF488/1,IF(AND(DD488=0,DF488=0),DE488/1,IF(AND(DE488=0,DF488=0),DD488/1,IF(DD488=0,FLOOR((DE488+DF488)/2,0.1),IF(DE488=0,(DD488+DF488)/2,IF(DF488=0,(DE488+DD488)/2,FLOOR(((DD488+DE488+DF488)/3),0.1))))))))</f>
        <v/>
      </c>
      <c r="DH488" s="34">
        <f>SUM(O488,U488,AA488,AG488,AM488,AS488,AY488,BE488,BK488,BQ488,BW488,CC488,CI488,CO488,CU488,DA488,DG488)</f>
        <v/>
      </c>
      <c r="DI488" s="39">
        <f>RANK(DH488,DH$4:DH$503)</f>
        <v/>
      </c>
      <c r="DJ488" s="40" t="inlineStr">
        <is>
          <t>CHOOSE RATING</t>
        </is>
      </c>
      <c r="DK488" s="40" t="inlineStr">
        <is>
          <t>CHOOSE RATING</t>
        </is>
      </c>
      <c r="DL488" s="40" t="inlineStr">
        <is>
          <t>CHOOSE RATING</t>
        </is>
      </c>
      <c r="DM488" s="40" t="inlineStr">
        <is>
          <t>CHOOSE RATING</t>
        </is>
      </c>
      <c r="DN488" s="40" t="inlineStr">
        <is>
          <t>CHOOSE RATING</t>
        </is>
      </c>
      <c r="DO488" s="40" t="inlineStr">
        <is>
          <t>CHOOSE RATING</t>
        </is>
      </c>
      <c r="DP488" s="40" t="inlineStr">
        <is>
          <t>CHOOSE RATING</t>
        </is>
      </c>
      <c r="DQ488" s="40" t="inlineStr">
        <is>
          <t>CHOOSE RATING</t>
        </is>
      </c>
      <c r="DR488" s="43" t="inlineStr">
        <is>
          <t>2024/2025</t>
        </is>
      </c>
      <c r="DS488" s="45" t="inlineStr">
        <is>
          <t>THIRD</t>
        </is>
      </c>
      <c r="DT488" s="40" t="inlineStr">
        <is>
          <t>CHOOSE RATING</t>
        </is>
      </c>
      <c r="DU488" s="40" t="inlineStr">
        <is>
          <t>CHOOSE RATING</t>
        </is>
      </c>
      <c r="DV488" s="40" t="inlineStr">
        <is>
          <t>CHOOSE RATING</t>
        </is>
      </c>
      <c r="DW488" s="40" t="inlineStr">
        <is>
          <t>CHOOSE RATING</t>
        </is>
      </c>
      <c r="DX488" s="40" t="inlineStr">
        <is>
          <t>CHOOSE RATING</t>
        </is>
      </c>
      <c r="DY488" s="40" t="inlineStr">
        <is>
          <t>CHOOSE RATING</t>
        </is>
      </c>
      <c r="DZ488" s="53" t="inlineStr">
        <is>
          <t>CHOOSE RATING</t>
        </is>
      </c>
      <c r="EA488" s="54" t="inlineStr">
        <is>
          <t>Add the Tutor's Comment . . .</t>
        </is>
      </c>
      <c r="EB488" s="55" t="inlineStr">
        <is>
          <t>Choose Principals comment</t>
        </is>
      </c>
      <c r="EC488" s="56" t="n"/>
      <c r="ED488" s="57" t="inlineStr">
        <is>
          <t>Next Term Begins on Monday, 22nd September, 2025</t>
        </is>
      </c>
    </row>
    <row r="489" ht="30.6" customHeight="1" s="6">
      <c r="A489" s="18" t="n">
        <v>486</v>
      </c>
      <c r="B489" s="19" t="n"/>
      <c r="C489" s="20" t="n"/>
      <c r="D489" s="128" t="n"/>
      <c r="E489" s="21" t="n"/>
      <c r="F489" s="22" t="n"/>
      <c r="G489" s="22" t="n"/>
      <c r="H489" s="22" t="n"/>
      <c r="I489" s="26">
        <f>G489-H489</f>
        <v/>
      </c>
      <c r="J489" s="21" t="n"/>
      <c r="K489" s="21" t="n"/>
      <c r="L489" s="27">
        <f>SUM(J489:K489)</f>
        <v/>
      </c>
      <c r="M489" s="28" t="n"/>
      <c r="N489" s="28" t="n"/>
      <c r="O489" s="29">
        <f>IF(AND(L489=0,M489=0,N489=0),0,IF(AND(L489=0,M489=0),N489/1,IF(AND(L489=0,N489=0),M489/1,IF(AND(M489=0,N489=0),L489/1,IF(L489=0,FLOOR((M489+N489)/2,0.1),IF(M489=0,(L489+N489)/2,IF(N489=0,(M489+L489)/2,FLOOR(((L489+M489+N489)/3),0.1))))))))</f>
        <v/>
      </c>
      <c r="P489" s="21" t="n"/>
      <c r="Q489" s="21" t="n"/>
      <c r="R489" s="27">
        <f>SUM(P489:Q489)</f>
        <v/>
      </c>
      <c r="S489" s="28" t="n"/>
      <c r="T489" s="28" t="n"/>
      <c r="U489" s="29">
        <f>IF(AND(R489=0,S489=0,T489=0),0,IF(AND(R489=0,S489=0),T489/1,IF(AND(R489=0,T489=0),S489/1,IF(AND(S489=0,T489=0),R489/1,IF(R489=0,FLOOR((S489+T489)/2,0.1),IF(S489=0,(R489+T489)/2,IF(T489=0,(S489+R489)/2,FLOOR(((R489+S489+T489)/3),0.1))))))))</f>
        <v/>
      </c>
      <c r="V489" s="21" t="n"/>
      <c r="W489" s="21" t="n"/>
      <c r="X489" s="27">
        <f>SUM(V489:W489)</f>
        <v/>
      </c>
      <c r="Y489" s="28" t="n"/>
      <c r="Z489" s="28" t="n"/>
      <c r="AA489" s="29">
        <f>IF(AND(X489=0,Y489=0,Z489=0),0,IF(AND(X489=0,Y489=0),Z489/1,IF(AND(X489=0,Z489=0),Y489/1,IF(AND(Y489=0,Z489=0),X489/1,IF(X489=0,FLOOR((Y489+Z489)/2,0.1),IF(Y489=0,(X489+Z489)/2,IF(Z489=0,(Y489+X489)/2,FLOOR(((X489+Y489+Z489)/3),0.1))))))))</f>
        <v/>
      </c>
      <c r="AB489" s="21" t="n"/>
      <c r="AC489" s="21" t="n"/>
      <c r="AD489" s="27">
        <f>SUM(AB489:AC489)</f>
        <v/>
      </c>
      <c r="AE489" s="28" t="n"/>
      <c r="AF489" s="28" t="n"/>
      <c r="AG489" s="29">
        <f>IF(AND(AD489=0,AE489=0,AF489=0),0,IF(AND(AD489=0,AE489=0),AF489/1,IF(AND(AD489=0,AF489=0),AE489/1,IF(AND(AE489=0,AF489=0),AD489/1,IF(AD489=0,FLOOR((AE489+AF489)/2,0.1),IF(AE489=0,(AD489+AF489)/2,IF(AF489=0,(AE489+AD489)/2,FLOOR(((AD489+AE489+AF489)/3),0.1))))))))</f>
        <v/>
      </c>
      <c r="AH489" s="21" t="n"/>
      <c r="AI489" s="21" t="n"/>
      <c r="AJ489" s="27">
        <f>SUM(AH489:AI489)</f>
        <v/>
      </c>
      <c r="AK489" s="28" t="n"/>
      <c r="AL489" s="28" t="n"/>
      <c r="AM489" s="29">
        <f>IF(AND(AJ489=0,AK489=0,AL489=0),0,IF(AND(AJ489=0,AK489=0),AL489/1,IF(AND(AJ489=0,AL489=0),AK489/1,IF(AND(AK489=0,AL489=0),AJ489/1,IF(AJ489=0,FLOOR((AK489+AL489)/2,0.1),IF(AK489=0,(AJ489+AL489)/2,IF(AL489=0,(AK489+AJ489)/2,FLOOR(((AJ489+AK489+AL489)/3),0.1))))))))</f>
        <v/>
      </c>
      <c r="AN489" s="21" t="n"/>
      <c r="AO489" s="21" t="n"/>
      <c r="AP489" s="27">
        <f>SUM(AN489:AO489)</f>
        <v/>
      </c>
      <c r="AQ489" s="28" t="n"/>
      <c r="AR489" s="30" t="n"/>
      <c r="AS489" s="29">
        <f>IF(AND(AP489=0,AQ489=0,AR489=0),0,IF(AND(AP489=0,AQ489=0),AR489/1,IF(AND(AP489=0,AR489=0),AQ489/1,IF(AND(AQ489=0,AR489=0),AP489/1,IF(AP489=0,FLOOR((AQ489+AR489)/2,0.1),IF(AQ489=0,(AP489+AR489)/2,IF(AR489=0,(AQ489+AP489)/2,FLOOR(((AP489+AQ489+AR489)/3),0.1))))))))</f>
        <v/>
      </c>
      <c r="AT489" s="21" t="n"/>
      <c r="AU489" s="21" t="n"/>
      <c r="AV489" s="27">
        <f>SUM(AT489:AU489)</f>
        <v/>
      </c>
      <c r="AW489" s="28" t="n"/>
      <c r="AX489" s="30" t="n"/>
      <c r="AY489" s="29">
        <f>IF(AND(AV489=0,AW489=0,AX489=0),0,IF(AND(AV489=0,AW489=0),AX489/1,IF(AND(AV489=0,AX489=0),AW489/1,IF(AND(AW489=0,AX489=0),AV489/1,IF(AV489=0,FLOOR((AW489+AX489)/2,0.1),IF(AW489=0,(AV489+AX489)/2,IF(AX489=0,(AW489+AV489)/2,FLOOR(((AV489+AW489+AX489)/3),0.1))))))))</f>
        <v/>
      </c>
      <c r="AZ489" s="21" t="n"/>
      <c r="BA489" s="21" t="n"/>
      <c r="BB489" s="27">
        <f>SUM(AZ489:BA489)</f>
        <v/>
      </c>
      <c r="BC489" s="28" t="n"/>
      <c r="BD489" s="28" t="n"/>
      <c r="BE489" s="29">
        <f>IF(AND(BB489=0,BC489=0,BD489=0),0,IF(AND(BB489=0,BC489=0),BD489/1,IF(AND(BB489=0,BD489=0),BC489/1,IF(AND(BC489=0,BD489=0),BB489/1,IF(BB489=0,FLOOR((BC489+BD489)/2,0.1),IF(BC489=0,(BB489+BD489)/2,IF(BD489=0,(BC489+BB489)/2,FLOOR(((BB489+BC489+BD489)/3),0.1))))))))</f>
        <v/>
      </c>
      <c r="BF489" s="21" t="n"/>
      <c r="BG489" s="21" t="n"/>
      <c r="BH489" s="27">
        <f>SUM(BF489:BG489)</f>
        <v/>
      </c>
      <c r="BI489" s="28" t="n"/>
      <c r="BJ489" s="28" t="n"/>
      <c r="BK489" s="29">
        <f>IF(AND(BH489=0,BI489=0,BJ489=0),0,IF(AND(BH489=0,BI489=0),BJ489/1,IF(AND(BH489=0,BJ489=0),BI489/1,IF(AND(BI489=0,BJ489=0),BH489/1,IF(BH489=0,FLOOR((BI489+BJ489)/2,0.1),IF(BI489=0,(BH489+BJ489)/2,IF(BJ489=0,(BI489+BH489)/2,FLOOR(((BH489+BI489+BJ489)/3),0.1))))))))</f>
        <v/>
      </c>
      <c r="BL489" s="21" t="n"/>
      <c r="BM489" s="21" t="n"/>
      <c r="BN489" s="27">
        <f>SUM(BL489:BM489)</f>
        <v/>
      </c>
      <c r="BO489" s="28" t="n"/>
      <c r="BP489" s="31" t="n"/>
      <c r="BQ489" s="29">
        <f>IF(AND(BN489=0,BO489=0,BP489=0),0,IF(AND(BN489=0,BO489=0),BP489/1,IF(AND(BN489=0,BP489=0),BO489/1,IF(AND(BO489=0,BP489=0),BN489/1,IF(BN489=0,FLOOR((BO489+BP489)/2,0.1),IF(BO489=0,(BN489+BP489)/2,IF(BP489=0,(BO489+BN489)/2,FLOOR(((BN489+BO489+BP489)/3),0.1))))))))</f>
        <v/>
      </c>
      <c r="BR489" s="21" t="n"/>
      <c r="BS489" s="21" t="n"/>
      <c r="BT489" s="27">
        <f>SUM(BR489:BS489)</f>
        <v/>
      </c>
      <c r="BU489" s="28" t="n"/>
      <c r="BV489" s="31" t="n"/>
      <c r="BW489" s="29">
        <f>IF(AND(BT489=0,BU489=0,BV489=0),0,IF(AND(BT489=0,BU489=0),BV489/1,IF(AND(BT489=0,BV489=0),BU489/1,IF(AND(BU489=0,BV489=0),BT489/1,IF(BT489=0,FLOOR((BU489+BV489)/2,0.1),IF(BU489=0,(BT489+BV489)/2,IF(BV489=0,(BU489+BT489)/2,FLOOR(((BT489+BU489+BV489)/3),0.1))))))))</f>
        <v/>
      </c>
      <c r="BX489" s="21" t="n"/>
      <c r="BY489" s="21" t="n"/>
      <c r="BZ489" s="27">
        <f>SUM(BX489:BY489)</f>
        <v/>
      </c>
      <c r="CA489" s="28" t="n"/>
      <c r="CB489" s="31" t="n"/>
      <c r="CC489" s="29">
        <f>IF(AND(BZ489=0,CA489=0,CB489=0),0,IF(AND(BZ489=0,CA489=0),CB489/1,IF(AND(BZ489=0,CB489=0),CA489/1,IF(AND(CA489=0,CB489=0),BZ489/1,IF(BZ489=0,FLOOR((CA489+CB489)/2,0.1),IF(CA489=0,(BZ489+CB489)/2,IF(CB489=0,(CA489+BZ489)/2,FLOOR(((BZ489+CA489+CB489)/3),0.1))))))))</f>
        <v/>
      </c>
      <c r="CD489" s="21" t="n"/>
      <c r="CE489" s="21" t="n"/>
      <c r="CF489" s="27">
        <f>SUM(CD489:CE489)</f>
        <v/>
      </c>
      <c r="CG489" s="28" t="n"/>
      <c r="CH489" s="31" t="n"/>
      <c r="CI489" s="29">
        <f>IF(AND(CF489=0,CG489=0,CH489=0),0,IF(AND(CF489=0,CG489=0),CH489/1,IF(AND(CF489=0,CH489=0),CG489/1,IF(AND(CG489=0,CH489=0),CF489/1,IF(CF489=0,FLOOR((CG489+CH489)/2,0.1),IF(CG489=0,(CF489+CH489)/2,IF(CH489=0,(CG489+CF489)/2,FLOOR(((CF489+CG489+CH489)/3),0.1))))))))</f>
        <v/>
      </c>
      <c r="CJ489" s="21" t="n"/>
      <c r="CK489" s="21" t="n"/>
      <c r="CL489" s="27">
        <f>SUM(CJ489:CK489)</f>
        <v/>
      </c>
      <c r="CM489" s="28" t="n"/>
      <c r="CN489" s="31" t="n"/>
      <c r="CO489" s="29">
        <f>IF(AND(CL489=0,CM489=0,CN489=0),0,IF(AND(CL489=0,CM489=0),CN489/1,IF(AND(CL489=0,CN489=0),CM489/1,IF(AND(CM489=0,CN489=0),CL489/1,IF(CL489=0,FLOOR((CM489+CN489)/2,0.1),IF(CM489=0,(CL489+CN489)/2,IF(CN489=0,(CM489+CL489)/2,FLOOR(((CL489+CM489+CN489)/3),0.1))))))))</f>
        <v/>
      </c>
      <c r="CP489" s="21" t="n"/>
      <c r="CQ489" s="21" t="n"/>
      <c r="CR489" s="27">
        <f>SUM(CP489:CQ489)</f>
        <v/>
      </c>
      <c r="CS489" s="28" t="n"/>
      <c r="CT489" s="31" t="n"/>
      <c r="CU489" s="29">
        <f>IF(AND(CR489=0,CS489=0,CT489=0),0,IF(AND(CR489=0,CS489=0),CT489/1,IF(AND(CR489=0,CT489=0),CS489/1,IF(AND(CS489=0,CT489=0),CR489/1,IF(CR489=0,FLOOR((CS489+CT489)/2,0.1),IF(CS489=0,(CR489+CT489)/2,IF(CT489=0,(CS489+CR489)/2,FLOOR(((CR489+CS489+CT489)/3),0.1))))))))</f>
        <v/>
      </c>
      <c r="CV489" s="21" t="n"/>
      <c r="CW489" s="21" t="n"/>
      <c r="CX489" s="27">
        <f>SUM(CV489:CW489)</f>
        <v/>
      </c>
      <c r="CY489" s="28" t="n"/>
      <c r="CZ489" s="31" t="n"/>
      <c r="DA489" s="29">
        <f>IF(AND(CX489=0,CY489=0,CZ489=0),0,IF(AND(CX489=0,CY489=0),CZ489/1,IF(AND(CX489=0,CZ489=0),CY489/1,IF(AND(CY489=0,CZ489=0),CX489/1,IF(CX489=0,FLOOR((CY489+CZ489)/2,0.1),IF(CY489=0,(CX489+CZ489)/2,IF(CZ489=0,(CY489+CX489)/2,FLOOR(((CX489+CY489+CZ489)/3),0.1))))))))</f>
        <v/>
      </c>
      <c r="DB489" s="21" t="n"/>
      <c r="DC489" s="21" t="n"/>
      <c r="DD489" s="27">
        <f>SUM(DB489:DC489)</f>
        <v/>
      </c>
      <c r="DE489" s="28" t="n"/>
      <c r="DF489" s="31" t="n"/>
      <c r="DG489" s="29">
        <f>IF(AND(DD489=0,DE489=0,DF489=0),0,IF(AND(DD489=0,DE489=0),DF489/1,IF(AND(DD489=0,DF489=0),DE489/1,IF(AND(DE489=0,DF489=0),DD489/1,IF(DD489=0,FLOOR((DE489+DF489)/2,0.1),IF(DE489=0,(DD489+DF489)/2,IF(DF489=0,(DE489+DD489)/2,FLOOR(((DD489+DE489+DF489)/3),0.1))))))))</f>
        <v/>
      </c>
      <c r="DH489" s="34">
        <f>SUM(O489,U489,AA489,AG489,AM489,AS489,AY489,BE489,BK489,BQ489,BW489,CC489,CI489,CO489,CU489,DA489,DG489)</f>
        <v/>
      </c>
      <c r="DI489" s="39">
        <f>RANK(DH489,DH$4:DH$503)</f>
        <v/>
      </c>
      <c r="DJ489" s="40" t="inlineStr">
        <is>
          <t>CHOOSE RATING</t>
        </is>
      </c>
      <c r="DK489" s="40" t="inlineStr">
        <is>
          <t>CHOOSE RATING</t>
        </is>
      </c>
      <c r="DL489" s="40" t="inlineStr">
        <is>
          <t>CHOOSE RATING</t>
        </is>
      </c>
      <c r="DM489" s="40" t="inlineStr">
        <is>
          <t>CHOOSE RATING</t>
        </is>
      </c>
      <c r="DN489" s="40" t="inlineStr">
        <is>
          <t>CHOOSE RATING</t>
        </is>
      </c>
      <c r="DO489" s="40" t="inlineStr">
        <is>
          <t>CHOOSE RATING</t>
        </is>
      </c>
      <c r="DP489" s="40" t="inlineStr">
        <is>
          <t>CHOOSE RATING</t>
        </is>
      </c>
      <c r="DQ489" s="40" t="inlineStr">
        <is>
          <t>CHOOSE RATING</t>
        </is>
      </c>
      <c r="DR489" s="43" t="inlineStr">
        <is>
          <t>2024/2025</t>
        </is>
      </c>
      <c r="DS489" s="45" t="inlineStr">
        <is>
          <t>THIRD</t>
        </is>
      </c>
      <c r="DT489" s="40" t="inlineStr">
        <is>
          <t>CHOOSE RATING</t>
        </is>
      </c>
      <c r="DU489" s="40" t="inlineStr">
        <is>
          <t>CHOOSE RATING</t>
        </is>
      </c>
      <c r="DV489" s="40" t="inlineStr">
        <is>
          <t>CHOOSE RATING</t>
        </is>
      </c>
      <c r="DW489" s="40" t="inlineStr">
        <is>
          <t>CHOOSE RATING</t>
        </is>
      </c>
      <c r="DX489" s="40" t="inlineStr">
        <is>
          <t>CHOOSE RATING</t>
        </is>
      </c>
      <c r="DY489" s="40" t="inlineStr">
        <is>
          <t>CHOOSE RATING</t>
        </is>
      </c>
      <c r="DZ489" s="53" t="inlineStr">
        <is>
          <t>CHOOSE RATING</t>
        </is>
      </c>
      <c r="EA489" s="54" t="inlineStr">
        <is>
          <t>Add the Tutor's Comment . . .</t>
        </is>
      </c>
      <c r="EB489" s="55" t="inlineStr">
        <is>
          <t>Choose Principals comment</t>
        </is>
      </c>
      <c r="EC489" s="56" t="n"/>
      <c r="ED489" s="57" t="inlineStr">
        <is>
          <t>Next Term Begins on Monday, 22nd September, 2025</t>
        </is>
      </c>
    </row>
    <row r="490" ht="30.6" customHeight="1" s="6">
      <c r="A490" s="18" t="n">
        <v>487</v>
      </c>
      <c r="B490" s="19" t="n"/>
      <c r="C490" s="20" t="n"/>
      <c r="D490" s="128" t="n"/>
      <c r="E490" s="21" t="n"/>
      <c r="F490" s="22" t="n"/>
      <c r="G490" s="22" t="n"/>
      <c r="H490" s="22" t="n"/>
      <c r="I490" s="26">
        <f>G490-H490</f>
        <v/>
      </c>
      <c r="J490" s="21" t="n"/>
      <c r="K490" s="21" t="n"/>
      <c r="L490" s="27">
        <f>SUM(J490:K490)</f>
        <v/>
      </c>
      <c r="M490" s="28" t="n"/>
      <c r="N490" s="28" t="n"/>
      <c r="O490" s="29">
        <f>IF(AND(L490=0,M490=0,N490=0),0,IF(AND(L490=0,M490=0),N490/1,IF(AND(L490=0,N490=0),M490/1,IF(AND(M490=0,N490=0),L490/1,IF(L490=0,FLOOR((M490+N490)/2,0.1),IF(M490=0,(L490+N490)/2,IF(N490=0,(M490+L490)/2,FLOOR(((L490+M490+N490)/3),0.1))))))))</f>
        <v/>
      </c>
      <c r="P490" s="21" t="n"/>
      <c r="Q490" s="21" t="n"/>
      <c r="R490" s="27">
        <f>SUM(P490:Q490)</f>
        <v/>
      </c>
      <c r="S490" s="28" t="n"/>
      <c r="T490" s="28" t="n"/>
      <c r="U490" s="29">
        <f>IF(AND(R490=0,S490=0,T490=0),0,IF(AND(R490=0,S490=0),T490/1,IF(AND(R490=0,T490=0),S490/1,IF(AND(S490=0,T490=0),R490/1,IF(R490=0,FLOOR((S490+T490)/2,0.1),IF(S490=0,(R490+T490)/2,IF(T490=0,(S490+R490)/2,FLOOR(((R490+S490+T490)/3),0.1))))))))</f>
        <v/>
      </c>
      <c r="V490" s="21" t="n"/>
      <c r="W490" s="21" t="n"/>
      <c r="X490" s="27">
        <f>SUM(V490:W490)</f>
        <v/>
      </c>
      <c r="Y490" s="28" t="n"/>
      <c r="Z490" s="28" t="n"/>
      <c r="AA490" s="29">
        <f>IF(AND(X490=0,Y490=0,Z490=0),0,IF(AND(X490=0,Y490=0),Z490/1,IF(AND(X490=0,Z490=0),Y490/1,IF(AND(Y490=0,Z490=0),X490/1,IF(X490=0,FLOOR((Y490+Z490)/2,0.1),IF(Y490=0,(X490+Z490)/2,IF(Z490=0,(Y490+X490)/2,FLOOR(((X490+Y490+Z490)/3),0.1))))))))</f>
        <v/>
      </c>
      <c r="AB490" s="21" t="n"/>
      <c r="AC490" s="21" t="n"/>
      <c r="AD490" s="27">
        <f>SUM(AB490:AC490)</f>
        <v/>
      </c>
      <c r="AE490" s="28" t="n"/>
      <c r="AF490" s="28" t="n"/>
      <c r="AG490" s="29">
        <f>IF(AND(AD490=0,AE490=0,AF490=0),0,IF(AND(AD490=0,AE490=0),AF490/1,IF(AND(AD490=0,AF490=0),AE490/1,IF(AND(AE490=0,AF490=0),AD490/1,IF(AD490=0,FLOOR((AE490+AF490)/2,0.1),IF(AE490=0,(AD490+AF490)/2,IF(AF490=0,(AE490+AD490)/2,FLOOR(((AD490+AE490+AF490)/3),0.1))))))))</f>
        <v/>
      </c>
      <c r="AH490" s="21" t="n"/>
      <c r="AI490" s="21" t="n"/>
      <c r="AJ490" s="27">
        <f>SUM(AH490:AI490)</f>
        <v/>
      </c>
      <c r="AK490" s="28" t="n"/>
      <c r="AL490" s="28" t="n"/>
      <c r="AM490" s="29">
        <f>IF(AND(AJ490=0,AK490=0,AL490=0),0,IF(AND(AJ490=0,AK490=0),AL490/1,IF(AND(AJ490=0,AL490=0),AK490/1,IF(AND(AK490=0,AL490=0),AJ490/1,IF(AJ490=0,FLOOR((AK490+AL490)/2,0.1),IF(AK490=0,(AJ490+AL490)/2,IF(AL490=0,(AK490+AJ490)/2,FLOOR(((AJ490+AK490+AL490)/3),0.1))))))))</f>
        <v/>
      </c>
      <c r="AN490" s="21" t="n"/>
      <c r="AO490" s="21" t="n"/>
      <c r="AP490" s="27">
        <f>SUM(AN490:AO490)</f>
        <v/>
      </c>
      <c r="AQ490" s="28" t="n"/>
      <c r="AR490" s="30" t="n"/>
      <c r="AS490" s="29">
        <f>IF(AND(AP490=0,AQ490=0,AR490=0),0,IF(AND(AP490=0,AQ490=0),AR490/1,IF(AND(AP490=0,AR490=0),AQ490/1,IF(AND(AQ490=0,AR490=0),AP490/1,IF(AP490=0,FLOOR((AQ490+AR490)/2,0.1),IF(AQ490=0,(AP490+AR490)/2,IF(AR490=0,(AQ490+AP490)/2,FLOOR(((AP490+AQ490+AR490)/3),0.1))))))))</f>
        <v/>
      </c>
      <c r="AT490" s="21" t="n"/>
      <c r="AU490" s="21" t="n"/>
      <c r="AV490" s="27">
        <f>SUM(AT490:AU490)</f>
        <v/>
      </c>
      <c r="AW490" s="28" t="n"/>
      <c r="AX490" s="30" t="n"/>
      <c r="AY490" s="29">
        <f>IF(AND(AV490=0,AW490=0,AX490=0),0,IF(AND(AV490=0,AW490=0),AX490/1,IF(AND(AV490=0,AX490=0),AW490/1,IF(AND(AW490=0,AX490=0),AV490/1,IF(AV490=0,FLOOR((AW490+AX490)/2,0.1),IF(AW490=0,(AV490+AX490)/2,IF(AX490=0,(AW490+AV490)/2,FLOOR(((AV490+AW490+AX490)/3),0.1))))))))</f>
        <v/>
      </c>
      <c r="AZ490" s="21" t="n"/>
      <c r="BA490" s="21" t="n"/>
      <c r="BB490" s="27">
        <f>SUM(AZ490:BA490)</f>
        <v/>
      </c>
      <c r="BC490" s="28" t="n"/>
      <c r="BD490" s="28" t="n"/>
      <c r="BE490" s="29">
        <f>IF(AND(BB490=0,BC490=0,BD490=0),0,IF(AND(BB490=0,BC490=0),BD490/1,IF(AND(BB490=0,BD490=0),BC490/1,IF(AND(BC490=0,BD490=0),BB490/1,IF(BB490=0,FLOOR((BC490+BD490)/2,0.1),IF(BC490=0,(BB490+BD490)/2,IF(BD490=0,(BC490+BB490)/2,FLOOR(((BB490+BC490+BD490)/3),0.1))))))))</f>
        <v/>
      </c>
      <c r="BF490" s="21" t="n"/>
      <c r="BG490" s="21" t="n"/>
      <c r="BH490" s="27">
        <f>SUM(BF490:BG490)</f>
        <v/>
      </c>
      <c r="BI490" s="28" t="n"/>
      <c r="BJ490" s="28" t="n"/>
      <c r="BK490" s="29">
        <f>IF(AND(BH490=0,BI490=0,BJ490=0),0,IF(AND(BH490=0,BI490=0),BJ490/1,IF(AND(BH490=0,BJ490=0),BI490/1,IF(AND(BI490=0,BJ490=0),BH490/1,IF(BH490=0,FLOOR((BI490+BJ490)/2,0.1),IF(BI490=0,(BH490+BJ490)/2,IF(BJ490=0,(BI490+BH490)/2,FLOOR(((BH490+BI490+BJ490)/3),0.1))))))))</f>
        <v/>
      </c>
      <c r="BL490" s="21" t="n"/>
      <c r="BM490" s="21" t="n"/>
      <c r="BN490" s="27">
        <f>SUM(BL490:BM490)</f>
        <v/>
      </c>
      <c r="BO490" s="28" t="n"/>
      <c r="BP490" s="31" t="n"/>
      <c r="BQ490" s="29">
        <f>IF(AND(BN490=0,BO490=0,BP490=0),0,IF(AND(BN490=0,BO490=0),BP490/1,IF(AND(BN490=0,BP490=0),BO490/1,IF(AND(BO490=0,BP490=0),BN490/1,IF(BN490=0,FLOOR((BO490+BP490)/2,0.1),IF(BO490=0,(BN490+BP490)/2,IF(BP490=0,(BO490+BN490)/2,FLOOR(((BN490+BO490+BP490)/3),0.1))))))))</f>
        <v/>
      </c>
      <c r="BR490" s="21" t="n"/>
      <c r="BS490" s="21" t="n"/>
      <c r="BT490" s="27">
        <f>SUM(BR490:BS490)</f>
        <v/>
      </c>
      <c r="BU490" s="28" t="n"/>
      <c r="BV490" s="31" t="n"/>
      <c r="BW490" s="29">
        <f>IF(AND(BT490=0,BU490=0,BV490=0),0,IF(AND(BT490=0,BU490=0),BV490/1,IF(AND(BT490=0,BV490=0),BU490/1,IF(AND(BU490=0,BV490=0),BT490/1,IF(BT490=0,FLOOR((BU490+BV490)/2,0.1),IF(BU490=0,(BT490+BV490)/2,IF(BV490=0,(BU490+BT490)/2,FLOOR(((BT490+BU490+BV490)/3),0.1))))))))</f>
        <v/>
      </c>
      <c r="BX490" s="21" t="n"/>
      <c r="BY490" s="21" t="n"/>
      <c r="BZ490" s="27">
        <f>SUM(BX490:BY490)</f>
        <v/>
      </c>
      <c r="CA490" s="28" t="n"/>
      <c r="CB490" s="31" t="n"/>
      <c r="CC490" s="29">
        <f>IF(AND(BZ490=0,CA490=0,CB490=0),0,IF(AND(BZ490=0,CA490=0),CB490/1,IF(AND(BZ490=0,CB490=0),CA490/1,IF(AND(CA490=0,CB490=0),BZ490/1,IF(BZ490=0,FLOOR((CA490+CB490)/2,0.1),IF(CA490=0,(BZ490+CB490)/2,IF(CB490=0,(CA490+BZ490)/2,FLOOR(((BZ490+CA490+CB490)/3),0.1))))))))</f>
        <v/>
      </c>
      <c r="CD490" s="21" t="n"/>
      <c r="CE490" s="21" t="n"/>
      <c r="CF490" s="27">
        <f>SUM(CD490:CE490)</f>
        <v/>
      </c>
      <c r="CG490" s="28" t="n"/>
      <c r="CH490" s="31" t="n"/>
      <c r="CI490" s="29">
        <f>IF(AND(CF490=0,CG490=0,CH490=0),0,IF(AND(CF490=0,CG490=0),CH490/1,IF(AND(CF490=0,CH490=0),CG490/1,IF(AND(CG490=0,CH490=0),CF490/1,IF(CF490=0,FLOOR((CG490+CH490)/2,0.1),IF(CG490=0,(CF490+CH490)/2,IF(CH490=0,(CG490+CF490)/2,FLOOR(((CF490+CG490+CH490)/3),0.1))))))))</f>
        <v/>
      </c>
      <c r="CJ490" s="21" t="n"/>
      <c r="CK490" s="21" t="n"/>
      <c r="CL490" s="27">
        <f>SUM(CJ490:CK490)</f>
        <v/>
      </c>
      <c r="CM490" s="28" t="n"/>
      <c r="CN490" s="31" t="n"/>
      <c r="CO490" s="29">
        <f>IF(AND(CL490=0,CM490=0,CN490=0),0,IF(AND(CL490=0,CM490=0),CN490/1,IF(AND(CL490=0,CN490=0),CM490/1,IF(AND(CM490=0,CN490=0),CL490/1,IF(CL490=0,FLOOR((CM490+CN490)/2,0.1),IF(CM490=0,(CL490+CN490)/2,IF(CN490=0,(CM490+CL490)/2,FLOOR(((CL490+CM490+CN490)/3),0.1))))))))</f>
        <v/>
      </c>
      <c r="CP490" s="21" t="n"/>
      <c r="CQ490" s="21" t="n"/>
      <c r="CR490" s="27">
        <f>SUM(CP490:CQ490)</f>
        <v/>
      </c>
      <c r="CS490" s="28" t="n"/>
      <c r="CT490" s="31" t="n"/>
      <c r="CU490" s="29">
        <f>IF(AND(CR490=0,CS490=0,CT490=0),0,IF(AND(CR490=0,CS490=0),CT490/1,IF(AND(CR490=0,CT490=0),CS490/1,IF(AND(CS490=0,CT490=0),CR490/1,IF(CR490=0,FLOOR((CS490+CT490)/2,0.1),IF(CS490=0,(CR490+CT490)/2,IF(CT490=0,(CS490+CR490)/2,FLOOR(((CR490+CS490+CT490)/3),0.1))))))))</f>
        <v/>
      </c>
      <c r="CV490" s="21" t="n"/>
      <c r="CW490" s="21" t="n"/>
      <c r="CX490" s="27">
        <f>SUM(CV490:CW490)</f>
        <v/>
      </c>
      <c r="CY490" s="28" t="n"/>
      <c r="CZ490" s="31" t="n"/>
      <c r="DA490" s="29">
        <f>IF(AND(CX490=0,CY490=0,CZ490=0),0,IF(AND(CX490=0,CY490=0),CZ490/1,IF(AND(CX490=0,CZ490=0),CY490/1,IF(AND(CY490=0,CZ490=0),CX490/1,IF(CX490=0,FLOOR((CY490+CZ490)/2,0.1),IF(CY490=0,(CX490+CZ490)/2,IF(CZ490=0,(CY490+CX490)/2,FLOOR(((CX490+CY490+CZ490)/3),0.1))))))))</f>
        <v/>
      </c>
      <c r="DB490" s="21" t="n"/>
      <c r="DC490" s="21" t="n"/>
      <c r="DD490" s="27">
        <f>SUM(DB490:DC490)</f>
        <v/>
      </c>
      <c r="DE490" s="28" t="n"/>
      <c r="DF490" s="31" t="n"/>
      <c r="DG490" s="29">
        <f>IF(AND(DD490=0,DE490=0,DF490=0),0,IF(AND(DD490=0,DE490=0),DF490/1,IF(AND(DD490=0,DF490=0),DE490/1,IF(AND(DE490=0,DF490=0),DD490/1,IF(DD490=0,FLOOR((DE490+DF490)/2,0.1),IF(DE490=0,(DD490+DF490)/2,IF(DF490=0,(DE490+DD490)/2,FLOOR(((DD490+DE490+DF490)/3),0.1))))))))</f>
        <v/>
      </c>
      <c r="DH490" s="34">
        <f>SUM(O490,U490,AA490,AG490,AM490,AS490,AY490,BE490,BK490,BQ490,BW490,CC490,CI490,CO490,CU490,DA490,DG490)</f>
        <v/>
      </c>
      <c r="DI490" s="39">
        <f>RANK(DH490,DH$4:DH$503)</f>
        <v/>
      </c>
      <c r="DJ490" s="40" t="inlineStr">
        <is>
          <t>CHOOSE RATING</t>
        </is>
      </c>
      <c r="DK490" s="40" t="inlineStr">
        <is>
          <t>CHOOSE RATING</t>
        </is>
      </c>
      <c r="DL490" s="40" t="inlineStr">
        <is>
          <t>CHOOSE RATING</t>
        </is>
      </c>
      <c r="DM490" s="40" t="inlineStr">
        <is>
          <t>CHOOSE RATING</t>
        </is>
      </c>
      <c r="DN490" s="40" t="inlineStr">
        <is>
          <t>CHOOSE RATING</t>
        </is>
      </c>
      <c r="DO490" s="40" t="inlineStr">
        <is>
          <t>CHOOSE RATING</t>
        </is>
      </c>
      <c r="DP490" s="40" t="inlineStr">
        <is>
          <t>CHOOSE RATING</t>
        </is>
      </c>
      <c r="DQ490" s="40" t="inlineStr">
        <is>
          <t>CHOOSE RATING</t>
        </is>
      </c>
      <c r="DR490" s="43" t="inlineStr">
        <is>
          <t>2024/2025</t>
        </is>
      </c>
      <c r="DS490" s="45" t="inlineStr">
        <is>
          <t>THIRD</t>
        </is>
      </c>
      <c r="DT490" s="40" t="inlineStr">
        <is>
          <t>CHOOSE RATING</t>
        </is>
      </c>
      <c r="DU490" s="40" t="inlineStr">
        <is>
          <t>CHOOSE RATING</t>
        </is>
      </c>
      <c r="DV490" s="40" t="inlineStr">
        <is>
          <t>CHOOSE RATING</t>
        </is>
      </c>
      <c r="DW490" s="40" t="inlineStr">
        <is>
          <t>CHOOSE RATING</t>
        </is>
      </c>
      <c r="DX490" s="40" t="inlineStr">
        <is>
          <t>CHOOSE RATING</t>
        </is>
      </c>
      <c r="DY490" s="40" t="inlineStr">
        <is>
          <t>CHOOSE RATING</t>
        </is>
      </c>
      <c r="DZ490" s="53" t="inlineStr">
        <is>
          <t>CHOOSE RATING</t>
        </is>
      </c>
      <c r="EA490" s="54" t="inlineStr">
        <is>
          <t>Add the Tutor's Comment . . .</t>
        </is>
      </c>
      <c r="EB490" s="55" t="inlineStr">
        <is>
          <t>Choose Principals comment</t>
        </is>
      </c>
      <c r="EC490" s="56" t="n"/>
      <c r="ED490" s="57" t="inlineStr">
        <is>
          <t>Next Term Begins on Monday, 22nd September, 2025</t>
        </is>
      </c>
    </row>
    <row r="491" ht="30.6" customHeight="1" s="6">
      <c r="A491" s="18" t="n">
        <v>488</v>
      </c>
      <c r="B491" s="19" t="n"/>
      <c r="C491" s="20" t="n"/>
      <c r="D491" s="128" t="n"/>
      <c r="E491" s="21" t="n"/>
      <c r="F491" s="22" t="n"/>
      <c r="G491" s="22" t="n"/>
      <c r="H491" s="22" t="n"/>
      <c r="I491" s="26">
        <f>G491-H491</f>
        <v/>
      </c>
      <c r="J491" s="21" t="n"/>
      <c r="K491" s="21" t="n"/>
      <c r="L491" s="27">
        <f>SUM(J491:K491)</f>
        <v/>
      </c>
      <c r="M491" s="28" t="n"/>
      <c r="N491" s="28" t="n"/>
      <c r="O491" s="29">
        <f>IF(AND(L491=0,M491=0,N491=0),0,IF(AND(L491=0,M491=0),N491/1,IF(AND(L491=0,N491=0),M491/1,IF(AND(M491=0,N491=0),L491/1,IF(L491=0,FLOOR((M491+N491)/2,0.1),IF(M491=0,(L491+N491)/2,IF(N491=0,(M491+L491)/2,FLOOR(((L491+M491+N491)/3),0.1))))))))</f>
        <v/>
      </c>
      <c r="P491" s="21" t="n"/>
      <c r="Q491" s="21" t="n"/>
      <c r="R491" s="27">
        <f>SUM(P491:Q491)</f>
        <v/>
      </c>
      <c r="S491" s="28" t="n"/>
      <c r="T491" s="28" t="n"/>
      <c r="U491" s="29">
        <f>IF(AND(R491=0,S491=0,T491=0),0,IF(AND(R491=0,S491=0),T491/1,IF(AND(R491=0,T491=0),S491/1,IF(AND(S491=0,T491=0),R491/1,IF(R491=0,FLOOR((S491+T491)/2,0.1),IF(S491=0,(R491+T491)/2,IF(T491=0,(S491+R491)/2,FLOOR(((R491+S491+T491)/3),0.1))))))))</f>
        <v/>
      </c>
      <c r="V491" s="21" t="n"/>
      <c r="W491" s="21" t="n"/>
      <c r="X491" s="27">
        <f>SUM(V491:W491)</f>
        <v/>
      </c>
      <c r="Y491" s="28" t="n"/>
      <c r="Z491" s="28" t="n"/>
      <c r="AA491" s="29">
        <f>IF(AND(X491=0,Y491=0,Z491=0),0,IF(AND(X491=0,Y491=0),Z491/1,IF(AND(X491=0,Z491=0),Y491/1,IF(AND(Y491=0,Z491=0),X491/1,IF(X491=0,FLOOR((Y491+Z491)/2,0.1),IF(Y491=0,(X491+Z491)/2,IF(Z491=0,(Y491+X491)/2,FLOOR(((X491+Y491+Z491)/3),0.1))))))))</f>
        <v/>
      </c>
      <c r="AB491" s="21" t="n"/>
      <c r="AC491" s="21" t="n"/>
      <c r="AD491" s="27">
        <f>SUM(AB491:AC491)</f>
        <v/>
      </c>
      <c r="AE491" s="28" t="n"/>
      <c r="AF491" s="28" t="n"/>
      <c r="AG491" s="29">
        <f>IF(AND(AD491=0,AE491=0,AF491=0),0,IF(AND(AD491=0,AE491=0),AF491/1,IF(AND(AD491=0,AF491=0),AE491/1,IF(AND(AE491=0,AF491=0),AD491/1,IF(AD491=0,FLOOR((AE491+AF491)/2,0.1),IF(AE491=0,(AD491+AF491)/2,IF(AF491=0,(AE491+AD491)/2,FLOOR(((AD491+AE491+AF491)/3),0.1))))))))</f>
        <v/>
      </c>
      <c r="AH491" s="21" t="n"/>
      <c r="AI491" s="21" t="n"/>
      <c r="AJ491" s="27">
        <f>SUM(AH491:AI491)</f>
        <v/>
      </c>
      <c r="AK491" s="28" t="n"/>
      <c r="AL491" s="28" t="n"/>
      <c r="AM491" s="29">
        <f>IF(AND(AJ491=0,AK491=0,AL491=0),0,IF(AND(AJ491=0,AK491=0),AL491/1,IF(AND(AJ491=0,AL491=0),AK491/1,IF(AND(AK491=0,AL491=0),AJ491/1,IF(AJ491=0,FLOOR((AK491+AL491)/2,0.1),IF(AK491=0,(AJ491+AL491)/2,IF(AL491=0,(AK491+AJ491)/2,FLOOR(((AJ491+AK491+AL491)/3),0.1))))))))</f>
        <v/>
      </c>
      <c r="AN491" s="21" t="n"/>
      <c r="AO491" s="21" t="n"/>
      <c r="AP491" s="27">
        <f>SUM(AN491:AO491)</f>
        <v/>
      </c>
      <c r="AQ491" s="28" t="n"/>
      <c r="AR491" s="30" t="n"/>
      <c r="AS491" s="29">
        <f>IF(AND(AP491=0,AQ491=0,AR491=0),0,IF(AND(AP491=0,AQ491=0),AR491/1,IF(AND(AP491=0,AR491=0),AQ491/1,IF(AND(AQ491=0,AR491=0),AP491/1,IF(AP491=0,FLOOR((AQ491+AR491)/2,0.1),IF(AQ491=0,(AP491+AR491)/2,IF(AR491=0,(AQ491+AP491)/2,FLOOR(((AP491+AQ491+AR491)/3),0.1))))))))</f>
        <v/>
      </c>
      <c r="AT491" s="21" t="n"/>
      <c r="AU491" s="21" t="n"/>
      <c r="AV491" s="27">
        <f>SUM(AT491:AU491)</f>
        <v/>
      </c>
      <c r="AW491" s="28" t="n"/>
      <c r="AX491" s="30" t="n"/>
      <c r="AY491" s="29">
        <f>IF(AND(AV491=0,AW491=0,AX491=0),0,IF(AND(AV491=0,AW491=0),AX491/1,IF(AND(AV491=0,AX491=0),AW491/1,IF(AND(AW491=0,AX491=0),AV491/1,IF(AV491=0,FLOOR((AW491+AX491)/2,0.1),IF(AW491=0,(AV491+AX491)/2,IF(AX491=0,(AW491+AV491)/2,FLOOR(((AV491+AW491+AX491)/3),0.1))))))))</f>
        <v/>
      </c>
      <c r="AZ491" s="21" t="n"/>
      <c r="BA491" s="21" t="n"/>
      <c r="BB491" s="27">
        <f>SUM(AZ491:BA491)</f>
        <v/>
      </c>
      <c r="BC491" s="28" t="n"/>
      <c r="BD491" s="28" t="n"/>
      <c r="BE491" s="29">
        <f>IF(AND(BB491=0,BC491=0,BD491=0),0,IF(AND(BB491=0,BC491=0),BD491/1,IF(AND(BB491=0,BD491=0),BC491/1,IF(AND(BC491=0,BD491=0),BB491/1,IF(BB491=0,FLOOR((BC491+BD491)/2,0.1),IF(BC491=0,(BB491+BD491)/2,IF(BD491=0,(BC491+BB491)/2,FLOOR(((BB491+BC491+BD491)/3),0.1))))))))</f>
        <v/>
      </c>
      <c r="BF491" s="21" t="n"/>
      <c r="BG491" s="21" t="n"/>
      <c r="BH491" s="27">
        <f>SUM(BF491:BG491)</f>
        <v/>
      </c>
      <c r="BI491" s="28" t="n"/>
      <c r="BJ491" s="28" t="n"/>
      <c r="BK491" s="29">
        <f>IF(AND(BH491=0,BI491=0,BJ491=0),0,IF(AND(BH491=0,BI491=0),BJ491/1,IF(AND(BH491=0,BJ491=0),BI491/1,IF(AND(BI491=0,BJ491=0),BH491/1,IF(BH491=0,FLOOR((BI491+BJ491)/2,0.1),IF(BI491=0,(BH491+BJ491)/2,IF(BJ491=0,(BI491+BH491)/2,FLOOR(((BH491+BI491+BJ491)/3),0.1))))))))</f>
        <v/>
      </c>
      <c r="BL491" s="21" t="n"/>
      <c r="BM491" s="21" t="n"/>
      <c r="BN491" s="27">
        <f>SUM(BL491:BM491)</f>
        <v/>
      </c>
      <c r="BO491" s="28" t="n"/>
      <c r="BP491" s="31" t="n"/>
      <c r="BQ491" s="29">
        <f>IF(AND(BN491=0,BO491=0,BP491=0),0,IF(AND(BN491=0,BO491=0),BP491/1,IF(AND(BN491=0,BP491=0),BO491/1,IF(AND(BO491=0,BP491=0),BN491/1,IF(BN491=0,FLOOR((BO491+BP491)/2,0.1),IF(BO491=0,(BN491+BP491)/2,IF(BP491=0,(BO491+BN491)/2,FLOOR(((BN491+BO491+BP491)/3),0.1))))))))</f>
        <v/>
      </c>
      <c r="BR491" s="21" t="n"/>
      <c r="BS491" s="21" t="n"/>
      <c r="BT491" s="27">
        <f>SUM(BR491:BS491)</f>
        <v/>
      </c>
      <c r="BU491" s="28" t="n"/>
      <c r="BV491" s="31" t="n"/>
      <c r="BW491" s="29">
        <f>IF(AND(BT491=0,BU491=0,BV491=0),0,IF(AND(BT491=0,BU491=0),BV491/1,IF(AND(BT491=0,BV491=0),BU491/1,IF(AND(BU491=0,BV491=0),BT491/1,IF(BT491=0,FLOOR((BU491+BV491)/2,0.1),IF(BU491=0,(BT491+BV491)/2,IF(BV491=0,(BU491+BT491)/2,FLOOR(((BT491+BU491+BV491)/3),0.1))))))))</f>
        <v/>
      </c>
      <c r="BX491" s="21" t="n"/>
      <c r="BY491" s="21" t="n"/>
      <c r="BZ491" s="27">
        <f>SUM(BX491:BY491)</f>
        <v/>
      </c>
      <c r="CA491" s="28" t="n"/>
      <c r="CB491" s="31" t="n"/>
      <c r="CC491" s="29">
        <f>IF(AND(BZ491=0,CA491=0,CB491=0),0,IF(AND(BZ491=0,CA491=0),CB491/1,IF(AND(BZ491=0,CB491=0),CA491/1,IF(AND(CA491=0,CB491=0),BZ491/1,IF(BZ491=0,FLOOR((CA491+CB491)/2,0.1),IF(CA491=0,(BZ491+CB491)/2,IF(CB491=0,(CA491+BZ491)/2,FLOOR(((BZ491+CA491+CB491)/3),0.1))))))))</f>
        <v/>
      </c>
      <c r="CD491" s="21" t="n"/>
      <c r="CE491" s="21" t="n"/>
      <c r="CF491" s="27">
        <f>SUM(CD491:CE491)</f>
        <v/>
      </c>
      <c r="CG491" s="28" t="n"/>
      <c r="CH491" s="31" t="n"/>
      <c r="CI491" s="29">
        <f>IF(AND(CF491=0,CG491=0,CH491=0),0,IF(AND(CF491=0,CG491=0),CH491/1,IF(AND(CF491=0,CH491=0),CG491/1,IF(AND(CG491=0,CH491=0),CF491/1,IF(CF491=0,FLOOR((CG491+CH491)/2,0.1),IF(CG491=0,(CF491+CH491)/2,IF(CH491=0,(CG491+CF491)/2,FLOOR(((CF491+CG491+CH491)/3),0.1))))))))</f>
        <v/>
      </c>
      <c r="CJ491" s="21" t="n"/>
      <c r="CK491" s="21" t="n"/>
      <c r="CL491" s="27">
        <f>SUM(CJ491:CK491)</f>
        <v/>
      </c>
      <c r="CM491" s="28" t="n"/>
      <c r="CN491" s="31" t="n"/>
      <c r="CO491" s="29">
        <f>IF(AND(CL491=0,CM491=0,CN491=0),0,IF(AND(CL491=0,CM491=0),CN491/1,IF(AND(CL491=0,CN491=0),CM491/1,IF(AND(CM491=0,CN491=0),CL491/1,IF(CL491=0,FLOOR((CM491+CN491)/2,0.1),IF(CM491=0,(CL491+CN491)/2,IF(CN491=0,(CM491+CL491)/2,FLOOR(((CL491+CM491+CN491)/3),0.1))))))))</f>
        <v/>
      </c>
      <c r="CP491" s="21" t="n"/>
      <c r="CQ491" s="21" t="n"/>
      <c r="CR491" s="27">
        <f>SUM(CP491:CQ491)</f>
        <v/>
      </c>
      <c r="CS491" s="28" t="n"/>
      <c r="CT491" s="31" t="n"/>
      <c r="CU491" s="29">
        <f>IF(AND(CR491=0,CS491=0,CT491=0),0,IF(AND(CR491=0,CS491=0),CT491/1,IF(AND(CR491=0,CT491=0),CS491/1,IF(AND(CS491=0,CT491=0),CR491/1,IF(CR491=0,FLOOR((CS491+CT491)/2,0.1),IF(CS491=0,(CR491+CT491)/2,IF(CT491=0,(CS491+CR491)/2,FLOOR(((CR491+CS491+CT491)/3),0.1))))))))</f>
        <v/>
      </c>
      <c r="CV491" s="21" t="n"/>
      <c r="CW491" s="21" t="n"/>
      <c r="CX491" s="27">
        <f>SUM(CV491:CW491)</f>
        <v/>
      </c>
      <c r="CY491" s="28" t="n"/>
      <c r="CZ491" s="31" t="n"/>
      <c r="DA491" s="29">
        <f>IF(AND(CX491=0,CY491=0,CZ491=0),0,IF(AND(CX491=0,CY491=0),CZ491/1,IF(AND(CX491=0,CZ491=0),CY491/1,IF(AND(CY491=0,CZ491=0),CX491/1,IF(CX491=0,FLOOR((CY491+CZ491)/2,0.1),IF(CY491=0,(CX491+CZ491)/2,IF(CZ491=0,(CY491+CX491)/2,FLOOR(((CX491+CY491+CZ491)/3),0.1))))))))</f>
        <v/>
      </c>
      <c r="DB491" s="21" t="n"/>
      <c r="DC491" s="21" t="n"/>
      <c r="DD491" s="27">
        <f>SUM(DB491:DC491)</f>
        <v/>
      </c>
      <c r="DE491" s="28" t="n"/>
      <c r="DF491" s="31" t="n"/>
      <c r="DG491" s="29">
        <f>IF(AND(DD491=0,DE491=0,DF491=0),0,IF(AND(DD491=0,DE491=0),DF491/1,IF(AND(DD491=0,DF491=0),DE491/1,IF(AND(DE491=0,DF491=0),DD491/1,IF(DD491=0,FLOOR((DE491+DF491)/2,0.1),IF(DE491=0,(DD491+DF491)/2,IF(DF491=0,(DE491+DD491)/2,FLOOR(((DD491+DE491+DF491)/3),0.1))))))))</f>
        <v/>
      </c>
      <c r="DH491" s="34">
        <f>SUM(O491,U491,AA491,AG491,AM491,AS491,AY491,BE491,BK491,BQ491,BW491,CC491,CI491,CO491,CU491,DA491,DG491)</f>
        <v/>
      </c>
      <c r="DI491" s="39">
        <f>RANK(DH491,DH$4:DH$503)</f>
        <v/>
      </c>
      <c r="DJ491" s="40" t="inlineStr">
        <is>
          <t>CHOOSE RATING</t>
        </is>
      </c>
      <c r="DK491" s="40" t="inlineStr">
        <is>
          <t>CHOOSE RATING</t>
        </is>
      </c>
      <c r="DL491" s="40" t="inlineStr">
        <is>
          <t>CHOOSE RATING</t>
        </is>
      </c>
      <c r="DM491" s="40" t="inlineStr">
        <is>
          <t>CHOOSE RATING</t>
        </is>
      </c>
      <c r="DN491" s="40" t="inlineStr">
        <is>
          <t>CHOOSE RATING</t>
        </is>
      </c>
      <c r="DO491" s="40" t="inlineStr">
        <is>
          <t>CHOOSE RATING</t>
        </is>
      </c>
      <c r="DP491" s="40" t="inlineStr">
        <is>
          <t>CHOOSE RATING</t>
        </is>
      </c>
      <c r="DQ491" s="40" t="inlineStr">
        <is>
          <t>CHOOSE RATING</t>
        </is>
      </c>
      <c r="DR491" s="43" t="inlineStr">
        <is>
          <t>2024/2025</t>
        </is>
      </c>
      <c r="DS491" s="45" t="inlineStr">
        <is>
          <t>THIRD</t>
        </is>
      </c>
      <c r="DT491" s="40" t="inlineStr">
        <is>
          <t>CHOOSE RATING</t>
        </is>
      </c>
      <c r="DU491" s="40" t="inlineStr">
        <is>
          <t>CHOOSE RATING</t>
        </is>
      </c>
      <c r="DV491" s="40" t="inlineStr">
        <is>
          <t>CHOOSE RATING</t>
        </is>
      </c>
      <c r="DW491" s="40" t="inlineStr">
        <is>
          <t>CHOOSE RATING</t>
        </is>
      </c>
      <c r="DX491" s="40" t="inlineStr">
        <is>
          <t>CHOOSE RATING</t>
        </is>
      </c>
      <c r="DY491" s="40" t="inlineStr">
        <is>
          <t>CHOOSE RATING</t>
        </is>
      </c>
      <c r="DZ491" s="53" t="inlineStr">
        <is>
          <t>CHOOSE RATING</t>
        </is>
      </c>
      <c r="EA491" s="54" t="inlineStr">
        <is>
          <t>Add the Tutor's Comment . . .</t>
        </is>
      </c>
      <c r="EB491" s="55" t="inlineStr">
        <is>
          <t>Choose Principals comment</t>
        </is>
      </c>
      <c r="EC491" s="56" t="n"/>
      <c r="ED491" s="57" t="inlineStr">
        <is>
          <t>Next Term Begins on Monday, 22nd September, 2025</t>
        </is>
      </c>
    </row>
    <row r="492" ht="30.6" customHeight="1" s="6">
      <c r="A492" s="18" t="n">
        <v>489</v>
      </c>
      <c r="B492" s="19" t="n"/>
      <c r="C492" s="20" t="n"/>
      <c r="D492" s="128" t="n"/>
      <c r="E492" s="21" t="n"/>
      <c r="F492" s="22" t="n"/>
      <c r="G492" s="22" t="n"/>
      <c r="H492" s="22" t="n"/>
      <c r="I492" s="26">
        <f>G492-H492</f>
        <v/>
      </c>
      <c r="J492" s="21" t="n"/>
      <c r="K492" s="21" t="n"/>
      <c r="L492" s="27">
        <f>SUM(J492:K492)</f>
        <v/>
      </c>
      <c r="M492" s="28" t="n"/>
      <c r="N492" s="28" t="n"/>
      <c r="O492" s="29">
        <f>IF(AND(L492=0,M492=0,N492=0),0,IF(AND(L492=0,M492=0),N492/1,IF(AND(L492=0,N492=0),M492/1,IF(AND(M492=0,N492=0),L492/1,IF(L492=0,FLOOR((M492+N492)/2,0.1),IF(M492=0,(L492+N492)/2,IF(N492=0,(M492+L492)/2,FLOOR(((L492+M492+N492)/3),0.1))))))))</f>
        <v/>
      </c>
      <c r="P492" s="21" t="n"/>
      <c r="Q492" s="21" t="n"/>
      <c r="R492" s="27">
        <f>SUM(P492:Q492)</f>
        <v/>
      </c>
      <c r="S492" s="28" t="n"/>
      <c r="T492" s="28" t="n"/>
      <c r="U492" s="29">
        <f>IF(AND(R492=0,S492=0,T492=0),0,IF(AND(R492=0,S492=0),T492/1,IF(AND(R492=0,T492=0),S492/1,IF(AND(S492=0,T492=0),R492/1,IF(R492=0,FLOOR((S492+T492)/2,0.1),IF(S492=0,(R492+T492)/2,IF(T492=0,(S492+R492)/2,FLOOR(((R492+S492+T492)/3),0.1))))))))</f>
        <v/>
      </c>
      <c r="V492" s="21" t="n"/>
      <c r="W492" s="21" t="n"/>
      <c r="X492" s="27">
        <f>SUM(V492:W492)</f>
        <v/>
      </c>
      <c r="Y492" s="28" t="n"/>
      <c r="Z492" s="28" t="n"/>
      <c r="AA492" s="29">
        <f>IF(AND(X492=0,Y492=0,Z492=0),0,IF(AND(X492=0,Y492=0),Z492/1,IF(AND(X492=0,Z492=0),Y492/1,IF(AND(Y492=0,Z492=0),X492/1,IF(X492=0,FLOOR((Y492+Z492)/2,0.1),IF(Y492=0,(X492+Z492)/2,IF(Z492=0,(Y492+X492)/2,FLOOR(((X492+Y492+Z492)/3),0.1))))))))</f>
        <v/>
      </c>
      <c r="AB492" s="21" t="n"/>
      <c r="AC492" s="21" t="n"/>
      <c r="AD492" s="27">
        <f>SUM(AB492:AC492)</f>
        <v/>
      </c>
      <c r="AE492" s="28" t="n"/>
      <c r="AF492" s="28" t="n"/>
      <c r="AG492" s="29">
        <f>IF(AND(AD492=0,AE492=0,AF492=0),0,IF(AND(AD492=0,AE492=0),AF492/1,IF(AND(AD492=0,AF492=0),AE492/1,IF(AND(AE492=0,AF492=0),AD492/1,IF(AD492=0,FLOOR((AE492+AF492)/2,0.1),IF(AE492=0,(AD492+AF492)/2,IF(AF492=0,(AE492+AD492)/2,FLOOR(((AD492+AE492+AF492)/3),0.1))))))))</f>
        <v/>
      </c>
      <c r="AH492" s="21" t="n"/>
      <c r="AI492" s="21" t="n"/>
      <c r="AJ492" s="27">
        <f>SUM(AH492:AI492)</f>
        <v/>
      </c>
      <c r="AK492" s="28" t="n"/>
      <c r="AL492" s="28" t="n"/>
      <c r="AM492" s="29">
        <f>IF(AND(AJ492=0,AK492=0,AL492=0),0,IF(AND(AJ492=0,AK492=0),AL492/1,IF(AND(AJ492=0,AL492=0),AK492/1,IF(AND(AK492=0,AL492=0),AJ492/1,IF(AJ492=0,FLOOR((AK492+AL492)/2,0.1),IF(AK492=0,(AJ492+AL492)/2,IF(AL492=0,(AK492+AJ492)/2,FLOOR(((AJ492+AK492+AL492)/3),0.1))))))))</f>
        <v/>
      </c>
      <c r="AN492" s="21" t="n"/>
      <c r="AO492" s="21" t="n"/>
      <c r="AP492" s="27">
        <f>SUM(AN492:AO492)</f>
        <v/>
      </c>
      <c r="AQ492" s="28" t="n"/>
      <c r="AR492" s="30" t="n"/>
      <c r="AS492" s="29">
        <f>IF(AND(AP492=0,AQ492=0,AR492=0),0,IF(AND(AP492=0,AQ492=0),AR492/1,IF(AND(AP492=0,AR492=0),AQ492/1,IF(AND(AQ492=0,AR492=0),AP492/1,IF(AP492=0,FLOOR((AQ492+AR492)/2,0.1),IF(AQ492=0,(AP492+AR492)/2,IF(AR492=0,(AQ492+AP492)/2,FLOOR(((AP492+AQ492+AR492)/3),0.1))))))))</f>
        <v/>
      </c>
      <c r="AT492" s="21" t="n"/>
      <c r="AU492" s="21" t="n"/>
      <c r="AV492" s="27">
        <f>SUM(AT492:AU492)</f>
        <v/>
      </c>
      <c r="AW492" s="28" t="n"/>
      <c r="AX492" s="30" t="n"/>
      <c r="AY492" s="29">
        <f>IF(AND(AV492=0,AW492=0,AX492=0),0,IF(AND(AV492=0,AW492=0),AX492/1,IF(AND(AV492=0,AX492=0),AW492/1,IF(AND(AW492=0,AX492=0),AV492/1,IF(AV492=0,FLOOR((AW492+AX492)/2,0.1),IF(AW492=0,(AV492+AX492)/2,IF(AX492=0,(AW492+AV492)/2,FLOOR(((AV492+AW492+AX492)/3),0.1))))))))</f>
        <v/>
      </c>
      <c r="AZ492" s="21" t="n"/>
      <c r="BA492" s="21" t="n"/>
      <c r="BB492" s="27">
        <f>SUM(AZ492:BA492)</f>
        <v/>
      </c>
      <c r="BC492" s="28" t="n"/>
      <c r="BD492" s="28" t="n"/>
      <c r="BE492" s="29">
        <f>IF(AND(BB492=0,BC492=0,BD492=0),0,IF(AND(BB492=0,BC492=0),BD492/1,IF(AND(BB492=0,BD492=0),BC492/1,IF(AND(BC492=0,BD492=0),BB492/1,IF(BB492=0,FLOOR((BC492+BD492)/2,0.1),IF(BC492=0,(BB492+BD492)/2,IF(BD492=0,(BC492+BB492)/2,FLOOR(((BB492+BC492+BD492)/3),0.1))))))))</f>
        <v/>
      </c>
      <c r="BF492" s="21" t="n"/>
      <c r="BG492" s="21" t="n"/>
      <c r="BH492" s="27">
        <f>SUM(BF492:BG492)</f>
        <v/>
      </c>
      <c r="BI492" s="28" t="n"/>
      <c r="BJ492" s="28" t="n"/>
      <c r="BK492" s="29">
        <f>IF(AND(BH492=0,BI492=0,BJ492=0),0,IF(AND(BH492=0,BI492=0),BJ492/1,IF(AND(BH492=0,BJ492=0),BI492/1,IF(AND(BI492=0,BJ492=0),BH492/1,IF(BH492=0,FLOOR((BI492+BJ492)/2,0.1),IF(BI492=0,(BH492+BJ492)/2,IF(BJ492=0,(BI492+BH492)/2,FLOOR(((BH492+BI492+BJ492)/3),0.1))))))))</f>
        <v/>
      </c>
      <c r="BL492" s="21" t="n"/>
      <c r="BM492" s="21" t="n"/>
      <c r="BN492" s="27">
        <f>SUM(BL492:BM492)</f>
        <v/>
      </c>
      <c r="BO492" s="28" t="n"/>
      <c r="BP492" s="31" t="n"/>
      <c r="BQ492" s="29">
        <f>IF(AND(BN492=0,BO492=0,BP492=0),0,IF(AND(BN492=0,BO492=0),BP492/1,IF(AND(BN492=0,BP492=0),BO492/1,IF(AND(BO492=0,BP492=0),BN492/1,IF(BN492=0,FLOOR((BO492+BP492)/2,0.1),IF(BO492=0,(BN492+BP492)/2,IF(BP492=0,(BO492+BN492)/2,FLOOR(((BN492+BO492+BP492)/3),0.1))))))))</f>
        <v/>
      </c>
      <c r="BR492" s="21" t="n"/>
      <c r="BS492" s="21" t="n"/>
      <c r="BT492" s="27">
        <f>SUM(BR492:BS492)</f>
        <v/>
      </c>
      <c r="BU492" s="28" t="n"/>
      <c r="BV492" s="31" t="n"/>
      <c r="BW492" s="29">
        <f>IF(AND(BT492=0,BU492=0,BV492=0),0,IF(AND(BT492=0,BU492=0),BV492/1,IF(AND(BT492=0,BV492=0),BU492/1,IF(AND(BU492=0,BV492=0),BT492/1,IF(BT492=0,FLOOR((BU492+BV492)/2,0.1),IF(BU492=0,(BT492+BV492)/2,IF(BV492=0,(BU492+BT492)/2,FLOOR(((BT492+BU492+BV492)/3),0.1))))))))</f>
        <v/>
      </c>
      <c r="BX492" s="21" t="n"/>
      <c r="BY492" s="21" t="n"/>
      <c r="BZ492" s="27">
        <f>SUM(BX492:BY492)</f>
        <v/>
      </c>
      <c r="CA492" s="28" t="n"/>
      <c r="CB492" s="31" t="n"/>
      <c r="CC492" s="29">
        <f>IF(AND(BZ492=0,CA492=0,CB492=0),0,IF(AND(BZ492=0,CA492=0),CB492/1,IF(AND(BZ492=0,CB492=0),CA492/1,IF(AND(CA492=0,CB492=0),BZ492/1,IF(BZ492=0,FLOOR((CA492+CB492)/2,0.1),IF(CA492=0,(BZ492+CB492)/2,IF(CB492=0,(CA492+BZ492)/2,FLOOR(((BZ492+CA492+CB492)/3),0.1))))))))</f>
        <v/>
      </c>
      <c r="CD492" s="21" t="n"/>
      <c r="CE492" s="21" t="n"/>
      <c r="CF492" s="27">
        <f>SUM(CD492:CE492)</f>
        <v/>
      </c>
      <c r="CG492" s="28" t="n"/>
      <c r="CH492" s="31" t="n"/>
      <c r="CI492" s="29">
        <f>IF(AND(CF492=0,CG492=0,CH492=0),0,IF(AND(CF492=0,CG492=0),CH492/1,IF(AND(CF492=0,CH492=0),CG492/1,IF(AND(CG492=0,CH492=0),CF492/1,IF(CF492=0,FLOOR((CG492+CH492)/2,0.1),IF(CG492=0,(CF492+CH492)/2,IF(CH492=0,(CG492+CF492)/2,FLOOR(((CF492+CG492+CH492)/3),0.1))))))))</f>
        <v/>
      </c>
      <c r="CJ492" s="21" t="n"/>
      <c r="CK492" s="21" t="n"/>
      <c r="CL492" s="27">
        <f>SUM(CJ492:CK492)</f>
        <v/>
      </c>
      <c r="CM492" s="28" t="n"/>
      <c r="CN492" s="31" t="n"/>
      <c r="CO492" s="29">
        <f>IF(AND(CL492=0,CM492=0,CN492=0),0,IF(AND(CL492=0,CM492=0),CN492/1,IF(AND(CL492=0,CN492=0),CM492/1,IF(AND(CM492=0,CN492=0),CL492/1,IF(CL492=0,FLOOR((CM492+CN492)/2,0.1),IF(CM492=0,(CL492+CN492)/2,IF(CN492=0,(CM492+CL492)/2,FLOOR(((CL492+CM492+CN492)/3),0.1))))))))</f>
        <v/>
      </c>
      <c r="CP492" s="21" t="n"/>
      <c r="CQ492" s="21" t="n"/>
      <c r="CR492" s="27">
        <f>SUM(CP492:CQ492)</f>
        <v/>
      </c>
      <c r="CS492" s="28" t="n"/>
      <c r="CT492" s="31" t="n"/>
      <c r="CU492" s="29">
        <f>IF(AND(CR492=0,CS492=0,CT492=0),0,IF(AND(CR492=0,CS492=0),CT492/1,IF(AND(CR492=0,CT492=0),CS492/1,IF(AND(CS492=0,CT492=0),CR492/1,IF(CR492=0,FLOOR((CS492+CT492)/2,0.1),IF(CS492=0,(CR492+CT492)/2,IF(CT492=0,(CS492+CR492)/2,FLOOR(((CR492+CS492+CT492)/3),0.1))))))))</f>
        <v/>
      </c>
      <c r="CV492" s="21" t="n"/>
      <c r="CW492" s="21" t="n"/>
      <c r="CX492" s="27">
        <f>SUM(CV492:CW492)</f>
        <v/>
      </c>
      <c r="CY492" s="28" t="n"/>
      <c r="CZ492" s="31" t="n"/>
      <c r="DA492" s="29">
        <f>IF(AND(CX492=0,CY492=0,CZ492=0),0,IF(AND(CX492=0,CY492=0),CZ492/1,IF(AND(CX492=0,CZ492=0),CY492/1,IF(AND(CY492=0,CZ492=0),CX492/1,IF(CX492=0,FLOOR((CY492+CZ492)/2,0.1),IF(CY492=0,(CX492+CZ492)/2,IF(CZ492=0,(CY492+CX492)/2,FLOOR(((CX492+CY492+CZ492)/3),0.1))))))))</f>
        <v/>
      </c>
      <c r="DB492" s="21" t="n"/>
      <c r="DC492" s="21" t="n"/>
      <c r="DD492" s="27">
        <f>SUM(DB492:DC492)</f>
        <v/>
      </c>
      <c r="DE492" s="28" t="n"/>
      <c r="DF492" s="31" t="n"/>
      <c r="DG492" s="29">
        <f>IF(AND(DD492=0,DE492=0,DF492=0),0,IF(AND(DD492=0,DE492=0),DF492/1,IF(AND(DD492=0,DF492=0),DE492/1,IF(AND(DE492=0,DF492=0),DD492/1,IF(DD492=0,FLOOR((DE492+DF492)/2,0.1),IF(DE492=0,(DD492+DF492)/2,IF(DF492=0,(DE492+DD492)/2,FLOOR(((DD492+DE492+DF492)/3),0.1))))))))</f>
        <v/>
      </c>
      <c r="DH492" s="34">
        <f>SUM(O492,U492,AA492,AG492,AM492,AS492,AY492,BE492,BK492,BQ492,BW492,CC492,CI492,CO492,CU492,DA492,DG492)</f>
        <v/>
      </c>
      <c r="DI492" s="39">
        <f>RANK(DH492,DH$4:DH$503)</f>
        <v/>
      </c>
      <c r="DJ492" s="40" t="inlineStr">
        <is>
          <t>CHOOSE RATING</t>
        </is>
      </c>
      <c r="DK492" s="40" t="inlineStr">
        <is>
          <t>CHOOSE RATING</t>
        </is>
      </c>
      <c r="DL492" s="40" t="inlineStr">
        <is>
          <t>CHOOSE RATING</t>
        </is>
      </c>
      <c r="DM492" s="40" t="inlineStr">
        <is>
          <t>CHOOSE RATING</t>
        </is>
      </c>
      <c r="DN492" s="40" t="inlineStr">
        <is>
          <t>CHOOSE RATING</t>
        </is>
      </c>
      <c r="DO492" s="40" t="inlineStr">
        <is>
          <t>CHOOSE RATING</t>
        </is>
      </c>
      <c r="DP492" s="40" t="inlineStr">
        <is>
          <t>CHOOSE RATING</t>
        </is>
      </c>
      <c r="DQ492" s="40" t="inlineStr">
        <is>
          <t>CHOOSE RATING</t>
        </is>
      </c>
      <c r="DR492" s="43" t="inlineStr">
        <is>
          <t>2024/2025</t>
        </is>
      </c>
      <c r="DS492" s="45" t="inlineStr">
        <is>
          <t>THIRD</t>
        </is>
      </c>
      <c r="DT492" s="40" t="inlineStr">
        <is>
          <t>CHOOSE RATING</t>
        </is>
      </c>
      <c r="DU492" s="40" t="inlineStr">
        <is>
          <t>CHOOSE RATING</t>
        </is>
      </c>
      <c r="DV492" s="40" t="inlineStr">
        <is>
          <t>CHOOSE RATING</t>
        </is>
      </c>
      <c r="DW492" s="40" t="inlineStr">
        <is>
          <t>CHOOSE RATING</t>
        </is>
      </c>
      <c r="DX492" s="40" t="inlineStr">
        <is>
          <t>CHOOSE RATING</t>
        </is>
      </c>
      <c r="DY492" s="40" t="inlineStr">
        <is>
          <t>CHOOSE RATING</t>
        </is>
      </c>
      <c r="DZ492" s="53" t="inlineStr">
        <is>
          <t>CHOOSE RATING</t>
        </is>
      </c>
      <c r="EA492" s="54" t="inlineStr">
        <is>
          <t>Add the Tutor's Comment . . .</t>
        </is>
      </c>
      <c r="EB492" s="55" t="inlineStr">
        <is>
          <t>Choose Principals comment</t>
        </is>
      </c>
      <c r="EC492" s="56" t="n"/>
      <c r="ED492" s="57" t="inlineStr">
        <is>
          <t>Next Term Begins on Monday, 22nd September, 2025</t>
        </is>
      </c>
    </row>
    <row r="493" ht="30.6" customHeight="1" s="6">
      <c r="A493" s="18" t="n">
        <v>490</v>
      </c>
      <c r="B493" s="19" t="n"/>
      <c r="C493" s="20" t="n"/>
      <c r="D493" s="128" t="n"/>
      <c r="E493" s="21" t="n"/>
      <c r="F493" s="22" t="n"/>
      <c r="G493" s="22" t="n"/>
      <c r="H493" s="22" t="n"/>
      <c r="I493" s="26">
        <f>G493-H493</f>
        <v/>
      </c>
      <c r="J493" s="21" t="n"/>
      <c r="K493" s="21" t="n"/>
      <c r="L493" s="27">
        <f>SUM(J493:K493)</f>
        <v/>
      </c>
      <c r="M493" s="28" t="n"/>
      <c r="N493" s="28" t="n"/>
      <c r="O493" s="29">
        <f>IF(AND(L493=0,M493=0,N493=0),0,IF(AND(L493=0,M493=0),N493/1,IF(AND(L493=0,N493=0),M493/1,IF(AND(M493=0,N493=0),L493/1,IF(L493=0,FLOOR((M493+N493)/2,0.1),IF(M493=0,(L493+N493)/2,IF(N493=0,(M493+L493)/2,FLOOR(((L493+M493+N493)/3),0.1))))))))</f>
        <v/>
      </c>
      <c r="P493" s="21" t="n"/>
      <c r="Q493" s="21" t="n"/>
      <c r="R493" s="27">
        <f>SUM(P493:Q493)</f>
        <v/>
      </c>
      <c r="S493" s="28" t="n"/>
      <c r="T493" s="28" t="n"/>
      <c r="U493" s="29">
        <f>IF(AND(R493=0,S493=0,T493=0),0,IF(AND(R493=0,S493=0),T493/1,IF(AND(R493=0,T493=0),S493/1,IF(AND(S493=0,T493=0),R493/1,IF(R493=0,FLOOR((S493+T493)/2,0.1),IF(S493=0,(R493+T493)/2,IF(T493=0,(S493+R493)/2,FLOOR(((R493+S493+T493)/3),0.1))))))))</f>
        <v/>
      </c>
      <c r="V493" s="21" t="n"/>
      <c r="W493" s="21" t="n"/>
      <c r="X493" s="27">
        <f>SUM(V493:W493)</f>
        <v/>
      </c>
      <c r="Y493" s="28" t="n"/>
      <c r="Z493" s="28" t="n"/>
      <c r="AA493" s="29">
        <f>IF(AND(X493=0,Y493=0,Z493=0),0,IF(AND(X493=0,Y493=0),Z493/1,IF(AND(X493=0,Z493=0),Y493/1,IF(AND(Y493=0,Z493=0),X493/1,IF(X493=0,FLOOR((Y493+Z493)/2,0.1),IF(Y493=0,(X493+Z493)/2,IF(Z493=0,(Y493+X493)/2,FLOOR(((X493+Y493+Z493)/3),0.1))))))))</f>
        <v/>
      </c>
      <c r="AB493" s="21" t="n"/>
      <c r="AC493" s="21" t="n"/>
      <c r="AD493" s="27">
        <f>SUM(AB493:AC493)</f>
        <v/>
      </c>
      <c r="AE493" s="28" t="n"/>
      <c r="AF493" s="28" t="n"/>
      <c r="AG493" s="29">
        <f>IF(AND(AD493=0,AE493=0,AF493=0),0,IF(AND(AD493=0,AE493=0),AF493/1,IF(AND(AD493=0,AF493=0),AE493/1,IF(AND(AE493=0,AF493=0),AD493/1,IF(AD493=0,FLOOR((AE493+AF493)/2,0.1),IF(AE493=0,(AD493+AF493)/2,IF(AF493=0,(AE493+AD493)/2,FLOOR(((AD493+AE493+AF493)/3),0.1))))))))</f>
        <v/>
      </c>
      <c r="AH493" s="21" t="n"/>
      <c r="AI493" s="21" t="n"/>
      <c r="AJ493" s="27">
        <f>SUM(AH493:AI493)</f>
        <v/>
      </c>
      <c r="AK493" s="28" t="n"/>
      <c r="AL493" s="28" t="n"/>
      <c r="AM493" s="29">
        <f>IF(AND(AJ493=0,AK493=0,AL493=0),0,IF(AND(AJ493=0,AK493=0),AL493/1,IF(AND(AJ493=0,AL493=0),AK493/1,IF(AND(AK493=0,AL493=0),AJ493/1,IF(AJ493=0,FLOOR((AK493+AL493)/2,0.1),IF(AK493=0,(AJ493+AL493)/2,IF(AL493=0,(AK493+AJ493)/2,FLOOR(((AJ493+AK493+AL493)/3),0.1))))))))</f>
        <v/>
      </c>
      <c r="AN493" s="21" t="n"/>
      <c r="AO493" s="21" t="n"/>
      <c r="AP493" s="27">
        <f>SUM(AN493:AO493)</f>
        <v/>
      </c>
      <c r="AQ493" s="28" t="n"/>
      <c r="AR493" s="30" t="n"/>
      <c r="AS493" s="29">
        <f>IF(AND(AP493=0,AQ493=0,AR493=0),0,IF(AND(AP493=0,AQ493=0),AR493/1,IF(AND(AP493=0,AR493=0),AQ493/1,IF(AND(AQ493=0,AR493=0),AP493/1,IF(AP493=0,FLOOR((AQ493+AR493)/2,0.1),IF(AQ493=0,(AP493+AR493)/2,IF(AR493=0,(AQ493+AP493)/2,FLOOR(((AP493+AQ493+AR493)/3),0.1))))))))</f>
        <v/>
      </c>
      <c r="AT493" s="21" t="n"/>
      <c r="AU493" s="21" t="n"/>
      <c r="AV493" s="27">
        <f>SUM(AT493:AU493)</f>
        <v/>
      </c>
      <c r="AW493" s="28" t="n"/>
      <c r="AX493" s="30" t="n"/>
      <c r="AY493" s="29">
        <f>IF(AND(AV493=0,AW493=0,AX493=0),0,IF(AND(AV493=0,AW493=0),AX493/1,IF(AND(AV493=0,AX493=0),AW493/1,IF(AND(AW493=0,AX493=0),AV493/1,IF(AV493=0,FLOOR((AW493+AX493)/2,0.1),IF(AW493=0,(AV493+AX493)/2,IF(AX493=0,(AW493+AV493)/2,FLOOR(((AV493+AW493+AX493)/3),0.1))))))))</f>
        <v/>
      </c>
      <c r="AZ493" s="21" t="n"/>
      <c r="BA493" s="21" t="n"/>
      <c r="BB493" s="27">
        <f>SUM(AZ493:BA493)</f>
        <v/>
      </c>
      <c r="BC493" s="28" t="n"/>
      <c r="BD493" s="28" t="n"/>
      <c r="BE493" s="29">
        <f>IF(AND(BB493=0,BC493=0,BD493=0),0,IF(AND(BB493=0,BC493=0),BD493/1,IF(AND(BB493=0,BD493=0),BC493/1,IF(AND(BC493=0,BD493=0),BB493/1,IF(BB493=0,FLOOR((BC493+BD493)/2,0.1),IF(BC493=0,(BB493+BD493)/2,IF(BD493=0,(BC493+BB493)/2,FLOOR(((BB493+BC493+BD493)/3),0.1))))))))</f>
        <v/>
      </c>
      <c r="BF493" s="21" t="n"/>
      <c r="BG493" s="21" t="n"/>
      <c r="BH493" s="27">
        <f>SUM(BF493:BG493)</f>
        <v/>
      </c>
      <c r="BI493" s="28" t="n"/>
      <c r="BJ493" s="28" t="n"/>
      <c r="BK493" s="29">
        <f>IF(AND(BH493=0,BI493=0,BJ493=0),0,IF(AND(BH493=0,BI493=0),BJ493/1,IF(AND(BH493=0,BJ493=0),BI493/1,IF(AND(BI493=0,BJ493=0),BH493/1,IF(BH493=0,FLOOR((BI493+BJ493)/2,0.1),IF(BI493=0,(BH493+BJ493)/2,IF(BJ493=0,(BI493+BH493)/2,FLOOR(((BH493+BI493+BJ493)/3),0.1))))))))</f>
        <v/>
      </c>
      <c r="BL493" s="21" t="n"/>
      <c r="BM493" s="21" t="n"/>
      <c r="BN493" s="27">
        <f>SUM(BL493:BM493)</f>
        <v/>
      </c>
      <c r="BO493" s="28" t="n"/>
      <c r="BP493" s="31" t="n"/>
      <c r="BQ493" s="29">
        <f>IF(AND(BN493=0,BO493=0,BP493=0),0,IF(AND(BN493=0,BO493=0),BP493/1,IF(AND(BN493=0,BP493=0),BO493/1,IF(AND(BO493=0,BP493=0),BN493/1,IF(BN493=0,FLOOR((BO493+BP493)/2,0.1),IF(BO493=0,(BN493+BP493)/2,IF(BP493=0,(BO493+BN493)/2,FLOOR(((BN493+BO493+BP493)/3),0.1))))))))</f>
        <v/>
      </c>
      <c r="BR493" s="21" t="n"/>
      <c r="BS493" s="21" t="n"/>
      <c r="BT493" s="27">
        <f>SUM(BR493:BS493)</f>
        <v/>
      </c>
      <c r="BU493" s="28" t="n"/>
      <c r="BV493" s="31" t="n"/>
      <c r="BW493" s="29">
        <f>IF(AND(BT493=0,BU493=0,BV493=0),0,IF(AND(BT493=0,BU493=0),BV493/1,IF(AND(BT493=0,BV493=0),BU493/1,IF(AND(BU493=0,BV493=0),BT493/1,IF(BT493=0,FLOOR((BU493+BV493)/2,0.1),IF(BU493=0,(BT493+BV493)/2,IF(BV493=0,(BU493+BT493)/2,FLOOR(((BT493+BU493+BV493)/3),0.1))))))))</f>
        <v/>
      </c>
      <c r="BX493" s="21" t="n"/>
      <c r="BY493" s="21" t="n"/>
      <c r="BZ493" s="27">
        <f>SUM(BX493:BY493)</f>
        <v/>
      </c>
      <c r="CA493" s="28" t="n"/>
      <c r="CB493" s="31" t="n"/>
      <c r="CC493" s="29">
        <f>IF(AND(BZ493=0,CA493=0,CB493=0),0,IF(AND(BZ493=0,CA493=0),CB493/1,IF(AND(BZ493=0,CB493=0),CA493/1,IF(AND(CA493=0,CB493=0),BZ493/1,IF(BZ493=0,FLOOR((CA493+CB493)/2,0.1),IF(CA493=0,(BZ493+CB493)/2,IF(CB493=0,(CA493+BZ493)/2,FLOOR(((BZ493+CA493+CB493)/3),0.1))))))))</f>
        <v/>
      </c>
      <c r="CD493" s="21" t="n"/>
      <c r="CE493" s="21" t="n"/>
      <c r="CF493" s="27">
        <f>SUM(CD493:CE493)</f>
        <v/>
      </c>
      <c r="CG493" s="28" t="n"/>
      <c r="CH493" s="31" t="n"/>
      <c r="CI493" s="29">
        <f>IF(AND(CF493=0,CG493=0,CH493=0),0,IF(AND(CF493=0,CG493=0),CH493/1,IF(AND(CF493=0,CH493=0),CG493/1,IF(AND(CG493=0,CH493=0),CF493/1,IF(CF493=0,FLOOR((CG493+CH493)/2,0.1),IF(CG493=0,(CF493+CH493)/2,IF(CH493=0,(CG493+CF493)/2,FLOOR(((CF493+CG493+CH493)/3),0.1))))))))</f>
        <v/>
      </c>
      <c r="CJ493" s="21" t="n"/>
      <c r="CK493" s="21" t="n"/>
      <c r="CL493" s="27">
        <f>SUM(CJ493:CK493)</f>
        <v/>
      </c>
      <c r="CM493" s="28" t="n"/>
      <c r="CN493" s="31" t="n"/>
      <c r="CO493" s="29">
        <f>IF(AND(CL493=0,CM493=0,CN493=0),0,IF(AND(CL493=0,CM493=0),CN493/1,IF(AND(CL493=0,CN493=0),CM493/1,IF(AND(CM493=0,CN493=0),CL493/1,IF(CL493=0,FLOOR((CM493+CN493)/2,0.1),IF(CM493=0,(CL493+CN493)/2,IF(CN493=0,(CM493+CL493)/2,FLOOR(((CL493+CM493+CN493)/3),0.1))))))))</f>
        <v/>
      </c>
      <c r="CP493" s="21" t="n"/>
      <c r="CQ493" s="21" t="n"/>
      <c r="CR493" s="27">
        <f>SUM(CP493:CQ493)</f>
        <v/>
      </c>
      <c r="CS493" s="28" t="n"/>
      <c r="CT493" s="31" t="n"/>
      <c r="CU493" s="29">
        <f>IF(AND(CR493=0,CS493=0,CT493=0),0,IF(AND(CR493=0,CS493=0),CT493/1,IF(AND(CR493=0,CT493=0),CS493/1,IF(AND(CS493=0,CT493=0),CR493/1,IF(CR493=0,FLOOR((CS493+CT493)/2,0.1),IF(CS493=0,(CR493+CT493)/2,IF(CT493=0,(CS493+CR493)/2,FLOOR(((CR493+CS493+CT493)/3),0.1))))))))</f>
        <v/>
      </c>
      <c r="CV493" s="21" t="n"/>
      <c r="CW493" s="21" t="n"/>
      <c r="CX493" s="27">
        <f>SUM(CV493:CW493)</f>
        <v/>
      </c>
      <c r="CY493" s="28" t="n"/>
      <c r="CZ493" s="31" t="n"/>
      <c r="DA493" s="29">
        <f>IF(AND(CX493=0,CY493=0,CZ493=0),0,IF(AND(CX493=0,CY493=0),CZ493/1,IF(AND(CX493=0,CZ493=0),CY493/1,IF(AND(CY493=0,CZ493=0),CX493/1,IF(CX493=0,FLOOR((CY493+CZ493)/2,0.1),IF(CY493=0,(CX493+CZ493)/2,IF(CZ493=0,(CY493+CX493)/2,FLOOR(((CX493+CY493+CZ493)/3),0.1))))))))</f>
        <v/>
      </c>
      <c r="DB493" s="21" t="n"/>
      <c r="DC493" s="21" t="n"/>
      <c r="DD493" s="27">
        <f>SUM(DB493:DC493)</f>
        <v/>
      </c>
      <c r="DE493" s="28" t="n"/>
      <c r="DF493" s="31" t="n"/>
      <c r="DG493" s="29">
        <f>IF(AND(DD493=0,DE493=0,DF493=0),0,IF(AND(DD493=0,DE493=0),DF493/1,IF(AND(DD493=0,DF493=0),DE493/1,IF(AND(DE493=0,DF493=0),DD493/1,IF(DD493=0,FLOOR((DE493+DF493)/2,0.1),IF(DE493=0,(DD493+DF493)/2,IF(DF493=0,(DE493+DD493)/2,FLOOR(((DD493+DE493+DF493)/3),0.1))))))))</f>
        <v/>
      </c>
      <c r="DH493" s="34">
        <f>SUM(O493,U493,AA493,AG493,AM493,AS493,AY493,BE493,BK493,BQ493,BW493,CC493,CI493,CO493,CU493,DA493,DG493)</f>
        <v/>
      </c>
      <c r="DI493" s="39">
        <f>RANK(DH493,DH$4:DH$503)</f>
        <v/>
      </c>
      <c r="DJ493" s="40" t="inlineStr">
        <is>
          <t>CHOOSE RATING</t>
        </is>
      </c>
      <c r="DK493" s="40" t="inlineStr">
        <is>
          <t>CHOOSE RATING</t>
        </is>
      </c>
      <c r="DL493" s="40" t="inlineStr">
        <is>
          <t>CHOOSE RATING</t>
        </is>
      </c>
      <c r="DM493" s="40" t="inlineStr">
        <is>
          <t>CHOOSE RATING</t>
        </is>
      </c>
      <c r="DN493" s="40" t="inlineStr">
        <is>
          <t>CHOOSE RATING</t>
        </is>
      </c>
      <c r="DO493" s="40" t="inlineStr">
        <is>
          <t>CHOOSE RATING</t>
        </is>
      </c>
      <c r="DP493" s="40" t="inlineStr">
        <is>
          <t>CHOOSE RATING</t>
        </is>
      </c>
      <c r="DQ493" s="40" t="inlineStr">
        <is>
          <t>CHOOSE RATING</t>
        </is>
      </c>
      <c r="DR493" s="43" t="inlineStr">
        <is>
          <t>2024/2025</t>
        </is>
      </c>
      <c r="DS493" s="45" t="inlineStr">
        <is>
          <t>THIRD</t>
        </is>
      </c>
      <c r="DT493" s="40" t="inlineStr">
        <is>
          <t>CHOOSE RATING</t>
        </is>
      </c>
      <c r="DU493" s="40" t="inlineStr">
        <is>
          <t>CHOOSE RATING</t>
        </is>
      </c>
      <c r="DV493" s="40" t="inlineStr">
        <is>
          <t>CHOOSE RATING</t>
        </is>
      </c>
      <c r="DW493" s="40" t="inlineStr">
        <is>
          <t>CHOOSE RATING</t>
        </is>
      </c>
      <c r="DX493" s="40" t="inlineStr">
        <is>
          <t>CHOOSE RATING</t>
        </is>
      </c>
      <c r="DY493" s="40" t="inlineStr">
        <is>
          <t>CHOOSE RATING</t>
        </is>
      </c>
      <c r="DZ493" s="53" t="inlineStr">
        <is>
          <t>CHOOSE RATING</t>
        </is>
      </c>
      <c r="EA493" s="54" t="inlineStr">
        <is>
          <t>Add the Tutor's Comment . . .</t>
        </is>
      </c>
      <c r="EB493" s="55" t="inlineStr">
        <is>
          <t>Choose Principals comment</t>
        </is>
      </c>
      <c r="EC493" s="56" t="n"/>
      <c r="ED493" s="57" t="inlineStr">
        <is>
          <t>Next Term Begins on Monday, 22nd September, 2025</t>
        </is>
      </c>
    </row>
    <row r="494" ht="30.6" customHeight="1" s="6">
      <c r="A494" s="18" t="n">
        <v>491</v>
      </c>
      <c r="B494" s="19" t="n"/>
      <c r="C494" s="20" t="n"/>
      <c r="D494" s="128" t="n"/>
      <c r="E494" s="21" t="n"/>
      <c r="F494" s="22" t="n"/>
      <c r="G494" s="22" t="n"/>
      <c r="H494" s="22" t="n"/>
      <c r="I494" s="26">
        <f>G494-H494</f>
        <v/>
      </c>
      <c r="J494" s="21" t="n"/>
      <c r="K494" s="21" t="n"/>
      <c r="L494" s="27">
        <f>SUM(J494:K494)</f>
        <v/>
      </c>
      <c r="M494" s="28" t="n"/>
      <c r="N494" s="28" t="n"/>
      <c r="O494" s="29">
        <f>IF(AND(L494=0,M494=0,N494=0),0,IF(AND(L494=0,M494=0),N494/1,IF(AND(L494=0,N494=0),M494/1,IF(AND(M494=0,N494=0),L494/1,IF(L494=0,FLOOR((M494+N494)/2,0.1),IF(M494=0,(L494+N494)/2,IF(N494=0,(M494+L494)/2,FLOOR(((L494+M494+N494)/3),0.1))))))))</f>
        <v/>
      </c>
      <c r="P494" s="21" t="n"/>
      <c r="Q494" s="21" t="n"/>
      <c r="R494" s="27">
        <f>SUM(P494:Q494)</f>
        <v/>
      </c>
      <c r="S494" s="28" t="n"/>
      <c r="T494" s="28" t="n"/>
      <c r="U494" s="29">
        <f>IF(AND(R494=0,S494=0,T494=0),0,IF(AND(R494=0,S494=0),T494/1,IF(AND(R494=0,T494=0),S494/1,IF(AND(S494=0,T494=0),R494/1,IF(R494=0,FLOOR((S494+T494)/2,0.1),IF(S494=0,(R494+T494)/2,IF(T494=0,(S494+R494)/2,FLOOR(((R494+S494+T494)/3),0.1))))))))</f>
        <v/>
      </c>
      <c r="V494" s="21" t="n"/>
      <c r="W494" s="21" t="n"/>
      <c r="X494" s="27">
        <f>SUM(V494:W494)</f>
        <v/>
      </c>
      <c r="Y494" s="28" t="n"/>
      <c r="Z494" s="28" t="n"/>
      <c r="AA494" s="29">
        <f>IF(AND(X494=0,Y494=0,Z494=0),0,IF(AND(X494=0,Y494=0),Z494/1,IF(AND(X494=0,Z494=0),Y494/1,IF(AND(Y494=0,Z494=0),X494/1,IF(X494=0,FLOOR((Y494+Z494)/2,0.1),IF(Y494=0,(X494+Z494)/2,IF(Z494=0,(Y494+X494)/2,FLOOR(((X494+Y494+Z494)/3),0.1))))))))</f>
        <v/>
      </c>
      <c r="AB494" s="21" t="n"/>
      <c r="AC494" s="21" t="n"/>
      <c r="AD494" s="27">
        <f>SUM(AB494:AC494)</f>
        <v/>
      </c>
      <c r="AE494" s="28" t="n"/>
      <c r="AF494" s="28" t="n"/>
      <c r="AG494" s="29">
        <f>IF(AND(AD494=0,AE494=0,AF494=0),0,IF(AND(AD494=0,AE494=0),AF494/1,IF(AND(AD494=0,AF494=0),AE494/1,IF(AND(AE494=0,AF494=0),AD494/1,IF(AD494=0,FLOOR((AE494+AF494)/2,0.1),IF(AE494=0,(AD494+AF494)/2,IF(AF494=0,(AE494+AD494)/2,FLOOR(((AD494+AE494+AF494)/3),0.1))))))))</f>
        <v/>
      </c>
      <c r="AH494" s="21" t="n"/>
      <c r="AI494" s="21" t="n"/>
      <c r="AJ494" s="27">
        <f>SUM(AH494:AI494)</f>
        <v/>
      </c>
      <c r="AK494" s="28" t="n"/>
      <c r="AL494" s="28" t="n"/>
      <c r="AM494" s="29">
        <f>IF(AND(AJ494=0,AK494=0,AL494=0),0,IF(AND(AJ494=0,AK494=0),AL494/1,IF(AND(AJ494=0,AL494=0),AK494/1,IF(AND(AK494=0,AL494=0),AJ494/1,IF(AJ494=0,FLOOR((AK494+AL494)/2,0.1),IF(AK494=0,(AJ494+AL494)/2,IF(AL494=0,(AK494+AJ494)/2,FLOOR(((AJ494+AK494+AL494)/3),0.1))))))))</f>
        <v/>
      </c>
      <c r="AN494" s="21" t="n"/>
      <c r="AO494" s="21" t="n"/>
      <c r="AP494" s="27">
        <f>SUM(AN494:AO494)</f>
        <v/>
      </c>
      <c r="AQ494" s="28" t="n"/>
      <c r="AR494" s="30" t="n"/>
      <c r="AS494" s="29">
        <f>IF(AND(AP494=0,AQ494=0,AR494=0),0,IF(AND(AP494=0,AQ494=0),AR494/1,IF(AND(AP494=0,AR494=0),AQ494/1,IF(AND(AQ494=0,AR494=0),AP494/1,IF(AP494=0,FLOOR((AQ494+AR494)/2,0.1),IF(AQ494=0,(AP494+AR494)/2,IF(AR494=0,(AQ494+AP494)/2,FLOOR(((AP494+AQ494+AR494)/3),0.1))))))))</f>
        <v/>
      </c>
      <c r="AT494" s="21" t="n"/>
      <c r="AU494" s="21" t="n"/>
      <c r="AV494" s="27">
        <f>SUM(AT494:AU494)</f>
        <v/>
      </c>
      <c r="AW494" s="28" t="n"/>
      <c r="AX494" s="30" t="n"/>
      <c r="AY494" s="29">
        <f>IF(AND(AV494=0,AW494=0,AX494=0),0,IF(AND(AV494=0,AW494=0),AX494/1,IF(AND(AV494=0,AX494=0),AW494/1,IF(AND(AW494=0,AX494=0),AV494/1,IF(AV494=0,FLOOR((AW494+AX494)/2,0.1),IF(AW494=0,(AV494+AX494)/2,IF(AX494=0,(AW494+AV494)/2,FLOOR(((AV494+AW494+AX494)/3),0.1))))))))</f>
        <v/>
      </c>
      <c r="AZ494" s="21" t="n"/>
      <c r="BA494" s="21" t="n"/>
      <c r="BB494" s="27">
        <f>SUM(AZ494:BA494)</f>
        <v/>
      </c>
      <c r="BC494" s="28" t="n"/>
      <c r="BD494" s="28" t="n"/>
      <c r="BE494" s="29">
        <f>IF(AND(BB494=0,BC494=0,BD494=0),0,IF(AND(BB494=0,BC494=0),BD494/1,IF(AND(BB494=0,BD494=0),BC494/1,IF(AND(BC494=0,BD494=0),BB494/1,IF(BB494=0,FLOOR((BC494+BD494)/2,0.1),IF(BC494=0,(BB494+BD494)/2,IF(BD494=0,(BC494+BB494)/2,FLOOR(((BB494+BC494+BD494)/3),0.1))))))))</f>
        <v/>
      </c>
      <c r="BF494" s="21" t="n"/>
      <c r="BG494" s="21" t="n"/>
      <c r="BH494" s="27">
        <f>SUM(BF494:BG494)</f>
        <v/>
      </c>
      <c r="BI494" s="28" t="n"/>
      <c r="BJ494" s="28" t="n"/>
      <c r="BK494" s="29">
        <f>IF(AND(BH494=0,BI494=0,BJ494=0),0,IF(AND(BH494=0,BI494=0),BJ494/1,IF(AND(BH494=0,BJ494=0),BI494/1,IF(AND(BI494=0,BJ494=0),BH494/1,IF(BH494=0,FLOOR((BI494+BJ494)/2,0.1),IF(BI494=0,(BH494+BJ494)/2,IF(BJ494=0,(BI494+BH494)/2,FLOOR(((BH494+BI494+BJ494)/3),0.1))))))))</f>
        <v/>
      </c>
      <c r="BL494" s="21" t="n"/>
      <c r="BM494" s="21" t="n"/>
      <c r="BN494" s="27">
        <f>SUM(BL494:BM494)</f>
        <v/>
      </c>
      <c r="BO494" s="28" t="n"/>
      <c r="BP494" s="31" t="n"/>
      <c r="BQ494" s="29">
        <f>IF(AND(BN494=0,BO494=0,BP494=0),0,IF(AND(BN494=0,BO494=0),BP494/1,IF(AND(BN494=0,BP494=0),BO494/1,IF(AND(BO494=0,BP494=0),BN494/1,IF(BN494=0,FLOOR((BO494+BP494)/2,0.1),IF(BO494=0,(BN494+BP494)/2,IF(BP494=0,(BO494+BN494)/2,FLOOR(((BN494+BO494+BP494)/3),0.1))))))))</f>
        <v/>
      </c>
      <c r="BR494" s="21" t="n"/>
      <c r="BS494" s="21" t="n"/>
      <c r="BT494" s="27">
        <f>SUM(BR494:BS494)</f>
        <v/>
      </c>
      <c r="BU494" s="28" t="n"/>
      <c r="BV494" s="31" t="n"/>
      <c r="BW494" s="29">
        <f>IF(AND(BT494=0,BU494=0,BV494=0),0,IF(AND(BT494=0,BU494=0),BV494/1,IF(AND(BT494=0,BV494=0),BU494/1,IF(AND(BU494=0,BV494=0),BT494/1,IF(BT494=0,FLOOR((BU494+BV494)/2,0.1),IF(BU494=0,(BT494+BV494)/2,IF(BV494=0,(BU494+BT494)/2,FLOOR(((BT494+BU494+BV494)/3),0.1))))))))</f>
        <v/>
      </c>
      <c r="BX494" s="21" t="n"/>
      <c r="BY494" s="21" t="n"/>
      <c r="BZ494" s="27">
        <f>SUM(BX494:BY494)</f>
        <v/>
      </c>
      <c r="CA494" s="28" t="n"/>
      <c r="CB494" s="31" t="n"/>
      <c r="CC494" s="29">
        <f>IF(AND(BZ494=0,CA494=0,CB494=0),0,IF(AND(BZ494=0,CA494=0),CB494/1,IF(AND(BZ494=0,CB494=0),CA494/1,IF(AND(CA494=0,CB494=0),BZ494/1,IF(BZ494=0,FLOOR((CA494+CB494)/2,0.1),IF(CA494=0,(BZ494+CB494)/2,IF(CB494=0,(CA494+BZ494)/2,FLOOR(((BZ494+CA494+CB494)/3),0.1))))))))</f>
        <v/>
      </c>
      <c r="CD494" s="21" t="n"/>
      <c r="CE494" s="21" t="n"/>
      <c r="CF494" s="27">
        <f>SUM(CD494:CE494)</f>
        <v/>
      </c>
      <c r="CG494" s="28" t="n"/>
      <c r="CH494" s="31" t="n"/>
      <c r="CI494" s="29">
        <f>IF(AND(CF494=0,CG494=0,CH494=0),0,IF(AND(CF494=0,CG494=0),CH494/1,IF(AND(CF494=0,CH494=0),CG494/1,IF(AND(CG494=0,CH494=0),CF494/1,IF(CF494=0,FLOOR((CG494+CH494)/2,0.1),IF(CG494=0,(CF494+CH494)/2,IF(CH494=0,(CG494+CF494)/2,FLOOR(((CF494+CG494+CH494)/3),0.1))))))))</f>
        <v/>
      </c>
      <c r="CJ494" s="21" t="n"/>
      <c r="CK494" s="21" t="n"/>
      <c r="CL494" s="27">
        <f>SUM(CJ494:CK494)</f>
        <v/>
      </c>
      <c r="CM494" s="28" t="n"/>
      <c r="CN494" s="31" t="n"/>
      <c r="CO494" s="29">
        <f>IF(AND(CL494=0,CM494=0,CN494=0),0,IF(AND(CL494=0,CM494=0),CN494/1,IF(AND(CL494=0,CN494=0),CM494/1,IF(AND(CM494=0,CN494=0),CL494/1,IF(CL494=0,FLOOR((CM494+CN494)/2,0.1),IF(CM494=0,(CL494+CN494)/2,IF(CN494=0,(CM494+CL494)/2,FLOOR(((CL494+CM494+CN494)/3),0.1))))))))</f>
        <v/>
      </c>
      <c r="CP494" s="21" t="n"/>
      <c r="CQ494" s="21" t="n"/>
      <c r="CR494" s="27">
        <f>SUM(CP494:CQ494)</f>
        <v/>
      </c>
      <c r="CS494" s="28" t="n"/>
      <c r="CT494" s="31" t="n"/>
      <c r="CU494" s="29">
        <f>IF(AND(CR494=0,CS494=0,CT494=0),0,IF(AND(CR494=0,CS494=0),CT494/1,IF(AND(CR494=0,CT494=0),CS494/1,IF(AND(CS494=0,CT494=0),CR494/1,IF(CR494=0,FLOOR((CS494+CT494)/2,0.1),IF(CS494=0,(CR494+CT494)/2,IF(CT494=0,(CS494+CR494)/2,FLOOR(((CR494+CS494+CT494)/3),0.1))))))))</f>
        <v/>
      </c>
      <c r="CV494" s="21" t="n"/>
      <c r="CW494" s="21" t="n"/>
      <c r="CX494" s="27">
        <f>SUM(CV494:CW494)</f>
        <v/>
      </c>
      <c r="CY494" s="28" t="n"/>
      <c r="CZ494" s="31" t="n"/>
      <c r="DA494" s="29">
        <f>IF(AND(CX494=0,CY494=0,CZ494=0),0,IF(AND(CX494=0,CY494=0),CZ494/1,IF(AND(CX494=0,CZ494=0),CY494/1,IF(AND(CY494=0,CZ494=0),CX494/1,IF(CX494=0,FLOOR((CY494+CZ494)/2,0.1),IF(CY494=0,(CX494+CZ494)/2,IF(CZ494=0,(CY494+CX494)/2,FLOOR(((CX494+CY494+CZ494)/3),0.1))))))))</f>
        <v/>
      </c>
      <c r="DB494" s="21" t="n"/>
      <c r="DC494" s="21" t="n"/>
      <c r="DD494" s="27">
        <f>SUM(DB494:DC494)</f>
        <v/>
      </c>
      <c r="DE494" s="28" t="n"/>
      <c r="DF494" s="31" t="n"/>
      <c r="DG494" s="29">
        <f>IF(AND(DD494=0,DE494=0,DF494=0),0,IF(AND(DD494=0,DE494=0),DF494/1,IF(AND(DD494=0,DF494=0),DE494/1,IF(AND(DE494=0,DF494=0),DD494/1,IF(DD494=0,FLOOR((DE494+DF494)/2,0.1),IF(DE494=0,(DD494+DF494)/2,IF(DF494=0,(DE494+DD494)/2,FLOOR(((DD494+DE494+DF494)/3),0.1))))))))</f>
        <v/>
      </c>
      <c r="DH494" s="34">
        <f>SUM(O494,U494,AA494,AG494,AM494,AS494,AY494,BE494,BK494,BQ494,BW494,CC494,CI494,CO494,CU494,DA494,DG494)</f>
        <v/>
      </c>
      <c r="DI494" s="39">
        <f>RANK(DH494,DH$4:DH$503)</f>
        <v/>
      </c>
      <c r="DJ494" s="40" t="inlineStr">
        <is>
          <t>CHOOSE RATING</t>
        </is>
      </c>
      <c r="DK494" s="40" t="inlineStr">
        <is>
          <t>CHOOSE RATING</t>
        </is>
      </c>
      <c r="DL494" s="40" t="inlineStr">
        <is>
          <t>CHOOSE RATING</t>
        </is>
      </c>
      <c r="DM494" s="40" t="inlineStr">
        <is>
          <t>CHOOSE RATING</t>
        </is>
      </c>
      <c r="DN494" s="40" t="inlineStr">
        <is>
          <t>CHOOSE RATING</t>
        </is>
      </c>
      <c r="DO494" s="40" t="inlineStr">
        <is>
          <t>CHOOSE RATING</t>
        </is>
      </c>
      <c r="DP494" s="40" t="inlineStr">
        <is>
          <t>CHOOSE RATING</t>
        </is>
      </c>
      <c r="DQ494" s="40" t="inlineStr">
        <is>
          <t>CHOOSE RATING</t>
        </is>
      </c>
      <c r="DR494" s="43" t="inlineStr">
        <is>
          <t>2024/2025</t>
        </is>
      </c>
      <c r="DS494" s="45" t="inlineStr">
        <is>
          <t>THIRD</t>
        </is>
      </c>
      <c r="DT494" s="40" t="inlineStr">
        <is>
          <t>CHOOSE RATING</t>
        </is>
      </c>
      <c r="DU494" s="40" t="inlineStr">
        <is>
          <t>CHOOSE RATING</t>
        </is>
      </c>
      <c r="DV494" s="40" t="inlineStr">
        <is>
          <t>CHOOSE RATING</t>
        </is>
      </c>
      <c r="DW494" s="40" t="inlineStr">
        <is>
          <t>CHOOSE RATING</t>
        </is>
      </c>
      <c r="DX494" s="40" t="inlineStr">
        <is>
          <t>CHOOSE RATING</t>
        </is>
      </c>
      <c r="DY494" s="40" t="inlineStr">
        <is>
          <t>CHOOSE RATING</t>
        </is>
      </c>
      <c r="DZ494" s="53" t="inlineStr">
        <is>
          <t>CHOOSE RATING</t>
        </is>
      </c>
      <c r="EA494" s="54" t="inlineStr">
        <is>
          <t>Add the Tutor's Comment . . .</t>
        </is>
      </c>
      <c r="EB494" s="55" t="inlineStr">
        <is>
          <t>Choose Principals comment</t>
        </is>
      </c>
      <c r="EC494" s="56" t="n"/>
      <c r="ED494" s="57" t="inlineStr">
        <is>
          <t>Next Term Begins on Monday, 22nd September, 2025</t>
        </is>
      </c>
    </row>
    <row r="495" ht="30.6" customHeight="1" s="6">
      <c r="A495" s="18" t="n">
        <v>492</v>
      </c>
      <c r="B495" s="19" t="n"/>
      <c r="C495" s="20" t="n"/>
      <c r="D495" s="128" t="n"/>
      <c r="E495" s="21" t="n"/>
      <c r="F495" s="22" t="n"/>
      <c r="G495" s="22" t="n"/>
      <c r="H495" s="22" t="n"/>
      <c r="I495" s="26">
        <f>G495-H495</f>
        <v/>
      </c>
      <c r="J495" s="21" t="n"/>
      <c r="K495" s="21" t="n"/>
      <c r="L495" s="27">
        <f>SUM(J495:K495)</f>
        <v/>
      </c>
      <c r="M495" s="28" t="n"/>
      <c r="N495" s="28" t="n"/>
      <c r="O495" s="29">
        <f>IF(AND(L495=0,M495=0,N495=0),0,IF(AND(L495=0,M495=0),N495/1,IF(AND(L495=0,N495=0),M495/1,IF(AND(M495=0,N495=0),L495/1,IF(L495=0,FLOOR((M495+N495)/2,0.1),IF(M495=0,(L495+N495)/2,IF(N495=0,(M495+L495)/2,FLOOR(((L495+M495+N495)/3),0.1))))))))</f>
        <v/>
      </c>
      <c r="P495" s="21" t="n"/>
      <c r="Q495" s="21" t="n"/>
      <c r="R495" s="27">
        <f>SUM(P495:Q495)</f>
        <v/>
      </c>
      <c r="S495" s="28" t="n"/>
      <c r="T495" s="28" t="n"/>
      <c r="U495" s="29">
        <f>IF(AND(R495=0,S495=0,T495=0),0,IF(AND(R495=0,S495=0),T495/1,IF(AND(R495=0,T495=0),S495/1,IF(AND(S495=0,T495=0),R495/1,IF(R495=0,FLOOR((S495+T495)/2,0.1),IF(S495=0,(R495+T495)/2,IF(T495=0,(S495+R495)/2,FLOOR(((R495+S495+T495)/3),0.1))))))))</f>
        <v/>
      </c>
      <c r="V495" s="21" t="n"/>
      <c r="W495" s="21" t="n"/>
      <c r="X495" s="27">
        <f>SUM(V495:W495)</f>
        <v/>
      </c>
      <c r="Y495" s="28" t="n"/>
      <c r="Z495" s="28" t="n"/>
      <c r="AA495" s="29">
        <f>IF(AND(X495=0,Y495=0,Z495=0),0,IF(AND(X495=0,Y495=0),Z495/1,IF(AND(X495=0,Z495=0),Y495/1,IF(AND(Y495=0,Z495=0),X495/1,IF(X495=0,FLOOR((Y495+Z495)/2,0.1),IF(Y495=0,(X495+Z495)/2,IF(Z495=0,(Y495+X495)/2,FLOOR(((X495+Y495+Z495)/3),0.1))))))))</f>
        <v/>
      </c>
      <c r="AB495" s="21" t="n"/>
      <c r="AC495" s="21" t="n"/>
      <c r="AD495" s="27">
        <f>SUM(AB495:AC495)</f>
        <v/>
      </c>
      <c r="AE495" s="28" t="n"/>
      <c r="AF495" s="28" t="n"/>
      <c r="AG495" s="29">
        <f>IF(AND(AD495=0,AE495=0,AF495=0),0,IF(AND(AD495=0,AE495=0),AF495/1,IF(AND(AD495=0,AF495=0),AE495/1,IF(AND(AE495=0,AF495=0),AD495/1,IF(AD495=0,FLOOR((AE495+AF495)/2,0.1),IF(AE495=0,(AD495+AF495)/2,IF(AF495=0,(AE495+AD495)/2,FLOOR(((AD495+AE495+AF495)/3),0.1))))))))</f>
        <v/>
      </c>
      <c r="AH495" s="21" t="n"/>
      <c r="AI495" s="21" t="n"/>
      <c r="AJ495" s="27">
        <f>SUM(AH495:AI495)</f>
        <v/>
      </c>
      <c r="AK495" s="28" t="n"/>
      <c r="AL495" s="28" t="n"/>
      <c r="AM495" s="29">
        <f>IF(AND(AJ495=0,AK495=0,AL495=0),0,IF(AND(AJ495=0,AK495=0),AL495/1,IF(AND(AJ495=0,AL495=0),AK495/1,IF(AND(AK495=0,AL495=0),AJ495/1,IF(AJ495=0,FLOOR((AK495+AL495)/2,0.1),IF(AK495=0,(AJ495+AL495)/2,IF(AL495=0,(AK495+AJ495)/2,FLOOR(((AJ495+AK495+AL495)/3),0.1))))))))</f>
        <v/>
      </c>
      <c r="AN495" s="21" t="n"/>
      <c r="AO495" s="21" t="n"/>
      <c r="AP495" s="27">
        <f>SUM(AN495:AO495)</f>
        <v/>
      </c>
      <c r="AQ495" s="28" t="n"/>
      <c r="AR495" s="30" t="n"/>
      <c r="AS495" s="29">
        <f>IF(AND(AP495=0,AQ495=0,AR495=0),0,IF(AND(AP495=0,AQ495=0),AR495/1,IF(AND(AP495=0,AR495=0),AQ495/1,IF(AND(AQ495=0,AR495=0),AP495/1,IF(AP495=0,FLOOR((AQ495+AR495)/2,0.1),IF(AQ495=0,(AP495+AR495)/2,IF(AR495=0,(AQ495+AP495)/2,FLOOR(((AP495+AQ495+AR495)/3),0.1))))))))</f>
        <v/>
      </c>
      <c r="AT495" s="21" t="n"/>
      <c r="AU495" s="21" t="n"/>
      <c r="AV495" s="27">
        <f>SUM(AT495:AU495)</f>
        <v/>
      </c>
      <c r="AW495" s="28" t="n"/>
      <c r="AX495" s="30" t="n"/>
      <c r="AY495" s="29">
        <f>IF(AND(AV495=0,AW495=0,AX495=0),0,IF(AND(AV495=0,AW495=0),AX495/1,IF(AND(AV495=0,AX495=0),AW495/1,IF(AND(AW495=0,AX495=0),AV495/1,IF(AV495=0,FLOOR((AW495+AX495)/2,0.1),IF(AW495=0,(AV495+AX495)/2,IF(AX495=0,(AW495+AV495)/2,FLOOR(((AV495+AW495+AX495)/3),0.1))))))))</f>
        <v/>
      </c>
      <c r="AZ495" s="21" t="n"/>
      <c r="BA495" s="21" t="n"/>
      <c r="BB495" s="27">
        <f>SUM(AZ495:BA495)</f>
        <v/>
      </c>
      <c r="BC495" s="28" t="n"/>
      <c r="BD495" s="28" t="n"/>
      <c r="BE495" s="29">
        <f>IF(AND(BB495=0,BC495=0,BD495=0),0,IF(AND(BB495=0,BC495=0),BD495/1,IF(AND(BB495=0,BD495=0),BC495/1,IF(AND(BC495=0,BD495=0),BB495/1,IF(BB495=0,FLOOR((BC495+BD495)/2,0.1),IF(BC495=0,(BB495+BD495)/2,IF(BD495=0,(BC495+BB495)/2,FLOOR(((BB495+BC495+BD495)/3),0.1))))))))</f>
        <v/>
      </c>
      <c r="BF495" s="21" t="n"/>
      <c r="BG495" s="21" t="n"/>
      <c r="BH495" s="27">
        <f>SUM(BF495:BG495)</f>
        <v/>
      </c>
      <c r="BI495" s="28" t="n"/>
      <c r="BJ495" s="28" t="n"/>
      <c r="BK495" s="29">
        <f>IF(AND(BH495=0,BI495=0,BJ495=0),0,IF(AND(BH495=0,BI495=0),BJ495/1,IF(AND(BH495=0,BJ495=0),BI495/1,IF(AND(BI495=0,BJ495=0),BH495/1,IF(BH495=0,FLOOR((BI495+BJ495)/2,0.1),IF(BI495=0,(BH495+BJ495)/2,IF(BJ495=0,(BI495+BH495)/2,FLOOR(((BH495+BI495+BJ495)/3),0.1))))))))</f>
        <v/>
      </c>
      <c r="BL495" s="21" t="n"/>
      <c r="BM495" s="21" t="n"/>
      <c r="BN495" s="27">
        <f>SUM(BL495:BM495)</f>
        <v/>
      </c>
      <c r="BO495" s="28" t="n"/>
      <c r="BP495" s="31" t="n"/>
      <c r="BQ495" s="29">
        <f>IF(AND(BN495=0,BO495=0,BP495=0),0,IF(AND(BN495=0,BO495=0),BP495/1,IF(AND(BN495=0,BP495=0),BO495/1,IF(AND(BO495=0,BP495=0),BN495/1,IF(BN495=0,FLOOR((BO495+BP495)/2,0.1),IF(BO495=0,(BN495+BP495)/2,IF(BP495=0,(BO495+BN495)/2,FLOOR(((BN495+BO495+BP495)/3),0.1))))))))</f>
        <v/>
      </c>
      <c r="BR495" s="21" t="n"/>
      <c r="BS495" s="21" t="n"/>
      <c r="BT495" s="27">
        <f>SUM(BR495:BS495)</f>
        <v/>
      </c>
      <c r="BU495" s="28" t="n"/>
      <c r="BV495" s="31" t="n"/>
      <c r="BW495" s="29">
        <f>IF(AND(BT495=0,BU495=0,BV495=0),0,IF(AND(BT495=0,BU495=0),BV495/1,IF(AND(BT495=0,BV495=0),BU495/1,IF(AND(BU495=0,BV495=0),BT495/1,IF(BT495=0,FLOOR((BU495+BV495)/2,0.1),IF(BU495=0,(BT495+BV495)/2,IF(BV495=0,(BU495+BT495)/2,FLOOR(((BT495+BU495+BV495)/3),0.1))))))))</f>
        <v/>
      </c>
      <c r="BX495" s="21" t="n"/>
      <c r="BY495" s="21" t="n"/>
      <c r="BZ495" s="27">
        <f>SUM(BX495:BY495)</f>
        <v/>
      </c>
      <c r="CA495" s="28" t="n"/>
      <c r="CB495" s="31" t="n"/>
      <c r="CC495" s="29">
        <f>IF(AND(BZ495=0,CA495=0,CB495=0),0,IF(AND(BZ495=0,CA495=0),CB495/1,IF(AND(BZ495=0,CB495=0),CA495/1,IF(AND(CA495=0,CB495=0),BZ495/1,IF(BZ495=0,FLOOR((CA495+CB495)/2,0.1),IF(CA495=0,(BZ495+CB495)/2,IF(CB495=0,(CA495+BZ495)/2,FLOOR(((BZ495+CA495+CB495)/3),0.1))))))))</f>
        <v/>
      </c>
      <c r="CD495" s="21" t="n"/>
      <c r="CE495" s="21" t="n"/>
      <c r="CF495" s="27">
        <f>SUM(CD495:CE495)</f>
        <v/>
      </c>
      <c r="CG495" s="28" t="n"/>
      <c r="CH495" s="31" t="n"/>
      <c r="CI495" s="29">
        <f>IF(AND(CF495=0,CG495=0,CH495=0),0,IF(AND(CF495=0,CG495=0),CH495/1,IF(AND(CF495=0,CH495=0),CG495/1,IF(AND(CG495=0,CH495=0),CF495/1,IF(CF495=0,FLOOR((CG495+CH495)/2,0.1),IF(CG495=0,(CF495+CH495)/2,IF(CH495=0,(CG495+CF495)/2,FLOOR(((CF495+CG495+CH495)/3),0.1))))))))</f>
        <v/>
      </c>
      <c r="CJ495" s="21" t="n"/>
      <c r="CK495" s="21" t="n"/>
      <c r="CL495" s="27">
        <f>SUM(CJ495:CK495)</f>
        <v/>
      </c>
      <c r="CM495" s="28" t="n"/>
      <c r="CN495" s="31" t="n"/>
      <c r="CO495" s="29">
        <f>IF(AND(CL495=0,CM495=0,CN495=0),0,IF(AND(CL495=0,CM495=0),CN495/1,IF(AND(CL495=0,CN495=0),CM495/1,IF(AND(CM495=0,CN495=0),CL495/1,IF(CL495=0,FLOOR((CM495+CN495)/2,0.1),IF(CM495=0,(CL495+CN495)/2,IF(CN495=0,(CM495+CL495)/2,FLOOR(((CL495+CM495+CN495)/3),0.1))))))))</f>
        <v/>
      </c>
      <c r="CP495" s="21" t="n"/>
      <c r="CQ495" s="21" t="n"/>
      <c r="CR495" s="27">
        <f>SUM(CP495:CQ495)</f>
        <v/>
      </c>
      <c r="CS495" s="28" t="n"/>
      <c r="CT495" s="31" t="n"/>
      <c r="CU495" s="29">
        <f>IF(AND(CR495=0,CS495=0,CT495=0),0,IF(AND(CR495=0,CS495=0),CT495/1,IF(AND(CR495=0,CT495=0),CS495/1,IF(AND(CS495=0,CT495=0),CR495/1,IF(CR495=0,FLOOR((CS495+CT495)/2,0.1),IF(CS495=0,(CR495+CT495)/2,IF(CT495=0,(CS495+CR495)/2,FLOOR(((CR495+CS495+CT495)/3),0.1))))))))</f>
        <v/>
      </c>
      <c r="CV495" s="21" t="n"/>
      <c r="CW495" s="21" t="n"/>
      <c r="CX495" s="27">
        <f>SUM(CV495:CW495)</f>
        <v/>
      </c>
      <c r="CY495" s="28" t="n"/>
      <c r="CZ495" s="31" t="n"/>
      <c r="DA495" s="29">
        <f>IF(AND(CX495=0,CY495=0,CZ495=0),0,IF(AND(CX495=0,CY495=0),CZ495/1,IF(AND(CX495=0,CZ495=0),CY495/1,IF(AND(CY495=0,CZ495=0),CX495/1,IF(CX495=0,FLOOR((CY495+CZ495)/2,0.1),IF(CY495=0,(CX495+CZ495)/2,IF(CZ495=0,(CY495+CX495)/2,FLOOR(((CX495+CY495+CZ495)/3),0.1))))))))</f>
        <v/>
      </c>
      <c r="DB495" s="21" t="n"/>
      <c r="DC495" s="21" t="n"/>
      <c r="DD495" s="27">
        <f>SUM(DB495:DC495)</f>
        <v/>
      </c>
      <c r="DE495" s="28" t="n"/>
      <c r="DF495" s="31" t="n"/>
      <c r="DG495" s="29">
        <f>IF(AND(DD495=0,DE495=0,DF495=0),0,IF(AND(DD495=0,DE495=0),DF495/1,IF(AND(DD495=0,DF495=0),DE495/1,IF(AND(DE495=0,DF495=0),DD495/1,IF(DD495=0,FLOOR((DE495+DF495)/2,0.1),IF(DE495=0,(DD495+DF495)/2,IF(DF495=0,(DE495+DD495)/2,FLOOR(((DD495+DE495+DF495)/3),0.1))))))))</f>
        <v/>
      </c>
      <c r="DH495" s="34">
        <f>SUM(O495,U495,AA495,AG495,AM495,AS495,AY495,BE495,BK495,BQ495,BW495,CC495,CI495,CO495,CU495,DA495,DG495)</f>
        <v/>
      </c>
      <c r="DI495" s="39">
        <f>RANK(DH495,DH$4:DH$503)</f>
        <v/>
      </c>
      <c r="DJ495" s="40" t="inlineStr">
        <is>
          <t>CHOOSE RATING</t>
        </is>
      </c>
      <c r="DK495" s="40" t="inlineStr">
        <is>
          <t>CHOOSE RATING</t>
        </is>
      </c>
      <c r="DL495" s="40" t="inlineStr">
        <is>
          <t>CHOOSE RATING</t>
        </is>
      </c>
      <c r="DM495" s="40" t="inlineStr">
        <is>
          <t>CHOOSE RATING</t>
        </is>
      </c>
      <c r="DN495" s="40" t="inlineStr">
        <is>
          <t>CHOOSE RATING</t>
        </is>
      </c>
      <c r="DO495" s="40" t="inlineStr">
        <is>
          <t>CHOOSE RATING</t>
        </is>
      </c>
      <c r="DP495" s="40" t="inlineStr">
        <is>
          <t>CHOOSE RATING</t>
        </is>
      </c>
      <c r="DQ495" s="40" t="inlineStr">
        <is>
          <t>CHOOSE RATING</t>
        </is>
      </c>
      <c r="DR495" s="43" t="inlineStr">
        <is>
          <t>2024/2025</t>
        </is>
      </c>
      <c r="DS495" s="45" t="inlineStr">
        <is>
          <t>THIRD</t>
        </is>
      </c>
      <c r="DT495" s="40" t="inlineStr">
        <is>
          <t>CHOOSE RATING</t>
        </is>
      </c>
      <c r="DU495" s="40" t="inlineStr">
        <is>
          <t>CHOOSE RATING</t>
        </is>
      </c>
      <c r="DV495" s="40" t="inlineStr">
        <is>
          <t>CHOOSE RATING</t>
        </is>
      </c>
      <c r="DW495" s="40" t="inlineStr">
        <is>
          <t>CHOOSE RATING</t>
        </is>
      </c>
      <c r="DX495" s="40" t="inlineStr">
        <is>
          <t>CHOOSE RATING</t>
        </is>
      </c>
      <c r="DY495" s="40" t="inlineStr">
        <is>
          <t>CHOOSE RATING</t>
        </is>
      </c>
      <c r="DZ495" s="53" t="inlineStr">
        <is>
          <t>CHOOSE RATING</t>
        </is>
      </c>
      <c r="EA495" s="54" t="inlineStr">
        <is>
          <t>Add the Tutor's Comment . . .</t>
        </is>
      </c>
      <c r="EB495" s="55" t="inlineStr">
        <is>
          <t>Choose Principals comment</t>
        </is>
      </c>
      <c r="EC495" s="56" t="n"/>
      <c r="ED495" s="57" t="inlineStr">
        <is>
          <t>Next Term Begins on Monday, 22nd September, 2025</t>
        </is>
      </c>
    </row>
    <row r="496" ht="30.6" customHeight="1" s="6">
      <c r="A496" s="18" t="n">
        <v>493</v>
      </c>
      <c r="B496" s="19" t="n"/>
      <c r="C496" s="20" t="n"/>
      <c r="D496" s="128" t="n"/>
      <c r="E496" s="21" t="n"/>
      <c r="F496" s="22" t="n"/>
      <c r="G496" s="22" t="n"/>
      <c r="H496" s="22" t="n"/>
      <c r="I496" s="26">
        <f>G496-H496</f>
        <v/>
      </c>
      <c r="J496" s="21" t="n"/>
      <c r="K496" s="21" t="n"/>
      <c r="L496" s="27">
        <f>SUM(J496:K496)</f>
        <v/>
      </c>
      <c r="M496" s="28" t="n"/>
      <c r="N496" s="28" t="n"/>
      <c r="O496" s="29">
        <f>IF(AND(L496=0,M496=0,N496=0),0,IF(AND(L496=0,M496=0),N496/1,IF(AND(L496=0,N496=0),M496/1,IF(AND(M496=0,N496=0),L496/1,IF(L496=0,FLOOR((M496+N496)/2,0.1),IF(M496=0,(L496+N496)/2,IF(N496=0,(M496+L496)/2,FLOOR(((L496+M496+N496)/3),0.1))))))))</f>
        <v/>
      </c>
      <c r="P496" s="21" t="n"/>
      <c r="Q496" s="21" t="n"/>
      <c r="R496" s="27">
        <f>SUM(P496:Q496)</f>
        <v/>
      </c>
      <c r="S496" s="28" t="n"/>
      <c r="T496" s="28" t="n"/>
      <c r="U496" s="29">
        <f>IF(AND(R496=0,S496=0,T496=0),0,IF(AND(R496=0,S496=0),T496/1,IF(AND(R496=0,T496=0),S496/1,IF(AND(S496=0,T496=0),R496/1,IF(R496=0,FLOOR((S496+T496)/2,0.1),IF(S496=0,(R496+T496)/2,IF(T496=0,(S496+R496)/2,FLOOR(((R496+S496+T496)/3),0.1))))))))</f>
        <v/>
      </c>
      <c r="V496" s="21" t="n"/>
      <c r="W496" s="21" t="n"/>
      <c r="X496" s="27">
        <f>SUM(V496:W496)</f>
        <v/>
      </c>
      <c r="Y496" s="28" t="n"/>
      <c r="Z496" s="28" t="n"/>
      <c r="AA496" s="29">
        <f>IF(AND(X496=0,Y496=0,Z496=0),0,IF(AND(X496=0,Y496=0),Z496/1,IF(AND(X496=0,Z496=0),Y496/1,IF(AND(Y496=0,Z496=0),X496/1,IF(X496=0,FLOOR((Y496+Z496)/2,0.1),IF(Y496=0,(X496+Z496)/2,IF(Z496=0,(Y496+X496)/2,FLOOR(((X496+Y496+Z496)/3),0.1))))))))</f>
        <v/>
      </c>
      <c r="AB496" s="21" t="n"/>
      <c r="AC496" s="21" t="n"/>
      <c r="AD496" s="27">
        <f>SUM(AB496:AC496)</f>
        <v/>
      </c>
      <c r="AE496" s="28" t="n"/>
      <c r="AF496" s="28" t="n"/>
      <c r="AG496" s="29">
        <f>IF(AND(AD496=0,AE496=0,AF496=0),0,IF(AND(AD496=0,AE496=0),AF496/1,IF(AND(AD496=0,AF496=0),AE496/1,IF(AND(AE496=0,AF496=0),AD496/1,IF(AD496=0,FLOOR((AE496+AF496)/2,0.1),IF(AE496=0,(AD496+AF496)/2,IF(AF496=0,(AE496+AD496)/2,FLOOR(((AD496+AE496+AF496)/3),0.1))))))))</f>
        <v/>
      </c>
      <c r="AH496" s="21" t="n"/>
      <c r="AI496" s="21" t="n"/>
      <c r="AJ496" s="27">
        <f>SUM(AH496:AI496)</f>
        <v/>
      </c>
      <c r="AK496" s="28" t="n"/>
      <c r="AL496" s="28" t="n"/>
      <c r="AM496" s="29">
        <f>IF(AND(AJ496=0,AK496=0,AL496=0),0,IF(AND(AJ496=0,AK496=0),AL496/1,IF(AND(AJ496=0,AL496=0),AK496/1,IF(AND(AK496=0,AL496=0),AJ496/1,IF(AJ496=0,FLOOR((AK496+AL496)/2,0.1),IF(AK496=0,(AJ496+AL496)/2,IF(AL496=0,(AK496+AJ496)/2,FLOOR(((AJ496+AK496+AL496)/3),0.1))))))))</f>
        <v/>
      </c>
      <c r="AN496" s="21" t="n"/>
      <c r="AO496" s="21" t="n"/>
      <c r="AP496" s="27">
        <f>SUM(AN496:AO496)</f>
        <v/>
      </c>
      <c r="AQ496" s="28" t="n"/>
      <c r="AR496" s="30" t="n"/>
      <c r="AS496" s="29">
        <f>IF(AND(AP496=0,AQ496=0,AR496=0),0,IF(AND(AP496=0,AQ496=0),AR496/1,IF(AND(AP496=0,AR496=0),AQ496/1,IF(AND(AQ496=0,AR496=0),AP496/1,IF(AP496=0,FLOOR((AQ496+AR496)/2,0.1),IF(AQ496=0,(AP496+AR496)/2,IF(AR496=0,(AQ496+AP496)/2,FLOOR(((AP496+AQ496+AR496)/3),0.1))))))))</f>
        <v/>
      </c>
      <c r="AT496" s="21" t="n"/>
      <c r="AU496" s="21" t="n"/>
      <c r="AV496" s="27">
        <f>SUM(AT496:AU496)</f>
        <v/>
      </c>
      <c r="AW496" s="28" t="n"/>
      <c r="AX496" s="30" t="n"/>
      <c r="AY496" s="29">
        <f>IF(AND(AV496=0,AW496=0,AX496=0),0,IF(AND(AV496=0,AW496=0),AX496/1,IF(AND(AV496=0,AX496=0),AW496/1,IF(AND(AW496=0,AX496=0),AV496/1,IF(AV496=0,FLOOR((AW496+AX496)/2,0.1),IF(AW496=0,(AV496+AX496)/2,IF(AX496=0,(AW496+AV496)/2,FLOOR(((AV496+AW496+AX496)/3),0.1))))))))</f>
        <v/>
      </c>
      <c r="AZ496" s="21" t="n"/>
      <c r="BA496" s="21" t="n"/>
      <c r="BB496" s="27">
        <f>SUM(AZ496:BA496)</f>
        <v/>
      </c>
      <c r="BC496" s="28" t="n"/>
      <c r="BD496" s="28" t="n"/>
      <c r="BE496" s="29">
        <f>IF(AND(BB496=0,BC496=0,BD496=0),0,IF(AND(BB496=0,BC496=0),BD496/1,IF(AND(BB496=0,BD496=0),BC496/1,IF(AND(BC496=0,BD496=0),BB496/1,IF(BB496=0,FLOOR((BC496+BD496)/2,0.1),IF(BC496=0,(BB496+BD496)/2,IF(BD496=0,(BC496+BB496)/2,FLOOR(((BB496+BC496+BD496)/3),0.1))))))))</f>
        <v/>
      </c>
      <c r="BF496" s="21" t="n"/>
      <c r="BG496" s="21" t="n"/>
      <c r="BH496" s="27">
        <f>SUM(BF496:BG496)</f>
        <v/>
      </c>
      <c r="BI496" s="28" t="n"/>
      <c r="BJ496" s="28" t="n"/>
      <c r="BK496" s="29">
        <f>IF(AND(BH496=0,BI496=0,BJ496=0),0,IF(AND(BH496=0,BI496=0),BJ496/1,IF(AND(BH496=0,BJ496=0),BI496/1,IF(AND(BI496=0,BJ496=0),BH496/1,IF(BH496=0,FLOOR((BI496+BJ496)/2,0.1),IF(BI496=0,(BH496+BJ496)/2,IF(BJ496=0,(BI496+BH496)/2,FLOOR(((BH496+BI496+BJ496)/3),0.1))))))))</f>
        <v/>
      </c>
      <c r="BL496" s="21" t="n"/>
      <c r="BM496" s="21" t="n"/>
      <c r="BN496" s="27">
        <f>SUM(BL496:BM496)</f>
        <v/>
      </c>
      <c r="BO496" s="28" t="n"/>
      <c r="BP496" s="31" t="n"/>
      <c r="BQ496" s="29">
        <f>IF(AND(BN496=0,BO496=0,BP496=0),0,IF(AND(BN496=0,BO496=0),BP496/1,IF(AND(BN496=0,BP496=0),BO496/1,IF(AND(BO496=0,BP496=0),BN496/1,IF(BN496=0,FLOOR((BO496+BP496)/2,0.1),IF(BO496=0,(BN496+BP496)/2,IF(BP496=0,(BO496+BN496)/2,FLOOR(((BN496+BO496+BP496)/3),0.1))))))))</f>
        <v/>
      </c>
      <c r="BR496" s="21" t="n"/>
      <c r="BS496" s="21" t="n"/>
      <c r="BT496" s="27">
        <f>SUM(BR496:BS496)</f>
        <v/>
      </c>
      <c r="BU496" s="28" t="n"/>
      <c r="BV496" s="31" t="n"/>
      <c r="BW496" s="29">
        <f>IF(AND(BT496=0,BU496=0,BV496=0),0,IF(AND(BT496=0,BU496=0),BV496/1,IF(AND(BT496=0,BV496=0),BU496/1,IF(AND(BU496=0,BV496=0),BT496/1,IF(BT496=0,FLOOR((BU496+BV496)/2,0.1),IF(BU496=0,(BT496+BV496)/2,IF(BV496=0,(BU496+BT496)/2,FLOOR(((BT496+BU496+BV496)/3),0.1))))))))</f>
        <v/>
      </c>
      <c r="BX496" s="21" t="n"/>
      <c r="BY496" s="21" t="n"/>
      <c r="BZ496" s="27">
        <f>SUM(BX496:BY496)</f>
        <v/>
      </c>
      <c r="CA496" s="28" t="n"/>
      <c r="CB496" s="31" t="n"/>
      <c r="CC496" s="29">
        <f>IF(AND(BZ496=0,CA496=0,CB496=0),0,IF(AND(BZ496=0,CA496=0),CB496/1,IF(AND(BZ496=0,CB496=0),CA496/1,IF(AND(CA496=0,CB496=0),BZ496/1,IF(BZ496=0,FLOOR((CA496+CB496)/2,0.1),IF(CA496=0,(BZ496+CB496)/2,IF(CB496=0,(CA496+BZ496)/2,FLOOR(((BZ496+CA496+CB496)/3),0.1))))))))</f>
        <v/>
      </c>
      <c r="CD496" s="21" t="n"/>
      <c r="CE496" s="21" t="n"/>
      <c r="CF496" s="27">
        <f>SUM(CD496:CE496)</f>
        <v/>
      </c>
      <c r="CG496" s="28" t="n"/>
      <c r="CH496" s="31" t="n"/>
      <c r="CI496" s="29">
        <f>IF(AND(CF496=0,CG496=0,CH496=0),0,IF(AND(CF496=0,CG496=0),CH496/1,IF(AND(CF496=0,CH496=0),CG496/1,IF(AND(CG496=0,CH496=0),CF496/1,IF(CF496=0,FLOOR((CG496+CH496)/2,0.1),IF(CG496=0,(CF496+CH496)/2,IF(CH496=0,(CG496+CF496)/2,FLOOR(((CF496+CG496+CH496)/3),0.1))))))))</f>
        <v/>
      </c>
      <c r="CJ496" s="21" t="n"/>
      <c r="CK496" s="21" t="n"/>
      <c r="CL496" s="27">
        <f>SUM(CJ496:CK496)</f>
        <v/>
      </c>
      <c r="CM496" s="28" t="n"/>
      <c r="CN496" s="31" t="n"/>
      <c r="CO496" s="29">
        <f>IF(AND(CL496=0,CM496=0,CN496=0),0,IF(AND(CL496=0,CM496=0),CN496/1,IF(AND(CL496=0,CN496=0),CM496/1,IF(AND(CM496=0,CN496=0),CL496/1,IF(CL496=0,FLOOR((CM496+CN496)/2,0.1),IF(CM496=0,(CL496+CN496)/2,IF(CN496=0,(CM496+CL496)/2,FLOOR(((CL496+CM496+CN496)/3),0.1))))))))</f>
        <v/>
      </c>
      <c r="CP496" s="21" t="n"/>
      <c r="CQ496" s="21" t="n"/>
      <c r="CR496" s="27">
        <f>SUM(CP496:CQ496)</f>
        <v/>
      </c>
      <c r="CS496" s="28" t="n"/>
      <c r="CT496" s="31" t="n"/>
      <c r="CU496" s="29">
        <f>IF(AND(CR496=0,CS496=0,CT496=0),0,IF(AND(CR496=0,CS496=0),CT496/1,IF(AND(CR496=0,CT496=0),CS496/1,IF(AND(CS496=0,CT496=0),CR496/1,IF(CR496=0,FLOOR((CS496+CT496)/2,0.1),IF(CS496=0,(CR496+CT496)/2,IF(CT496=0,(CS496+CR496)/2,FLOOR(((CR496+CS496+CT496)/3),0.1))))))))</f>
        <v/>
      </c>
      <c r="CV496" s="21" t="n"/>
      <c r="CW496" s="21" t="n"/>
      <c r="CX496" s="27">
        <f>SUM(CV496:CW496)</f>
        <v/>
      </c>
      <c r="CY496" s="28" t="n"/>
      <c r="CZ496" s="31" t="n"/>
      <c r="DA496" s="29">
        <f>IF(AND(CX496=0,CY496=0,CZ496=0),0,IF(AND(CX496=0,CY496=0),CZ496/1,IF(AND(CX496=0,CZ496=0),CY496/1,IF(AND(CY496=0,CZ496=0),CX496/1,IF(CX496=0,FLOOR((CY496+CZ496)/2,0.1),IF(CY496=0,(CX496+CZ496)/2,IF(CZ496=0,(CY496+CX496)/2,FLOOR(((CX496+CY496+CZ496)/3),0.1))))))))</f>
        <v/>
      </c>
      <c r="DB496" s="21" t="n"/>
      <c r="DC496" s="21" t="n"/>
      <c r="DD496" s="27">
        <f>SUM(DB496:DC496)</f>
        <v/>
      </c>
      <c r="DE496" s="28" t="n"/>
      <c r="DF496" s="31" t="n"/>
      <c r="DG496" s="29">
        <f>IF(AND(DD496=0,DE496=0,DF496=0),0,IF(AND(DD496=0,DE496=0),DF496/1,IF(AND(DD496=0,DF496=0),DE496/1,IF(AND(DE496=0,DF496=0),DD496/1,IF(DD496=0,FLOOR((DE496+DF496)/2,0.1),IF(DE496=0,(DD496+DF496)/2,IF(DF496=0,(DE496+DD496)/2,FLOOR(((DD496+DE496+DF496)/3),0.1))))))))</f>
        <v/>
      </c>
      <c r="DH496" s="34">
        <f>SUM(O496,U496,AA496,AG496,AM496,AS496,AY496,BE496,BK496,BQ496,BW496,CC496,CI496,CO496,CU496,DA496,DG496)</f>
        <v/>
      </c>
      <c r="DI496" s="39">
        <f>RANK(DH496,DH$4:DH$503)</f>
        <v/>
      </c>
      <c r="DJ496" s="40" t="inlineStr">
        <is>
          <t>CHOOSE RATING</t>
        </is>
      </c>
      <c r="DK496" s="40" t="inlineStr">
        <is>
          <t>CHOOSE RATING</t>
        </is>
      </c>
      <c r="DL496" s="40" t="inlineStr">
        <is>
          <t>CHOOSE RATING</t>
        </is>
      </c>
      <c r="DM496" s="40" t="inlineStr">
        <is>
          <t>CHOOSE RATING</t>
        </is>
      </c>
      <c r="DN496" s="40" t="inlineStr">
        <is>
          <t>CHOOSE RATING</t>
        </is>
      </c>
      <c r="DO496" s="40" t="inlineStr">
        <is>
          <t>CHOOSE RATING</t>
        </is>
      </c>
      <c r="DP496" s="40" t="inlineStr">
        <is>
          <t>CHOOSE RATING</t>
        </is>
      </c>
      <c r="DQ496" s="40" t="inlineStr">
        <is>
          <t>CHOOSE RATING</t>
        </is>
      </c>
      <c r="DR496" s="43" t="inlineStr">
        <is>
          <t>2024/2025</t>
        </is>
      </c>
      <c r="DS496" s="45" t="inlineStr">
        <is>
          <t>THIRD</t>
        </is>
      </c>
      <c r="DT496" s="40" t="inlineStr">
        <is>
          <t>CHOOSE RATING</t>
        </is>
      </c>
      <c r="DU496" s="40" t="inlineStr">
        <is>
          <t>CHOOSE RATING</t>
        </is>
      </c>
      <c r="DV496" s="40" t="inlineStr">
        <is>
          <t>CHOOSE RATING</t>
        </is>
      </c>
      <c r="DW496" s="40" t="inlineStr">
        <is>
          <t>CHOOSE RATING</t>
        </is>
      </c>
      <c r="DX496" s="40" t="inlineStr">
        <is>
          <t>CHOOSE RATING</t>
        </is>
      </c>
      <c r="DY496" s="40" t="inlineStr">
        <is>
          <t>CHOOSE RATING</t>
        </is>
      </c>
      <c r="DZ496" s="53" t="inlineStr">
        <is>
          <t>CHOOSE RATING</t>
        </is>
      </c>
      <c r="EA496" s="54" t="inlineStr">
        <is>
          <t>Add the Tutor's Comment . . .</t>
        </is>
      </c>
      <c r="EB496" s="55" t="inlineStr">
        <is>
          <t>Choose Principals comment</t>
        </is>
      </c>
      <c r="EC496" s="56" t="n"/>
      <c r="ED496" s="57" t="inlineStr">
        <is>
          <t>Next Term Begins on Monday, 22nd September, 2025</t>
        </is>
      </c>
    </row>
    <row r="497" ht="30.6" customHeight="1" s="6">
      <c r="A497" s="18" t="n">
        <v>494</v>
      </c>
      <c r="B497" s="19" t="n"/>
      <c r="C497" s="20" t="n"/>
      <c r="D497" s="128" t="n"/>
      <c r="E497" s="21" t="n"/>
      <c r="F497" s="22" t="n"/>
      <c r="G497" s="22" t="n"/>
      <c r="H497" s="22" t="n"/>
      <c r="I497" s="26">
        <f>G497-H497</f>
        <v/>
      </c>
      <c r="J497" s="21" t="n"/>
      <c r="K497" s="21" t="n"/>
      <c r="L497" s="27">
        <f>SUM(J497:K497)</f>
        <v/>
      </c>
      <c r="M497" s="28" t="n"/>
      <c r="N497" s="28" t="n"/>
      <c r="O497" s="29">
        <f>IF(AND(L497=0,M497=0,N497=0),0,IF(AND(L497=0,M497=0),N497/1,IF(AND(L497=0,N497=0),M497/1,IF(AND(M497=0,N497=0),L497/1,IF(L497=0,FLOOR((M497+N497)/2,0.1),IF(M497=0,(L497+N497)/2,IF(N497=0,(M497+L497)/2,FLOOR(((L497+M497+N497)/3),0.1))))))))</f>
        <v/>
      </c>
      <c r="P497" s="21" t="n"/>
      <c r="Q497" s="21" t="n"/>
      <c r="R497" s="27">
        <f>SUM(P497:Q497)</f>
        <v/>
      </c>
      <c r="S497" s="28" t="n"/>
      <c r="T497" s="28" t="n"/>
      <c r="U497" s="29">
        <f>IF(AND(R497=0,S497=0,T497=0),0,IF(AND(R497=0,S497=0),T497/1,IF(AND(R497=0,T497=0),S497/1,IF(AND(S497=0,T497=0),R497/1,IF(R497=0,FLOOR((S497+T497)/2,0.1),IF(S497=0,(R497+T497)/2,IF(T497=0,(S497+R497)/2,FLOOR(((R497+S497+T497)/3),0.1))))))))</f>
        <v/>
      </c>
      <c r="V497" s="21" t="n"/>
      <c r="W497" s="21" t="n"/>
      <c r="X497" s="27">
        <f>SUM(V497:W497)</f>
        <v/>
      </c>
      <c r="Y497" s="28" t="n"/>
      <c r="Z497" s="28" t="n"/>
      <c r="AA497" s="29">
        <f>IF(AND(X497=0,Y497=0,Z497=0),0,IF(AND(X497=0,Y497=0),Z497/1,IF(AND(X497=0,Z497=0),Y497/1,IF(AND(Y497=0,Z497=0),X497/1,IF(X497=0,FLOOR((Y497+Z497)/2,0.1),IF(Y497=0,(X497+Z497)/2,IF(Z497=0,(Y497+X497)/2,FLOOR(((X497+Y497+Z497)/3),0.1))))))))</f>
        <v/>
      </c>
      <c r="AB497" s="21" t="n"/>
      <c r="AC497" s="21" t="n"/>
      <c r="AD497" s="27">
        <f>SUM(AB497:AC497)</f>
        <v/>
      </c>
      <c r="AE497" s="28" t="n"/>
      <c r="AF497" s="28" t="n"/>
      <c r="AG497" s="29">
        <f>IF(AND(AD497=0,AE497=0,AF497=0),0,IF(AND(AD497=0,AE497=0),AF497/1,IF(AND(AD497=0,AF497=0),AE497/1,IF(AND(AE497=0,AF497=0),AD497/1,IF(AD497=0,FLOOR((AE497+AF497)/2,0.1),IF(AE497=0,(AD497+AF497)/2,IF(AF497=0,(AE497+AD497)/2,FLOOR(((AD497+AE497+AF497)/3),0.1))))))))</f>
        <v/>
      </c>
      <c r="AH497" s="21" t="n"/>
      <c r="AI497" s="21" t="n"/>
      <c r="AJ497" s="27">
        <f>SUM(AH497:AI497)</f>
        <v/>
      </c>
      <c r="AK497" s="28" t="n"/>
      <c r="AL497" s="28" t="n"/>
      <c r="AM497" s="29">
        <f>IF(AND(AJ497=0,AK497=0,AL497=0),0,IF(AND(AJ497=0,AK497=0),AL497/1,IF(AND(AJ497=0,AL497=0),AK497/1,IF(AND(AK497=0,AL497=0),AJ497/1,IF(AJ497=0,FLOOR((AK497+AL497)/2,0.1),IF(AK497=0,(AJ497+AL497)/2,IF(AL497=0,(AK497+AJ497)/2,FLOOR(((AJ497+AK497+AL497)/3),0.1))))))))</f>
        <v/>
      </c>
      <c r="AN497" s="21" t="n"/>
      <c r="AO497" s="21" t="n"/>
      <c r="AP497" s="27">
        <f>SUM(AN497:AO497)</f>
        <v/>
      </c>
      <c r="AQ497" s="28" t="n"/>
      <c r="AR497" s="30" t="n"/>
      <c r="AS497" s="29">
        <f>IF(AND(AP497=0,AQ497=0,AR497=0),0,IF(AND(AP497=0,AQ497=0),AR497/1,IF(AND(AP497=0,AR497=0),AQ497/1,IF(AND(AQ497=0,AR497=0),AP497/1,IF(AP497=0,FLOOR((AQ497+AR497)/2,0.1),IF(AQ497=0,(AP497+AR497)/2,IF(AR497=0,(AQ497+AP497)/2,FLOOR(((AP497+AQ497+AR497)/3),0.1))))))))</f>
        <v/>
      </c>
      <c r="AT497" s="21" t="n"/>
      <c r="AU497" s="21" t="n"/>
      <c r="AV497" s="27">
        <f>SUM(AT497:AU497)</f>
        <v/>
      </c>
      <c r="AW497" s="28" t="n"/>
      <c r="AX497" s="30" t="n"/>
      <c r="AY497" s="29">
        <f>IF(AND(AV497=0,AW497=0,AX497=0),0,IF(AND(AV497=0,AW497=0),AX497/1,IF(AND(AV497=0,AX497=0),AW497/1,IF(AND(AW497=0,AX497=0),AV497/1,IF(AV497=0,FLOOR((AW497+AX497)/2,0.1),IF(AW497=0,(AV497+AX497)/2,IF(AX497=0,(AW497+AV497)/2,FLOOR(((AV497+AW497+AX497)/3),0.1))))))))</f>
        <v/>
      </c>
      <c r="AZ497" s="21" t="n"/>
      <c r="BA497" s="21" t="n"/>
      <c r="BB497" s="27">
        <f>SUM(AZ497:BA497)</f>
        <v/>
      </c>
      <c r="BC497" s="28" t="n"/>
      <c r="BD497" s="28" t="n"/>
      <c r="BE497" s="29">
        <f>IF(AND(BB497=0,BC497=0,BD497=0),0,IF(AND(BB497=0,BC497=0),BD497/1,IF(AND(BB497=0,BD497=0),BC497/1,IF(AND(BC497=0,BD497=0),BB497/1,IF(BB497=0,FLOOR((BC497+BD497)/2,0.1),IF(BC497=0,(BB497+BD497)/2,IF(BD497=0,(BC497+BB497)/2,FLOOR(((BB497+BC497+BD497)/3),0.1))))))))</f>
        <v/>
      </c>
      <c r="BF497" s="21" t="n"/>
      <c r="BG497" s="21" t="n"/>
      <c r="BH497" s="27">
        <f>SUM(BF497:BG497)</f>
        <v/>
      </c>
      <c r="BI497" s="28" t="n"/>
      <c r="BJ497" s="28" t="n"/>
      <c r="BK497" s="29">
        <f>IF(AND(BH497=0,BI497=0,BJ497=0),0,IF(AND(BH497=0,BI497=0),BJ497/1,IF(AND(BH497=0,BJ497=0),BI497/1,IF(AND(BI497=0,BJ497=0),BH497/1,IF(BH497=0,FLOOR((BI497+BJ497)/2,0.1),IF(BI497=0,(BH497+BJ497)/2,IF(BJ497=0,(BI497+BH497)/2,FLOOR(((BH497+BI497+BJ497)/3),0.1))))))))</f>
        <v/>
      </c>
      <c r="BL497" s="21" t="n"/>
      <c r="BM497" s="21" t="n"/>
      <c r="BN497" s="27">
        <f>SUM(BL497:BM497)</f>
        <v/>
      </c>
      <c r="BO497" s="28" t="n"/>
      <c r="BP497" s="31" t="n"/>
      <c r="BQ497" s="29">
        <f>IF(AND(BN497=0,BO497=0,BP497=0),0,IF(AND(BN497=0,BO497=0),BP497/1,IF(AND(BN497=0,BP497=0),BO497/1,IF(AND(BO497=0,BP497=0),BN497/1,IF(BN497=0,FLOOR((BO497+BP497)/2,0.1),IF(BO497=0,(BN497+BP497)/2,IF(BP497=0,(BO497+BN497)/2,FLOOR(((BN497+BO497+BP497)/3),0.1))))))))</f>
        <v/>
      </c>
      <c r="BR497" s="21" t="n"/>
      <c r="BS497" s="21" t="n"/>
      <c r="BT497" s="27">
        <f>SUM(BR497:BS497)</f>
        <v/>
      </c>
      <c r="BU497" s="28" t="n"/>
      <c r="BV497" s="31" t="n"/>
      <c r="BW497" s="29">
        <f>IF(AND(BT497=0,BU497=0,BV497=0),0,IF(AND(BT497=0,BU497=0),BV497/1,IF(AND(BT497=0,BV497=0),BU497/1,IF(AND(BU497=0,BV497=0),BT497/1,IF(BT497=0,FLOOR((BU497+BV497)/2,0.1),IF(BU497=0,(BT497+BV497)/2,IF(BV497=0,(BU497+BT497)/2,FLOOR(((BT497+BU497+BV497)/3),0.1))))))))</f>
        <v/>
      </c>
      <c r="BX497" s="21" t="n"/>
      <c r="BY497" s="21" t="n"/>
      <c r="BZ497" s="27">
        <f>SUM(BX497:BY497)</f>
        <v/>
      </c>
      <c r="CA497" s="28" t="n"/>
      <c r="CB497" s="31" t="n"/>
      <c r="CC497" s="29">
        <f>IF(AND(BZ497=0,CA497=0,CB497=0),0,IF(AND(BZ497=0,CA497=0),CB497/1,IF(AND(BZ497=0,CB497=0),CA497/1,IF(AND(CA497=0,CB497=0),BZ497/1,IF(BZ497=0,FLOOR((CA497+CB497)/2,0.1),IF(CA497=0,(BZ497+CB497)/2,IF(CB497=0,(CA497+BZ497)/2,FLOOR(((BZ497+CA497+CB497)/3),0.1))))))))</f>
        <v/>
      </c>
      <c r="CD497" s="21" t="n"/>
      <c r="CE497" s="21" t="n"/>
      <c r="CF497" s="27">
        <f>SUM(CD497:CE497)</f>
        <v/>
      </c>
      <c r="CG497" s="28" t="n"/>
      <c r="CH497" s="31" t="n"/>
      <c r="CI497" s="29">
        <f>IF(AND(CF497=0,CG497=0,CH497=0),0,IF(AND(CF497=0,CG497=0),CH497/1,IF(AND(CF497=0,CH497=0),CG497/1,IF(AND(CG497=0,CH497=0),CF497/1,IF(CF497=0,FLOOR((CG497+CH497)/2,0.1),IF(CG497=0,(CF497+CH497)/2,IF(CH497=0,(CG497+CF497)/2,FLOOR(((CF497+CG497+CH497)/3),0.1))))))))</f>
        <v/>
      </c>
      <c r="CJ497" s="21" t="n"/>
      <c r="CK497" s="21" t="n"/>
      <c r="CL497" s="27">
        <f>SUM(CJ497:CK497)</f>
        <v/>
      </c>
      <c r="CM497" s="28" t="n"/>
      <c r="CN497" s="31" t="n"/>
      <c r="CO497" s="29">
        <f>IF(AND(CL497=0,CM497=0,CN497=0),0,IF(AND(CL497=0,CM497=0),CN497/1,IF(AND(CL497=0,CN497=0),CM497/1,IF(AND(CM497=0,CN497=0),CL497/1,IF(CL497=0,FLOOR((CM497+CN497)/2,0.1),IF(CM497=0,(CL497+CN497)/2,IF(CN497=0,(CM497+CL497)/2,FLOOR(((CL497+CM497+CN497)/3),0.1))))))))</f>
        <v/>
      </c>
      <c r="CP497" s="21" t="n"/>
      <c r="CQ497" s="21" t="n"/>
      <c r="CR497" s="27">
        <f>SUM(CP497:CQ497)</f>
        <v/>
      </c>
      <c r="CS497" s="28" t="n"/>
      <c r="CT497" s="31" t="n"/>
      <c r="CU497" s="29">
        <f>IF(AND(CR497=0,CS497=0,CT497=0),0,IF(AND(CR497=0,CS497=0),CT497/1,IF(AND(CR497=0,CT497=0),CS497/1,IF(AND(CS497=0,CT497=0),CR497/1,IF(CR497=0,FLOOR((CS497+CT497)/2,0.1),IF(CS497=0,(CR497+CT497)/2,IF(CT497=0,(CS497+CR497)/2,FLOOR(((CR497+CS497+CT497)/3),0.1))))))))</f>
        <v/>
      </c>
      <c r="CV497" s="21" t="n"/>
      <c r="CW497" s="21" t="n"/>
      <c r="CX497" s="27">
        <f>SUM(CV497:CW497)</f>
        <v/>
      </c>
      <c r="CY497" s="28" t="n"/>
      <c r="CZ497" s="31" t="n"/>
      <c r="DA497" s="29">
        <f>IF(AND(CX497=0,CY497=0,CZ497=0),0,IF(AND(CX497=0,CY497=0),CZ497/1,IF(AND(CX497=0,CZ497=0),CY497/1,IF(AND(CY497=0,CZ497=0),CX497/1,IF(CX497=0,FLOOR((CY497+CZ497)/2,0.1),IF(CY497=0,(CX497+CZ497)/2,IF(CZ497=0,(CY497+CX497)/2,FLOOR(((CX497+CY497+CZ497)/3),0.1))))))))</f>
        <v/>
      </c>
      <c r="DB497" s="21" t="n"/>
      <c r="DC497" s="21" t="n"/>
      <c r="DD497" s="27">
        <f>SUM(DB497:DC497)</f>
        <v/>
      </c>
      <c r="DE497" s="28" t="n"/>
      <c r="DF497" s="31" t="n"/>
      <c r="DG497" s="29">
        <f>IF(AND(DD497=0,DE497=0,DF497=0),0,IF(AND(DD497=0,DE497=0),DF497/1,IF(AND(DD497=0,DF497=0),DE497/1,IF(AND(DE497=0,DF497=0),DD497/1,IF(DD497=0,FLOOR((DE497+DF497)/2,0.1),IF(DE497=0,(DD497+DF497)/2,IF(DF497=0,(DE497+DD497)/2,FLOOR(((DD497+DE497+DF497)/3),0.1))))))))</f>
        <v/>
      </c>
      <c r="DH497" s="34">
        <f>SUM(O497,U497,AA497,AG497,AM497,AS497,AY497,BE497,BK497,BQ497,BW497,CC497,CI497,CO497,CU497,DA497,DG497)</f>
        <v/>
      </c>
      <c r="DI497" s="39">
        <f>RANK(DH497,DH$4:DH$503)</f>
        <v/>
      </c>
      <c r="DJ497" s="40" t="inlineStr">
        <is>
          <t>CHOOSE RATING</t>
        </is>
      </c>
      <c r="DK497" s="40" t="inlineStr">
        <is>
          <t>CHOOSE RATING</t>
        </is>
      </c>
      <c r="DL497" s="40" t="inlineStr">
        <is>
          <t>CHOOSE RATING</t>
        </is>
      </c>
      <c r="DM497" s="40" t="inlineStr">
        <is>
          <t>CHOOSE RATING</t>
        </is>
      </c>
      <c r="DN497" s="40" t="inlineStr">
        <is>
          <t>CHOOSE RATING</t>
        </is>
      </c>
      <c r="DO497" s="40" t="inlineStr">
        <is>
          <t>CHOOSE RATING</t>
        </is>
      </c>
      <c r="DP497" s="40" t="inlineStr">
        <is>
          <t>CHOOSE RATING</t>
        </is>
      </c>
      <c r="DQ497" s="40" t="inlineStr">
        <is>
          <t>CHOOSE RATING</t>
        </is>
      </c>
      <c r="DR497" s="43" t="inlineStr">
        <is>
          <t>2024/2025</t>
        </is>
      </c>
      <c r="DS497" s="45" t="inlineStr">
        <is>
          <t>THIRD</t>
        </is>
      </c>
      <c r="DT497" s="40" t="inlineStr">
        <is>
          <t>CHOOSE RATING</t>
        </is>
      </c>
      <c r="DU497" s="40" t="inlineStr">
        <is>
          <t>CHOOSE RATING</t>
        </is>
      </c>
      <c r="DV497" s="40" t="inlineStr">
        <is>
          <t>CHOOSE RATING</t>
        </is>
      </c>
      <c r="DW497" s="40" t="inlineStr">
        <is>
          <t>CHOOSE RATING</t>
        </is>
      </c>
      <c r="DX497" s="40" t="inlineStr">
        <is>
          <t>CHOOSE RATING</t>
        </is>
      </c>
      <c r="DY497" s="40" t="inlineStr">
        <is>
          <t>CHOOSE RATING</t>
        </is>
      </c>
      <c r="DZ497" s="53" t="inlineStr">
        <is>
          <t>CHOOSE RATING</t>
        </is>
      </c>
      <c r="EA497" s="54" t="inlineStr">
        <is>
          <t>Add the Tutor's Comment . . .</t>
        </is>
      </c>
      <c r="EB497" s="55" t="inlineStr">
        <is>
          <t>Choose Principals comment</t>
        </is>
      </c>
      <c r="EC497" s="56" t="n"/>
      <c r="ED497" s="57" t="inlineStr">
        <is>
          <t>Next Term Begins on Monday, 22nd September, 2025</t>
        </is>
      </c>
    </row>
    <row r="498" ht="30.6" customHeight="1" s="6">
      <c r="A498" s="18" t="n">
        <v>495</v>
      </c>
      <c r="B498" s="19" t="n"/>
      <c r="C498" s="20" t="n"/>
      <c r="D498" s="128" t="n"/>
      <c r="E498" s="21" t="n"/>
      <c r="F498" s="22" t="n"/>
      <c r="G498" s="22" t="n"/>
      <c r="H498" s="22" t="n"/>
      <c r="I498" s="26">
        <f>G498-H498</f>
        <v/>
      </c>
      <c r="J498" s="21" t="n"/>
      <c r="K498" s="21" t="n"/>
      <c r="L498" s="27">
        <f>SUM(J498:K498)</f>
        <v/>
      </c>
      <c r="M498" s="28" t="n"/>
      <c r="N498" s="28" t="n"/>
      <c r="O498" s="29">
        <f>IF(AND(L498=0,M498=0,N498=0),0,IF(AND(L498=0,M498=0),N498/1,IF(AND(L498=0,N498=0),M498/1,IF(AND(M498=0,N498=0),L498/1,IF(L498=0,FLOOR((M498+N498)/2,0.1),IF(M498=0,(L498+N498)/2,IF(N498=0,(M498+L498)/2,FLOOR(((L498+M498+N498)/3),0.1))))))))</f>
        <v/>
      </c>
      <c r="P498" s="21" t="n"/>
      <c r="Q498" s="21" t="n"/>
      <c r="R498" s="27">
        <f>SUM(P498:Q498)</f>
        <v/>
      </c>
      <c r="S498" s="28" t="n"/>
      <c r="T498" s="28" t="n"/>
      <c r="U498" s="29">
        <f>IF(AND(R498=0,S498=0,T498=0),0,IF(AND(R498=0,S498=0),T498/1,IF(AND(R498=0,T498=0),S498/1,IF(AND(S498=0,T498=0),R498/1,IF(R498=0,FLOOR((S498+T498)/2,0.1),IF(S498=0,(R498+T498)/2,IF(T498=0,(S498+R498)/2,FLOOR(((R498+S498+T498)/3),0.1))))))))</f>
        <v/>
      </c>
      <c r="V498" s="21" t="n"/>
      <c r="W498" s="21" t="n"/>
      <c r="X498" s="27">
        <f>SUM(V498:W498)</f>
        <v/>
      </c>
      <c r="Y498" s="28" t="n"/>
      <c r="Z498" s="28" t="n"/>
      <c r="AA498" s="29">
        <f>IF(AND(X498=0,Y498=0,Z498=0),0,IF(AND(X498=0,Y498=0),Z498/1,IF(AND(X498=0,Z498=0),Y498/1,IF(AND(Y498=0,Z498=0),X498/1,IF(X498=0,FLOOR((Y498+Z498)/2,0.1),IF(Y498=0,(X498+Z498)/2,IF(Z498=0,(Y498+X498)/2,FLOOR(((X498+Y498+Z498)/3),0.1))))))))</f>
        <v/>
      </c>
      <c r="AB498" s="21" t="n"/>
      <c r="AC498" s="21" t="n"/>
      <c r="AD498" s="27">
        <f>SUM(AB498:AC498)</f>
        <v/>
      </c>
      <c r="AE498" s="28" t="n"/>
      <c r="AF498" s="28" t="n"/>
      <c r="AG498" s="29">
        <f>IF(AND(AD498=0,AE498=0,AF498=0),0,IF(AND(AD498=0,AE498=0),AF498/1,IF(AND(AD498=0,AF498=0),AE498/1,IF(AND(AE498=0,AF498=0),AD498/1,IF(AD498=0,FLOOR((AE498+AF498)/2,0.1),IF(AE498=0,(AD498+AF498)/2,IF(AF498=0,(AE498+AD498)/2,FLOOR(((AD498+AE498+AF498)/3),0.1))))))))</f>
        <v/>
      </c>
      <c r="AH498" s="21" t="n"/>
      <c r="AI498" s="21" t="n"/>
      <c r="AJ498" s="27">
        <f>SUM(AH498:AI498)</f>
        <v/>
      </c>
      <c r="AK498" s="28" t="n"/>
      <c r="AL498" s="28" t="n"/>
      <c r="AM498" s="29">
        <f>IF(AND(AJ498=0,AK498=0,AL498=0),0,IF(AND(AJ498=0,AK498=0),AL498/1,IF(AND(AJ498=0,AL498=0),AK498/1,IF(AND(AK498=0,AL498=0),AJ498/1,IF(AJ498=0,FLOOR((AK498+AL498)/2,0.1),IF(AK498=0,(AJ498+AL498)/2,IF(AL498=0,(AK498+AJ498)/2,FLOOR(((AJ498+AK498+AL498)/3),0.1))))))))</f>
        <v/>
      </c>
      <c r="AN498" s="21" t="n"/>
      <c r="AO498" s="21" t="n"/>
      <c r="AP498" s="27">
        <f>SUM(AN498:AO498)</f>
        <v/>
      </c>
      <c r="AQ498" s="28" t="n"/>
      <c r="AR498" s="30" t="n"/>
      <c r="AS498" s="29">
        <f>IF(AND(AP498=0,AQ498=0,AR498=0),0,IF(AND(AP498=0,AQ498=0),AR498/1,IF(AND(AP498=0,AR498=0),AQ498/1,IF(AND(AQ498=0,AR498=0),AP498/1,IF(AP498=0,FLOOR((AQ498+AR498)/2,0.1),IF(AQ498=0,(AP498+AR498)/2,IF(AR498=0,(AQ498+AP498)/2,FLOOR(((AP498+AQ498+AR498)/3),0.1))))))))</f>
        <v/>
      </c>
      <c r="AT498" s="21" t="n"/>
      <c r="AU498" s="21" t="n"/>
      <c r="AV498" s="27">
        <f>SUM(AT498:AU498)</f>
        <v/>
      </c>
      <c r="AW498" s="28" t="n"/>
      <c r="AX498" s="30" t="n"/>
      <c r="AY498" s="29">
        <f>IF(AND(AV498=0,AW498=0,AX498=0),0,IF(AND(AV498=0,AW498=0),AX498/1,IF(AND(AV498=0,AX498=0),AW498/1,IF(AND(AW498=0,AX498=0),AV498/1,IF(AV498=0,FLOOR((AW498+AX498)/2,0.1),IF(AW498=0,(AV498+AX498)/2,IF(AX498=0,(AW498+AV498)/2,FLOOR(((AV498+AW498+AX498)/3),0.1))))))))</f>
        <v/>
      </c>
      <c r="AZ498" s="21" t="n"/>
      <c r="BA498" s="21" t="n"/>
      <c r="BB498" s="27">
        <f>SUM(AZ498:BA498)</f>
        <v/>
      </c>
      <c r="BC498" s="28" t="n"/>
      <c r="BD498" s="28" t="n"/>
      <c r="BE498" s="29">
        <f>IF(AND(BB498=0,BC498=0,BD498=0),0,IF(AND(BB498=0,BC498=0),BD498/1,IF(AND(BB498=0,BD498=0),BC498/1,IF(AND(BC498=0,BD498=0),BB498/1,IF(BB498=0,FLOOR((BC498+BD498)/2,0.1),IF(BC498=0,(BB498+BD498)/2,IF(BD498=0,(BC498+BB498)/2,FLOOR(((BB498+BC498+BD498)/3),0.1))))))))</f>
        <v/>
      </c>
      <c r="BF498" s="21" t="n"/>
      <c r="BG498" s="21" t="n"/>
      <c r="BH498" s="27">
        <f>SUM(BF498:BG498)</f>
        <v/>
      </c>
      <c r="BI498" s="28" t="n"/>
      <c r="BJ498" s="28" t="n"/>
      <c r="BK498" s="29">
        <f>IF(AND(BH498=0,BI498=0,BJ498=0),0,IF(AND(BH498=0,BI498=0),BJ498/1,IF(AND(BH498=0,BJ498=0),BI498/1,IF(AND(BI498=0,BJ498=0),BH498/1,IF(BH498=0,FLOOR((BI498+BJ498)/2,0.1),IF(BI498=0,(BH498+BJ498)/2,IF(BJ498=0,(BI498+BH498)/2,FLOOR(((BH498+BI498+BJ498)/3),0.1))))))))</f>
        <v/>
      </c>
      <c r="BL498" s="21" t="n"/>
      <c r="BM498" s="21" t="n"/>
      <c r="BN498" s="27">
        <f>SUM(BL498:BM498)</f>
        <v/>
      </c>
      <c r="BO498" s="28" t="n"/>
      <c r="BP498" s="31" t="n"/>
      <c r="BQ498" s="29">
        <f>IF(AND(BN498=0,BO498=0,BP498=0),0,IF(AND(BN498=0,BO498=0),BP498/1,IF(AND(BN498=0,BP498=0),BO498/1,IF(AND(BO498=0,BP498=0),BN498/1,IF(BN498=0,FLOOR((BO498+BP498)/2,0.1),IF(BO498=0,(BN498+BP498)/2,IF(BP498=0,(BO498+BN498)/2,FLOOR(((BN498+BO498+BP498)/3),0.1))))))))</f>
        <v/>
      </c>
      <c r="BR498" s="21" t="n"/>
      <c r="BS498" s="21" t="n"/>
      <c r="BT498" s="27">
        <f>SUM(BR498:BS498)</f>
        <v/>
      </c>
      <c r="BU498" s="28" t="n"/>
      <c r="BV498" s="31" t="n"/>
      <c r="BW498" s="29">
        <f>IF(AND(BT498=0,BU498=0,BV498=0),0,IF(AND(BT498=0,BU498=0),BV498/1,IF(AND(BT498=0,BV498=0),BU498/1,IF(AND(BU498=0,BV498=0),BT498/1,IF(BT498=0,FLOOR((BU498+BV498)/2,0.1),IF(BU498=0,(BT498+BV498)/2,IF(BV498=0,(BU498+BT498)/2,FLOOR(((BT498+BU498+BV498)/3),0.1))))))))</f>
        <v/>
      </c>
      <c r="BX498" s="21" t="n"/>
      <c r="BY498" s="21" t="n"/>
      <c r="BZ498" s="27">
        <f>SUM(BX498:BY498)</f>
        <v/>
      </c>
      <c r="CA498" s="28" t="n"/>
      <c r="CB498" s="31" t="n"/>
      <c r="CC498" s="29">
        <f>IF(AND(BZ498=0,CA498=0,CB498=0),0,IF(AND(BZ498=0,CA498=0),CB498/1,IF(AND(BZ498=0,CB498=0),CA498/1,IF(AND(CA498=0,CB498=0),BZ498/1,IF(BZ498=0,FLOOR((CA498+CB498)/2,0.1),IF(CA498=0,(BZ498+CB498)/2,IF(CB498=0,(CA498+BZ498)/2,FLOOR(((BZ498+CA498+CB498)/3),0.1))))))))</f>
        <v/>
      </c>
      <c r="CD498" s="21" t="n"/>
      <c r="CE498" s="21" t="n"/>
      <c r="CF498" s="27">
        <f>SUM(CD498:CE498)</f>
        <v/>
      </c>
      <c r="CG498" s="28" t="n"/>
      <c r="CH498" s="31" t="n"/>
      <c r="CI498" s="29">
        <f>IF(AND(CF498=0,CG498=0,CH498=0),0,IF(AND(CF498=0,CG498=0),CH498/1,IF(AND(CF498=0,CH498=0),CG498/1,IF(AND(CG498=0,CH498=0),CF498/1,IF(CF498=0,FLOOR((CG498+CH498)/2,0.1),IF(CG498=0,(CF498+CH498)/2,IF(CH498=0,(CG498+CF498)/2,FLOOR(((CF498+CG498+CH498)/3),0.1))))))))</f>
        <v/>
      </c>
      <c r="CJ498" s="21" t="n"/>
      <c r="CK498" s="21" t="n"/>
      <c r="CL498" s="27">
        <f>SUM(CJ498:CK498)</f>
        <v/>
      </c>
      <c r="CM498" s="28" t="n"/>
      <c r="CN498" s="31" t="n"/>
      <c r="CO498" s="29">
        <f>IF(AND(CL498=0,CM498=0,CN498=0),0,IF(AND(CL498=0,CM498=0),CN498/1,IF(AND(CL498=0,CN498=0),CM498/1,IF(AND(CM498=0,CN498=0),CL498/1,IF(CL498=0,FLOOR((CM498+CN498)/2,0.1),IF(CM498=0,(CL498+CN498)/2,IF(CN498=0,(CM498+CL498)/2,FLOOR(((CL498+CM498+CN498)/3),0.1))))))))</f>
        <v/>
      </c>
      <c r="CP498" s="21" t="n"/>
      <c r="CQ498" s="21" t="n"/>
      <c r="CR498" s="27">
        <f>SUM(CP498:CQ498)</f>
        <v/>
      </c>
      <c r="CS498" s="28" t="n"/>
      <c r="CT498" s="31" t="n"/>
      <c r="CU498" s="29">
        <f>IF(AND(CR498=0,CS498=0,CT498=0),0,IF(AND(CR498=0,CS498=0),CT498/1,IF(AND(CR498=0,CT498=0),CS498/1,IF(AND(CS498=0,CT498=0),CR498/1,IF(CR498=0,FLOOR((CS498+CT498)/2,0.1),IF(CS498=0,(CR498+CT498)/2,IF(CT498=0,(CS498+CR498)/2,FLOOR(((CR498+CS498+CT498)/3),0.1))))))))</f>
        <v/>
      </c>
      <c r="CV498" s="21" t="n"/>
      <c r="CW498" s="21" t="n"/>
      <c r="CX498" s="27">
        <f>SUM(CV498:CW498)</f>
        <v/>
      </c>
      <c r="CY498" s="28" t="n"/>
      <c r="CZ498" s="31" t="n"/>
      <c r="DA498" s="29">
        <f>IF(AND(CX498=0,CY498=0,CZ498=0),0,IF(AND(CX498=0,CY498=0),CZ498/1,IF(AND(CX498=0,CZ498=0),CY498/1,IF(AND(CY498=0,CZ498=0),CX498/1,IF(CX498=0,FLOOR((CY498+CZ498)/2,0.1),IF(CY498=0,(CX498+CZ498)/2,IF(CZ498=0,(CY498+CX498)/2,FLOOR(((CX498+CY498+CZ498)/3),0.1))))))))</f>
        <v/>
      </c>
      <c r="DB498" s="21" t="n"/>
      <c r="DC498" s="21" t="n"/>
      <c r="DD498" s="27">
        <f>SUM(DB498:DC498)</f>
        <v/>
      </c>
      <c r="DE498" s="28" t="n"/>
      <c r="DF498" s="31" t="n"/>
      <c r="DG498" s="29">
        <f>IF(AND(DD498=0,DE498=0,DF498=0),0,IF(AND(DD498=0,DE498=0),DF498/1,IF(AND(DD498=0,DF498=0),DE498/1,IF(AND(DE498=0,DF498=0),DD498/1,IF(DD498=0,FLOOR((DE498+DF498)/2,0.1),IF(DE498=0,(DD498+DF498)/2,IF(DF498=0,(DE498+DD498)/2,FLOOR(((DD498+DE498+DF498)/3),0.1))))))))</f>
        <v/>
      </c>
      <c r="DH498" s="34">
        <f>SUM(O498,U498,AA498,AG498,AM498,AS498,AY498,BE498,BK498,BQ498,BW498,CC498,CI498,CO498,CU498,DA498,DG498)</f>
        <v/>
      </c>
      <c r="DI498" s="39">
        <f>RANK(DH498,DH$4:DH$503)</f>
        <v/>
      </c>
      <c r="DJ498" s="40" t="inlineStr">
        <is>
          <t>CHOOSE RATING</t>
        </is>
      </c>
      <c r="DK498" s="40" t="inlineStr">
        <is>
          <t>CHOOSE RATING</t>
        </is>
      </c>
      <c r="DL498" s="40" t="inlineStr">
        <is>
          <t>CHOOSE RATING</t>
        </is>
      </c>
      <c r="DM498" s="40" t="inlineStr">
        <is>
          <t>CHOOSE RATING</t>
        </is>
      </c>
      <c r="DN498" s="40" t="inlineStr">
        <is>
          <t>CHOOSE RATING</t>
        </is>
      </c>
      <c r="DO498" s="40" t="inlineStr">
        <is>
          <t>CHOOSE RATING</t>
        </is>
      </c>
      <c r="DP498" s="40" t="inlineStr">
        <is>
          <t>CHOOSE RATING</t>
        </is>
      </c>
      <c r="DQ498" s="40" t="inlineStr">
        <is>
          <t>CHOOSE RATING</t>
        </is>
      </c>
      <c r="DR498" s="43" t="inlineStr">
        <is>
          <t>2024/2025</t>
        </is>
      </c>
      <c r="DS498" s="45" t="inlineStr">
        <is>
          <t>THIRD</t>
        </is>
      </c>
      <c r="DT498" s="40" t="inlineStr">
        <is>
          <t>CHOOSE RATING</t>
        </is>
      </c>
      <c r="DU498" s="40" t="inlineStr">
        <is>
          <t>CHOOSE RATING</t>
        </is>
      </c>
      <c r="DV498" s="40" t="inlineStr">
        <is>
          <t>CHOOSE RATING</t>
        </is>
      </c>
      <c r="DW498" s="40" t="inlineStr">
        <is>
          <t>CHOOSE RATING</t>
        </is>
      </c>
      <c r="DX498" s="40" t="inlineStr">
        <is>
          <t>CHOOSE RATING</t>
        </is>
      </c>
      <c r="DY498" s="40" t="inlineStr">
        <is>
          <t>CHOOSE RATING</t>
        </is>
      </c>
      <c r="DZ498" s="53" t="inlineStr">
        <is>
          <t>CHOOSE RATING</t>
        </is>
      </c>
      <c r="EA498" s="54" t="inlineStr">
        <is>
          <t>Add the Tutor's Comment . . .</t>
        </is>
      </c>
      <c r="EB498" s="55" t="inlineStr">
        <is>
          <t>Choose Principals comment</t>
        </is>
      </c>
      <c r="EC498" s="56" t="n"/>
      <c r="ED498" s="57" t="inlineStr">
        <is>
          <t>Next Term Begins on Monday, 22nd September, 2025</t>
        </is>
      </c>
    </row>
    <row r="499" ht="30.6" customHeight="1" s="6">
      <c r="A499" s="18" t="n">
        <v>496</v>
      </c>
      <c r="B499" s="19" t="n"/>
      <c r="C499" s="20" t="n"/>
      <c r="D499" s="128" t="n"/>
      <c r="E499" s="21" t="n"/>
      <c r="F499" s="22" t="n"/>
      <c r="G499" s="22" t="n"/>
      <c r="H499" s="22" t="n"/>
      <c r="I499" s="26">
        <f>G499-H499</f>
        <v/>
      </c>
      <c r="J499" s="21" t="n"/>
      <c r="K499" s="21" t="n"/>
      <c r="L499" s="27">
        <f>SUM(J499:K499)</f>
        <v/>
      </c>
      <c r="M499" s="28" t="n"/>
      <c r="N499" s="28" t="n"/>
      <c r="O499" s="29">
        <f>IF(AND(L499=0,M499=0,N499=0),0,IF(AND(L499=0,M499=0),N499/1,IF(AND(L499=0,N499=0),M499/1,IF(AND(M499=0,N499=0),L499/1,IF(L499=0,FLOOR((M499+N499)/2,0.1),IF(M499=0,(L499+N499)/2,IF(N499=0,(M499+L499)/2,FLOOR(((L499+M499+N499)/3),0.1))))))))</f>
        <v/>
      </c>
      <c r="P499" s="21" t="n"/>
      <c r="Q499" s="21" t="n"/>
      <c r="R499" s="27">
        <f>SUM(P499:Q499)</f>
        <v/>
      </c>
      <c r="S499" s="28" t="n"/>
      <c r="T499" s="28" t="n"/>
      <c r="U499" s="29">
        <f>IF(AND(R499=0,S499=0,T499=0),0,IF(AND(R499=0,S499=0),T499/1,IF(AND(R499=0,T499=0),S499/1,IF(AND(S499=0,T499=0),R499/1,IF(R499=0,FLOOR((S499+T499)/2,0.1),IF(S499=0,(R499+T499)/2,IF(T499=0,(S499+R499)/2,FLOOR(((R499+S499+T499)/3),0.1))))))))</f>
        <v/>
      </c>
      <c r="V499" s="21" t="n"/>
      <c r="W499" s="21" t="n"/>
      <c r="X499" s="27">
        <f>SUM(V499:W499)</f>
        <v/>
      </c>
      <c r="Y499" s="28" t="n"/>
      <c r="Z499" s="28" t="n"/>
      <c r="AA499" s="29">
        <f>IF(AND(X499=0,Y499=0,Z499=0),0,IF(AND(X499=0,Y499=0),Z499/1,IF(AND(X499=0,Z499=0),Y499/1,IF(AND(Y499=0,Z499=0),X499/1,IF(X499=0,FLOOR((Y499+Z499)/2,0.1),IF(Y499=0,(X499+Z499)/2,IF(Z499=0,(Y499+X499)/2,FLOOR(((X499+Y499+Z499)/3),0.1))))))))</f>
        <v/>
      </c>
      <c r="AB499" s="21" t="n"/>
      <c r="AC499" s="21" t="n"/>
      <c r="AD499" s="27">
        <f>SUM(AB499:AC499)</f>
        <v/>
      </c>
      <c r="AE499" s="28" t="n"/>
      <c r="AF499" s="28" t="n"/>
      <c r="AG499" s="29">
        <f>IF(AND(AD499=0,AE499=0,AF499=0),0,IF(AND(AD499=0,AE499=0),AF499/1,IF(AND(AD499=0,AF499=0),AE499/1,IF(AND(AE499=0,AF499=0),AD499/1,IF(AD499=0,FLOOR((AE499+AF499)/2,0.1),IF(AE499=0,(AD499+AF499)/2,IF(AF499=0,(AE499+AD499)/2,FLOOR(((AD499+AE499+AF499)/3),0.1))))))))</f>
        <v/>
      </c>
      <c r="AH499" s="21" t="n"/>
      <c r="AI499" s="21" t="n"/>
      <c r="AJ499" s="27">
        <f>SUM(AH499:AI499)</f>
        <v/>
      </c>
      <c r="AK499" s="28" t="n"/>
      <c r="AL499" s="28" t="n"/>
      <c r="AM499" s="29">
        <f>IF(AND(AJ499=0,AK499=0,AL499=0),0,IF(AND(AJ499=0,AK499=0),AL499/1,IF(AND(AJ499=0,AL499=0),AK499/1,IF(AND(AK499=0,AL499=0),AJ499/1,IF(AJ499=0,FLOOR((AK499+AL499)/2,0.1),IF(AK499=0,(AJ499+AL499)/2,IF(AL499=0,(AK499+AJ499)/2,FLOOR(((AJ499+AK499+AL499)/3),0.1))))))))</f>
        <v/>
      </c>
      <c r="AN499" s="21" t="n"/>
      <c r="AO499" s="21" t="n"/>
      <c r="AP499" s="27">
        <f>SUM(AN499:AO499)</f>
        <v/>
      </c>
      <c r="AQ499" s="28" t="n"/>
      <c r="AR499" s="30" t="n"/>
      <c r="AS499" s="29">
        <f>IF(AND(AP499=0,AQ499=0,AR499=0),0,IF(AND(AP499=0,AQ499=0),AR499/1,IF(AND(AP499=0,AR499=0),AQ499/1,IF(AND(AQ499=0,AR499=0),AP499/1,IF(AP499=0,FLOOR((AQ499+AR499)/2,0.1),IF(AQ499=0,(AP499+AR499)/2,IF(AR499=0,(AQ499+AP499)/2,FLOOR(((AP499+AQ499+AR499)/3),0.1))))))))</f>
        <v/>
      </c>
      <c r="AT499" s="21" t="n"/>
      <c r="AU499" s="21" t="n"/>
      <c r="AV499" s="27">
        <f>SUM(AT499:AU499)</f>
        <v/>
      </c>
      <c r="AW499" s="28" t="n"/>
      <c r="AX499" s="30" t="n"/>
      <c r="AY499" s="29">
        <f>IF(AND(AV499=0,AW499=0,AX499=0),0,IF(AND(AV499=0,AW499=0),AX499/1,IF(AND(AV499=0,AX499=0),AW499/1,IF(AND(AW499=0,AX499=0),AV499/1,IF(AV499=0,FLOOR((AW499+AX499)/2,0.1),IF(AW499=0,(AV499+AX499)/2,IF(AX499=0,(AW499+AV499)/2,FLOOR(((AV499+AW499+AX499)/3),0.1))))))))</f>
        <v/>
      </c>
      <c r="AZ499" s="21" t="n"/>
      <c r="BA499" s="21" t="n"/>
      <c r="BB499" s="27">
        <f>SUM(AZ499:BA499)</f>
        <v/>
      </c>
      <c r="BC499" s="28" t="n"/>
      <c r="BD499" s="28" t="n"/>
      <c r="BE499" s="29">
        <f>IF(AND(BB499=0,BC499=0,BD499=0),0,IF(AND(BB499=0,BC499=0),BD499/1,IF(AND(BB499=0,BD499=0),BC499/1,IF(AND(BC499=0,BD499=0),BB499/1,IF(BB499=0,FLOOR((BC499+BD499)/2,0.1),IF(BC499=0,(BB499+BD499)/2,IF(BD499=0,(BC499+BB499)/2,FLOOR(((BB499+BC499+BD499)/3),0.1))))))))</f>
        <v/>
      </c>
      <c r="BF499" s="21" t="n"/>
      <c r="BG499" s="21" t="n"/>
      <c r="BH499" s="27">
        <f>SUM(BF499:BG499)</f>
        <v/>
      </c>
      <c r="BI499" s="28" t="n"/>
      <c r="BJ499" s="28" t="n"/>
      <c r="BK499" s="29">
        <f>IF(AND(BH499=0,BI499=0,BJ499=0),0,IF(AND(BH499=0,BI499=0),BJ499/1,IF(AND(BH499=0,BJ499=0),BI499/1,IF(AND(BI499=0,BJ499=0),BH499/1,IF(BH499=0,FLOOR((BI499+BJ499)/2,0.1),IF(BI499=0,(BH499+BJ499)/2,IF(BJ499=0,(BI499+BH499)/2,FLOOR(((BH499+BI499+BJ499)/3),0.1))))))))</f>
        <v/>
      </c>
      <c r="BL499" s="21" t="n"/>
      <c r="BM499" s="21" t="n"/>
      <c r="BN499" s="27">
        <f>SUM(BL499:BM499)</f>
        <v/>
      </c>
      <c r="BO499" s="28" t="n"/>
      <c r="BP499" s="31" t="n"/>
      <c r="BQ499" s="29">
        <f>IF(AND(BN499=0,BO499=0,BP499=0),0,IF(AND(BN499=0,BO499=0),BP499/1,IF(AND(BN499=0,BP499=0),BO499/1,IF(AND(BO499=0,BP499=0),BN499/1,IF(BN499=0,FLOOR((BO499+BP499)/2,0.1),IF(BO499=0,(BN499+BP499)/2,IF(BP499=0,(BO499+BN499)/2,FLOOR(((BN499+BO499+BP499)/3),0.1))))))))</f>
        <v/>
      </c>
      <c r="BR499" s="21" t="n"/>
      <c r="BS499" s="21" t="n"/>
      <c r="BT499" s="27">
        <f>SUM(BR499:BS499)</f>
        <v/>
      </c>
      <c r="BU499" s="28" t="n"/>
      <c r="BV499" s="31" t="n"/>
      <c r="BW499" s="29">
        <f>IF(AND(BT499=0,BU499=0,BV499=0),0,IF(AND(BT499=0,BU499=0),BV499/1,IF(AND(BT499=0,BV499=0),BU499/1,IF(AND(BU499=0,BV499=0),BT499/1,IF(BT499=0,FLOOR((BU499+BV499)/2,0.1),IF(BU499=0,(BT499+BV499)/2,IF(BV499=0,(BU499+BT499)/2,FLOOR(((BT499+BU499+BV499)/3),0.1))))))))</f>
        <v/>
      </c>
      <c r="BX499" s="21" t="n"/>
      <c r="BY499" s="21" t="n"/>
      <c r="BZ499" s="27">
        <f>SUM(BX499:BY499)</f>
        <v/>
      </c>
      <c r="CA499" s="28" t="n"/>
      <c r="CB499" s="31" t="n"/>
      <c r="CC499" s="29">
        <f>IF(AND(BZ499=0,CA499=0,CB499=0),0,IF(AND(BZ499=0,CA499=0),CB499/1,IF(AND(BZ499=0,CB499=0),CA499/1,IF(AND(CA499=0,CB499=0),BZ499/1,IF(BZ499=0,FLOOR((CA499+CB499)/2,0.1),IF(CA499=0,(BZ499+CB499)/2,IF(CB499=0,(CA499+BZ499)/2,FLOOR(((BZ499+CA499+CB499)/3),0.1))))))))</f>
        <v/>
      </c>
      <c r="CD499" s="21" t="n"/>
      <c r="CE499" s="21" t="n"/>
      <c r="CF499" s="27">
        <f>SUM(CD499:CE499)</f>
        <v/>
      </c>
      <c r="CG499" s="28" t="n"/>
      <c r="CH499" s="31" t="n"/>
      <c r="CI499" s="29">
        <f>IF(AND(CF499=0,CG499=0,CH499=0),0,IF(AND(CF499=0,CG499=0),CH499/1,IF(AND(CF499=0,CH499=0),CG499/1,IF(AND(CG499=0,CH499=0),CF499/1,IF(CF499=0,FLOOR((CG499+CH499)/2,0.1),IF(CG499=0,(CF499+CH499)/2,IF(CH499=0,(CG499+CF499)/2,FLOOR(((CF499+CG499+CH499)/3),0.1))))))))</f>
        <v/>
      </c>
      <c r="CJ499" s="21" t="n"/>
      <c r="CK499" s="21" t="n"/>
      <c r="CL499" s="27">
        <f>SUM(CJ499:CK499)</f>
        <v/>
      </c>
      <c r="CM499" s="28" t="n"/>
      <c r="CN499" s="31" t="n"/>
      <c r="CO499" s="29">
        <f>IF(AND(CL499=0,CM499=0,CN499=0),0,IF(AND(CL499=0,CM499=0),CN499/1,IF(AND(CL499=0,CN499=0),CM499/1,IF(AND(CM499=0,CN499=0),CL499/1,IF(CL499=0,FLOOR((CM499+CN499)/2,0.1),IF(CM499=0,(CL499+CN499)/2,IF(CN499=0,(CM499+CL499)/2,FLOOR(((CL499+CM499+CN499)/3),0.1))))))))</f>
        <v/>
      </c>
      <c r="CP499" s="21" t="n"/>
      <c r="CQ499" s="21" t="n"/>
      <c r="CR499" s="27">
        <f>SUM(CP499:CQ499)</f>
        <v/>
      </c>
      <c r="CS499" s="28" t="n"/>
      <c r="CT499" s="31" t="n"/>
      <c r="CU499" s="29">
        <f>IF(AND(CR499=0,CS499=0,CT499=0),0,IF(AND(CR499=0,CS499=0),CT499/1,IF(AND(CR499=0,CT499=0),CS499/1,IF(AND(CS499=0,CT499=0),CR499/1,IF(CR499=0,FLOOR((CS499+CT499)/2,0.1),IF(CS499=0,(CR499+CT499)/2,IF(CT499=0,(CS499+CR499)/2,FLOOR(((CR499+CS499+CT499)/3),0.1))))))))</f>
        <v/>
      </c>
      <c r="CV499" s="21" t="n"/>
      <c r="CW499" s="21" t="n"/>
      <c r="CX499" s="27">
        <f>SUM(CV499:CW499)</f>
        <v/>
      </c>
      <c r="CY499" s="28" t="n"/>
      <c r="CZ499" s="31" t="n"/>
      <c r="DA499" s="29">
        <f>IF(AND(CX499=0,CY499=0,CZ499=0),0,IF(AND(CX499=0,CY499=0),CZ499/1,IF(AND(CX499=0,CZ499=0),CY499/1,IF(AND(CY499=0,CZ499=0),CX499/1,IF(CX499=0,FLOOR((CY499+CZ499)/2,0.1),IF(CY499=0,(CX499+CZ499)/2,IF(CZ499=0,(CY499+CX499)/2,FLOOR(((CX499+CY499+CZ499)/3),0.1))))))))</f>
        <v/>
      </c>
      <c r="DB499" s="21" t="n"/>
      <c r="DC499" s="21" t="n"/>
      <c r="DD499" s="27">
        <f>SUM(DB499:DC499)</f>
        <v/>
      </c>
      <c r="DE499" s="28" t="n"/>
      <c r="DF499" s="31" t="n"/>
      <c r="DG499" s="29">
        <f>IF(AND(DD499=0,DE499=0,DF499=0),0,IF(AND(DD499=0,DE499=0),DF499/1,IF(AND(DD499=0,DF499=0),DE499/1,IF(AND(DE499=0,DF499=0),DD499/1,IF(DD499=0,FLOOR((DE499+DF499)/2,0.1),IF(DE499=0,(DD499+DF499)/2,IF(DF499=0,(DE499+DD499)/2,FLOOR(((DD499+DE499+DF499)/3),0.1))))))))</f>
        <v/>
      </c>
      <c r="DH499" s="34">
        <f>SUM(O499,U499,AA499,AG499,AM499,AS499,AY499,BE499,BK499,BQ499,BW499,CC499,CI499,CO499,CU499,DA499,DG499)</f>
        <v/>
      </c>
      <c r="DI499" s="39">
        <f>RANK(DH499,DH$4:DH$503)</f>
        <v/>
      </c>
      <c r="DJ499" s="40" t="inlineStr">
        <is>
          <t>CHOOSE RATING</t>
        </is>
      </c>
      <c r="DK499" s="40" t="inlineStr">
        <is>
          <t>CHOOSE RATING</t>
        </is>
      </c>
      <c r="DL499" s="40" t="inlineStr">
        <is>
          <t>CHOOSE RATING</t>
        </is>
      </c>
      <c r="DM499" s="40" t="inlineStr">
        <is>
          <t>CHOOSE RATING</t>
        </is>
      </c>
      <c r="DN499" s="40" t="inlineStr">
        <is>
          <t>CHOOSE RATING</t>
        </is>
      </c>
      <c r="DO499" s="40" t="inlineStr">
        <is>
          <t>CHOOSE RATING</t>
        </is>
      </c>
      <c r="DP499" s="40" t="inlineStr">
        <is>
          <t>CHOOSE RATING</t>
        </is>
      </c>
      <c r="DQ499" s="40" t="inlineStr">
        <is>
          <t>CHOOSE RATING</t>
        </is>
      </c>
      <c r="DR499" s="43" t="inlineStr">
        <is>
          <t>2024/2025</t>
        </is>
      </c>
      <c r="DS499" s="45" t="inlineStr">
        <is>
          <t>THIRD</t>
        </is>
      </c>
      <c r="DT499" s="40" t="inlineStr">
        <is>
          <t>CHOOSE RATING</t>
        </is>
      </c>
      <c r="DU499" s="40" t="inlineStr">
        <is>
          <t>CHOOSE RATING</t>
        </is>
      </c>
      <c r="DV499" s="40" t="inlineStr">
        <is>
          <t>CHOOSE RATING</t>
        </is>
      </c>
      <c r="DW499" s="40" t="inlineStr">
        <is>
          <t>CHOOSE RATING</t>
        </is>
      </c>
      <c r="DX499" s="40" t="inlineStr">
        <is>
          <t>CHOOSE RATING</t>
        </is>
      </c>
      <c r="DY499" s="40" t="inlineStr">
        <is>
          <t>CHOOSE RATING</t>
        </is>
      </c>
      <c r="DZ499" s="53" t="inlineStr">
        <is>
          <t>CHOOSE RATING</t>
        </is>
      </c>
      <c r="EA499" s="54" t="inlineStr">
        <is>
          <t>Add the Tutor's Comment . . .</t>
        </is>
      </c>
      <c r="EB499" s="55" t="inlineStr">
        <is>
          <t>Choose Principals comment</t>
        </is>
      </c>
      <c r="EC499" s="56" t="n"/>
      <c r="ED499" s="57" t="inlineStr">
        <is>
          <t>Next Term Begins on Monday, 22nd September, 2025</t>
        </is>
      </c>
    </row>
    <row r="500" ht="30.6" customHeight="1" s="6">
      <c r="A500" s="18" t="n">
        <v>497</v>
      </c>
      <c r="B500" s="19" t="n"/>
      <c r="C500" s="20" t="n"/>
      <c r="D500" s="128" t="n"/>
      <c r="E500" s="21" t="n"/>
      <c r="F500" s="22" t="n"/>
      <c r="G500" s="22" t="n"/>
      <c r="H500" s="22" t="n"/>
      <c r="I500" s="26">
        <f>G500-H500</f>
        <v/>
      </c>
      <c r="J500" s="21" t="n"/>
      <c r="K500" s="21" t="n"/>
      <c r="L500" s="27">
        <f>SUM(J500:K500)</f>
        <v/>
      </c>
      <c r="M500" s="28" t="n"/>
      <c r="N500" s="28" t="n"/>
      <c r="O500" s="29">
        <f>IF(AND(L500=0,M500=0,N500=0),0,IF(AND(L500=0,M500=0),N500/1,IF(AND(L500=0,N500=0),M500/1,IF(AND(M500=0,N500=0),L500/1,IF(L500=0,FLOOR((M500+N500)/2,0.1),IF(M500=0,(L500+N500)/2,IF(N500=0,(M500+L500)/2,FLOOR(((L500+M500+N500)/3),0.1))))))))</f>
        <v/>
      </c>
      <c r="P500" s="21" t="n"/>
      <c r="Q500" s="21" t="n"/>
      <c r="R500" s="27">
        <f>SUM(P500:Q500)</f>
        <v/>
      </c>
      <c r="S500" s="28" t="n"/>
      <c r="T500" s="28" t="n"/>
      <c r="U500" s="29">
        <f>IF(AND(R500=0,S500=0,T500=0),0,IF(AND(R500=0,S500=0),T500/1,IF(AND(R500=0,T500=0),S500/1,IF(AND(S500=0,T500=0),R500/1,IF(R500=0,FLOOR((S500+T500)/2,0.1),IF(S500=0,(R500+T500)/2,IF(T500=0,(S500+R500)/2,FLOOR(((R500+S500+T500)/3),0.1))))))))</f>
        <v/>
      </c>
      <c r="V500" s="21" t="n"/>
      <c r="W500" s="21" t="n"/>
      <c r="X500" s="27">
        <f>SUM(V500:W500)</f>
        <v/>
      </c>
      <c r="Y500" s="28" t="n"/>
      <c r="Z500" s="28" t="n"/>
      <c r="AA500" s="29">
        <f>IF(AND(X500=0,Y500=0,Z500=0),0,IF(AND(X500=0,Y500=0),Z500/1,IF(AND(X500=0,Z500=0),Y500/1,IF(AND(Y500=0,Z500=0),X500/1,IF(X500=0,FLOOR((Y500+Z500)/2,0.1),IF(Y500=0,(X500+Z500)/2,IF(Z500=0,(Y500+X500)/2,FLOOR(((X500+Y500+Z500)/3),0.1))))))))</f>
        <v/>
      </c>
      <c r="AB500" s="21" t="n"/>
      <c r="AC500" s="21" t="n"/>
      <c r="AD500" s="27">
        <f>SUM(AB500:AC500)</f>
        <v/>
      </c>
      <c r="AE500" s="28" t="n"/>
      <c r="AF500" s="28" t="n"/>
      <c r="AG500" s="29">
        <f>IF(AND(AD500=0,AE500=0,AF500=0),0,IF(AND(AD500=0,AE500=0),AF500/1,IF(AND(AD500=0,AF500=0),AE500/1,IF(AND(AE500=0,AF500=0),AD500/1,IF(AD500=0,FLOOR((AE500+AF500)/2,0.1),IF(AE500=0,(AD500+AF500)/2,IF(AF500=0,(AE500+AD500)/2,FLOOR(((AD500+AE500+AF500)/3),0.1))))))))</f>
        <v/>
      </c>
      <c r="AH500" s="21" t="n"/>
      <c r="AI500" s="21" t="n"/>
      <c r="AJ500" s="27">
        <f>SUM(AH500:AI500)</f>
        <v/>
      </c>
      <c r="AK500" s="28" t="n"/>
      <c r="AL500" s="28" t="n"/>
      <c r="AM500" s="29">
        <f>IF(AND(AJ500=0,AK500=0,AL500=0),0,IF(AND(AJ500=0,AK500=0),AL500/1,IF(AND(AJ500=0,AL500=0),AK500/1,IF(AND(AK500=0,AL500=0),AJ500/1,IF(AJ500=0,FLOOR((AK500+AL500)/2,0.1),IF(AK500=0,(AJ500+AL500)/2,IF(AL500=0,(AK500+AJ500)/2,FLOOR(((AJ500+AK500+AL500)/3),0.1))))))))</f>
        <v/>
      </c>
      <c r="AN500" s="21" t="n"/>
      <c r="AO500" s="21" t="n"/>
      <c r="AP500" s="27">
        <f>SUM(AN500:AO500)</f>
        <v/>
      </c>
      <c r="AQ500" s="28" t="n"/>
      <c r="AR500" s="30" t="n"/>
      <c r="AS500" s="29">
        <f>IF(AND(AP500=0,AQ500=0,AR500=0),0,IF(AND(AP500=0,AQ500=0),AR500/1,IF(AND(AP500=0,AR500=0),AQ500/1,IF(AND(AQ500=0,AR500=0),AP500/1,IF(AP500=0,FLOOR((AQ500+AR500)/2,0.1),IF(AQ500=0,(AP500+AR500)/2,IF(AR500=0,(AQ500+AP500)/2,FLOOR(((AP500+AQ500+AR500)/3),0.1))))))))</f>
        <v/>
      </c>
      <c r="AT500" s="21" t="n"/>
      <c r="AU500" s="21" t="n"/>
      <c r="AV500" s="27">
        <f>SUM(AT500:AU500)</f>
        <v/>
      </c>
      <c r="AW500" s="28" t="n"/>
      <c r="AX500" s="30" t="n"/>
      <c r="AY500" s="29">
        <f>IF(AND(AV500=0,AW500=0,AX500=0),0,IF(AND(AV500=0,AW500=0),AX500/1,IF(AND(AV500=0,AX500=0),AW500/1,IF(AND(AW500=0,AX500=0),AV500/1,IF(AV500=0,FLOOR((AW500+AX500)/2,0.1),IF(AW500=0,(AV500+AX500)/2,IF(AX500=0,(AW500+AV500)/2,FLOOR(((AV500+AW500+AX500)/3),0.1))))))))</f>
        <v/>
      </c>
      <c r="AZ500" s="21" t="n"/>
      <c r="BA500" s="21" t="n"/>
      <c r="BB500" s="27">
        <f>SUM(AZ500:BA500)</f>
        <v/>
      </c>
      <c r="BC500" s="28" t="n"/>
      <c r="BD500" s="28" t="n"/>
      <c r="BE500" s="29">
        <f>IF(AND(BB500=0,BC500=0,BD500=0),0,IF(AND(BB500=0,BC500=0),BD500/1,IF(AND(BB500=0,BD500=0),BC500/1,IF(AND(BC500=0,BD500=0),BB500/1,IF(BB500=0,FLOOR((BC500+BD500)/2,0.1),IF(BC500=0,(BB500+BD500)/2,IF(BD500=0,(BC500+BB500)/2,FLOOR(((BB500+BC500+BD500)/3),0.1))))))))</f>
        <v/>
      </c>
      <c r="BF500" s="21" t="n"/>
      <c r="BG500" s="21" t="n"/>
      <c r="BH500" s="27">
        <f>SUM(BF500:BG500)</f>
        <v/>
      </c>
      <c r="BI500" s="28" t="n"/>
      <c r="BJ500" s="28" t="n"/>
      <c r="BK500" s="29">
        <f>IF(AND(BH500=0,BI500=0,BJ500=0),0,IF(AND(BH500=0,BI500=0),BJ500/1,IF(AND(BH500=0,BJ500=0),BI500/1,IF(AND(BI500=0,BJ500=0),BH500/1,IF(BH500=0,FLOOR((BI500+BJ500)/2,0.1),IF(BI500=0,(BH500+BJ500)/2,IF(BJ500=0,(BI500+BH500)/2,FLOOR(((BH500+BI500+BJ500)/3),0.1))))))))</f>
        <v/>
      </c>
      <c r="BL500" s="21" t="n"/>
      <c r="BM500" s="21" t="n"/>
      <c r="BN500" s="27">
        <f>SUM(BL500:BM500)</f>
        <v/>
      </c>
      <c r="BO500" s="28" t="n"/>
      <c r="BP500" s="31" t="n"/>
      <c r="BQ500" s="29">
        <f>IF(AND(BN500=0,BO500=0,BP500=0),0,IF(AND(BN500=0,BO500=0),BP500/1,IF(AND(BN500=0,BP500=0),BO500/1,IF(AND(BO500=0,BP500=0),BN500/1,IF(BN500=0,FLOOR((BO500+BP500)/2,0.1),IF(BO500=0,(BN500+BP500)/2,IF(BP500=0,(BO500+BN500)/2,FLOOR(((BN500+BO500+BP500)/3),0.1))))))))</f>
        <v/>
      </c>
      <c r="BR500" s="21" t="n"/>
      <c r="BS500" s="21" t="n"/>
      <c r="BT500" s="27">
        <f>SUM(BR500:BS500)</f>
        <v/>
      </c>
      <c r="BU500" s="28" t="n"/>
      <c r="BV500" s="31" t="n"/>
      <c r="BW500" s="29">
        <f>IF(AND(BT500=0,BU500=0,BV500=0),0,IF(AND(BT500=0,BU500=0),BV500/1,IF(AND(BT500=0,BV500=0),BU500/1,IF(AND(BU500=0,BV500=0),BT500/1,IF(BT500=0,FLOOR((BU500+BV500)/2,0.1),IF(BU500=0,(BT500+BV500)/2,IF(BV500=0,(BU500+BT500)/2,FLOOR(((BT500+BU500+BV500)/3),0.1))))))))</f>
        <v/>
      </c>
      <c r="BX500" s="21" t="n"/>
      <c r="BY500" s="21" t="n"/>
      <c r="BZ500" s="27">
        <f>SUM(BX500:BY500)</f>
        <v/>
      </c>
      <c r="CA500" s="28" t="n"/>
      <c r="CB500" s="31" t="n"/>
      <c r="CC500" s="29">
        <f>IF(AND(BZ500=0,CA500=0,CB500=0),0,IF(AND(BZ500=0,CA500=0),CB500/1,IF(AND(BZ500=0,CB500=0),CA500/1,IF(AND(CA500=0,CB500=0),BZ500/1,IF(BZ500=0,FLOOR((CA500+CB500)/2,0.1),IF(CA500=0,(BZ500+CB500)/2,IF(CB500=0,(CA500+BZ500)/2,FLOOR(((BZ500+CA500+CB500)/3),0.1))))))))</f>
        <v/>
      </c>
      <c r="CD500" s="21" t="n"/>
      <c r="CE500" s="21" t="n"/>
      <c r="CF500" s="27">
        <f>SUM(CD500:CE500)</f>
        <v/>
      </c>
      <c r="CG500" s="28" t="n"/>
      <c r="CH500" s="31" t="n"/>
      <c r="CI500" s="29">
        <f>IF(AND(CF500=0,CG500=0,CH500=0),0,IF(AND(CF500=0,CG500=0),CH500/1,IF(AND(CF500=0,CH500=0),CG500/1,IF(AND(CG500=0,CH500=0),CF500/1,IF(CF500=0,FLOOR((CG500+CH500)/2,0.1),IF(CG500=0,(CF500+CH500)/2,IF(CH500=0,(CG500+CF500)/2,FLOOR(((CF500+CG500+CH500)/3),0.1))))))))</f>
        <v/>
      </c>
      <c r="CJ500" s="21" t="n"/>
      <c r="CK500" s="21" t="n"/>
      <c r="CL500" s="27">
        <f>SUM(CJ500:CK500)</f>
        <v/>
      </c>
      <c r="CM500" s="28" t="n"/>
      <c r="CN500" s="31" t="n"/>
      <c r="CO500" s="29">
        <f>IF(AND(CL500=0,CM500=0,CN500=0),0,IF(AND(CL500=0,CM500=0),CN500/1,IF(AND(CL500=0,CN500=0),CM500/1,IF(AND(CM500=0,CN500=0),CL500/1,IF(CL500=0,FLOOR((CM500+CN500)/2,0.1),IF(CM500=0,(CL500+CN500)/2,IF(CN500=0,(CM500+CL500)/2,FLOOR(((CL500+CM500+CN500)/3),0.1))))))))</f>
        <v/>
      </c>
      <c r="CP500" s="21" t="n"/>
      <c r="CQ500" s="21" t="n"/>
      <c r="CR500" s="27">
        <f>SUM(CP500:CQ500)</f>
        <v/>
      </c>
      <c r="CS500" s="28" t="n"/>
      <c r="CT500" s="31" t="n"/>
      <c r="CU500" s="29">
        <f>IF(AND(CR500=0,CS500=0,CT500=0),0,IF(AND(CR500=0,CS500=0),CT500/1,IF(AND(CR500=0,CT500=0),CS500/1,IF(AND(CS500=0,CT500=0),CR500/1,IF(CR500=0,FLOOR((CS500+CT500)/2,0.1),IF(CS500=0,(CR500+CT500)/2,IF(CT500=0,(CS500+CR500)/2,FLOOR(((CR500+CS500+CT500)/3),0.1))))))))</f>
        <v/>
      </c>
      <c r="CV500" s="21" t="n"/>
      <c r="CW500" s="21" t="n"/>
      <c r="CX500" s="27">
        <f>SUM(CV500:CW500)</f>
        <v/>
      </c>
      <c r="CY500" s="28" t="n"/>
      <c r="CZ500" s="31" t="n"/>
      <c r="DA500" s="29">
        <f>IF(AND(CX500=0,CY500=0,CZ500=0),0,IF(AND(CX500=0,CY500=0),CZ500/1,IF(AND(CX500=0,CZ500=0),CY500/1,IF(AND(CY500=0,CZ500=0),CX500/1,IF(CX500=0,FLOOR((CY500+CZ500)/2,0.1),IF(CY500=0,(CX500+CZ500)/2,IF(CZ500=0,(CY500+CX500)/2,FLOOR(((CX500+CY500+CZ500)/3),0.1))))))))</f>
        <v/>
      </c>
      <c r="DB500" s="21" t="n"/>
      <c r="DC500" s="21" t="n"/>
      <c r="DD500" s="27">
        <f>SUM(DB500:DC500)</f>
        <v/>
      </c>
      <c r="DE500" s="28" t="n"/>
      <c r="DF500" s="31" t="n"/>
      <c r="DG500" s="29">
        <f>IF(AND(DD500=0,DE500=0,DF500=0),0,IF(AND(DD500=0,DE500=0),DF500/1,IF(AND(DD500=0,DF500=0),DE500/1,IF(AND(DE500=0,DF500=0),DD500/1,IF(DD500=0,FLOOR((DE500+DF500)/2,0.1),IF(DE500=0,(DD500+DF500)/2,IF(DF500=0,(DE500+DD500)/2,FLOOR(((DD500+DE500+DF500)/3),0.1))))))))</f>
        <v/>
      </c>
      <c r="DH500" s="34">
        <f>SUM(O500,U500,AA500,AG500,AM500,AS500,AY500,BE500,BK500,BQ500,BW500,CC500,CI500,CO500,CU500,DA500,DG500)</f>
        <v/>
      </c>
      <c r="DI500" s="39">
        <f>RANK(DH500,DH$4:DH$503)</f>
        <v/>
      </c>
      <c r="DJ500" s="40" t="inlineStr">
        <is>
          <t>CHOOSE RATING</t>
        </is>
      </c>
      <c r="DK500" s="40" t="inlineStr">
        <is>
          <t>CHOOSE RATING</t>
        </is>
      </c>
      <c r="DL500" s="40" t="inlineStr">
        <is>
          <t>CHOOSE RATING</t>
        </is>
      </c>
      <c r="DM500" s="40" t="inlineStr">
        <is>
          <t>CHOOSE RATING</t>
        </is>
      </c>
      <c r="DN500" s="40" t="inlineStr">
        <is>
          <t>CHOOSE RATING</t>
        </is>
      </c>
      <c r="DO500" s="40" t="inlineStr">
        <is>
          <t>CHOOSE RATING</t>
        </is>
      </c>
      <c r="DP500" s="40" t="inlineStr">
        <is>
          <t>CHOOSE RATING</t>
        </is>
      </c>
      <c r="DQ500" s="40" t="inlineStr">
        <is>
          <t>CHOOSE RATING</t>
        </is>
      </c>
      <c r="DR500" s="43" t="inlineStr">
        <is>
          <t>2024/2025</t>
        </is>
      </c>
      <c r="DS500" s="45" t="inlineStr">
        <is>
          <t>THIRD</t>
        </is>
      </c>
      <c r="DT500" s="40" t="inlineStr">
        <is>
          <t>CHOOSE RATING</t>
        </is>
      </c>
      <c r="DU500" s="40" t="inlineStr">
        <is>
          <t>CHOOSE RATING</t>
        </is>
      </c>
      <c r="DV500" s="40" t="inlineStr">
        <is>
          <t>CHOOSE RATING</t>
        </is>
      </c>
      <c r="DW500" s="40" t="inlineStr">
        <is>
          <t>CHOOSE RATING</t>
        </is>
      </c>
      <c r="DX500" s="40" t="inlineStr">
        <is>
          <t>CHOOSE RATING</t>
        </is>
      </c>
      <c r="DY500" s="40" t="inlineStr">
        <is>
          <t>CHOOSE RATING</t>
        </is>
      </c>
      <c r="DZ500" s="53" t="inlineStr">
        <is>
          <t>CHOOSE RATING</t>
        </is>
      </c>
      <c r="EA500" s="54" t="inlineStr">
        <is>
          <t>Add the Tutor's Comment . . .</t>
        </is>
      </c>
      <c r="EB500" s="55" t="inlineStr">
        <is>
          <t>Choose Principals comment</t>
        </is>
      </c>
      <c r="EC500" s="56" t="n"/>
      <c r="ED500" s="57" t="inlineStr">
        <is>
          <t>Next Term Begins on Monday, 22nd September, 2025</t>
        </is>
      </c>
    </row>
    <row r="501" ht="30.6" customHeight="1" s="6">
      <c r="A501" s="18" t="n">
        <v>498</v>
      </c>
      <c r="B501" s="19" t="n"/>
      <c r="C501" s="20" t="n"/>
      <c r="D501" s="128" t="n"/>
      <c r="E501" s="21" t="n"/>
      <c r="F501" s="22" t="n"/>
      <c r="G501" s="22" t="n"/>
      <c r="H501" s="22" t="n"/>
      <c r="I501" s="26">
        <f>G501-H501</f>
        <v/>
      </c>
      <c r="J501" s="21" t="n"/>
      <c r="K501" s="21" t="n"/>
      <c r="L501" s="27">
        <f>SUM(J501:K501)</f>
        <v/>
      </c>
      <c r="M501" s="28" t="n"/>
      <c r="N501" s="28" t="n"/>
      <c r="O501" s="29">
        <f>IF(AND(L501=0,M501=0,N501=0),0,IF(AND(L501=0,M501=0),N501/1,IF(AND(L501=0,N501=0),M501/1,IF(AND(M501=0,N501=0),L501/1,IF(L501=0,FLOOR((M501+N501)/2,0.1),IF(M501=0,(L501+N501)/2,IF(N501=0,(M501+L501)/2,FLOOR(((L501+M501+N501)/3),0.1))))))))</f>
        <v/>
      </c>
      <c r="P501" s="21" t="n"/>
      <c r="Q501" s="21" t="n"/>
      <c r="R501" s="27">
        <f>SUM(P501:Q501)</f>
        <v/>
      </c>
      <c r="S501" s="28" t="n"/>
      <c r="T501" s="28" t="n"/>
      <c r="U501" s="29">
        <f>IF(AND(R501=0,S501=0,T501=0),0,IF(AND(R501=0,S501=0),T501/1,IF(AND(R501=0,T501=0),S501/1,IF(AND(S501=0,T501=0),R501/1,IF(R501=0,FLOOR((S501+T501)/2,0.1),IF(S501=0,(R501+T501)/2,IF(T501=0,(S501+R501)/2,FLOOR(((R501+S501+T501)/3),0.1))))))))</f>
        <v/>
      </c>
      <c r="V501" s="21" t="n"/>
      <c r="W501" s="21" t="n"/>
      <c r="X501" s="27">
        <f>SUM(V501:W501)</f>
        <v/>
      </c>
      <c r="Y501" s="28" t="n"/>
      <c r="Z501" s="28" t="n"/>
      <c r="AA501" s="29">
        <f>IF(AND(X501=0,Y501=0,Z501=0),0,IF(AND(X501=0,Y501=0),Z501/1,IF(AND(X501=0,Z501=0),Y501/1,IF(AND(Y501=0,Z501=0),X501/1,IF(X501=0,FLOOR((Y501+Z501)/2,0.1),IF(Y501=0,(X501+Z501)/2,IF(Z501=0,(Y501+X501)/2,FLOOR(((X501+Y501+Z501)/3),0.1))))))))</f>
        <v/>
      </c>
      <c r="AB501" s="21" t="n"/>
      <c r="AC501" s="21" t="n"/>
      <c r="AD501" s="27">
        <f>SUM(AB501:AC501)</f>
        <v/>
      </c>
      <c r="AE501" s="28" t="n"/>
      <c r="AF501" s="28" t="n"/>
      <c r="AG501" s="29">
        <f>IF(AND(AD501=0,AE501=0,AF501=0),0,IF(AND(AD501=0,AE501=0),AF501/1,IF(AND(AD501=0,AF501=0),AE501/1,IF(AND(AE501=0,AF501=0),AD501/1,IF(AD501=0,FLOOR((AE501+AF501)/2,0.1),IF(AE501=0,(AD501+AF501)/2,IF(AF501=0,(AE501+AD501)/2,FLOOR(((AD501+AE501+AF501)/3),0.1))))))))</f>
        <v/>
      </c>
      <c r="AH501" s="21" t="n"/>
      <c r="AI501" s="21" t="n"/>
      <c r="AJ501" s="27">
        <f>SUM(AH501:AI501)</f>
        <v/>
      </c>
      <c r="AK501" s="28" t="n"/>
      <c r="AL501" s="28" t="n"/>
      <c r="AM501" s="29">
        <f>IF(AND(AJ501=0,AK501=0,AL501=0),0,IF(AND(AJ501=0,AK501=0),AL501/1,IF(AND(AJ501=0,AL501=0),AK501/1,IF(AND(AK501=0,AL501=0),AJ501/1,IF(AJ501=0,FLOOR((AK501+AL501)/2,0.1),IF(AK501=0,(AJ501+AL501)/2,IF(AL501=0,(AK501+AJ501)/2,FLOOR(((AJ501+AK501+AL501)/3),0.1))))))))</f>
        <v/>
      </c>
      <c r="AN501" s="21" t="n"/>
      <c r="AO501" s="21" t="n"/>
      <c r="AP501" s="27">
        <f>SUM(AN501:AO501)</f>
        <v/>
      </c>
      <c r="AQ501" s="28" t="n"/>
      <c r="AR501" s="30" t="n"/>
      <c r="AS501" s="29">
        <f>IF(AND(AP501=0,AQ501=0,AR501=0),0,IF(AND(AP501=0,AQ501=0),AR501/1,IF(AND(AP501=0,AR501=0),AQ501/1,IF(AND(AQ501=0,AR501=0),AP501/1,IF(AP501=0,FLOOR((AQ501+AR501)/2,0.1),IF(AQ501=0,(AP501+AR501)/2,IF(AR501=0,(AQ501+AP501)/2,FLOOR(((AP501+AQ501+AR501)/3),0.1))))))))</f>
        <v/>
      </c>
      <c r="AT501" s="21" t="n"/>
      <c r="AU501" s="21" t="n"/>
      <c r="AV501" s="27">
        <f>SUM(AT501:AU501)</f>
        <v/>
      </c>
      <c r="AW501" s="28" t="n"/>
      <c r="AX501" s="30" t="n"/>
      <c r="AY501" s="29">
        <f>IF(AND(AV501=0,AW501=0,AX501=0),0,IF(AND(AV501=0,AW501=0),AX501/1,IF(AND(AV501=0,AX501=0),AW501/1,IF(AND(AW501=0,AX501=0),AV501/1,IF(AV501=0,FLOOR((AW501+AX501)/2,0.1),IF(AW501=0,(AV501+AX501)/2,IF(AX501=0,(AW501+AV501)/2,FLOOR(((AV501+AW501+AX501)/3),0.1))))))))</f>
        <v/>
      </c>
      <c r="AZ501" s="21" t="n"/>
      <c r="BA501" s="21" t="n"/>
      <c r="BB501" s="27">
        <f>SUM(AZ501:BA501)</f>
        <v/>
      </c>
      <c r="BC501" s="28" t="n"/>
      <c r="BD501" s="28" t="n"/>
      <c r="BE501" s="29">
        <f>IF(AND(BB501=0,BC501=0,BD501=0),0,IF(AND(BB501=0,BC501=0),BD501/1,IF(AND(BB501=0,BD501=0),BC501/1,IF(AND(BC501=0,BD501=0),BB501/1,IF(BB501=0,FLOOR((BC501+BD501)/2,0.1),IF(BC501=0,(BB501+BD501)/2,IF(BD501=0,(BC501+BB501)/2,FLOOR(((BB501+BC501+BD501)/3),0.1))))))))</f>
        <v/>
      </c>
      <c r="BF501" s="21" t="n"/>
      <c r="BG501" s="21" t="n"/>
      <c r="BH501" s="27">
        <f>SUM(BF501:BG501)</f>
        <v/>
      </c>
      <c r="BI501" s="28" t="n"/>
      <c r="BJ501" s="28" t="n"/>
      <c r="BK501" s="29">
        <f>IF(AND(BH501=0,BI501=0,BJ501=0),0,IF(AND(BH501=0,BI501=0),BJ501/1,IF(AND(BH501=0,BJ501=0),BI501/1,IF(AND(BI501=0,BJ501=0),BH501/1,IF(BH501=0,FLOOR((BI501+BJ501)/2,0.1),IF(BI501=0,(BH501+BJ501)/2,IF(BJ501=0,(BI501+BH501)/2,FLOOR(((BH501+BI501+BJ501)/3),0.1))))))))</f>
        <v/>
      </c>
      <c r="BL501" s="21" t="n"/>
      <c r="BM501" s="21" t="n"/>
      <c r="BN501" s="27">
        <f>SUM(BL501:BM501)</f>
        <v/>
      </c>
      <c r="BO501" s="28" t="n"/>
      <c r="BP501" s="31" t="n"/>
      <c r="BQ501" s="29">
        <f>IF(AND(BN501=0,BO501=0,BP501=0),0,IF(AND(BN501=0,BO501=0),BP501/1,IF(AND(BN501=0,BP501=0),BO501/1,IF(AND(BO501=0,BP501=0),BN501/1,IF(BN501=0,FLOOR((BO501+BP501)/2,0.1),IF(BO501=0,(BN501+BP501)/2,IF(BP501=0,(BO501+BN501)/2,FLOOR(((BN501+BO501+BP501)/3),0.1))))))))</f>
        <v/>
      </c>
      <c r="BR501" s="21" t="n"/>
      <c r="BS501" s="21" t="n"/>
      <c r="BT501" s="27">
        <f>SUM(BR501:BS501)</f>
        <v/>
      </c>
      <c r="BU501" s="28" t="n"/>
      <c r="BV501" s="31" t="n"/>
      <c r="BW501" s="29">
        <f>IF(AND(BT501=0,BU501=0,BV501=0),0,IF(AND(BT501=0,BU501=0),BV501/1,IF(AND(BT501=0,BV501=0),BU501/1,IF(AND(BU501=0,BV501=0),BT501/1,IF(BT501=0,FLOOR((BU501+BV501)/2,0.1),IF(BU501=0,(BT501+BV501)/2,IF(BV501=0,(BU501+BT501)/2,FLOOR(((BT501+BU501+BV501)/3),0.1))))))))</f>
        <v/>
      </c>
      <c r="BX501" s="21" t="n"/>
      <c r="BY501" s="21" t="n"/>
      <c r="BZ501" s="27">
        <f>SUM(BX501:BY501)</f>
        <v/>
      </c>
      <c r="CA501" s="28" t="n"/>
      <c r="CB501" s="31" t="n"/>
      <c r="CC501" s="29">
        <f>IF(AND(BZ501=0,CA501=0,CB501=0),0,IF(AND(BZ501=0,CA501=0),CB501/1,IF(AND(BZ501=0,CB501=0),CA501/1,IF(AND(CA501=0,CB501=0),BZ501/1,IF(BZ501=0,FLOOR((CA501+CB501)/2,0.1),IF(CA501=0,(BZ501+CB501)/2,IF(CB501=0,(CA501+BZ501)/2,FLOOR(((BZ501+CA501+CB501)/3),0.1))))))))</f>
        <v/>
      </c>
      <c r="CD501" s="21" t="n"/>
      <c r="CE501" s="21" t="n"/>
      <c r="CF501" s="27">
        <f>SUM(CD501:CE501)</f>
        <v/>
      </c>
      <c r="CG501" s="28" t="n"/>
      <c r="CH501" s="31" t="n"/>
      <c r="CI501" s="29">
        <f>IF(AND(CF501=0,CG501=0,CH501=0),0,IF(AND(CF501=0,CG501=0),CH501/1,IF(AND(CF501=0,CH501=0),CG501/1,IF(AND(CG501=0,CH501=0),CF501/1,IF(CF501=0,FLOOR((CG501+CH501)/2,0.1),IF(CG501=0,(CF501+CH501)/2,IF(CH501=0,(CG501+CF501)/2,FLOOR(((CF501+CG501+CH501)/3),0.1))))))))</f>
        <v/>
      </c>
      <c r="CJ501" s="21" t="n"/>
      <c r="CK501" s="21" t="n"/>
      <c r="CL501" s="27">
        <f>SUM(CJ501:CK501)</f>
        <v/>
      </c>
      <c r="CM501" s="28" t="n"/>
      <c r="CN501" s="31" t="n"/>
      <c r="CO501" s="29">
        <f>IF(AND(CL501=0,CM501=0,CN501=0),0,IF(AND(CL501=0,CM501=0),CN501/1,IF(AND(CL501=0,CN501=0),CM501/1,IF(AND(CM501=0,CN501=0),CL501/1,IF(CL501=0,FLOOR((CM501+CN501)/2,0.1),IF(CM501=0,(CL501+CN501)/2,IF(CN501=0,(CM501+CL501)/2,FLOOR(((CL501+CM501+CN501)/3),0.1))))))))</f>
        <v/>
      </c>
      <c r="CP501" s="21" t="n"/>
      <c r="CQ501" s="21" t="n"/>
      <c r="CR501" s="27">
        <f>SUM(CP501:CQ501)</f>
        <v/>
      </c>
      <c r="CS501" s="28" t="n"/>
      <c r="CT501" s="31" t="n"/>
      <c r="CU501" s="29">
        <f>IF(AND(CR501=0,CS501=0,CT501=0),0,IF(AND(CR501=0,CS501=0),CT501/1,IF(AND(CR501=0,CT501=0),CS501/1,IF(AND(CS501=0,CT501=0),CR501/1,IF(CR501=0,FLOOR((CS501+CT501)/2,0.1),IF(CS501=0,(CR501+CT501)/2,IF(CT501=0,(CS501+CR501)/2,FLOOR(((CR501+CS501+CT501)/3),0.1))))))))</f>
        <v/>
      </c>
      <c r="CV501" s="21" t="n"/>
      <c r="CW501" s="21" t="n"/>
      <c r="CX501" s="27">
        <f>SUM(CV501:CW501)</f>
        <v/>
      </c>
      <c r="CY501" s="28" t="n"/>
      <c r="CZ501" s="31" t="n"/>
      <c r="DA501" s="29">
        <f>IF(AND(CX501=0,CY501=0,CZ501=0),0,IF(AND(CX501=0,CY501=0),CZ501/1,IF(AND(CX501=0,CZ501=0),CY501/1,IF(AND(CY501=0,CZ501=0),CX501/1,IF(CX501=0,FLOOR((CY501+CZ501)/2,0.1),IF(CY501=0,(CX501+CZ501)/2,IF(CZ501=0,(CY501+CX501)/2,FLOOR(((CX501+CY501+CZ501)/3),0.1))))))))</f>
        <v/>
      </c>
      <c r="DB501" s="21" t="n"/>
      <c r="DC501" s="21" t="n"/>
      <c r="DD501" s="27">
        <f>SUM(DB501:DC501)</f>
        <v/>
      </c>
      <c r="DE501" s="28" t="n"/>
      <c r="DF501" s="31" t="n"/>
      <c r="DG501" s="29">
        <f>IF(AND(DD501=0,DE501=0,DF501=0),0,IF(AND(DD501=0,DE501=0),DF501/1,IF(AND(DD501=0,DF501=0),DE501/1,IF(AND(DE501=0,DF501=0),DD501/1,IF(DD501=0,FLOOR((DE501+DF501)/2,0.1),IF(DE501=0,(DD501+DF501)/2,IF(DF501=0,(DE501+DD501)/2,FLOOR(((DD501+DE501+DF501)/3),0.1))))))))</f>
        <v/>
      </c>
      <c r="DH501" s="34">
        <f>SUM(O501,U501,AA501,AG501,AM501,AS501,AY501,BE501,BK501,BQ501,BW501,CC501,CI501,CO501,CU501,DA501,DG501)</f>
        <v/>
      </c>
      <c r="DI501" s="39">
        <f>RANK(DH501,DH$4:DH$503)</f>
        <v/>
      </c>
      <c r="DJ501" s="40" t="inlineStr">
        <is>
          <t>CHOOSE RATING</t>
        </is>
      </c>
      <c r="DK501" s="40" t="inlineStr">
        <is>
          <t>CHOOSE RATING</t>
        </is>
      </c>
      <c r="DL501" s="40" t="inlineStr">
        <is>
          <t>CHOOSE RATING</t>
        </is>
      </c>
      <c r="DM501" s="40" t="inlineStr">
        <is>
          <t>CHOOSE RATING</t>
        </is>
      </c>
      <c r="DN501" s="40" t="inlineStr">
        <is>
          <t>CHOOSE RATING</t>
        </is>
      </c>
      <c r="DO501" s="40" t="inlineStr">
        <is>
          <t>CHOOSE RATING</t>
        </is>
      </c>
      <c r="DP501" s="40" t="inlineStr">
        <is>
          <t>CHOOSE RATING</t>
        </is>
      </c>
      <c r="DQ501" s="40" t="inlineStr">
        <is>
          <t>CHOOSE RATING</t>
        </is>
      </c>
      <c r="DR501" s="43" t="inlineStr">
        <is>
          <t>2024/2025</t>
        </is>
      </c>
      <c r="DS501" s="45" t="inlineStr">
        <is>
          <t>THIRD</t>
        </is>
      </c>
      <c r="DT501" s="40" t="inlineStr">
        <is>
          <t>CHOOSE RATING</t>
        </is>
      </c>
      <c r="DU501" s="40" t="inlineStr">
        <is>
          <t>CHOOSE RATING</t>
        </is>
      </c>
      <c r="DV501" s="40" t="inlineStr">
        <is>
          <t>CHOOSE RATING</t>
        </is>
      </c>
      <c r="DW501" s="40" t="inlineStr">
        <is>
          <t>CHOOSE RATING</t>
        </is>
      </c>
      <c r="DX501" s="40" t="inlineStr">
        <is>
          <t>CHOOSE RATING</t>
        </is>
      </c>
      <c r="DY501" s="40" t="inlineStr">
        <is>
          <t>CHOOSE RATING</t>
        </is>
      </c>
      <c r="DZ501" s="53" t="inlineStr">
        <is>
          <t>CHOOSE RATING</t>
        </is>
      </c>
      <c r="EA501" s="54" t="inlineStr">
        <is>
          <t>Add the Tutor's Comment . . .</t>
        </is>
      </c>
      <c r="EB501" s="55" t="inlineStr">
        <is>
          <t>Choose Principals comment</t>
        </is>
      </c>
      <c r="EC501" s="56" t="n"/>
      <c r="ED501" s="57" t="inlineStr">
        <is>
          <t>Next Term Begins on Monday, 22nd September, 2025</t>
        </is>
      </c>
    </row>
    <row r="502" ht="30.6" customHeight="1" s="6">
      <c r="A502" s="18" t="n">
        <v>499</v>
      </c>
      <c r="B502" s="19" t="n"/>
      <c r="C502" s="20" t="n"/>
      <c r="D502" s="128" t="n"/>
      <c r="E502" s="21" t="n"/>
      <c r="F502" s="22" t="n"/>
      <c r="G502" s="22" t="n"/>
      <c r="H502" s="22" t="n"/>
      <c r="I502" s="26">
        <f>G502-H502</f>
        <v/>
      </c>
      <c r="J502" s="21" t="n"/>
      <c r="K502" s="21" t="n"/>
      <c r="L502" s="27">
        <f>SUM(J502:K502)</f>
        <v/>
      </c>
      <c r="M502" s="28" t="n"/>
      <c r="N502" s="28" t="n"/>
      <c r="O502" s="29">
        <f>IF(AND(L502=0,M502=0,N502=0),0,IF(AND(L502=0,M502=0),N502/1,IF(AND(L502=0,N502=0),M502/1,IF(AND(M502=0,N502=0),L502/1,IF(L502=0,FLOOR((M502+N502)/2,0.1),IF(M502=0,(L502+N502)/2,IF(N502=0,(M502+L502)/2,FLOOR(((L502+M502+N502)/3),0.1))))))))</f>
        <v/>
      </c>
      <c r="P502" s="21" t="n"/>
      <c r="Q502" s="21" t="n"/>
      <c r="R502" s="27">
        <f>SUM(P502:Q502)</f>
        <v/>
      </c>
      <c r="S502" s="28" t="n"/>
      <c r="T502" s="28" t="n"/>
      <c r="U502" s="29">
        <f>IF(AND(R502=0,S502=0,T502=0),0,IF(AND(R502=0,S502=0),T502/1,IF(AND(R502=0,T502=0),S502/1,IF(AND(S502=0,T502=0),R502/1,IF(R502=0,FLOOR((S502+T502)/2,0.1),IF(S502=0,(R502+T502)/2,IF(T502=0,(S502+R502)/2,FLOOR(((R502+S502+T502)/3),0.1))))))))</f>
        <v/>
      </c>
      <c r="V502" s="21" t="n"/>
      <c r="W502" s="21" t="n"/>
      <c r="X502" s="27">
        <f>SUM(V502:W502)</f>
        <v/>
      </c>
      <c r="Y502" s="28" t="n"/>
      <c r="Z502" s="28" t="n"/>
      <c r="AA502" s="29">
        <f>IF(AND(X502=0,Y502=0,Z502=0),0,IF(AND(X502=0,Y502=0),Z502/1,IF(AND(X502=0,Z502=0),Y502/1,IF(AND(Y502=0,Z502=0),X502/1,IF(X502=0,FLOOR((Y502+Z502)/2,0.1),IF(Y502=0,(X502+Z502)/2,IF(Z502=0,(Y502+X502)/2,FLOOR(((X502+Y502+Z502)/3),0.1))))))))</f>
        <v/>
      </c>
      <c r="AB502" s="21" t="n"/>
      <c r="AC502" s="21" t="n"/>
      <c r="AD502" s="27">
        <f>SUM(AB502:AC502)</f>
        <v/>
      </c>
      <c r="AE502" s="28" t="n"/>
      <c r="AF502" s="28" t="n"/>
      <c r="AG502" s="29">
        <f>IF(AND(AD502=0,AE502=0,AF502=0),0,IF(AND(AD502=0,AE502=0),AF502/1,IF(AND(AD502=0,AF502=0),AE502/1,IF(AND(AE502=0,AF502=0),AD502/1,IF(AD502=0,FLOOR((AE502+AF502)/2,0.1),IF(AE502=0,(AD502+AF502)/2,IF(AF502=0,(AE502+AD502)/2,FLOOR(((AD502+AE502+AF502)/3),0.1))))))))</f>
        <v/>
      </c>
      <c r="AH502" s="21" t="n"/>
      <c r="AI502" s="21" t="n"/>
      <c r="AJ502" s="27">
        <f>SUM(AH502:AI502)</f>
        <v/>
      </c>
      <c r="AK502" s="28" t="n"/>
      <c r="AL502" s="28" t="n"/>
      <c r="AM502" s="29">
        <f>IF(AND(AJ502=0,AK502=0,AL502=0),0,IF(AND(AJ502=0,AK502=0),AL502/1,IF(AND(AJ502=0,AL502=0),AK502/1,IF(AND(AK502=0,AL502=0),AJ502/1,IF(AJ502=0,FLOOR((AK502+AL502)/2,0.1),IF(AK502=0,(AJ502+AL502)/2,IF(AL502=0,(AK502+AJ502)/2,FLOOR(((AJ502+AK502+AL502)/3),0.1))))))))</f>
        <v/>
      </c>
      <c r="AN502" s="21" t="n"/>
      <c r="AO502" s="21" t="n"/>
      <c r="AP502" s="27">
        <f>SUM(AN502:AO502)</f>
        <v/>
      </c>
      <c r="AQ502" s="28" t="n"/>
      <c r="AR502" s="30" t="n"/>
      <c r="AS502" s="29">
        <f>IF(AND(AP502=0,AQ502=0,AR502=0),0,IF(AND(AP502=0,AQ502=0),AR502/1,IF(AND(AP502=0,AR502=0),AQ502/1,IF(AND(AQ502=0,AR502=0),AP502/1,IF(AP502=0,FLOOR((AQ502+AR502)/2,0.1),IF(AQ502=0,(AP502+AR502)/2,IF(AR502=0,(AQ502+AP502)/2,FLOOR(((AP502+AQ502+AR502)/3),0.1))))))))</f>
        <v/>
      </c>
      <c r="AT502" s="21" t="n"/>
      <c r="AU502" s="21" t="n"/>
      <c r="AV502" s="27">
        <f>SUM(AT502:AU502)</f>
        <v/>
      </c>
      <c r="AW502" s="28" t="n"/>
      <c r="AX502" s="30" t="n"/>
      <c r="AY502" s="29">
        <f>IF(AND(AV502=0,AW502=0,AX502=0),0,IF(AND(AV502=0,AW502=0),AX502/1,IF(AND(AV502=0,AX502=0),AW502/1,IF(AND(AW502=0,AX502=0),AV502/1,IF(AV502=0,FLOOR((AW502+AX502)/2,0.1),IF(AW502=0,(AV502+AX502)/2,IF(AX502=0,(AW502+AV502)/2,FLOOR(((AV502+AW502+AX502)/3),0.1))))))))</f>
        <v/>
      </c>
      <c r="AZ502" s="21" t="n"/>
      <c r="BA502" s="21" t="n"/>
      <c r="BB502" s="27">
        <f>SUM(AZ502:BA502)</f>
        <v/>
      </c>
      <c r="BC502" s="28" t="n"/>
      <c r="BD502" s="28" t="n"/>
      <c r="BE502" s="29">
        <f>IF(AND(BB502=0,BC502=0,BD502=0),0,IF(AND(BB502=0,BC502=0),BD502/1,IF(AND(BB502=0,BD502=0),BC502/1,IF(AND(BC502=0,BD502=0),BB502/1,IF(BB502=0,FLOOR((BC502+BD502)/2,0.1),IF(BC502=0,(BB502+BD502)/2,IF(BD502=0,(BC502+BB502)/2,FLOOR(((BB502+BC502+BD502)/3),0.1))))))))</f>
        <v/>
      </c>
      <c r="BF502" s="21" t="n"/>
      <c r="BG502" s="21" t="n"/>
      <c r="BH502" s="27">
        <f>SUM(BF502:BG502)</f>
        <v/>
      </c>
      <c r="BI502" s="28" t="n"/>
      <c r="BJ502" s="28" t="n"/>
      <c r="BK502" s="29">
        <f>IF(AND(BH502=0,BI502=0,BJ502=0),0,IF(AND(BH502=0,BI502=0),BJ502/1,IF(AND(BH502=0,BJ502=0),BI502/1,IF(AND(BI502=0,BJ502=0),BH502/1,IF(BH502=0,FLOOR((BI502+BJ502)/2,0.1),IF(BI502=0,(BH502+BJ502)/2,IF(BJ502=0,(BI502+BH502)/2,FLOOR(((BH502+BI502+BJ502)/3),0.1))))))))</f>
        <v/>
      </c>
      <c r="BL502" s="21" t="n"/>
      <c r="BM502" s="21" t="n"/>
      <c r="BN502" s="27">
        <f>SUM(BL502:BM502)</f>
        <v/>
      </c>
      <c r="BO502" s="28" t="n"/>
      <c r="BP502" s="31" t="n"/>
      <c r="BQ502" s="29">
        <f>IF(AND(BN502=0,BO502=0,BP502=0),0,IF(AND(BN502=0,BO502=0),BP502/1,IF(AND(BN502=0,BP502=0),BO502/1,IF(AND(BO502=0,BP502=0),BN502/1,IF(BN502=0,FLOOR((BO502+BP502)/2,0.1),IF(BO502=0,(BN502+BP502)/2,IF(BP502=0,(BO502+BN502)/2,FLOOR(((BN502+BO502+BP502)/3),0.1))))))))</f>
        <v/>
      </c>
      <c r="BR502" s="21" t="n"/>
      <c r="BS502" s="21" t="n"/>
      <c r="BT502" s="27">
        <f>SUM(BR502:BS502)</f>
        <v/>
      </c>
      <c r="BU502" s="28" t="n"/>
      <c r="BV502" s="31" t="n"/>
      <c r="BW502" s="29">
        <f>IF(AND(BT502=0,BU502=0,BV502=0),0,IF(AND(BT502=0,BU502=0),BV502/1,IF(AND(BT502=0,BV502=0),BU502/1,IF(AND(BU502=0,BV502=0),BT502/1,IF(BT502=0,FLOOR((BU502+BV502)/2,0.1),IF(BU502=0,(BT502+BV502)/2,IF(BV502=0,(BU502+BT502)/2,FLOOR(((BT502+BU502+BV502)/3),0.1))))))))</f>
        <v/>
      </c>
      <c r="BX502" s="21" t="n"/>
      <c r="BY502" s="21" t="n"/>
      <c r="BZ502" s="27">
        <f>SUM(BX502:BY502)</f>
        <v/>
      </c>
      <c r="CA502" s="28" t="n"/>
      <c r="CB502" s="31" t="n"/>
      <c r="CC502" s="29">
        <f>IF(AND(BZ502=0,CA502=0,CB502=0),0,IF(AND(BZ502=0,CA502=0),CB502/1,IF(AND(BZ502=0,CB502=0),CA502/1,IF(AND(CA502=0,CB502=0),BZ502/1,IF(BZ502=0,FLOOR((CA502+CB502)/2,0.1),IF(CA502=0,(BZ502+CB502)/2,IF(CB502=0,(CA502+BZ502)/2,FLOOR(((BZ502+CA502+CB502)/3),0.1))))))))</f>
        <v/>
      </c>
      <c r="CD502" s="21" t="n"/>
      <c r="CE502" s="21" t="n"/>
      <c r="CF502" s="27">
        <f>SUM(CD502:CE502)</f>
        <v/>
      </c>
      <c r="CG502" s="28" t="n"/>
      <c r="CH502" s="31" t="n"/>
      <c r="CI502" s="29">
        <f>IF(AND(CF502=0,CG502=0,CH502=0),0,IF(AND(CF502=0,CG502=0),CH502/1,IF(AND(CF502=0,CH502=0),CG502/1,IF(AND(CG502=0,CH502=0),CF502/1,IF(CF502=0,FLOOR((CG502+CH502)/2,0.1),IF(CG502=0,(CF502+CH502)/2,IF(CH502=0,(CG502+CF502)/2,FLOOR(((CF502+CG502+CH502)/3),0.1))))))))</f>
        <v/>
      </c>
      <c r="CJ502" s="21" t="n"/>
      <c r="CK502" s="21" t="n"/>
      <c r="CL502" s="27">
        <f>SUM(CJ502:CK502)</f>
        <v/>
      </c>
      <c r="CM502" s="28" t="n"/>
      <c r="CN502" s="31" t="n"/>
      <c r="CO502" s="29">
        <f>IF(AND(CL502=0,CM502=0,CN502=0),0,IF(AND(CL502=0,CM502=0),CN502/1,IF(AND(CL502=0,CN502=0),CM502/1,IF(AND(CM502=0,CN502=0),CL502/1,IF(CL502=0,FLOOR((CM502+CN502)/2,0.1),IF(CM502=0,(CL502+CN502)/2,IF(CN502=0,(CM502+CL502)/2,FLOOR(((CL502+CM502+CN502)/3),0.1))))))))</f>
        <v/>
      </c>
      <c r="CP502" s="21" t="n"/>
      <c r="CQ502" s="21" t="n"/>
      <c r="CR502" s="27">
        <f>SUM(CP502:CQ502)</f>
        <v/>
      </c>
      <c r="CS502" s="28" t="n"/>
      <c r="CT502" s="31" t="n"/>
      <c r="CU502" s="29">
        <f>IF(AND(CR502=0,CS502=0,CT502=0),0,IF(AND(CR502=0,CS502=0),CT502/1,IF(AND(CR502=0,CT502=0),CS502/1,IF(AND(CS502=0,CT502=0),CR502/1,IF(CR502=0,FLOOR((CS502+CT502)/2,0.1),IF(CS502=0,(CR502+CT502)/2,IF(CT502=0,(CS502+CR502)/2,FLOOR(((CR502+CS502+CT502)/3),0.1))))))))</f>
        <v/>
      </c>
      <c r="CV502" s="21" t="n"/>
      <c r="CW502" s="21" t="n"/>
      <c r="CX502" s="27">
        <f>SUM(CV502:CW502)</f>
        <v/>
      </c>
      <c r="CY502" s="28" t="n"/>
      <c r="CZ502" s="31" t="n"/>
      <c r="DA502" s="29">
        <f>IF(AND(CX502=0,CY502=0,CZ502=0),0,IF(AND(CX502=0,CY502=0),CZ502/1,IF(AND(CX502=0,CZ502=0),CY502/1,IF(AND(CY502=0,CZ502=0),CX502/1,IF(CX502=0,FLOOR((CY502+CZ502)/2,0.1),IF(CY502=0,(CX502+CZ502)/2,IF(CZ502=0,(CY502+CX502)/2,FLOOR(((CX502+CY502+CZ502)/3),0.1))))))))</f>
        <v/>
      </c>
      <c r="DB502" s="21" t="n"/>
      <c r="DC502" s="21" t="n"/>
      <c r="DD502" s="27">
        <f>SUM(DB502:DC502)</f>
        <v/>
      </c>
      <c r="DE502" s="28" t="n"/>
      <c r="DF502" s="31" t="n"/>
      <c r="DG502" s="29">
        <f>IF(AND(DD502=0,DE502=0,DF502=0),0,IF(AND(DD502=0,DE502=0),DF502/1,IF(AND(DD502=0,DF502=0),DE502/1,IF(AND(DE502=0,DF502=0),DD502/1,IF(DD502=0,FLOOR((DE502+DF502)/2,0.1),IF(DE502=0,(DD502+DF502)/2,IF(DF502=0,(DE502+DD502)/2,FLOOR(((DD502+DE502+DF502)/3),0.1))))))))</f>
        <v/>
      </c>
      <c r="DH502" s="34">
        <f>SUM(O502,U502,AA502,AG502,AM502,AS502,AY502,BE502,BK502,BQ502,BW502,CC502,CI502,CO502,CU502,DA502,DG502)</f>
        <v/>
      </c>
      <c r="DI502" s="39">
        <f>RANK(DH502,DH$4:DH$503)</f>
        <v/>
      </c>
      <c r="DJ502" s="40" t="inlineStr">
        <is>
          <t>CHOOSE RATING</t>
        </is>
      </c>
      <c r="DK502" s="40" t="inlineStr">
        <is>
          <t>CHOOSE RATING</t>
        </is>
      </c>
      <c r="DL502" s="40" t="inlineStr">
        <is>
          <t>CHOOSE RATING</t>
        </is>
      </c>
      <c r="DM502" s="40" t="inlineStr">
        <is>
          <t>CHOOSE RATING</t>
        </is>
      </c>
      <c r="DN502" s="40" t="inlineStr">
        <is>
          <t>CHOOSE RATING</t>
        </is>
      </c>
      <c r="DO502" s="40" t="inlineStr">
        <is>
          <t>CHOOSE RATING</t>
        </is>
      </c>
      <c r="DP502" s="40" t="inlineStr">
        <is>
          <t>CHOOSE RATING</t>
        </is>
      </c>
      <c r="DQ502" s="40" t="inlineStr">
        <is>
          <t>CHOOSE RATING</t>
        </is>
      </c>
      <c r="DR502" s="43" t="inlineStr">
        <is>
          <t>2024/2025</t>
        </is>
      </c>
      <c r="DS502" s="45" t="inlineStr">
        <is>
          <t>THIRD</t>
        </is>
      </c>
      <c r="DT502" s="40" t="inlineStr">
        <is>
          <t>CHOOSE RATING</t>
        </is>
      </c>
      <c r="DU502" s="40" t="inlineStr">
        <is>
          <t>CHOOSE RATING</t>
        </is>
      </c>
      <c r="DV502" s="40" t="inlineStr">
        <is>
          <t>CHOOSE RATING</t>
        </is>
      </c>
      <c r="DW502" s="40" t="inlineStr">
        <is>
          <t>CHOOSE RATING</t>
        </is>
      </c>
      <c r="DX502" s="40" t="inlineStr">
        <is>
          <t>CHOOSE RATING</t>
        </is>
      </c>
      <c r="DY502" s="40" t="inlineStr">
        <is>
          <t>CHOOSE RATING</t>
        </is>
      </c>
      <c r="DZ502" s="53" t="inlineStr">
        <is>
          <t>CHOOSE RATING</t>
        </is>
      </c>
      <c r="EA502" s="54" t="inlineStr">
        <is>
          <t>Add the Tutor's Comment . . .</t>
        </is>
      </c>
      <c r="EB502" s="55" t="inlineStr">
        <is>
          <t>Choose Principals comment</t>
        </is>
      </c>
      <c r="EC502" s="56" t="n"/>
      <c r="ED502" s="57" t="inlineStr">
        <is>
          <t>Next Term Begins on Monday, 22nd September, 2025</t>
        </is>
      </c>
    </row>
    <row r="503" ht="30.6" customHeight="1" s="6">
      <c r="A503" s="18" t="n">
        <v>500</v>
      </c>
      <c r="B503" s="19" t="n"/>
      <c r="C503" s="20" t="n"/>
      <c r="D503" s="128" t="n"/>
      <c r="E503" s="21" t="n"/>
      <c r="F503" s="22" t="n"/>
      <c r="G503" s="22" t="n"/>
      <c r="H503" s="22" t="n"/>
      <c r="I503" s="26">
        <f>G503-H503</f>
        <v/>
      </c>
      <c r="J503" s="21" t="n"/>
      <c r="K503" s="21" t="n"/>
      <c r="L503" s="27">
        <f>SUM(J503:K503)</f>
        <v/>
      </c>
      <c r="M503" s="28" t="n"/>
      <c r="N503" s="28" t="n"/>
      <c r="O503" s="29">
        <f>IF(AND(L503=0,M503=0,N503=0),0,IF(AND(L503=0,M503=0),N503/1,IF(AND(L503=0,N503=0),M503/1,IF(AND(M503=0,N503=0),L503/1,IF(L503=0,FLOOR((M503+N503)/2,0.1),IF(M503=0,(L503+N503)/2,IF(N503=0,(M503+L503)/2,FLOOR(((L503+M503+N503)/3),0.1))))))))</f>
        <v/>
      </c>
      <c r="P503" s="21" t="n"/>
      <c r="Q503" s="21" t="n"/>
      <c r="R503" s="27">
        <f>SUM(P503:Q503)</f>
        <v/>
      </c>
      <c r="S503" s="28" t="n"/>
      <c r="T503" s="28" t="n"/>
      <c r="U503" s="29">
        <f>IF(AND(R503=0,S503=0,T503=0),0,IF(AND(R503=0,S503=0),T503/1,IF(AND(R503=0,T503=0),S503/1,IF(AND(S503=0,T503=0),R503/1,IF(R503=0,FLOOR((S503+T503)/2,0.1),IF(S503=0,(R503+T503)/2,IF(T503=0,(S503+R503)/2,FLOOR(((R503+S503+T503)/3),0.1))))))))</f>
        <v/>
      </c>
      <c r="V503" s="21" t="n"/>
      <c r="W503" s="21" t="n"/>
      <c r="X503" s="27">
        <f>SUM(V503:W503)</f>
        <v/>
      </c>
      <c r="Y503" s="28" t="n"/>
      <c r="Z503" s="28" t="n"/>
      <c r="AA503" s="29">
        <f>IF(AND(X503=0,Y503=0,Z503=0),0,IF(AND(X503=0,Y503=0),Z503/1,IF(AND(X503=0,Z503=0),Y503/1,IF(AND(Y503=0,Z503=0),X503/1,IF(X503=0,FLOOR((Y503+Z503)/2,0.1),IF(Y503=0,(X503+Z503)/2,IF(Z503=0,(Y503+X503)/2,FLOOR(((X503+Y503+Z503)/3),0.1))))))))</f>
        <v/>
      </c>
      <c r="AB503" s="21" t="n"/>
      <c r="AC503" s="21" t="n"/>
      <c r="AD503" s="27">
        <f>SUM(AB503:AC503)</f>
        <v/>
      </c>
      <c r="AE503" s="28" t="n"/>
      <c r="AF503" s="28" t="n"/>
      <c r="AG503" s="29">
        <f>IF(AND(AD503=0,AE503=0,AF503=0),0,IF(AND(AD503=0,AE503=0),AF503/1,IF(AND(AD503=0,AF503=0),AE503/1,IF(AND(AE503=0,AF503=0),AD503/1,IF(AD503=0,FLOOR((AE503+AF503)/2,0.1),IF(AE503=0,(AD503+AF503)/2,IF(AF503=0,(AE503+AD503)/2,FLOOR(((AD503+AE503+AF503)/3),0.1))))))))</f>
        <v/>
      </c>
      <c r="AH503" s="21" t="n"/>
      <c r="AI503" s="21" t="n"/>
      <c r="AJ503" s="27">
        <f>SUM(AH503:AI503)</f>
        <v/>
      </c>
      <c r="AK503" s="28" t="n"/>
      <c r="AL503" s="28" t="n"/>
      <c r="AM503" s="29">
        <f>IF(AND(AJ503=0,AK503=0,AL503=0),0,IF(AND(AJ503=0,AK503=0),AL503/1,IF(AND(AJ503=0,AL503=0),AK503/1,IF(AND(AK503=0,AL503=0),AJ503/1,IF(AJ503=0,FLOOR((AK503+AL503)/2,0.1),IF(AK503=0,(AJ503+AL503)/2,IF(AL503=0,(AK503+AJ503)/2,FLOOR(((AJ503+AK503+AL503)/3),0.1))))))))</f>
        <v/>
      </c>
      <c r="AN503" s="21" t="n"/>
      <c r="AO503" s="21" t="n"/>
      <c r="AP503" s="27">
        <f>SUM(AN503:AO503)</f>
        <v/>
      </c>
      <c r="AQ503" s="28" t="n"/>
      <c r="AR503" s="30" t="n"/>
      <c r="AS503" s="29">
        <f>IF(AND(AP503=0,AQ503=0,AR503=0),0,IF(AND(AP503=0,AQ503=0),AR503/1,IF(AND(AP503=0,AR503=0),AQ503/1,IF(AND(AQ503=0,AR503=0),AP503/1,IF(AP503=0,FLOOR((AQ503+AR503)/2,0.1),IF(AQ503=0,(AP503+AR503)/2,IF(AR503=0,(AQ503+AP503)/2,FLOOR(((AP503+AQ503+AR503)/3),0.1))))))))</f>
        <v/>
      </c>
      <c r="AT503" s="21" t="n"/>
      <c r="AU503" s="21" t="n"/>
      <c r="AV503" s="27">
        <f>SUM(AT503:AU503)</f>
        <v/>
      </c>
      <c r="AW503" s="28" t="n"/>
      <c r="AX503" s="30" t="n"/>
      <c r="AY503" s="29">
        <f>IF(AND(AV503=0,AW503=0,AX503=0),0,IF(AND(AV503=0,AW503=0),AX503/1,IF(AND(AV503=0,AX503=0),AW503/1,IF(AND(AW503=0,AX503=0),AV503/1,IF(AV503=0,FLOOR((AW503+AX503)/2,0.1),IF(AW503=0,(AV503+AX503)/2,IF(AX503=0,(AW503+AV503)/2,FLOOR(((AV503+AW503+AX503)/3),0.1))))))))</f>
        <v/>
      </c>
      <c r="AZ503" s="21" t="n"/>
      <c r="BA503" s="21" t="n"/>
      <c r="BB503" s="27">
        <f>SUM(AZ503:BA503)</f>
        <v/>
      </c>
      <c r="BC503" s="28" t="n"/>
      <c r="BD503" s="28" t="n"/>
      <c r="BE503" s="29">
        <f>IF(AND(BB503=0,BC503=0,BD503=0),0,IF(AND(BB503=0,BC503=0),BD503/1,IF(AND(BB503=0,BD503=0),BC503/1,IF(AND(BC503=0,BD503=0),BB503/1,IF(BB503=0,FLOOR((BC503+BD503)/2,0.1),IF(BC503=0,(BB503+BD503)/2,IF(BD503=0,(BC503+BB503)/2,FLOOR(((BB503+BC503+BD503)/3),0.1))))))))</f>
        <v/>
      </c>
      <c r="BF503" s="21" t="n"/>
      <c r="BG503" s="21" t="n"/>
      <c r="BH503" s="27">
        <f>SUM(BF503:BG503)</f>
        <v/>
      </c>
      <c r="BI503" s="28" t="n"/>
      <c r="BJ503" s="28" t="n"/>
      <c r="BK503" s="29">
        <f>IF(AND(BH503=0,BI503=0,BJ503=0),0,IF(AND(BH503=0,BI503=0),BJ503/1,IF(AND(BH503=0,BJ503=0),BI503/1,IF(AND(BI503=0,BJ503=0),BH503/1,IF(BH503=0,FLOOR((BI503+BJ503)/2,0.1),IF(BI503=0,(BH503+BJ503)/2,IF(BJ503=0,(BI503+BH503)/2,FLOOR(((BH503+BI503+BJ503)/3),0.1))))))))</f>
        <v/>
      </c>
      <c r="BL503" s="21" t="n"/>
      <c r="BM503" s="21" t="n"/>
      <c r="BN503" s="27">
        <f>SUM(BL503:BM503)</f>
        <v/>
      </c>
      <c r="BO503" s="28" t="n"/>
      <c r="BP503" s="31" t="n"/>
      <c r="BQ503" s="29">
        <f>IF(AND(BN503=0,BO503=0,BP503=0),0,IF(AND(BN503=0,BO503=0),BP503/1,IF(AND(BN503=0,BP503=0),BO503/1,IF(AND(BO503=0,BP503=0),BN503/1,IF(BN503=0,FLOOR((BO503+BP503)/2,0.1),IF(BO503=0,(BN503+BP503)/2,IF(BP503=0,(BO503+BN503)/2,FLOOR(((BN503+BO503+BP503)/3),0.1))))))))</f>
        <v/>
      </c>
      <c r="BR503" s="21" t="n"/>
      <c r="BS503" s="21" t="n"/>
      <c r="BT503" s="27">
        <f>SUM(BR503:BS503)</f>
        <v/>
      </c>
      <c r="BU503" s="28" t="n"/>
      <c r="BV503" s="31" t="n"/>
      <c r="BW503" s="29">
        <f>IF(AND(BT503=0,BU503=0,BV503=0),0,IF(AND(BT503=0,BU503=0),BV503/1,IF(AND(BT503=0,BV503=0),BU503/1,IF(AND(BU503=0,BV503=0),BT503/1,IF(BT503=0,FLOOR((BU503+BV503)/2,0.1),IF(BU503=0,(BT503+BV503)/2,IF(BV503=0,(BU503+BT503)/2,FLOOR(((BT503+BU503+BV503)/3),0.1))))))))</f>
        <v/>
      </c>
      <c r="BX503" s="21" t="n"/>
      <c r="BY503" s="21" t="n"/>
      <c r="BZ503" s="27">
        <f>SUM(BX503:BY503)</f>
        <v/>
      </c>
      <c r="CA503" s="28" t="n"/>
      <c r="CB503" s="31" t="n"/>
      <c r="CC503" s="29">
        <f>IF(AND(BZ503=0,CA503=0,CB503=0),0,IF(AND(BZ503=0,CA503=0),CB503/1,IF(AND(BZ503=0,CB503=0),CA503/1,IF(AND(CA503=0,CB503=0),BZ503/1,IF(BZ503=0,FLOOR((CA503+CB503)/2,0.1),IF(CA503=0,(BZ503+CB503)/2,IF(CB503=0,(CA503+BZ503)/2,FLOOR(((BZ503+CA503+CB503)/3),0.1))))))))</f>
        <v/>
      </c>
      <c r="CD503" s="21" t="n"/>
      <c r="CE503" s="21" t="n"/>
      <c r="CF503" s="27">
        <f>SUM(CD503:CE503)</f>
        <v/>
      </c>
      <c r="CG503" s="28" t="n"/>
      <c r="CH503" s="31" t="n"/>
      <c r="CI503" s="29">
        <f>IF(AND(CF503=0,CG503=0,CH503=0),0,IF(AND(CF503=0,CG503=0),CH503/1,IF(AND(CF503=0,CH503=0),CG503/1,IF(AND(CG503=0,CH503=0),CF503/1,IF(CF503=0,FLOOR((CG503+CH503)/2,0.1),IF(CG503=0,(CF503+CH503)/2,IF(CH503=0,(CG503+CF503)/2,FLOOR(((CF503+CG503+CH503)/3),0.1))))))))</f>
        <v/>
      </c>
      <c r="CJ503" s="21" t="n"/>
      <c r="CK503" s="21" t="n"/>
      <c r="CL503" s="27">
        <f>SUM(CJ503:CK503)</f>
        <v/>
      </c>
      <c r="CM503" s="28" t="n"/>
      <c r="CN503" s="31" t="n"/>
      <c r="CO503" s="29">
        <f>IF(AND(CL503=0,CM503=0,CN503=0),0,IF(AND(CL503=0,CM503=0),CN503/1,IF(AND(CL503=0,CN503=0),CM503/1,IF(AND(CM503=0,CN503=0),CL503/1,IF(CL503=0,FLOOR((CM503+CN503)/2,0.1),IF(CM503=0,(CL503+CN503)/2,IF(CN503=0,(CM503+CL503)/2,FLOOR(((CL503+CM503+CN503)/3),0.1))))))))</f>
        <v/>
      </c>
      <c r="CP503" s="21" t="n"/>
      <c r="CQ503" s="21" t="n"/>
      <c r="CR503" s="27">
        <f>SUM(CP503:CQ503)</f>
        <v/>
      </c>
      <c r="CS503" s="28" t="n"/>
      <c r="CT503" s="31" t="n"/>
      <c r="CU503" s="29">
        <f>IF(AND(CR503=0,CS503=0,CT503=0),0,IF(AND(CR503=0,CS503=0),CT503/1,IF(AND(CR503=0,CT503=0),CS503/1,IF(AND(CS503=0,CT503=0),CR503/1,IF(CR503=0,FLOOR((CS503+CT503)/2,0.1),IF(CS503=0,(CR503+CT503)/2,IF(CT503=0,(CS503+CR503)/2,FLOOR(((CR503+CS503+CT503)/3),0.1))))))))</f>
        <v/>
      </c>
      <c r="CV503" s="21" t="n"/>
      <c r="CW503" s="21" t="n"/>
      <c r="CX503" s="27">
        <f>SUM(CV503:CW503)</f>
        <v/>
      </c>
      <c r="CY503" s="28" t="n"/>
      <c r="CZ503" s="31" t="n"/>
      <c r="DA503" s="29">
        <f>IF(AND(CX503=0,CY503=0,CZ503=0),0,IF(AND(CX503=0,CY503=0),CZ503/1,IF(AND(CX503=0,CZ503=0),CY503/1,IF(AND(CY503=0,CZ503=0),CX503/1,IF(CX503=0,FLOOR((CY503+CZ503)/2,0.1),IF(CY503=0,(CX503+CZ503)/2,IF(CZ503=0,(CY503+CX503)/2,FLOOR(((CX503+CY503+CZ503)/3),0.1))))))))</f>
        <v/>
      </c>
      <c r="DB503" s="21" t="n"/>
      <c r="DC503" s="21" t="n"/>
      <c r="DD503" s="27">
        <f>SUM(DB503:DC503)</f>
        <v/>
      </c>
      <c r="DE503" s="28" t="n"/>
      <c r="DF503" s="31" t="n"/>
      <c r="DG503" s="29">
        <f>IF(AND(DD503=0,DE503=0,DF503=0),0,IF(AND(DD503=0,DE503=0),DF503/1,IF(AND(DD503=0,DF503=0),DE503/1,IF(AND(DE503=0,DF503=0),DD503/1,IF(DD503=0,FLOOR((DE503+DF503)/2,0.1),IF(DE503=0,(DD503+DF503)/2,IF(DF503=0,(DE503+DD503)/2,FLOOR(((DD503+DE503+DF503)/3),0.1))))))))</f>
        <v/>
      </c>
      <c r="DH503" s="34">
        <f>SUM(O503,U503,AA503,AG503,AM503,AS503,AY503,BE503,BK503,BQ503,BW503,CC503,CI503,CO503,CU503,DA503,DG503)</f>
        <v/>
      </c>
      <c r="DI503" s="39">
        <f>RANK(DH503,DH$4:DH$503)</f>
        <v/>
      </c>
      <c r="DJ503" s="40" t="inlineStr">
        <is>
          <t>CHOOSE RATING</t>
        </is>
      </c>
      <c r="DK503" s="40" t="inlineStr">
        <is>
          <t>CHOOSE RATING</t>
        </is>
      </c>
      <c r="DL503" s="40" t="inlineStr">
        <is>
          <t>CHOOSE RATING</t>
        </is>
      </c>
      <c r="DM503" s="40" t="inlineStr">
        <is>
          <t>CHOOSE RATING</t>
        </is>
      </c>
      <c r="DN503" s="40" t="inlineStr">
        <is>
          <t>CHOOSE RATING</t>
        </is>
      </c>
      <c r="DO503" s="40" t="inlineStr">
        <is>
          <t>CHOOSE RATING</t>
        </is>
      </c>
      <c r="DP503" s="40" t="inlineStr">
        <is>
          <t>CHOOSE RATING</t>
        </is>
      </c>
      <c r="DQ503" s="40" t="inlineStr">
        <is>
          <t>CHOOSE RATING</t>
        </is>
      </c>
      <c r="DR503" s="43" t="inlineStr">
        <is>
          <t>2024/2025</t>
        </is>
      </c>
      <c r="DS503" s="45" t="inlineStr">
        <is>
          <t>THIRD</t>
        </is>
      </c>
      <c r="DT503" s="40" t="inlineStr">
        <is>
          <t>CHOOSE RATING</t>
        </is>
      </c>
      <c r="DU503" s="40" t="inlineStr">
        <is>
          <t>CHOOSE RATING</t>
        </is>
      </c>
      <c r="DV503" s="40" t="inlineStr">
        <is>
          <t>CHOOSE RATING</t>
        </is>
      </c>
      <c r="DW503" s="40" t="inlineStr">
        <is>
          <t>CHOOSE RATING</t>
        </is>
      </c>
      <c r="DX503" s="40" t="inlineStr">
        <is>
          <t>CHOOSE RATING</t>
        </is>
      </c>
      <c r="DY503" s="40" t="inlineStr">
        <is>
          <t>CHOOSE RATING</t>
        </is>
      </c>
      <c r="DZ503" s="53" t="inlineStr">
        <is>
          <t>CHOOSE RATING</t>
        </is>
      </c>
      <c r="EA503" s="54" t="inlineStr">
        <is>
          <t>Add the Tutor's Comment . . .</t>
        </is>
      </c>
      <c r="EB503" s="55" t="inlineStr">
        <is>
          <t>Choose Principals comment</t>
        </is>
      </c>
      <c r="EC503" s="56" t="n"/>
      <c r="ED503" s="57" t="inlineStr">
        <is>
          <t>Next Term Begins on Monday, 22nd September, 2025</t>
        </is>
      </c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0" password="A125"/>
  <mergeCells count="19">
    <mergeCell ref="P2:U2"/>
    <mergeCell ref="AB2:AG2"/>
    <mergeCell ref="CD2:CI2"/>
    <mergeCell ref="AN2:AS2"/>
    <mergeCell ref="BX2:CC2"/>
    <mergeCell ref="CJ2:CO2"/>
    <mergeCell ref="CP2:CU2"/>
    <mergeCell ref="DJ2:DQ2"/>
    <mergeCell ref="DT2:DZ2"/>
    <mergeCell ref="AH2:AM2"/>
    <mergeCell ref="AT2:AY2"/>
    <mergeCell ref="AZ2:BE2"/>
    <mergeCell ref="J2:O2"/>
    <mergeCell ref="CV2:DA2"/>
    <mergeCell ref="DB2:DG2"/>
    <mergeCell ref="BF2:BK2"/>
    <mergeCell ref="BL2:BQ2"/>
    <mergeCell ref="V2:AA2"/>
    <mergeCell ref="BR2:BW2"/>
  </mergeCells>
  <dataValidations count="7">
    <dataValidation sqref="J4:J503 P4:P503 V4:V503 AB4:AB503 AH4:AH503 AT4:AT503 AZ4:AZ503 BF4:BF503 BL4:BL503 BR4:BR503 BX4:BX503 CD4:CD503 CJ4:CJ503 CP4:CP503 CV4:CV503 DB4:DB503" showDropDown="0" showInputMessage="1" showErrorMessage="1" allowBlank="1" type="whole">
      <formula1>0</formula1>
      <formula2>30</formula2>
    </dataValidation>
    <dataValidation sqref="K4:K503 Q4:Q503 W4:W503 AC4:AC503 AI4:AI503 AO4:AO503 AU4:AU503 BA4:BA503 BG4:BG503 BM4:BM503 BS4:BS503 BY4:BY503 CE4:CE503 CK4:CK503 CQ4:CQ503 CW4:CW503 DC4:DC503" showDropDown="0" showInputMessage="1" showErrorMessage="1" allowBlank="1" type="whole">
      <formula1>0</formula1>
      <formula2>70</formula2>
    </dataValidation>
    <dataValidation sqref="O4:O503 U4:U503 AA4:AA503 AG4:AG503 AM4:AM503 AS4:AS503 AY4:AY503 BE4:BE503 BK4:BK503 BQ4:BQ503 BW4:BW503 CC4:CC503 CI4:CI503 CO4:CO503 CU4:CU503 DA4:DA503 DG4:DG503" showDropDown="0" showInputMessage="1" showErrorMessage="1" allowBlank="1" type="decimal">
      <formula1>0</formula1>
      <formula2>100</formula2>
    </dataValidation>
    <dataValidation sqref="L4:N503 R4:T503 X4:Z503 AD4:AF503 AJ4:AL503 AN4:AN503 AP4:AR503 AV4:AX503 BB4:BD503 BH4:BJ503 BN4:BP503 BT4:BV503 BZ4:CB503 CF4:CH503 CL4:CN503 CR4:CT503 CX4:CZ503 DD4:DF503" showDropDown="0" showInputMessage="1" showErrorMessage="1" allowBlank="1" type="whole">
      <formula1>0</formula1>
      <formula2>100</formula2>
    </dataValidation>
    <dataValidation sqref="EB4:EB503" showDropDown="0" showInputMessage="1" showErrorMessage="1" allowBlank="1" type="list">
      <formula1>"Choose Principals comment, Promoted to JSS2, Promoted to JSS3, Promoted on trial to JSS2, Promoted on trial to JSS3, To repeat JSS1, To repeat JSS2"</formula1>
    </dataValidation>
    <dataValidation sqref="DJ4:DQ503" showDropDown="0" showInputMessage="1" showErrorMessage="1" allowBlank="1" type="list">
      <formula1>"CHOOSE RATING, EXCELLENT(5), GOOD(4), AVERAGE(3), BELOW AVERAGE(2), FAIR(1)"</formula1>
    </dataValidation>
    <dataValidation sqref="DT4:DZ503" showDropDown="0" showInputMessage="1" showErrorMessage="1" allowBlank="1" type="list">
      <formula1>"CHOOSE RATING, OPTIONAL, EXCELLENT(5), GOOD(4), AVERAGE(3), BELOW AVERAGE(2), FAIR(1)"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26" sqref="A26"/>
    </sheetView>
  </sheetViews>
  <sheetFormatPr baseColWidth="8" defaultColWidth="9" defaultRowHeight="15"/>
  <cols>
    <col width="59.140625" customWidth="1" style="6" min="1" max="1"/>
    <col width="20.42578125" customWidth="1" style="6" min="2" max="2"/>
  </cols>
  <sheetData>
    <row r="1">
      <c r="A1" s="1" t="n">
        <v>1</v>
      </c>
    </row>
    <row r="2">
      <c r="A2" s="1" t="inlineStr">
        <is>
          <t>Add the Tutor's Comment . . .</t>
        </is>
      </c>
    </row>
    <row r="3">
      <c r="A3" s="2" t="inlineStr">
        <is>
          <t>Shows consistent effort and improvement in academic work.</t>
        </is>
      </c>
      <c r="B3" s="3" t="inlineStr">
        <is>
          <t>Academic Performance</t>
        </is>
      </c>
    </row>
    <row r="4">
      <c r="A4" s="2" t="inlineStr">
        <is>
          <t>Excels in most subjects and demonstrates a strong grasp of concepts.</t>
        </is>
      </c>
    </row>
    <row r="5">
      <c r="A5" s="2" t="inlineStr">
        <is>
          <t>Needs to focus more during lessons to achieve full potential.</t>
        </is>
      </c>
    </row>
    <row r="6">
      <c r="A6" s="2" t="inlineStr">
        <is>
          <t>Completes assignments on time and with care.</t>
        </is>
      </c>
    </row>
    <row r="7">
      <c r="A7" s="2" t="inlineStr">
        <is>
          <t>Requires additional support in understanding key concepts.</t>
        </is>
      </c>
    </row>
    <row r="8">
      <c r="A8" s="2" t="inlineStr">
        <is>
          <t>Demonstrates a positive attitude and respect for rules.</t>
        </is>
      </c>
      <c r="B8" s="3" t="inlineStr">
        <is>
          <t>Behavior and Discipline</t>
        </is>
      </c>
    </row>
    <row r="9">
      <c r="A9" s="2" t="inlineStr">
        <is>
          <t>Consistently well-behaved and sets a good example for peers.</t>
        </is>
      </c>
    </row>
    <row r="10">
      <c r="A10" s="2" t="inlineStr">
        <is>
          <t>Needs reminders to stay on task and avoid distractions.</t>
        </is>
      </c>
    </row>
    <row r="11">
      <c r="A11" s="2" t="inlineStr">
        <is>
          <t>Generally polite and courteous to staff and classmates.</t>
        </is>
      </c>
    </row>
    <row r="12">
      <c r="A12" s="2" t="inlineStr">
        <is>
          <t>Should work on controlling impulsive behavior in class.</t>
        </is>
      </c>
    </row>
    <row r="13">
      <c r="A13" s="2" t="inlineStr">
        <is>
          <t>Actively participates in class discussions and group work.</t>
        </is>
      </c>
      <c r="B13" s="4" t="inlineStr">
        <is>
          <t>Class Participation</t>
        </is>
      </c>
    </row>
    <row r="14">
      <c r="A14" s="2" t="inlineStr">
        <is>
          <t>Often contributes thoughtful questions and ideas.</t>
        </is>
      </c>
    </row>
    <row r="15">
      <c r="A15" s="2" t="inlineStr">
        <is>
          <t>Is a quiet student but attentive and engaged.</t>
        </is>
      </c>
    </row>
    <row r="16">
      <c r="A16" s="2" t="inlineStr">
        <is>
          <t>Needs encouragement to speak up and participate more actively.</t>
        </is>
      </c>
    </row>
    <row r="17">
      <c r="A17" s="2" t="inlineStr">
        <is>
          <t>Prefers working independently but collaborates when needed.</t>
        </is>
      </c>
    </row>
    <row r="18">
      <c r="A18" s="2" t="inlineStr">
        <is>
          <t>Shows leadership qualities and a willingness to help others.</t>
        </is>
      </c>
      <c r="B18" s="3" t="inlineStr">
        <is>
          <t>Personal Development</t>
        </is>
      </c>
    </row>
    <row r="19">
      <c r="A19" s="2" t="inlineStr">
        <is>
          <t>Demonstrates responsibility and independence in managing tasks.</t>
        </is>
      </c>
    </row>
    <row r="20">
      <c r="A20" s="2" t="inlineStr">
        <is>
          <t>He is developing greater self-confidence and resilience.</t>
        </is>
      </c>
    </row>
    <row r="21">
      <c r="A21" s="2" t="inlineStr">
        <is>
          <t>She is developing greater self-confidence and resilience.</t>
        </is>
      </c>
    </row>
    <row r="22">
      <c r="A22" s="2" t="inlineStr">
        <is>
          <t>Sometimes struggles with self-motivation, but shows potential.</t>
        </is>
      </c>
    </row>
    <row r="23">
      <c r="A23" s="2" t="inlineStr">
        <is>
          <t>Has made noticeable progress in social and emotional growth.</t>
        </is>
      </c>
    </row>
    <row r="24">
      <c r="A24" s="2" t="inlineStr">
        <is>
          <t>Always Absent from School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OLUSINA OLUNLADE</dc:creator>
  <dcterms:created xsi:type="dcterms:W3CDTF">2025-02-09T12:21:00Z</dcterms:created>
  <dcterms:modified xsi:type="dcterms:W3CDTF">2025-08-02T17:00:44Z</dcterms:modified>
  <cp:lastModifiedBy>LENOVO1</cp:lastModifiedBy>
  <cp:lastPrinted>2024-07-22T15:34:08Z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D5E27D40A7DE49C3B3B6C14FE9C43B21_12</vt:lpwstr>
  </property>
  <property name="KSOProductBuildVer" fmtid="{D5CDD505-2E9C-101B-9397-08002B2CF9AE}" pid="3">
    <vt:lpwstr>1033-12.2.0.21179</vt:lpwstr>
  </property>
</Properties>
</file>