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1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5" fillId="0" borderId="1" applyAlignment="1" applyProtection="1" pivotButton="0" quotePrefix="0" xfId="0">
      <alignment vertical="center" wrapText="1"/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16" fillId="0" borderId="1" applyAlignment="1" applyProtection="1" pivotButton="0" quotePrefix="0" xfId="0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1</colOff>
      <row>4</row>
      <rowOff>0</rowOff>
    </from>
    <to>
      <col>12</col>
      <colOff>1</colOff>
      <row>7</row>
      <rowOff>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1" y="965200"/>
          <a:ext cx="1435100" cy="153670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2" workbookViewId="0">
      <selection activeCell="E77" sqref="E77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abSelected="1" topLeftCell="A7" zoomScale="75" zoomScaleNormal="75" workbookViewId="0">
      <selection activeCell="I22" sqref="I22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39" t="n"/>
      <c r="C5" s="140" t="n"/>
      <c r="D5" s="178" t="inlineStr">
        <is>
          <t>OYO STATE MINISTRY OF EDUCATION, SCIENCE AND TECHNOLOGY</t>
        </is>
      </c>
      <c r="E5" s="136" t="n"/>
      <c r="F5" s="136" t="n"/>
      <c r="G5" s="136" t="n"/>
      <c r="H5" s="136" t="n"/>
      <c r="I5" s="136" t="n"/>
      <c r="J5" s="136" t="n"/>
      <c r="K5" s="138" t="n"/>
      <c r="L5" s="180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41" t="n"/>
      <c r="C6" s="142" t="n"/>
      <c r="D6" s="185" t="inlineStr">
        <is>
          <t>COMPREHENSIVE HIGH SCHOOL, IGBOPE</t>
        </is>
      </c>
      <c r="E6" s="136" t="n"/>
      <c r="F6" s="136" t="n"/>
      <c r="G6" s="136" t="n"/>
      <c r="H6" s="136" t="n"/>
      <c r="I6" s="136" t="n"/>
      <c r="J6" s="136" t="n"/>
      <c r="K6" s="138" t="n"/>
      <c r="L6" s="181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43" t="n"/>
      <c r="C7" s="144" t="n"/>
      <c r="D7" s="191" t="inlineStr">
        <is>
          <t>STUDENT REPORT CARD</t>
        </is>
      </c>
      <c r="E7" s="136" t="n"/>
      <c r="F7" s="136" t="n"/>
      <c r="G7" s="136" t="n"/>
      <c r="H7" s="136" t="n"/>
      <c r="I7" s="136" t="n"/>
      <c r="J7" s="136" t="n"/>
      <c r="K7" s="138" t="n"/>
      <c r="L7" s="151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19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90">
        <f>VLOOKUP(B8,Db!A4:B503,2,0)</f>
        <v/>
      </c>
      <c r="E8" s="169" t="n"/>
      <c r="F8" s="149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35" t="inlineStr">
        <is>
          <t>Number of Subjects Offered:</t>
        </is>
      </c>
      <c r="C9" s="136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35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93" t="inlineStr">
        <is>
          <t xml:space="preserve">No of Times School Opened: </t>
        </is>
      </c>
      <c r="C10" s="136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87" t="inlineStr">
        <is>
          <t>COGNITIVE (ACADEMIC PERFORMANCE)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6" t="n"/>
      <c r="K11" s="136" t="n"/>
      <c r="L11" s="138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57" t="inlineStr">
        <is>
          <t>S/NO</t>
        </is>
      </c>
      <c r="C12" s="186" t="inlineStr">
        <is>
          <t>Subject</t>
        </is>
      </c>
      <c r="D12" s="189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87" t="inlineStr">
        <is>
          <t>Total Mark</t>
        </is>
      </c>
      <c r="H12" s="136" t="n"/>
      <c r="I12" s="136" t="n"/>
      <c r="J12" s="138" t="n"/>
      <c r="K12" s="188" t="inlineStr">
        <is>
          <t>Grade Obtained</t>
        </is>
      </c>
      <c r="L12" s="158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51" t="n"/>
      <c r="C13" s="151" t="n"/>
      <c r="D13" s="151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51" t="n"/>
      <c r="L13" s="151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59" t="inlineStr">
        <is>
          <t xml:space="preserve">TOTAL MARKS OBTAINABLE:                         </t>
        </is>
      </c>
      <c r="C31" s="136" t="n"/>
      <c r="D31" s="84">
        <f>SUM(D14:D30)</f>
        <v/>
      </c>
      <c r="E31" s="85" t="n"/>
      <c r="F31" s="85" t="n"/>
      <c r="G31" s="85" t="n"/>
      <c r="H31" s="160" t="inlineStr">
        <is>
          <t xml:space="preserve">TOTAL MARKS    OBTAINED:                                               </t>
        </is>
      </c>
      <c r="I31" s="161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79" t="inlineStr">
        <is>
          <t>GRADE INTERPRETATION :::      A: DISTINCTION               C: CREDIT               P: PASS               F: FAIL</t>
        </is>
      </c>
      <c r="C32" s="136" t="n"/>
      <c r="D32" s="136" t="n"/>
      <c r="E32" s="136" t="n"/>
      <c r="F32" s="136" t="n"/>
      <c r="G32" s="136" t="n"/>
      <c r="H32" s="136" t="n"/>
      <c r="I32" s="136" t="n"/>
      <c r="J32" s="136" t="n"/>
      <c r="K32" s="136" t="n"/>
      <c r="L32" s="138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37" t="inlineStr">
        <is>
          <t>BEHAVIOURAL (AFFECTIVE DOMAIN)</t>
        </is>
      </c>
      <c r="C33" s="136" t="n"/>
      <c r="D33" s="136" t="n"/>
      <c r="E33" s="136" t="n"/>
      <c r="F33" s="136" t="n"/>
      <c r="G33" s="136" t="n"/>
      <c r="H33" s="136" t="n"/>
      <c r="I33" s="136" t="n"/>
      <c r="J33" s="136" t="n"/>
      <c r="K33" s="136" t="n"/>
      <c r="L33" s="138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92" t="inlineStr">
        <is>
          <t>PUNCTUALITY</t>
        </is>
      </c>
      <c r="C34" s="138" t="n"/>
      <c r="D34" s="192" t="inlineStr">
        <is>
          <t>NEATNESS</t>
        </is>
      </c>
      <c r="E34" s="192" t="inlineStr">
        <is>
          <t>ATTENTIVENESS</t>
        </is>
      </c>
      <c r="F34" s="192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82">
        <f>VLOOKUP(B8,Db!A4:DJ503,114,0)</f>
        <v/>
      </c>
      <c r="C35" s="149" t="n"/>
      <c r="D35" s="182">
        <f>VLOOKUP(B8,Db!A4:DK503,115,0)</f>
        <v/>
      </c>
      <c r="E35" s="182">
        <f>VLOOKUP(B8,Db!A4:DL503,116,0)</f>
        <v/>
      </c>
      <c r="F35" s="182">
        <f>VLOOKUP(B8,Db!A4:DM503,117,0)</f>
        <v/>
      </c>
      <c r="G35" s="152">
        <f>VLOOKUP(B8,Db!A4:DN503,118,0)</f>
        <v/>
      </c>
      <c r="H35" s="182">
        <f>VLOOKUP(B8,Db!A4:DO503,119,0)</f>
        <v/>
      </c>
      <c r="I35" s="182">
        <f>VLOOKUP(B8,Db!A4:DP503,120,0)</f>
        <v/>
      </c>
      <c r="J35" s="182">
        <f>VLOOKUP(B8,Db!A4:DQ503,121,0)</f>
        <v/>
      </c>
      <c r="K35" s="150" t="inlineStr">
        <is>
          <t xml:space="preserve"> SCORE OBTAINED </t>
        </is>
      </c>
      <c r="L35" s="163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71">
        <f>IF(B35="EXCELLENT(5)",5,IF(B35="GOOD(4)",4,IF(B35="AVERAGE(3)",3,IF(B35="BELOW AVERAGE(2)",2,IF(B35="FAIR(1)",1,"--")))))</f>
        <v/>
      </c>
      <c r="C36" s="149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51" t="n"/>
      <c r="L36" s="16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83" t="inlineStr">
        <is>
          <t>PSYCHOMOTOR DOMAIN</t>
        </is>
      </c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65" t="inlineStr">
        <is>
          <t>CRAFTS/DRAWING &amp; PAINTING</t>
        </is>
      </c>
      <c r="C38" s="138" t="n"/>
      <c r="D38" s="165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55" t="inlineStr">
        <is>
          <t>CREATIVITY &amp; INITIATIVE</t>
        </is>
      </c>
      <c r="I38" s="15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9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3">
        <f>VLOOKUP(B8,Db!A4:DY503,129,0)</f>
        <v/>
      </c>
      <c r="I39" s="154" t="n"/>
      <c r="J39" s="91">
        <f>VLOOKUP(B8,Db!A4:DZ503,130,0)</f>
        <v/>
      </c>
      <c r="K39" s="174" t="inlineStr">
        <is>
          <t xml:space="preserve"> SCORE OBTAINED </t>
        </is>
      </c>
      <c r="L39" s="175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8">
        <f>IF(B39="EXCELLENT(5)",5,IF(B39="GOOD(4)",4,IF(B39="AVERAGE(3)",3,IF(B39="BELOW AVERAGE(2)",2,IF(B39="FAIR(1)",1,"--")))))</f>
        <v/>
      </c>
      <c r="C40" s="149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8">
        <f>IF(H39="EXCELLENT(5)",5,IF(H39="GOOD(4)",4,IF(H39="AVERAGE(3)",3,IF(H39="BELOW AVERAGE(2)",2,IF(H39="FAIR(1)",1,"--")))))</f>
        <v/>
      </c>
      <c r="I40" s="149" t="n"/>
      <c r="J40" s="92">
        <f>IF(J39="EXCELLENT(5)",5,IF(J39="GOOD(4)",4,IF(J39="AVERAGE(3)",3,IF(J39="BELOW AVERAGE(2)",2,IF(J39="FAIR(1)",1,"--")))))</f>
        <v/>
      </c>
      <c r="K40" s="151" t="n"/>
      <c r="L40" s="16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79" t="inlineStr">
        <is>
          <t>NON-COGNITIVE ASPECTS RATING KEYS: 5-Excellent        4-Good         3-Average         2-Below Average          1-Fair</t>
        </is>
      </c>
      <c r="C41" s="136" t="n"/>
      <c r="D41" s="136" t="n"/>
      <c r="E41" s="136" t="n"/>
      <c r="F41" s="136" t="n"/>
      <c r="G41" s="136" t="n"/>
      <c r="H41" s="136" t="n"/>
      <c r="I41" s="136" t="n"/>
      <c r="J41" s="136" t="n"/>
      <c r="K41" s="136" t="n"/>
      <c r="L41" s="138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73" t="inlineStr">
        <is>
          <t xml:space="preserve"> Class Tutor's Comment:                          </t>
        </is>
      </c>
      <c r="C42" s="140" t="n"/>
      <c r="D42" s="145">
        <f>VLOOKUP(B8,Db!A4:EA503,131,0)</f>
        <v/>
      </c>
      <c r="E42" s="146" t="n"/>
      <c r="F42" s="146" t="n"/>
      <c r="G42" s="147" t="n"/>
      <c r="H42" s="166" t="inlineStr">
        <is>
          <t>Class Tutor's  Name:</t>
        </is>
      </c>
      <c r="I42" s="172">
        <f>VLOOKUP(B8,Db!A4:EC503,133,0)</f>
        <v/>
      </c>
      <c r="J42" s="169" t="n"/>
      <c r="K42" s="169" t="n"/>
      <c r="L42" s="149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76" t="inlineStr">
        <is>
          <t xml:space="preserve">Principal´s Comment: </t>
        </is>
      </c>
      <c r="C43" s="138" t="n"/>
      <c r="D43" s="177">
        <f>VLOOKUP(B8,Db!A4:EB503,132,0)</f>
        <v/>
      </c>
      <c r="E43" s="169" t="n"/>
      <c r="F43" s="169" t="n"/>
      <c r="G43" s="169" t="n"/>
      <c r="H43" s="169" t="n"/>
      <c r="I43" s="149" t="n"/>
      <c r="J43" s="122" t="inlineStr">
        <is>
          <t>Parent Signature:</t>
        </is>
      </c>
      <c r="K43" s="167" t="n"/>
      <c r="L43" s="138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66" t="inlineStr">
        <is>
          <t>Principal´s Signature/Stamp:</t>
        </is>
      </c>
      <c r="C44" s="136" t="n"/>
      <c r="D44" s="170" t="n"/>
      <c r="E44" s="136" t="n"/>
      <c r="F44" s="136" t="n"/>
      <c r="G44" s="136" t="n"/>
      <c r="H44" s="136" t="n"/>
      <c r="I44" s="136" t="n"/>
      <c r="J44" s="136" t="n"/>
      <c r="K44" s="136" t="n"/>
      <c r="L44" s="138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68">
        <f>VLOOKUP(B8,Db!A4:ED503,134,0)</f>
        <v/>
      </c>
      <c r="C45" s="169" t="n"/>
      <c r="D45" s="169" t="n"/>
      <c r="E45" s="169" t="n"/>
      <c r="F45" s="169" t="n"/>
      <c r="G45" s="149" t="n"/>
      <c r="H45" s="94" t="n"/>
      <c r="I45" s="162" t="inlineStr">
        <is>
          <t>POWERED BY PLANNING, RESEARCH AND STATISTICS DEPARTMENT, EMIS UNIT</t>
        </is>
      </c>
      <c r="J45" s="136" t="n"/>
      <c r="K45" s="136" t="n"/>
      <c r="L45" s="138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D43:I43"/>
    <mergeCell ref="H39:I39"/>
    <mergeCell ref="D6:K6"/>
    <mergeCell ref="C12:C13"/>
    <mergeCell ref="B11:L11"/>
    <mergeCell ref="G12:J12"/>
    <mergeCell ref="K12:K13"/>
    <mergeCell ref="B42:C4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10" zoomScale="91" zoomScaleNormal="91" workbookViewId="0">
      <pane xSplit="1" topLeftCell="B1" activePane="topRight" state="frozen"/>
      <selection pane="topRight" activeCell="AI12" sqref="AI1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4" t="inlineStr">
        <is>
          <t>General Mathematics</t>
        </is>
      </c>
      <c r="K2" s="199" t="n"/>
      <c r="L2" s="199" t="n"/>
      <c r="M2" s="199" t="n"/>
      <c r="N2" s="199" t="n"/>
      <c r="O2" s="200" t="n"/>
      <c r="P2" s="205" t="inlineStr">
        <is>
          <t>English Language</t>
        </is>
      </c>
      <c r="Q2" s="199" t="n"/>
      <c r="R2" s="199" t="n"/>
      <c r="S2" s="199" t="n"/>
      <c r="T2" s="199" t="n"/>
      <c r="U2" s="200" t="n"/>
      <c r="V2" s="198" t="inlineStr">
        <is>
          <t>Basic Science</t>
        </is>
      </c>
      <c r="W2" s="199" t="n"/>
      <c r="X2" s="199" t="n"/>
      <c r="Y2" s="199" t="n"/>
      <c r="Z2" s="199" t="n"/>
      <c r="AA2" s="200" t="n"/>
      <c r="AB2" s="203" t="inlineStr">
        <is>
          <t>Basic Technology</t>
        </is>
      </c>
      <c r="AC2" s="199" t="n"/>
      <c r="AD2" s="199" t="n"/>
      <c r="AE2" s="199" t="n"/>
      <c r="AF2" s="199" t="n"/>
      <c r="AG2" s="200" t="n"/>
      <c r="AH2" s="198" t="inlineStr">
        <is>
          <t>Business Studies</t>
        </is>
      </c>
      <c r="AI2" s="199" t="n"/>
      <c r="AJ2" s="199" t="n"/>
      <c r="AK2" s="199" t="n"/>
      <c r="AL2" s="199" t="n"/>
      <c r="AM2" s="200" t="n"/>
      <c r="AN2" s="203" t="inlineStr">
        <is>
          <t>CCA</t>
        </is>
      </c>
      <c r="AO2" s="199" t="n"/>
      <c r="AP2" s="199" t="n"/>
      <c r="AQ2" s="199" t="n"/>
      <c r="AR2" s="199" t="n"/>
      <c r="AS2" s="200" t="n"/>
      <c r="AT2" s="201" t="inlineStr">
        <is>
          <t>Social Studies</t>
        </is>
      </c>
      <c r="AU2" s="199" t="n"/>
      <c r="AV2" s="199" t="n"/>
      <c r="AW2" s="199" t="n"/>
      <c r="AX2" s="199" t="n"/>
      <c r="AY2" s="200" t="n"/>
      <c r="AZ2" s="202" t="inlineStr">
        <is>
          <t>Agriculture-Science</t>
        </is>
      </c>
      <c r="BA2" s="199" t="n"/>
      <c r="BB2" s="199" t="n"/>
      <c r="BC2" s="199" t="n"/>
      <c r="BD2" s="199" t="n"/>
      <c r="BE2" s="200" t="n"/>
      <c r="BF2" s="198" t="inlineStr">
        <is>
          <t>Yoruba</t>
        </is>
      </c>
      <c r="BG2" s="199" t="n"/>
      <c r="BH2" s="199" t="n"/>
      <c r="BI2" s="199" t="n"/>
      <c r="BJ2" s="199" t="n"/>
      <c r="BK2" s="200" t="n"/>
      <c r="BL2" s="203" t="inlineStr">
        <is>
          <t>PHE</t>
        </is>
      </c>
      <c r="BM2" s="199" t="n"/>
      <c r="BN2" s="199" t="n"/>
      <c r="BO2" s="199" t="n"/>
      <c r="BP2" s="199" t="n"/>
      <c r="BQ2" s="200" t="n"/>
      <c r="BR2" s="198" t="inlineStr">
        <is>
          <t>Home-Economics</t>
        </is>
      </c>
      <c r="BS2" s="199" t="n"/>
      <c r="BT2" s="199" t="n"/>
      <c r="BU2" s="199" t="n"/>
      <c r="BV2" s="199" t="n"/>
      <c r="BW2" s="200" t="n"/>
      <c r="BX2" s="203" t="inlineStr">
        <is>
          <t>Civic Education</t>
        </is>
      </c>
      <c r="BY2" s="199" t="n"/>
      <c r="BZ2" s="199" t="n"/>
      <c r="CA2" s="199" t="n"/>
      <c r="CB2" s="199" t="n"/>
      <c r="CC2" s="200" t="n"/>
      <c r="CD2" s="198" t="inlineStr">
        <is>
          <t>Computer Studies</t>
        </is>
      </c>
      <c r="CE2" s="199" t="n"/>
      <c r="CF2" s="199" t="n"/>
      <c r="CG2" s="199" t="n"/>
      <c r="CH2" s="199" t="n"/>
      <c r="CI2" s="200" t="n"/>
      <c r="CJ2" s="203" t="inlineStr">
        <is>
          <t>History</t>
        </is>
      </c>
      <c r="CK2" s="199" t="n"/>
      <c r="CL2" s="199" t="n"/>
      <c r="CM2" s="199" t="n"/>
      <c r="CN2" s="199" t="n"/>
      <c r="CO2" s="200" t="n"/>
      <c r="CP2" s="198" t="inlineStr">
        <is>
          <t>Islamic Studies</t>
        </is>
      </c>
      <c r="CQ2" s="199" t="n"/>
      <c r="CR2" s="199" t="n"/>
      <c r="CS2" s="199" t="n"/>
      <c r="CT2" s="199" t="n"/>
      <c r="CU2" s="200" t="n"/>
      <c r="CV2" s="203" t="inlineStr">
        <is>
          <t>C.R.S</t>
        </is>
      </c>
      <c r="CW2" s="199" t="n"/>
      <c r="CX2" s="199" t="n"/>
      <c r="CY2" s="199" t="n"/>
      <c r="CZ2" s="199" t="n"/>
      <c r="DA2" s="200" t="n"/>
      <c r="DB2" s="198" t="inlineStr">
        <is>
          <t>French</t>
        </is>
      </c>
      <c r="DC2" s="199" t="n"/>
      <c r="DD2" s="199" t="n"/>
      <c r="DE2" s="199" t="n"/>
      <c r="DF2" s="199" t="n"/>
      <c r="DG2" s="200" t="n"/>
      <c r="DH2" s="32" t="n"/>
      <c r="DI2" s="35" t="n"/>
      <c r="DJ2" s="194" t="inlineStr">
        <is>
          <t>AFFECTIVE DOMAIN</t>
        </is>
      </c>
      <c r="DK2" s="195" t="n"/>
      <c r="DL2" s="195" t="n"/>
      <c r="DM2" s="195" t="n"/>
      <c r="DN2" s="195" t="n"/>
      <c r="DO2" s="195" t="n"/>
      <c r="DP2" s="195" t="n"/>
      <c r="DQ2" s="195" t="n"/>
      <c r="DR2" s="41" t="n"/>
      <c r="DS2" s="42" t="n"/>
      <c r="DT2" s="196" t="inlineStr">
        <is>
          <t>PSYCHOMOTOR DOMAIN</t>
        </is>
      </c>
      <c r="DU2" s="195" t="n"/>
      <c r="DV2" s="195" t="n"/>
      <c r="DW2" s="195" t="n"/>
      <c r="DX2" s="195" t="n"/>
      <c r="DY2" s="195" t="n"/>
      <c r="DZ2" s="197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>ADEROGBA BLESSING A.</t>
        </is>
      </c>
      <c r="C4" s="20" t="inlineStr">
        <is>
          <t>1800</t>
        </is>
      </c>
      <c r="D4" s="128" t="inlineStr">
        <is>
          <t>Male</t>
        </is>
      </c>
      <c r="E4" s="21" t="inlineStr">
        <is>
          <t>JSS 2C</t>
        </is>
      </c>
      <c r="F4" s="21" t="n">
        <v>31</v>
      </c>
      <c r="G4" s="21" t="n">
        <v>122</v>
      </c>
      <c r="H4" s="21" t="n">
        <v>108</v>
      </c>
      <c r="I4" s="26">
        <f>G4-H4</f>
        <v/>
      </c>
      <c r="J4" s="21" t="n">
        <v>24</v>
      </c>
      <c r="K4" s="21" t="n">
        <v>24</v>
      </c>
      <c r="L4" s="27">
        <f>SUM(J4:K4)</f>
        <v/>
      </c>
      <c r="M4" s="28" t="n">
        <v>23</v>
      </c>
      <c r="N4" s="28" t="n">
        <v>28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13</v>
      </c>
      <c r="Q4" s="21" t="n">
        <v>27</v>
      </c>
      <c r="R4" s="27">
        <f>SUM(P4:Q4)</f>
        <v/>
      </c>
      <c r="S4" s="28" t="n">
        <v>34</v>
      </c>
      <c r="T4" s="28" t="n">
        <v>46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21</v>
      </c>
      <c r="W4" s="21" t="n">
        <v>12</v>
      </c>
      <c r="X4" s="27">
        <f>SUM(V4:W4)</f>
        <v/>
      </c>
      <c r="Y4" s="28" t="n">
        <v>47</v>
      </c>
      <c r="Z4" s="28" t="n">
        <v>40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18</v>
      </c>
      <c r="AC4" s="21" t="n">
        <v>41</v>
      </c>
      <c r="AD4" s="27">
        <f>SUM(AB4:AC4)</f>
        <v/>
      </c>
      <c r="AE4" s="28" t="n">
        <v>35</v>
      </c>
      <c r="AF4" s="28" t="n">
        <v>47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17</v>
      </c>
      <c r="AI4" s="21" t="n">
        <v>30</v>
      </c>
      <c r="AJ4" s="27">
        <f>SUM(AH4:AI4)</f>
        <v/>
      </c>
      <c r="AK4" s="28" t="n">
        <v>43</v>
      </c>
      <c r="AL4" s="28" t="n">
        <v>34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30</v>
      </c>
      <c r="AU4" s="21" t="n">
        <v>27</v>
      </c>
      <c r="AV4" s="27">
        <f>SUM(AT4:AU4)</f>
        <v/>
      </c>
      <c r="AW4" s="28" t="n">
        <v>37</v>
      </c>
      <c r="AX4" s="30" t="n">
        <v>49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22</v>
      </c>
      <c r="BA4" s="21" t="n">
        <v>32</v>
      </c>
      <c r="BB4" s="27">
        <f>SUM(AZ4:BA4)</f>
        <v/>
      </c>
      <c r="BC4" s="28" t="n">
        <v>49</v>
      </c>
      <c r="BD4" s="28" t="n">
        <v>52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17</v>
      </c>
      <c r="BG4" s="21" t="n">
        <v>40</v>
      </c>
      <c r="BH4" s="27">
        <f>SUM(BF4:BG4)</f>
        <v/>
      </c>
      <c r="BI4" s="28" t="n">
        <v>49</v>
      </c>
      <c r="BJ4" s="28" t="n">
        <v>34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17</v>
      </c>
      <c r="BM4" s="21" t="n">
        <v>33</v>
      </c>
      <c r="BN4" s="27">
        <f>SUM(BL4:BM4)</f>
        <v/>
      </c>
      <c r="BO4" s="28" t="n">
        <v>31</v>
      </c>
      <c r="BP4" s="31" t="n">
        <v>51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20</v>
      </c>
      <c r="BY4" s="21" t="n">
        <v>58</v>
      </c>
      <c r="BZ4" s="27">
        <f>SUM(BX4:BY4)</f>
        <v/>
      </c>
      <c r="CA4" s="28" t="n">
        <v>53</v>
      </c>
      <c r="CB4" s="31" t="n">
        <v>46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44</v>
      </c>
      <c r="CF4" s="27">
        <f>SUM(CD4:CE4)</f>
        <v/>
      </c>
      <c r="CG4" s="28" t="n">
        <v>27</v>
      </c>
      <c r="CH4" s="31" t="n">
        <v>31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/>
      <c r="CQ4" s="21" t="n"/>
      <c r="CR4" s="27">
        <f>SUM(CP4:CQ4)</f>
        <v/>
      </c>
      <c r="CS4" s="28" t="n"/>
      <c r="CT4" s="31" t="n"/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>
        <v>30</v>
      </c>
      <c r="CW4" s="21" t="n">
        <v>70</v>
      </c>
      <c r="CX4" s="27">
        <f>SUM(CV4:CW4)</f>
        <v/>
      </c>
      <c r="CY4" s="28" t="n">
        <v>59</v>
      </c>
      <c r="CZ4" s="31" t="n">
        <v>56</v>
      </c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EXCELLENT(5)</t>
        </is>
      </c>
      <c r="DK4" s="40" t="inlineStr">
        <is>
          <t>GOOD(4)</t>
        </is>
      </c>
      <c r="DL4" s="40" t="inlineStr">
        <is>
          <t>EXCELLENT(5)</t>
        </is>
      </c>
      <c r="DM4" s="40" t="inlineStr">
        <is>
          <t>EXCELLENT(5)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GOOD(4)</t>
        </is>
      </c>
      <c r="DY4" s="40" t="inlineStr">
        <is>
          <t>GOOD(4)</t>
        </is>
      </c>
      <c r="DZ4" s="53" t="inlineStr">
        <is>
          <t>GOOD(4)</t>
        </is>
      </c>
      <c r="EA4" s="54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JIMOH WASIU OLATUNDE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AFOLABI MATTHEW </t>
        </is>
      </c>
      <c r="C5" s="20" t="inlineStr">
        <is>
          <t>1849</t>
        </is>
      </c>
      <c r="D5" s="128" t="inlineStr">
        <is>
          <t>Male</t>
        </is>
      </c>
      <c r="E5" s="21" t="inlineStr">
        <is>
          <t>JSS 2C</t>
        </is>
      </c>
      <c r="F5" s="21" t="n">
        <v>31</v>
      </c>
      <c r="G5" s="21" t="n">
        <v>122</v>
      </c>
      <c r="H5" s="21" t="n">
        <v>116</v>
      </c>
      <c r="I5" s="26">
        <f>G5-H5</f>
        <v/>
      </c>
      <c r="J5" s="21" t="n">
        <v>18</v>
      </c>
      <c r="K5" s="21" t="n">
        <v>18</v>
      </c>
      <c r="L5" s="27">
        <f>SUM(J5:K5)</f>
        <v/>
      </c>
      <c r="M5" s="28" t="n">
        <v>33</v>
      </c>
      <c r="N5" s="28" t="n">
        <v>30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13</v>
      </c>
      <c r="Q5" s="21" t="n">
        <v>26</v>
      </c>
      <c r="R5" s="27">
        <f>SUM(P5:Q5)</f>
        <v/>
      </c>
      <c r="S5" s="28" t="n">
        <v>60</v>
      </c>
      <c r="T5" s="28" t="n">
        <v>19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22</v>
      </c>
      <c r="W5" s="21" t="n">
        <v>20</v>
      </c>
      <c r="X5" s="27">
        <f>SUM(V5:W5)</f>
        <v/>
      </c>
      <c r="Y5" s="28" t="n">
        <v>51</v>
      </c>
      <c r="Z5" s="28" t="n">
        <v>46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25</v>
      </c>
      <c r="AC5" s="21" t="n">
        <v>38</v>
      </c>
      <c r="AD5" s="27">
        <f>SUM(AB5:AC5)</f>
        <v/>
      </c>
      <c r="AE5" s="28" t="n">
        <v>61</v>
      </c>
      <c r="AF5" s="28" t="n">
        <v>62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16</v>
      </c>
      <c r="AI5" s="21" t="n">
        <v>27</v>
      </c>
      <c r="AJ5" s="27">
        <f>SUM(AH5:AI5)</f>
        <v/>
      </c>
      <c r="AK5" s="28" t="n">
        <v>47</v>
      </c>
      <c r="AL5" s="28" t="n">
        <v>35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21</v>
      </c>
      <c r="AU5" s="21" t="n">
        <v>35</v>
      </c>
      <c r="AV5" s="27">
        <f>SUM(AT5:AU5)</f>
        <v/>
      </c>
      <c r="AW5" s="28" t="n">
        <v>40</v>
      </c>
      <c r="AX5" s="30" t="n">
        <v>31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22</v>
      </c>
      <c r="BA5" s="21" t="n">
        <v>30</v>
      </c>
      <c r="BB5" s="27">
        <f>SUM(AZ5:BA5)</f>
        <v/>
      </c>
      <c r="BC5" s="28" t="n">
        <v>41</v>
      </c>
      <c r="BD5" s="28" t="n">
        <v>46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14</v>
      </c>
      <c r="BG5" s="21" t="n">
        <v>37</v>
      </c>
      <c r="BH5" s="27">
        <f>SUM(BF5:BG5)</f>
        <v/>
      </c>
      <c r="BI5" s="28" t="n">
        <v>68</v>
      </c>
      <c r="BJ5" s="28" t="n">
        <v>28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37</v>
      </c>
      <c r="BN5" s="27">
        <f>SUM(BL5:BM5)</f>
        <v/>
      </c>
      <c r="BO5" s="28" t="n">
        <v>27</v>
      </c>
      <c r="BP5" s="31" t="n">
        <v>54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15</v>
      </c>
      <c r="BY5" s="21" t="n">
        <v>60</v>
      </c>
      <c r="BZ5" s="27">
        <f>SUM(BX5:BY5)</f>
        <v/>
      </c>
      <c r="CA5" s="28" t="n">
        <v>45</v>
      </c>
      <c r="CB5" s="31" t="n">
        <v>50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15</v>
      </c>
      <c r="CE5" s="21" t="n">
        <v>47</v>
      </c>
      <c r="CF5" s="27">
        <f>SUM(CD5:CE5)</f>
        <v/>
      </c>
      <c r="CG5" s="28" t="n">
        <v>38</v>
      </c>
      <c r="CH5" s="31" t="n">
        <v>42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/>
      <c r="CQ5" s="21" t="n"/>
      <c r="CR5" s="27">
        <f>SUM(CP5:CQ5)</f>
        <v/>
      </c>
      <c r="CS5" s="28" t="n"/>
      <c r="CT5" s="31" t="n"/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>
        <v>30</v>
      </c>
      <c r="CW5" s="21" t="n">
        <v>26</v>
      </c>
      <c r="CX5" s="27">
        <f>SUM(CV5:CW5)</f>
        <v/>
      </c>
      <c r="CY5" s="28" t="n">
        <v>47</v>
      </c>
      <c r="CZ5" s="31" t="n">
        <v>32</v>
      </c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EXCELLENT(5)</t>
        </is>
      </c>
      <c r="DK5" s="40" t="inlineStr">
        <is>
          <t>GOOD(4)</t>
        </is>
      </c>
      <c r="DL5" s="40" t="inlineStr">
        <is>
          <t>EXCELLENT(5)</t>
        </is>
      </c>
      <c r="DM5" s="40" t="inlineStr">
        <is>
          <t>EXCELLENT(5)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GOOD(4)</t>
        </is>
      </c>
      <c r="DW5" s="40" t="inlineStr">
        <is>
          <t>GOOD(4)</t>
        </is>
      </c>
      <c r="DX5" s="40" t="inlineStr">
        <is>
          <t>GOOD(4)</t>
        </is>
      </c>
      <c r="DY5" s="40" t="inlineStr">
        <is>
          <t>GOOD(4)</t>
        </is>
      </c>
      <c r="DZ5" s="53" t="inlineStr">
        <is>
          <t>GOOD(4)</t>
        </is>
      </c>
      <c r="EA5" s="54" t="inlineStr">
        <is>
          <t>Consistently well-behaved and sets a good example for peers.</t>
        </is>
      </c>
      <c r="EB5" s="55" t="inlineStr">
        <is>
          <t>Promoted to JSS3</t>
        </is>
      </c>
      <c r="EC5" s="56" t="inlineStr">
        <is>
          <t>MR. JIMOH WASIU OLATUNDE</t>
        </is>
      </c>
      <c r="ED5" s="57" t="inlineStr">
        <is>
          <t>Next Term Begins on Monday, 15th September, 2026</t>
        </is>
      </c>
    </row>
    <row r="6" ht="30.6" customHeight="1" s="6">
      <c r="A6" s="18" t="n">
        <v>3</v>
      </c>
      <c r="B6" s="19" t="inlineStr">
        <is>
          <t>AKEEM OPEYEMI  ABIKE</t>
        </is>
      </c>
      <c r="C6" s="20" t="inlineStr">
        <is>
          <t>1833</t>
        </is>
      </c>
      <c r="D6" s="128" t="inlineStr">
        <is>
          <t>Female</t>
        </is>
      </c>
      <c r="E6" s="21" t="inlineStr">
        <is>
          <t>JSS 2C</t>
        </is>
      </c>
      <c r="F6" s="21" t="n">
        <v>31</v>
      </c>
      <c r="G6" s="21" t="n">
        <v>122</v>
      </c>
      <c r="H6" s="21" t="n">
        <v>96</v>
      </c>
      <c r="I6" s="26">
        <f>G6-H6</f>
        <v/>
      </c>
      <c r="J6" s="21" t="n">
        <v>30</v>
      </c>
      <c r="K6" s="21" t="n">
        <v>42</v>
      </c>
      <c r="L6" s="27">
        <f>SUM(J6:K6)</f>
        <v/>
      </c>
      <c r="M6" s="28" t="n">
        <v>58</v>
      </c>
      <c r="N6" s="28" t="n">
        <v>59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44</v>
      </c>
      <c r="R6" s="27">
        <f>SUM(P6:Q6)</f>
        <v/>
      </c>
      <c r="S6" s="28" t="n">
        <v>71</v>
      </c>
      <c r="T6" s="28" t="n">
        <v>62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19</v>
      </c>
      <c r="W6" s="21" t="n">
        <v>27</v>
      </c>
      <c r="X6" s="27">
        <f>SUM(V6:W6)</f>
        <v/>
      </c>
      <c r="Y6" s="28" t="n">
        <v>49</v>
      </c>
      <c r="Z6" s="28" t="n">
        <v>48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25</v>
      </c>
      <c r="AC6" s="21" t="n">
        <v>62</v>
      </c>
      <c r="AD6" s="27">
        <f>SUM(AB6:AC6)</f>
        <v/>
      </c>
      <c r="AE6" s="28" t="n">
        <v>56</v>
      </c>
      <c r="AF6" s="28" t="n">
        <v>72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19</v>
      </c>
      <c r="AI6" s="21" t="n">
        <v>41</v>
      </c>
      <c r="AJ6" s="27">
        <f>SUM(AH6:AI6)</f>
        <v/>
      </c>
      <c r="AK6" s="28" t="n">
        <v>40</v>
      </c>
      <c r="AL6" s="28" t="n">
        <v>47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20</v>
      </c>
      <c r="AU6" s="21" t="n">
        <v>43</v>
      </c>
      <c r="AV6" s="27">
        <f>SUM(AT6:AU6)</f>
        <v/>
      </c>
      <c r="AW6" s="28" t="n">
        <v>48</v>
      </c>
      <c r="AX6" s="30" t="n">
        <v>39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51</v>
      </c>
      <c r="BB6" s="27">
        <f>SUM(AZ6:BA6)</f>
        <v/>
      </c>
      <c r="BC6" s="28" t="n">
        <v>54</v>
      </c>
      <c r="BD6" s="28" t="n">
        <v>64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15</v>
      </c>
      <c r="BG6" s="21" t="n">
        <v>54</v>
      </c>
      <c r="BH6" s="27">
        <f>SUM(BF6:BG6)</f>
        <v/>
      </c>
      <c r="BI6" s="28" t="n">
        <v>63</v>
      </c>
      <c r="BJ6" s="28" t="n">
        <v>38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18</v>
      </c>
      <c r="BM6" s="21" t="n">
        <v>33</v>
      </c>
      <c r="BN6" s="27">
        <f>SUM(BL6:BM6)</f>
        <v/>
      </c>
      <c r="BO6" s="28" t="n">
        <v>31</v>
      </c>
      <c r="BP6" s="31" t="n">
        <v>44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21</v>
      </c>
      <c r="BY6" s="21" t="n">
        <v>49</v>
      </c>
      <c r="BZ6" s="27">
        <f>SUM(BX6:BY6)</f>
        <v/>
      </c>
      <c r="CA6" s="28" t="n">
        <v>63</v>
      </c>
      <c r="CB6" s="31" t="n">
        <v>74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15</v>
      </c>
      <c r="CE6" s="21" t="n">
        <v>46</v>
      </c>
      <c r="CF6" s="27">
        <f>SUM(CD6:CE6)</f>
        <v/>
      </c>
      <c r="CG6" s="28" t="n">
        <v>25</v>
      </c>
      <c r="CH6" s="31" t="n">
        <v>44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30</v>
      </c>
      <c r="CW6" s="21" t="n">
        <v>43</v>
      </c>
      <c r="CX6" s="27">
        <f>SUM(CV6:CW6)</f>
        <v/>
      </c>
      <c r="CY6" s="28" t="n">
        <v>23</v>
      </c>
      <c r="CZ6" s="31" t="n">
        <v>30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GOOD(4)</t>
        </is>
      </c>
      <c r="DL6" s="40" t="inlineStr">
        <is>
          <t>EXCELLENT(5)</t>
        </is>
      </c>
      <c r="DM6" s="40" t="inlineStr">
        <is>
          <t>EXCELLENT(5)</t>
        </is>
      </c>
      <c r="DN6" s="40" t="inlineStr">
        <is>
          <t>GOOD(4)</t>
        </is>
      </c>
      <c r="DO6" s="40" t="inlineStr">
        <is>
          <t>GOOD(4)</t>
        </is>
      </c>
      <c r="DP6" s="40" t="inlineStr">
        <is>
          <t>GOOD(4)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GOOD(4)</t>
        </is>
      </c>
      <c r="DX6" s="40" t="inlineStr">
        <is>
          <t>GOOD(4)</t>
        </is>
      </c>
      <c r="DY6" s="40" t="inlineStr">
        <is>
          <t>GOOD(4)</t>
        </is>
      </c>
      <c r="DZ6" s="53" t="inlineStr">
        <is>
          <t>GOOD(4)</t>
        </is>
      </c>
      <c r="EA6" s="54" t="inlineStr">
        <is>
          <t>Is a quiet student but attentive and engaged.</t>
        </is>
      </c>
      <c r="EB6" s="55" t="inlineStr">
        <is>
          <t>Promoted to JSS3</t>
        </is>
      </c>
      <c r="EC6" s="56" t="inlineStr">
        <is>
          <t>MR. JIMOH WASIU OLATUNDE</t>
        </is>
      </c>
      <c r="ED6" s="57" t="inlineStr">
        <is>
          <t>Next Term Begins on Monday, 15th September, 2027</t>
        </is>
      </c>
    </row>
    <row r="7" ht="30.6" customHeight="1" s="6">
      <c r="A7" s="18" t="n">
        <v>4</v>
      </c>
      <c r="B7" s="19" t="inlineStr">
        <is>
          <t>ALABI ELIZABETH D.</t>
        </is>
      </c>
      <c r="C7" s="20" t="inlineStr">
        <is>
          <t>1851</t>
        </is>
      </c>
      <c r="D7" s="128" t="inlineStr">
        <is>
          <t>Female</t>
        </is>
      </c>
      <c r="E7" s="21" t="inlineStr">
        <is>
          <t>JSS 2C</t>
        </is>
      </c>
      <c r="F7" s="21" t="n">
        <v>31</v>
      </c>
      <c r="G7" s="21" t="n">
        <v>122</v>
      </c>
      <c r="H7" s="21" t="n">
        <v>96</v>
      </c>
      <c r="I7" s="26">
        <f>G7-H7</f>
        <v/>
      </c>
      <c r="J7" s="21" t="n">
        <v>27</v>
      </c>
      <c r="K7" s="21" t="n">
        <v>29</v>
      </c>
      <c r="L7" s="27">
        <f>SUM(J7:K7)</f>
        <v/>
      </c>
      <c r="M7" s="28" t="n">
        <v>39</v>
      </c>
      <c r="N7" s="28" t="n">
        <v>31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23</v>
      </c>
      <c r="Q7" s="21" t="n">
        <v>45</v>
      </c>
      <c r="R7" s="27">
        <f>SUM(P7:Q7)</f>
        <v/>
      </c>
      <c r="S7" s="28" t="n">
        <v>74</v>
      </c>
      <c r="T7" s="28" t="n">
        <v>62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25</v>
      </c>
      <c r="W7" s="21" t="n">
        <v>16</v>
      </c>
      <c r="X7" s="27">
        <f>SUM(V7:W7)</f>
        <v/>
      </c>
      <c r="Y7" s="28" t="n">
        <v>49</v>
      </c>
      <c r="Z7" s="28" t="n">
        <v>45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25</v>
      </c>
      <c r="AC7" s="21" t="n">
        <v>59</v>
      </c>
      <c r="AD7" s="27">
        <f>SUM(AB7:AC7)</f>
        <v/>
      </c>
      <c r="AE7" s="28" t="n">
        <v>86</v>
      </c>
      <c r="AF7" s="28" t="n">
        <v>85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18</v>
      </c>
      <c r="AI7" s="21" t="n">
        <v>42</v>
      </c>
      <c r="AJ7" s="27">
        <f>SUM(AH7:AI7)</f>
        <v/>
      </c>
      <c r="AK7" s="28" t="n">
        <v>54</v>
      </c>
      <c r="AL7" s="28" t="n">
        <v>47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30</v>
      </c>
      <c r="AU7" s="21" t="n">
        <v>30</v>
      </c>
      <c r="AV7" s="27">
        <f>SUM(AT7:AU7)</f>
        <v/>
      </c>
      <c r="AW7" s="28" t="n">
        <v>46</v>
      </c>
      <c r="AX7" s="30" t="n">
        <v>63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23</v>
      </c>
      <c r="BA7" s="21" t="n">
        <v>53</v>
      </c>
      <c r="BB7" s="27">
        <f>SUM(AZ7:BA7)</f>
        <v/>
      </c>
      <c r="BC7" s="28" t="n">
        <v>67</v>
      </c>
      <c r="BD7" s="28" t="n">
        <v>72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15</v>
      </c>
      <c r="BG7" s="21" t="n">
        <v>38</v>
      </c>
      <c r="BH7" s="27">
        <f>SUM(BF7:BG7)</f>
        <v/>
      </c>
      <c r="BI7" s="28" t="n">
        <v>53</v>
      </c>
      <c r="BJ7" s="28" t="n">
        <v>34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19</v>
      </c>
      <c r="BM7" s="21" t="n">
        <v>31</v>
      </c>
      <c r="BN7" s="27">
        <f>SUM(BL7:BM7)</f>
        <v/>
      </c>
      <c r="BO7" s="28" t="n">
        <v>32</v>
      </c>
      <c r="BP7" s="31" t="n">
        <v>51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23</v>
      </c>
      <c r="BY7" s="21" t="n">
        <v>63</v>
      </c>
      <c r="BZ7" s="27">
        <f>SUM(BX7:BY7)</f>
        <v/>
      </c>
      <c r="CA7" s="28" t="n">
        <v>57</v>
      </c>
      <c r="CB7" s="31" t="n">
        <v>54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16</v>
      </c>
      <c r="CE7" s="21" t="n">
        <v>51</v>
      </c>
      <c r="CF7" s="27">
        <f>SUM(CD7:CE7)</f>
        <v/>
      </c>
      <c r="CG7" s="28" t="n">
        <v>22</v>
      </c>
      <c r="CH7" s="31" t="n">
        <v>40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/>
      <c r="CQ7" s="21" t="n"/>
      <c r="CR7" s="27">
        <f>SUM(CP7:CQ7)</f>
        <v/>
      </c>
      <c r="CS7" s="28" t="n"/>
      <c r="CT7" s="31" t="n"/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>
        <v>30</v>
      </c>
      <c r="CW7" s="21" t="n">
        <v>26</v>
      </c>
      <c r="CX7" s="27">
        <f>SUM(CV7:CW7)</f>
        <v/>
      </c>
      <c r="CY7" s="28" t="n">
        <v>59</v>
      </c>
      <c r="CZ7" s="31" t="n">
        <v>56</v>
      </c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GOOD(4)</t>
        </is>
      </c>
      <c r="DL7" s="40" t="inlineStr">
        <is>
          <t>EXCELLENT(5)</t>
        </is>
      </c>
      <c r="DM7" s="40" t="inlineStr">
        <is>
          <t>EXCELLENT(5)</t>
        </is>
      </c>
      <c r="DN7" s="40" t="inlineStr">
        <is>
          <t>GOOD(4)</t>
        </is>
      </c>
      <c r="DO7" s="40" t="inlineStr">
        <is>
          <t>GOOD(4)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GOOD(4)</t>
        </is>
      </c>
      <c r="DX7" s="40" t="inlineStr">
        <is>
          <t>GOOD(4)</t>
        </is>
      </c>
      <c r="DY7" s="40" t="inlineStr">
        <is>
          <t>GOOD(4)</t>
        </is>
      </c>
      <c r="DZ7" s="53" t="inlineStr">
        <is>
          <t>GOOD(4)</t>
        </is>
      </c>
      <c r="EA7" s="54" t="inlineStr">
        <is>
          <t>She is developing greater self-confidence and resilience.</t>
        </is>
      </c>
      <c r="EB7" s="55" t="inlineStr">
        <is>
          <t>Promoted to JSS3</t>
        </is>
      </c>
      <c r="EC7" s="56" t="inlineStr">
        <is>
          <t>MR. JIMOH WASIU OLATUNDE</t>
        </is>
      </c>
      <c r="ED7" s="57" t="inlineStr">
        <is>
          <t>Next Term Begins on Monday, 15th September, 2028</t>
        </is>
      </c>
    </row>
    <row r="8" ht="30.6" customHeight="1" s="6">
      <c r="A8" s="18" t="n">
        <v>5</v>
      </c>
      <c r="B8" s="19" t="inlineStr">
        <is>
          <t xml:space="preserve">ALABI FATIMO </t>
        </is>
      </c>
      <c r="C8" s="20" t="inlineStr">
        <is>
          <t>1845</t>
        </is>
      </c>
      <c r="D8" s="128" t="inlineStr">
        <is>
          <t>Female</t>
        </is>
      </c>
      <c r="E8" s="21" t="inlineStr">
        <is>
          <t>JSS 2C</t>
        </is>
      </c>
      <c r="F8" s="21" t="n">
        <v>31</v>
      </c>
      <c r="G8" s="21" t="n">
        <v>122</v>
      </c>
      <c r="H8" s="21" t="n">
        <v>98</v>
      </c>
      <c r="I8" s="26">
        <f>G8-H8</f>
        <v/>
      </c>
      <c r="J8" s="21" t="n">
        <v>16</v>
      </c>
      <c r="K8" s="21" t="n">
        <v>16</v>
      </c>
      <c r="L8" s="27">
        <f>SUM(J8:K8)</f>
        <v/>
      </c>
      <c r="M8" s="28" t="n">
        <v>16</v>
      </c>
      <c r="N8" s="28" t="n">
        <v>31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11</v>
      </c>
      <c r="Q8" s="21" t="n">
        <v>23</v>
      </c>
      <c r="R8" s="27">
        <f>SUM(P8:Q8)</f>
        <v/>
      </c>
      <c r="S8" s="28" t="n">
        <v>8</v>
      </c>
      <c r="T8" s="28" t="n">
        <v>60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25</v>
      </c>
      <c r="W8" s="21" t="n">
        <v>14</v>
      </c>
      <c r="X8" s="27">
        <f>SUM(V8:W8)</f>
        <v/>
      </c>
      <c r="Y8" s="28" t="n">
        <v>52</v>
      </c>
      <c r="Z8" s="28" t="n">
        <v>46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25</v>
      </c>
      <c r="AC8" s="21" t="n">
        <v>32</v>
      </c>
      <c r="AD8" s="27">
        <f>SUM(AB8:AC8)</f>
        <v/>
      </c>
      <c r="AE8" s="28" t="n">
        <v>74</v>
      </c>
      <c r="AF8" s="28" t="n">
        <v>66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23</v>
      </c>
      <c r="AI8" s="21" t="n">
        <v>46</v>
      </c>
      <c r="AJ8" s="27">
        <f>SUM(AH8:AI8)</f>
        <v/>
      </c>
      <c r="AK8" s="28" t="n">
        <v>78</v>
      </c>
      <c r="AL8" s="28" t="n">
        <v>60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30</v>
      </c>
      <c r="AU8" s="21" t="n">
        <v>34</v>
      </c>
      <c r="AV8" s="27">
        <f>SUM(AT8:AU8)</f>
        <v/>
      </c>
      <c r="AW8" s="28" t="n">
        <v>40</v>
      </c>
      <c r="AX8" s="30" t="n">
        <v>61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22</v>
      </c>
      <c r="BA8" s="21" t="n">
        <v>32</v>
      </c>
      <c r="BB8" s="27">
        <f>SUM(AZ8:BA8)</f>
        <v/>
      </c>
      <c r="BC8" s="28" t="n">
        <v>64</v>
      </c>
      <c r="BD8" s="28" t="n">
        <v>59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13</v>
      </c>
      <c r="BG8" s="21" t="n">
        <v>48</v>
      </c>
      <c r="BH8" s="27">
        <f>SUM(BF8:BG8)</f>
        <v/>
      </c>
      <c r="BI8" s="28" t="n">
        <v>50</v>
      </c>
      <c r="BJ8" s="28" t="n">
        <v>30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15</v>
      </c>
      <c r="BM8" s="21" t="n">
        <v>37</v>
      </c>
      <c r="BN8" s="27">
        <f>SUM(BL8:BM8)</f>
        <v/>
      </c>
      <c r="BO8" s="28" t="n">
        <v>35</v>
      </c>
      <c r="BP8" s="31" t="n">
        <v>37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21</v>
      </c>
      <c r="BY8" s="21" t="n">
        <v>70</v>
      </c>
      <c r="BZ8" s="27">
        <f>SUM(BX8:BY8)</f>
        <v/>
      </c>
      <c r="CA8" s="28" t="n">
        <v>50</v>
      </c>
      <c r="CB8" s="31" t="n">
        <v>39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44</v>
      </c>
      <c r="CF8" s="27">
        <f>SUM(CD8:CE8)</f>
        <v/>
      </c>
      <c r="CG8" s="28" t="n">
        <v>22</v>
      </c>
      <c r="CH8" s="31" t="n">
        <v>38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10</v>
      </c>
      <c r="CW8" s="21" t="n">
        <v>22</v>
      </c>
      <c r="CX8" s="27">
        <f>SUM(CV8:CW8)</f>
        <v/>
      </c>
      <c r="CY8" s="28" t="n">
        <v>42</v>
      </c>
      <c r="CZ8" s="31" t="n">
        <v>37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GOOD(4)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EXCELLENT(5)</t>
        </is>
      </c>
      <c r="DN8" s="40" t="inlineStr">
        <is>
          <t>GOOD(4)</t>
        </is>
      </c>
      <c r="DO8" s="40" t="inlineStr">
        <is>
          <t>GOOD(4)</t>
        </is>
      </c>
      <c r="DP8" s="40" t="inlineStr">
        <is>
          <t>GOOD(4)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GOOD(4)</t>
        </is>
      </c>
      <c r="DY8" s="40" t="inlineStr">
        <is>
          <t>GOOD(4)</t>
        </is>
      </c>
      <c r="DZ8" s="53" t="inlineStr">
        <is>
          <t>GOOD(4)</t>
        </is>
      </c>
      <c r="EA8" s="54" t="inlineStr">
        <is>
          <t>Requires additional support in understanding key concepts.</t>
        </is>
      </c>
      <c r="EB8" s="55" t="inlineStr">
        <is>
          <t>Promoted to JSS3</t>
        </is>
      </c>
      <c r="EC8" s="56" t="inlineStr">
        <is>
          <t>MR. JIMOH WASIU OLATUNDE</t>
        </is>
      </c>
      <c r="ED8" s="57" t="inlineStr">
        <is>
          <t>Next Term Begins on Monday, 15th September, 2029</t>
        </is>
      </c>
    </row>
    <row r="9" ht="30.6" customHeight="1" s="6">
      <c r="A9" s="18" t="n">
        <v>6</v>
      </c>
      <c r="B9" s="19" t="inlineStr">
        <is>
          <t>ALABI OJEDAYO A.</t>
        </is>
      </c>
      <c r="C9" s="20" t="inlineStr">
        <is>
          <t>1847</t>
        </is>
      </c>
      <c r="D9" s="128" t="inlineStr">
        <is>
          <t>Male</t>
        </is>
      </c>
      <c r="E9" s="21" t="inlineStr">
        <is>
          <t>JSS 2C</t>
        </is>
      </c>
      <c r="F9" s="21" t="n">
        <v>31</v>
      </c>
      <c r="G9" s="21" t="n">
        <v>122</v>
      </c>
      <c r="H9" s="21" t="n">
        <v>110</v>
      </c>
      <c r="I9" s="26">
        <f>G9-H9</f>
        <v/>
      </c>
      <c r="J9" s="21" t="n">
        <v>30</v>
      </c>
      <c r="K9" s="21" t="n">
        <v>42</v>
      </c>
      <c r="L9" s="27">
        <f>SUM(J9:K9)</f>
        <v/>
      </c>
      <c r="M9" s="28" t="n">
        <v>22</v>
      </c>
      <c r="N9" s="28" t="n">
        <v>35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16</v>
      </c>
      <c r="Q9" s="21" t="n">
        <v>33</v>
      </c>
      <c r="R9" s="27">
        <f>SUM(P9:Q9)</f>
        <v/>
      </c>
      <c r="S9" s="28" t="n">
        <v>54</v>
      </c>
      <c r="T9" s="28" t="n">
        <v>45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25</v>
      </c>
      <c r="W9" s="21" t="n">
        <v>20</v>
      </c>
      <c r="X9" s="27">
        <f>SUM(V9:W9)</f>
        <v/>
      </c>
      <c r="Y9" s="28" t="n">
        <v>52</v>
      </c>
      <c r="Z9" s="28" t="n">
        <v>48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17</v>
      </c>
      <c r="AC9" s="21" t="n">
        <v>35</v>
      </c>
      <c r="AD9" s="27">
        <f>SUM(AB9:AC9)</f>
        <v/>
      </c>
      <c r="AE9" s="28" t="n">
        <v>58</v>
      </c>
      <c r="AF9" s="28" t="n">
        <v>53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17</v>
      </c>
      <c r="AI9" s="21" t="n">
        <v>29</v>
      </c>
      <c r="AJ9" s="27">
        <f>SUM(AH9:AI9)</f>
        <v/>
      </c>
      <c r="AK9" s="28" t="n">
        <v>54</v>
      </c>
      <c r="AL9" s="28" t="n">
        <v>40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23</v>
      </c>
      <c r="AU9" s="21" t="n">
        <v>33</v>
      </c>
      <c r="AV9" s="27">
        <f>SUM(AT9:AU9)</f>
        <v/>
      </c>
      <c r="AW9" s="28" t="n">
        <v>38</v>
      </c>
      <c r="AX9" s="30" t="n">
        <v>39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17</v>
      </c>
      <c r="BA9" s="21" t="n">
        <v>33</v>
      </c>
      <c r="BB9" s="27">
        <f>SUM(AZ9:BA9)</f>
        <v/>
      </c>
      <c r="BC9" s="28" t="n">
        <v>45</v>
      </c>
      <c r="BD9" s="28" t="n">
        <v>48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16</v>
      </c>
      <c r="BG9" s="21" t="n">
        <v>35</v>
      </c>
      <c r="BH9" s="27">
        <f>SUM(BF9:BG9)</f>
        <v/>
      </c>
      <c r="BI9" s="28" t="n">
        <v>48</v>
      </c>
      <c r="BJ9" s="28" t="n">
        <v>37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23</v>
      </c>
      <c r="BM9" s="21" t="n">
        <v>35</v>
      </c>
      <c r="BN9" s="27">
        <f>SUM(BL9:BM9)</f>
        <v/>
      </c>
      <c r="BO9" s="28" t="n">
        <v>47</v>
      </c>
      <c r="BP9" s="31" t="n">
        <v>57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23</v>
      </c>
      <c r="BY9" s="21" t="n">
        <v>59</v>
      </c>
      <c r="BZ9" s="27">
        <f>SUM(BX9:BY9)</f>
        <v/>
      </c>
      <c r="CA9" s="28" t="n">
        <v>47</v>
      </c>
      <c r="CB9" s="31" t="n">
        <v>42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38</v>
      </c>
      <c r="CF9" s="27">
        <f>SUM(CD9:CE9)</f>
        <v/>
      </c>
      <c r="CG9" s="28" t="n">
        <v>27</v>
      </c>
      <c r="CH9" s="31" t="n">
        <v>29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28</v>
      </c>
      <c r="CW9" s="21" t="n">
        <v>25</v>
      </c>
      <c r="CX9" s="27">
        <f>SUM(CV9:CW9)</f>
        <v/>
      </c>
      <c r="CY9" s="28" t="n">
        <v>29</v>
      </c>
      <c r="CZ9" s="31" t="n">
        <v>20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GOOD(4)</t>
        </is>
      </c>
      <c r="DK9" s="40" t="inlineStr">
        <is>
          <t>GOOD(4)</t>
        </is>
      </c>
      <c r="DL9" s="40" t="inlineStr">
        <is>
          <t>GOOD(4)</t>
        </is>
      </c>
      <c r="DM9" s="40" t="inlineStr">
        <is>
          <t>EXCELLENT(5)</t>
        </is>
      </c>
      <c r="DN9" s="40" t="inlineStr">
        <is>
          <t>GOOD(4)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GOOD(4)</t>
        </is>
      </c>
      <c r="DW9" s="40" t="inlineStr">
        <is>
          <t>GOOD(4)</t>
        </is>
      </c>
      <c r="DX9" s="40" t="inlineStr">
        <is>
          <t>GOOD(4)</t>
        </is>
      </c>
      <c r="DY9" s="40" t="inlineStr">
        <is>
          <t>GOOD(4)</t>
        </is>
      </c>
      <c r="DZ9" s="53" t="inlineStr">
        <is>
          <t>GOOD(4)</t>
        </is>
      </c>
      <c r="EA9" s="54" t="inlineStr">
        <is>
          <t>Excels in most subjects and demonstrates a strong grasp of concepts.</t>
        </is>
      </c>
      <c r="EB9" s="55" t="inlineStr">
        <is>
          <t>Promoted to JSS3</t>
        </is>
      </c>
      <c r="EC9" s="56" t="inlineStr">
        <is>
          <t>MR. JIMOH WASIU OLATUNDE</t>
        </is>
      </c>
      <c r="ED9" s="57" t="inlineStr">
        <is>
          <t>Next Term Begins on Monday, 15th September, 2030</t>
        </is>
      </c>
    </row>
    <row r="10" ht="30.6" customHeight="1" s="6">
      <c r="A10" s="18" t="n">
        <v>7</v>
      </c>
      <c r="B10" s="19" t="inlineStr">
        <is>
          <t xml:space="preserve">ALABI SANGODAMOLA </t>
        </is>
      </c>
      <c r="C10" s="20" t="inlineStr">
        <is>
          <t>1868</t>
        </is>
      </c>
      <c r="D10" s="128" t="inlineStr">
        <is>
          <t>Male</t>
        </is>
      </c>
      <c r="E10" s="21" t="inlineStr">
        <is>
          <t>JSS 2C</t>
        </is>
      </c>
      <c r="F10" s="21" t="n">
        <v>31</v>
      </c>
      <c r="G10" s="21" t="n">
        <v>122</v>
      </c>
      <c r="H10" s="21" t="n">
        <v>102</v>
      </c>
      <c r="I10" s="26">
        <f>G10-H10</f>
        <v/>
      </c>
      <c r="J10" s="21" t="n">
        <v>30</v>
      </c>
      <c r="K10" s="21" t="n">
        <v>34</v>
      </c>
      <c r="L10" s="27">
        <f>SUM(J10:K10)</f>
        <v/>
      </c>
      <c r="M10" s="28" t="n">
        <v>30</v>
      </c>
      <c r="N10" s="28" t="n">
        <v>61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20</v>
      </c>
      <c r="Q10" s="21" t="n">
        <v>40</v>
      </c>
      <c r="R10" s="27">
        <f>SUM(P10:Q10)</f>
        <v/>
      </c>
      <c r="S10" s="28" t="n">
        <v>71</v>
      </c>
      <c r="T10" s="28" t="n">
        <v>50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20</v>
      </c>
      <c r="W10" s="21" t="n">
        <v>30</v>
      </c>
      <c r="X10" s="27">
        <f>SUM(V10:W10)</f>
        <v/>
      </c>
      <c r="Y10" s="28" t="n">
        <v>62</v>
      </c>
      <c r="Z10" s="28" t="n">
        <v>56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25</v>
      </c>
      <c r="AC10" s="21" t="n">
        <v>29</v>
      </c>
      <c r="AD10" s="27">
        <f>SUM(AB10:AC10)</f>
        <v/>
      </c>
      <c r="AE10" s="28" t="n">
        <v>55</v>
      </c>
      <c r="AF10" s="28" t="n">
        <v>54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30</v>
      </c>
      <c r="AI10" s="21" t="n">
        <v>33</v>
      </c>
      <c r="AJ10" s="27">
        <f>SUM(AH10:AI10)</f>
        <v/>
      </c>
      <c r="AK10" s="28" t="n">
        <v>28</v>
      </c>
      <c r="AL10" s="28" t="n">
        <v>28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27</v>
      </c>
      <c r="AU10" s="21" t="n">
        <v>31</v>
      </c>
      <c r="AV10" s="27">
        <f>SUM(AT10:AU10)</f>
        <v/>
      </c>
      <c r="AW10" s="28" t="n">
        <v>47</v>
      </c>
      <c r="AX10" s="30" t="n">
        <v>38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23</v>
      </c>
      <c r="BA10" s="21" t="n">
        <v>48</v>
      </c>
      <c r="BB10" s="27">
        <f>SUM(AZ10:BA10)</f>
        <v/>
      </c>
      <c r="BC10" s="28" t="n">
        <v>53</v>
      </c>
      <c r="BD10" s="28" t="n">
        <v>62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16</v>
      </c>
      <c r="BG10" s="21" t="n">
        <v>35</v>
      </c>
      <c r="BH10" s="27">
        <f>SUM(BF10:BG10)</f>
        <v/>
      </c>
      <c r="BI10" s="28" t="n">
        <v>50</v>
      </c>
      <c r="BJ10" s="28" t="n">
        <v>37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27</v>
      </c>
      <c r="BM10" s="21" t="n">
        <v>43</v>
      </c>
      <c r="BN10" s="27">
        <f>SUM(BL10:BM10)</f>
        <v/>
      </c>
      <c r="BO10" s="28" t="n">
        <v>32</v>
      </c>
      <c r="BP10" s="31" t="n">
        <v>54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20</v>
      </c>
      <c r="BY10" s="21" t="n">
        <v>62</v>
      </c>
      <c r="BZ10" s="27">
        <f>SUM(BX10:BY10)</f>
        <v/>
      </c>
      <c r="CA10" s="28" t="n">
        <v>49</v>
      </c>
      <c r="CB10" s="31" t="n">
        <v>54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16</v>
      </c>
      <c r="CE10" s="21" t="n">
        <v>38</v>
      </c>
      <c r="CF10" s="27">
        <f>SUM(CD10:CE10)</f>
        <v/>
      </c>
      <c r="CG10" s="28" t="n">
        <v>44</v>
      </c>
      <c r="CH10" s="31" t="n">
        <v>54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/>
      <c r="CQ10" s="21" t="n"/>
      <c r="CR10" s="27">
        <f>SUM(CP10:CQ10)</f>
        <v/>
      </c>
      <c r="CS10" s="28" t="n"/>
      <c r="CT10" s="31" t="n"/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30</v>
      </c>
      <c r="CW10" s="21" t="n">
        <v>33</v>
      </c>
      <c r="CX10" s="27">
        <f>SUM(CV10:CW10)</f>
        <v/>
      </c>
      <c r="CY10" s="28" t="n">
        <v>28</v>
      </c>
      <c r="CZ10" s="31" t="n">
        <v>28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EXCELLENT(5)</t>
        </is>
      </c>
      <c r="DK10" s="40" t="inlineStr">
        <is>
          <t>GOOD(4)</t>
        </is>
      </c>
      <c r="DL10" s="40" t="inlineStr">
        <is>
          <t>GOOD(4)</t>
        </is>
      </c>
      <c r="DM10" s="40" t="inlineStr">
        <is>
          <t>EXCELLENT(5)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GOOD(4)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GOOD(4)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GOOD(4)</t>
        </is>
      </c>
      <c r="DY10" s="40" t="inlineStr">
        <is>
          <t>GOOD(4)</t>
        </is>
      </c>
      <c r="DZ10" s="53" t="inlineStr">
        <is>
          <t>GOOD(4)</t>
        </is>
      </c>
      <c r="EA10" s="54" t="inlineStr">
        <is>
          <t>Shows consistent effort and improvement in academic work.</t>
        </is>
      </c>
      <c r="EB10" s="55" t="inlineStr">
        <is>
          <t>Promoted to JSS3</t>
        </is>
      </c>
      <c r="EC10" s="56" t="inlineStr">
        <is>
          <t>MR. JIMOH WASIU OLATUNDE</t>
        </is>
      </c>
      <c r="ED10" s="57" t="inlineStr">
        <is>
          <t>Next Term Begins on Monday, 15th September, 2031</t>
        </is>
      </c>
    </row>
    <row r="11" ht="30.6" customHeight="1" s="6">
      <c r="A11" s="18" t="n">
        <v>8</v>
      </c>
      <c r="B11" s="19" t="inlineStr">
        <is>
          <t>AMAO OJEBAYO ALABI</t>
        </is>
      </c>
      <c r="C11" s="20" t="inlineStr">
        <is>
          <t>1850</t>
        </is>
      </c>
      <c r="D11" s="128" t="inlineStr">
        <is>
          <t>Male</t>
        </is>
      </c>
      <c r="E11" s="21" t="inlineStr">
        <is>
          <t>JSS 2C</t>
        </is>
      </c>
      <c r="F11" s="21" t="n">
        <v>31</v>
      </c>
      <c r="G11" s="21" t="n">
        <v>122</v>
      </c>
      <c r="H11" s="21" t="n">
        <v>90</v>
      </c>
      <c r="I11" s="26">
        <f>G11-H11</f>
        <v/>
      </c>
      <c r="J11" s="21" t="n">
        <v>30</v>
      </c>
      <c r="K11" s="21" t="n">
        <v>42</v>
      </c>
      <c r="L11" s="27">
        <f>SUM(J11:K11)</f>
        <v/>
      </c>
      <c r="M11" s="28" t="n">
        <v>26</v>
      </c>
      <c r="N11" s="28" t="n">
        <v>44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18</v>
      </c>
      <c r="Q11" s="21" t="n">
        <v>36</v>
      </c>
      <c r="R11" s="27">
        <f>SUM(P11:Q11)</f>
        <v/>
      </c>
      <c r="S11" s="28" t="n">
        <v>56</v>
      </c>
      <c r="T11" s="28" t="n">
        <v>52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24</v>
      </c>
      <c r="W11" s="21" t="n">
        <v>30</v>
      </c>
      <c r="X11" s="27">
        <f>SUM(V11:W11)</f>
        <v/>
      </c>
      <c r="Y11" s="28" t="n">
        <v>54</v>
      </c>
      <c r="Z11" s="28" t="n">
        <v>54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21</v>
      </c>
      <c r="AC11" s="21" t="n">
        <v>55</v>
      </c>
      <c r="AD11" s="27">
        <f>SUM(AB11:AC11)</f>
        <v/>
      </c>
      <c r="AE11" s="28" t="n">
        <v>65</v>
      </c>
      <c r="AF11" s="28" t="n">
        <v>70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17</v>
      </c>
      <c r="AI11" s="21" t="n">
        <v>40</v>
      </c>
      <c r="AJ11" s="27">
        <f>SUM(AH11:AI11)</f>
        <v/>
      </c>
      <c r="AK11" s="28" t="n">
        <v>60</v>
      </c>
      <c r="AL11" s="28" t="n">
        <v>56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25</v>
      </c>
      <c r="AU11" s="21" t="n">
        <v>31</v>
      </c>
      <c r="AV11" s="27">
        <f>SUM(AT11:AU11)</f>
        <v/>
      </c>
      <c r="AW11" s="28" t="n">
        <v>45</v>
      </c>
      <c r="AX11" s="30" t="n">
        <v>52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24</v>
      </c>
      <c r="BA11" s="21" t="n">
        <v>41</v>
      </c>
      <c r="BB11" s="27">
        <f>SUM(AZ11:BA11)</f>
        <v/>
      </c>
      <c r="BC11" s="28" t="n">
        <v>52</v>
      </c>
      <c r="BD11" s="28" t="n">
        <v>58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10</v>
      </c>
      <c r="BG11" s="21" t="n">
        <v>19</v>
      </c>
      <c r="BH11" s="27">
        <f>SUM(BF11:BG11)</f>
        <v/>
      </c>
      <c r="BI11" s="28" t="n">
        <v>30</v>
      </c>
      <c r="BJ11" s="28" t="n">
        <v>22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24</v>
      </c>
      <c r="BM11" s="21" t="n">
        <v>38</v>
      </c>
      <c r="BN11" s="27">
        <f>SUM(BL11:BM11)</f>
        <v/>
      </c>
      <c r="BO11" s="28" t="n">
        <v>19</v>
      </c>
      <c r="BP11" s="31" t="n">
        <v>59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19</v>
      </c>
      <c r="BY11" s="21" t="n">
        <v>65</v>
      </c>
      <c r="BZ11" s="27">
        <f>SUM(BX11:BY11)</f>
        <v/>
      </c>
      <c r="CA11" s="28" t="n">
        <v>61</v>
      </c>
      <c r="CB11" s="31" t="n">
        <v>64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15</v>
      </c>
      <c r="CE11" s="21" t="n">
        <v>40</v>
      </c>
      <c r="CF11" s="27">
        <f>SUM(CD11:CE11)</f>
        <v/>
      </c>
      <c r="CG11" s="28" t="n">
        <v>47</v>
      </c>
      <c r="CH11" s="31" t="n">
        <v>36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/>
      <c r="CQ11" s="21" t="n"/>
      <c r="CR11" s="27">
        <f>SUM(CP11:CQ11)</f>
        <v/>
      </c>
      <c r="CS11" s="28" t="n"/>
      <c r="CT11" s="31" t="n"/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>
        <v>30</v>
      </c>
      <c r="CW11" s="21" t="n">
        <v>30</v>
      </c>
      <c r="CX11" s="27">
        <f>SUM(CV11:CW11)</f>
        <v/>
      </c>
      <c r="CY11" s="28" t="n">
        <v>47</v>
      </c>
      <c r="CZ11" s="31" t="n">
        <v>47</v>
      </c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EXCELLENT(5)</t>
        </is>
      </c>
      <c r="DM11" s="40" t="inlineStr">
        <is>
          <t>EXCELLENT(5)</t>
        </is>
      </c>
      <c r="DN11" s="40" t="inlineStr">
        <is>
          <t>GOOD(4)</t>
        </is>
      </c>
      <c r="DO11" s="40" t="inlineStr">
        <is>
          <t>GOOD(4)</t>
        </is>
      </c>
      <c r="DP11" s="40" t="inlineStr">
        <is>
          <t>GOOD(4)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GOOD(4)</t>
        </is>
      </c>
      <c r="DU11" s="40" t="inlineStr">
        <is>
          <t>GOOD(4)</t>
        </is>
      </c>
      <c r="DV11" s="40" t="inlineStr">
        <is>
          <t>GOOD(4)</t>
        </is>
      </c>
      <c r="DW11" s="40" t="inlineStr">
        <is>
          <t>GOOD(4)</t>
        </is>
      </c>
      <c r="DX11" s="40" t="inlineStr">
        <is>
          <t>GOOD(4)</t>
        </is>
      </c>
      <c r="DY11" s="40" t="inlineStr">
        <is>
          <t>GOOD(4)</t>
        </is>
      </c>
      <c r="DZ11" s="53" t="inlineStr">
        <is>
          <t>GOOD(4)</t>
        </is>
      </c>
      <c r="EA11" s="54" t="inlineStr">
        <is>
          <t>Shows consistent effort and improvement in academic work.</t>
        </is>
      </c>
      <c r="EB11" s="55" t="inlineStr">
        <is>
          <t>Promoted to JSS3</t>
        </is>
      </c>
      <c r="EC11" s="56" t="inlineStr">
        <is>
          <t>MR. JIMOH WASIU OLATUNDE</t>
        </is>
      </c>
      <c r="ED11" s="57" t="inlineStr">
        <is>
          <t>Next Term Begins on Monday, 15th September, 2032</t>
        </is>
      </c>
    </row>
    <row r="12" ht="30.6" customHeight="1" s="6">
      <c r="A12" s="18" t="n">
        <v>9</v>
      </c>
      <c r="B12" s="19" t="inlineStr">
        <is>
          <t xml:space="preserve">AMODU ISIAKA </t>
        </is>
      </c>
      <c r="C12" s="20" t="inlineStr">
        <is>
          <t>1820</t>
        </is>
      </c>
      <c r="D12" s="128" t="inlineStr">
        <is>
          <t>Male</t>
        </is>
      </c>
      <c r="E12" s="21" t="inlineStr">
        <is>
          <t>JSS 2C</t>
        </is>
      </c>
      <c r="F12" s="21" t="n">
        <v>31</v>
      </c>
      <c r="G12" s="21" t="n">
        <v>122</v>
      </c>
      <c r="H12" s="21" t="n">
        <v>64</v>
      </c>
      <c r="I12" s="26">
        <f>G12-H12</f>
        <v/>
      </c>
      <c r="J12" s="21" t="n">
        <v>30</v>
      </c>
      <c r="K12" s="21" t="n">
        <v>42</v>
      </c>
      <c r="L12" s="27">
        <f>SUM(J12:K12)</f>
        <v/>
      </c>
      <c r="M12" s="28" t="n">
        <v>25</v>
      </c>
      <c r="N12" s="28" t="n">
        <v>24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9</v>
      </c>
      <c r="Q12" s="21" t="n">
        <v>18</v>
      </c>
      <c r="R12" s="27">
        <f>SUM(P12:Q12)</f>
        <v/>
      </c>
      <c r="S12" s="28" t="n">
        <v>38</v>
      </c>
      <c r="T12" s="28" t="n">
        <v>17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21</v>
      </c>
      <c r="W12" s="21" t="n">
        <v>10</v>
      </c>
      <c r="X12" s="27">
        <f>SUM(V12:W12)</f>
        <v/>
      </c>
      <c r="Y12" s="28" t="n">
        <v>46</v>
      </c>
      <c r="Z12" s="28" t="n">
        <v>38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17</v>
      </c>
      <c r="AC12" s="21" t="n">
        <v>37</v>
      </c>
      <c r="AD12" s="27">
        <f>SUM(AB12:AC12)</f>
        <v/>
      </c>
      <c r="AE12" s="28" t="n">
        <v>59</v>
      </c>
      <c r="AF12" s="28" t="n">
        <v>56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16</v>
      </c>
      <c r="AI12" s="21" t="n">
        <v>32</v>
      </c>
      <c r="AJ12" s="27">
        <f>SUM(AH12:AI12)</f>
        <v/>
      </c>
      <c r="AK12" s="28" t="n">
        <v>34</v>
      </c>
      <c r="AL12" s="28" t="n">
        <v>42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18</v>
      </c>
      <c r="AU12" s="21" t="n">
        <v>32</v>
      </c>
      <c r="AV12" s="27">
        <f>SUM(AT12:AU12)</f>
        <v/>
      </c>
      <c r="AW12" s="28" t="n">
        <v>31</v>
      </c>
      <c r="AX12" s="30" t="n">
        <v>35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34</v>
      </c>
      <c r="BB12" s="27">
        <f>SUM(AZ12:BA12)</f>
        <v/>
      </c>
      <c r="BC12" s="28" t="n">
        <v>46</v>
      </c>
      <c r="BD12" s="28" t="n">
        <v>51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14</v>
      </c>
      <c r="BG12" s="21" t="n">
        <v>41</v>
      </c>
      <c r="BH12" s="27">
        <f>SUM(BF12:BG12)</f>
        <v/>
      </c>
      <c r="BI12" s="28" t="n">
        <v>49</v>
      </c>
      <c r="BJ12" s="28" t="n">
        <v>28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25</v>
      </c>
      <c r="BM12" s="21" t="n">
        <v>32</v>
      </c>
      <c r="BN12" s="27">
        <f>SUM(BL12:BM12)</f>
        <v/>
      </c>
      <c r="BO12" s="28" t="n">
        <v>47</v>
      </c>
      <c r="BP12" s="31" t="n">
        <v>43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21</v>
      </c>
      <c r="BY12" s="21" t="n">
        <v>64</v>
      </c>
      <c r="BZ12" s="27">
        <f>SUM(BX12:BY12)</f>
        <v/>
      </c>
      <c r="CA12" s="28" t="n">
        <v>37</v>
      </c>
      <c r="CB12" s="31" t="n">
        <v>29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15</v>
      </c>
      <c r="CE12" s="21" t="n">
        <v>44</v>
      </c>
      <c r="CF12" s="27">
        <f>SUM(CD12:CE12)</f>
        <v/>
      </c>
      <c r="CG12" s="28" t="n">
        <v>18</v>
      </c>
      <c r="CH12" s="31" t="n">
        <v>40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/>
      <c r="CQ12" s="21" t="n"/>
      <c r="CR12" s="27">
        <f>SUM(CP12:CQ12)</f>
        <v/>
      </c>
      <c r="CS12" s="28" t="n"/>
      <c r="CT12" s="31" t="n"/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EXCELLENT(5)</t>
        </is>
      </c>
      <c r="DK12" s="40" t="inlineStr">
        <is>
          <t>GOOD(4)</t>
        </is>
      </c>
      <c r="DL12" s="40" t="inlineStr">
        <is>
          <t>EXCELLENT(5)</t>
        </is>
      </c>
      <c r="DM12" s="40" t="inlineStr">
        <is>
          <t>EXCELLENT(5)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GOOD(4)</t>
        </is>
      </c>
      <c r="DV12" s="40" t="inlineStr">
        <is>
          <t>GOOD(4)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GOOD(4)</t>
        </is>
      </c>
      <c r="DZ12" s="53" t="inlineStr">
        <is>
          <t>GOOD(4)</t>
        </is>
      </c>
      <c r="EA12" s="54" t="inlineStr">
        <is>
          <t>Shows consistent effort and improvement in academic work.</t>
        </is>
      </c>
      <c r="EB12" s="55" t="inlineStr">
        <is>
          <t>Promoted on trial to JSS3</t>
        </is>
      </c>
      <c r="EC12" s="56" t="inlineStr">
        <is>
          <t>MR. JIMOH WASIU OLATUNDE</t>
        </is>
      </c>
      <c r="ED12" s="57" t="inlineStr">
        <is>
          <t>Next Term Begins on Monday, 15th September, 2033</t>
        </is>
      </c>
    </row>
    <row r="13" ht="30.6" customHeight="1" s="6">
      <c r="A13" s="18" t="n">
        <v>10</v>
      </c>
      <c r="B13" s="19" t="inlineStr">
        <is>
          <t xml:space="preserve">AYANWALE ABDULRAUF </t>
        </is>
      </c>
      <c r="C13" s="20" t="inlineStr">
        <is>
          <t>1844</t>
        </is>
      </c>
      <c r="D13" s="128" t="inlineStr">
        <is>
          <t>Male</t>
        </is>
      </c>
      <c r="E13" s="21" t="inlineStr">
        <is>
          <t>JSS 2C</t>
        </is>
      </c>
      <c r="F13" s="21" t="n">
        <v>31</v>
      </c>
      <c r="G13" s="21" t="n">
        <v>122</v>
      </c>
      <c r="H13" s="21" t="n">
        <v>112</v>
      </c>
      <c r="I13" s="26">
        <f>G13-H13</f>
        <v/>
      </c>
      <c r="J13" s="21" t="n">
        <v>24</v>
      </c>
      <c r="K13" s="21" t="n">
        <v>24</v>
      </c>
      <c r="L13" s="27">
        <f>SUM(J13:K13)</f>
        <v/>
      </c>
      <c r="M13" s="28" t="n">
        <v>29</v>
      </c>
      <c r="N13" s="28" t="n">
        <v>30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16</v>
      </c>
      <c r="Q13" s="21" t="n">
        <v>32</v>
      </c>
      <c r="R13" s="27">
        <f>SUM(P13:Q13)</f>
        <v/>
      </c>
      <c r="S13" s="28" t="n">
        <v>60</v>
      </c>
      <c r="T13" s="28" t="n">
        <v>35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23</v>
      </c>
      <c r="W13" s="21" t="n">
        <v>20</v>
      </c>
      <c r="X13" s="27">
        <f>SUM(V13:W13)</f>
        <v/>
      </c>
      <c r="Y13" s="28" t="n">
        <v>54</v>
      </c>
      <c r="Z13" s="28" t="n">
        <v>48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31</v>
      </c>
      <c r="AD13" s="27">
        <f>SUM(AB13:AC13)</f>
        <v/>
      </c>
      <c r="AE13" s="28" t="n">
        <v>75</v>
      </c>
      <c r="AF13" s="28" t="n">
        <v>66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17</v>
      </c>
      <c r="AI13" s="21" t="n">
        <v>28</v>
      </c>
      <c r="AJ13" s="27">
        <f>SUM(AH13:AI13)</f>
        <v/>
      </c>
      <c r="AK13" s="28" t="n">
        <v>46</v>
      </c>
      <c r="AL13" s="28" t="n">
        <v>42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21</v>
      </c>
      <c r="AU13" s="21" t="n">
        <v>30</v>
      </c>
      <c r="AV13" s="27">
        <f>SUM(AT13:AU13)</f>
        <v/>
      </c>
      <c r="AW13" s="28" t="n">
        <v>31</v>
      </c>
      <c r="AX13" s="30" t="n">
        <v>30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22</v>
      </c>
      <c r="BA13" s="21" t="n">
        <v>32</v>
      </c>
      <c r="BB13" s="27">
        <f>SUM(AZ13:BA13)</f>
        <v/>
      </c>
      <c r="BC13" s="28" t="n">
        <v>48</v>
      </c>
      <c r="BD13" s="28" t="n">
        <v>51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16</v>
      </c>
      <c r="BG13" s="21" t="n">
        <v>38</v>
      </c>
      <c r="BH13" s="27">
        <f>SUM(BF13:BG13)</f>
        <v/>
      </c>
      <c r="BI13" s="28" t="n">
        <v>48</v>
      </c>
      <c r="BJ13" s="28" t="n">
        <v>27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39</v>
      </c>
      <c r="BN13" s="27">
        <f>SUM(BL13:BM13)</f>
        <v/>
      </c>
      <c r="BO13" s="28" t="n">
        <v>37</v>
      </c>
      <c r="BP13" s="31" t="n">
        <v>38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23</v>
      </c>
      <c r="BY13" s="21" t="n">
        <v>63</v>
      </c>
      <c r="BZ13" s="27">
        <f>SUM(BX13:BY13)</f>
        <v/>
      </c>
      <c r="CA13" s="28" t="n">
        <v>43</v>
      </c>
      <c r="CB13" s="31" t="n">
        <v>45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15</v>
      </c>
      <c r="CE13" s="21" t="n">
        <v>46</v>
      </c>
      <c r="CF13" s="27">
        <f>SUM(CD13:CE13)</f>
        <v/>
      </c>
      <c r="CG13" s="28" t="n">
        <v>29</v>
      </c>
      <c r="CH13" s="31" t="n">
        <v>32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/>
      <c r="CQ13" s="21" t="n"/>
      <c r="CR13" s="27">
        <f>SUM(CP13:CQ13)</f>
        <v/>
      </c>
      <c r="CS13" s="28" t="n"/>
      <c r="CT13" s="31" t="n"/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EXCELLENT(5)</t>
        </is>
      </c>
      <c r="DK13" s="40" t="inlineStr">
        <is>
          <t>GOOD(4)</t>
        </is>
      </c>
      <c r="DL13" s="40" t="inlineStr">
        <is>
          <t>EXCELLENT(5)</t>
        </is>
      </c>
      <c r="DM13" s="40" t="inlineStr">
        <is>
          <t>EXCELLENT(5)</t>
        </is>
      </c>
      <c r="DN13" s="40" t="inlineStr">
        <is>
          <t>GOOD(4)</t>
        </is>
      </c>
      <c r="DO13" s="40" t="inlineStr">
        <is>
          <t>GOOD(4)</t>
        </is>
      </c>
      <c r="DP13" s="40" t="inlineStr">
        <is>
          <t>GOOD(4)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GOOD(4)</t>
        </is>
      </c>
      <c r="DV13" s="40" t="inlineStr">
        <is>
          <t>GOOD(4)</t>
        </is>
      </c>
      <c r="DW13" s="40" t="inlineStr">
        <is>
          <t>GOOD(4)</t>
        </is>
      </c>
      <c r="DX13" s="40" t="inlineStr">
        <is>
          <t>GOOD(4)</t>
        </is>
      </c>
      <c r="DY13" s="40" t="inlineStr">
        <is>
          <t>GOOD(4)</t>
        </is>
      </c>
      <c r="DZ13" s="53" t="inlineStr">
        <is>
          <t>GOOD(4)</t>
        </is>
      </c>
      <c r="EA13" s="54" t="inlineStr">
        <is>
          <t>Needs to focus more during lessons to achieve full potential.</t>
        </is>
      </c>
      <c r="EB13" s="55" t="inlineStr">
        <is>
          <t>Promoted to JSS3</t>
        </is>
      </c>
      <c r="EC13" s="56" t="inlineStr">
        <is>
          <t>MR. JIMOH WASIU OLATUNDE</t>
        </is>
      </c>
      <c r="ED13" s="57" t="inlineStr">
        <is>
          <t>Next Term Begins on Monday, 15th September, 2034</t>
        </is>
      </c>
    </row>
    <row r="14" ht="30.6" customHeight="1" s="6">
      <c r="A14" s="18" t="n">
        <v>11</v>
      </c>
      <c r="B14" s="19" t="inlineStr">
        <is>
          <t xml:space="preserve">BABATUNDE HALIMAT </t>
        </is>
      </c>
      <c r="C14" s="20" t="inlineStr">
        <is>
          <t>1996</t>
        </is>
      </c>
      <c r="D14" s="128" t="inlineStr">
        <is>
          <t>Female</t>
        </is>
      </c>
      <c r="E14" s="21" t="inlineStr">
        <is>
          <t>JSS 2C</t>
        </is>
      </c>
      <c r="F14" s="21" t="n">
        <v>31</v>
      </c>
      <c r="G14" s="21" t="n">
        <v>122</v>
      </c>
      <c r="H14" s="21" t="n">
        <v>114</v>
      </c>
      <c r="I14" s="26">
        <f>G14-H14</f>
        <v/>
      </c>
      <c r="J14" s="21" t="n">
        <v>20</v>
      </c>
      <c r="K14" s="21" t="n">
        <v>36</v>
      </c>
      <c r="L14" s="27">
        <f>SUM(J14:K14)</f>
        <v/>
      </c>
      <c r="M14" s="28" t="n">
        <v>32</v>
      </c>
      <c r="N14" s="28" t="n">
        <v>44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19</v>
      </c>
      <c r="Q14" s="21" t="n">
        <v>38</v>
      </c>
      <c r="R14" s="27">
        <f>SUM(P14:Q14)</f>
        <v/>
      </c>
      <c r="S14" s="28" t="n">
        <v>75</v>
      </c>
      <c r="T14" s="28" t="n">
        <v>40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28</v>
      </c>
      <c r="X14" s="27">
        <f>SUM(V14:W14)</f>
        <v/>
      </c>
      <c r="Y14" s="28" t="n">
        <v>46</v>
      </c>
      <c r="Z14" s="28" t="n">
        <v>48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21</v>
      </c>
      <c r="AC14" s="21" t="n">
        <v>38</v>
      </c>
      <c r="AD14" s="27">
        <f>SUM(AB14:AC14)</f>
        <v/>
      </c>
      <c r="AE14" s="28" t="n">
        <v>68</v>
      </c>
      <c r="AF14" s="28" t="n">
        <v>64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18</v>
      </c>
      <c r="AI14" s="21" t="n">
        <v>33</v>
      </c>
      <c r="AJ14" s="27">
        <f>SUM(AH14:AI14)</f>
        <v/>
      </c>
      <c r="AK14" s="28" t="n">
        <v>39</v>
      </c>
      <c r="AL14" s="28" t="n">
        <v>20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30</v>
      </c>
      <c r="AU14" s="21" t="n">
        <v>30</v>
      </c>
      <c r="AV14" s="27">
        <f>SUM(AT14:AU14)</f>
        <v/>
      </c>
      <c r="AW14" s="28" t="n">
        <v>55</v>
      </c>
      <c r="AX14" s="30" t="n">
        <v>45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40</v>
      </c>
      <c r="BB14" s="27">
        <f>SUM(AZ14:BA14)</f>
        <v/>
      </c>
      <c r="BC14" s="28" t="n">
        <v>56</v>
      </c>
      <c r="BD14" s="28" t="n">
        <v>60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55</v>
      </c>
      <c r="BH14" s="27">
        <f>SUM(BF14:BG14)</f>
        <v/>
      </c>
      <c r="BI14" s="28" t="n">
        <v>53</v>
      </c>
      <c r="BJ14" s="28" t="n">
        <v>62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18</v>
      </c>
      <c r="BM14" s="21" t="n">
        <v>32</v>
      </c>
      <c r="BN14" s="27">
        <f>SUM(BL14:BM14)</f>
        <v/>
      </c>
      <c r="BO14" s="28" t="n">
        <v>35</v>
      </c>
      <c r="BP14" s="31" t="n">
        <v>42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20</v>
      </c>
      <c r="BY14" s="21" t="n">
        <v>35</v>
      </c>
      <c r="BZ14" s="27">
        <f>SUM(BX14:BY14)</f>
        <v/>
      </c>
      <c r="CA14" s="28" t="n">
        <v>55</v>
      </c>
      <c r="CB14" s="31" t="n">
        <v>55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13</v>
      </c>
      <c r="CE14" s="21" t="n">
        <v>51</v>
      </c>
      <c r="CF14" s="27">
        <f>SUM(CD14:CE14)</f>
        <v/>
      </c>
      <c r="CG14" s="28" t="n">
        <v>31</v>
      </c>
      <c r="CH14" s="31" t="n">
        <v>64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/>
      <c r="CW14" s="21" t="n"/>
      <c r="CX14" s="27">
        <f>SUM(CV14:CW14)</f>
        <v/>
      </c>
      <c r="CY14" s="28" t="n"/>
      <c r="CZ14" s="31" t="n"/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FAIR(1)</t>
        </is>
      </c>
      <c r="DK14" s="40" t="inlineStr">
        <is>
          <t>FAIR(1)</t>
        </is>
      </c>
      <c r="DL14" s="40" t="inlineStr">
        <is>
          <t>FAIR(1)</t>
        </is>
      </c>
      <c r="DM14" s="40" t="inlineStr">
        <is>
          <t>FAIR(1)</t>
        </is>
      </c>
      <c r="DN14" s="40" t="inlineStr">
        <is>
          <t>FAIR(1)</t>
        </is>
      </c>
      <c r="DO14" s="40" t="inlineStr">
        <is>
          <t>GOOD(4)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GOOD(4)</t>
        </is>
      </c>
      <c r="DV14" s="40" t="inlineStr">
        <is>
          <t>GOOD(4)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GOOD(4)</t>
        </is>
      </c>
      <c r="DZ14" s="53" t="inlineStr">
        <is>
          <t>GOOD(4)</t>
        </is>
      </c>
      <c r="EA14" s="54" t="n"/>
      <c r="EB14" s="55" t="inlineStr">
        <is>
          <t>Promoted to JSS3</t>
        </is>
      </c>
      <c r="EC14" s="56" t="inlineStr">
        <is>
          <t>MR. JIMOH WASIU OLATUNDE</t>
        </is>
      </c>
      <c r="ED14" s="57" t="inlineStr">
        <is>
          <t>Next Term Begins on Monday, 15th September, 2035</t>
        </is>
      </c>
    </row>
    <row r="15" ht="30.6" customHeight="1" s="6">
      <c r="A15" s="18" t="n">
        <v>12</v>
      </c>
      <c r="B15" s="19" t="inlineStr">
        <is>
          <t>DAVID SERAH ERIOLUWA</t>
        </is>
      </c>
      <c r="C15" s="20" t="inlineStr">
        <is>
          <t>1831</t>
        </is>
      </c>
      <c r="D15" s="128" t="inlineStr">
        <is>
          <t>Female</t>
        </is>
      </c>
      <c r="E15" s="21" t="inlineStr">
        <is>
          <t>JSS 2C</t>
        </is>
      </c>
      <c r="F15" s="21" t="n">
        <v>31</v>
      </c>
      <c r="G15" s="21" t="n">
        <v>122</v>
      </c>
      <c r="H15" s="21" t="n">
        <v>116</v>
      </c>
      <c r="I15" s="26">
        <f>G15-H15</f>
        <v/>
      </c>
      <c r="J15" s="21" t="n">
        <v>30</v>
      </c>
      <c r="K15" s="21" t="n">
        <v>38</v>
      </c>
      <c r="L15" s="27">
        <f>SUM(J15:K15)</f>
        <v/>
      </c>
      <c r="M15" s="28" t="n">
        <v>26</v>
      </c>
      <c r="N15" s="28" t="n">
        <v>25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21</v>
      </c>
      <c r="Q15" s="21" t="n">
        <v>13</v>
      </c>
      <c r="R15" s="27">
        <f>SUM(P15:Q15)</f>
        <v/>
      </c>
      <c r="S15" s="28" t="n">
        <v>68</v>
      </c>
      <c r="T15" s="28" t="n">
        <v>58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23</v>
      </c>
      <c r="W15" s="21" t="n">
        <v>16</v>
      </c>
      <c r="X15" s="27">
        <f>SUM(V15:W15)</f>
        <v/>
      </c>
      <c r="Y15" s="28" t="n">
        <v>59</v>
      </c>
      <c r="Z15" s="28" t="n">
        <v>49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16</v>
      </c>
      <c r="AC15" s="21" t="n">
        <v>29</v>
      </c>
      <c r="AD15" s="27">
        <f>SUM(AB15:AC15)</f>
        <v/>
      </c>
      <c r="AE15" s="28" t="n">
        <v>50</v>
      </c>
      <c r="AF15" s="28" t="n">
        <v>48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18</v>
      </c>
      <c r="AI15" s="21" t="n">
        <v>42</v>
      </c>
      <c r="AJ15" s="27">
        <f>SUM(AH15:AI15)</f>
        <v/>
      </c>
      <c r="AK15" s="28" t="n">
        <v>52</v>
      </c>
      <c r="AL15" s="28" t="n">
        <v>44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29</v>
      </c>
      <c r="AU15" s="21" t="n">
        <v>32</v>
      </c>
      <c r="AV15" s="27">
        <f>SUM(AT15:AU15)</f>
        <v/>
      </c>
      <c r="AW15" s="28" t="n">
        <v>45</v>
      </c>
      <c r="AX15" s="30" t="n">
        <v>57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23</v>
      </c>
      <c r="BA15" s="21" t="n">
        <v>26</v>
      </c>
      <c r="BB15" s="27">
        <f>SUM(AZ15:BA15)</f>
        <v/>
      </c>
      <c r="BC15" s="28" t="n">
        <v>59</v>
      </c>
      <c r="BD15" s="28" t="n">
        <v>54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16</v>
      </c>
      <c r="BG15" s="21" t="n">
        <v>38</v>
      </c>
      <c r="BH15" s="27">
        <f>SUM(BF15:BG15)</f>
        <v/>
      </c>
      <c r="BI15" s="28" t="n">
        <v>60</v>
      </c>
      <c r="BJ15" s="28" t="n">
        <v>44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39</v>
      </c>
      <c r="BN15" s="27">
        <f>SUM(BL15:BM15)</f>
        <v/>
      </c>
      <c r="BO15" s="28" t="n">
        <v>24</v>
      </c>
      <c r="BP15" s="31" t="n">
        <v>57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23</v>
      </c>
      <c r="BY15" s="21" t="n">
        <v>69</v>
      </c>
      <c r="BZ15" s="27">
        <f>SUM(BX15:BY15)</f>
        <v/>
      </c>
      <c r="CA15" s="28" t="n">
        <v>49</v>
      </c>
      <c r="CB15" s="31" t="n">
        <v>54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17</v>
      </c>
      <c r="CE15" s="21" t="n">
        <v>49</v>
      </c>
      <c r="CF15" s="27">
        <f>SUM(CD15:CE15)</f>
        <v/>
      </c>
      <c r="CG15" s="28" t="n">
        <v>32</v>
      </c>
      <c r="CH15" s="31" t="n">
        <v>25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/>
      <c r="CQ15" s="21" t="n"/>
      <c r="CR15" s="27">
        <f>SUM(CP15:CQ15)</f>
        <v/>
      </c>
      <c r="CS15" s="28" t="n"/>
      <c r="CT15" s="31" t="n"/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>
        <v>30</v>
      </c>
      <c r="CW15" s="21" t="n">
        <v>30</v>
      </c>
      <c r="CX15" s="27">
        <f>SUM(CV15:CW15)</f>
        <v/>
      </c>
      <c r="CY15" s="28" t="n">
        <v>52</v>
      </c>
      <c r="CZ15" s="31" t="n">
        <v>53</v>
      </c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EXCELLENT(5)</t>
        </is>
      </c>
      <c r="DK15" s="40" t="inlineStr">
        <is>
          <t>GOOD(4)</t>
        </is>
      </c>
      <c r="DL15" s="40" t="inlineStr">
        <is>
          <t>EXCELLENT(5)</t>
        </is>
      </c>
      <c r="DM15" s="40" t="inlineStr">
        <is>
          <t>EXCELLENT(5)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GOOD(4)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GOOD(4)</t>
        </is>
      </c>
      <c r="DV15" s="40" t="inlineStr">
        <is>
          <t>GOOD(4)</t>
        </is>
      </c>
      <c r="DW15" s="40" t="inlineStr">
        <is>
          <t>GOOD(4)</t>
        </is>
      </c>
      <c r="DX15" s="40" t="inlineStr">
        <is>
          <t>GOOD(4)</t>
        </is>
      </c>
      <c r="DY15" s="40" t="inlineStr">
        <is>
          <t>GOOD(4)</t>
        </is>
      </c>
      <c r="DZ15" s="53" t="inlineStr">
        <is>
          <t>GOOD(4)</t>
        </is>
      </c>
      <c r="EA15" s="54" t="inlineStr">
        <is>
          <t>Completes assignments on time and with care.</t>
        </is>
      </c>
      <c r="EB15" s="55" t="inlineStr">
        <is>
          <t>Promoted to JSS3</t>
        </is>
      </c>
      <c r="EC15" s="56" t="inlineStr">
        <is>
          <t>MR. JIMOH WASIU OLATUNDE</t>
        </is>
      </c>
      <c r="ED15" s="57" t="inlineStr">
        <is>
          <t>Next Term Begins on Monday, 15th September, 2036</t>
        </is>
      </c>
    </row>
    <row r="16" ht="30.6" customHeight="1" s="6">
      <c r="A16" s="18" t="n">
        <v>13</v>
      </c>
      <c r="B16" s="19" t="inlineStr">
        <is>
          <t xml:space="preserve">HANNATU AYUBA </t>
        </is>
      </c>
      <c r="C16" s="20" t="inlineStr">
        <is>
          <t>1894</t>
        </is>
      </c>
      <c r="D16" s="128" t="inlineStr">
        <is>
          <t>Male</t>
        </is>
      </c>
      <c r="E16" s="21" t="inlineStr">
        <is>
          <t>JSS 2C</t>
        </is>
      </c>
      <c r="F16" s="21" t="n">
        <v>31</v>
      </c>
      <c r="G16" s="21" t="n">
        <v>122</v>
      </c>
      <c r="H16" s="21" t="n">
        <v>0</v>
      </c>
      <c r="I16" s="26">
        <f>G16-H16</f>
        <v/>
      </c>
      <c r="J16" s="21" t="n">
        <v>20</v>
      </c>
      <c r="K16" s="21" t="n">
        <v>15</v>
      </c>
      <c r="L16" s="27">
        <f>SUM(J16:K16)</f>
        <v/>
      </c>
      <c r="M16" s="28" t="n">
        <v>20</v>
      </c>
      <c r="N16" s="28" t="n">
        <v>38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18</v>
      </c>
      <c r="Q16" s="21" t="n">
        <v>35</v>
      </c>
      <c r="R16" s="27">
        <f>SUM(P16:Q16)</f>
        <v/>
      </c>
      <c r="S16" s="28" t="n">
        <v>37</v>
      </c>
      <c r="T16" s="28" t="n">
        <v>68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20</v>
      </c>
      <c r="W16" s="21" t="n">
        <v>10</v>
      </c>
      <c r="X16" s="27">
        <f>SUM(V16:W16)</f>
        <v/>
      </c>
      <c r="Y16" s="28" t="n">
        <v>20</v>
      </c>
      <c r="Z16" s="28" t="n">
        <v>25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18</v>
      </c>
      <c r="AC16" s="21" t="n">
        <v>35</v>
      </c>
      <c r="AD16" s="27">
        <f>SUM(AB16:AC16)</f>
        <v/>
      </c>
      <c r="AE16" s="28" t="n">
        <v>38</v>
      </c>
      <c r="AF16" s="28" t="n">
        <v>68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10</v>
      </c>
      <c r="AI16" s="21" t="n">
        <v>15</v>
      </c>
      <c r="AJ16" s="27">
        <f>SUM(AH16:AI16)</f>
        <v/>
      </c>
      <c r="AK16" s="28" t="n">
        <v>15</v>
      </c>
      <c r="AL16" s="28" t="n">
        <v>10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14</v>
      </c>
      <c r="AU16" s="21" t="n">
        <v>25</v>
      </c>
      <c r="AV16" s="27">
        <f>SUM(AT16:AU16)</f>
        <v/>
      </c>
      <c r="AW16" s="28" t="n">
        <v>39</v>
      </c>
      <c r="AX16" s="30" t="n">
        <v>39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11</v>
      </c>
      <c r="BA16" s="21" t="n">
        <v>12</v>
      </c>
      <c r="BB16" s="27">
        <f>SUM(AZ16:BA16)</f>
        <v/>
      </c>
      <c r="BC16" s="28" t="n">
        <v>21</v>
      </c>
      <c r="BD16" s="28" t="n">
        <v>14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</v>
      </c>
      <c r="BG16" s="21" t="n">
        <v>38</v>
      </c>
      <c r="BH16" s="27">
        <f>SUM(BF16:BG16)</f>
        <v/>
      </c>
      <c r="BI16" s="28" t="n">
        <v>60</v>
      </c>
      <c r="BJ16" s="28" t="n">
        <v>44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13</v>
      </c>
      <c r="BN16" s="27">
        <f>SUM(BL16:BM16)</f>
        <v/>
      </c>
      <c r="BO16" s="28" t="n">
        <v>13</v>
      </c>
      <c r="BP16" s="31" t="n">
        <v>16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24</v>
      </c>
      <c r="BY16" s="21" t="n">
        <v>70</v>
      </c>
      <c r="BZ16" s="27">
        <f>SUM(BX16:BY16)</f>
        <v/>
      </c>
      <c r="CA16" s="28" t="n">
        <v>22</v>
      </c>
      <c r="CB16" s="31" t="n">
        <v>61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17</v>
      </c>
      <c r="CE16" s="21" t="n">
        <v>12</v>
      </c>
      <c r="CF16" s="27">
        <f>SUM(CD16:CE16)</f>
        <v/>
      </c>
      <c r="CG16" s="28" t="n">
        <v>13</v>
      </c>
      <c r="CH16" s="31" t="n">
        <v>43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/>
      <c r="CQ16" s="21" t="n"/>
      <c r="CR16" s="27">
        <f>SUM(CP16:CQ16)</f>
        <v/>
      </c>
      <c r="CS16" s="28" t="n"/>
      <c r="CT16" s="31" t="n"/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GOOD(4)</t>
        </is>
      </c>
      <c r="DK16" s="40" t="inlineStr">
        <is>
          <t>GOOD(4)</t>
        </is>
      </c>
      <c r="DL16" s="40" t="inlineStr">
        <is>
          <t>GOOD(4)</t>
        </is>
      </c>
      <c r="DM16" s="40" t="inlineStr">
        <is>
          <t>EXCELLENT(5)</t>
        </is>
      </c>
      <c r="DN16" s="40" t="inlineStr">
        <is>
          <t>GOOD(4)</t>
        </is>
      </c>
      <c r="DO16" s="40" t="inlineStr">
        <is>
          <t>GOOD(4)</t>
        </is>
      </c>
      <c r="DP16" s="40" t="inlineStr">
        <is>
          <t>GOOD(4)</t>
        </is>
      </c>
      <c r="DQ16" s="40" t="inlineStr">
        <is>
          <t>GOOD(4)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GOOD(4)</t>
        </is>
      </c>
      <c r="DU16" s="40" t="inlineStr">
        <is>
          <t>GOOD(4)</t>
        </is>
      </c>
      <c r="DV16" s="40" t="inlineStr">
        <is>
          <t>GOOD(4)</t>
        </is>
      </c>
      <c r="DW16" s="40" t="inlineStr">
        <is>
          <t>GOOD(4)</t>
        </is>
      </c>
      <c r="DX16" s="40" t="inlineStr">
        <is>
          <t>GOOD(4)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Demonstrates a positive attitude and respect for rules.</t>
        </is>
      </c>
      <c r="EB16" s="55" t="inlineStr">
        <is>
          <t>To repeat JSS2</t>
        </is>
      </c>
      <c r="EC16" s="56" t="inlineStr">
        <is>
          <t>MR. JIMOH WASIU OLATUNDE</t>
        </is>
      </c>
      <c r="ED16" s="57" t="inlineStr">
        <is>
          <t>Next Term Begins on Monday, 15th September, 2037</t>
        </is>
      </c>
    </row>
    <row r="17" ht="30.6" customHeight="1" s="6">
      <c r="A17" s="18" t="n">
        <v>14</v>
      </c>
      <c r="B17" s="19" t="inlineStr">
        <is>
          <t xml:space="preserve">HASSAN ABDULKAREEM </t>
        </is>
      </c>
      <c r="C17" s="20" t="inlineStr">
        <is>
          <t>1896</t>
        </is>
      </c>
      <c r="D17" s="128" t="inlineStr">
        <is>
          <t>Male</t>
        </is>
      </c>
      <c r="E17" s="21" t="inlineStr">
        <is>
          <t>JSS 2C</t>
        </is>
      </c>
      <c r="F17" s="21" t="n">
        <v>31</v>
      </c>
      <c r="G17" s="21" t="n">
        <v>122</v>
      </c>
      <c r="H17" s="21" t="n">
        <v>0</v>
      </c>
      <c r="I17" s="26">
        <f>G17-H17</f>
        <v/>
      </c>
      <c r="J17" s="21" t="n">
        <v>12</v>
      </c>
      <c r="K17" s="21" t="n">
        <v>14</v>
      </c>
      <c r="L17" s="27">
        <f>SUM(J17:K17)</f>
        <v/>
      </c>
      <c r="M17" s="28" t="n">
        <v>37</v>
      </c>
      <c r="N17" s="28" t="n">
        <v>25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11</v>
      </c>
      <c r="Q17" s="21" t="n">
        <v>22</v>
      </c>
      <c r="R17" s="27">
        <f>SUM(P17:Q17)</f>
        <v/>
      </c>
      <c r="S17" s="28" t="n">
        <v>32</v>
      </c>
      <c r="T17" s="28" t="n">
        <v>34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10</v>
      </c>
      <c r="W17" s="21" t="n">
        <v>10</v>
      </c>
      <c r="X17" s="27">
        <f>SUM(V17:W17)</f>
        <v/>
      </c>
      <c r="Y17" s="28" t="n">
        <v>13</v>
      </c>
      <c r="Z17" s="28" t="n">
        <v>16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16</v>
      </c>
      <c r="AC17" s="21" t="n">
        <v>25</v>
      </c>
      <c r="AD17" s="27">
        <f>SUM(AB17:AC17)</f>
        <v/>
      </c>
      <c r="AE17" s="28" t="n">
        <v>41</v>
      </c>
      <c r="AF17" s="28" t="n">
        <v>41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11</v>
      </c>
      <c r="AI17" s="21" t="n">
        <v>22</v>
      </c>
      <c r="AJ17" s="27">
        <f>SUM(AH17:AI17)</f>
        <v/>
      </c>
      <c r="AK17" s="28" t="n">
        <v>32</v>
      </c>
      <c r="AL17" s="28" t="n">
        <v>34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14</v>
      </c>
      <c r="AU17" s="21" t="n">
        <v>25</v>
      </c>
      <c r="AV17" s="27">
        <f>SUM(AT17:AU17)</f>
        <v/>
      </c>
      <c r="AW17" s="28" t="n">
        <v>39</v>
      </c>
      <c r="AX17" s="30" t="n">
        <v>39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10</v>
      </c>
      <c r="BA17" s="21" t="n">
        <v>27</v>
      </c>
      <c r="BB17" s="27">
        <f>SUM(AZ17:BA17)</f>
        <v/>
      </c>
      <c r="BC17" s="28" t="n">
        <v>37</v>
      </c>
      <c r="BD17" s="28" t="n">
        <v>37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10</v>
      </c>
      <c r="BG17" s="21" t="n">
        <v>29</v>
      </c>
      <c r="BH17" s="27">
        <f>SUM(BF17:BG17)</f>
        <v/>
      </c>
      <c r="BI17" s="28" t="n">
        <v>39</v>
      </c>
      <c r="BJ17" s="28" t="n">
        <v>39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15</v>
      </c>
      <c r="BM17" s="21" t="n">
        <v>13</v>
      </c>
      <c r="BN17" s="27">
        <f>SUM(BL17:BM17)</f>
        <v/>
      </c>
      <c r="BO17" s="28" t="n">
        <v>13</v>
      </c>
      <c r="BP17" s="31" t="n">
        <v>16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15</v>
      </c>
      <c r="BY17" s="21" t="n">
        <v>35</v>
      </c>
      <c r="BZ17" s="27">
        <f>SUM(BX17:BY17)</f>
        <v/>
      </c>
      <c r="CA17" s="28" t="n">
        <v>22</v>
      </c>
      <c r="CB17" s="31" t="n">
        <v>13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11</v>
      </c>
      <c r="CE17" s="21" t="n">
        <v>12</v>
      </c>
      <c r="CF17" s="27">
        <f>SUM(CD17:CE17)</f>
        <v/>
      </c>
      <c r="CG17" s="28" t="n">
        <v>14</v>
      </c>
      <c r="CH17" s="31" t="n">
        <v>13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/>
      <c r="CQ17" s="21" t="n"/>
      <c r="CR17" s="27">
        <f>SUM(CP17:CQ17)</f>
        <v/>
      </c>
      <c r="CS17" s="28" t="n"/>
      <c r="CT17" s="31" t="n"/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FAIR(1)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EXCELLENT(5)</t>
        </is>
      </c>
      <c r="DN17" s="40" t="inlineStr">
        <is>
          <t>GOOD(4)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GOOD(4)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GOOD(4)</t>
        </is>
      </c>
      <c r="DX17" s="40" t="inlineStr">
        <is>
          <t>GOOD(4)</t>
        </is>
      </c>
      <c r="DY17" s="40" t="inlineStr">
        <is>
          <t>GOOD(4)</t>
        </is>
      </c>
      <c r="DZ17" s="53" t="inlineStr">
        <is>
          <t>GOOD(4)</t>
        </is>
      </c>
      <c r="EA17" s="54" t="inlineStr">
        <is>
          <t>Needs to focus more during lessons to achieve full potential.</t>
        </is>
      </c>
      <c r="EB17" s="55" t="inlineStr">
        <is>
          <t>To repeat JSS2</t>
        </is>
      </c>
      <c r="EC17" s="56" t="inlineStr">
        <is>
          <t>MR. JIMOH WASIU OLATUNDE</t>
        </is>
      </c>
      <c r="ED17" s="57" t="inlineStr">
        <is>
          <t>Next Term Begins on Monday, 15th September, 2038</t>
        </is>
      </c>
    </row>
    <row r="18" ht="30.6" customHeight="1" s="6">
      <c r="A18" s="18" t="n">
        <v>15</v>
      </c>
      <c r="B18" s="19" t="inlineStr">
        <is>
          <t>JAMIU ASIAT ATOKE</t>
        </is>
      </c>
      <c r="C18" s="20" t="inlineStr">
        <is>
          <t>1806</t>
        </is>
      </c>
      <c r="D18" s="128" t="inlineStr">
        <is>
          <t>Female</t>
        </is>
      </c>
      <c r="E18" s="21" t="inlineStr">
        <is>
          <t>JSS 2C</t>
        </is>
      </c>
      <c r="F18" s="21" t="n">
        <v>31</v>
      </c>
      <c r="G18" s="21" t="n">
        <v>122</v>
      </c>
      <c r="H18" s="21" t="n">
        <v>114</v>
      </c>
      <c r="I18" s="26">
        <f>G18-H18</f>
        <v/>
      </c>
      <c r="J18" s="21" t="n">
        <v>20</v>
      </c>
      <c r="K18" s="21" t="n">
        <v>28</v>
      </c>
      <c r="L18" s="27">
        <f>SUM(J18:K18)</f>
        <v/>
      </c>
      <c r="M18" s="28" t="n">
        <v>31</v>
      </c>
      <c r="N18" s="28" t="n">
        <v>34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10</v>
      </c>
      <c r="Q18" s="21" t="n">
        <v>20</v>
      </c>
      <c r="R18" s="27">
        <f>SUM(P18:Q18)</f>
        <v/>
      </c>
      <c r="S18" s="28" t="n">
        <v>42</v>
      </c>
      <c r="T18" s="28" t="n">
        <v>17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25</v>
      </c>
      <c r="W18" s="21" t="n">
        <v>20</v>
      </c>
      <c r="X18" s="27">
        <f>SUM(V18:W18)</f>
        <v/>
      </c>
      <c r="Y18" s="28" t="n">
        <v>52</v>
      </c>
      <c r="Z18" s="28" t="n">
        <v>48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15</v>
      </c>
      <c r="AC18" s="21" t="n">
        <v>36</v>
      </c>
      <c r="AD18" s="27">
        <f>SUM(AB18:AC18)</f>
        <v/>
      </c>
      <c r="AE18" s="28" t="n">
        <v>70</v>
      </c>
      <c r="AF18" s="28" t="n">
        <v>60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17</v>
      </c>
      <c r="AI18" s="21" t="n">
        <v>31</v>
      </c>
      <c r="AJ18" s="27">
        <f>SUM(AH18:AI18)</f>
        <v/>
      </c>
      <c r="AK18" s="28" t="n">
        <v>50</v>
      </c>
      <c r="AL18" s="28" t="n">
        <v>48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20</v>
      </c>
      <c r="AU18" s="21" t="n">
        <v>30</v>
      </c>
      <c r="AV18" s="27">
        <f>SUM(AT18:AU18)</f>
        <v/>
      </c>
      <c r="AW18" s="28" t="n">
        <v>33</v>
      </c>
      <c r="AX18" s="30" t="n">
        <v>49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25</v>
      </c>
      <c r="BA18" s="21" t="n">
        <v>30</v>
      </c>
      <c r="BB18" s="27">
        <f>SUM(AZ18:BA18)</f>
        <v/>
      </c>
      <c r="BC18" s="28" t="n">
        <v>55</v>
      </c>
      <c r="BD18" s="28" t="n">
        <v>55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14</v>
      </c>
      <c r="BG18" s="21" t="n">
        <v>34</v>
      </c>
      <c r="BH18" s="27">
        <f>SUM(BF18:BG18)</f>
        <v/>
      </c>
      <c r="BI18" s="28" t="n">
        <v>48</v>
      </c>
      <c r="BJ18" s="28" t="n">
        <v>24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20</v>
      </c>
      <c r="BM18" s="21" t="n">
        <v>30</v>
      </c>
      <c r="BN18" s="27">
        <f>SUM(BL18:BM18)</f>
        <v/>
      </c>
      <c r="BO18" s="28" t="n">
        <v>55</v>
      </c>
      <c r="BP18" s="31" t="n">
        <v>46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22</v>
      </c>
      <c r="BY18" s="21" t="n">
        <v>58</v>
      </c>
      <c r="BZ18" s="27">
        <f>SUM(BX18:BY18)</f>
        <v/>
      </c>
      <c r="CA18" s="28" t="n">
        <v>75</v>
      </c>
      <c r="CB18" s="31" t="n">
        <v>63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15</v>
      </c>
      <c r="CE18" s="21" t="n">
        <v>50</v>
      </c>
      <c r="CF18" s="27">
        <f>SUM(CD18:CE18)</f>
        <v/>
      </c>
      <c r="CG18" s="28" t="n">
        <v>21</v>
      </c>
      <c r="CH18" s="31" t="n">
        <v>22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/>
      <c r="CW18" s="21" t="n"/>
      <c r="CX18" s="27">
        <f>SUM(CV18:CW18)</f>
        <v/>
      </c>
      <c r="CY18" s="28" t="n"/>
      <c r="CZ18" s="31" t="n"/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GOOD(4)</t>
        </is>
      </c>
      <c r="DL18" s="40" t="inlineStr">
        <is>
          <t>GOOD(4)</t>
        </is>
      </c>
      <c r="DM18" s="40" t="inlineStr">
        <is>
          <t>EXCELLENT(5)</t>
        </is>
      </c>
      <c r="DN18" s="40" t="inlineStr">
        <is>
          <t>GOOD(4)</t>
        </is>
      </c>
      <c r="DO18" s="40" t="inlineStr">
        <is>
          <t>GOOD(4)</t>
        </is>
      </c>
      <c r="DP18" s="40" t="inlineStr">
        <is>
          <t>GOOD(4)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GOOD(4)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GOOD(4)</t>
        </is>
      </c>
      <c r="EA18" s="54" t="inlineStr">
        <is>
          <t>Shows consistent effort and improvement in academic work.</t>
        </is>
      </c>
      <c r="EB18" s="55" t="inlineStr">
        <is>
          <t>Promoted to JSS3</t>
        </is>
      </c>
      <c r="EC18" s="56" t="inlineStr">
        <is>
          <t>MR. JIMOH WASIU OLATUNDE</t>
        </is>
      </c>
      <c r="ED18" s="57" t="inlineStr">
        <is>
          <t>Next Term Begins on Monday, 15th September, 2039</t>
        </is>
      </c>
    </row>
    <row r="19" ht="30.6" customHeight="1" s="6">
      <c r="A19" s="18" t="n">
        <v>16</v>
      </c>
      <c r="B19" s="19" t="inlineStr">
        <is>
          <t xml:space="preserve">JOB AYOMIDE </t>
        </is>
      </c>
      <c r="C19" s="20" t="inlineStr">
        <is>
          <t>1733</t>
        </is>
      </c>
      <c r="D19" s="128" t="inlineStr">
        <is>
          <t>Male</t>
        </is>
      </c>
      <c r="E19" s="21" t="inlineStr">
        <is>
          <t>JSS 2C</t>
        </is>
      </c>
      <c r="F19" s="21" t="n">
        <v>31</v>
      </c>
      <c r="G19" s="21" t="n">
        <v>122</v>
      </c>
      <c r="H19" s="22" t="n">
        <v>106</v>
      </c>
      <c r="I19" s="26">
        <f>G19-H19</f>
        <v/>
      </c>
      <c r="J19" s="21" t="n">
        <v>30</v>
      </c>
      <c r="K19" s="21" t="n">
        <v>44</v>
      </c>
      <c r="L19" s="27">
        <f>SUM(J19:K19)</f>
        <v/>
      </c>
      <c r="M19" s="28" t="n">
        <v>29</v>
      </c>
      <c r="N19" s="28" t="n">
        <v>31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17</v>
      </c>
      <c r="Q19" s="21" t="n">
        <v>34</v>
      </c>
      <c r="R19" s="27">
        <f>SUM(P19:Q19)</f>
        <v/>
      </c>
      <c r="S19" s="28" t="n">
        <v>67</v>
      </c>
      <c r="T19" s="28" t="n">
        <v>34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25</v>
      </c>
      <c r="W19" s="21" t="n">
        <v>29</v>
      </c>
      <c r="X19" s="27">
        <f>SUM(V19:W19)</f>
        <v/>
      </c>
      <c r="Y19" s="28" t="n">
        <v>58</v>
      </c>
      <c r="Z19" s="28" t="n">
        <v>56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17</v>
      </c>
      <c r="AC19" s="21" t="n">
        <v>38</v>
      </c>
      <c r="AD19" s="27">
        <f>SUM(AB19:AC19)</f>
        <v/>
      </c>
      <c r="AE19" s="28" t="n">
        <v>57</v>
      </c>
      <c r="AF19" s="28" t="n">
        <v>56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16</v>
      </c>
      <c r="AI19" s="21" t="n">
        <v>31</v>
      </c>
      <c r="AJ19" s="27">
        <f>SUM(AH19:AI19)</f>
        <v/>
      </c>
      <c r="AK19" s="28" t="n">
        <v>59</v>
      </c>
      <c r="AL19" s="28" t="n">
        <v>42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22</v>
      </c>
      <c r="AU19" s="21" t="n">
        <v>32</v>
      </c>
      <c r="AV19" s="27">
        <f>SUM(AT19:AU19)</f>
        <v/>
      </c>
      <c r="AW19" s="28" t="n">
        <v>33</v>
      </c>
      <c r="AX19" s="30" t="n">
        <v>42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24</v>
      </c>
      <c r="BA19" s="21" t="n">
        <v>45</v>
      </c>
      <c r="BB19" s="27">
        <f>SUM(AZ19:BA19)</f>
        <v/>
      </c>
      <c r="BC19" s="28" t="n">
        <v>50</v>
      </c>
      <c r="BD19" s="28" t="n">
        <v>60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14</v>
      </c>
      <c r="BG19" s="21" t="n">
        <v>35</v>
      </c>
      <c r="BH19" s="27">
        <f>SUM(BF19:BG19)</f>
        <v/>
      </c>
      <c r="BI19" s="28" t="n">
        <v>46</v>
      </c>
      <c r="BJ19" s="28" t="n">
        <v>28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25</v>
      </c>
      <c r="BM19" s="21" t="n">
        <v>30</v>
      </c>
      <c r="BN19" s="27">
        <f>SUM(BL19:BM19)</f>
        <v/>
      </c>
      <c r="BO19" s="28" t="n">
        <v>37</v>
      </c>
      <c r="BP19" s="31" t="n">
        <v>40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20</v>
      </c>
      <c r="BY19" s="21" t="n">
        <v>64</v>
      </c>
      <c r="BZ19" s="27">
        <f>SUM(BX19:BY19)</f>
        <v/>
      </c>
      <c r="CA19" s="28" t="n">
        <v>67</v>
      </c>
      <c r="CB19" s="31" t="n">
        <v>62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14</v>
      </c>
      <c r="CE19" s="21" t="n">
        <v>45</v>
      </c>
      <c r="CF19" s="27">
        <f>SUM(CD19:CE19)</f>
        <v/>
      </c>
      <c r="CG19" s="28" t="n">
        <v>35</v>
      </c>
      <c r="CH19" s="31" t="n">
        <v>22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30</v>
      </c>
      <c r="CW19" s="21" t="n">
        <v>30</v>
      </c>
      <c r="CX19" s="27">
        <f>SUM(CV19:CW19)</f>
        <v/>
      </c>
      <c r="CY19" s="28" t="n">
        <v>43</v>
      </c>
      <c r="CZ19" s="31" t="n">
        <v>20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EXCELLENT(5)</t>
        </is>
      </c>
      <c r="DK19" s="40" t="inlineStr">
        <is>
          <t>GOOD(4)</t>
        </is>
      </c>
      <c r="DL19" s="40" t="inlineStr">
        <is>
          <t>GOOD(4)</t>
        </is>
      </c>
      <c r="DM19" s="40" t="inlineStr">
        <is>
          <t>EXCELLENT(5)</t>
        </is>
      </c>
      <c r="DN19" s="40" t="inlineStr">
        <is>
          <t>GOOD(4)</t>
        </is>
      </c>
      <c r="DO19" s="40" t="inlineStr">
        <is>
          <t>GOOD(4)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GOOD(4)</t>
        </is>
      </c>
      <c r="DV19" s="40" t="inlineStr">
        <is>
          <t>GOOD(4)</t>
        </is>
      </c>
      <c r="DW19" s="40" t="inlineStr">
        <is>
          <t>GOOD(4)</t>
        </is>
      </c>
      <c r="DX19" s="40" t="inlineStr">
        <is>
          <t>GOOD(4)</t>
        </is>
      </c>
      <c r="DY19" s="40" t="inlineStr">
        <is>
          <t>GOOD(4)</t>
        </is>
      </c>
      <c r="DZ19" s="53" t="inlineStr">
        <is>
          <t>GOOD(4)</t>
        </is>
      </c>
      <c r="EA19" s="54" t="inlineStr">
        <is>
          <t>Excels in most subjects and demonstrates a strong grasp of concepts.</t>
        </is>
      </c>
      <c r="EB19" s="55" t="inlineStr">
        <is>
          <t>Promoted to JSS3</t>
        </is>
      </c>
      <c r="EC19" s="56" t="inlineStr">
        <is>
          <t>MR. JIMOH WASIU OLATUNDE</t>
        </is>
      </c>
      <c r="ED19" s="57" t="inlineStr">
        <is>
          <t>Next Term Begins on Monday, 15th September, 2040</t>
        </is>
      </c>
    </row>
    <row r="20" ht="30.6" customHeight="1" s="6">
      <c r="A20" s="18" t="n">
        <v>17</v>
      </c>
      <c r="B20" s="19" t="inlineStr">
        <is>
          <t xml:space="preserve">KAZEEM BARAKAT </t>
        </is>
      </c>
      <c r="C20" s="20" t="inlineStr">
        <is>
          <t>1808</t>
        </is>
      </c>
      <c r="D20" s="128" t="inlineStr">
        <is>
          <t>Female</t>
        </is>
      </c>
      <c r="E20" s="21" t="inlineStr">
        <is>
          <t>JSS 2C</t>
        </is>
      </c>
      <c r="F20" s="21" t="n">
        <v>31</v>
      </c>
      <c r="G20" s="21" t="n">
        <v>122</v>
      </c>
      <c r="H20" s="22" t="n">
        <v>26</v>
      </c>
      <c r="I20" s="26">
        <f>G20-H20</f>
        <v/>
      </c>
      <c r="J20" s="21" t="n">
        <v>16</v>
      </c>
      <c r="K20" s="21" t="n">
        <v>20</v>
      </c>
      <c r="L20" s="27">
        <f>SUM(J20:K20)</f>
        <v/>
      </c>
      <c r="M20" s="28" t="n">
        <v>28</v>
      </c>
      <c r="N20" s="28" t="n">
        <v>25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15</v>
      </c>
      <c r="Q20" s="21" t="n">
        <v>31</v>
      </c>
      <c r="R20" s="27">
        <f>SUM(P20:Q20)</f>
        <v/>
      </c>
      <c r="S20" s="28" t="n">
        <v>60</v>
      </c>
      <c r="T20" s="28" t="n">
        <v>32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23</v>
      </c>
      <c r="W20" s="21" t="n">
        <v>10</v>
      </c>
      <c r="X20" s="27">
        <f>SUM(V20:W20)</f>
        <v/>
      </c>
      <c r="Y20" s="28" t="n">
        <v>58</v>
      </c>
      <c r="Z20" s="28" t="n">
        <v>46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15</v>
      </c>
      <c r="AC20" s="21" t="n">
        <v>20</v>
      </c>
      <c r="AD20" s="27">
        <f>SUM(AB20:AC20)</f>
        <v/>
      </c>
      <c r="AE20" s="28" t="n">
        <v>79</v>
      </c>
      <c r="AF20" s="28" t="n">
        <v>57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16</v>
      </c>
      <c r="AI20" s="21" t="n">
        <v>32</v>
      </c>
      <c r="AJ20" s="27">
        <f>SUM(AH20:AI20)</f>
        <v/>
      </c>
      <c r="AK20" s="28" t="n">
        <v>60</v>
      </c>
      <c r="AL20" s="28" t="n">
        <v>35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16</v>
      </c>
      <c r="AU20" s="21" t="n">
        <v>23</v>
      </c>
      <c r="AV20" s="27">
        <f>SUM(AT20:AU20)</f>
        <v/>
      </c>
      <c r="AW20" s="28" t="n">
        <v>39</v>
      </c>
      <c r="AX20" s="30" t="n">
        <v>39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0</v>
      </c>
      <c r="BA20" s="21" t="n">
        <v>0</v>
      </c>
      <c r="BB20" s="27">
        <f>SUM(AZ20:BA20)</f>
        <v/>
      </c>
      <c r="BC20" s="28" t="n">
        <v>59</v>
      </c>
      <c r="BD20" s="28" t="n">
        <v>0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10</v>
      </c>
      <c r="BG20" s="21" t="n">
        <v>29</v>
      </c>
      <c r="BH20" s="27">
        <f>SUM(BF20:BG20)</f>
        <v/>
      </c>
      <c r="BI20" s="28" t="n">
        <v>63</v>
      </c>
      <c r="BJ20" s="28" t="n">
        <v>51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10</v>
      </c>
      <c r="BM20" s="21" t="n">
        <v>15</v>
      </c>
      <c r="BN20" s="27">
        <f>SUM(BL20:BM20)</f>
        <v/>
      </c>
      <c r="BO20" s="28" t="n">
        <v>41</v>
      </c>
      <c r="BP20" s="31" t="n">
        <v>12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25</v>
      </c>
      <c r="BY20" s="21" t="n">
        <v>67</v>
      </c>
      <c r="BZ20" s="27">
        <f>SUM(BX20:BY20)</f>
        <v/>
      </c>
      <c r="CA20" s="28" t="n">
        <v>59</v>
      </c>
      <c r="CB20" s="31" t="n">
        <v>45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14</v>
      </c>
      <c r="CE20" s="21" t="n">
        <v>12</v>
      </c>
      <c r="CF20" s="27">
        <f>SUM(CD20:CE20)</f>
        <v/>
      </c>
      <c r="CG20" s="28" t="n">
        <v>23</v>
      </c>
      <c r="CH20" s="31" t="n">
        <v>11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/>
      <c r="CW20" s="21" t="n"/>
      <c r="CX20" s="27">
        <f>SUM(CV20:CW20)</f>
        <v/>
      </c>
      <c r="CY20" s="28" t="n"/>
      <c r="CZ20" s="31" t="n"/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BELOW AVERAGE(2)</t>
        </is>
      </c>
      <c r="DK20" s="40" t="inlineStr">
        <is>
          <t>AVERAGE(3)</t>
        </is>
      </c>
      <c r="DL20" s="40" t="inlineStr">
        <is>
          <t>BELOW AVERAGE(2)</t>
        </is>
      </c>
      <c r="DM20" s="40" t="inlineStr">
        <is>
          <t>EXCELLENT(5)</t>
        </is>
      </c>
      <c r="DN20" s="40" t="inlineStr">
        <is>
          <t>BELOW AVERAGE(2)</t>
        </is>
      </c>
      <c r="DO20" s="40" t="inlineStr">
        <is>
          <t>GOOD(4)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GOOD(4)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GOOD(4)</t>
        </is>
      </c>
      <c r="DY20" s="40" t="inlineStr">
        <is>
          <t>GOOD(4)</t>
        </is>
      </c>
      <c r="DZ20" s="53" t="inlineStr">
        <is>
          <t>GOOD(4)</t>
        </is>
      </c>
      <c r="EA20" s="54" t="inlineStr">
        <is>
          <t>Demonstrates a positive attitude and respect for rules.</t>
        </is>
      </c>
      <c r="EB20" s="55" t="inlineStr">
        <is>
          <t>To repeat JSS2</t>
        </is>
      </c>
      <c r="EC20" s="56" t="inlineStr">
        <is>
          <t>MR. JIMOH WASIU OLATUNDE</t>
        </is>
      </c>
      <c r="ED20" s="57" t="inlineStr">
        <is>
          <t>Next Term Begins on Monday, 15th September, 2041</t>
        </is>
      </c>
    </row>
    <row r="21" ht="30.6" customHeight="1" s="6">
      <c r="A21" s="18" t="n">
        <v>18</v>
      </c>
      <c r="B21" s="19" t="inlineStr">
        <is>
          <t xml:space="preserve">MURITALA ALIYAT </t>
        </is>
      </c>
      <c r="C21" s="20" t="inlineStr">
        <is>
          <t>1795</t>
        </is>
      </c>
      <c r="D21" s="128" t="inlineStr">
        <is>
          <t>Female</t>
        </is>
      </c>
      <c r="E21" s="21" t="inlineStr">
        <is>
          <t>JSS 2C</t>
        </is>
      </c>
      <c r="F21" s="21" t="n">
        <v>31</v>
      </c>
      <c r="G21" s="21" t="n">
        <v>122</v>
      </c>
      <c r="H21" s="22" t="n">
        <v>116</v>
      </c>
      <c r="I21" s="26">
        <f>G21-H21</f>
        <v/>
      </c>
      <c r="J21" s="21" t="n">
        <v>28</v>
      </c>
      <c r="K21" s="21" t="n">
        <v>32</v>
      </c>
      <c r="L21" s="27">
        <f>SUM(J21:K21)</f>
        <v/>
      </c>
      <c r="M21" s="28" t="n">
        <v>26</v>
      </c>
      <c r="N21" s="28" t="n">
        <v>53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16</v>
      </c>
      <c r="Q21" s="21" t="n">
        <v>32</v>
      </c>
      <c r="R21" s="27">
        <f>SUM(P21:Q21)</f>
        <v/>
      </c>
      <c r="S21" s="28" t="n">
        <v>73</v>
      </c>
      <c r="T21" s="28" t="n">
        <v>24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26</v>
      </c>
      <c r="W21" s="21" t="n">
        <v>17</v>
      </c>
      <c r="X21" s="27">
        <f>SUM(V21:W21)</f>
        <v/>
      </c>
      <c r="Y21" s="28" t="n">
        <v>41</v>
      </c>
      <c r="Z21" s="28" t="n">
        <v>42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20</v>
      </c>
      <c r="AC21" s="21" t="n">
        <v>42</v>
      </c>
      <c r="AD21" s="27">
        <f>SUM(AB21:AC21)</f>
        <v/>
      </c>
      <c r="AE21" s="28" t="n">
        <v>95</v>
      </c>
      <c r="AF21" s="28" t="n">
        <v>78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15</v>
      </c>
      <c r="AI21" s="21" t="n">
        <v>28</v>
      </c>
      <c r="AJ21" s="27">
        <f>SUM(AH21:AI21)</f>
        <v/>
      </c>
      <c r="AK21" s="28" t="n">
        <v>45</v>
      </c>
      <c r="AL21" s="28" t="n">
        <v>39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21</v>
      </c>
      <c r="AU21" s="21" t="n">
        <v>30</v>
      </c>
      <c r="AV21" s="27">
        <f>SUM(AT21:AU21)</f>
        <v/>
      </c>
      <c r="AW21" s="28" t="n">
        <v>41</v>
      </c>
      <c r="AX21" s="30" t="n">
        <v>53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22</v>
      </c>
      <c r="BA21" s="21" t="n">
        <v>40</v>
      </c>
      <c r="BB21" s="27">
        <f>SUM(AZ21:BA21)</f>
        <v/>
      </c>
      <c r="BC21" s="28" t="n">
        <v>58</v>
      </c>
      <c r="BD21" s="28" t="n">
        <v>60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16</v>
      </c>
      <c r="BG21" s="21" t="n">
        <v>36</v>
      </c>
      <c r="BH21" s="27">
        <f>SUM(BF21:BG21)</f>
        <v/>
      </c>
      <c r="BI21" s="28" t="n">
        <v>69</v>
      </c>
      <c r="BJ21" s="28" t="n">
        <v>23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38</v>
      </c>
      <c r="BN21" s="27">
        <f>SUM(BL21:BM21)</f>
        <v/>
      </c>
      <c r="BO21" s="28" t="n">
        <v>37</v>
      </c>
      <c r="BP21" s="31" t="n">
        <v>51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26</v>
      </c>
      <c r="BY21" s="21" t="n">
        <v>69</v>
      </c>
      <c r="BZ21" s="27">
        <f>SUM(BX21:BY21)</f>
        <v/>
      </c>
      <c r="CA21" s="28" t="n">
        <v>60</v>
      </c>
      <c r="CB21" s="31" t="n">
        <v>75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52</v>
      </c>
      <c r="CF21" s="27">
        <f>SUM(CD21:CE21)</f>
        <v/>
      </c>
      <c r="CG21" s="28" t="n">
        <v>32</v>
      </c>
      <c r="CH21" s="31" t="n">
        <v>22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/>
      <c r="CQ21" s="21" t="n"/>
      <c r="CR21" s="27">
        <f>SUM(CP21:CQ21)</f>
        <v/>
      </c>
      <c r="CS21" s="28" t="n"/>
      <c r="CT21" s="31" t="n"/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GOOD(4)</t>
        </is>
      </c>
      <c r="DM21" s="40" t="inlineStr">
        <is>
          <t>EXCELLENT(5)</t>
        </is>
      </c>
      <c r="DN21" s="40" t="inlineStr">
        <is>
          <t>GOOD(4)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GOOD(4)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GOOD(4)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GOOD(4)</t>
        </is>
      </c>
      <c r="DX21" s="40" t="inlineStr">
        <is>
          <t>GOOD(4)</t>
        </is>
      </c>
      <c r="DY21" s="40" t="inlineStr">
        <is>
          <t>GOOD(4)</t>
        </is>
      </c>
      <c r="DZ21" s="53" t="inlineStr">
        <is>
          <t>GOOD(4)</t>
        </is>
      </c>
      <c r="EA21" s="54" t="inlineStr">
        <is>
          <t>Consistently well-behaved and sets a good example for peers.</t>
        </is>
      </c>
      <c r="EB21" s="55" t="inlineStr">
        <is>
          <t>Promoted to JSS3</t>
        </is>
      </c>
      <c r="EC21" s="56" t="inlineStr">
        <is>
          <t>MR. JIMOH WASIU OLATUNDE</t>
        </is>
      </c>
      <c r="ED21" s="57" t="inlineStr">
        <is>
          <t>Next Term Begins on Monday, 15th September, 2042</t>
        </is>
      </c>
    </row>
    <row r="22" ht="30.6" customHeight="1" s="6">
      <c r="A22" s="18" t="n">
        <v>19</v>
      </c>
      <c r="B22" s="19" t="inlineStr">
        <is>
          <t xml:space="preserve">NURUDEEN JELILAT </t>
        </is>
      </c>
      <c r="C22" s="20" t="inlineStr">
        <is>
          <t>1815</t>
        </is>
      </c>
      <c r="D22" s="128" t="inlineStr">
        <is>
          <t>Female</t>
        </is>
      </c>
      <c r="E22" s="21" t="inlineStr">
        <is>
          <t>JSS 2C</t>
        </is>
      </c>
      <c r="F22" s="21" t="n">
        <v>31</v>
      </c>
      <c r="G22" s="21" t="n">
        <v>122</v>
      </c>
      <c r="H22" s="22" t="n">
        <v>120</v>
      </c>
      <c r="I22" s="26">
        <f>G22-H22</f>
        <v/>
      </c>
      <c r="J22" s="21" t="n">
        <v>28</v>
      </c>
      <c r="K22" s="21" t="n">
        <v>39</v>
      </c>
      <c r="L22" s="27">
        <f>SUM(J22:K22)</f>
        <v/>
      </c>
      <c r="M22" s="28" t="n">
        <v>31</v>
      </c>
      <c r="N22" s="28" t="n">
        <v>64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26</v>
      </c>
      <c r="Q22" s="21" t="n">
        <v>52</v>
      </c>
      <c r="R22" s="27">
        <f>SUM(P22:Q22)</f>
        <v/>
      </c>
      <c r="S22" s="28" t="n">
        <v>74</v>
      </c>
      <c r="T22" s="28" t="n">
        <v>81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25</v>
      </c>
      <c r="W22" s="21" t="n">
        <v>24</v>
      </c>
      <c r="X22" s="27">
        <f>SUM(V22:W22)</f>
        <v/>
      </c>
      <c r="Y22" s="28" t="n">
        <v>55</v>
      </c>
      <c r="Z22" s="28" t="n">
        <v>52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24</v>
      </c>
      <c r="AC22" s="21" t="n">
        <v>50</v>
      </c>
      <c r="AD22" s="27">
        <f>SUM(AB22:AC22)</f>
        <v/>
      </c>
      <c r="AE22" s="28" t="n">
        <v>100</v>
      </c>
      <c r="AF22" s="28" t="n">
        <v>87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16</v>
      </c>
      <c r="AI22" s="21" t="n">
        <v>32</v>
      </c>
      <c r="AJ22" s="27">
        <f>SUM(AH22:AI22)</f>
        <v/>
      </c>
      <c r="AK22" s="28" t="n">
        <v>65</v>
      </c>
      <c r="AL22" s="28" t="n">
        <v>44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30</v>
      </c>
      <c r="AU22" s="21" t="n">
        <v>50</v>
      </c>
      <c r="AV22" s="27">
        <f>SUM(AT22:AU22)</f>
        <v/>
      </c>
      <c r="AW22" s="28" t="n">
        <v>61</v>
      </c>
      <c r="AX22" s="30" t="n">
        <v>55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25</v>
      </c>
      <c r="BA22" s="21" t="n">
        <v>30</v>
      </c>
      <c r="BB22" s="27">
        <f>SUM(AZ22:BA22)</f>
        <v/>
      </c>
      <c r="BC22" s="28" t="n">
        <v>58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15</v>
      </c>
      <c r="BG22" s="21" t="n">
        <v>38</v>
      </c>
      <c r="BH22" s="27">
        <f>SUM(BF22:BG22)</f>
        <v/>
      </c>
      <c r="BI22" s="28" t="n">
        <v>69</v>
      </c>
      <c r="BJ22" s="28" t="n">
        <v>55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43</v>
      </c>
      <c r="BN22" s="27">
        <f>SUM(BL22:BM22)</f>
        <v/>
      </c>
      <c r="BO22" s="28" t="n">
        <v>63</v>
      </c>
      <c r="BP22" s="31" t="n">
        <v>39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23</v>
      </c>
      <c r="BY22" s="21" t="n">
        <v>70</v>
      </c>
      <c r="BZ22" s="27">
        <f>SUM(BX22:BY22)</f>
        <v/>
      </c>
      <c r="CA22" s="28" t="n">
        <v>87</v>
      </c>
      <c r="CB22" s="31" t="n">
        <v>89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11</v>
      </c>
      <c r="CE22" s="21" t="n">
        <v>50</v>
      </c>
      <c r="CF22" s="27">
        <f>SUM(CD22:CE22)</f>
        <v/>
      </c>
      <c r="CG22" s="28" t="n">
        <v>41</v>
      </c>
      <c r="CH22" s="31" t="n">
        <v>38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/>
      <c r="CQ22" s="21" t="n"/>
      <c r="CR22" s="27">
        <f>SUM(CP22:CQ22)</f>
        <v/>
      </c>
      <c r="CS22" s="28" t="n"/>
      <c r="CT22" s="31" t="n"/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/>
      <c r="CW22" s="21" t="n"/>
      <c r="CX22" s="27">
        <f>SUM(CV22:CW22)</f>
        <v/>
      </c>
      <c r="CY22" s="28" t="n"/>
      <c r="CZ22" s="31" t="n"/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GOOD(4)</t>
        </is>
      </c>
      <c r="DL22" s="40" t="inlineStr">
        <is>
          <t>GOOD(4)</t>
        </is>
      </c>
      <c r="DM22" s="40" t="inlineStr">
        <is>
          <t>EXCELLENT(5)</t>
        </is>
      </c>
      <c r="DN22" s="40" t="inlineStr">
        <is>
          <t>GOOD(4)</t>
        </is>
      </c>
      <c r="DO22" s="40" t="inlineStr">
        <is>
          <t>GOOD(4)</t>
        </is>
      </c>
      <c r="DP22" s="40" t="inlineStr">
        <is>
          <t>GOOD(4)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GOOD(4)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GOOD(4)</t>
        </is>
      </c>
      <c r="EA22" s="54" t="inlineStr">
        <is>
          <t>Shows leadership qualities and a willingness to help others.</t>
        </is>
      </c>
      <c r="EB22" s="55" t="inlineStr">
        <is>
          <t>Promoted to JSS3</t>
        </is>
      </c>
      <c r="EC22" s="56" t="inlineStr">
        <is>
          <t>MR. JIMOH WASIU OLATUNDE</t>
        </is>
      </c>
      <c r="ED22" s="57" t="inlineStr">
        <is>
          <t>Next Term Begins on Monday, 15th September, 2043</t>
        </is>
      </c>
    </row>
    <row r="23" ht="30.6" customHeight="1" s="6">
      <c r="A23" s="18" t="n">
        <v>20</v>
      </c>
      <c r="B23" s="19" t="inlineStr">
        <is>
          <t xml:space="preserve">ODEDELE FAITH </t>
        </is>
      </c>
      <c r="C23" s="20" t="inlineStr">
        <is>
          <t>1897</t>
        </is>
      </c>
      <c r="D23" s="128" t="inlineStr">
        <is>
          <t>Male</t>
        </is>
      </c>
      <c r="E23" s="21" t="inlineStr">
        <is>
          <t>JSS 2C</t>
        </is>
      </c>
      <c r="F23" s="21" t="n">
        <v>31</v>
      </c>
      <c r="G23" s="21" t="n">
        <v>122</v>
      </c>
      <c r="H23" s="22" t="n">
        <v>102</v>
      </c>
      <c r="I23" s="26">
        <f>G23-H23</f>
        <v/>
      </c>
      <c r="J23" s="21" t="n">
        <v>16</v>
      </c>
      <c r="K23" s="21" t="n">
        <v>33</v>
      </c>
      <c r="L23" s="27">
        <f>SUM(J23:K23)</f>
        <v/>
      </c>
      <c r="M23" s="28" t="n">
        <v>77</v>
      </c>
      <c r="N23" s="28" t="n">
        <v>21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16</v>
      </c>
      <c r="Q23" s="21" t="n">
        <v>33</v>
      </c>
      <c r="R23" s="27">
        <f>SUM(P23:Q23)</f>
        <v/>
      </c>
      <c r="S23" s="28" t="n">
        <v>77</v>
      </c>
      <c r="T23" s="28" t="n">
        <v>21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25</v>
      </c>
      <c r="W23" s="21" t="n">
        <v>21</v>
      </c>
      <c r="X23" s="27">
        <f>SUM(V23:W23)</f>
        <v/>
      </c>
      <c r="Y23" s="28" t="n">
        <v>66</v>
      </c>
      <c r="Z23" s="28" t="n">
        <v>56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18</v>
      </c>
      <c r="AC23" s="21" t="n">
        <v>34</v>
      </c>
      <c r="AD23" s="27">
        <f>SUM(AB23:AC23)</f>
        <v/>
      </c>
      <c r="AE23" s="28" t="n">
        <v>51</v>
      </c>
      <c r="AF23" s="28" t="n">
        <v>52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18</v>
      </c>
      <c r="AI23" s="21" t="n">
        <v>31</v>
      </c>
      <c r="AJ23" s="27">
        <f>SUM(AH23:AI23)</f>
        <v/>
      </c>
      <c r="AK23" s="28" t="n">
        <v>59</v>
      </c>
      <c r="AL23" s="28" t="n">
        <v>17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20</v>
      </c>
      <c r="AU23" s="21" t="n">
        <v>31</v>
      </c>
      <c r="AV23" s="27">
        <f>SUM(AT23:AU23)</f>
        <v/>
      </c>
      <c r="AW23" s="28" t="n">
        <v>31</v>
      </c>
      <c r="AX23" s="30" t="n">
        <v>29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20</v>
      </c>
      <c r="BA23" s="21" t="n">
        <v>35</v>
      </c>
      <c r="BB23" s="27">
        <f>SUM(AZ23:BA23)</f>
        <v/>
      </c>
      <c r="BC23" s="28" t="n">
        <v>73</v>
      </c>
      <c r="BD23" s="28" t="n">
        <v>64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14</v>
      </c>
      <c r="BG23" s="21" t="n">
        <v>40</v>
      </c>
      <c r="BH23" s="27">
        <f>SUM(BF23:BG23)</f>
        <v/>
      </c>
      <c r="BI23" s="28" t="n">
        <v>49</v>
      </c>
      <c r="BJ23" s="28" t="n">
        <v>27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30</v>
      </c>
      <c r="BN23" s="27">
        <f>SUM(BL23:BM23)</f>
        <v/>
      </c>
      <c r="BO23" s="28" t="n">
        <v>70</v>
      </c>
      <c r="BP23" s="31" t="n">
        <v>50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24</v>
      </c>
      <c r="BY23" s="21" t="n">
        <v>69</v>
      </c>
      <c r="BZ23" s="27">
        <f>SUM(BX23:BY23)</f>
        <v/>
      </c>
      <c r="CA23" s="28" t="n">
        <v>52</v>
      </c>
      <c r="CB23" s="31" t="n">
        <v>55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15</v>
      </c>
      <c r="CE23" s="21" t="n">
        <v>35</v>
      </c>
      <c r="CF23" s="27">
        <f>SUM(CD23:CE23)</f>
        <v/>
      </c>
      <c r="CG23" s="28" t="n">
        <v>36</v>
      </c>
      <c r="CH23" s="31" t="n">
        <v>38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30</v>
      </c>
      <c r="CX23" s="27">
        <f>SUM(CV23:CW23)</f>
        <v/>
      </c>
      <c r="CY23" s="28" t="n">
        <v>38</v>
      </c>
      <c r="CZ23" s="31" t="n">
        <v>35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GOOD(4)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EXCELLENT(5)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GOOD(4)</t>
        </is>
      </c>
      <c r="DQ23" s="40" t="inlineStr">
        <is>
          <t>GOOD(4)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GOOD(4)</t>
        </is>
      </c>
      <c r="DX23" s="40" t="inlineStr">
        <is>
          <t>GOOD(4)</t>
        </is>
      </c>
      <c r="DY23" s="40" t="inlineStr">
        <is>
          <t>GOOD(4)</t>
        </is>
      </c>
      <c r="DZ23" s="53" t="inlineStr">
        <is>
          <t>GOOD(4)</t>
        </is>
      </c>
      <c r="EA23" s="54" t="inlineStr">
        <is>
          <t>Has made noticeable progress in social and emotional growth.</t>
        </is>
      </c>
      <c r="EB23" s="55" t="inlineStr">
        <is>
          <t>Promoted to JSS3</t>
        </is>
      </c>
      <c r="EC23" s="56" t="inlineStr">
        <is>
          <t>MR. JIMOH WASIU OLATUNDE</t>
        </is>
      </c>
      <c r="ED23" s="57" t="inlineStr">
        <is>
          <t>Next Term Begins on Monday, 15th September, 2044</t>
        </is>
      </c>
    </row>
    <row r="24" ht="30.6" customHeight="1" s="6">
      <c r="A24" s="18" t="n">
        <v>21</v>
      </c>
      <c r="B24" s="19" t="inlineStr">
        <is>
          <t>ODEJIDE ISRAEL A.</t>
        </is>
      </c>
      <c r="C24" s="20" t="inlineStr">
        <is>
          <t>1829</t>
        </is>
      </c>
      <c r="D24" s="128" t="inlineStr">
        <is>
          <t>Male</t>
        </is>
      </c>
      <c r="E24" s="21" t="inlineStr">
        <is>
          <t>JSS 2C</t>
        </is>
      </c>
      <c r="F24" s="21" t="n">
        <v>31</v>
      </c>
      <c r="G24" s="21" t="n">
        <v>122</v>
      </c>
      <c r="H24" s="22" t="n">
        <v>120</v>
      </c>
      <c r="I24" s="26">
        <f>G24-H24</f>
        <v/>
      </c>
      <c r="J24" s="21" t="n">
        <v>20</v>
      </c>
      <c r="K24" s="21" t="n">
        <v>36</v>
      </c>
      <c r="L24" s="27">
        <f>SUM(J24:K24)</f>
        <v/>
      </c>
      <c r="M24" s="28" t="n">
        <v>23</v>
      </c>
      <c r="N24" s="28" t="n">
        <v>30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16</v>
      </c>
      <c r="Q24" s="21" t="n">
        <v>31</v>
      </c>
      <c r="R24" s="27">
        <f>SUM(P24:Q24)</f>
        <v/>
      </c>
      <c r="S24" s="28" t="n">
        <v>57</v>
      </c>
      <c r="T24" s="28" t="n">
        <v>36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21</v>
      </c>
      <c r="W24" s="21" t="n">
        <v>13</v>
      </c>
      <c r="X24" s="27">
        <f>SUM(V24:W24)</f>
        <v/>
      </c>
      <c r="Y24" s="28" t="n">
        <v>48</v>
      </c>
      <c r="Z24" s="28" t="n">
        <v>41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19</v>
      </c>
      <c r="AC24" s="21" t="n">
        <v>29</v>
      </c>
      <c r="AD24" s="27">
        <f>SUM(AB24:AC24)</f>
        <v/>
      </c>
      <c r="AE24" s="28" t="n">
        <v>52</v>
      </c>
      <c r="AF24" s="28" t="n">
        <v>50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16</v>
      </c>
      <c r="AI24" s="21" t="n">
        <v>28</v>
      </c>
      <c r="AJ24" s="27">
        <f>SUM(AH24:AI24)</f>
        <v/>
      </c>
      <c r="AK24" s="28" t="n">
        <v>42</v>
      </c>
      <c r="AL24" s="28" t="n">
        <v>37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20</v>
      </c>
      <c r="AU24" s="21" t="n">
        <v>32</v>
      </c>
      <c r="AV24" s="27">
        <f>SUM(AT24:AU24)</f>
        <v/>
      </c>
      <c r="AW24" s="28" t="n">
        <v>34</v>
      </c>
      <c r="AX24" s="30" t="n">
        <v>45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19</v>
      </c>
      <c r="BA24" s="21" t="n">
        <v>32</v>
      </c>
      <c r="BB24" s="27">
        <f>SUM(AZ24:BA24)</f>
        <v/>
      </c>
      <c r="BC24" s="28" t="n">
        <v>48</v>
      </c>
      <c r="BD24" s="28" t="n">
        <v>50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17</v>
      </c>
      <c r="BG24" s="21" t="n">
        <v>36</v>
      </c>
      <c r="BH24" s="27">
        <f>SUM(BF24:BG24)</f>
        <v/>
      </c>
      <c r="BI24" s="28" t="n">
        <v>50</v>
      </c>
      <c r="BJ24" s="28" t="n">
        <v>25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20</v>
      </c>
      <c r="BM24" s="21" t="n">
        <v>30</v>
      </c>
      <c r="BN24" s="27">
        <f>SUM(BL24:BM24)</f>
        <v/>
      </c>
      <c r="BO24" s="28" t="n">
        <v>40</v>
      </c>
      <c r="BP24" s="31" t="n">
        <v>40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25</v>
      </c>
      <c r="BY24" s="21" t="n">
        <v>68</v>
      </c>
      <c r="BZ24" s="27">
        <f>SUM(BX24:BY24)</f>
        <v/>
      </c>
      <c r="CA24" s="28" t="n">
        <v>47</v>
      </c>
      <c r="CB24" s="31" t="n">
        <v>31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14</v>
      </c>
      <c r="CE24" s="21" t="n">
        <v>48</v>
      </c>
      <c r="CF24" s="27">
        <f>SUM(CD24:CE24)</f>
        <v/>
      </c>
      <c r="CG24" s="28" t="n">
        <v>24</v>
      </c>
      <c r="CH24" s="31" t="n">
        <v>34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21</v>
      </c>
      <c r="CX24" s="27">
        <f>SUM(CV24:CW24)</f>
        <v/>
      </c>
      <c r="CY24" s="28" t="n">
        <v>12</v>
      </c>
      <c r="CZ24" s="31" t="n">
        <v>15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EXCELLENT(5)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EXCELLENT(5)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GOOD(4)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GOOD(4)</t>
        </is>
      </c>
      <c r="DW24" s="40" t="inlineStr">
        <is>
          <t>GOOD(4)</t>
        </is>
      </c>
      <c r="DX24" s="40" t="inlineStr">
        <is>
          <t>GOOD(4)</t>
        </is>
      </c>
      <c r="DY24" s="40" t="inlineStr">
        <is>
          <t>GOOD(4)</t>
        </is>
      </c>
      <c r="DZ24" s="53" t="inlineStr">
        <is>
          <t>GOOD(4)</t>
        </is>
      </c>
      <c r="EA24" s="54" t="inlineStr">
        <is>
          <t>Needs to focus more during lessons to achieve full potential.</t>
        </is>
      </c>
      <c r="EB24" s="55" t="inlineStr">
        <is>
          <t>Promoted on trial to JSS3</t>
        </is>
      </c>
      <c r="EC24" s="56" t="inlineStr">
        <is>
          <t>MR. JIMOH WASIU OLATUNDE</t>
        </is>
      </c>
      <c r="ED24" s="57" t="inlineStr">
        <is>
          <t>Next Term Begins on Monday, 15th September, 2045</t>
        </is>
      </c>
    </row>
    <row r="25" ht="30.6" customHeight="1" s="6">
      <c r="A25" s="18" t="n">
        <v>22</v>
      </c>
      <c r="B25" s="19" t="inlineStr">
        <is>
          <t xml:space="preserve">OGUNBAYO TAIWO </t>
        </is>
      </c>
      <c r="C25" s="20" t="inlineStr">
        <is>
          <t>2050</t>
        </is>
      </c>
      <c r="D25" s="128" t="inlineStr">
        <is>
          <t>Male</t>
        </is>
      </c>
      <c r="E25" s="21" t="inlineStr">
        <is>
          <t>JSS 2C</t>
        </is>
      </c>
      <c r="F25" s="21" t="n">
        <v>31</v>
      </c>
      <c r="G25" s="21" t="n">
        <v>122</v>
      </c>
      <c r="H25" s="22" t="n">
        <v>0</v>
      </c>
      <c r="I25" s="26">
        <f>G25-H25</f>
        <v/>
      </c>
      <c r="J25" s="21" t="n">
        <v>20</v>
      </c>
      <c r="K25" s="21" t="n">
        <v>14</v>
      </c>
      <c r="L25" s="27">
        <f>SUM(J25:K25)</f>
        <v/>
      </c>
      <c r="M25" s="28" t="n">
        <v>20</v>
      </c>
      <c r="N25" s="28" t="n">
        <v>12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12</v>
      </c>
      <c r="Q25" s="21" t="n">
        <v>23</v>
      </c>
      <c r="R25" s="27">
        <f>SUM(P25:Q25)</f>
        <v/>
      </c>
      <c r="S25" s="28" t="n">
        <v>34</v>
      </c>
      <c r="T25" s="28" t="n">
        <v>36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10</v>
      </c>
      <c r="W25" s="21" t="n">
        <v>11</v>
      </c>
      <c r="X25" s="27">
        <f>SUM(V25:W25)</f>
        <v/>
      </c>
      <c r="Y25" s="28" t="n">
        <v>12</v>
      </c>
      <c r="Z25" s="28" t="n">
        <v>16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15</v>
      </c>
      <c r="AC25" s="21" t="n">
        <v>26</v>
      </c>
      <c r="AD25" s="27">
        <f>SUM(AB25:AC25)</f>
        <v/>
      </c>
      <c r="AE25" s="28" t="n">
        <v>41</v>
      </c>
      <c r="AF25" s="28" t="n">
        <v>41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10</v>
      </c>
      <c r="AI25" s="21" t="n">
        <v>15</v>
      </c>
      <c r="AJ25" s="27">
        <f>SUM(AH25:AI25)</f>
        <v/>
      </c>
      <c r="AK25" s="28" t="n">
        <v>20</v>
      </c>
      <c r="AL25" s="28" t="n">
        <v>16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17</v>
      </c>
      <c r="AU25" s="21" t="n">
        <v>22</v>
      </c>
      <c r="AV25" s="27">
        <f>SUM(AT25:AU25)</f>
        <v/>
      </c>
      <c r="AW25" s="28" t="n">
        <v>39</v>
      </c>
      <c r="AX25" s="30" t="n">
        <v>39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11</v>
      </c>
      <c r="BA25" s="21" t="n">
        <v>14</v>
      </c>
      <c r="BB25" s="27">
        <f>SUM(AZ25:BA25)</f>
        <v/>
      </c>
      <c r="BC25" s="28" t="n">
        <v>31</v>
      </c>
      <c r="BD25" s="28" t="n">
        <v>12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10</v>
      </c>
      <c r="BG25" s="21" t="n">
        <v>13</v>
      </c>
      <c r="BH25" s="27">
        <f>SUM(BF25:BG25)</f>
        <v/>
      </c>
      <c r="BI25" s="28" t="n">
        <v>23</v>
      </c>
      <c r="BJ25" s="28" t="n">
        <v>23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10</v>
      </c>
      <c r="BM25" s="21" t="n">
        <v>17</v>
      </c>
      <c r="BN25" s="27">
        <f>SUM(BL25:BM25)</f>
        <v/>
      </c>
      <c r="BO25" s="28" t="n">
        <v>18</v>
      </c>
      <c r="BP25" s="31" t="n">
        <v>13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15</v>
      </c>
      <c r="BY25" s="21" t="n">
        <v>37</v>
      </c>
      <c r="BZ25" s="27">
        <f>SUM(BX25:BY25)</f>
        <v/>
      </c>
      <c r="CA25" s="28" t="n">
        <v>40</v>
      </c>
      <c r="CB25" s="31" t="n">
        <v>25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14</v>
      </c>
      <c r="CE25" s="21" t="n">
        <v>12</v>
      </c>
      <c r="CF25" s="27">
        <f>SUM(CD25:CE25)</f>
        <v/>
      </c>
      <c r="CG25" s="28" t="n">
        <v>26</v>
      </c>
      <c r="CH25" s="31" t="n">
        <v>26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10</v>
      </c>
      <c r="CW25" s="21" t="n">
        <v>15</v>
      </c>
      <c r="CX25" s="27">
        <f>SUM(CV25:CW25)</f>
        <v/>
      </c>
      <c r="CY25" s="28" t="n">
        <v>20</v>
      </c>
      <c r="CZ25" s="31" t="n">
        <v>15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FAIR(1)</t>
        </is>
      </c>
      <c r="DK25" s="40" t="inlineStr">
        <is>
          <t>FAIR(1)</t>
        </is>
      </c>
      <c r="DL25" s="40" t="inlineStr">
        <is>
          <t>FAIR(1)</t>
        </is>
      </c>
      <c r="DM25" s="40" t="inlineStr">
        <is>
          <t>FAIR(1)</t>
        </is>
      </c>
      <c r="DN25" s="40" t="inlineStr">
        <is>
          <t>FAIR(1)</t>
        </is>
      </c>
      <c r="DO25" s="40" t="inlineStr">
        <is>
          <t>AVERAGE(3)</t>
        </is>
      </c>
      <c r="DP25" s="40" t="inlineStr">
        <is>
          <t>GOOD(4)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GOOD(4)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GOOD(4)</t>
        </is>
      </c>
      <c r="DY25" s="40" t="inlineStr">
        <is>
          <t>GOOD(4)</t>
        </is>
      </c>
      <c r="DZ25" s="53" t="inlineStr">
        <is>
          <t>GOOD(4)</t>
        </is>
      </c>
      <c r="EA25" s="54" t="inlineStr">
        <is>
          <t>Add the Tutor's Comment . . .</t>
        </is>
      </c>
      <c r="EB25" s="55" t="inlineStr">
        <is>
          <t>To repeat JSS2</t>
        </is>
      </c>
      <c r="EC25" s="56" t="inlineStr">
        <is>
          <t>MR. JIMOH WASIU OLATUNDE</t>
        </is>
      </c>
      <c r="ED25" s="57" t="inlineStr">
        <is>
          <t>Next Term Begins on Monday, 15th September, 2046</t>
        </is>
      </c>
    </row>
    <row r="26" ht="30.6" customHeight="1" s="6">
      <c r="A26" s="18" t="n">
        <v>23</v>
      </c>
      <c r="B26" s="19" t="inlineStr">
        <is>
          <t xml:space="preserve">OJEBISI OJEYIOLA </t>
        </is>
      </c>
      <c r="C26" s="20" t="inlineStr">
        <is>
          <t>1828</t>
        </is>
      </c>
      <c r="D26" s="128" t="inlineStr">
        <is>
          <t>Female</t>
        </is>
      </c>
      <c r="E26" s="21" t="inlineStr">
        <is>
          <t>JSS 2C</t>
        </is>
      </c>
      <c r="F26" s="21" t="n">
        <v>31</v>
      </c>
      <c r="G26" s="21" t="n">
        <v>122</v>
      </c>
      <c r="H26" s="22" t="n">
        <v>118</v>
      </c>
      <c r="I26" s="26">
        <f>G26-H26</f>
        <v/>
      </c>
      <c r="J26" s="21" t="n">
        <v>28</v>
      </c>
      <c r="K26" s="21" t="n">
        <v>37</v>
      </c>
      <c r="L26" s="27">
        <f>SUM(J26:K26)</f>
        <v/>
      </c>
      <c r="M26" s="28" t="n">
        <v>29</v>
      </c>
      <c r="N26" s="28" t="n">
        <v>68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26</v>
      </c>
      <c r="Q26" s="21" t="n">
        <v>52</v>
      </c>
      <c r="R26" s="27">
        <f>SUM(P26:Q26)</f>
        <v/>
      </c>
      <c r="S26" s="28" t="n">
        <v>74</v>
      </c>
      <c r="T26" s="28" t="n">
        <v>81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21</v>
      </c>
      <c r="W26" s="21" t="n">
        <v>28</v>
      </c>
      <c r="X26" s="27">
        <f>SUM(V26:W26)</f>
        <v/>
      </c>
      <c r="Y26" s="28" t="n">
        <v>58</v>
      </c>
      <c r="Z26" s="28" t="n">
        <v>54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24</v>
      </c>
      <c r="AC26" s="21" t="n">
        <v>60</v>
      </c>
      <c r="AD26" s="27">
        <f>SUM(AB26:AC26)</f>
        <v/>
      </c>
      <c r="AE26" s="28" t="n">
        <v>100</v>
      </c>
      <c r="AF26" s="28" t="n">
        <v>92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17</v>
      </c>
      <c r="AI26" s="21" t="n">
        <v>38</v>
      </c>
      <c r="AJ26" s="27">
        <f>SUM(AH26:AI26)</f>
        <v/>
      </c>
      <c r="AK26" s="28" t="n">
        <v>57</v>
      </c>
      <c r="AL26" s="28" t="n">
        <v>58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30</v>
      </c>
      <c r="AU26" s="21" t="n">
        <v>50</v>
      </c>
      <c r="AV26" s="27">
        <f>SUM(AT26:AU26)</f>
        <v/>
      </c>
      <c r="AW26" s="28" t="n">
        <v>60</v>
      </c>
      <c r="AX26" s="30" t="n">
        <v>59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24</v>
      </c>
      <c r="BA26" s="21" t="n">
        <v>32</v>
      </c>
      <c r="BB26" s="27">
        <f>SUM(AZ26:BA26)</f>
        <v/>
      </c>
      <c r="BC26" s="28" t="n">
        <v>62</v>
      </c>
      <c r="BD26" s="28" t="n">
        <v>59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15</v>
      </c>
      <c r="BG26" s="21" t="n">
        <v>34</v>
      </c>
      <c r="BH26" s="27">
        <f>SUM(BF26:BG26)</f>
        <v/>
      </c>
      <c r="BI26" s="28" t="n">
        <v>68</v>
      </c>
      <c r="BJ26" s="28" t="n">
        <v>49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35</v>
      </c>
      <c r="BN26" s="27">
        <f>SUM(BL26:BM26)</f>
        <v/>
      </c>
      <c r="BO26" s="28" t="n">
        <v>71</v>
      </c>
      <c r="BP26" s="31" t="n">
        <v>45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24</v>
      </c>
      <c r="BY26" s="21" t="n">
        <v>59</v>
      </c>
      <c r="BZ26" s="27">
        <f>SUM(BX26:BY26)</f>
        <v/>
      </c>
      <c r="CA26" s="28" t="n">
        <v>89</v>
      </c>
      <c r="CB26" s="31" t="n">
        <v>10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14</v>
      </c>
      <c r="CE26" s="21" t="n">
        <v>51</v>
      </c>
      <c r="CF26" s="27">
        <f>SUM(CD26:CE26)</f>
        <v/>
      </c>
      <c r="CG26" s="28" t="n">
        <v>43</v>
      </c>
      <c r="CH26" s="31" t="n">
        <v>42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30</v>
      </c>
      <c r="CW26" s="21" t="n">
        <v>36</v>
      </c>
      <c r="CX26" s="27">
        <f>SUM(CV26:CW26)</f>
        <v/>
      </c>
      <c r="CY26" s="28" t="n">
        <v>32</v>
      </c>
      <c r="CZ26" s="31" t="n">
        <v>25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GOOD(4)</t>
        </is>
      </c>
      <c r="DL26" s="40" t="inlineStr">
        <is>
          <t>GOOD(4)</t>
        </is>
      </c>
      <c r="DM26" s="40" t="inlineStr">
        <is>
          <t>EXCELLENT(5)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GOOD(4)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GOOD(4)</t>
        </is>
      </c>
      <c r="DX26" s="40" t="inlineStr">
        <is>
          <t>GOOD(4)</t>
        </is>
      </c>
      <c r="DY26" s="40" t="inlineStr">
        <is>
          <t>GOOD(4)</t>
        </is>
      </c>
      <c r="DZ26" s="53" t="inlineStr">
        <is>
          <t>GOOD(4)</t>
        </is>
      </c>
      <c r="EA26" s="54" t="inlineStr">
        <is>
          <t>Demonstrates a positive attitude and respect for rules.</t>
        </is>
      </c>
      <c r="EB26" s="55" t="inlineStr">
        <is>
          <t>Promoted on trial to JSS3</t>
        </is>
      </c>
      <c r="EC26" s="56" t="inlineStr">
        <is>
          <t>MR. JIMOH WASIU OLATUNDE</t>
        </is>
      </c>
      <c r="ED26" s="57" t="inlineStr">
        <is>
          <t>Next Term Begins on Monday, 15th September, 2047</t>
        </is>
      </c>
    </row>
    <row r="27" ht="30.6" customHeight="1" s="6">
      <c r="A27" s="18" t="n">
        <v>24</v>
      </c>
      <c r="B27" s="19" t="inlineStr">
        <is>
          <t xml:space="preserve">OJO JOHNSON </t>
        </is>
      </c>
      <c r="C27" s="20" t="inlineStr">
        <is>
          <t>1735</t>
        </is>
      </c>
      <c r="D27" s="128" t="inlineStr">
        <is>
          <t>Male</t>
        </is>
      </c>
      <c r="E27" s="21" t="inlineStr">
        <is>
          <t>JSS 2C</t>
        </is>
      </c>
      <c r="F27" s="21" t="n">
        <v>31</v>
      </c>
      <c r="G27" s="21" t="n">
        <v>122</v>
      </c>
      <c r="H27" s="22" t="n">
        <v>110</v>
      </c>
      <c r="I27" s="26">
        <f>G27-H27</f>
        <v/>
      </c>
      <c r="J27" s="21" t="n">
        <v>15</v>
      </c>
      <c r="K27" s="21" t="n">
        <v>17</v>
      </c>
      <c r="L27" s="27">
        <f>SUM(J27:K27)</f>
        <v/>
      </c>
      <c r="M27" s="28" t="n">
        <v>24</v>
      </c>
      <c r="N27" s="28" t="n">
        <v>23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11</v>
      </c>
      <c r="Q27" s="21" t="n">
        <v>22</v>
      </c>
      <c r="R27" s="27">
        <f>SUM(P27:Q27)</f>
        <v/>
      </c>
      <c r="S27" s="28" t="n">
        <v>57</v>
      </c>
      <c r="T27" s="28" t="n">
        <v>10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24</v>
      </c>
      <c r="W27" s="21" t="n">
        <v>20</v>
      </c>
      <c r="X27" s="27">
        <f>SUM(V27:W27)</f>
        <v/>
      </c>
      <c r="Y27" s="28" t="n">
        <v>51</v>
      </c>
      <c r="Z27" s="28" t="n">
        <v>48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18</v>
      </c>
      <c r="AC27" s="21" t="n">
        <v>39</v>
      </c>
      <c r="AD27" s="27">
        <f>SUM(AB27:AC27)</f>
        <v/>
      </c>
      <c r="AE27" s="28" t="n">
        <v>40</v>
      </c>
      <c r="AF27" s="28" t="n">
        <v>48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17</v>
      </c>
      <c r="AI27" s="21" t="n">
        <v>29</v>
      </c>
      <c r="AJ27" s="27">
        <f>SUM(AH27:AI27)</f>
        <v/>
      </c>
      <c r="AK27" s="28" t="n">
        <v>54</v>
      </c>
      <c r="AL27" s="28" t="n">
        <v>24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20</v>
      </c>
      <c r="AU27" s="21" t="n">
        <v>30</v>
      </c>
      <c r="AV27" s="27">
        <f>SUM(AT27:AU27)</f>
        <v/>
      </c>
      <c r="AW27" s="28" t="n">
        <v>31</v>
      </c>
      <c r="AX27" s="30" t="n">
        <v>50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24</v>
      </c>
      <c r="BA27" s="21" t="n">
        <v>28</v>
      </c>
      <c r="BB27" s="27">
        <f>SUM(AZ27:BA27)</f>
        <v/>
      </c>
      <c r="BC27" s="28" t="n">
        <v>56</v>
      </c>
      <c r="BD27" s="28" t="n">
        <v>54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15</v>
      </c>
      <c r="BG27" s="21" t="n">
        <v>38</v>
      </c>
      <c r="BH27" s="27">
        <f>SUM(BF27:BG27)</f>
        <v/>
      </c>
      <c r="BI27" s="28" t="n">
        <v>47</v>
      </c>
      <c r="BJ27" s="28" t="n">
        <v>36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17</v>
      </c>
      <c r="BM27" s="21" t="n">
        <v>35</v>
      </c>
      <c r="BN27" s="27">
        <f>SUM(BL27:BM27)</f>
        <v/>
      </c>
      <c r="BO27" s="28" t="n">
        <v>31</v>
      </c>
      <c r="BP27" s="31" t="n">
        <v>40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23</v>
      </c>
      <c r="BY27" s="21" t="n">
        <v>67</v>
      </c>
      <c r="BZ27" s="27">
        <f>SUM(BX27:BY27)</f>
        <v/>
      </c>
      <c r="CA27" s="28" t="n">
        <v>31</v>
      </c>
      <c r="CB27" s="31" t="n">
        <v>44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12</v>
      </c>
      <c r="CE27" s="21" t="n">
        <v>40</v>
      </c>
      <c r="CF27" s="27">
        <f>SUM(CD27:CE27)</f>
        <v/>
      </c>
      <c r="CG27" s="28" t="n">
        <v>30</v>
      </c>
      <c r="CH27" s="31" t="n">
        <v>33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28</v>
      </c>
      <c r="CX27" s="27">
        <f>SUM(CV27:CW27)</f>
        <v/>
      </c>
      <c r="CY27" s="28" t="n">
        <v>36</v>
      </c>
      <c r="CZ27" s="31" t="n">
        <v>30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EXCELLENT(5)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EXCELLENT(5)</t>
        </is>
      </c>
      <c r="DN27" s="40" t="inlineStr">
        <is>
          <t>GOOD(4)</t>
        </is>
      </c>
      <c r="DO27" s="40" t="inlineStr">
        <is>
          <t>GOOD(4)</t>
        </is>
      </c>
      <c r="DP27" s="40" t="inlineStr">
        <is>
          <t>GOOD(4)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GOOD(4)</t>
        </is>
      </c>
      <c r="DU27" s="40" t="inlineStr">
        <is>
          <t>GOOD(4)</t>
        </is>
      </c>
      <c r="DV27" s="40" t="inlineStr">
        <is>
          <t>GOOD(4)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GOOD(4)</t>
        </is>
      </c>
      <c r="DZ27" s="53" t="inlineStr">
        <is>
          <t>GOOD(4)</t>
        </is>
      </c>
      <c r="EA27" s="54" t="inlineStr">
        <is>
          <t>Needs to focus more during lessons to achieve full potential.</t>
        </is>
      </c>
      <c r="EB27" s="55" t="inlineStr">
        <is>
          <t>Promoted on trial to JSS3</t>
        </is>
      </c>
      <c r="EC27" s="56" t="inlineStr">
        <is>
          <t>MR. JIMOH WASIU OLATUNDE</t>
        </is>
      </c>
      <c r="ED27" s="57" t="inlineStr">
        <is>
          <t>Next Term Begins on Monday, 15th September, 2048</t>
        </is>
      </c>
    </row>
    <row r="28" ht="30.6" customHeight="1" s="6">
      <c r="A28" s="18" t="n">
        <v>25</v>
      </c>
      <c r="B28" s="19" t="inlineStr">
        <is>
          <t>OJO PRECIOUS O.</t>
        </is>
      </c>
      <c r="C28" s="20" t="inlineStr">
        <is>
          <t>1852</t>
        </is>
      </c>
      <c r="D28" s="128" t="inlineStr">
        <is>
          <t>Female</t>
        </is>
      </c>
      <c r="E28" s="21" t="inlineStr">
        <is>
          <t>JSS 2C</t>
        </is>
      </c>
      <c r="F28" s="21" t="n">
        <v>31</v>
      </c>
      <c r="G28" s="21" t="n">
        <v>122</v>
      </c>
      <c r="H28" s="22" t="n">
        <v>110</v>
      </c>
      <c r="I28" s="26">
        <f>G28-H28</f>
        <v/>
      </c>
      <c r="J28" s="21" t="n">
        <v>18</v>
      </c>
      <c r="K28" s="21" t="n">
        <v>18</v>
      </c>
      <c r="L28" s="27">
        <f>SUM(J28:K28)</f>
        <v/>
      </c>
      <c r="M28" s="28" t="n">
        <v>26</v>
      </c>
      <c r="N28" s="28" t="n">
        <v>28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15</v>
      </c>
      <c r="Q28" s="21" t="n">
        <v>30</v>
      </c>
      <c r="R28" s="27">
        <f>SUM(P28:Q28)</f>
        <v/>
      </c>
      <c r="S28" s="28" t="n">
        <v>54</v>
      </c>
      <c r="T28" s="28" t="n">
        <v>37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22</v>
      </c>
      <c r="W28" s="21" t="n">
        <v>10</v>
      </c>
      <c r="X28" s="27">
        <f>SUM(V28:W28)</f>
        <v/>
      </c>
      <c r="Y28" s="28" t="n">
        <v>35</v>
      </c>
      <c r="Z28" s="28" t="n">
        <v>34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22</v>
      </c>
      <c r="AC28" s="21" t="n">
        <v>39</v>
      </c>
      <c r="AD28" s="27">
        <f>SUM(AB28:AC28)</f>
        <v/>
      </c>
      <c r="AE28" s="28" t="n">
        <v>63</v>
      </c>
      <c r="AF28" s="28" t="n">
        <v>62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20</v>
      </c>
      <c r="AI28" s="21" t="n">
        <v>32</v>
      </c>
      <c r="AJ28" s="27">
        <f>SUM(AH28:AI28)</f>
        <v/>
      </c>
      <c r="AK28" s="28" t="n">
        <v>49</v>
      </c>
      <c r="AL28" s="28" t="n">
        <v>28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28</v>
      </c>
      <c r="AU28" s="21" t="n">
        <v>30</v>
      </c>
      <c r="AV28" s="27">
        <f>SUM(AT28:AU28)</f>
        <v/>
      </c>
      <c r="AW28" s="28" t="n">
        <v>35</v>
      </c>
      <c r="AX28" s="30" t="n">
        <v>40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21</v>
      </c>
      <c r="BA28" s="21" t="n">
        <v>30</v>
      </c>
      <c r="BB28" s="27">
        <f>SUM(AZ28:BA28)</f>
        <v/>
      </c>
      <c r="BC28" s="28" t="n">
        <v>42</v>
      </c>
      <c r="BD28" s="28" t="n">
        <v>46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16</v>
      </c>
      <c r="BG28" s="21" t="n">
        <v>43</v>
      </c>
      <c r="BH28" s="27">
        <f>SUM(BF28:BG28)</f>
        <v/>
      </c>
      <c r="BI28" s="28" t="n">
        <v>55</v>
      </c>
      <c r="BJ28" s="28" t="n">
        <v>31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17</v>
      </c>
      <c r="BM28" s="21" t="n">
        <v>33</v>
      </c>
      <c r="BN28" s="27">
        <f>SUM(BL28:BM28)</f>
        <v/>
      </c>
      <c r="BO28" s="28" t="n">
        <v>24</v>
      </c>
      <c r="BP28" s="31" t="n">
        <v>44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22</v>
      </c>
      <c r="BY28" s="21" t="n">
        <v>70</v>
      </c>
      <c r="BZ28" s="27">
        <f>SUM(BX28:BY28)</f>
        <v/>
      </c>
      <c r="CA28" s="28" t="n">
        <v>39</v>
      </c>
      <c r="CB28" s="31" t="n">
        <v>43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13</v>
      </c>
      <c r="CE28" s="21" t="n">
        <v>42</v>
      </c>
      <c r="CF28" s="27">
        <f>SUM(CD28:CE28)</f>
        <v/>
      </c>
      <c r="CG28" s="28" t="n">
        <v>28</v>
      </c>
      <c r="CH28" s="31" t="n">
        <v>36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28</v>
      </c>
      <c r="CW28" s="21" t="n">
        <v>25</v>
      </c>
      <c r="CX28" s="27">
        <f>SUM(CV28:CW28)</f>
        <v/>
      </c>
      <c r="CY28" s="28" t="n">
        <v>23</v>
      </c>
      <c r="CZ28" s="31" t="n">
        <v>27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EXCELLENT(5)</t>
        </is>
      </c>
      <c r="DK28" s="40" t="inlineStr">
        <is>
          <t>GOOD(4)</t>
        </is>
      </c>
      <c r="DL28" s="40" t="inlineStr">
        <is>
          <t>GOOD(4)</t>
        </is>
      </c>
      <c r="DM28" s="40" t="inlineStr">
        <is>
          <t>EXCELLENT(5)</t>
        </is>
      </c>
      <c r="DN28" s="40" t="inlineStr">
        <is>
          <t>GOOD(4)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GOOD(4)</t>
        </is>
      </c>
      <c r="DX28" s="40" t="inlineStr">
        <is>
          <t>GOOD(4)</t>
        </is>
      </c>
      <c r="DY28" s="40" t="inlineStr">
        <is>
          <t>GOOD(4)</t>
        </is>
      </c>
      <c r="DZ28" s="53" t="inlineStr">
        <is>
          <t>GOOD(4)</t>
        </is>
      </c>
      <c r="EA28" s="54" t="inlineStr">
        <is>
          <t>Needs to focus more during lessons to achieve full potential.</t>
        </is>
      </c>
      <c r="EB28" s="55" t="inlineStr">
        <is>
          <t>Promoted on trial to JSS3</t>
        </is>
      </c>
      <c r="EC28" s="56" t="inlineStr">
        <is>
          <t>MR. JIMOH WASIU OLATUNDE</t>
        </is>
      </c>
      <c r="ED28" s="57" t="inlineStr">
        <is>
          <t>Next Term Begins on Monday, 15th September, 2049</t>
        </is>
      </c>
    </row>
    <row r="29" ht="30.6" customHeight="1" s="6">
      <c r="A29" s="18" t="n">
        <v>26</v>
      </c>
      <c r="B29" s="19" t="inlineStr">
        <is>
          <t xml:space="preserve">OLAGBEMIRO MARY </t>
        </is>
      </c>
      <c r="C29" s="20" t="inlineStr">
        <is>
          <t>1853</t>
        </is>
      </c>
      <c r="D29" s="128" t="inlineStr">
        <is>
          <t>Female</t>
        </is>
      </c>
      <c r="E29" s="21" t="inlineStr">
        <is>
          <t>JSS 2C</t>
        </is>
      </c>
      <c r="F29" s="21" t="n">
        <v>31</v>
      </c>
      <c r="G29" s="21" t="n">
        <v>122</v>
      </c>
      <c r="H29" s="22" t="n">
        <v>118</v>
      </c>
      <c r="I29" s="26">
        <f>G29-H29</f>
        <v/>
      </c>
      <c r="J29" s="21" t="n">
        <v>24</v>
      </c>
      <c r="K29" s="21" t="n">
        <v>24</v>
      </c>
      <c r="L29" s="27">
        <f>SUM(J29:K29)</f>
        <v/>
      </c>
      <c r="M29" s="28" t="n">
        <v>23</v>
      </c>
      <c r="N29" s="28" t="n">
        <v>41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20</v>
      </c>
      <c r="Q29" s="21" t="n">
        <v>39</v>
      </c>
      <c r="R29" s="27">
        <f>SUM(P29:Q29)</f>
        <v/>
      </c>
      <c r="S29" s="28" t="n">
        <v>59</v>
      </c>
      <c r="T29" s="28" t="n">
        <v>59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25</v>
      </c>
      <c r="W29" s="21" t="n">
        <v>20</v>
      </c>
      <c r="X29" s="27">
        <f>SUM(V29:W29)</f>
        <v/>
      </c>
      <c r="Y29" s="28" t="n">
        <v>30</v>
      </c>
      <c r="Z29" s="28" t="n">
        <v>38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52</v>
      </c>
      <c r="AD29" s="27">
        <f>SUM(AB29:AC29)</f>
        <v/>
      </c>
      <c r="AE29" s="28" t="n">
        <v>79</v>
      </c>
      <c r="AF29" s="28" t="n">
        <v>78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20</v>
      </c>
      <c r="AI29" s="21" t="n">
        <v>42</v>
      </c>
      <c r="AJ29" s="27">
        <f>SUM(AH29:AI29)</f>
        <v/>
      </c>
      <c r="AK29" s="28" t="n">
        <v>37</v>
      </c>
      <c r="AL29" s="28" t="n">
        <v>73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28</v>
      </c>
      <c r="AU29" s="21" t="n">
        <v>30</v>
      </c>
      <c r="AV29" s="27">
        <f>SUM(AT29:AU29)</f>
        <v/>
      </c>
      <c r="AW29" s="28" t="n">
        <v>40</v>
      </c>
      <c r="AX29" s="30" t="n">
        <v>55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21</v>
      </c>
      <c r="BA29" s="21" t="n">
        <v>33</v>
      </c>
      <c r="BB29" s="27">
        <f>SUM(AZ29:BA29)</f>
        <v/>
      </c>
      <c r="BC29" s="28" t="n">
        <v>49</v>
      </c>
      <c r="BD29" s="28" t="n">
        <v>52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35</v>
      </c>
      <c r="BH29" s="27">
        <f>SUM(BF29:BG29)</f>
        <v/>
      </c>
      <c r="BI29" s="28" t="n">
        <v>58</v>
      </c>
      <c r="BJ29" s="28" t="n">
        <v>47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18</v>
      </c>
      <c r="BM29" s="21" t="n">
        <v>33</v>
      </c>
      <c r="BN29" s="27">
        <f>SUM(BL29:BM29)</f>
        <v/>
      </c>
      <c r="BO29" s="28" t="n">
        <v>47</v>
      </c>
      <c r="BP29" s="31" t="n">
        <v>66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26</v>
      </c>
      <c r="BY29" s="21" t="n">
        <v>69</v>
      </c>
      <c r="BZ29" s="27">
        <f>SUM(BX29:BY29)</f>
        <v/>
      </c>
      <c r="CA29" s="28" t="n">
        <v>60</v>
      </c>
      <c r="CB29" s="31" t="n">
        <v>71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18</v>
      </c>
      <c r="CE29" s="21" t="n">
        <v>47</v>
      </c>
      <c r="CF29" s="27">
        <f>SUM(CD29:CE29)</f>
        <v/>
      </c>
      <c r="CG29" s="28" t="n">
        <v>43</v>
      </c>
      <c r="CH29" s="31" t="n">
        <v>41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30</v>
      </c>
      <c r="CW29" s="21" t="n">
        <v>29</v>
      </c>
      <c r="CX29" s="27">
        <f>SUM(CV29:CW29)</f>
        <v/>
      </c>
      <c r="CY29" s="28" t="n">
        <v>36</v>
      </c>
      <c r="CZ29" s="31" t="n">
        <v>37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EXCELLENT(5)</t>
        </is>
      </c>
      <c r="DK29" s="40" t="inlineStr">
        <is>
          <t>GOOD(4)</t>
        </is>
      </c>
      <c r="DL29" s="40" t="inlineStr">
        <is>
          <t>GOOD(4)</t>
        </is>
      </c>
      <c r="DM29" s="40" t="inlineStr">
        <is>
          <t>EXCELLENT(5)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GOOD(4)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GOOD(4)</t>
        </is>
      </c>
      <c r="DW29" s="40" t="inlineStr">
        <is>
          <t>GOOD(4)</t>
        </is>
      </c>
      <c r="DX29" s="40" t="inlineStr">
        <is>
          <t>GOOD(4)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Shows consistent effort and improvement in academic work.</t>
        </is>
      </c>
      <c r="EB29" s="55" t="inlineStr">
        <is>
          <t>Promoted to JSS3</t>
        </is>
      </c>
      <c r="EC29" s="56" t="inlineStr">
        <is>
          <t>MR. JIMOH WASIU OLATUNDE</t>
        </is>
      </c>
      <c r="ED29" s="57" t="inlineStr">
        <is>
          <t>Next Term Begins on Monday, 15th September, 2050</t>
        </is>
      </c>
    </row>
    <row r="30" ht="30.6" customHeight="1" s="6">
      <c r="A30" s="18" t="n">
        <v>27</v>
      </c>
      <c r="B30" s="19" t="inlineStr">
        <is>
          <t xml:space="preserve">OMOTOSHO ALIMOT </t>
        </is>
      </c>
      <c r="C30" s="20" t="inlineStr">
        <is>
          <t>1799</t>
        </is>
      </c>
      <c r="D30" s="128" t="inlineStr">
        <is>
          <t>Female</t>
        </is>
      </c>
      <c r="E30" s="21" t="inlineStr">
        <is>
          <t>JSS 2C</t>
        </is>
      </c>
      <c r="F30" s="21" t="n">
        <v>31</v>
      </c>
      <c r="G30" s="21" t="n">
        <v>122</v>
      </c>
      <c r="H30" s="22" t="n">
        <v>118</v>
      </c>
      <c r="I30" s="26">
        <f>G30-H30</f>
        <v/>
      </c>
      <c r="J30" s="21" t="n">
        <v>26</v>
      </c>
      <c r="K30" s="21" t="n">
        <v>35</v>
      </c>
      <c r="L30" s="27">
        <f>SUM(J30:K30)</f>
        <v/>
      </c>
      <c r="M30" s="28" t="n">
        <v>37</v>
      </c>
      <c r="N30" s="28" t="n">
        <v>50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22</v>
      </c>
      <c r="Q30" s="21" t="n">
        <v>43</v>
      </c>
      <c r="R30" s="27">
        <f>SUM(P30:Q30)</f>
        <v/>
      </c>
      <c r="S30" s="28" t="n">
        <v>75</v>
      </c>
      <c r="T30" s="28" t="n">
        <v>54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22</v>
      </c>
      <c r="W30" s="21" t="n">
        <v>21</v>
      </c>
      <c r="X30" s="27">
        <f>SUM(V30:W30)</f>
        <v/>
      </c>
      <c r="Y30" s="28" t="n">
        <v>57</v>
      </c>
      <c r="Z30" s="28" t="n">
        <v>50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21</v>
      </c>
      <c r="AC30" s="21" t="n">
        <v>38</v>
      </c>
      <c r="AD30" s="27">
        <f>SUM(AB30:AC30)</f>
        <v/>
      </c>
      <c r="AE30" s="28" t="n">
        <v>100</v>
      </c>
      <c r="AF30" s="28" t="n">
        <v>80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23</v>
      </c>
      <c r="AI30" s="21" t="n">
        <v>40</v>
      </c>
      <c r="AJ30" s="27">
        <f>SUM(AH30:AI30)</f>
        <v/>
      </c>
      <c r="AK30" s="28" t="n">
        <v>63</v>
      </c>
      <c r="AL30" s="28" t="n">
        <v>56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51</v>
      </c>
      <c r="AV30" s="27">
        <f>SUM(AT30:AU30)</f>
        <v/>
      </c>
      <c r="AW30" s="28" t="n">
        <v>77</v>
      </c>
      <c r="AX30" s="30" t="n">
        <v>49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27</v>
      </c>
      <c r="BA30" s="21" t="n">
        <v>35</v>
      </c>
      <c r="BB30" s="27">
        <f>SUM(AZ30:BA30)</f>
        <v/>
      </c>
      <c r="BC30" s="28" t="n">
        <v>64</v>
      </c>
      <c r="BD30" s="28" t="n">
        <v>63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41</v>
      </c>
      <c r="BH30" s="27">
        <f>SUM(BF30:BG30)</f>
        <v/>
      </c>
      <c r="BI30" s="28" t="n">
        <v>69</v>
      </c>
      <c r="BJ30" s="28" t="n">
        <v>26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15</v>
      </c>
      <c r="BM30" s="21" t="n">
        <v>38</v>
      </c>
      <c r="BN30" s="27">
        <f>SUM(BL30:BM30)</f>
        <v/>
      </c>
      <c r="BO30" s="28" t="n">
        <v>62</v>
      </c>
      <c r="BP30" s="31" t="n">
        <v>71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25</v>
      </c>
      <c r="BY30" s="21" t="n">
        <v>70</v>
      </c>
      <c r="BZ30" s="27">
        <f>SUM(BX30:BY30)</f>
        <v/>
      </c>
      <c r="CA30" s="28" t="n">
        <v>83</v>
      </c>
      <c r="CB30" s="31" t="n">
        <v>61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13</v>
      </c>
      <c r="CE30" s="21" t="n">
        <v>50</v>
      </c>
      <c r="CF30" s="27">
        <f>SUM(CD30:CE30)</f>
        <v/>
      </c>
      <c r="CG30" s="28" t="n">
        <v>53</v>
      </c>
      <c r="CH30" s="31" t="n">
        <v>36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/>
      <c r="CW30" s="21" t="n"/>
      <c r="CX30" s="27">
        <f>SUM(CV30:CW30)</f>
        <v/>
      </c>
      <c r="CY30" s="28" t="n"/>
      <c r="CZ30" s="31" t="n"/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EXCELLENT(5)</t>
        </is>
      </c>
      <c r="DK30" s="40" t="inlineStr">
        <is>
          <t>GOOD(4)</t>
        </is>
      </c>
      <c r="DL30" s="40" t="inlineStr">
        <is>
          <t>EXCELLENT(5)</t>
        </is>
      </c>
      <c r="DM30" s="40" t="inlineStr">
        <is>
          <t>EXCELLENT(5)</t>
        </is>
      </c>
      <c r="DN30" s="40" t="inlineStr">
        <is>
          <t>GOOD(4)</t>
        </is>
      </c>
      <c r="DO30" s="40" t="inlineStr">
        <is>
          <t>GOOD(4)</t>
        </is>
      </c>
      <c r="DP30" s="40" t="inlineStr">
        <is>
          <t>GOOD(4)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GOOD(4)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GOOD(4)</t>
        </is>
      </c>
      <c r="EA30" s="54" t="inlineStr">
        <is>
          <t>Demonstrates a positive attitude and respect for rules.</t>
        </is>
      </c>
      <c r="EB30" s="55" t="inlineStr">
        <is>
          <t>Promoted to JSS3</t>
        </is>
      </c>
      <c r="EC30" s="56" t="inlineStr">
        <is>
          <t>MR. JIMOH WASIU OLATUNDE</t>
        </is>
      </c>
      <c r="ED30" s="57" t="inlineStr">
        <is>
          <t>Next Term Begins on Monday, 15th September, 2051</t>
        </is>
      </c>
    </row>
    <row r="31" ht="30.6" customHeight="1" s="6">
      <c r="A31" s="18" t="n">
        <v>28</v>
      </c>
      <c r="B31" s="19" t="inlineStr">
        <is>
          <t xml:space="preserve">OYEBISI RAMOTA </t>
        </is>
      </c>
      <c r="C31" s="20" t="inlineStr">
        <is>
          <t>1780</t>
        </is>
      </c>
      <c r="D31" s="128" t="inlineStr">
        <is>
          <t>Female</t>
        </is>
      </c>
      <c r="E31" s="21" t="inlineStr">
        <is>
          <t>JSS 2C</t>
        </is>
      </c>
      <c r="F31" s="21" t="n">
        <v>31</v>
      </c>
      <c r="G31" s="21" t="n">
        <v>122</v>
      </c>
      <c r="H31" s="22" t="n">
        <v>114</v>
      </c>
      <c r="I31" s="26">
        <f>G31-H31</f>
        <v/>
      </c>
      <c r="J31" s="21" t="n">
        <v>20</v>
      </c>
      <c r="K31" s="21" t="n">
        <v>32</v>
      </c>
      <c r="L31" s="27">
        <f>SUM(J31:K31)</f>
        <v/>
      </c>
      <c r="M31" s="28" t="n">
        <v>25</v>
      </c>
      <c r="N31" s="28" t="n">
        <v>49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17</v>
      </c>
      <c r="Q31" s="21" t="n">
        <v>33</v>
      </c>
      <c r="R31" s="27">
        <f>SUM(P31:Q31)</f>
        <v/>
      </c>
      <c r="S31" s="28" t="n">
        <v>66</v>
      </c>
      <c r="T31" s="28" t="n">
        <v>34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23</v>
      </c>
      <c r="W31" s="21" t="n">
        <v>27</v>
      </c>
      <c r="X31" s="27">
        <f>SUM(V31:W31)</f>
        <v/>
      </c>
      <c r="Y31" s="28" t="n">
        <v>44</v>
      </c>
      <c r="Z31" s="28" t="n">
        <v>47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20</v>
      </c>
      <c r="AC31" s="21" t="n">
        <v>40</v>
      </c>
      <c r="AD31" s="27">
        <f>SUM(AB31:AC31)</f>
        <v/>
      </c>
      <c r="AE31" s="28" t="n">
        <v>59</v>
      </c>
      <c r="AF31" s="28" t="n">
        <v>60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17</v>
      </c>
      <c r="AI31" s="21" t="n">
        <v>28</v>
      </c>
      <c r="AJ31" s="27">
        <f>SUM(AH31:AI31)</f>
        <v/>
      </c>
      <c r="AK31" s="28" t="n">
        <v>52</v>
      </c>
      <c r="AL31" s="28" t="n">
        <v>38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19</v>
      </c>
      <c r="AU31" s="21" t="n">
        <v>31</v>
      </c>
      <c r="AV31" s="27">
        <f>SUM(AT31:AU31)</f>
        <v/>
      </c>
      <c r="AW31" s="28" t="n">
        <v>45</v>
      </c>
      <c r="AX31" s="30" t="n">
        <v>55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38</v>
      </c>
      <c r="BB31" s="27">
        <f>SUM(AZ31:BA31)</f>
        <v/>
      </c>
      <c r="BC31" s="28" t="n">
        <v>65</v>
      </c>
      <c r="BD31" s="28" t="n">
        <v>63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15</v>
      </c>
      <c r="BG31" s="21" t="n">
        <v>36</v>
      </c>
      <c r="BH31" s="27">
        <f>SUM(BF31:BG31)</f>
        <v/>
      </c>
      <c r="BI31" s="28" t="n">
        <v>48</v>
      </c>
      <c r="BJ31" s="28" t="n">
        <v>27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19</v>
      </c>
      <c r="BM31" s="21" t="n">
        <v>34</v>
      </c>
      <c r="BN31" s="27">
        <f>SUM(BL31:BM31)</f>
        <v/>
      </c>
      <c r="BO31" s="28" t="n">
        <v>28</v>
      </c>
      <c r="BP31" s="31" t="n">
        <v>51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69</v>
      </c>
      <c r="BZ31" s="27">
        <f>SUM(BX31:BY31)</f>
        <v/>
      </c>
      <c r="CA31" s="28" t="n">
        <v>54</v>
      </c>
      <c r="CB31" s="31" t="n">
        <v>42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12</v>
      </c>
      <c r="CE31" s="21" t="n">
        <v>47</v>
      </c>
      <c r="CF31" s="27">
        <f>SUM(CD31:CE31)</f>
        <v/>
      </c>
      <c r="CG31" s="28" t="n">
        <v>45</v>
      </c>
      <c r="CH31" s="31" t="n">
        <v>19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/>
      <c r="CW31" s="21" t="n"/>
      <c r="CX31" s="27">
        <f>SUM(CV31:CW31)</f>
        <v/>
      </c>
      <c r="CY31" s="28" t="n"/>
      <c r="CZ31" s="31" t="n"/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EXCELLENT(5)</t>
        </is>
      </c>
      <c r="DK31" s="40" t="inlineStr">
        <is>
          <t>GOOD(4)</t>
        </is>
      </c>
      <c r="DL31" s="40" t="inlineStr">
        <is>
          <t>EXCELLENT(5)</t>
        </is>
      </c>
      <c r="DM31" s="40" t="inlineStr">
        <is>
          <t>EXCELLENT(5)</t>
        </is>
      </c>
      <c r="DN31" s="40" t="inlineStr">
        <is>
          <t>GOOD(4)</t>
        </is>
      </c>
      <c r="DO31" s="40" t="inlineStr">
        <is>
          <t>GOOD(4)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GOOD(4)</t>
        </is>
      </c>
      <c r="DW31" s="40" t="inlineStr">
        <is>
          <t>GOOD(4)</t>
        </is>
      </c>
      <c r="DX31" s="40" t="inlineStr">
        <is>
          <t>GOOD(4)</t>
        </is>
      </c>
      <c r="DY31" s="40" t="inlineStr">
        <is>
          <t>GOOD(4)</t>
        </is>
      </c>
      <c r="DZ31" s="53" t="inlineStr">
        <is>
          <t>GOOD(4)</t>
        </is>
      </c>
      <c r="EA31" s="54" t="inlineStr">
        <is>
          <t>Completes assignments on time and with care.</t>
        </is>
      </c>
      <c r="EB31" s="55" t="inlineStr">
        <is>
          <t>Promoted to JSS3</t>
        </is>
      </c>
      <c r="EC31" s="56" t="inlineStr">
        <is>
          <t>MR. JIMOH WASIU OLATUNDE</t>
        </is>
      </c>
      <c r="ED31" s="57" t="inlineStr">
        <is>
          <t>Next Term Begins on Monday, 15th September, 2052</t>
        </is>
      </c>
    </row>
    <row r="32" ht="30.6" customHeight="1" s="6">
      <c r="A32" s="18" t="n">
        <v>29</v>
      </c>
      <c r="B32" s="19" t="inlineStr">
        <is>
          <t xml:space="preserve">OYEBISI ROFIAT </t>
        </is>
      </c>
      <c r="C32" s="20" t="inlineStr">
        <is>
          <t>1867</t>
        </is>
      </c>
      <c r="D32" s="128" t="inlineStr">
        <is>
          <t>Female</t>
        </is>
      </c>
      <c r="E32" s="21" t="inlineStr">
        <is>
          <t>JSS 2C</t>
        </is>
      </c>
      <c r="F32" s="21" t="n">
        <v>31</v>
      </c>
      <c r="G32" s="21" t="n">
        <v>122</v>
      </c>
      <c r="H32" s="22" t="n">
        <v>114</v>
      </c>
      <c r="I32" s="26">
        <f>G32-H32</f>
        <v/>
      </c>
      <c r="J32" s="21" t="n">
        <v>10</v>
      </c>
      <c r="K32" s="21" t="n">
        <v>26</v>
      </c>
      <c r="L32" s="27">
        <f>SUM(J32:K32)</f>
        <v/>
      </c>
      <c r="M32" s="28" t="n">
        <v>25</v>
      </c>
      <c r="N32" s="28" t="n">
        <v>42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16</v>
      </c>
      <c r="Q32" s="21" t="n">
        <v>33</v>
      </c>
      <c r="R32" s="27">
        <f>SUM(P32:Q32)</f>
        <v/>
      </c>
      <c r="S32" s="28" t="n">
        <v>46</v>
      </c>
      <c r="T32" s="28" t="n">
        <v>52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25</v>
      </c>
      <c r="W32" s="21" t="n">
        <v>16</v>
      </c>
      <c r="X32" s="27">
        <f>SUM(V32:W32)</f>
        <v/>
      </c>
      <c r="Y32" s="28" t="n">
        <v>22</v>
      </c>
      <c r="Z32" s="28" t="n">
        <v>32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27</v>
      </c>
      <c r="AC32" s="21" t="n">
        <v>36</v>
      </c>
      <c r="AD32" s="27">
        <f>SUM(AB32:AC32)</f>
        <v/>
      </c>
      <c r="AE32" s="28" t="n">
        <v>63</v>
      </c>
      <c r="AF32" s="28" t="n">
        <v>63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25</v>
      </c>
      <c r="AI32" s="21" t="n">
        <v>30</v>
      </c>
      <c r="AJ32" s="27">
        <f>SUM(AH32:AI32)</f>
        <v/>
      </c>
      <c r="AK32" s="28" t="n">
        <v>42</v>
      </c>
      <c r="AL32" s="28" t="n">
        <v>48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15</v>
      </c>
      <c r="AU32" s="21" t="n">
        <v>36</v>
      </c>
      <c r="AV32" s="27">
        <f>SUM(AT32:AU32)</f>
        <v/>
      </c>
      <c r="AW32" s="28" t="n">
        <v>31</v>
      </c>
      <c r="AX32" s="30" t="n">
        <v>29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25</v>
      </c>
      <c r="BA32" s="21" t="n">
        <v>30</v>
      </c>
      <c r="BB32" s="27">
        <f>SUM(AZ32:BA32)</f>
        <v/>
      </c>
      <c r="BC32" s="28" t="n">
        <v>42</v>
      </c>
      <c r="BD32" s="28" t="n">
        <v>48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16</v>
      </c>
      <c r="BG32" s="21" t="n">
        <v>36</v>
      </c>
      <c r="BH32" s="27">
        <f>SUM(BF32:BG32)</f>
        <v/>
      </c>
      <c r="BI32" s="28" t="n">
        <v>48</v>
      </c>
      <c r="BJ32" s="28" t="n">
        <v>18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19</v>
      </c>
      <c r="BM32" s="21" t="n">
        <v>31</v>
      </c>
      <c r="BN32" s="27">
        <f>SUM(BL32:BM32)</f>
        <v/>
      </c>
      <c r="BO32" s="28" t="n">
        <v>32</v>
      </c>
      <c r="BP32" s="31" t="n">
        <v>47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24</v>
      </c>
      <c r="BY32" s="21" t="n">
        <v>68</v>
      </c>
      <c r="BZ32" s="27">
        <f>SUM(BX32:BY32)</f>
        <v/>
      </c>
      <c r="CA32" s="28" t="n">
        <v>37</v>
      </c>
      <c r="CB32" s="31" t="n">
        <v>45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10</v>
      </c>
      <c r="CE32" s="21" t="n">
        <v>40</v>
      </c>
      <c r="CF32" s="27">
        <f>SUM(CD32:CE32)</f>
        <v/>
      </c>
      <c r="CG32" s="28" t="n">
        <v>15</v>
      </c>
      <c r="CH32" s="31" t="n">
        <v>20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/>
      <c r="CW32" s="21" t="n"/>
      <c r="CX32" s="27">
        <f>SUM(CV32:CW32)</f>
        <v/>
      </c>
      <c r="CY32" s="28" t="n"/>
      <c r="CZ32" s="31" t="n"/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EXCELLENT(5)</t>
        </is>
      </c>
      <c r="DK32" s="40" t="inlineStr">
        <is>
          <t>GOOD(4)</t>
        </is>
      </c>
      <c r="DL32" s="40" t="inlineStr">
        <is>
          <t>EXCELLENT(5)</t>
        </is>
      </c>
      <c r="DM32" s="40" t="inlineStr">
        <is>
          <t>EXCELLENT(5)</t>
        </is>
      </c>
      <c r="DN32" s="40" t="inlineStr">
        <is>
          <t>GOOD(4)</t>
        </is>
      </c>
      <c r="DO32" s="40" t="inlineStr">
        <is>
          <t>GOOD(4)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GOOD(4)</t>
        </is>
      </c>
      <c r="DV32" s="40" t="inlineStr">
        <is>
          <t>GOOD(4)</t>
        </is>
      </c>
      <c r="DW32" s="40" t="inlineStr">
        <is>
          <t>GOOD(4)</t>
        </is>
      </c>
      <c r="DX32" s="40" t="inlineStr">
        <is>
          <t>GOOD(4)</t>
        </is>
      </c>
      <c r="DY32" s="40" t="inlineStr">
        <is>
          <t>GOOD(4)</t>
        </is>
      </c>
      <c r="DZ32" s="53" t="inlineStr">
        <is>
          <t>GOOD(4)</t>
        </is>
      </c>
      <c r="EA32" s="54" t="inlineStr">
        <is>
          <t>Excels in most subjects and demonstrates a strong grasp of concepts.</t>
        </is>
      </c>
      <c r="EB32" s="55" t="inlineStr">
        <is>
          <t>Promoted on trial to JSS3</t>
        </is>
      </c>
      <c r="EC32" s="56" t="inlineStr">
        <is>
          <t>MR. JIMOH WASIU OLATUNDE</t>
        </is>
      </c>
      <c r="ED32" s="57" t="inlineStr">
        <is>
          <t>Next Term Begins on Monday, 15th September, 2053</t>
        </is>
      </c>
    </row>
    <row r="33" ht="30.6" customHeight="1" s="6">
      <c r="A33" s="18" t="n">
        <v>30</v>
      </c>
      <c r="B33" s="19" t="inlineStr">
        <is>
          <t>OYEKANMI PETER O.</t>
        </is>
      </c>
      <c r="C33" s="20" t="inlineStr">
        <is>
          <t>1869</t>
        </is>
      </c>
      <c r="D33" s="128" t="inlineStr">
        <is>
          <t>Male</t>
        </is>
      </c>
      <c r="E33" s="21" t="inlineStr">
        <is>
          <t>JSS 2C</t>
        </is>
      </c>
      <c r="F33" s="21" t="n">
        <v>31</v>
      </c>
      <c r="G33" s="21" t="n">
        <v>122</v>
      </c>
      <c r="H33" s="22" t="n">
        <v>114</v>
      </c>
      <c r="I33" s="26">
        <f>G33-H33</f>
        <v/>
      </c>
      <c r="J33" s="21" t="n">
        <v>17</v>
      </c>
      <c r="K33" s="21" t="n">
        <v>34</v>
      </c>
      <c r="L33" s="27">
        <f>SUM(J33:K33)</f>
        <v/>
      </c>
      <c r="M33" s="28" t="n">
        <v>61</v>
      </c>
      <c r="N33" s="28" t="n">
        <v>41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17</v>
      </c>
      <c r="Q33" s="21" t="n">
        <v>34</v>
      </c>
      <c r="R33" s="27">
        <f>SUM(P33:Q33)</f>
        <v/>
      </c>
      <c r="S33" s="28" t="n">
        <v>61</v>
      </c>
      <c r="T33" s="28" t="n">
        <v>41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20</v>
      </c>
      <c r="W33" s="21" t="n">
        <v>22</v>
      </c>
      <c r="X33" s="27">
        <f>SUM(V33:W33)</f>
        <v/>
      </c>
      <c r="Y33" s="28" t="n">
        <v>32</v>
      </c>
      <c r="Z33" s="28" t="n">
        <v>37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26</v>
      </c>
      <c r="AC33" s="21" t="n">
        <v>24</v>
      </c>
      <c r="AD33" s="27">
        <f>SUM(AB33:AC33)</f>
        <v/>
      </c>
      <c r="AE33" s="28" t="n">
        <v>43</v>
      </c>
      <c r="AF33" s="28" t="n">
        <v>46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21</v>
      </c>
      <c r="AI33" s="21" t="n">
        <v>37</v>
      </c>
      <c r="AJ33" s="27">
        <f>SUM(AH33:AI33)</f>
        <v/>
      </c>
      <c r="AK33" s="28" t="n">
        <v>33</v>
      </c>
      <c r="AL33" s="28" t="n">
        <v>49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21</v>
      </c>
      <c r="AU33" s="21" t="n">
        <v>32</v>
      </c>
      <c r="AV33" s="27">
        <f>SUM(AT33:AU33)</f>
        <v/>
      </c>
      <c r="AW33" s="28" t="n">
        <v>41</v>
      </c>
      <c r="AX33" s="30" t="n">
        <v>29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21</v>
      </c>
      <c r="BA33" s="21" t="n">
        <v>32</v>
      </c>
      <c r="BB33" s="27">
        <f>SUM(AZ33:BA33)</f>
        <v/>
      </c>
      <c r="BC33" s="28" t="n">
        <v>48</v>
      </c>
      <c r="BD33" s="28" t="n">
        <v>50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16</v>
      </c>
      <c r="BG33" s="21" t="n">
        <v>36</v>
      </c>
      <c r="BH33" s="27">
        <f>SUM(BF33:BG33)</f>
        <v/>
      </c>
      <c r="BI33" s="28" t="n">
        <v>53</v>
      </c>
      <c r="BJ33" s="28" t="n">
        <v>34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19</v>
      </c>
      <c r="BM33" s="21" t="n">
        <v>31</v>
      </c>
      <c r="BN33" s="27">
        <f>SUM(BL33:BM33)</f>
        <v/>
      </c>
      <c r="BO33" s="28" t="n">
        <v>40</v>
      </c>
      <c r="BP33" s="31" t="n">
        <v>44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20</v>
      </c>
      <c r="BY33" s="21" t="n">
        <v>70</v>
      </c>
      <c r="BZ33" s="27">
        <f>SUM(BX33:BY33)</f>
        <v/>
      </c>
      <c r="CA33" s="28" t="n">
        <v>39</v>
      </c>
      <c r="CB33" s="31" t="n">
        <v>42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17</v>
      </c>
      <c r="CE33" s="21" t="n">
        <v>46</v>
      </c>
      <c r="CF33" s="27">
        <f>SUM(CD33:CE33)</f>
        <v/>
      </c>
      <c r="CG33" s="28" t="n">
        <v>24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28</v>
      </c>
      <c r="CW33" s="21" t="n">
        <v>32</v>
      </c>
      <c r="CX33" s="27">
        <f>SUM(CV33:CW33)</f>
        <v/>
      </c>
      <c r="CY33" s="28" t="n">
        <v>10</v>
      </c>
      <c r="CZ33" s="31" t="n">
        <v>15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EXCELLENT(5)</t>
        </is>
      </c>
      <c r="DK33" s="40" t="inlineStr">
        <is>
          <t>GOOD(4)</t>
        </is>
      </c>
      <c r="DL33" s="40" t="inlineStr">
        <is>
          <t>EXCELLENT(5)</t>
        </is>
      </c>
      <c r="DM33" s="40" t="inlineStr">
        <is>
          <t>EXCELLENT(5)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GOOD(4)</t>
        </is>
      </c>
      <c r="DQ33" s="40" t="inlineStr">
        <is>
          <t>GOOD(4)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GOOD(4)</t>
        </is>
      </c>
      <c r="DV33" s="40" t="inlineStr">
        <is>
          <t>GOOD(4)</t>
        </is>
      </c>
      <c r="DW33" s="40" t="inlineStr">
        <is>
          <t>GOOD(4)</t>
        </is>
      </c>
      <c r="DX33" s="40" t="inlineStr">
        <is>
          <t>GOOD(4)</t>
        </is>
      </c>
      <c r="DY33" s="40" t="inlineStr">
        <is>
          <t>GOOD(4)</t>
        </is>
      </c>
      <c r="DZ33" s="53" t="inlineStr">
        <is>
          <t>GOOD(4)</t>
        </is>
      </c>
      <c r="EA33" s="54" t="inlineStr">
        <is>
          <t>Needs to focus more during lessons to achieve full potential.</t>
        </is>
      </c>
      <c r="EB33" s="55" t="inlineStr">
        <is>
          <t>Promoted to JSS3</t>
        </is>
      </c>
      <c r="EC33" s="56" t="inlineStr">
        <is>
          <t>MR. JIMOH WASIU OLATUNDE</t>
        </is>
      </c>
      <c r="ED33" s="57" t="inlineStr">
        <is>
          <t>Next Term Begins on Monday, 15th September, 2054</t>
        </is>
      </c>
    </row>
    <row r="34" ht="30.6" customHeight="1" s="6">
      <c r="A34" s="18" t="n">
        <v>31</v>
      </c>
      <c r="B34" s="19" t="inlineStr">
        <is>
          <t xml:space="preserve">SAHEED JELILAT </t>
        </is>
      </c>
      <c r="C34" s="20" t="inlineStr">
        <is>
          <t>1794</t>
        </is>
      </c>
      <c r="D34" s="128" t="inlineStr">
        <is>
          <t>Female</t>
        </is>
      </c>
      <c r="E34" s="21" t="inlineStr">
        <is>
          <t>JSS 2C</t>
        </is>
      </c>
      <c r="F34" s="21" t="n">
        <v>31</v>
      </c>
      <c r="G34" s="21" t="n">
        <v>122</v>
      </c>
      <c r="H34" s="22" t="n">
        <v>108</v>
      </c>
      <c r="I34" s="26">
        <f>G34-H34</f>
        <v/>
      </c>
      <c r="J34" s="21" t="n">
        <v>20</v>
      </c>
      <c r="K34" s="21" t="n">
        <v>32</v>
      </c>
      <c r="L34" s="27">
        <f>SUM(J34:K34)</f>
        <v/>
      </c>
      <c r="M34" s="28" t="n">
        <v>41</v>
      </c>
      <c r="N34" s="28" t="n">
        <v>57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20</v>
      </c>
      <c r="Q34" s="21" t="n">
        <v>40</v>
      </c>
      <c r="R34" s="27">
        <f>SUM(P34:Q34)</f>
        <v/>
      </c>
      <c r="S34" s="28" t="n">
        <v>70</v>
      </c>
      <c r="T34" s="28" t="n">
        <v>51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25</v>
      </c>
      <c r="W34" s="21" t="n">
        <v>18</v>
      </c>
      <c r="X34" s="27">
        <f>SUM(V34:W34)</f>
        <v/>
      </c>
      <c r="Y34" s="28" t="n">
        <v>64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20</v>
      </c>
      <c r="AC34" s="21" t="n">
        <v>42</v>
      </c>
      <c r="AD34" s="27">
        <f>SUM(AB34:AC34)</f>
        <v/>
      </c>
      <c r="AE34" s="28" t="n">
        <v>77</v>
      </c>
      <c r="AF34" s="28" t="n">
        <v>70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24</v>
      </c>
      <c r="AI34" s="21" t="n">
        <v>43</v>
      </c>
      <c r="AJ34" s="27">
        <f>SUM(AH34:AI34)</f>
        <v/>
      </c>
      <c r="AK34" s="28" t="n">
        <v>48</v>
      </c>
      <c r="AL34" s="28" t="n">
        <v>58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27</v>
      </c>
      <c r="AU34" s="21" t="n">
        <v>34</v>
      </c>
      <c r="AV34" s="27">
        <f>SUM(AT34:AU34)</f>
        <v/>
      </c>
      <c r="AW34" s="28" t="n">
        <v>51</v>
      </c>
      <c r="AX34" s="30" t="n">
        <v>53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24</v>
      </c>
      <c r="BA34" s="21" t="n">
        <v>43</v>
      </c>
      <c r="BB34" s="27">
        <f>SUM(AZ34:BA34)</f>
        <v/>
      </c>
      <c r="BC34" s="28" t="n">
        <v>48</v>
      </c>
      <c r="BD34" s="28" t="n">
        <v>58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38</v>
      </c>
      <c r="BH34" s="27">
        <f>SUM(BF34:BG34)</f>
        <v/>
      </c>
      <c r="BI34" s="28" t="n">
        <v>60</v>
      </c>
      <c r="BJ34" s="28" t="n">
        <v>40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17</v>
      </c>
      <c r="BM34" s="21" t="n">
        <v>34</v>
      </c>
      <c r="BN34" s="27">
        <f>SUM(BL34:BM34)</f>
        <v/>
      </c>
      <c r="BO34" s="28" t="n">
        <v>43</v>
      </c>
      <c r="BP34" s="31" t="n">
        <v>68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24</v>
      </c>
      <c r="BY34" s="21" t="n">
        <v>69</v>
      </c>
      <c r="BZ34" s="27">
        <f>SUM(BX34:BY34)</f>
        <v/>
      </c>
      <c r="CA34" s="28" t="n">
        <v>58</v>
      </c>
      <c r="CB34" s="31" t="n">
        <v>63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12</v>
      </c>
      <c r="CE34" s="21" t="n">
        <v>50</v>
      </c>
      <c r="CF34" s="27">
        <f>SUM(CD34:CE34)</f>
        <v/>
      </c>
      <c r="CG34" s="28" t="n">
        <v>32</v>
      </c>
      <c r="CH34" s="31" t="n">
        <v>32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GOOD(4)</t>
        </is>
      </c>
      <c r="DL34" s="40" t="inlineStr">
        <is>
          <t>EXCELLENT(5)</t>
        </is>
      </c>
      <c r="DM34" s="40" t="inlineStr">
        <is>
          <t>EXCELLENT(5)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GOOD(4)</t>
        </is>
      </c>
      <c r="DV34" s="40" t="inlineStr">
        <is>
          <t>GOOD(4)</t>
        </is>
      </c>
      <c r="DW34" s="40" t="inlineStr">
        <is>
          <t>GOOD(4)</t>
        </is>
      </c>
      <c r="DX34" s="40" t="inlineStr">
        <is>
          <t>GOOD(4)</t>
        </is>
      </c>
      <c r="DY34" s="40" t="inlineStr">
        <is>
          <t>GOOD(4)</t>
        </is>
      </c>
      <c r="DZ34" s="53" t="inlineStr">
        <is>
          <t>GOOD(4)</t>
        </is>
      </c>
      <c r="EA34" s="54" t="inlineStr">
        <is>
          <t>Excels in most subjects and demonstrates a strong grasp of concepts.</t>
        </is>
      </c>
      <c r="EB34" s="55" t="inlineStr">
        <is>
          <t>Promoted to JSS3</t>
        </is>
      </c>
      <c r="EC34" s="56" t="inlineStr">
        <is>
          <t>MR. JIMOH WASIU OLATUNDE</t>
        </is>
      </c>
      <c r="ED34" s="57" t="inlineStr">
        <is>
          <t>Next Term Begins on Monday, 15th September, 2055</t>
        </is>
      </c>
    </row>
    <row r="35" ht="30.6" customHeight="1" s="6">
      <c r="A35" s="18" t="n">
        <v>32</v>
      </c>
      <c r="B35" s="19" t="n"/>
      <c r="C35" s="20" t="n"/>
      <c r="D35" s="128" t="n"/>
      <c r="E35" s="21" t="n"/>
      <c r="F35" s="22" t="n"/>
      <c r="G35" s="22" t="n"/>
      <c r="H35" s="22" t="n"/>
      <c r="I35" s="26">
        <f>G35-H35</f>
        <v/>
      </c>
      <c r="J35" s="21" t="n"/>
      <c r="K35" s="21" t="n"/>
      <c r="L35" s="27">
        <f>SUM(J35:K35)</f>
        <v/>
      </c>
      <c r="M35" s="28" t="n"/>
      <c r="N35" s="28" t="n"/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/>
      <c r="Q35" s="21" t="n"/>
      <c r="R35" s="27">
        <f>SUM(P35:Q35)</f>
        <v/>
      </c>
      <c r="S35" s="28" t="n"/>
      <c r="T35" s="28" t="n"/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/>
      <c r="W35" s="21" t="n"/>
      <c r="X35" s="27">
        <f>SUM(V35:W35)</f>
        <v/>
      </c>
      <c r="Y35" s="28" t="n"/>
      <c r="Z35" s="28" t="n"/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/>
      <c r="AC35" s="21" t="n"/>
      <c r="AD35" s="27">
        <f>SUM(AB35:AC35)</f>
        <v/>
      </c>
      <c r="AE35" s="28" t="n"/>
      <c r="AF35" s="28" t="n"/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/>
      <c r="AI35" s="21" t="n"/>
      <c r="AJ35" s="27">
        <f>SUM(AH35:AI35)</f>
        <v/>
      </c>
      <c r="AK35" s="28" t="n"/>
      <c r="AL35" s="28" t="n"/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/>
      <c r="AU35" s="21" t="n"/>
      <c r="AV35" s="27">
        <f>SUM(AT35:AU35)</f>
        <v/>
      </c>
      <c r="AW35" s="28" t="n"/>
      <c r="AX35" s="30" t="n"/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/>
      <c r="BA35" s="21" t="n"/>
      <c r="BB35" s="27">
        <f>SUM(AZ35:BA35)</f>
        <v/>
      </c>
      <c r="BC35" s="28" t="n"/>
      <c r="BD35" s="28" t="n"/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/>
      <c r="BG35" s="21" t="n"/>
      <c r="BH35" s="27">
        <f>SUM(BF35:BG35)</f>
        <v/>
      </c>
      <c r="BI35" s="28" t="n"/>
      <c r="BJ35" s="28" t="n"/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/>
      <c r="BM35" s="21" t="n"/>
      <c r="BN35" s="27">
        <f>SUM(BL35:BM35)</f>
        <v/>
      </c>
      <c r="BO35" s="28" t="n"/>
      <c r="BP35" s="31" t="n"/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/>
      <c r="BY35" s="21" t="n"/>
      <c r="BZ35" s="27">
        <f>SUM(BX35:BY35)</f>
        <v/>
      </c>
      <c r="CA35" s="28" t="n"/>
      <c r="CB35" s="31" t="n"/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/>
      <c r="CE35" s="21" t="n"/>
      <c r="CF35" s="27">
        <f>SUM(CD35:CE35)</f>
        <v/>
      </c>
      <c r="CG35" s="28" t="n"/>
      <c r="CH35" s="31" t="n"/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/>
      <c r="CQ35" s="21" t="n"/>
      <c r="CR35" s="27">
        <f>SUM(CP35:CQ35)</f>
        <v/>
      </c>
      <c r="CS35" s="28" t="n"/>
      <c r="CT35" s="31" t="n"/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CHOOSE RATING</t>
        </is>
      </c>
      <c r="DK35" s="40" t="inlineStr">
        <is>
          <t>CHOOSE RATING</t>
        </is>
      </c>
      <c r="DL35" s="40" t="inlineStr">
        <is>
          <t>CHOOSE RATING</t>
        </is>
      </c>
      <c r="DM35" s="40" t="inlineStr">
        <is>
          <t>CHOOSE RATING</t>
        </is>
      </c>
      <c r="DN35" s="40" t="inlineStr">
        <is>
          <t>CHOOSE RATING</t>
        </is>
      </c>
      <c r="DO35" s="40" t="inlineStr">
        <is>
          <t>CHOOSE RATING</t>
        </is>
      </c>
      <c r="DP35" s="40" t="inlineStr">
        <is>
          <t>CHOOSE RATING</t>
        </is>
      </c>
      <c r="DQ35" s="40" t="inlineStr">
        <is>
          <t>CHOOSE RATING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CHOOSE RATING</t>
        </is>
      </c>
      <c r="DU35" s="40" t="inlineStr">
        <is>
          <t>CHOOSE RATING</t>
        </is>
      </c>
      <c r="DV35" s="40" t="inlineStr">
        <is>
          <t>CHOOSE RATING</t>
        </is>
      </c>
      <c r="DW35" s="40" t="inlineStr">
        <is>
          <t>CHOOSE RATING</t>
        </is>
      </c>
      <c r="DX35" s="40" t="inlineStr">
        <is>
          <t>CHOOSE RATING</t>
        </is>
      </c>
      <c r="DY35" s="40" t="inlineStr">
        <is>
          <t>CHOOSE RATING</t>
        </is>
      </c>
      <c r="DZ35" s="53" t="inlineStr">
        <is>
          <t>CHOOSE RATING</t>
        </is>
      </c>
      <c r="EA35" s="54" t="inlineStr">
        <is>
          <t>Add the Tutor's Comment . . .</t>
        </is>
      </c>
      <c r="EB35" s="55" t="inlineStr">
        <is>
          <t>Choose Principals comment</t>
        </is>
      </c>
      <c r="EC35" s="56" t="n"/>
      <c r="ED35" s="57" t="n"/>
    </row>
    <row r="36" ht="30.6" customHeight="1" s="6">
      <c r="A36" s="18" t="n">
        <v>33</v>
      </c>
      <c r="B36" s="19" t="n"/>
      <c r="C36" s="20" t="n"/>
      <c r="D36" s="128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22nd September, 2025</t>
        </is>
      </c>
    </row>
    <row r="37" ht="30.6" customHeight="1" s="6">
      <c r="A37" s="18" t="n">
        <v>34</v>
      </c>
      <c r="B37" s="19" t="n"/>
      <c r="C37" s="20" t="n"/>
      <c r="D37" s="128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22nd September, 2025</t>
        </is>
      </c>
    </row>
    <row r="38" ht="30.6" customHeight="1" s="6">
      <c r="A38" s="18" t="n">
        <v>35</v>
      </c>
      <c r="B38" s="19" t="n"/>
      <c r="C38" s="20" t="n"/>
      <c r="D38" s="128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22nd September, 2025</t>
        </is>
      </c>
    </row>
    <row r="39" ht="30.6" customHeight="1" s="6">
      <c r="A39" s="18" t="n">
        <v>36</v>
      </c>
      <c r="B39" s="19" t="n"/>
      <c r="C39" s="20" t="n"/>
      <c r="D39" s="128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GOOD(4)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28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28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26" sqref="A26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  <row r="24">
      <c r="A24" s="2" t="inlineStr">
        <is>
          <t>Always Absent from School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2025-07-18T10:09:53Z</dcterms:modified>
  <cp:lastModifiedBy>LENOVO1</cp:lastModifiedBy>
  <cp:lastPrinted>2024-07-22T15:34:08Z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